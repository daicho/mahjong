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3B659264-DA19-4A58-9FC3-A1B825856CDF}" xr6:coauthVersionLast="44" xr6:coauthVersionMax="44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5" r:id="rId3"/>
    <sheet name="Sheet4" sheetId="26" r:id="rId4"/>
    <sheet name="Sheet5" sheetId="27" r:id="rId5"/>
    <sheet name="Sheet6" sheetId="28" r:id="rId6"/>
    <sheet name="Sheet7" sheetId="29" r:id="rId7"/>
    <sheet name="Sheet8" sheetId="30" r:id="rId8"/>
    <sheet name="Sheet9" sheetId="31" r:id="rId9"/>
    <sheet name="役一覧" sheetId="15" state="hidden" r:id="rId10"/>
    <sheet name="点数表(親ロン)" sheetId="4" state="hidden" r:id="rId11"/>
    <sheet name="点数表(親ツモ)" sheetId="9" state="hidden" r:id="rId12"/>
    <sheet name="点数表(子→親)" sheetId="7" state="hidden" r:id="rId13"/>
    <sheet name="点数表(子ロン)" sheetId="3" state="hidden" r:id="rId14"/>
    <sheet name="点数表(子ツモ)" sheetId="10" state="hidden" r:id="rId15"/>
    <sheet name="点数表(子→子)" sheetId="5" state="hidden" r:id="rId16"/>
    <sheet name="点数表(親→子)" sheetId="6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31" l="1"/>
  <c r="E8" i="31"/>
  <c r="E7" i="31"/>
  <c r="E6" i="31"/>
  <c r="E5" i="31"/>
  <c r="T30" i="31"/>
  <c r="W30" i="31" s="1"/>
  <c r="O30" i="31"/>
  <c r="V30" i="31" s="1"/>
  <c r="J30" i="31"/>
  <c r="U30" i="31" s="1"/>
  <c r="D30" i="31"/>
  <c r="C30" i="31"/>
  <c r="B30" i="31"/>
  <c r="A30" i="31"/>
  <c r="T29" i="31"/>
  <c r="W29" i="31" s="1"/>
  <c r="O29" i="31"/>
  <c r="V29" i="31" s="1"/>
  <c r="J29" i="31"/>
  <c r="U29" i="31" s="1"/>
  <c r="D29" i="31"/>
  <c r="C29" i="31"/>
  <c r="B29" i="31"/>
  <c r="A29" i="31"/>
  <c r="T28" i="31"/>
  <c r="W28" i="31" s="1"/>
  <c r="O28" i="31"/>
  <c r="V28" i="31" s="1"/>
  <c r="J28" i="31"/>
  <c r="U28" i="31" s="1"/>
  <c r="D28" i="31"/>
  <c r="C28" i="31"/>
  <c r="B28" i="31"/>
  <c r="A28" i="31"/>
  <c r="T27" i="31"/>
  <c r="W27" i="31" s="1"/>
  <c r="O27" i="31"/>
  <c r="V27" i="31" s="1"/>
  <c r="J27" i="31"/>
  <c r="U27" i="31" s="1"/>
  <c r="D27" i="31"/>
  <c r="C27" i="31"/>
  <c r="B27" i="31"/>
  <c r="A27" i="31"/>
  <c r="T26" i="31"/>
  <c r="W26" i="31" s="1"/>
  <c r="O26" i="31"/>
  <c r="V26" i="31" s="1"/>
  <c r="J26" i="31"/>
  <c r="U26" i="31" s="1"/>
  <c r="D26" i="31"/>
  <c r="C26" i="31"/>
  <c r="B26" i="31"/>
  <c r="A26" i="31"/>
  <c r="T25" i="31"/>
  <c r="W25" i="31" s="1"/>
  <c r="O25" i="31"/>
  <c r="V25" i="31" s="1"/>
  <c r="J25" i="31"/>
  <c r="U25" i="31" s="1"/>
  <c r="D25" i="31"/>
  <c r="C25" i="31"/>
  <c r="B25" i="31"/>
  <c r="A25" i="31"/>
  <c r="T24" i="31"/>
  <c r="W24" i="31" s="1"/>
  <c r="O24" i="31"/>
  <c r="V24" i="31" s="1"/>
  <c r="J24" i="31"/>
  <c r="U24" i="31" s="1"/>
  <c r="D24" i="31"/>
  <c r="C24" i="31"/>
  <c r="B24" i="31"/>
  <c r="A24" i="31"/>
  <c r="T23" i="31"/>
  <c r="W23" i="31" s="1"/>
  <c r="O23" i="31"/>
  <c r="V23" i="31" s="1"/>
  <c r="J23" i="31"/>
  <c r="U23" i="31" s="1"/>
  <c r="D23" i="31"/>
  <c r="C23" i="31"/>
  <c r="B23" i="31"/>
  <c r="A23" i="31"/>
  <c r="T22" i="31"/>
  <c r="W22" i="31" s="1"/>
  <c r="O22" i="31"/>
  <c r="V22" i="31" s="1"/>
  <c r="J22" i="31"/>
  <c r="U22" i="31" s="1"/>
  <c r="D22" i="31"/>
  <c r="C22" i="31"/>
  <c r="B22" i="31"/>
  <c r="A22" i="31"/>
  <c r="T21" i="31"/>
  <c r="W21" i="31" s="1"/>
  <c r="O21" i="31"/>
  <c r="V21" i="31" s="1"/>
  <c r="J21" i="31"/>
  <c r="U21" i="31" s="1"/>
  <c r="D21" i="31"/>
  <c r="C21" i="31"/>
  <c r="B21" i="31"/>
  <c r="A21" i="31"/>
  <c r="T20" i="31"/>
  <c r="W20" i="31" s="1"/>
  <c r="O20" i="31"/>
  <c r="V20" i="31" s="1"/>
  <c r="J20" i="31"/>
  <c r="U20" i="31" s="1"/>
  <c r="D20" i="31"/>
  <c r="C20" i="31"/>
  <c r="B20" i="31"/>
  <c r="A20" i="31"/>
  <c r="T19" i="31"/>
  <c r="W19" i="31" s="1"/>
  <c r="O19" i="31"/>
  <c r="V19" i="31" s="1"/>
  <c r="J19" i="31"/>
  <c r="U19" i="31" s="1"/>
  <c r="D19" i="31"/>
  <c r="C19" i="31"/>
  <c r="B19" i="31"/>
  <c r="A19" i="31"/>
  <c r="T18" i="31"/>
  <c r="W18" i="31" s="1"/>
  <c r="O18" i="31"/>
  <c r="V18" i="31" s="1"/>
  <c r="J18" i="31"/>
  <c r="U18" i="31" s="1"/>
  <c r="D18" i="31"/>
  <c r="C18" i="31"/>
  <c r="B18" i="31"/>
  <c r="A18" i="31"/>
  <c r="T17" i="31"/>
  <c r="W17" i="31" s="1"/>
  <c r="O17" i="31"/>
  <c r="V17" i="31" s="1"/>
  <c r="J17" i="31"/>
  <c r="U17" i="31" s="1"/>
  <c r="D17" i="31"/>
  <c r="C17" i="31"/>
  <c r="B17" i="31"/>
  <c r="A17" i="31"/>
  <c r="T16" i="31"/>
  <c r="W16" i="31" s="1"/>
  <c r="O16" i="31"/>
  <c r="V16" i="31" s="1"/>
  <c r="J16" i="31"/>
  <c r="U16" i="31" s="1"/>
  <c r="D16" i="31"/>
  <c r="C16" i="31"/>
  <c r="B16" i="31"/>
  <c r="A16" i="31"/>
  <c r="T15" i="31"/>
  <c r="W15" i="31" s="1"/>
  <c r="O15" i="31"/>
  <c r="V15" i="31" s="1"/>
  <c r="J15" i="31"/>
  <c r="U15" i="31" s="1"/>
  <c r="D15" i="31"/>
  <c r="C15" i="31"/>
  <c r="B15" i="31"/>
  <c r="A15" i="31"/>
  <c r="T14" i="31"/>
  <c r="W14" i="31" s="1"/>
  <c r="O14" i="31"/>
  <c r="V14" i="31" s="1"/>
  <c r="J14" i="31"/>
  <c r="U14" i="31" s="1"/>
  <c r="D14" i="31"/>
  <c r="C14" i="31"/>
  <c r="B14" i="31"/>
  <c r="A14" i="31"/>
  <c r="T13" i="31"/>
  <c r="W13" i="31" s="1"/>
  <c r="O13" i="31"/>
  <c r="V13" i="31" s="1"/>
  <c r="J13" i="31"/>
  <c r="U13" i="31" s="1"/>
  <c r="D13" i="31"/>
  <c r="C13" i="31"/>
  <c r="B13" i="31"/>
  <c r="A13" i="31"/>
  <c r="T12" i="31"/>
  <c r="W12" i="31" s="1"/>
  <c r="O12" i="31"/>
  <c r="V12" i="31" s="1"/>
  <c r="J12" i="31"/>
  <c r="U12" i="31" s="1"/>
  <c r="D12" i="31"/>
  <c r="C12" i="31"/>
  <c r="B12" i="31"/>
  <c r="A12" i="31"/>
  <c r="T11" i="31"/>
  <c r="W11" i="31" s="1"/>
  <c r="O11" i="31"/>
  <c r="V11" i="31" s="1"/>
  <c r="J11" i="31"/>
  <c r="U11" i="31" s="1"/>
  <c r="D11" i="31"/>
  <c r="C11" i="31"/>
  <c r="B11" i="31"/>
  <c r="A11" i="31"/>
  <c r="T10" i="31"/>
  <c r="W10" i="31" s="1"/>
  <c r="O10" i="31"/>
  <c r="V10" i="31" s="1"/>
  <c r="J10" i="31"/>
  <c r="U10" i="31" s="1"/>
  <c r="D10" i="31"/>
  <c r="C10" i="31"/>
  <c r="B10" i="31"/>
  <c r="A10" i="31"/>
  <c r="D9" i="31"/>
  <c r="C9" i="31"/>
  <c r="D8" i="31"/>
  <c r="C8" i="31"/>
  <c r="C6" i="31"/>
  <c r="D6" i="31"/>
  <c r="T5" i="31"/>
  <c r="T6" i="31" s="1"/>
  <c r="B5" i="31"/>
  <c r="D5" i="31"/>
  <c r="C5" i="31"/>
  <c r="T4" i="31"/>
  <c r="O4" i="31"/>
  <c r="O5" i="31" s="1"/>
  <c r="J4" i="31"/>
  <c r="W3" i="31"/>
  <c r="V3" i="31"/>
  <c r="U3" i="31"/>
  <c r="W2" i="31"/>
  <c r="V2" i="31"/>
  <c r="U2" i="31"/>
  <c r="BO1" i="31"/>
  <c r="AT1" i="31"/>
  <c r="Y1" i="31"/>
  <c r="E9" i="30"/>
  <c r="E8" i="30"/>
  <c r="E7" i="30"/>
  <c r="E6" i="30"/>
  <c r="E5" i="30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D18" i="30"/>
  <c r="D16" i="30"/>
  <c r="D15" i="30"/>
  <c r="D14" i="30"/>
  <c r="D12" i="30"/>
  <c r="C11" i="30"/>
  <c r="D11" i="30"/>
  <c r="D10" i="30"/>
  <c r="C10" i="30"/>
  <c r="D7" i="30"/>
  <c r="C7" i="30"/>
  <c r="O6" i="30"/>
  <c r="O7" i="30" s="1"/>
  <c r="J6" i="30"/>
  <c r="J7" i="30" s="1"/>
  <c r="D6" i="30"/>
  <c r="C6" i="30"/>
  <c r="O5" i="30"/>
  <c r="J5" i="30"/>
  <c r="B6" i="30"/>
  <c r="C5" i="30"/>
  <c r="B5" i="30"/>
  <c r="A5" i="30" s="1"/>
  <c r="T4" i="30"/>
  <c r="T5" i="30" s="1"/>
  <c r="O4" i="30"/>
  <c r="J4" i="30"/>
  <c r="W3" i="30"/>
  <c r="V3" i="30"/>
  <c r="U3" i="30"/>
  <c r="W2" i="30"/>
  <c r="V2" i="30"/>
  <c r="U2" i="30"/>
  <c r="BO1" i="30"/>
  <c r="AT1" i="30"/>
  <c r="Y1" i="30"/>
  <c r="E18" i="29"/>
  <c r="E17" i="29"/>
  <c r="E16" i="29"/>
  <c r="E15" i="29"/>
  <c r="E14" i="29"/>
  <c r="E13" i="29"/>
  <c r="C13" i="29" s="1"/>
  <c r="E12" i="29"/>
  <c r="E11" i="29"/>
  <c r="E10" i="29"/>
  <c r="D10" i="29" s="1"/>
  <c r="E9" i="29"/>
  <c r="E8" i="29"/>
  <c r="E7" i="29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 s="1"/>
  <c r="T18" i="29"/>
  <c r="O18" i="29"/>
  <c r="V18" i="29" s="1"/>
  <c r="J18" i="29"/>
  <c r="D18" i="29"/>
  <c r="C18" i="29"/>
  <c r="B18" i="29"/>
  <c r="A18" i="29" s="1"/>
  <c r="T17" i="29"/>
  <c r="O17" i="29"/>
  <c r="V17" i="29" s="1"/>
  <c r="J17" i="29"/>
  <c r="D17" i="29"/>
  <c r="C17" i="29"/>
  <c r="B17" i="29"/>
  <c r="A17" i="29" s="1"/>
  <c r="T16" i="29"/>
  <c r="W16" i="29" s="1"/>
  <c r="O16" i="29"/>
  <c r="J16" i="29"/>
  <c r="D16" i="29"/>
  <c r="C16" i="29"/>
  <c r="B16" i="29"/>
  <c r="A16" i="29" s="1"/>
  <c r="T15" i="29"/>
  <c r="O15" i="29"/>
  <c r="J15" i="29"/>
  <c r="D15" i="29"/>
  <c r="C15" i="29"/>
  <c r="B15" i="29"/>
  <c r="A15" i="29" s="1"/>
  <c r="T14" i="29"/>
  <c r="O14" i="29"/>
  <c r="V14" i="29" s="1"/>
  <c r="J14" i="29"/>
  <c r="D14" i="29"/>
  <c r="C14" i="29"/>
  <c r="B14" i="29"/>
  <c r="A14" i="29" s="1"/>
  <c r="T13" i="29"/>
  <c r="O13" i="29"/>
  <c r="J13" i="29"/>
  <c r="D13" i="29"/>
  <c r="B13" i="29"/>
  <c r="A13" i="29"/>
  <c r="T12" i="29"/>
  <c r="W12" i="29" s="1"/>
  <c r="O12" i="29"/>
  <c r="J12" i="29"/>
  <c r="D12" i="29"/>
  <c r="C12" i="29"/>
  <c r="B12" i="29"/>
  <c r="A12" i="29" s="1"/>
  <c r="T11" i="29"/>
  <c r="O11" i="29"/>
  <c r="J11" i="29"/>
  <c r="U11" i="29" s="1"/>
  <c r="D11" i="29"/>
  <c r="C11" i="29"/>
  <c r="B11" i="29"/>
  <c r="A11" i="29" s="1"/>
  <c r="T10" i="29"/>
  <c r="O10" i="29"/>
  <c r="V10" i="29" s="1"/>
  <c r="J10" i="29"/>
  <c r="T9" i="29"/>
  <c r="O9" i="29"/>
  <c r="J9" i="29"/>
  <c r="D9" i="29"/>
  <c r="C9" i="29"/>
  <c r="B9" i="29"/>
  <c r="A9" i="29" s="1"/>
  <c r="T8" i="29"/>
  <c r="W8" i="29" s="1"/>
  <c r="O8" i="29"/>
  <c r="J8" i="29"/>
  <c r="D8" i="29"/>
  <c r="C8" i="29"/>
  <c r="B8" i="29"/>
  <c r="A8" i="29"/>
  <c r="D7" i="29"/>
  <c r="O6" i="29"/>
  <c r="O7" i="29" s="1"/>
  <c r="J6" i="29"/>
  <c r="J7" i="29" s="1"/>
  <c r="D6" i="29"/>
  <c r="O5" i="29"/>
  <c r="J5" i="29"/>
  <c r="B6" i="29"/>
  <c r="B5" i="29"/>
  <c r="A5" i="29" s="1"/>
  <c r="T4" i="29"/>
  <c r="T5" i="29" s="1"/>
  <c r="O4" i="29"/>
  <c r="J4" i="29"/>
  <c r="U4" i="29" s="1"/>
  <c r="W3" i="29"/>
  <c r="V3" i="29"/>
  <c r="U3" i="29"/>
  <c r="W2" i="29"/>
  <c r="V2" i="29"/>
  <c r="U2" i="29"/>
  <c r="BO1" i="29"/>
  <c r="AT1" i="29"/>
  <c r="Y1" i="29"/>
  <c r="D8" i="28"/>
  <c r="E7" i="28"/>
  <c r="E6" i="28"/>
  <c r="D6" i="28" s="1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T11" i="28"/>
  <c r="W11" i="28" s="1"/>
  <c r="O11" i="28"/>
  <c r="V11" i="28" s="1"/>
  <c r="J11" i="28"/>
  <c r="U11" i="28" s="1"/>
  <c r="D11" i="28"/>
  <c r="C11" i="28"/>
  <c r="B11" i="28"/>
  <c r="A11" i="28"/>
  <c r="T10" i="28"/>
  <c r="W10" i="28" s="1"/>
  <c r="O10" i="28"/>
  <c r="V10" i="28" s="1"/>
  <c r="J10" i="28"/>
  <c r="U10" i="28" s="1"/>
  <c r="D10" i="28"/>
  <c r="C10" i="28"/>
  <c r="B10" i="28"/>
  <c r="A10" i="28"/>
  <c r="D9" i="28"/>
  <c r="C9" i="28"/>
  <c r="C6" i="28"/>
  <c r="O5" i="28"/>
  <c r="O6" i="28" s="1"/>
  <c r="D5" i="28"/>
  <c r="C5" i="28"/>
  <c r="T4" i="28"/>
  <c r="T5" i="28" s="1"/>
  <c r="O4" i="28"/>
  <c r="J4" i="28"/>
  <c r="J5" i="28" s="1"/>
  <c r="W3" i="28"/>
  <c r="V3" i="28"/>
  <c r="U3" i="28"/>
  <c r="W2" i="28"/>
  <c r="V2" i="28"/>
  <c r="U2" i="28"/>
  <c r="BO1" i="28"/>
  <c r="AT1" i="28"/>
  <c r="Y1" i="28"/>
  <c r="E9" i="27"/>
  <c r="E8" i="27"/>
  <c r="E7" i="27"/>
  <c r="E6" i="27"/>
  <c r="D6" i="27" s="1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T11" i="27"/>
  <c r="W11" i="27" s="1"/>
  <c r="O11" i="27"/>
  <c r="V11" i="27" s="1"/>
  <c r="J11" i="27"/>
  <c r="U11" i="27" s="1"/>
  <c r="D11" i="27"/>
  <c r="C11" i="27"/>
  <c r="B11" i="27"/>
  <c r="A11" i="27"/>
  <c r="D8" i="27"/>
  <c r="O7" i="27"/>
  <c r="O8" i="27" s="1"/>
  <c r="D7" i="27"/>
  <c r="O6" i="27"/>
  <c r="J6" i="27"/>
  <c r="O5" i="27"/>
  <c r="J5" i="27"/>
  <c r="T4" i="27"/>
  <c r="T5" i="27" s="1"/>
  <c r="O4" i="27"/>
  <c r="J4" i="27"/>
  <c r="W3" i="27"/>
  <c r="V3" i="27"/>
  <c r="U3" i="27"/>
  <c r="W2" i="27"/>
  <c r="V2" i="27"/>
  <c r="U2" i="27"/>
  <c r="BO1" i="27"/>
  <c r="AT1" i="27"/>
  <c r="Y1" i="27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D17" i="26"/>
  <c r="C17" i="26"/>
  <c r="C16" i="26"/>
  <c r="D12" i="26"/>
  <c r="D13" i="26" s="1"/>
  <c r="C11" i="26"/>
  <c r="C12" i="26" s="1"/>
  <c r="D11" i="26"/>
  <c r="C10" i="26"/>
  <c r="D9" i="26"/>
  <c r="D7" i="26"/>
  <c r="T5" i="26"/>
  <c r="T6" i="26" s="1"/>
  <c r="J5" i="26"/>
  <c r="J6" i="26" s="1"/>
  <c r="D5" i="26"/>
  <c r="C5" i="26"/>
  <c r="B5" i="26"/>
  <c r="A5" i="26" s="1"/>
  <c r="T4" i="26"/>
  <c r="W4" i="26" s="1"/>
  <c r="O4" i="26"/>
  <c r="O5" i="26" s="1"/>
  <c r="J4" i="26"/>
  <c r="W3" i="26"/>
  <c r="V3" i="26"/>
  <c r="U3" i="26"/>
  <c r="W2" i="26"/>
  <c r="V2" i="26"/>
  <c r="U2" i="26"/>
  <c r="BO1" i="26"/>
  <c r="AT1" i="26"/>
  <c r="Y1" i="26"/>
  <c r="B19" i="25"/>
  <c r="E18" i="25"/>
  <c r="E17" i="25"/>
  <c r="D17" i="25" s="1"/>
  <c r="E16" i="25"/>
  <c r="E15" i="25"/>
  <c r="B15" i="25" s="1"/>
  <c r="E14" i="25"/>
  <c r="E13" i="25"/>
  <c r="E12" i="25"/>
  <c r="E11" i="25"/>
  <c r="E10" i="25"/>
  <c r="C10" i="25" s="1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C19" i="25"/>
  <c r="T18" i="25"/>
  <c r="O18" i="25"/>
  <c r="J18" i="25"/>
  <c r="D18" i="25"/>
  <c r="C18" i="25"/>
  <c r="B18" i="25"/>
  <c r="A18" i="25" s="1"/>
  <c r="T17" i="25"/>
  <c r="O17" i="25"/>
  <c r="J17" i="25"/>
  <c r="T16" i="25"/>
  <c r="O16" i="25"/>
  <c r="J16" i="25"/>
  <c r="U16" i="25" s="1"/>
  <c r="D16" i="25"/>
  <c r="C16" i="25"/>
  <c r="B16" i="25"/>
  <c r="A16" i="25" s="1"/>
  <c r="T15" i="25"/>
  <c r="O15" i="25"/>
  <c r="J15" i="25"/>
  <c r="C15" i="25"/>
  <c r="T14" i="25"/>
  <c r="O14" i="25"/>
  <c r="J14" i="25"/>
  <c r="U14" i="25" s="1"/>
  <c r="D14" i="25"/>
  <c r="C14" i="25"/>
  <c r="B14" i="25"/>
  <c r="A14" i="25" s="1"/>
  <c r="D13" i="25"/>
  <c r="C13" i="25"/>
  <c r="D10" i="25"/>
  <c r="D9" i="25"/>
  <c r="C9" i="25"/>
  <c r="T6" i="25"/>
  <c r="T7" i="25" s="1"/>
  <c r="B6" i="25"/>
  <c r="D6" i="25"/>
  <c r="T5" i="25"/>
  <c r="O5" i="25"/>
  <c r="O6" i="25" s="1"/>
  <c r="B5" i="25"/>
  <c r="A5" i="25" s="1"/>
  <c r="D5" i="25"/>
  <c r="C5" i="25"/>
  <c r="T4" i="25"/>
  <c r="O4" i="25"/>
  <c r="J4" i="25"/>
  <c r="W3" i="25"/>
  <c r="V3" i="25"/>
  <c r="U3" i="25"/>
  <c r="W2" i="25"/>
  <c r="V2" i="25"/>
  <c r="U2" i="25"/>
  <c r="BO1" i="25"/>
  <c r="AT1" i="25"/>
  <c r="Y1" i="25"/>
  <c r="E13" i="20"/>
  <c r="E12" i="20"/>
  <c r="E11" i="20"/>
  <c r="B11" i="20" s="1"/>
  <c r="A11" i="20" s="1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/>
  <c r="T11" i="20"/>
  <c r="O11" i="20"/>
  <c r="J11" i="20"/>
  <c r="U11" i="20" s="1"/>
  <c r="D11" i="20"/>
  <c r="C11" i="20"/>
  <c r="C10" i="20"/>
  <c r="C9" i="20"/>
  <c r="D9" i="20"/>
  <c r="D8" i="20"/>
  <c r="J7" i="20"/>
  <c r="J8" i="20" s="1"/>
  <c r="D7" i="20"/>
  <c r="J6" i="20"/>
  <c r="T5" i="20"/>
  <c r="T6" i="20" s="1"/>
  <c r="J5" i="20"/>
  <c r="B5" i="20"/>
  <c r="D5" i="20"/>
  <c r="T4" i="20"/>
  <c r="O4" i="20"/>
  <c r="J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V4" i="31" l="1"/>
  <c r="W4" i="31"/>
  <c r="A5" i="31"/>
  <c r="T7" i="31"/>
  <c r="O6" i="31"/>
  <c r="C7" i="31"/>
  <c r="D7" i="31"/>
  <c r="B6" i="31"/>
  <c r="U4" i="31"/>
  <c r="J5" i="31"/>
  <c r="W5" i="31" s="1"/>
  <c r="V4" i="30"/>
  <c r="U4" i="30"/>
  <c r="V5" i="30"/>
  <c r="B7" i="30"/>
  <c r="A7" i="30" s="1"/>
  <c r="O8" i="30"/>
  <c r="U5" i="30"/>
  <c r="T6" i="30"/>
  <c r="V6" i="30" s="1"/>
  <c r="W5" i="30"/>
  <c r="A6" i="30"/>
  <c r="J8" i="30"/>
  <c r="B8" i="30"/>
  <c r="C13" i="30"/>
  <c r="C14" i="30" s="1"/>
  <c r="C15" i="30" s="1"/>
  <c r="D5" i="30"/>
  <c r="C8" i="30"/>
  <c r="D13" i="30"/>
  <c r="C16" i="30"/>
  <c r="D8" i="30"/>
  <c r="C9" i="30"/>
  <c r="C17" i="30"/>
  <c r="C18" i="30" s="1"/>
  <c r="W4" i="30"/>
  <c r="D9" i="30"/>
  <c r="C12" i="30"/>
  <c r="D17" i="30"/>
  <c r="U18" i="29"/>
  <c r="W18" i="29"/>
  <c r="W17" i="29"/>
  <c r="U17" i="29"/>
  <c r="V16" i="29"/>
  <c r="U16" i="29"/>
  <c r="W15" i="29"/>
  <c r="U15" i="29"/>
  <c r="V15" i="29"/>
  <c r="U14" i="29"/>
  <c r="W14" i="29"/>
  <c r="V13" i="29"/>
  <c r="W13" i="29"/>
  <c r="U13" i="29"/>
  <c r="V12" i="29"/>
  <c r="U12" i="29"/>
  <c r="V11" i="29"/>
  <c r="W11" i="29"/>
  <c r="W10" i="29"/>
  <c r="U10" i="29"/>
  <c r="C10" i="29"/>
  <c r="B10" i="29"/>
  <c r="A10" i="29" s="1"/>
  <c r="V9" i="29"/>
  <c r="W9" i="29"/>
  <c r="U9" i="29"/>
  <c r="V8" i="29"/>
  <c r="U8" i="29"/>
  <c r="W5" i="29"/>
  <c r="T6" i="29"/>
  <c r="U5" i="29"/>
  <c r="A6" i="29"/>
  <c r="B7" i="29"/>
  <c r="A7" i="29" s="1"/>
  <c r="V5" i="29"/>
  <c r="V4" i="29"/>
  <c r="W4" i="29"/>
  <c r="C5" i="29"/>
  <c r="C6" i="29" s="1"/>
  <c r="C7" i="29" s="1"/>
  <c r="D5" i="29"/>
  <c r="U6" i="29"/>
  <c r="V6" i="29"/>
  <c r="V4" i="28"/>
  <c r="J6" i="28"/>
  <c r="U5" i="28"/>
  <c r="T6" i="28"/>
  <c r="V6" i="28" s="1"/>
  <c r="W5" i="28"/>
  <c r="O7" i="28"/>
  <c r="C7" i="28"/>
  <c r="B5" i="28"/>
  <c r="A5" i="28" s="1"/>
  <c r="V5" i="28"/>
  <c r="D7" i="28"/>
  <c r="C8" i="28"/>
  <c r="U4" i="28"/>
  <c r="W4" i="28"/>
  <c r="C6" i="27"/>
  <c r="C7" i="27" s="1"/>
  <c r="V4" i="27"/>
  <c r="O9" i="27"/>
  <c r="T6" i="27"/>
  <c r="V6" i="27" s="1"/>
  <c r="W5" i="27"/>
  <c r="V5" i="27"/>
  <c r="U5" i="27"/>
  <c r="C10" i="27"/>
  <c r="C5" i="27"/>
  <c r="B5" i="27"/>
  <c r="D5" i="27"/>
  <c r="U6" i="27"/>
  <c r="J7" i="27"/>
  <c r="C8" i="27"/>
  <c r="B6" i="27"/>
  <c r="B7" i="27" s="1"/>
  <c r="U4" i="27"/>
  <c r="C9" i="27"/>
  <c r="W4" i="27"/>
  <c r="D9" i="27"/>
  <c r="D10" i="27" s="1"/>
  <c r="C7" i="26"/>
  <c r="C8" i="26" s="1"/>
  <c r="C9" i="26"/>
  <c r="C15" i="26"/>
  <c r="J7" i="26"/>
  <c r="B7" i="26"/>
  <c r="B8" i="26" s="1"/>
  <c r="O6" i="26"/>
  <c r="W6" i="26" s="1"/>
  <c r="V5" i="26"/>
  <c r="T7" i="26"/>
  <c r="C18" i="26"/>
  <c r="W5" i="26"/>
  <c r="D10" i="26"/>
  <c r="C13" i="26"/>
  <c r="D18" i="26"/>
  <c r="B6" i="26"/>
  <c r="A6" i="26" s="1"/>
  <c r="D8" i="26"/>
  <c r="D16" i="26"/>
  <c r="U4" i="26"/>
  <c r="C6" i="26"/>
  <c r="C14" i="26"/>
  <c r="V4" i="26"/>
  <c r="D6" i="26"/>
  <c r="D14" i="26"/>
  <c r="D15" i="26" s="1"/>
  <c r="U5" i="26"/>
  <c r="D19" i="25"/>
  <c r="A19" i="25"/>
  <c r="V18" i="25"/>
  <c r="U18" i="25"/>
  <c r="W18" i="25"/>
  <c r="U17" i="25"/>
  <c r="V17" i="25"/>
  <c r="W17" i="25"/>
  <c r="B17" i="25"/>
  <c r="A17" i="25" s="1"/>
  <c r="C17" i="25"/>
  <c r="V16" i="25"/>
  <c r="W16" i="25"/>
  <c r="U15" i="25"/>
  <c r="V15" i="25"/>
  <c r="W15" i="25"/>
  <c r="D15" i="25"/>
  <c r="A15" i="25"/>
  <c r="W14" i="25"/>
  <c r="V14" i="25"/>
  <c r="V4" i="25"/>
  <c r="W4" i="25"/>
  <c r="O7" i="25"/>
  <c r="T8" i="25"/>
  <c r="A6" i="25"/>
  <c r="C11" i="25"/>
  <c r="C12" i="25" s="1"/>
  <c r="U4" i="25"/>
  <c r="J5" i="25"/>
  <c r="V5" i="25" s="1"/>
  <c r="C6" i="25"/>
  <c r="C7" i="25" s="1"/>
  <c r="C8" i="25" s="1"/>
  <c r="D11" i="25"/>
  <c r="D12" i="25" s="1"/>
  <c r="B7" i="25"/>
  <c r="B8" i="25" s="1"/>
  <c r="D7" i="25"/>
  <c r="D8" i="25" s="1"/>
  <c r="V13" i="20"/>
  <c r="W13" i="20"/>
  <c r="U12" i="20"/>
  <c r="V12" i="20"/>
  <c r="W12" i="20"/>
  <c r="V11" i="20"/>
  <c r="W11" i="20"/>
  <c r="W4" i="20"/>
  <c r="T7" i="20"/>
  <c r="J9" i="20"/>
  <c r="A5" i="20"/>
  <c r="C7" i="20"/>
  <c r="C8" i="20" s="1"/>
  <c r="C5" i="20"/>
  <c r="D10" i="20"/>
  <c r="U4" i="20"/>
  <c r="C6" i="20"/>
  <c r="B6" i="20"/>
  <c r="B7" i="20" s="1"/>
  <c r="V4" i="20"/>
  <c r="O5" i="20"/>
  <c r="D6" i="20"/>
  <c r="E4" i="19"/>
  <c r="O7" i="31" l="1"/>
  <c r="T8" i="31"/>
  <c r="A6" i="31"/>
  <c r="U5" i="31"/>
  <c r="J6" i="31"/>
  <c r="V6" i="31" s="1"/>
  <c r="V5" i="31"/>
  <c r="B7" i="31"/>
  <c r="U6" i="30"/>
  <c r="O9" i="30"/>
  <c r="A8" i="30"/>
  <c r="T7" i="30"/>
  <c r="W6" i="30"/>
  <c r="B9" i="30"/>
  <c r="A9" i="30" s="1"/>
  <c r="J9" i="30"/>
  <c r="W6" i="29"/>
  <c r="T7" i="29"/>
  <c r="T7" i="28"/>
  <c r="W6" i="28"/>
  <c r="O8" i="28"/>
  <c r="B6" i="28"/>
  <c r="A6" i="28" s="1"/>
  <c r="J7" i="28"/>
  <c r="U6" i="28"/>
  <c r="B8" i="27"/>
  <c r="J8" i="27"/>
  <c r="T7" i="27"/>
  <c r="U7" i="27" s="1"/>
  <c r="W6" i="27"/>
  <c r="O10" i="27"/>
  <c r="A5" i="27"/>
  <c r="A6" i="27"/>
  <c r="A7" i="27" s="1"/>
  <c r="U6" i="26"/>
  <c r="B9" i="26"/>
  <c r="J8" i="26"/>
  <c r="O7" i="26"/>
  <c r="V6" i="26"/>
  <c r="T8" i="26"/>
  <c r="W7" i="26"/>
  <c r="A7" i="26"/>
  <c r="A8" i="26" s="1"/>
  <c r="B9" i="25"/>
  <c r="A8" i="25"/>
  <c r="A9" i="25" s="1"/>
  <c r="A7" i="25"/>
  <c r="T9" i="25"/>
  <c r="O8" i="25"/>
  <c r="W5" i="25"/>
  <c r="J6" i="25"/>
  <c r="U5" i="25"/>
  <c r="B8" i="20"/>
  <c r="T8" i="20"/>
  <c r="A6" i="20"/>
  <c r="A7" i="20" s="1"/>
  <c r="O6" i="20"/>
  <c r="V5" i="20"/>
  <c r="U5" i="20"/>
  <c r="J10" i="20"/>
  <c r="W5" i="20"/>
  <c r="W3" i="19"/>
  <c r="V3" i="19"/>
  <c r="U3" i="19"/>
  <c r="B8" i="31" l="1"/>
  <c r="O8" i="31"/>
  <c r="U6" i="31"/>
  <c r="J7" i="31"/>
  <c r="V7" i="31" s="1"/>
  <c r="W6" i="31"/>
  <c r="T9" i="31"/>
  <c r="A7" i="31"/>
  <c r="O10" i="30"/>
  <c r="J10" i="30"/>
  <c r="B10" i="30"/>
  <c r="W7" i="30"/>
  <c r="T8" i="30"/>
  <c r="U7" i="30"/>
  <c r="V7" i="30"/>
  <c r="W7" i="29"/>
  <c r="U7" i="29"/>
  <c r="V7" i="29"/>
  <c r="V7" i="28"/>
  <c r="O9" i="28"/>
  <c r="T8" i="28"/>
  <c r="V8" i="28" s="1"/>
  <c r="W7" i="28"/>
  <c r="J8" i="28"/>
  <c r="U7" i="28"/>
  <c r="B7" i="28"/>
  <c r="B9" i="27"/>
  <c r="A9" i="27" s="1"/>
  <c r="W7" i="27"/>
  <c r="T8" i="27"/>
  <c r="V8" i="27" s="1"/>
  <c r="V7" i="27"/>
  <c r="A8" i="27"/>
  <c r="U8" i="27"/>
  <c r="J9" i="27"/>
  <c r="A9" i="26"/>
  <c r="O8" i="26"/>
  <c r="V7" i="26"/>
  <c r="W8" i="26"/>
  <c r="T9" i="26"/>
  <c r="U7" i="26"/>
  <c r="U8" i="26"/>
  <c r="J9" i="26"/>
  <c r="B10" i="26"/>
  <c r="B10" i="25"/>
  <c r="J7" i="25"/>
  <c r="U6" i="25"/>
  <c r="W6" i="25"/>
  <c r="V6" i="25"/>
  <c r="O9" i="25"/>
  <c r="T10" i="25"/>
  <c r="B9" i="20"/>
  <c r="A9" i="20" s="1"/>
  <c r="A8" i="20"/>
  <c r="T9" i="20"/>
  <c r="O7" i="20"/>
  <c r="V6" i="20"/>
  <c r="U6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9" i="31" l="1"/>
  <c r="A8" i="31"/>
  <c r="A9" i="31" s="1"/>
  <c r="J8" i="31"/>
  <c r="U7" i="31"/>
  <c r="W7" i="31"/>
  <c r="O9" i="31"/>
  <c r="V8" i="31"/>
  <c r="O11" i="30"/>
  <c r="T9" i="30"/>
  <c r="W8" i="30"/>
  <c r="U8" i="30"/>
  <c r="V8" i="30"/>
  <c r="J11" i="30"/>
  <c r="B11" i="30"/>
  <c r="A10" i="30"/>
  <c r="A11" i="30" s="1"/>
  <c r="B8" i="28"/>
  <c r="A7" i="28"/>
  <c r="J9" i="28"/>
  <c r="U9" i="28" s="1"/>
  <c r="U8" i="28"/>
  <c r="T9" i="28"/>
  <c r="W8" i="28"/>
  <c r="B10" i="27"/>
  <c r="A10" i="27" s="1"/>
  <c r="T9" i="27"/>
  <c r="W8" i="27"/>
  <c r="U9" i="27"/>
  <c r="J10" i="27"/>
  <c r="V9" i="27"/>
  <c r="B11" i="26"/>
  <c r="O9" i="26"/>
  <c r="V8" i="26"/>
  <c r="A10" i="26"/>
  <c r="J10" i="26"/>
  <c r="U9" i="26"/>
  <c r="T10" i="26"/>
  <c r="W9" i="26"/>
  <c r="J8" i="25"/>
  <c r="U7" i="25"/>
  <c r="W7" i="25"/>
  <c r="V7" i="25"/>
  <c r="T11" i="25"/>
  <c r="B11" i="25"/>
  <c r="A11" i="25" s="1"/>
  <c r="A10" i="25"/>
  <c r="O10" i="25"/>
  <c r="B10" i="20"/>
  <c r="A10" i="20" s="1"/>
  <c r="V7" i="20"/>
  <c r="O8" i="20"/>
  <c r="U7" i="20"/>
  <c r="W7" i="20"/>
  <c r="T10" i="20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9" i="31" l="1"/>
  <c r="V9" i="31" s="1"/>
  <c r="U8" i="31"/>
  <c r="W8" i="31"/>
  <c r="T10" i="30"/>
  <c r="W9" i="30"/>
  <c r="U9" i="30"/>
  <c r="V9" i="30"/>
  <c r="O12" i="30"/>
  <c r="A12" i="30"/>
  <c r="B12" i="30"/>
  <c r="J12" i="30"/>
  <c r="A8" i="28"/>
  <c r="W9" i="28"/>
  <c r="V9" i="28"/>
  <c r="A9" i="28"/>
  <c r="B9" i="28"/>
  <c r="U10" i="27"/>
  <c r="V10" i="27"/>
  <c r="T10" i="27"/>
  <c r="W10" i="27" s="1"/>
  <c r="W9" i="27"/>
  <c r="A11" i="26"/>
  <c r="T11" i="26"/>
  <c r="J11" i="26"/>
  <c r="O10" i="26"/>
  <c r="W10" i="26" s="1"/>
  <c r="V9" i="26"/>
  <c r="B12" i="26"/>
  <c r="A12" i="26" s="1"/>
  <c r="O11" i="25"/>
  <c r="J9" i="25"/>
  <c r="U8" i="25"/>
  <c r="W8" i="25"/>
  <c r="V8" i="25"/>
  <c r="B12" i="25"/>
  <c r="A12" i="25" s="1"/>
  <c r="T12" i="25"/>
  <c r="O9" i="20"/>
  <c r="V8" i="20"/>
  <c r="U8" i="20"/>
  <c r="W8" i="20"/>
  <c r="W5" i="19"/>
  <c r="V5" i="19"/>
  <c r="U5" i="19"/>
  <c r="U9" i="31" l="1"/>
  <c r="W9" i="31"/>
  <c r="J13" i="30"/>
  <c r="T11" i="30"/>
  <c r="W10" i="30"/>
  <c r="U10" i="30"/>
  <c r="V10" i="30"/>
  <c r="A13" i="30"/>
  <c r="B13" i="30"/>
  <c r="O13" i="30"/>
  <c r="J12" i="26"/>
  <c r="U11" i="26"/>
  <c r="T12" i="26"/>
  <c r="B13" i="26"/>
  <c r="O11" i="26"/>
  <c r="V10" i="26"/>
  <c r="U10" i="26"/>
  <c r="T13" i="25"/>
  <c r="O12" i="25"/>
  <c r="B13" i="25"/>
  <c r="A13" i="25" s="1"/>
  <c r="J10" i="25"/>
  <c r="U9" i="25"/>
  <c r="W9" i="25"/>
  <c r="V9" i="25"/>
  <c r="V9" i="20"/>
  <c r="O10" i="20"/>
  <c r="U9" i="20"/>
  <c r="W9" i="20"/>
  <c r="T12" i="30" l="1"/>
  <c r="W11" i="30"/>
  <c r="V11" i="30"/>
  <c r="U11" i="30"/>
  <c r="O14" i="30"/>
  <c r="J14" i="30"/>
  <c r="B14" i="30"/>
  <c r="A14" i="30" s="1"/>
  <c r="T13" i="26"/>
  <c r="W12" i="26"/>
  <c r="J13" i="26"/>
  <c r="O12" i="26"/>
  <c r="V11" i="26"/>
  <c r="A14" i="26"/>
  <c r="B14" i="26"/>
  <c r="A13" i="26"/>
  <c r="W11" i="26"/>
  <c r="O13" i="25"/>
  <c r="J11" i="25"/>
  <c r="U10" i="25"/>
  <c r="W10" i="25"/>
  <c r="V10" i="25"/>
  <c r="V10" i="20"/>
  <c r="U10" i="20"/>
  <c r="W10" i="20"/>
  <c r="T13" i="30" l="1"/>
  <c r="W12" i="30"/>
  <c r="V12" i="30"/>
  <c r="U12" i="30"/>
  <c r="J15" i="30"/>
  <c r="A15" i="30"/>
  <c r="B15" i="30"/>
  <c r="O15" i="30"/>
  <c r="J14" i="26"/>
  <c r="U13" i="26"/>
  <c r="T14" i="26"/>
  <c r="B15" i="26"/>
  <c r="O13" i="26"/>
  <c r="V12" i="26"/>
  <c r="U12" i="26"/>
  <c r="J12" i="25"/>
  <c r="U11" i="25"/>
  <c r="W11" i="25"/>
  <c r="V11" i="25"/>
  <c r="O16" i="30" l="1"/>
  <c r="W13" i="30"/>
  <c r="T14" i="30"/>
  <c r="V13" i="30"/>
  <c r="U13" i="30"/>
  <c r="A16" i="30"/>
  <c r="B16" i="30"/>
  <c r="J16" i="30"/>
  <c r="T15" i="26"/>
  <c r="W14" i="26"/>
  <c r="J15" i="26"/>
  <c r="O14" i="26"/>
  <c r="V13" i="26"/>
  <c r="B16" i="26"/>
  <c r="A16" i="26" s="1"/>
  <c r="A15" i="26"/>
  <c r="W13" i="26"/>
  <c r="J13" i="25"/>
  <c r="U12" i="25"/>
  <c r="W12" i="25"/>
  <c r="V12" i="25"/>
  <c r="J17" i="30" l="1"/>
  <c r="O17" i="30"/>
  <c r="B17" i="30"/>
  <c r="A17" i="30" s="1"/>
  <c r="T15" i="30"/>
  <c r="W14" i="30"/>
  <c r="U14" i="30"/>
  <c r="V14" i="30"/>
  <c r="J16" i="26"/>
  <c r="T16" i="26"/>
  <c r="B17" i="26"/>
  <c r="O15" i="26"/>
  <c r="U15" i="26" s="1"/>
  <c r="V14" i="26"/>
  <c r="U14" i="26"/>
  <c r="U13" i="25"/>
  <c r="W13" i="25"/>
  <c r="V13" i="25"/>
  <c r="T16" i="30" l="1"/>
  <c r="W15" i="30"/>
  <c r="U15" i="30"/>
  <c r="V15" i="30"/>
  <c r="J18" i="30"/>
  <c r="B18" i="30"/>
  <c r="A18" i="30" s="1"/>
  <c r="O18" i="30"/>
  <c r="W16" i="26"/>
  <c r="T17" i="26"/>
  <c r="J17" i="26"/>
  <c r="O16" i="26"/>
  <c r="V15" i="26"/>
  <c r="B18" i="26"/>
  <c r="A17" i="26"/>
  <c r="A18" i="26" s="1"/>
  <c r="W15" i="26"/>
  <c r="T17" i="30" l="1"/>
  <c r="W16" i="30"/>
  <c r="V16" i="30"/>
  <c r="U16" i="30"/>
  <c r="J18" i="26"/>
  <c r="U17" i="26"/>
  <c r="T18" i="26"/>
  <c r="O17" i="26"/>
  <c r="V16" i="26"/>
  <c r="U16" i="26"/>
  <c r="T18" i="30" l="1"/>
  <c r="W17" i="30"/>
  <c r="V17" i="30"/>
  <c r="U17" i="30"/>
  <c r="O18" i="26"/>
  <c r="V18" i="26" s="1"/>
  <c r="V17" i="26"/>
  <c r="W17" i="26"/>
  <c r="W18" i="30" l="1"/>
  <c r="U18" i="30"/>
  <c r="V18" i="30"/>
  <c r="U18" i="26"/>
  <c r="W18" i="26"/>
</calcChain>
</file>

<file path=xl/sharedStrings.xml><?xml version="1.0" encoding="utf-8"?>
<sst xmlns="http://schemas.openxmlformats.org/spreadsheetml/2006/main" count="1382" uniqueCount="210">
  <si>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</si>
  <si>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</si>
  <si>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</si>
  <si>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</si>
  <si>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</si>
  <si>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</si>
  <si>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</si>
  <si>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</si>
  <si>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</si>
  <si>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</si>
  <si>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</si>
  <si>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</si>
  <si>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</si>
  <si>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</si>
  <si>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</si>
  <si>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</si>
  <si>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</si>
  <si>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</si>
  <si>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</si>
  <si>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</si>
  <si>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</si>
  <si>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</si>
  <si>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</si>
  <si>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</si>
  <si>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</si>
  <si>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</si>
  <si>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</si>
  <si>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</si>
  <si>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</si>
  <si>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</si>
  <si>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</si>
  <si>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</si>
  <si>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</si>
  <si>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</si>
  <si>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</si>
  <si>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</si>
  <si>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</si>
  <si>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</si>
  <si>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</si>
  <si>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</si>
  <si>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</si>
  <si>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</si>
  <si>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</si>
  <si>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</si>
  <si>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</si>
  <si>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</si>
  <si>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</si>
  <si>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</si>
  <si>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</si>
  <si>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</si>
  <si>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</si>
  <si>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</si>
  <si>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</si>
  <si>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</si>
  <si>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</si>
  <si>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</si>
  <si>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</si>
  <si>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</si>
  <si>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</si>
  <si>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</si>
  <si>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</si>
  <si>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</si>
  <si>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</si>
  <si>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</si>
  <si>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</si>
  <si>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</si>
  <si>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</si>
  <si>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</si>
  <si>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</si>
  <si>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</si>
  <si>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</si>
  <si>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</si>
  <si>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</si>
  <si>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</si>
  <si>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</si>
  <si>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</si>
  <si>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</si>
  <si>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</si>
  <si>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</si>
  <si>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</si>
  <si>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</si>
  <si>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</si>
  <si>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</si>
  <si>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</si>
  <si>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</si>
  <si>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</si>
  <si>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</si>
  <si>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</si>
  <si>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</si>
  <si>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</si>
  <si>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</si>
  <si>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</si>
  <si>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</si>
  <si>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</si>
  <si>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</si>
  <si>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</si>
  <si>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</si>
  <si>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</si>
  <si>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</si>
  <si>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</si>
  <si>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</si>
  <si>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</si>
  <si>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</si>
  <si>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</si>
  <si>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</si>
  <si>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</si>
  <si>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</si>
  <si>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</si>
  <si>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</si>
  <si>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</si>
  <si>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</si>
  <si>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</si>
  <si>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</si>
  <si>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</si>
  <si>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</si>
  <si>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</si>
  <si>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</si>
  <si>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</si>
  <si>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</si>
  <si>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</si>
  <si>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</si>
  <si>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</si>
  <si>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</si>
  <si>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</si>
  <si>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</si>
  <si>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</si>
  <si>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</si>
  <si>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</si>
  <si>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</si>
  <si>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</si>
  <si>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</si>
  <si>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</si>
  <si>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</si>
  <si>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</si>
  <si>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</si>
  <si>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</si>
  <si>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</si>
  <si>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</si>
  <si>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</si>
  <si>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</si>
  <si>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</si>
  <si>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</si>
  <si>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</si>
  <si>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</si>
  <si>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</si>
  <si>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</si>
  <si>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</si>
  <si>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</si>
  <si>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</si>
  <si>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</si>
  <si>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</si>
  <si>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</si>
  <si>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</si>
  <si>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</si>
  <si>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</si>
  <si>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</si>
  <si>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</si>
  <si>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</si>
  <si>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</si>
  <si>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</si>
  <si>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</si>
  <si>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</si>
  <si>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</si>
  <si>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</si>
  <si>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</si>
  <si>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</si>
  <si>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</si>
  <si>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</si>
  <si>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</si>
  <si>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</si>
  <si>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</si>
  <si>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</si>
  <si>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</si>
  <si>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</si>
  <si>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</si>
  <si>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</si>
  <si>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</si>
  <si>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</si>
  <si>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</si>
  <si>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</si>
  <si>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</si>
  <si>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</si>
  <si>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</si>
  <si>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</si>
  <si>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</si>
  <si>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</si>
  <si>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</si>
  <si>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</si>
  <si>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</si>
  <si>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</si>
  <si>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</si>
  <si>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</si>
  <si>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</si>
  <si>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だいち</t>
  </si>
  <si>
    <t>だいち</t>
    <phoneticPr fontId="1"/>
  </si>
  <si>
    <t>ぱぱ</t>
  </si>
  <si>
    <t>ぱぱ</t>
    <phoneticPr fontId="1"/>
  </si>
  <si>
    <t>ロン</t>
  </si>
  <si>
    <t>放銃</t>
  </si>
  <si>
    <t>ツモ支払</t>
  </si>
  <si>
    <t>ツモ</t>
  </si>
  <si>
    <t>01</t>
  </si>
  <si>
    <t>02</t>
  </si>
  <si>
    <t>*</t>
  </si>
  <si>
    <t>52</t>
  </si>
  <si>
    <t>T</t>
  </si>
  <si>
    <t>N</t>
  </si>
  <si>
    <t>流局</t>
    <phoneticPr fontId="1"/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</si>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</sst>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 t="s">
        <v>198</v>
      </c>
      <c r="Q4" s="9">
        <v>-2600</v>
      </c>
      <c r="R4" s="9"/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-12.6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40</v>
      </c>
      <c r="AZ4" s="40" t="s">
        <v>79</v>
      </c>
      <c r="BA4" s="41" t="s">
        <v>84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199</v>
      </c>
      <c r="G5" s="9">
        <v>-3900</v>
      </c>
      <c r="H5" s="9"/>
      <c r="I5" s="48">
        <v>0</v>
      </c>
      <c r="J5" s="21">
        <f t="shared" ref="J5:J30" si="2">IF(COUNTA($F5,$K5,$P5)&gt;0,J4+SUM(G5:I5),"")</f>
        <v>31100</v>
      </c>
      <c r="K5" s="8" t="s">
        <v>200</v>
      </c>
      <c r="L5" s="9">
        <v>7800</v>
      </c>
      <c r="M5" s="9"/>
      <c r="N5" s="48">
        <v>0</v>
      </c>
      <c r="O5" s="21">
        <f t="shared" ref="O5:O30" si="3">IF(COUNTA($F5,$K5,$P5)&gt;0,O4+SUM(L5:N5),"")</f>
        <v>45400</v>
      </c>
      <c r="P5" s="8" t="s">
        <v>199</v>
      </c>
      <c r="Q5" s="9">
        <v>-3900</v>
      </c>
      <c r="R5" s="9"/>
      <c r="S5" s="48">
        <v>0</v>
      </c>
      <c r="T5" s="21">
        <f t="shared" ref="T5:T30" si="4">IF(COUNTA($F5,$K5,$P5)&gt;0,T4+SUM(Q5:S5),"")</f>
        <v>28500</v>
      </c>
      <c r="U5" s="53">
        <f>IF($J5="","",ROUND(($J5-$J$3)/1000,1)+(_xlfn.RANK.AVG($J5,($J5,$O5,$T5),1)-2)*10)</f>
        <v>-3.9</v>
      </c>
      <c r="V5" s="54">
        <f>IF($O5="","",ROUND(($O5-$O$3)/1000,1)+(_xlfn.RANK.AVG($O5,($J5,$O5,$T5),1)-2)*10)</f>
        <v>20.399999999999999</v>
      </c>
      <c r="W5" s="55">
        <f>IF($T5="","",ROUND(($T5-$T$3)/1000,1)+(_xlfn.RANK.AVG($T5,($J5,$O5,$T5),1)-2)*10)</f>
        <v>-16.5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201</v>
      </c>
      <c r="BA5" s="41" t="s">
        <v>82</v>
      </c>
      <c r="BB5" s="41" t="s">
        <v>202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199</v>
      </c>
      <c r="G6" s="9">
        <v>-4500</v>
      </c>
      <c r="H6" s="9"/>
      <c r="I6" s="48">
        <v>-500</v>
      </c>
      <c r="J6" s="21">
        <f t="shared" si="2"/>
        <v>26100</v>
      </c>
      <c r="K6" s="8" t="s">
        <v>199</v>
      </c>
      <c r="L6" s="9">
        <v>-7500</v>
      </c>
      <c r="M6" s="9"/>
      <c r="N6" s="48">
        <v>-500</v>
      </c>
      <c r="O6" s="21">
        <f t="shared" si="3"/>
        <v>37400</v>
      </c>
      <c r="P6" s="8" t="s">
        <v>200</v>
      </c>
      <c r="Q6" s="9">
        <v>12000</v>
      </c>
      <c r="R6" s="9"/>
      <c r="S6" s="48">
        <v>1000</v>
      </c>
      <c r="T6" s="21">
        <f t="shared" si="4"/>
        <v>41500</v>
      </c>
      <c r="U6" s="53">
        <f>IF($J6="","",ROUND(($J6-$J$3)/1000,1)+(_xlfn.RANK.AVG($J6,($J6,$O6,$T6),1)-2)*10)</f>
        <v>-18.899999999999999</v>
      </c>
      <c r="V6" s="54">
        <f>IF($O6="","",ROUND(($O6-$O$3)/1000,1)+(_xlfn.RANK.AVG($O6,($J6,$O6,$T6),1)-2)*10)</f>
        <v>2.4</v>
      </c>
      <c r="W6" s="55">
        <f>IF($T6="","",ROUND(($T6-$T$3)/1000,1)+(_xlfn.RANK.AVG($T6,($J6,$O6,$T6),1)-2)*10)</f>
        <v>16.5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7</v>
      </c>
      <c r="BT6" s="30" t="s">
        <v>203</v>
      </c>
      <c r="BU6" s="40" t="s">
        <v>201</v>
      </c>
      <c r="BV6" s="41" t="s">
        <v>82</v>
      </c>
      <c r="BW6" s="41" t="s">
        <v>101</v>
      </c>
      <c r="BX6" s="41" t="s">
        <v>204</v>
      </c>
      <c r="BY6" s="41" t="s">
        <v>80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ぱぱ</v>
      </c>
      <c r="F7" s="8" t="s">
        <v>207</v>
      </c>
      <c r="G7" s="9">
        <v>1500</v>
      </c>
      <c r="H7" s="9">
        <v>-1000</v>
      </c>
      <c r="I7" s="48"/>
      <c r="J7" s="21">
        <f t="shared" si="2"/>
        <v>26600</v>
      </c>
      <c r="K7" s="8" t="s">
        <v>207</v>
      </c>
      <c r="L7" s="9">
        <v>1500</v>
      </c>
      <c r="M7" s="9">
        <v>-1000</v>
      </c>
      <c r="N7" s="48"/>
      <c r="O7" s="21">
        <f t="shared" si="3"/>
        <v>37900</v>
      </c>
      <c r="P7" s="8" t="s">
        <v>207</v>
      </c>
      <c r="Q7" s="9">
        <v>-3000</v>
      </c>
      <c r="R7" s="9"/>
      <c r="S7" s="48"/>
      <c r="T7" s="21">
        <f t="shared" si="4"/>
        <v>38500</v>
      </c>
      <c r="U7" s="53">
        <f>IF($J7="","",ROUND(($J7-$J$3)/1000,1)+(_xlfn.RANK.AVG($J7,($J7,$O7,$T7),1)-2)*10)</f>
        <v>-18.399999999999999</v>
      </c>
      <c r="V7" s="54">
        <f>IF($O7="","",ROUND(($O7-$O$3)/1000,1)+(_xlfn.RANK.AVG($O7,($J7,$O7,$T7),1)-2)*10)</f>
        <v>2.9</v>
      </c>
      <c r="W7" s="55">
        <f>IF($T7="","",ROUND(($T7-$T$3)/1000,1)+(_xlfn.RANK.AVG($T7,($J7,$O7,$T7),1)-2)*10)</f>
        <v>13.5</v>
      </c>
      <c r="Y7" s="8" t="s">
        <v>205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2</v>
      </c>
      <c r="E8" s="4" t="str">
        <f>IF($F$1="","",$F$1)</f>
        <v>れんたろう</v>
      </c>
      <c r="F8" s="8"/>
      <c r="G8" s="9"/>
      <c r="H8" s="9"/>
      <c r="I8" s="48"/>
      <c r="J8" s="21">
        <f t="shared" si="2"/>
        <v>26600</v>
      </c>
      <c r="K8" s="8" t="s">
        <v>197</v>
      </c>
      <c r="L8" s="9">
        <v>2000</v>
      </c>
      <c r="M8" s="9">
        <v>2000</v>
      </c>
      <c r="N8" s="48">
        <v>1000</v>
      </c>
      <c r="O8" s="21">
        <f t="shared" si="3"/>
        <v>42900</v>
      </c>
      <c r="P8" s="8" t="s">
        <v>198</v>
      </c>
      <c r="Q8" s="9">
        <v>-2000</v>
      </c>
      <c r="R8" s="9"/>
      <c r="S8" s="48">
        <v>-1000</v>
      </c>
      <c r="T8" s="21">
        <f t="shared" si="4"/>
        <v>35500</v>
      </c>
      <c r="U8" s="53">
        <f>IF($J8="","",ROUND(($J8-$J$3)/1000,1)+(_xlfn.RANK.AVG($J8,($J8,$O8,$T8),1)-2)*10)</f>
        <v>-18.399999999999999</v>
      </c>
      <c r="V8" s="54">
        <f>IF($O8="","",ROUND(($O8-$O$3)/1000,1)+(_xlfn.RANK.AVG($O8,($J8,$O8,$T8),1)-2)*10)</f>
        <v>17.899999999999999</v>
      </c>
      <c r="W8" s="55">
        <f>IF($T8="","",ROUND(($T8-$T$3)/1000,1)+(_xlfn.RANK.AVG($T8,($J8,$O8,$T8),1)-2)*10)</f>
        <v>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204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197</v>
      </c>
      <c r="G9" s="9">
        <v>12000</v>
      </c>
      <c r="H9" s="9"/>
      <c r="I9" s="48">
        <v>0</v>
      </c>
      <c r="J9" s="21">
        <f t="shared" si="2"/>
        <v>38600</v>
      </c>
      <c r="K9" s="8"/>
      <c r="L9" s="9"/>
      <c r="M9" s="9"/>
      <c r="N9" s="48"/>
      <c r="O9" s="21">
        <f t="shared" si="3"/>
        <v>42900</v>
      </c>
      <c r="P9" s="8" t="s">
        <v>198</v>
      </c>
      <c r="Q9" s="9">
        <v>-12000</v>
      </c>
      <c r="R9" s="9"/>
      <c r="S9" s="48">
        <v>0</v>
      </c>
      <c r="T9" s="21">
        <f t="shared" si="4"/>
        <v>23500</v>
      </c>
      <c r="U9" s="53">
        <f>IF($J9="","",ROUND(($J9-$J$3)/1000,1)+(_xlfn.RANK.AVG($J9,($J9,$O9,$T9),1)-2)*10)</f>
        <v>3.6</v>
      </c>
      <c r="V9" s="54">
        <f>IF($O9="","",ROUND(($O9-$O$3)/1000,1)+(_xlfn.RANK.AVG($O9,($J9,$O9,$T9),1)-2)*10)</f>
        <v>17.899999999999999</v>
      </c>
      <c r="W9" s="55">
        <f>IF($T9="","",ROUND(($T9-$T$3)/1000,1)+(_xlfn.RANK.AVG($T9,($J9,$O9,$T9),1)-2)*10)</f>
        <v>-21.5</v>
      </c>
      <c r="Y9" s="8"/>
      <c r="Z9" s="34"/>
      <c r="AA9" s="26">
        <v>1</v>
      </c>
      <c r="AB9" s="26"/>
      <c r="AC9" s="26">
        <v>6</v>
      </c>
      <c r="AD9" s="30" t="s">
        <v>203</v>
      </c>
      <c r="AE9" s="40" t="s">
        <v>201</v>
      </c>
      <c r="AF9" s="41" t="s">
        <v>79</v>
      </c>
      <c r="AG9" s="41" t="s">
        <v>204</v>
      </c>
      <c r="AH9" s="41" t="s">
        <v>80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ぱぱ</v>
      </c>
      <c r="F10" s="8" t="s">
        <v>200</v>
      </c>
      <c r="G10" s="9">
        <v>7700</v>
      </c>
      <c r="H10" s="9">
        <v>1000</v>
      </c>
      <c r="I10" s="48">
        <v>0</v>
      </c>
      <c r="J10" s="21">
        <f t="shared" si="2"/>
        <v>47300</v>
      </c>
      <c r="K10" s="8" t="s">
        <v>199</v>
      </c>
      <c r="L10" s="9">
        <v>-2900</v>
      </c>
      <c r="M10" s="9"/>
      <c r="N10" s="48">
        <v>0</v>
      </c>
      <c r="O10" s="21">
        <f t="shared" si="3"/>
        <v>40000</v>
      </c>
      <c r="P10" s="8" t="s">
        <v>199</v>
      </c>
      <c r="Q10" s="9">
        <v>-4800</v>
      </c>
      <c r="R10" s="9">
        <v>-1000</v>
      </c>
      <c r="S10" s="48">
        <v>0</v>
      </c>
      <c r="T10" s="21">
        <f t="shared" si="4"/>
        <v>17700</v>
      </c>
      <c r="U10" s="53">
        <f>IF($J10="","",ROUND(($J10-$J$3)/1000,1)+(_xlfn.RANK.AVG($J10,($J10,$O10,$T10),1)-2)*10)</f>
        <v>22.3</v>
      </c>
      <c r="V10" s="54">
        <f>IF($O10="","",ROUND(($O10-$O$3)/1000,1)+(_xlfn.RANK.AVG($O10,($J10,$O10,$T10),1)-2)*10)</f>
        <v>5</v>
      </c>
      <c r="W10" s="55">
        <f>IF($T10="","",ROUND(($T10-$T$3)/1000,1)+(_xlfn.RANK.AVG($T10,($J10,$O10,$T10),1)-2)*10)</f>
        <v>-27.3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86</v>
      </c>
      <c r="AF10" s="41" t="s">
        <v>104</v>
      </c>
      <c r="AG10" s="41" t="s">
        <v>204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A40B61E-42D7-4814-A385-47D7BCCB207A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1837D-E90B-4333-AB6D-952DDF916FC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203</v>
      </c>
      <c r="AZ4" s="40" t="s">
        <v>201</v>
      </c>
      <c r="BA4" s="41" t="s">
        <v>202</v>
      </c>
      <c r="BB4" s="41" t="s">
        <v>104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199</v>
      </c>
      <c r="G5" s="9">
        <v>-1500</v>
      </c>
      <c r="H5" s="9"/>
      <c r="I5" s="48">
        <v>0</v>
      </c>
      <c r="J5" s="21">
        <f t="shared" ref="J5:J30" si="2">IF(COUNTA($F5,$K5,$P5)&gt;0,J4+SUM(G5:I5),"")</f>
        <v>25500</v>
      </c>
      <c r="K5" s="8" t="s">
        <v>200</v>
      </c>
      <c r="L5" s="9">
        <v>3000</v>
      </c>
      <c r="M5" s="9"/>
      <c r="N5" s="48">
        <v>0</v>
      </c>
      <c r="O5" s="21">
        <f t="shared" ref="O5:O30" si="3">IF(COUNTA($F5,$K5,$P5)&gt;0,O4+SUM(L5:N5),"")</f>
        <v>46000</v>
      </c>
      <c r="P5" s="8" t="s">
        <v>199</v>
      </c>
      <c r="Q5" s="9">
        <v>-1500</v>
      </c>
      <c r="R5" s="9"/>
      <c r="S5" s="48">
        <v>0</v>
      </c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-19.5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30</v>
      </c>
      <c r="AZ5" s="40" t="s">
        <v>82</v>
      </c>
      <c r="BA5" s="41" t="s">
        <v>204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25500</v>
      </c>
      <c r="K6" s="8" t="s">
        <v>197</v>
      </c>
      <c r="L6" s="9">
        <v>7700</v>
      </c>
      <c r="M6" s="9">
        <v>1000</v>
      </c>
      <c r="N6" s="48">
        <v>1000</v>
      </c>
      <c r="O6" s="21">
        <f t="shared" si="3"/>
        <v>55700</v>
      </c>
      <c r="P6" s="8" t="s">
        <v>198</v>
      </c>
      <c r="Q6" s="9">
        <v>-7700</v>
      </c>
      <c r="R6" s="9">
        <v>-1000</v>
      </c>
      <c r="S6" s="48">
        <v>-1000</v>
      </c>
      <c r="T6" s="21">
        <f t="shared" si="4"/>
        <v>23800</v>
      </c>
      <c r="U6" s="53">
        <f>IF($J6="","",ROUND(($J6-$J$3)/1000,1)+(_xlfn.RANK.AVG($J6,($J6,$O6,$T6),1)-2)*10)</f>
        <v>-9.5</v>
      </c>
      <c r="V6" s="54">
        <f>IF($O6="","",ROUND(($O6-$O$3)/1000,1)+(_xlfn.RANK.AVG($O6,($J6,$O6,$T6),1)-2)*10)</f>
        <v>30.7</v>
      </c>
      <c r="W6" s="55">
        <f>IF($T6="","",ROUND(($T6-$T$3)/1000,1)+(_xlfn.RANK.AVG($T6,($J6,$O6,$T6),1)-2)*10)</f>
        <v>-21.2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201</v>
      </c>
      <c r="BA6" s="41" t="s">
        <v>204</v>
      </c>
      <c r="BB6" s="41" t="s">
        <v>80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 t="s">
        <v>208</v>
      </c>
      <c r="G7" s="9">
        <v>-1500</v>
      </c>
      <c r="H7" s="9"/>
      <c r="I7" s="48"/>
      <c r="J7" s="21">
        <f t="shared" si="2"/>
        <v>24000</v>
      </c>
      <c r="K7" s="8" t="s">
        <v>208</v>
      </c>
      <c r="L7" s="9">
        <v>3000</v>
      </c>
      <c r="M7" s="9"/>
      <c r="N7" s="48"/>
      <c r="O7" s="21">
        <f t="shared" si="3"/>
        <v>58700</v>
      </c>
      <c r="P7" s="8" t="s">
        <v>208</v>
      </c>
      <c r="Q7" s="9">
        <v>-1500</v>
      </c>
      <c r="R7" s="9"/>
      <c r="S7" s="48"/>
      <c r="T7" s="21">
        <f t="shared" si="4"/>
        <v>22300</v>
      </c>
      <c r="U7" s="53">
        <f>IF($J7="","",ROUND(($J7-$J$3)/1000,1)+(_xlfn.RANK.AVG($J7,($J7,$O7,$T7),1)-2)*10)</f>
        <v>-11</v>
      </c>
      <c r="V7" s="54">
        <f>IF($O7="","",ROUND(($O7-$O$3)/1000,1)+(_xlfn.RANK.AVG($O7,($J7,$O7,$T7),1)-2)*10)</f>
        <v>33.700000000000003</v>
      </c>
      <c r="W7" s="55">
        <f>IF($T7="","",ROUND(($T7-$T$3)/1000,1)+(_xlfn.RANK.AVG($T7,($J7,$O7,$T7),1)-2)*10)</f>
        <v>-22.7</v>
      </c>
      <c r="Y7" s="8" t="s">
        <v>206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だいち</v>
      </c>
      <c r="F8" s="8" t="s">
        <v>200</v>
      </c>
      <c r="G8" s="9">
        <v>12000</v>
      </c>
      <c r="H8" s="9"/>
      <c r="I8" s="48">
        <v>3000</v>
      </c>
      <c r="J8" s="21">
        <f t="shared" si="2"/>
        <v>39000</v>
      </c>
      <c r="K8" s="8" t="s">
        <v>199</v>
      </c>
      <c r="L8" s="9">
        <v>-7500</v>
      </c>
      <c r="M8" s="9"/>
      <c r="N8" s="48">
        <v>-1500</v>
      </c>
      <c r="O8" s="21">
        <f t="shared" si="3"/>
        <v>49700</v>
      </c>
      <c r="P8" s="8" t="s">
        <v>199</v>
      </c>
      <c r="Q8" s="9">
        <v>-4500</v>
      </c>
      <c r="R8" s="9"/>
      <c r="S8" s="48">
        <v>-1500</v>
      </c>
      <c r="T8" s="21">
        <f t="shared" si="4"/>
        <v>16300</v>
      </c>
      <c r="U8" s="53">
        <f>IF($J8="","",ROUND(($J8-$J$3)/1000,1)+(_xlfn.RANK.AVG($J8,($J8,$O8,$T8),1)-2)*10)</f>
        <v>4</v>
      </c>
      <c r="V8" s="54">
        <f>IF($O8="","",ROUND(($O8-$O$3)/1000,1)+(_xlfn.RANK.AVG($O8,($J8,$O8,$T8),1)-2)*10)</f>
        <v>24.7</v>
      </c>
      <c r="W8" s="55">
        <f>IF($T8="","",ROUND(($T8-$T$3)/1000,1)+(_xlfn.RANK.AVG($T8,($J8,$O8,$T8),1)-2)*10)</f>
        <v>-28.7</v>
      </c>
      <c r="Y8" s="8"/>
      <c r="Z8" s="34"/>
      <c r="AA8" s="26">
        <v>1</v>
      </c>
      <c r="AB8" s="26"/>
      <c r="AC8" s="26">
        <v>6</v>
      </c>
      <c r="AD8" s="30" t="s">
        <v>203</v>
      </c>
      <c r="AE8" s="40" t="s">
        <v>201</v>
      </c>
      <c r="AF8" s="41" t="s">
        <v>82</v>
      </c>
      <c r="AG8" s="41" t="s">
        <v>202</v>
      </c>
      <c r="AH8" s="41" t="s">
        <v>86</v>
      </c>
      <c r="AI8" s="41" t="s">
        <v>93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199</v>
      </c>
      <c r="G9" s="9">
        <v>-800</v>
      </c>
      <c r="H9" s="9"/>
      <c r="I9" s="48">
        <v>0</v>
      </c>
      <c r="J9" s="21">
        <f t="shared" si="2"/>
        <v>38200</v>
      </c>
      <c r="K9" s="8" t="s">
        <v>200</v>
      </c>
      <c r="L9" s="9">
        <v>2100</v>
      </c>
      <c r="M9" s="9"/>
      <c r="N9" s="48">
        <v>0</v>
      </c>
      <c r="O9" s="21">
        <f t="shared" si="3"/>
        <v>51800</v>
      </c>
      <c r="P9" s="8" t="s">
        <v>199</v>
      </c>
      <c r="Q9" s="9">
        <v>-1300</v>
      </c>
      <c r="R9" s="9"/>
      <c r="S9" s="48">
        <v>0</v>
      </c>
      <c r="T9" s="21">
        <f t="shared" si="4"/>
        <v>15000</v>
      </c>
      <c r="U9" s="53">
        <f>IF($J9="","",ROUND(($J9-$J$3)/1000,1)+(_xlfn.RANK.AVG($J9,($J9,$O9,$T9),1)-2)*10)</f>
        <v>3.2</v>
      </c>
      <c r="V9" s="54">
        <f>IF($O9="","",ROUND(($O9-$O$3)/1000,1)+(_xlfn.RANK.AVG($O9,($J9,$O9,$T9),1)-2)*10)</f>
        <v>26.8</v>
      </c>
      <c r="W9" s="55">
        <f>IF($T9="","",ROUND(($T9-$T$3)/1000,1)+(_xlfn.RANK.AVG($T9,($J9,$O9,$T9),1)-2)*10)</f>
        <v>-30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204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ぱぱ</v>
      </c>
      <c r="F10" s="8" t="s">
        <v>199</v>
      </c>
      <c r="G10" s="9">
        <v>-5000</v>
      </c>
      <c r="H10" s="9"/>
      <c r="I10" s="48">
        <v>0</v>
      </c>
      <c r="J10" s="21">
        <f t="shared" si="2"/>
        <v>33200</v>
      </c>
      <c r="K10" s="8" t="s">
        <v>199</v>
      </c>
      <c r="L10" s="9">
        <v>-3000</v>
      </c>
      <c r="M10" s="9"/>
      <c r="N10" s="48">
        <v>0</v>
      </c>
      <c r="O10" s="21">
        <f t="shared" si="3"/>
        <v>48800</v>
      </c>
      <c r="P10" s="8" t="s">
        <v>200</v>
      </c>
      <c r="Q10" s="9">
        <v>8000</v>
      </c>
      <c r="R10" s="9"/>
      <c r="S10" s="48">
        <v>0</v>
      </c>
      <c r="T10" s="21">
        <f t="shared" si="4"/>
        <v>23000</v>
      </c>
      <c r="U10" s="53">
        <f>IF($J10="","",ROUND(($J10-$J$3)/1000,1)+(_xlfn.RANK.AVG($J10,($J10,$O10,$T10),1)-2)*10)</f>
        <v>-1.8</v>
      </c>
      <c r="V10" s="54">
        <f>IF($O10="","",ROUND(($O10-$O$3)/1000,1)+(_xlfn.RANK.AVG($O10,($J10,$O10,$T10),1)-2)*10)</f>
        <v>23.8</v>
      </c>
      <c r="W10" s="55">
        <f>IF($T10="","",ROUND(($T10-$T$3)/1000,1)+(_xlfn.RANK.AVG($T10,($J10,$O10,$T10),1)-2)*10)</f>
        <v>-22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203</v>
      </c>
      <c r="BU10" s="40" t="s">
        <v>201</v>
      </c>
      <c r="BV10" s="41" t="s">
        <v>82</v>
      </c>
      <c r="BW10" s="41" t="s">
        <v>86</v>
      </c>
      <c r="BX10" s="41" t="s">
        <v>202</v>
      </c>
      <c r="BY10" s="41" t="s">
        <v>204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209</v>
      </c>
      <c r="G11" s="9">
        <v>-8000</v>
      </c>
      <c r="H11" s="9">
        <v>-1000</v>
      </c>
      <c r="I11" s="48"/>
      <c r="J11" s="21">
        <f t="shared" si="2"/>
        <v>24200</v>
      </c>
      <c r="K11" s="8" t="s">
        <v>209</v>
      </c>
      <c r="L11" s="9">
        <v>5000</v>
      </c>
      <c r="M11" s="9"/>
      <c r="N11" s="48"/>
      <c r="O11" s="21">
        <f t="shared" si="3"/>
        <v>53800</v>
      </c>
      <c r="P11" s="8" t="s">
        <v>209</v>
      </c>
      <c r="Q11" s="9">
        <v>3000</v>
      </c>
      <c r="R11" s="9"/>
      <c r="S11" s="48"/>
      <c r="T11" s="21">
        <f t="shared" si="4"/>
        <v>26000</v>
      </c>
      <c r="U11" s="53">
        <f>IF($J11="","",ROUND(($J11-$J$3)/1000,1)+(_xlfn.RANK.AVG($J11,($J11,$O11,$T11),1)-2)*10)</f>
        <v>-20.8</v>
      </c>
      <c r="V11" s="54">
        <f>IF($O11="","",ROUND(($O11-$O$3)/1000,1)+(_xlfn.RANK.AVG($O11,($J11,$O11,$T11),1)-2)*10)</f>
        <v>28.8</v>
      </c>
      <c r="W11" s="55">
        <f>IF($T11="","",ROUND(($T11-$T$3)/1000,1)+(_xlfn.RANK.AVG($T11,($J11,$O11,$T11),1)-2)*10)</f>
        <v>-9</v>
      </c>
      <c r="Y11" s="8"/>
      <c r="Z11" s="34">
        <v>1</v>
      </c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1</v>
      </c>
      <c r="E12" s="4" t="str">
        <f>IF($K$1="","",$K$1)</f>
        <v>だいち</v>
      </c>
      <c r="F12" s="8" t="s">
        <v>200</v>
      </c>
      <c r="G12" s="9">
        <v>2100</v>
      </c>
      <c r="H12" s="9">
        <v>1000</v>
      </c>
      <c r="I12" s="48">
        <v>0</v>
      </c>
      <c r="J12" s="21">
        <f t="shared" si="2"/>
        <v>27300</v>
      </c>
      <c r="K12" s="8" t="s">
        <v>199</v>
      </c>
      <c r="L12" s="9">
        <v>-1300</v>
      </c>
      <c r="M12" s="9"/>
      <c r="N12" s="48">
        <v>0</v>
      </c>
      <c r="O12" s="21">
        <f t="shared" si="3"/>
        <v>52500</v>
      </c>
      <c r="P12" s="8" t="s">
        <v>199</v>
      </c>
      <c r="Q12" s="9">
        <v>-800</v>
      </c>
      <c r="R12" s="9"/>
      <c r="S12" s="48">
        <v>0</v>
      </c>
      <c r="T12" s="21">
        <f t="shared" si="4"/>
        <v>25200</v>
      </c>
      <c r="U12" s="53">
        <f>IF($J12="","",ROUND(($J12-$J$3)/1000,1)+(_xlfn.RANK.AVG($J12,($J12,$O12,$T12),1)-2)*10)</f>
        <v>-7.7</v>
      </c>
      <c r="V12" s="54">
        <f>IF($O12="","",ROUND(($O12-$O$3)/1000,1)+(_xlfn.RANK.AVG($O12,($J12,$O12,$T12),1)-2)*10)</f>
        <v>27.5</v>
      </c>
      <c r="W12" s="55">
        <f>IF($T12="","",ROUND(($T12-$T$3)/1000,1)+(_xlfn.RANK.AVG($T12,($J12,$O12,$T12),1)-2)*10)</f>
        <v>-19.8</v>
      </c>
      <c r="Y12" s="8"/>
      <c r="Z12" s="34"/>
      <c r="AA12" s="26">
        <v>1</v>
      </c>
      <c r="AB12" s="26"/>
      <c r="AC12" s="26">
        <v>2</v>
      </c>
      <c r="AD12" s="30">
        <v>30</v>
      </c>
      <c r="AE12" s="40" t="s">
        <v>201</v>
      </c>
      <c r="AF12" s="41" t="s">
        <v>82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 t="s">
        <v>199</v>
      </c>
      <c r="G13" s="9">
        <v>-800</v>
      </c>
      <c r="H13" s="9">
        <v>-1000</v>
      </c>
      <c r="I13" s="48">
        <v>0</v>
      </c>
      <c r="J13" s="21">
        <f t="shared" si="2"/>
        <v>25500</v>
      </c>
      <c r="K13" s="8" t="s">
        <v>200</v>
      </c>
      <c r="L13" s="9">
        <v>2100</v>
      </c>
      <c r="M13" s="9">
        <v>2000</v>
      </c>
      <c r="N13" s="48">
        <v>0</v>
      </c>
      <c r="O13" s="21">
        <f t="shared" si="3"/>
        <v>56600</v>
      </c>
      <c r="P13" s="8" t="s">
        <v>199</v>
      </c>
      <c r="Q13" s="9">
        <v>-1300</v>
      </c>
      <c r="R13" s="9">
        <v>-1000</v>
      </c>
      <c r="S13" s="48">
        <v>0</v>
      </c>
      <c r="T13" s="21">
        <f t="shared" si="4"/>
        <v>22900</v>
      </c>
      <c r="U13" s="53">
        <f>IF($J13="","",ROUND(($J13-$J$3)/1000,1)+(_xlfn.RANK.AVG($J13,($J13,$O13,$T13),1)-2)*10)</f>
        <v>-9.5</v>
      </c>
      <c r="V13" s="54">
        <f>IF($O13="","",ROUND(($O13-$O$3)/1000,1)+(_xlfn.RANK.AVG($O13,($J13,$O13,$T13),1)-2)*10)</f>
        <v>31.6</v>
      </c>
      <c r="W13" s="55">
        <f>IF($T13="","",ROUND(($T13-$T$3)/1000,1)+(_xlfn.RANK.AVG($T13,($J13,$O13,$T13),1)-2)*10)</f>
        <v>-22.1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2</v>
      </c>
      <c r="AY13" s="30">
        <v>30</v>
      </c>
      <c r="AZ13" s="40" t="s">
        <v>82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showInputMessage="1" showErrorMessage="1" sqref="K4:K30 P4:P30 F4:F30" xr:uid="{CDCE3781-94F0-42D8-BEBD-9C8E158D708B}">
      <formula1>"ロン,ツモ,放銃,ツモ支払,流局,チョンボ"</formula1>
    </dataValidation>
    <dataValidation type="list" allowBlank="1" showInputMessage="1" showErrorMessage="1" sqref="E4:E30" xr:uid="{C4FECBCE-2D01-4B36-88FD-5371DDD1E266}">
      <formula1>$U$2:$W$2</formula1>
    </dataValidation>
    <dataValidation type="list" allowBlank="1" showInputMessage="1" sqref="F1:T1" xr:uid="{BE4F83C8-4E80-4734-AA4A-652594155D1C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3630-6CA6-41E4-B736-4578D65A382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ぱぱ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208</v>
      </c>
      <c r="G4" s="9">
        <v>3000</v>
      </c>
      <c r="H4" s="9"/>
      <c r="I4" s="48"/>
      <c r="J4" s="21">
        <f>IF(COUNTA($F4,$K4,$P4)&gt;0,J3+SUM(G4:I4),"")</f>
        <v>38000</v>
      </c>
      <c r="K4" s="8" t="s">
        <v>208</v>
      </c>
      <c r="L4" s="9">
        <v>-1500</v>
      </c>
      <c r="M4" s="9"/>
      <c r="N4" s="48"/>
      <c r="O4" s="21">
        <f>IF(COUNTA($F4,$K4,$P4)&gt;0,O3+SUM(L4:N4),"")</f>
        <v>33500</v>
      </c>
      <c r="P4" s="8" t="s">
        <v>208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205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198</v>
      </c>
      <c r="G5" s="9">
        <v>-1000</v>
      </c>
      <c r="H5" s="9"/>
      <c r="I5" s="48">
        <v>-1000</v>
      </c>
      <c r="J5" s="21">
        <f t="shared" ref="J5:J30" si="2">IF(COUNTA($F5,$K5,$P5)&gt;0,J4+SUM(G5:I5),"")</f>
        <v>36000</v>
      </c>
      <c r="K5" s="8" t="s">
        <v>197</v>
      </c>
      <c r="L5" s="9">
        <v>1000</v>
      </c>
      <c r="M5" s="9"/>
      <c r="N5" s="48">
        <v>1000</v>
      </c>
      <c r="O5" s="21">
        <f t="shared" ref="O5:O30" si="3">IF(COUNTA($F5,$K5,$P5)&gt;0,O4+SUM(L5:N5),"")</f>
        <v>35500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11</v>
      </c>
      <c r="V5" s="54">
        <f>IF($O5="","",ROUND(($O5-$O$3)/1000,1)+(_xlfn.RANK.AVG($O5,($J5,$O5,$T5),1)-2)*10)</f>
        <v>0.5</v>
      </c>
      <c r="W5" s="55">
        <f>IF($T5="","",ROUND(($T5-$T$3)/1000,1)+(_xlfn.RANK.AVG($T5,($J5,$O5,$T5),1)-2)*10)</f>
        <v>-11.5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</v>
      </c>
      <c r="AY5" s="30">
        <v>30</v>
      </c>
      <c r="AZ5" s="40" t="s">
        <v>83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ぱぱ</v>
      </c>
      <c r="F6" s="8" t="s">
        <v>198</v>
      </c>
      <c r="G6" s="9">
        <v>-2000</v>
      </c>
      <c r="H6" s="9"/>
      <c r="I6" s="48">
        <v>0</v>
      </c>
      <c r="J6" s="21">
        <f t="shared" si="2"/>
        <v>34000</v>
      </c>
      <c r="K6" s="8" t="s">
        <v>197</v>
      </c>
      <c r="L6" s="9">
        <v>2000</v>
      </c>
      <c r="M6" s="9"/>
      <c r="N6" s="48">
        <v>0</v>
      </c>
      <c r="O6" s="21">
        <f t="shared" si="3"/>
        <v>37500</v>
      </c>
      <c r="P6" s="8"/>
      <c r="Q6" s="9"/>
      <c r="R6" s="9"/>
      <c r="S6" s="48"/>
      <c r="T6" s="21">
        <f t="shared" si="4"/>
        <v>33500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12.5</v>
      </c>
      <c r="W6" s="55">
        <f>IF($T6="","",ROUND(($T6-$T$3)/1000,1)+(_xlfn.RANK.AVG($T6,($J6,$O6,$T6),1)-2)*10)</f>
        <v>-11.5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</v>
      </c>
      <c r="AY6" s="30">
        <v>40</v>
      </c>
      <c r="AZ6" s="40" t="s">
        <v>201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ぱぱ</v>
      </c>
      <c r="F7" s="8" t="s">
        <v>208</v>
      </c>
      <c r="G7" s="9">
        <v>-3000</v>
      </c>
      <c r="H7" s="9"/>
      <c r="I7" s="48"/>
      <c r="J7" s="21">
        <f t="shared" si="2"/>
        <v>31000</v>
      </c>
      <c r="K7" s="8" t="s">
        <v>208</v>
      </c>
      <c r="L7" s="9">
        <v>1500</v>
      </c>
      <c r="M7" s="9"/>
      <c r="N7" s="48"/>
      <c r="O7" s="21">
        <f t="shared" si="3"/>
        <v>39000</v>
      </c>
      <c r="P7" s="8" t="s">
        <v>208</v>
      </c>
      <c r="Q7" s="9">
        <v>1500</v>
      </c>
      <c r="R7" s="9">
        <v>-1000</v>
      </c>
      <c r="S7" s="48"/>
      <c r="T7" s="21">
        <f t="shared" si="4"/>
        <v>34000</v>
      </c>
      <c r="U7" s="53">
        <f>IF($J7="","",ROUND(($J7-$J$3)/1000,1)+(_xlfn.RANK.AVG($J7,($J7,$O7,$T7),1)-2)*10)</f>
        <v>-14</v>
      </c>
      <c r="V7" s="54">
        <f>IF($O7="","",ROUND(($O7-$O$3)/1000,1)+(_xlfn.RANK.AVG($O7,($J7,$O7,$T7),1)-2)*10)</f>
        <v>14</v>
      </c>
      <c r="W7" s="55">
        <f>IF($T7="","",ROUND(($T7-$T$3)/1000,1)+(_xlfn.RANK.AVG($T7,($J7,$O7,$T7),1)-2)*10)</f>
        <v>-1</v>
      </c>
      <c r="Y7" s="8" t="s">
        <v>206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1</v>
      </c>
      <c r="E8" s="4" t="str">
        <f>IF($K$1="","",$K$1)</f>
        <v>ぱぱ</v>
      </c>
      <c r="F8" s="8" t="s">
        <v>199</v>
      </c>
      <c r="G8" s="9">
        <v>-3000</v>
      </c>
      <c r="H8" s="9"/>
      <c r="I8" s="48">
        <v>-1000</v>
      </c>
      <c r="J8" s="21">
        <f t="shared" si="2"/>
        <v>27000</v>
      </c>
      <c r="K8" s="8" t="s">
        <v>200</v>
      </c>
      <c r="L8" s="9">
        <v>6000</v>
      </c>
      <c r="M8" s="9">
        <v>1000</v>
      </c>
      <c r="N8" s="48">
        <v>2000</v>
      </c>
      <c r="O8" s="21">
        <f t="shared" si="3"/>
        <v>48000</v>
      </c>
      <c r="P8" s="8" t="s">
        <v>199</v>
      </c>
      <c r="Q8" s="9">
        <v>-3000</v>
      </c>
      <c r="R8" s="9"/>
      <c r="S8" s="48">
        <v>-1000</v>
      </c>
      <c r="T8" s="21">
        <f t="shared" si="4"/>
        <v>30000</v>
      </c>
      <c r="U8" s="53">
        <f>IF($J8="","",ROUND(($J8-$J$3)/1000,1)+(_xlfn.RANK.AVG($J8,($J8,$O8,$T8),1)-2)*10)</f>
        <v>-18</v>
      </c>
      <c r="V8" s="54">
        <f>IF($O8="","",ROUND(($O8-$O$3)/1000,1)+(_xlfn.RANK.AVG($O8,($J8,$O8,$T8),1)-2)*10)</f>
        <v>23</v>
      </c>
      <c r="W8" s="55">
        <f>IF($T8="","",ROUND(($T8-$T$3)/1000,1)+(_xlfn.RANK.AVG($T8,($J8,$O8,$T8),1)-2)*10)</f>
        <v>-5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82</v>
      </c>
      <c r="BA8" s="41" t="s">
        <v>204</v>
      </c>
      <c r="BB8" s="41" t="s">
        <v>204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tr">
        <f>IF($K$1="","",$K$1)</f>
        <v>ぱぱ</v>
      </c>
      <c r="F9" s="8" t="s">
        <v>199</v>
      </c>
      <c r="G9" s="9">
        <v>-6000</v>
      </c>
      <c r="H9" s="9">
        <v>-2000</v>
      </c>
      <c r="I9" s="48">
        <v>-1500</v>
      </c>
      <c r="J9" s="21">
        <f t="shared" si="2"/>
        <v>17500</v>
      </c>
      <c r="K9" s="8" t="s">
        <v>199</v>
      </c>
      <c r="L9" s="9">
        <v>-10000</v>
      </c>
      <c r="M9" s="9"/>
      <c r="N9" s="48">
        <v>-1500</v>
      </c>
      <c r="O9" s="21">
        <f t="shared" si="3"/>
        <v>36500</v>
      </c>
      <c r="P9" s="8" t="s">
        <v>200</v>
      </c>
      <c r="Q9" s="9">
        <v>16000</v>
      </c>
      <c r="R9" s="9">
        <v>2000</v>
      </c>
      <c r="S9" s="48">
        <v>3000</v>
      </c>
      <c r="T9" s="21">
        <f t="shared" si="4"/>
        <v>51000</v>
      </c>
      <c r="U9" s="53">
        <f>IF($J9="","",ROUND(($J9-$J$3)/1000,1)+(_xlfn.RANK.AVG($J9,($J9,$O9,$T9),1)-2)*10)</f>
        <v>-27.5</v>
      </c>
      <c r="V9" s="54">
        <f>IF($O9="","",ROUND(($O9-$O$3)/1000,1)+(_xlfn.RANK.AVG($O9,($J9,$O9,$T9),1)-2)*10)</f>
        <v>1.5</v>
      </c>
      <c r="W9" s="55">
        <f>IF($T9="","",ROUND(($T9-$T$3)/1000,1)+(_xlfn.RANK.AVG($T9,($J9,$O9,$T9),1)-2)*10)</f>
        <v>26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203</v>
      </c>
      <c r="BU9" s="40" t="s">
        <v>201</v>
      </c>
      <c r="BV9" s="41" t="s">
        <v>82</v>
      </c>
      <c r="BW9" s="41" t="s">
        <v>83</v>
      </c>
      <c r="BX9" s="41" t="s">
        <v>79</v>
      </c>
      <c r="BY9" s="41" t="s">
        <v>79</v>
      </c>
      <c r="BZ9" s="41" t="s">
        <v>80</v>
      </c>
      <c r="CA9" s="41" t="s">
        <v>92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/>
      <c r="G10" s="9"/>
      <c r="H10" s="9"/>
      <c r="I10" s="48"/>
      <c r="J10" s="21">
        <f t="shared" si="2"/>
        <v>17500</v>
      </c>
      <c r="K10" s="8" t="s">
        <v>198</v>
      </c>
      <c r="L10" s="9">
        <v>-18000</v>
      </c>
      <c r="M10" s="9"/>
      <c r="N10" s="48">
        <v>0</v>
      </c>
      <c r="O10" s="21">
        <f t="shared" si="3"/>
        <v>18500</v>
      </c>
      <c r="P10" s="8" t="s">
        <v>197</v>
      </c>
      <c r="Q10" s="9">
        <v>18000</v>
      </c>
      <c r="R10" s="9"/>
      <c r="S10" s="48">
        <v>0</v>
      </c>
      <c r="T10" s="21">
        <f t="shared" si="4"/>
        <v>69000</v>
      </c>
      <c r="U10" s="53">
        <f>IF($J10="","",ROUND(($J10-$J$3)/1000,1)+(_xlfn.RANK.AVG($J10,($J10,$O10,$T10),1)-2)*10)</f>
        <v>-27.5</v>
      </c>
      <c r="V10" s="54">
        <f>IF($O10="","",ROUND(($O10-$O$3)/1000,1)+(_xlfn.RANK.AVG($O10,($J10,$O10,$T10),1)-2)*10)</f>
        <v>-16.5</v>
      </c>
      <c r="W10" s="55">
        <f>IF($T10="","",ROUND(($T10-$T$3)/1000,1)+(_xlfn.RANK.AVG($T10,($J10,$O10,$T10),1)-2)*10)</f>
        <v>44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203</v>
      </c>
      <c r="BU10" s="40" t="s">
        <v>104</v>
      </c>
      <c r="BV10" s="41" t="s">
        <v>204</v>
      </c>
      <c r="BW10" s="41" t="s">
        <v>79</v>
      </c>
      <c r="BX10" s="41" t="s">
        <v>79</v>
      </c>
      <c r="BY10" s="41" t="s">
        <v>79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だいち</v>
      </c>
      <c r="F11" s="8" t="s">
        <v>198</v>
      </c>
      <c r="G11" s="9">
        <v>-12000</v>
      </c>
      <c r="H11" s="9"/>
      <c r="I11" s="48">
        <v>-1000</v>
      </c>
      <c r="J11" s="21">
        <f t="shared" si="2"/>
        <v>4500</v>
      </c>
      <c r="K11" s="8"/>
      <c r="L11" s="9"/>
      <c r="M11" s="9"/>
      <c r="N11" s="48"/>
      <c r="O11" s="21">
        <f t="shared" si="3"/>
        <v>18500</v>
      </c>
      <c r="P11" s="8" t="s">
        <v>197</v>
      </c>
      <c r="Q11" s="9">
        <v>12000</v>
      </c>
      <c r="R11" s="9"/>
      <c r="S11" s="48">
        <v>1000</v>
      </c>
      <c r="T11" s="21">
        <f t="shared" si="4"/>
        <v>82000</v>
      </c>
      <c r="U11" s="53">
        <f>IF($J11="","",ROUND(($J11-$J$3)/1000,1)+(_xlfn.RANK.AVG($J11,($J11,$O11,$T11),1)-2)*10)</f>
        <v>-40.5</v>
      </c>
      <c r="V11" s="54">
        <f>IF($O11="","",ROUND(($O11-$O$3)/1000,1)+(_xlfn.RANK.AVG($O11,($J11,$O11,$T11),1)-2)*10)</f>
        <v>-16.5</v>
      </c>
      <c r="W11" s="55">
        <f>IF($T11="","",ROUND(($T11-$T$3)/1000,1)+(_xlfn.RANK.AVG($T11,($J11,$O11,$T11),1)-2)*10)</f>
        <v>57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203</v>
      </c>
      <c r="BU11" s="40" t="s">
        <v>201</v>
      </c>
      <c r="BV11" s="41" t="s">
        <v>202</v>
      </c>
      <c r="BW11" s="41" t="s">
        <v>83</v>
      </c>
      <c r="BX11" s="41" t="s">
        <v>79</v>
      </c>
      <c r="BY11" s="41" t="s">
        <v>204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tr">
        <f>IF($P$1="","",$P$1)</f>
        <v>だいち</v>
      </c>
      <c r="F12" s="8" t="s">
        <v>208</v>
      </c>
      <c r="G12" s="9">
        <v>0</v>
      </c>
      <c r="H12" s="9">
        <v>-1000</v>
      </c>
      <c r="I12" s="48"/>
      <c r="J12" s="21">
        <f t="shared" si="2"/>
        <v>3500</v>
      </c>
      <c r="K12" s="8" t="s">
        <v>208</v>
      </c>
      <c r="L12" s="9">
        <v>0</v>
      </c>
      <c r="M12" s="9">
        <v>-1000</v>
      </c>
      <c r="N12" s="48"/>
      <c r="O12" s="21">
        <f t="shared" si="3"/>
        <v>17500</v>
      </c>
      <c r="P12" s="8" t="s">
        <v>208</v>
      </c>
      <c r="Q12" s="9">
        <v>0</v>
      </c>
      <c r="R12" s="9"/>
      <c r="S12" s="48"/>
      <c r="T12" s="21">
        <f t="shared" si="4"/>
        <v>82000</v>
      </c>
      <c r="U12" s="53">
        <f>IF($J12="","",ROUND(($J12-$J$3)/1000,1)+(_xlfn.RANK.AVG($J12,($J12,$O12,$T12),1)-2)*10)</f>
        <v>-41.5</v>
      </c>
      <c r="V12" s="54">
        <f>IF($O12="","",ROUND(($O12-$O$3)/1000,1)+(_xlfn.RANK.AVG($O12,($J12,$O12,$T12),1)-2)*10)</f>
        <v>-17.5</v>
      </c>
      <c r="W12" s="55">
        <f>IF($T12="","",ROUND(($T12-$T$3)/1000,1)+(_xlfn.RANK.AVG($T12,($J12,$O12,$T12),1)-2)*10)</f>
        <v>57</v>
      </c>
      <c r="Y12" s="8" t="s">
        <v>205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東</v>
      </c>
      <c r="B13" s="18">
        <f t="shared" si="5"/>
        <v>3</v>
      </c>
      <c r="C13" s="18">
        <f t="shared" si="6"/>
        <v>3</v>
      </c>
      <c r="D13" s="18">
        <f t="shared" si="1"/>
        <v>2</v>
      </c>
      <c r="E13" s="4" t="str">
        <f>IF($P$1="","",$P$1)</f>
        <v>だいち</v>
      </c>
      <c r="F13" s="8" t="s">
        <v>197</v>
      </c>
      <c r="G13" s="9">
        <v>8000</v>
      </c>
      <c r="H13" s="9">
        <v>2000</v>
      </c>
      <c r="I13" s="48">
        <v>3000</v>
      </c>
      <c r="J13" s="21">
        <f t="shared" si="2"/>
        <v>16500</v>
      </c>
      <c r="K13" s="8" t="s">
        <v>198</v>
      </c>
      <c r="L13" s="9">
        <v>-8000</v>
      </c>
      <c r="M13" s="9"/>
      <c r="N13" s="48">
        <v>-3000</v>
      </c>
      <c r="O13" s="21">
        <f t="shared" si="3"/>
        <v>6500</v>
      </c>
      <c r="P13" s="8"/>
      <c r="Q13" s="9"/>
      <c r="R13" s="9"/>
      <c r="S13" s="48"/>
      <c r="T13" s="21">
        <f t="shared" si="4"/>
        <v>82000</v>
      </c>
      <c r="U13" s="53">
        <f>IF($J13="","",ROUND(($J13-$J$3)/1000,1)+(_xlfn.RANK.AVG($J13,($J13,$O13,$T13),1)-2)*10)</f>
        <v>-18.5</v>
      </c>
      <c r="V13" s="54">
        <f>IF($O13="","",ROUND(($O13-$O$3)/1000,1)+(_xlfn.RANK.AVG($O13,($J13,$O13,$T13),1)-2)*10)</f>
        <v>-38.5</v>
      </c>
      <c r="W13" s="55">
        <f>IF($T13="","",ROUND(($T13-$T$3)/1000,1)+(_xlfn.RANK.AVG($T13,($J13,$O13,$T13),1)-2)*10)</f>
        <v>57</v>
      </c>
      <c r="Y13" s="8"/>
      <c r="Z13" s="34"/>
      <c r="AA13" s="26">
        <v>1</v>
      </c>
      <c r="AB13" s="26"/>
      <c r="AC13" s="26">
        <v>4</v>
      </c>
      <c r="AD13" s="30">
        <v>40</v>
      </c>
      <c r="AE13" s="40" t="s">
        <v>201</v>
      </c>
      <c r="AF13" s="41" t="s">
        <v>202</v>
      </c>
      <c r="AG13" s="41" t="s">
        <v>86</v>
      </c>
      <c r="AH13" s="41" t="s">
        <v>204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れんたろう</v>
      </c>
      <c r="F14" s="8" t="s">
        <v>208</v>
      </c>
      <c r="G14" s="9">
        <v>3000</v>
      </c>
      <c r="H14" s="9">
        <v>-1000</v>
      </c>
      <c r="I14" s="48"/>
      <c r="J14" s="21">
        <f t="shared" si="2"/>
        <v>18500</v>
      </c>
      <c r="K14" s="8" t="s">
        <v>208</v>
      </c>
      <c r="L14" s="9">
        <v>-1500</v>
      </c>
      <c r="M14" s="9"/>
      <c r="N14" s="48"/>
      <c r="O14" s="21">
        <f t="shared" si="3"/>
        <v>5000</v>
      </c>
      <c r="P14" s="8" t="s">
        <v>208</v>
      </c>
      <c r="Q14" s="9">
        <v>-1500</v>
      </c>
      <c r="R14" s="9"/>
      <c r="S14" s="48"/>
      <c r="T14" s="21">
        <f t="shared" si="4"/>
        <v>80500</v>
      </c>
      <c r="U14" s="53">
        <f>IF($J14="","",ROUND(($J14-$J$3)/1000,1)+(_xlfn.RANK.AVG($J14,($J14,$O14,$T14),1)-2)*10)</f>
        <v>-16.5</v>
      </c>
      <c r="V14" s="54">
        <f>IF($O14="","",ROUND(($O14-$O$3)/1000,1)+(_xlfn.RANK.AVG($O14,($J14,$O14,$T14),1)-2)*10)</f>
        <v>-40</v>
      </c>
      <c r="W14" s="55">
        <f>IF($T14="","",ROUND(($T14-$T$3)/1000,1)+(_xlfn.RANK.AVG($T14,($J14,$O14,$T14),1)-2)*10)</f>
        <v>55.5</v>
      </c>
      <c r="Y14" s="8" t="s">
        <v>205</v>
      </c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206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206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1</v>
      </c>
      <c r="C15" s="18">
        <f t="shared" si="6"/>
        <v>1</v>
      </c>
      <c r="D15" s="18">
        <f t="shared" si="1"/>
        <v>1</v>
      </c>
      <c r="E15" s="4" t="str">
        <f>IF($F$1="","",$F$1)</f>
        <v>れんたろう</v>
      </c>
      <c r="F15" s="8" t="s">
        <v>199</v>
      </c>
      <c r="G15" s="9">
        <v>-2500</v>
      </c>
      <c r="H15" s="9">
        <v>-1000</v>
      </c>
      <c r="I15" s="48">
        <v>-500</v>
      </c>
      <c r="J15" s="21">
        <f t="shared" si="2"/>
        <v>14500</v>
      </c>
      <c r="K15" s="8" t="s">
        <v>200</v>
      </c>
      <c r="L15" s="9">
        <v>4000</v>
      </c>
      <c r="M15" s="9">
        <v>2000</v>
      </c>
      <c r="N15" s="48">
        <v>1000</v>
      </c>
      <c r="O15" s="21">
        <f t="shared" si="3"/>
        <v>12000</v>
      </c>
      <c r="P15" s="8" t="s">
        <v>199</v>
      </c>
      <c r="Q15" s="9">
        <v>-1500</v>
      </c>
      <c r="R15" s="9"/>
      <c r="S15" s="48">
        <v>-500</v>
      </c>
      <c r="T15" s="21">
        <f t="shared" si="4"/>
        <v>78500</v>
      </c>
      <c r="U15" s="53">
        <f>IF($J15="","",ROUND(($J15-$J$3)/1000,1)+(_xlfn.RANK.AVG($J15,($J15,$O15,$T15),1)-2)*10)</f>
        <v>-20.5</v>
      </c>
      <c r="V15" s="54">
        <f>IF($O15="","",ROUND(($O15-$O$3)/1000,1)+(_xlfn.RANK.AVG($O15,($J15,$O15,$T15),1)-2)*10)</f>
        <v>-33</v>
      </c>
      <c r="W15" s="55">
        <f>IF($T15="","",ROUND(($T15-$T$3)/1000,1)+(_xlfn.RANK.AVG($T15,($J15,$O15,$T15),1)-2)*10)</f>
        <v>53.5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3</v>
      </c>
      <c r="AY15" s="30">
        <v>30</v>
      </c>
      <c r="AZ15" s="40" t="s">
        <v>201</v>
      </c>
      <c r="BA15" s="41" t="s">
        <v>82</v>
      </c>
      <c r="BB15" s="41" t="s">
        <v>204</v>
      </c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tr">
        <f>IF($K$1="","",$K$1)</f>
        <v>ぱぱ</v>
      </c>
      <c r="F16" s="8" t="s">
        <v>199</v>
      </c>
      <c r="G16" s="9">
        <v>-3900</v>
      </c>
      <c r="H16" s="9">
        <v>-1000</v>
      </c>
      <c r="I16" s="48">
        <v>0</v>
      </c>
      <c r="J16" s="21">
        <f t="shared" si="2"/>
        <v>9600</v>
      </c>
      <c r="K16" s="8" t="s">
        <v>200</v>
      </c>
      <c r="L16" s="9">
        <v>7800</v>
      </c>
      <c r="M16" s="9">
        <v>1000</v>
      </c>
      <c r="N16" s="48">
        <v>0</v>
      </c>
      <c r="O16" s="21">
        <f t="shared" si="3"/>
        <v>20800</v>
      </c>
      <c r="P16" s="8" t="s">
        <v>199</v>
      </c>
      <c r="Q16" s="9">
        <v>-3900</v>
      </c>
      <c r="R16" s="9"/>
      <c r="S16" s="48">
        <v>0</v>
      </c>
      <c r="T16" s="21">
        <f t="shared" si="4"/>
        <v>74600</v>
      </c>
      <c r="U16" s="53">
        <f>IF($J16="","",ROUND(($J16-$J$3)/1000,1)+(_xlfn.RANK.AVG($J16,($J16,$O16,$T16),1)-2)*10)</f>
        <v>-35.4</v>
      </c>
      <c r="V16" s="54">
        <f>IF($O16="","",ROUND(($O16-$O$3)/1000,1)+(_xlfn.RANK.AVG($O16,($J16,$O16,$T16),1)-2)*10)</f>
        <v>-14.2</v>
      </c>
      <c r="W16" s="55">
        <f>IF($T16="","",ROUND(($T16-$T$3)/1000,1)+(_xlfn.RANK.AVG($T16,($J16,$O16,$T16),1)-2)*10)</f>
        <v>49.6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4</v>
      </c>
      <c r="AY16" s="30">
        <v>20</v>
      </c>
      <c r="AZ16" s="40" t="s">
        <v>201</v>
      </c>
      <c r="BA16" s="41" t="s">
        <v>82</v>
      </c>
      <c r="BB16" s="41" t="s">
        <v>83</v>
      </c>
      <c r="BC16" s="41" t="s">
        <v>84</v>
      </c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2</v>
      </c>
      <c r="C17" s="18">
        <f t="shared" si="6"/>
        <v>1</v>
      </c>
      <c r="D17" s="18">
        <f t="shared" si="1"/>
        <v>0</v>
      </c>
      <c r="E17" s="4" t="str">
        <f>IF($K$1="","",$K$1)</f>
        <v>ぱぱ</v>
      </c>
      <c r="F17" s="8"/>
      <c r="G17" s="9"/>
      <c r="H17" s="9">
        <v>-1000</v>
      </c>
      <c r="I17" s="48"/>
      <c r="J17" s="21">
        <f t="shared" si="2"/>
        <v>8600</v>
      </c>
      <c r="K17" s="8" t="s">
        <v>198</v>
      </c>
      <c r="L17" s="9">
        <v>-8000</v>
      </c>
      <c r="M17" s="9"/>
      <c r="N17" s="48">
        <v>-1000</v>
      </c>
      <c r="O17" s="21">
        <f t="shared" si="3"/>
        <v>11800</v>
      </c>
      <c r="P17" s="8" t="s">
        <v>197</v>
      </c>
      <c r="Q17" s="9">
        <v>8000</v>
      </c>
      <c r="R17" s="9">
        <v>1000</v>
      </c>
      <c r="S17" s="48">
        <v>1000</v>
      </c>
      <c r="T17" s="21">
        <f t="shared" si="4"/>
        <v>84600</v>
      </c>
      <c r="U17" s="53">
        <f>IF($J17="","",ROUND(($J17-$J$3)/1000,1)+(_xlfn.RANK.AVG($J17,($J17,$O17,$T17),1)-2)*10)</f>
        <v>-36.4</v>
      </c>
      <c r="V17" s="54">
        <f>IF($O17="","",ROUND(($O17-$O$3)/1000,1)+(_xlfn.RANK.AVG($O17,($J17,$O17,$T17),1)-2)*10)</f>
        <v>-23.2</v>
      </c>
      <c r="W17" s="55">
        <f>IF($T17="","",ROUND(($T17-$T$3)/1000,1)+(_xlfn.RANK.AVG($T17,($J17,$O17,$T17),1)-2)*10)</f>
        <v>59.6</v>
      </c>
      <c r="Y17" s="8"/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>
        <v>5</v>
      </c>
      <c r="BT17" s="30" t="s">
        <v>203</v>
      </c>
      <c r="BU17" s="40" t="s">
        <v>104</v>
      </c>
      <c r="BV17" s="41" t="s">
        <v>86</v>
      </c>
      <c r="BW17" s="41" t="s">
        <v>86</v>
      </c>
      <c r="BX17" s="41" t="s">
        <v>204</v>
      </c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tr">
        <f>IF($P$1="","",$P$1)</f>
        <v>だいち</v>
      </c>
      <c r="F18" s="8"/>
      <c r="G18" s="9"/>
      <c r="H18" s="9"/>
      <c r="I18" s="48"/>
      <c r="J18" s="21">
        <f t="shared" si="2"/>
        <v>8600</v>
      </c>
      <c r="K18" s="8" t="s">
        <v>198</v>
      </c>
      <c r="L18" s="9">
        <v>-2000</v>
      </c>
      <c r="M18" s="9"/>
      <c r="N18" s="48">
        <v>0</v>
      </c>
      <c r="O18" s="21">
        <f t="shared" si="3"/>
        <v>9800</v>
      </c>
      <c r="P18" s="8" t="s">
        <v>197</v>
      </c>
      <c r="Q18" s="9">
        <v>2000</v>
      </c>
      <c r="R18" s="9"/>
      <c r="S18" s="48">
        <v>0</v>
      </c>
      <c r="T18" s="21">
        <f t="shared" si="4"/>
        <v>86600</v>
      </c>
      <c r="U18" s="53">
        <f>IF($J18="","",ROUND(($J18-$J$3)/1000,1)+(_xlfn.RANK.AVG($J18,($J18,$O18,$T18),1)-2)*10)</f>
        <v>-36.4</v>
      </c>
      <c r="V18" s="54">
        <f>IF($O18="","",ROUND(($O18-$O$3)/1000,1)+(_xlfn.RANK.AVG($O18,($J18,$O18,$T18),1)-2)*10)</f>
        <v>-25.2</v>
      </c>
      <c r="W18" s="55">
        <f>IF($T18="","",ROUND(($T18-$T$3)/1000,1)+(_xlfn.RANK.AVG($T18,($J18,$O18,$T18),1)-2)*10)</f>
        <v>61.6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>
        <v>1</v>
      </c>
      <c r="BR18" s="26"/>
      <c r="BS18" s="26">
        <v>1</v>
      </c>
      <c r="BT18" s="30">
        <v>40</v>
      </c>
      <c r="BU18" s="40" t="s">
        <v>201</v>
      </c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E787E8FD-938D-4507-9CD8-1E1F02B0152D}">
      <formula1>"れんたろう,ともき,だいち,りくと,まっつん,たかの,のり,ただ,"</formula1>
    </dataValidation>
    <dataValidation type="list" allowBlank="1" showInputMessage="1" showErrorMessage="1" sqref="E4:E30" xr:uid="{C19EC522-79C0-4305-BD81-DA7316E709BB}">
      <formula1>$U$2:$W$2</formula1>
    </dataValidation>
    <dataValidation type="list" showInputMessage="1" showErrorMessage="1" sqref="K4:K30 P4:P30 F4:F30" xr:uid="{03D1119B-F3C5-4C37-8029-B9403D6538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35F5D-E54A-4AB2-8D22-E567AF074EE1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199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200</v>
      </c>
      <c r="L4" s="9">
        <v>4000</v>
      </c>
      <c r="M4" s="9">
        <v>1000</v>
      </c>
      <c r="N4" s="48">
        <v>0</v>
      </c>
      <c r="O4" s="21">
        <f>IF(COUNTA($F4,$K4,$P4)&gt;0,O3+SUM(L4:N4),"")</f>
        <v>40000</v>
      </c>
      <c r="P4" s="8" t="s">
        <v>199</v>
      </c>
      <c r="Q4" s="9">
        <v>-1500</v>
      </c>
      <c r="R4" s="9">
        <v>-1000</v>
      </c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IF($J4="","",ROUND(($J4-$J$3)/1000,1)+(_xlfn.RANK.AVG($J4,($J4,$O4,$T4),1)-2)*10)</f>
        <v>-7.5</v>
      </c>
      <c r="V4" s="54">
        <f>IF($O4="","",ROUND(($O4-$O$3)/1000,1)+(_xlfn.RANK.AVG($O4,($J4,$O4,$T4),1)-2)*10)</f>
        <v>15</v>
      </c>
      <c r="W4" s="55">
        <f>IF($T4="","",ROUND(($T4-$T$3)/1000,1)+(_xlfn.RANK.AVG($T4,($J4,$O4,$T4),1)-2)*10)</f>
        <v>-7.5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30</v>
      </c>
      <c r="AZ4" s="40" t="s">
        <v>82</v>
      </c>
      <c r="BA4" s="41" t="s">
        <v>85</v>
      </c>
      <c r="BB4" s="41" t="s">
        <v>204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197</v>
      </c>
      <c r="G5" s="9">
        <v>5200</v>
      </c>
      <c r="H5" s="9"/>
      <c r="I5" s="48">
        <v>0</v>
      </c>
      <c r="J5" s="21">
        <f t="shared" ref="J5:J30" si="2">IF(COUNTA($F5,$K5,$P5)&gt;0,J4+SUM(G5:I5),"")</f>
        <v>37700</v>
      </c>
      <c r="K5" s="8"/>
      <c r="L5" s="9"/>
      <c r="M5" s="9"/>
      <c r="N5" s="48"/>
      <c r="O5" s="21">
        <f t="shared" ref="O5:O30" si="3">IF(COUNTA($F5,$K5,$P5)&gt;0,O4+SUM(L5:N5),"")</f>
        <v>40000</v>
      </c>
      <c r="P5" s="8" t="s">
        <v>198</v>
      </c>
      <c r="Q5" s="9">
        <v>-5200</v>
      </c>
      <c r="R5" s="9"/>
      <c r="S5" s="48">
        <v>0</v>
      </c>
      <c r="T5" s="21">
        <f t="shared" ref="T5:T30" si="4">IF(COUNTA($F5,$K5,$P5)&gt;0,T4+SUM(Q5:S5),"")</f>
        <v>27300</v>
      </c>
      <c r="U5" s="53">
        <f>IF($J5="","",ROUND(($J5-$J$3)/1000,1)+(_xlfn.RANK.AVG($J5,($J5,$O5,$T5),1)-2)*10)</f>
        <v>2.7</v>
      </c>
      <c r="V5" s="54">
        <f>IF($O5="","",ROUND(($O5-$O$3)/1000,1)+(_xlfn.RANK.AVG($O5,($J5,$O5,$T5),1)-2)*10)</f>
        <v>15</v>
      </c>
      <c r="W5" s="55">
        <f>IF($T5="","",ROUND(($T5-$T$3)/1000,1)+(_xlfn.RANK.AVG($T5,($J5,$O5,$T5),1)-2)*10)</f>
        <v>-17.7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201</v>
      </c>
      <c r="AF5" s="41" t="s">
        <v>86</v>
      </c>
      <c r="AG5" s="41" t="s">
        <v>204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199</v>
      </c>
      <c r="G6" s="9">
        <v>-6000</v>
      </c>
      <c r="H6" s="9"/>
      <c r="I6" s="48">
        <v>0</v>
      </c>
      <c r="J6" s="21">
        <f t="shared" si="2"/>
        <v>31700</v>
      </c>
      <c r="K6" s="8" t="s">
        <v>199</v>
      </c>
      <c r="L6" s="9">
        <v>-6000</v>
      </c>
      <c r="M6" s="9"/>
      <c r="N6" s="48">
        <v>0</v>
      </c>
      <c r="O6" s="21">
        <f t="shared" si="3"/>
        <v>34000</v>
      </c>
      <c r="P6" s="8" t="s">
        <v>200</v>
      </c>
      <c r="Q6" s="9">
        <v>12000</v>
      </c>
      <c r="R6" s="9"/>
      <c r="S6" s="48">
        <v>0</v>
      </c>
      <c r="T6" s="21">
        <f t="shared" si="4"/>
        <v>39300</v>
      </c>
      <c r="U6" s="53">
        <f>IF($J6="","",ROUND(($J6-$J$3)/1000,1)+(_xlfn.RANK.AVG($J6,($J6,$O6,$T6),1)-2)*10)</f>
        <v>-13.3</v>
      </c>
      <c r="V6" s="54">
        <f>IF($O6="","",ROUND(($O6-$O$3)/1000,1)+(_xlfn.RANK.AVG($O6,($J6,$O6,$T6),1)-2)*10)</f>
        <v>-1</v>
      </c>
      <c r="W6" s="55">
        <f>IF($T6="","",ROUND(($T6-$T$3)/1000,1)+(_xlfn.RANK.AVG($T6,($J6,$O6,$T6),1)-2)*10)</f>
        <v>14.3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203</v>
      </c>
      <c r="BU6" s="40" t="s">
        <v>82</v>
      </c>
      <c r="BV6" s="41" t="s">
        <v>79</v>
      </c>
      <c r="BW6" s="41" t="s">
        <v>79</v>
      </c>
      <c r="BX6" s="41" t="s">
        <v>84</v>
      </c>
      <c r="BY6" s="41" t="s">
        <v>204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 t="s">
        <v>197</v>
      </c>
      <c r="G7" s="9">
        <v>2000</v>
      </c>
      <c r="H7" s="9">
        <v>1000</v>
      </c>
      <c r="I7" s="48">
        <v>1000</v>
      </c>
      <c r="J7" s="21">
        <f t="shared" si="2"/>
        <v>35700</v>
      </c>
      <c r="K7" s="8" t="s">
        <v>198</v>
      </c>
      <c r="L7" s="9">
        <v>-2000</v>
      </c>
      <c r="M7" s="9"/>
      <c r="N7" s="48">
        <v>-1000</v>
      </c>
      <c r="O7" s="21">
        <f t="shared" si="3"/>
        <v>31000</v>
      </c>
      <c r="P7" s="8"/>
      <c r="Q7" s="9"/>
      <c r="R7" s="9">
        <v>-1000</v>
      </c>
      <c r="S7" s="48"/>
      <c r="T7" s="21">
        <f t="shared" si="4"/>
        <v>38300</v>
      </c>
      <c r="U7" s="53">
        <f>IF($J7="","",ROUND(($J7-$J$3)/1000,1)+(_xlfn.RANK.AVG($J7,($J7,$O7,$T7),1)-2)*10)</f>
        <v>0.7</v>
      </c>
      <c r="V7" s="54">
        <f>IF($O7="","",ROUND(($O7-$O$3)/1000,1)+(_xlfn.RANK.AVG($O7,($J7,$O7,$T7),1)-2)*10)</f>
        <v>-14</v>
      </c>
      <c r="W7" s="55">
        <f>IF($T7="","",ROUND(($T7-$T$3)/1000,1)+(_xlfn.RANK.AVG($T7,($J7,$O7,$T7),1)-2)*10)</f>
        <v>13.3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93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ぱぱ</v>
      </c>
      <c r="F8" s="8"/>
      <c r="G8" s="9"/>
      <c r="H8" s="9"/>
      <c r="I8" s="48"/>
      <c r="J8" s="21">
        <f t="shared" si="2"/>
        <v>35700</v>
      </c>
      <c r="K8" s="8" t="s">
        <v>198</v>
      </c>
      <c r="L8" s="9">
        <v>-8000</v>
      </c>
      <c r="M8" s="9">
        <v>-1000</v>
      </c>
      <c r="N8" s="48">
        <v>0</v>
      </c>
      <c r="O8" s="21">
        <f t="shared" si="3"/>
        <v>22000</v>
      </c>
      <c r="P8" s="8" t="s">
        <v>197</v>
      </c>
      <c r="Q8" s="9">
        <v>8000</v>
      </c>
      <c r="R8" s="9">
        <v>1000</v>
      </c>
      <c r="S8" s="48">
        <v>0</v>
      </c>
      <c r="T8" s="21">
        <f t="shared" si="4"/>
        <v>47300</v>
      </c>
      <c r="U8" s="53">
        <f>IF($J8="","",ROUND(($J8-$J$3)/1000,1)+(_xlfn.RANK.AVG($J8,($J8,$O8,$T8),1)-2)*10)</f>
        <v>0.7</v>
      </c>
      <c r="V8" s="54">
        <f>IF($O8="","",ROUND(($O8-$O$3)/1000,1)+(_xlfn.RANK.AVG($O8,($J8,$O8,$T8),1)-2)*10)</f>
        <v>-23</v>
      </c>
      <c r="W8" s="55">
        <f>IF($T8="","",ROUND(($T8-$T$3)/1000,1)+(_xlfn.RANK.AVG($T8,($J8,$O8,$T8),1)-2)*10)</f>
        <v>22.3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201</v>
      </c>
      <c r="BV8" s="41" t="s">
        <v>204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208</v>
      </c>
      <c r="G9" s="9">
        <v>-1500</v>
      </c>
      <c r="H9" s="9"/>
      <c r="I9" s="48"/>
      <c r="J9" s="21">
        <f t="shared" si="2"/>
        <v>34200</v>
      </c>
      <c r="K9" s="8" t="s">
        <v>208</v>
      </c>
      <c r="L9" s="9">
        <v>-1500</v>
      </c>
      <c r="M9" s="9"/>
      <c r="N9" s="48"/>
      <c r="O9" s="21">
        <f t="shared" si="3"/>
        <v>20500</v>
      </c>
      <c r="P9" s="8" t="s">
        <v>208</v>
      </c>
      <c r="Q9" s="9">
        <v>3000</v>
      </c>
      <c r="R9" s="9">
        <v>-1000</v>
      </c>
      <c r="S9" s="48"/>
      <c r="T9" s="21">
        <f t="shared" si="4"/>
        <v>49300</v>
      </c>
      <c r="U9" s="53">
        <f>IF($J9="","",ROUND(($J9-$J$3)/1000,1)+(_xlfn.RANK.AVG($J9,($J9,$O9,$T9),1)-2)*10)</f>
        <v>-0.8</v>
      </c>
      <c r="V9" s="54">
        <f>IF($O9="","",ROUND(($O9-$O$3)/1000,1)+(_xlfn.RANK.AVG($O9,($J9,$O9,$T9),1)-2)*10)</f>
        <v>-24.5</v>
      </c>
      <c r="W9" s="55">
        <f>IF($T9="","",ROUND(($T9-$T$3)/1000,1)+(_xlfn.RANK.AVG($T9,($J9,$O9,$T9),1)-2)*10)</f>
        <v>24.3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tr">
        <f>IF($P$1="","",$P$1)</f>
        <v>れんたろう</v>
      </c>
      <c r="F10" s="8" t="s">
        <v>208</v>
      </c>
      <c r="G10" s="9">
        <v>-1500</v>
      </c>
      <c r="H10" s="9"/>
      <c r="I10" s="48"/>
      <c r="J10" s="21">
        <f t="shared" si="2"/>
        <v>32700</v>
      </c>
      <c r="K10" s="8" t="s">
        <v>208</v>
      </c>
      <c r="L10" s="9">
        <v>3000</v>
      </c>
      <c r="M10" s="9">
        <v>-1000</v>
      </c>
      <c r="N10" s="48"/>
      <c r="O10" s="21">
        <f t="shared" si="3"/>
        <v>22500</v>
      </c>
      <c r="P10" s="8" t="s">
        <v>208</v>
      </c>
      <c r="Q10" s="9">
        <v>-1500</v>
      </c>
      <c r="R10" s="9">
        <v>2000</v>
      </c>
      <c r="S10" s="48"/>
      <c r="T10" s="21">
        <f t="shared" si="4"/>
        <v>49800</v>
      </c>
      <c r="U10" s="53">
        <f>IF($J10="","",ROUND(($J10-$J$3)/1000,1)+(_xlfn.RANK.AVG($J10,($J10,$O10,$T10),1)-2)*10)</f>
        <v>-2.2999999999999998</v>
      </c>
      <c r="V10" s="54">
        <f>IF($O10="","",ROUND(($O10-$O$3)/1000,1)+(_xlfn.RANK.AVG($O10,($J10,$O10,$T10),1)-2)*10)</f>
        <v>-22.5</v>
      </c>
      <c r="W10" s="55">
        <f>IF($T10="","",ROUND(($T10-$T$3)/1000,1)+(_xlfn.RANK.AVG($T10,($J10,$O10,$T10),1)-2)*10)</f>
        <v>24.8</v>
      </c>
      <c r="Y10" s="8" t="s">
        <v>206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showInputMessage="1" showErrorMessage="1" sqref="K4:K30 P4:P30 F4:F30" xr:uid="{D74F243B-D325-48CC-B1F1-6F7F3A66EBC5}">
      <formula1>"ロン,ツモ,放銃,ツモ支払,流局,チョンボ"</formula1>
    </dataValidation>
    <dataValidation type="list" allowBlank="1" showInputMessage="1" showErrorMessage="1" sqref="E4:E30" xr:uid="{490EE766-E807-4C40-8E18-E1B165BDE56D}">
      <formula1>$U$2:$W$2</formula1>
    </dataValidation>
    <dataValidation type="list" allowBlank="1" showInputMessage="1" sqref="F1:T1" xr:uid="{999ED9DA-6AFF-41B6-86BA-97AAED884F6B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58752-407D-4D2F-B08B-2557BEF9A240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ぱぱ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-3300</v>
      </c>
      <c r="H4" s="9">
        <v>-1000</v>
      </c>
      <c r="I4" s="48">
        <v>0</v>
      </c>
      <c r="J4" s="21">
        <f>IF(COUNTA($F4,$K4,$P4)&gt;0,J3+SUM(G4:I4),"")</f>
        <v>30700</v>
      </c>
      <c r="K4" s="8" t="s">
        <v>200</v>
      </c>
      <c r="L4" s="9">
        <v>5300</v>
      </c>
      <c r="M4" s="9">
        <v>1000</v>
      </c>
      <c r="N4" s="48">
        <v>0</v>
      </c>
      <c r="O4" s="21">
        <f>IF(COUNTA($F4,$K4,$P4)&gt;0,O3+SUM(L4:N4),"")</f>
        <v>41300</v>
      </c>
      <c r="P4" s="8" t="s">
        <v>199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-14.3</v>
      </c>
      <c r="V4" s="54">
        <f>IF($O4="","",ROUND(($O4-$O$3)/1000,1)+(_xlfn.RANK.AVG($O4,($J4,$O4,$T4),1)-2)*10)</f>
        <v>16.3</v>
      </c>
      <c r="W4" s="55">
        <f>IF($T4="","",ROUND(($T4-$T$3)/1000,1)+(_xlfn.RANK.AVG($T4,($J4,$O4,$T4),1)-2)*10)</f>
        <v>-2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201</v>
      </c>
      <c r="BA4" s="41" t="s">
        <v>82</v>
      </c>
      <c r="BB4" s="41" t="s">
        <v>84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198</v>
      </c>
      <c r="G5" s="9">
        <v>-8000</v>
      </c>
      <c r="H5" s="9"/>
      <c r="I5" s="48">
        <v>0</v>
      </c>
      <c r="J5" s="21">
        <f t="shared" ref="J5:J30" si="2">IF(COUNTA($F5,$K5,$P5)&gt;0,J4+SUM(G5:I5),"")</f>
        <v>22700</v>
      </c>
      <c r="K5" s="8"/>
      <c r="L5" s="9"/>
      <c r="M5" s="9"/>
      <c r="N5" s="48"/>
      <c r="O5" s="21">
        <f t="shared" ref="O5:O30" si="3">IF(COUNTA($F5,$K5,$P5)&gt;0,O4+SUM(L5:N5),"")</f>
        <v>41300</v>
      </c>
      <c r="P5" s="8" t="s">
        <v>197</v>
      </c>
      <c r="Q5" s="9">
        <v>8000</v>
      </c>
      <c r="R5" s="9"/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-22.3</v>
      </c>
      <c r="V5" s="54">
        <f>IF($O5="","",ROUND(($O5-$O$3)/1000,1)+(_xlfn.RANK.AVG($O5,($J5,$O5,$T5),1)-2)*10)</f>
        <v>16.3</v>
      </c>
      <c r="W5" s="55">
        <f>IF($T5="","",ROUND(($T5-$T$3)/1000,1)+(_xlfn.RANK.AVG($T5,($J5,$O5,$T5),1)-2)*10)</f>
        <v>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203</v>
      </c>
      <c r="BU5" s="40" t="s">
        <v>201</v>
      </c>
      <c r="BV5" s="41" t="s">
        <v>202</v>
      </c>
      <c r="BW5" s="41" t="s">
        <v>86</v>
      </c>
      <c r="BX5" s="41" t="s">
        <v>79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ぱぱ</v>
      </c>
      <c r="F6" s="8" t="s">
        <v>208</v>
      </c>
      <c r="G6" s="9">
        <v>3000</v>
      </c>
      <c r="H6" s="9">
        <v>-1000</v>
      </c>
      <c r="I6" s="48"/>
      <c r="J6" s="21">
        <f t="shared" si="2"/>
        <v>24700</v>
      </c>
      <c r="K6" s="8" t="s">
        <v>208</v>
      </c>
      <c r="L6" s="9">
        <v>-1500</v>
      </c>
      <c r="M6" s="9"/>
      <c r="N6" s="48"/>
      <c r="O6" s="21">
        <f t="shared" si="3"/>
        <v>39800</v>
      </c>
      <c r="P6" s="8" t="s">
        <v>208</v>
      </c>
      <c r="Q6" s="9">
        <v>-1500</v>
      </c>
      <c r="R6" s="9"/>
      <c r="S6" s="48"/>
      <c r="T6" s="21">
        <f t="shared" si="4"/>
        <v>39500</v>
      </c>
      <c r="U6" s="53">
        <f>IF($J6="","",ROUND(($J6-$J$3)/1000,1)+(_xlfn.RANK.AVG($J6,($J6,$O6,$T6),1)-2)*10)</f>
        <v>-20.3</v>
      </c>
      <c r="V6" s="54">
        <f>IF($O6="","",ROUND(($O6-$O$3)/1000,1)+(_xlfn.RANK.AVG($O6,($J6,$O6,$T6),1)-2)*10)</f>
        <v>14.8</v>
      </c>
      <c r="W6" s="55">
        <f>IF($T6="","",ROUND(($T6-$T$3)/1000,1)+(_xlfn.RANK.AVG($T6,($J6,$O6,$T6),1)-2)*10)</f>
        <v>4.5</v>
      </c>
      <c r="Y6" s="8" t="s">
        <v>205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206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tr">
        <f>IF($F$1="","",$F$1)</f>
        <v>れんたろう</v>
      </c>
      <c r="F7" s="8" t="s">
        <v>198</v>
      </c>
      <c r="G7" s="9">
        <v>-3900</v>
      </c>
      <c r="H7" s="9"/>
      <c r="I7" s="48">
        <v>-1000</v>
      </c>
      <c r="J7" s="21">
        <f t="shared" si="2"/>
        <v>19800</v>
      </c>
      <c r="K7" s="8"/>
      <c r="L7" s="9"/>
      <c r="M7" s="9">
        <v>-1000</v>
      </c>
      <c r="N7" s="48"/>
      <c r="O7" s="21">
        <f t="shared" si="3"/>
        <v>38800</v>
      </c>
      <c r="P7" s="8" t="s">
        <v>197</v>
      </c>
      <c r="Q7" s="9">
        <v>3900</v>
      </c>
      <c r="R7" s="9">
        <v>2000</v>
      </c>
      <c r="S7" s="48">
        <v>1000</v>
      </c>
      <c r="T7" s="21">
        <f t="shared" si="4"/>
        <v>46400</v>
      </c>
      <c r="U7" s="53">
        <f>IF($J7="","",ROUND(($J7-$J$3)/1000,1)+(_xlfn.RANK.AVG($J7,($J7,$O7,$T7),1)-2)*10)</f>
        <v>-25.2</v>
      </c>
      <c r="V7" s="54">
        <f>IF($O7="","",ROUND(($O7-$O$3)/1000,1)+(_xlfn.RANK.AVG($O7,($J7,$O7,$T7),1)-2)*10)</f>
        <v>3.8</v>
      </c>
      <c r="W7" s="55">
        <f>IF($T7="","",ROUND(($T7-$T$3)/1000,1)+(_xlfn.RANK.AVG($T7,($J7,$O7,$T7),1)-2)*10)</f>
        <v>21.4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201</v>
      </c>
      <c r="BV7" s="41" t="s">
        <v>83</v>
      </c>
      <c r="BW7" s="41" t="s">
        <v>84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199</v>
      </c>
      <c r="G8" s="9">
        <v>-800</v>
      </c>
      <c r="H8" s="9"/>
      <c r="I8" s="48">
        <v>0</v>
      </c>
      <c r="J8" s="21">
        <f t="shared" si="2"/>
        <v>19000</v>
      </c>
      <c r="K8" s="8" t="s">
        <v>199</v>
      </c>
      <c r="L8" s="9">
        <v>-1300</v>
      </c>
      <c r="M8" s="9"/>
      <c r="N8" s="48">
        <v>0</v>
      </c>
      <c r="O8" s="21">
        <f t="shared" si="3"/>
        <v>37500</v>
      </c>
      <c r="P8" s="8" t="s">
        <v>200</v>
      </c>
      <c r="Q8" s="9">
        <v>2100</v>
      </c>
      <c r="R8" s="9"/>
      <c r="S8" s="48">
        <v>0</v>
      </c>
      <c r="T8" s="21">
        <f t="shared" si="4"/>
        <v>48500</v>
      </c>
      <c r="U8" s="53">
        <f>IF($J8="","",ROUND(($J8-$J$3)/1000,1)+(_xlfn.RANK.AVG($J8,($J8,$O8,$T8),1)-2)*10)</f>
        <v>-26</v>
      </c>
      <c r="V8" s="54">
        <f>IF($O8="","",ROUND(($O8-$O$3)/1000,1)+(_xlfn.RANK.AVG($O8,($J8,$O8,$T8),1)-2)*10)</f>
        <v>2.5</v>
      </c>
      <c r="W8" s="55">
        <f>IF($T8="","",ROUND(($T8-$T$3)/1000,1)+(_xlfn.RANK.AVG($T8,($J8,$O8,$T8),1)-2)*10)</f>
        <v>23.5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30</v>
      </c>
      <c r="BU8" s="40" t="s">
        <v>201</v>
      </c>
      <c r="BV8" s="41" t="s">
        <v>82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 t="s">
        <v>208</v>
      </c>
      <c r="G9" s="9">
        <v>-1500</v>
      </c>
      <c r="H9" s="9"/>
      <c r="I9" s="48"/>
      <c r="J9" s="21">
        <f t="shared" si="2"/>
        <v>17500</v>
      </c>
      <c r="K9" s="8" t="s">
        <v>208</v>
      </c>
      <c r="L9" s="9">
        <v>3000</v>
      </c>
      <c r="M9" s="9"/>
      <c r="N9" s="48"/>
      <c r="O9" s="21">
        <f t="shared" si="3"/>
        <v>40500</v>
      </c>
      <c r="P9" s="8" t="s">
        <v>208</v>
      </c>
      <c r="Q9" s="9">
        <v>-1500</v>
      </c>
      <c r="R9" s="9"/>
      <c r="S9" s="48"/>
      <c r="T9" s="21">
        <f t="shared" si="4"/>
        <v>47000</v>
      </c>
      <c r="U9" s="53">
        <f>IF($J9="","",ROUND(($J9-$J$3)/1000,1)+(_xlfn.RANK.AVG($J9,($J9,$O9,$T9),1)-2)*10)</f>
        <v>-27.5</v>
      </c>
      <c r="V9" s="54">
        <f>IF($O9="","",ROUND(($O9-$O$3)/1000,1)+(_xlfn.RANK.AVG($O9,($J9,$O9,$T9),1)-2)*10)</f>
        <v>5.5</v>
      </c>
      <c r="W9" s="55">
        <f>IF($T9="","",ROUND(($T9-$T$3)/1000,1)+(_xlfn.RANK.AVG($T9,($J9,$O9,$T9),1)-2)*10)</f>
        <v>22</v>
      </c>
      <c r="Y9" s="8" t="s">
        <v>206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EA239FBC-F939-44FE-8B78-2336BF8C7359}">
      <formula1>"れんたろう,ともき,だいち,りくと,まっつん,たかの,のり,ただ,"</formula1>
    </dataValidation>
    <dataValidation type="list" allowBlank="1" showInputMessage="1" showErrorMessage="1" sqref="E4:E30" xr:uid="{4008463B-8864-42B5-AD75-E0C1262E6A0E}">
      <formula1>$U$2:$W$2</formula1>
    </dataValidation>
    <dataValidation type="list" showInputMessage="1" showErrorMessage="1" sqref="K4:K30 P4:P30 F4:F30" xr:uid="{9CCA8529-A183-4C98-8846-4BFBFDA0A8B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FE10-BB61-4C1A-B905-39BC7F9554AE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-23</v>
      </c>
      <c r="Y4" s="8"/>
      <c r="Z4" s="34"/>
      <c r="AA4" s="26">
        <v>1</v>
      </c>
      <c r="AB4" s="26"/>
      <c r="AC4" s="26">
        <v>5</v>
      </c>
      <c r="AD4" s="30" t="s">
        <v>203</v>
      </c>
      <c r="AE4" s="40" t="s">
        <v>201</v>
      </c>
      <c r="AF4" s="41" t="s">
        <v>204</v>
      </c>
      <c r="AG4" s="41" t="s">
        <v>79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ぱぱ</v>
      </c>
      <c r="F5" s="8" t="s">
        <v>200</v>
      </c>
      <c r="G5" s="9">
        <v>18000</v>
      </c>
      <c r="H5" s="9">
        <v>1000</v>
      </c>
      <c r="I5" s="48">
        <v>1000</v>
      </c>
      <c r="J5" s="21">
        <f t="shared" ref="J5:J30" si="2">IF(COUNTA($F5,$K5,$P5)&gt;0,J4+SUM(G5:I5),"")</f>
        <v>68000</v>
      </c>
      <c r="K5" s="8" t="s">
        <v>199</v>
      </c>
      <c r="L5" s="9">
        <v>-9000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199</v>
      </c>
      <c r="Q5" s="9">
        <v>-9000</v>
      </c>
      <c r="R5" s="9">
        <v>-1000</v>
      </c>
      <c r="S5" s="48">
        <v>-500</v>
      </c>
      <c r="T5" s="21">
        <f t="shared" ref="T5:T30" si="4">IF(COUNTA($F5,$K5,$P5)&gt;0,T4+SUM(Q5:S5),"")</f>
        <v>11500</v>
      </c>
      <c r="U5" s="53">
        <f>IF($J5="","",ROUND(($J5-$J$3)/1000,1)+(_xlfn.RANK.AVG($J5,($J5,$O5,$T5),1)-2)*10)</f>
        <v>43</v>
      </c>
      <c r="V5" s="54">
        <f>IF($O5="","",ROUND(($O5-$O$3)/1000,1)+(_xlfn.RANK.AVG($O5,($J5,$O5,$T5),1)-2)*10)</f>
        <v>-9.5</v>
      </c>
      <c r="W5" s="55">
        <f>IF($T5="","",ROUND(($T5-$T$3)/1000,1)+(_xlfn.RANK.AVG($T5,($J5,$O5,$T5),1)-2)*10)</f>
        <v>-33.5</v>
      </c>
      <c r="Y5" s="8"/>
      <c r="Z5" s="34"/>
      <c r="AA5" s="26">
        <v>1</v>
      </c>
      <c r="AB5" s="26"/>
      <c r="AC5" s="26">
        <v>6</v>
      </c>
      <c r="AD5" s="30" t="s">
        <v>203</v>
      </c>
      <c r="AE5" s="40" t="s">
        <v>201</v>
      </c>
      <c r="AF5" s="41" t="s">
        <v>82</v>
      </c>
      <c r="AG5" s="41" t="s">
        <v>202</v>
      </c>
      <c r="AH5" s="41" t="s">
        <v>79</v>
      </c>
      <c r="AI5" s="41" t="s">
        <v>80</v>
      </c>
      <c r="AJ5" s="41" t="s">
        <v>204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ぱぱ</v>
      </c>
      <c r="F6" s="8" t="s">
        <v>200</v>
      </c>
      <c r="G6" s="9">
        <v>3000</v>
      </c>
      <c r="H6" s="9"/>
      <c r="I6" s="48">
        <v>2000</v>
      </c>
      <c r="J6" s="21">
        <f t="shared" si="2"/>
        <v>73000</v>
      </c>
      <c r="K6" s="8" t="s">
        <v>199</v>
      </c>
      <c r="L6" s="9">
        <v>-1500</v>
      </c>
      <c r="M6" s="9"/>
      <c r="N6" s="48">
        <v>-1000</v>
      </c>
      <c r="O6" s="21">
        <f t="shared" si="3"/>
        <v>23000</v>
      </c>
      <c r="P6" s="8" t="s">
        <v>199</v>
      </c>
      <c r="Q6" s="9">
        <v>-1500</v>
      </c>
      <c r="R6" s="9"/>
      <c r="S6" s="48">
        <v>-1000</v>
      </c>
      <c r="T6" s="21">
        <f t="shared" si="4"/>
        <v>9000</v>
      </c>
      <c r="U6" s="53">
        <f>IF($J6="","",ROUND(($J6-$J$3)/1000,1)+(_xlfn.RANK.AVG($J6,($J6,$O6,$T6),1)-2)*10)</f>
        <v>48</v>
      </c>
      <c r="V6" s="54">
        <f>IF($O6="","",ROUND(($O6-$O$3)/1000,1)+(_xlfn.RANK.AVG($O6,($J6,$O6,$T6),1)-2)*10)</f>
        <v>-12</v>
      </c>
      <c r="W6" s="55">
        <f>IF($T6="","",ROUND(($T6-$T$3)/1000,1)+(_xlfn.RANK.AVG($T6,($J6,$O6,$T6),1)-2)*10)</f>
        <v>-36</v>
      </c>
      <c r="Y6" s="8"/>
      <c r="Z6" s="34"/>
      <c r="AA6" s="26">
        <v>1</v>
      </c>
      <c r="AB6" s="26"/>
      <c r="AC6" s="26">
        <v>2</v>
      </c>
      <c r="AD6" s="30">
        <v>30</v>
      </c>
      <c r="AE6" s="40" t="s">
        <v>201</v>
      </c>
      <c r="AF6" s="41" t="s">
        <v>82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ぱぱ</v>
      </c>
      <c r="F7" s="8" t="s">
        <v>200</v>
      </c>
      <c r="G7" s="9">
        <v>18000</v>
      </c>
      <c r="H7" s="9">
        <v>1000</v>
      </c>
      <c r="I7" s="48">
        <v>3000</v>
      </c>
      <c r="J7" s="21">
        <f t="shared" si="2"/>
        <v>95000</v>
      </c>
      <c r="K7" s="8" t="s">
        <v>199</v>
      </c>
      <c r="L7" s="9">
        <v>-9000</v>
      </c>
      <c r="M7" s="9">
        <v>-1000</v>
      </c>
      <c r="N7" s="48">
        <v>-1500</v>
      </c>
      <c r="O7" s="21">
        <f t="shared" si="3"/>
        <v>11500</v>
      </c>
      <c r="P7" s="8" t="s">
        <v>199</v>
      </c>
      <c r="Q7" s="9">
        <v>-9000</v>
      </c>
      <c r="R7" s="9"/>
      <c r="S7" s="48">
        <v>-1500</v>
      </c>
      <c r="T7" s="21">
        <f t="shared" si="4"/>
        <v>-1500</v>
      </c>
      <c r="U7" s="53">
        <f>IF($J7="","",ROUND(($J7-$J$3)/1000,1)+(_xlfn.RANK.AVG($J7,($J7,$O7,$T7),1)-2)*10)</f>
        <v>70</v>
      </c>
      <c r="V7" s="54">
        <f>IF($O7="","",ROUND(($O7-$O$3)/1000,1)+(_xlfn.RANK.AVG($O7,($J7,$O7,$T7),1)-2)*10)</f>
        <v>-23.5</v>
      </c>
      <c r="W7" s="55">
        <f>IF($T7="","",ROUND(($T7-$T$3)/1000,1)+(_xlfn.RANK.AVG($T7,($J7,$O7,$T7),1)-2)*10)</f>
        <v>-46.5</v>
      </c>
      <c r="Y7" s="8"/>
      <c r="Z7" s="34"/>
      <c r="AA7" s="26"/>
      <c r="AB7" s="26">
        <v>1</v>
      </c>
      <c r="AC7" s="26">
        <v>7</v>
      </c>
      <c r="AD7" s="30" t="s">
        <v>203</v>
      </c>
      <c r="AE7" s="40" t="s">
        <v>86</v>
      </c>
      <c r="AF7" s="41" t="s">
        <v>86</v>
      </c>
      <c r="AG7" s="41" t="s">
        <v>79</v>
      </c>
      <c r="AH7" s="41" t="s">
        <v>79</v>
      </c>
      <c r="AI7" s="41" t="s">
        <v>79</v>
      </c>
      <c r="AJ7" s="41" t="s">
        <v>204</v>
      </c>
      <c r="AK7" s="41" t="s">
        <v>204</v>
      </c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A7C1616E-3B78-416E-93DC-839121E72211}">
      <formula1>"ロン,ツモ,放銃,ツモ支払,流局,チョンボ"</formula1>
    </dataValidation>
    <dataValidation type="list" allowBlank="1" showInputMessage="1" showErrorMessage="1" sqref="E4:E30" xr:uid="{979BECD2-CC3B-4DE3-84A4-FBECBDE7AA62}">
      <formula1>$U$2:$W$2</formula1>
    </dataValidation>
    <dataValidation type="list" allowBlank="1" showInputMessage="1" sqref="F1:T1" xr:uid="{AC6C0125-AEA7-4664-BAF2-9BCC4FEBB113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43F87-5460-422A-917D-B781C7BDB2F1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ぱぱ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199</v>
      </c>
      <c r="G4" s="9">
        <v>-7500</v>
      </c>
      <c r="H4" s="9">
        <v>-2000</v>
      </c>
      <c r="I4" s="48">
        <v>0</v>
      </c>
      <c r="J4" s="21">
        <f>IF(COUNTA($F4,$K4,$P4)&gt;0,J3+SUM(G4:I4),"")</f>
        <v>25500</v>
      </c>
      <c r="K4" s="8" t="s">
        <v>199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200</v>
      </c>
      <c r="Q4" s="9">
        <v>12000</v>
      </c>
      <c r="R4" s="9">
        <v>2000</v>
      </c>
      <c r="S4" s="48">
        <v>0</v>
      </c>
      <c r="T4" s="21">
        <f>IF(COUNTA($F4,$K4,$P4)&gt;0,T3+SUM(Q4:S4),"")</f>
        <v>49000</v>
      </c>
      <c r="U4" s="53">
        <f>IF($J4="","",ROUND(($J4-$J$3)/1000,1)+(_xlfn.RANK.AVG($J4,($J4,$O4,$T4),1)-2)*10)</f>
        <v>-19.5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24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203</v>
      </c>
      <c r="BU4" s="40" t="s">
        <v>201</v>
      </c>
      <c r="BV4" s="41" t="s">
        <v>82</v>
      </c>
      <c r="BW4" s="41" t="s">
        <v>92</v>
      </c>
      <c r="BX4" s="41" t="s">
        <v>79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25500</v>
      </c>
      <c r="K5" s="8" t="s">
        <v>197</v>
      </c>
      <c r="L5" s="9">
        <v>11600</v>
      </c>
      <c r="M5" s="9"/>
      <c r="N5" s="48">
        <v>0</v>
      </c>
      <c r="O5" s="21">
        <f t="shared" ref="O5:O30" si="3">IF(COUNTA($F5,$K5,$P5)&gt;0,O4+SUM(L5:N5),"")</f>
        <v>42100</v>
      </c>
      <c r="P5" s="8" t="s">
        <v>198</v>
      </c>
      <c r="Q5" s="9">
        <v>-11600</v>
      </c>
      <c r="R5" s="9"/>
      <c r="S5" s="48">
        <v>0</v>
      </c>
      <c r="T5" s="21">
        <f t="shared" ref="T5:T30" si="4">IF(COUNTA($F5,$K5,$P5)&gt;0,T4+SUM(Q5:S5),"")</f>
        <v>37400</v>
      </c>
      <c r="U5" s="53">
        <f>IF($J5="","",ROUND(($J5-$J$3)/1000,1)+(_xlfn.RANK.AVG($J5,($J5,$O5,$T5),1)-2)*10)</f>
        <v>-19.5</v>
      </c>
      <c r="V5" s="54">
        <f>IF($O5="","",ROUND(($O5-$O$3)/1000,1)+(_xlfn.RANK.AVG($O5,($J5,$O5,$T5),1)-2)*10)</f>
        <v>17.100000000000001</v>
      </c>
      <c r="W5" s="55">
        <f>IF($T5="","",ROUND(($T5-$T$3)/1000,1)+(_xlfn.RANK.AVG($T5,($J5,$O5,$T5),1)-2)*10)</f>
        <v>2.4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86</v>
      </c>
      <c r="BB5" s="41" t="s">
        <v>204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199</v>
      </c>
      <c r="G6" s="9">
        <v>-6000</v>
      </c>
      <c r="H6" s="9"/>
      <c r="I6" s="48">
        <v>-500</v>
      </c>
      <c r="J6" s="21">
        <f t="shared" si="2"/>
        <v>19000</v>
      </c>
      <c r="K6" s="8" t="s">
        <v>200</v>
      </c>
      <c r="L6" s="9">
        <v>12000</v>
      </c>
      <c r="M6" s="9"/>
      <c r="N6" s="48">
        <v>1000</v>
      </c>
      <c r="O6" s="21">
        <f t="shared" si="3"/>
        <v>55100</v>
      </c>
      <c r="P6" s="8" t="s">
        <v>199</v>
      </c>
      <c r="Q6" s="9">
        <v>-6000</v>
      </c>
      <c r="R6" s="9"/>
      <c r="S6" s="48">
        <v>-500</v>
      </c>
      <c r="T6" s="21">
        <f t="shared" si="4"/>
        <v>30900</v>
      </c>
      <c r="U6" s="53">
        <f>IF($J6="","",ROUND(($J6-$J$3)/1000,1)+(_xlfn.RANK.AVG($J6,($J6,$O6,$T6),1)-2)*10)</f>
        <v>-26</v>
      </c>
      <c r="V6" s="54">
        <f>IF($O6="","",ROUND(($O6-$O$3)/1000,1)+(_xlfn.RANK.AVG($O6,($J6,$O6,$T6),1)-2)*10)</f>
        <v>30.1</v>
      </c>
      <c r="W6" s="55">
        <f>IF($T6="","",ROUND(($T6-$T$3)/1000,1)+(_xlfn.RANK.AVG($T6,($J6,$O6,$T6),1)-2)*10)</f>
        <v>-4.0999999999999996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60</v>
      </c>
      <c r="AZ6" s="40" t="s">
        <v>201</v>
      </c>
      <c r="BA6" s="41" t="s">
        <v>82</v>
      </c>
      <c r="BB6" s="41" t="s">
        <v>86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れんたろう</v>
      </c>
      <c r="F7" s="8"/>
      <c r="G7" s="9"/>
      <c r="H7" s="9"/>
      <c r="I7" s="48"/>
      <c r="J7" s="21">
        <f t="shared" si="2"/>
        <v>19000</v>
      </c>
      <c r="K7" s="8" t="s">
        <v>197</v>
      </c>
      <c r="L7" s="9">
        <v>18000</v>
      </c>
      <c r="M7" s="9">
        <v>1000</v>
      </c>
      <c r="N7" s="48">
        <v>2000</v>
      </c>
      <c r="O7" s="21">
        <f t="shared" si="3"/>
        <v>76100</v>
      </c>
      <c r="P7" s="8" t="s">
        <v>198</v>
      </c>
      <c r="Q7" s="9">
        <v>-18000</v>
      </c>
      <c r="R7" s="9">
        <v>-1000</v>
      </c>
      <c r="S7" s="48">
        <v>-2000</v>
      </c>
      <c r="T7" s="21">
        <f t="shared" si="4"/>
        <v>9900</v>
      </c>
      <c r="U7" s="53">
        <f>IF($J7="","",ROUND(($J7-$J$3)/1000,1)+(_xlfn.RANK.AVG($J7,($J7,$O7,$T7),1)-2)*10)</f>
        <v>-16</v>
      </c>
      <c r="V7" s="54">
        <f>IF($O7="","",ROUND(($O7-$O$3)/1000,1)+(_xlfn.RANK.AVG($O7,($J7,$O7,$T7),1)-2)*10)</f>
        <v>51.1</v>
      </c>
      <c r="W7" s="55">
        <f>IF($T7="","",ROUND(($T7-$T$3)/1000,1)+(_xlfn.RANK.AVG($T7,($J7,$O7,$T7),1)-2)*10)</f>
        <v>-35.1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203</v>
      </c>
      <c r="AZ7" s="40" t="s">
        <v>201</v>
      </c>
      <c r="BA7" s="41" t="s">
        <v>86</v>
      </c>
      <c r="BB7" s="41" t="s">
        <v>79</v>
      </c>
      <c r="BC7" s="41" t="s">
        <v>80</v>
      </c>
      <c r="BD7" s="41" t="s">
        <v>80</v>
      </c>
      <c r="BE7" s="41" t="s">
        <v>80</v>
      </c>
      <c r="BF7" s="41" t="s">
        <v>80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れんたろう</v>
      </c>
      <c r="F8" s="8" t="s">
        <v>199</v>
      </c>
      <c r="G8" s="9">
        <v>-2900</v>
      </c>
      <c r="H8" s="9">
        <v>-1000</v>
      </c>
      <c r="I8" s="48">
        <v>-1500</v>
      </c>
      <c r="J8" s="21">
        <f t="shared" si="2"/>
        <v>13600</v>
      </c>
      <c r="K8" s="8" t="s">
        <v>199</v>
      </c>
      <c r="L8" s="9">
        <v>-4800</v>
      </c>
      <c r="M8" s="9"/>
      <c r="N8" s="48">
        <v>-1500</v>
      </c>
      <c r="O8" s="21">
        <f t="shared" si="3"/>
        <v>69800</v>
      </c>
      <c r="P8" s="8" t="s">
        <v>200</v>
      </c>
      <c r="Q8" s="9">
        <v>7700</v>
      </c>
      <c r="R8" s="9">
        <v>1000</v>
      </c>
      <c r="S8" s="48">
        <v>3000</v>
      </c>
      <c r="T8" s="21">
        <f t="shared" si="4"/>
        <v>21600</v>
      </c>
      <c r="U8" s="53">
        <f>IF($J8="","",ROUND(($J8-$J$3)/1000,1)+(_xlfn.RANK.AVG($J8,($J8,$O8,$T8),1)-2)*10)</f>
        <v>-31.4</v>
      </c>
      <c r="V8" s="54">
        <f>IF($O8="","",ROUND(($O8-$O$3)/1000,1)+(_xlfn.RANK.AVG($O8,($J8,$O8,$T8),1)-2)*10)</f>
        <v>44.8</v>
      </c>
      <c r="W8" s="55">
        <f>IF($T8="","",ROUND(($T8-$T$3)/1000,1)+(_xlfn.RANK.AVG($T8,($J8,$O8,$T8),1)-2)*10)</f>
        <v>-13.4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201</v>
      </c>
      <c r="BV8" s="41" t="s">
        <v>82</v>
      </c>
      <c r="BW8" s="41" t="s">
        <v>84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 t="s">
        <v>197</v>
      </c>
      <c r="G9" s="9">
        <v>8000</v>
      </c>
      <c r="H9" s="9">
        <v>1000</v>
      </c>
      <c r="I9" s="48">
        <v>0</v>
      </c>
      <c r="J9" s="21">
        <f t="shared" si="2"/>
        <v>22600</v>
      </c>
      <c r="K9" s="8" t="s">
        <v>198</v>
      </c>
      <c r="L9" s="9">
        <v>-8000</v>
      </c>
      <c r="M9" s="9"/>
      <c r="N9" s="48">
        <v>0</v>
      </c>
      <c r="O9" s="21">
        <f t="shared" si="3"/>
        <v>61800</v>
      </c>
      <c r="P9" s="8"/>
      <c r="Q9" s="9"/>
      <c r="R9" s="9">
        <v>-1000</v>
      </c>
      <c r="S9" s="48"/>
      <c r="T9" s="21">
        <f t="shared" si="4"/>
        <v>20600</v>
      </c>
      <c r="U9" s="53">
        <f>IF($J9="","",ROUND(($J9-$J$3)/1000,1)+(_xlfn.RANK.AVG($J9,($J9,$O9,$T9),1)-2)*10)</f>
        <v>-12.4</v>
      </c>
      <c r="V9" s="54">
        <f>IF($O9="","",ROUND(($O9-$O$3)/1000,1)+(_xlfn.RANK.AVG($O9,($J9,$O9,$T9),1)-2)*10)</f>
        <v>36.799999999999997</v>
      </c>
      <c r="W9" s="55">
        <f>IF($T9="","",ROUND(($T9-$T$3)/1000,1)+(_xlfn.RANK.AVG($T9,($J9,$O9,$T9),1)-2)*10)</f>
        <v>-24.4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201</v>
      </c>
      <c r="AF9" s="41" t="s">
        <v>202</v>
      </c>
      <c r="AG9" s="41" t="s">
        <v>79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200</v>
      </c>
      <c r="G10" s="9">
        <v>24000</v>
      </c>
      <c r="H10" s="9"/>
      <c r="I10" s="48">
        <v>0</v>
      </c>
      <c r="J10" s="21">
        <f t="shared" si="2"/>
        <v>46600</v>
      </c>
      <c r="K10" s="8" t="s">
        <v>199</v>
      </c>
      <c r="L10" s="9">
        <v>-12000</v>
      </c>
      <c r="M10" s="9"/>
      <c r="N10" s="48">
        <v>0</v>
      </c>
      <c r="O10" s="21">
        <f t="shared" si="3"/>
        <v>49800</v>
      </c>
      <c r="P10" s="8" t="s">
        <v>199</v>
      </c>
      <c r="Q10" s="9">
        <v>-12000</v>
      </c>
      <c r="R10" s="9"/>
      <c r="S10" s="48">
        <v>0</v>
      </c>
      <c r="T10" s="21">
        <f t="shared" si="4"/>
        <v>8600</v>
      </c>
      <c r="U10" s="53">
        <f>IF($J10="","",ROUND(($J10-$J$3)/1000,1)+(_xlfn.RANK.AVG($J10,($J10,$O10,$T10),1)-2)*10)</f>
        <v>11.6</v>
      </c>
      <c r="V10" s="54">
        <f>IF($O10="","",ROUND(($O10-$O$3)/1000,1)+(_xlfn.RANK.AVG($O10,($J10,$O10,$T10),1)-2)*10)</f>
        <v>24.8</v>
      </c>
      <c r="W10" s="55">
        <f>IF($T10="","",ROUND(($T10-$T$3)/1000,1)+(_xlfn.RANK.AVG($T10,($J10,$O10,$T10),1)-2)*10)</f>
        <v>-36.4</v>
      </c>
      <c r="Y10" s="8"/>
      <c r="Z10" s="34"/>
      <c r="AA10" s="26">
        <v>1</v>
      </c>
      <c r="AB10" s="26"/>
      <c r="AC10" s="26">
        <v>8</v>
      </c>
      <c r="AD10" s="30" t="s">
        <v>203</v>
      </c>
      <c r="AE10" s="40" t="s">
        <v>201</v>
      </c>
      <c r="AF10" s="41" t="s">
        <v>82</v>
      </c>
      <c r="AG10" s="41" t="s">
        <v>202</v>
      </c>
      <c r="AH10" s="41" t="s">
        <v>83</v>
      </c>
      <c r="AI10" s="41" t="s">
        <v>204</v>
      </c>
      <c r="AJ10" s="41" t="s">
        <v>80</v>
      </c>
      <c r="AK10" s="41" t="s">
        <v>80</v>
      </c>
      <c r="AL10" s="41" t="s">
        <v>80</v>
      </c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だいち</v>
      </c>
      <c r="F11" s="8" t="s">
        <v>208</v>
      </c>
      <c r="G11" s="9">
        <v>0</v>
      </c>
      <c r="H11" s="9"/>
      <c r="I11" s="48"/>
      <c r="J11" s="21">
        <f t="shared" si="2"/>
        <v>46600</v>
      </c>
      <c r="K11" s="8" t="s">
        <v>208</v>
      </c>
      <c r="L11" s="9">
        <v>0</v>
      </c>
      <c r="M11" s="9">
        <v>-1000</v>
      </c>
      <c r="N11" s="48"/>
      <c r="O11" s="21">
        <f t="shared" si="3"/>
        <v>48800</v>
      </c>
      <c r="P11" s="8" t="s">
        <v>208</v>
      </c>
      <c r="Q11" s="9">
        <v>0</v>
      </c>
      <c r="R11" s="9"/>
      <c r="S11" s="48"/>
      <c r="T11" s="21">
        <f t="shared" si="4"/>
        <v>8600</v>
      </c>
      <c r="U11" s="53">
        <f>IF($J11="","",ROUND(($J11-$J$3)/1000,1)+(_xlfn.RANK.AVG($J11,($J11,$O11,$T11),1)-2)*10)</f>
        <v>11.6</v>
      </c>
      <c r="V11" s="54">
        <f>IF($O11="","",ROUND(($O11-$O$3)/1000,1)+(_xlfn.RANK.AVG($O11,($J11,$O11,$T11),1)-2)*10)</f>
        <v>23.8</v>
      </c>
      <c r="W11" s="55">
        <f>IF($T11="","",ROUND(($T11-$T$3)/1000,1)+(_xlfn.RANK.AVG($T11,($J11,$O11,$T11),1)-2)*10)</f>
        <v>-36.4</v>
      </c>
      <c r="Y11" s="8" t="s">
        <v>205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1</v>
      </c>
      <c r="E12" s="4" t="str">
        <f>IF($F$1="","",$F$1)</f>
        <v>だいち</v>
      </c>
      <c r="F12" s="8" t="s">
        <v>198</v>
      </c>
      <c r="G12" s="9">
        <v>-2000</v>
      </c>
      <c r="H12" s="9">
        <v>-1000</v>
      </c>
      <c r="I12" s="48">
        <v>-2000</v>
      </c>
      <c r="J12" s="21">
        <f t="shared" si="2"/>
        <v>41600</v>
      </c>
      <c r="K12" s="8" t="s">
        <v>197</v>
      </c>
      <c r="L12" s="9">
        <v>2000</v>
      </c>
      <c r="M12" s="9">
        <v>2000</v>
      </c>
      <c r="N12" s="48">
        <v>2000</v>
      </c>
      <c r="O12" s="21">
        <f t="shared" si="3"/>
        <v>54800</v>
      </c>
      <c r="P12" s="8"/>
      <c r="Q12" s="9"/>
      <c r="R12" s="9"/>
      <c r="S12" s="48"/>
      <c r="T12" s="21">
        <f t="shared" si="4"/>
        <v>8600</v>
      </c>
      <c r="U12" s="53">
        <f>IF($J12="","",ROUND(($J12-$J$3)/1000,1)+(_xlfn.RANK.AVG($J12,($J12,$O12,$T12),1)-2)*10)</f>
        <v>6.6</v>
      </c>
      <c r="V12" s="54">
        <f>IF($O12="","",ROUND(($O12-$O$3)/1000,1)+(_xlfn.RANK.AVG($O12,($J12,$O12,$T12),1)-2)*10)</f>
        <v>29.8</v>
      </c>
      <c r="W12" s="55">
        <f>IF($T12="","",ROUND(($T12-$T$3)/1000,1)+(_xlfn.RANK.AVG($T12,($J12,$O12,$T12),1)-2)*10)</f>
        <v>-36.4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86</v>
      </c>
      <c r="BA12" s="41" t="s">
        <v>204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れんたろう</v>
      </c>
      <c r="F13" s="8" t="s">
        <v>198</v>
      </c>
      <c r="G13" s="9">
        <v>-18000</v>
      </c>
      <c r="H13" s="9">
        <v>-1000</v>
      </c>
      <c r="I13" s="48">
        <v>0</v>
      </c>
      <c r="J13" s="21">
        <f t="shared" si="2"/>
        <v>22600</v>
      </c>
      <c r="K13" s="8" t="s">
        <v>197</v>
      </c>
      <c r="L13" s="9">
        <v>18000</v>
      </c>
      <c r="M13" s="9">
        <v>1000</v>
      </c>
      <c r="N13" s="48">
        <v>0</v>
      </c>
      <c r="O13" s="21">
        <f t="shared" si="3"/>
        <v>73800</v>
      </c>
      <c r="P13" s="8"/>
      <c r="Q13" s="9"/>
      <c r="R13" s="9"/>
      <c r="S13" s="48"/>
      <c r="T13" s="21">
        <f t="shared" si="4"/>
        <v>8600</v>
      </c>
      <c r="U13" s="53">
        <f>IF($J13="","",ROUND(($J13-$J$3)/1000,1)+(_xlfn.RANK.AVG($J13,($J13,$O13,$T13),1)-2)*10)</f>
        <v>-12.4</v>
      </c>
      <c r="V13" s="54">
        <f>IF($O13="","",ROUND(($O13-$O$3)/1000,1)+(_xlfn.RANK.AVG($O13,($J13,$O13,$T13),1)-2)*10)</f>
        <v>48.8</v>
      </c>
      <c r="W13" s="55">
        <f>IF($T13="","",ROUND(($T13-$T$3)/1000,1)+(_xlfn.RANK.AVG($T13,($J13,$O13,$T13),1)-2)*10)</f>
        <v>-36.4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6</v>
      </c>
      <c r="AY13" s="30" t="s">
        <v>203</v>
      </c>
      <c r="AZ13" s="40" t="s">
        <v>106</v>
      </c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tr">
        <f>IF($K$1="","",$K$1)</f>
        <v>れんたろう</v>
      </c>
      <c r="F14" s="8"/>
      <c r="G14" s="9"/>
      <c r="H14" s="9"/>
      <c r="I14" s="48"/>
      <c r="J14" s="21">
        <f t="shared" si="2"/>
        <v>22600</v>
      </c>
      <c r="K14" s="8" t="s">
        <v>197</v>
      </c>
      <c r="L14" s="9">
        <v>3900</v>
      </c>
      <c r="M14" s="9"/>
      <c r="N14" s="48">
        <v>1000</v>
      </c>
      <c r="O14" s="21">
        <f t="shared" si="3"/>
        <v>78700</v>
      </c>
      <c r="P14" s="8" t="s">
        <v>198</v>
      </c>
      <c r="Q14" s="9">
        <v>-3900</v>
      </c>
      <c r="R14" s="9"/>
      <c r="S14" s="48">
        <v>-1000</v>
      </c>
      <c r="T14" s="21">
        <f t="shared" si="4"/>
        <v>3700</v>
      </c>
      <c r="U14" s="53">
        <f>IF($J14="","",ROUND(($J14-$J$3)/1000,1)+(_xlfn.RANK.AVG($J14,($J14,$O14,$T14),1)-2)*10)</f>
        <v>-12.4</v>
      </c>
      <c r="V14" s="54">
        <f>IF($O14="","",ROUND(($O14-$O$3)/1000,1)+(_xlfn.RANK.AVG($O14,($J14,$O14,$T14),1)-2)*10)</f>
        <v>53.7</v>
      </c>
      <c r="W14" s="55">
        <f>IF($T14="","",ROUND(($T14-$T$3)/1000,1)+(_xlfn.RANK.AVG($T14,($J14,$O14,$T14),1)-2)*10)</f>
        <v>-41.3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40</v>
      </c>
      <c r="AZ14" s="40" t="s">
        <v>84</v>
      </c>
      <c r="BA14" s="41" t="s">
        <v>79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tr">
        <f>IF($K$1="","",$K$1)</f>
        <v>れんたろう</v>
      </c>
      <c r="F15" s="8" t="s">
        <v>197</v>
      </c>
      <c r="G15" s="9">
        <v>8000</v>
      </c>
      <c r="H15" s="9">
        <v>1000</v>
      </c>
      <c r="I15" s="48">
        <v>2000</v>
      </c>
      <c r="J15" s="21">
        <f t="shared" si="2"/>
        <v>33600</v>
      </c>
      <c r="K15" s="8" t="s">
        <v>198</v>
      </c>
      <c r="L15" s="9">
        <v>-8000</v>
      </c>
      <c r="M15" s="9">
        <v>-1000</v>
      </c>
      <c r="N15" s="48">
        <v>-2000</v>
      </c>
      <c r="O15" s="21">
        <f t="shared" si="3"/>
        <v>67700</v>
      </c>
      <c r="P15" s="8"/>
      <c r="Q15" s="9"/>
      <c r="R15" s="9"/>
      <c r="S15" s="48"/>
      <c r="T15" s="21">
        <f t="shared" si="4"/>
        <v>3700</v>
      </c>
      <c r="U15" s="53">
        <f>IF($J15="","",ROUND(($J15-$J$3)/1000,1)+(_xlfn.RANK.AVG($J15,($J15,$O15,$T15),1)-2)*10)</f>
        <v>-1.4</v>
      </c>
      <c r="V15" s="54">
        <f>IF($O15="","",ROUND(($O15-$O$3)/1000,1)+(_xlfn.RANK.AVG($O15,($J15,$O15,$T15),1)-2)*10)</f>
        <v>42.7</v>
      </c>
      <c r="W15" s="55">
        <f>IF($T15="","",ROUND(($T15-$T$3)/1000,1)+(_xlfn.RANK.AVG($T15,($J15,$O15,$T15),1)-2)*10)</f>
        <v>-41.3</v>
      </c>
      <c r="Y15" s="8"/>
      <c r="Z15" s="34"/>
      <c r="AA15" s="26"/>
      <c r="AB15" s="26">
        <v>1</v>
      </c>
      <c r="AC15" s="26">
        <v>4</v>
      </c>
      <c r="AD15" s="30">
        <v>40</v>
      </c>
      <c r="AE15" s="40" t="s">
        <v>98</v>
      </c>
      <c r="AF15" s="41" t="s">
        <v>104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ぱぱ</v>
      </c>
      <c r="F16" s="8"/>
      <c r="G16" s="9"/>
      <c r="H16" s="9"/>
      <c r="I16" s="48"/>
      <c r="J16" s="21">
        <f t="shared" si="2"/>
        <v>33600</v>
      </c>
      <c r="K16" s="8" t="s">
        <v>198</v>
      </c>
      <c r="L16" s="9">
        <v>-2400</v>
      </c>
      <c r="M16" s="9"/>
      <c r="N16" s="48">
        <v>0</v>
      </c>
      <c r="O16" s="21">
        <f t="shared" si="3"/>
        <v>65300</v>
      </c>
      <c r="P16" s="8" t="s">
        <v>197</v>
      </c>
      <c r="Q16" s="9">
        <v>2400</v>
      </c>
      <c r="R16" s="9"/>
      <c r="S16" s="48">
        <v>0</v>
      </c>
      <c r="T16" s="21">
        <f t="shared" si="4"/>
        <v>6100</v>
      </c>
      <c r="U16" s="53">
        <f>IF($J16="","",ROUND(($J16-$J$3)/1000,1)+(_xlfn.RANK.AVG($J16,($J16,$O16,$T16),1)-2)*10)</f>
        <v>-1.4</v>
      </c>
      <c r="V16" s="54">
        <f>IF($O16="","",ROUND(($O16-$O$3)/1000,1)+(_xlfn.RANK.AVG($O16,($J16,$O16,$T16),1)-2)*10)</f>
        <v>40.299999999999997</v>
      </c>
      <c r="W16" s="55">
        <f>IF($T16="","",ROUND(($T16-$T$3)/1000,1)+(_xlfn.RANK.AVG($T16,($J16,$O16,$T16),1)-2)*10)</f>
        <v>-38.9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1</v>
      </c>
      <c r="BT16" s="30">
        <v>50</v>
      </c>
      <c r="BU16" s="40" t="s">
        <v>201</v>
      </c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3</v>
      </c>
      <c r="C17" s="18">
        <f t="shared" si="6"/>
        <v>1</v>
      </c>
      <c r="D17" s="18">
        <f t="shared" si="1"/>
        <v>0</v>
      </c>
      <c r="E17" s="4" t="str">
        <f>IF($P$1="","",$P$1)</f>
        <v>ぱぱ</v>
      </c>
      <c r="F17" s="8"/>
      <c r="G17" s="9"/>
      <c r="H17" s="9"/>
      <c r="I17" s="48"/>
      <c r="J17" s="21">
        <f t="shared" si="2"/>
        <v>33600</v>
      </c>
      <c r="K17" s="8" t="s">
        <v>198</v>
      </c>
      <c r="L17" s="9">
        <v>-12000</v>
      </c>
      <c r="M17" s="9"/>
      <c r="N17" s="48">
        <v>-1000</v>
      </c>
      <c r="O17" s="21">
        <f t="shared" si="3"/>
        <v>52300</v>
      </c>
      <c r="P17" s="8" t="s">
        <v>197</v>
      </c>
      <c r="Q17" s="9">
        <v>12000</v>
      </c>
      <c r="R17" s="9"/>
      <c r="S17" s="48">
        <v>1000</v>
      </c>
      <c r="T17" s="21">
        <f t="shared" si="4"/>
        <v>19100</v>
      </c>
      <c r="U17" s="53">
        <f>IF($J17="","",ROUND(($J17-$J$3)/1000,1)+(_xlfn.RANK.AVG($J17,($J17,$O17,$T17),1)-2)*10)</f>
        <v>-1.4</v>
      </c>
      <c r="V17" s="54">
        <f>IF($O17="","",ROUND(($O17-$O$3)/1000,1)+(_xlfn.RANK.AVG($O17,($J17,$O17,$T17),1)-2)*10)</f>
        <v>27.3</v>
      </c>
      <c r="W17" s="55">
        <f>IF($T17="","",ROUND(($T17-$T$3)/1000,1)+(_xlfn.RANK.AVG($T17,($J17,$O17,$T17),1)-2)*10)</f>
        <v>-25.9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>
        <v>5</v>
      </c>
      <c r="BT17" s="30" t="s">
        <v>203</v>
      </c>
      <c r="BU17" s="40" t="s">
        <v>86</v>
      </c>
      <c r="BV17" s="41" t="s">
        <v>86</v>
      </c>
      <c r="BW17" s="41" t="s">
        <v>204</v>
      </c>
      <c r="BX17" s="41" t="s">
        <v>79</v>
      </c>
      <c r="BY17" s="41" t="s">
        <v>79</v>
      </c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南</v>
      </c>
      <c r="B18" s="18">
        <f t="shared" si="5"/>
        <v>3</v>
      </c>
      <c r="C18" s="18">
        <f t="shared" si="6"/>
        <v>2</v>
      </c>
      <c r="D18" s="18">
        <f t="shared" si="1"/>
        <v>0</v>
      </c>
      <c r="E18" s="4" t="str">
        <f>IF($P$1="","",$P$1)</f>
        <v>ぱぱ</v>
      </c>
      <c r="F18" s="8" t="s">
        <v>199</v>
      </c>
      <c r="G18" s="9">
        <v>-3000</v>
      </c>
      <c r="H18" s="9"/>
      <c r="I18" s="48">
        <v>-1000</v>
      </c>
      <c r="J18" s="21">
        <f t="shared" si="2"/>
        <v>29600</v>
      </c>
      <c r="K18" s="8" t="s">
        <v>200</v>
      </c>
      <c r="L18" s="9">
        <v>8000</v>
      </c>
      <c r="M18" s="9"/>
      <c r="N18" s="48">
        <v>2000</v>
      </c>
      <c r="O18" s="21">
        <f t="shared" si="3"/>
        <v>62300</v>
      </c>
      <c r="P18" s="8" t="s">
        <v>199</v>
      </c>
      <c r="Q18" s="9">
        <v>-5000</v>
      </c>
      <c r="R18" s="9"/>
      <c r="S18" s="48">
        <v>-1000</v>
      </c>
      <c r="T18" s="21">
        <f t="shared" si="4"/>
        <v>13100</v>
      </c>
      <c r="U18" s="53">
        <f>IF($J18="","",ROUND(($J18-$J$3)/1000,1)+(_xlfn.RANK.AVG($J18,($J18,$O18,$T18),1)-2)*10)</f>
        <v>-5.4</v>
      </c>
      <c r="V18" s="54">
        <f>IF($O18="","",ROUND(($O18-$O$3)/1000,1)+(_xlfn.RANK.AVG($O18,($J18,$O18,$T18),1)-2)*10)</f>
        <v>37.299999999999997</v>
      </c>
      <c r="W18" s="55">
        <f>IF($T18="","",ROUND(($T18-$T$3)/1000,1)+(_xlfn.RANK.AVG($T18,($J18,$O18,$T18),1)-2)*10)</f>
        <v>-31.9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>
        <v>1</v>
      </c>
      <c r="AX18" s="26">
        <v>4</v>
      </c>
      <c r="AY18" s="30">
        <v>40</v>
      </c>
      <c r="AZ18" s="40" t="s">
        <v>93</v>
      </c>
      <c r="BA18" s="41" t="s">
        <v>86</v>
      </c>
      <c r="BB18" s="41" t="s">
        <v>86</v>
      </c>
      <c r="BC18" s="41" t="s">
        <v>89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9C6782F6-BF33-4BCE-B5EE-CA8DBC5FF107}">
      <formula1>"れんたろう,ともき,だいち,りくと,まっつん,たかの,のり,ただ,"</formula1>
    </dataValidation>
    <dataValidation type="list" allowBlank="1" showInputMessage="1" showErrorMessage="1" sqref="E4:E30" xr:uid="{F602DF3B-5D25-4CAC-B431-71F29CBAE4BD}">
      <formula1>$U$2:$W$2</formula1>
    </dataValidation>
    <dataValidation type="list" showInputMessage="1" showErrorMessage="1" sqref="K4:K30 P4:P30 F4:F30" xr:uid="{C13F27F2-1C9C-4CB3-87C5-8B602B877C9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CEB1B-7300-4F29-9DD6-19E0E4C9B623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ぱぱ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203</v>
      </c>
      <c r="AZ4" s="40" t="s">
        <v>201</v>
      </c>
      <c r="BA4" s="41" t="s">
        <v>86</v>
      </c>
      <c r="BB4" s="41" t="s">
        <v>79</v>
      </c>
      <c r="BC4" s="41" t="s">
        <v>80</v>
      </c>
      <c r="BD4" s="41" t="s">
        <v>80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ぱぱ</v>
      </c>
      <c r="F5" s="8" t="s">
        <v>200</v>
      </c>
      <c r="G5" s="9">
        <v>2100</v>
      </c>
      <c r="H5" s="9"/>
      <c r="I5" s="48">
        <v>0</v>
      </c>
      <c r="J5" s="21">
        <f t="shared" ref="J5:J30" si="2">IF(COUNTA($F5,$K5,$P5)&gt;0,J4+SUM(G5:I5),"")</f>
        <v>25100</v>
      </c>
      <c r="K5" s="8" t="s">
        <v>199</v>
      </c>
      <c r="L5" s="9">
        <v>-1300</v>
      </c>
      <c r="M5" s="9"/>
      <c r="N5" s="48">
        <v>0</v>
      </c>
      <c r="O5" s="21">
        <f t="shared" ref="O5:O30" si="3">IF(COUNTA($F5,$K5,$P5)&gt;0,O4+SUM(L5:N5),"")</f>
        <v>45700</v>
      </c>
      <c r="P5" s="8" t="s">
        <v>199</v>
      </c>
      <c r="Q5" s="9">
        <v>-800</v>
      </c>
      <c r="R5" s="9"/>
      <c r="S5" s="48">
        <v>0</v>
      </c>
      <c r="T5" s="21">
        <f t="shared" ref="T5:T30" si="4">IF(COUNTA($F5,$K5,$P5)&gt;0,T4+SUM(Q5:S5),"")</f>
        <v>34200</v>
      </c>
      <c r="U5" s="53">
        <f>IF($J5="","",ROUND(($J5-$J$3)/1000,1)+(_xlfn.RANK.AVG($J5,($J5,$O5,$T5),1)-2)*10)</f>
        <v>-19.899999999999999</v>
      </c>
      <c r="V5" s="54">
        <f>IF($O5="","",ROUND(($O5-$O$3)/1000,1)+(_xlfn.RANK.AVG($O5,($J5,$O5,$T5),1)-2)*10)</f>
        <v>20.7</v>
      </c>
      <c r="W5" s="55">
        <f>IF($T5="","",ROUND(($T5-$T$3)/1000,1)+(_xlfn.RANK.AVG($T5,($J5,$O5,$T5),1)-2)*10)</f>
        <v>-0.8</v>
      </c>
      <c r="Y5" s="8"/>
      <c r="Z5" s="34"/>
      <c r="AA5" s="26"/>
      <c r="AB5" s="26"/>
      <c r="AC5" s="26">
        <v>2</v>
      </c>
      <c r="AD5" s="30">
        <v>30</v>
      </c>
      <c r="AE5" s="40" t="s">
        <v>82</v>
      </c>
      <c r="AF5" s="41" t="s">
        <v>204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200</v>
      </c>
      <c r="G6" s="9">
        <v>8000</v>
      </c>
      <c r="H6" s="9"/>
      <c r="I6" s="48">
        <v>0</v>
      </c>
      <c r="J6" s="21">
        <f t="shared" si="2"/>
        <v>33100</v>
      </c>
      <c r="K6" s="8" t="s">
        <v>199</v>
      </c>
      <c r="L6" s="9">
        <v>-3000</v>
      </c>
      <c r="M6" s="9"/>
      <c r="N6" s="48">
        <v>0</v>
      </c>
      <c r="O6" s="21">
        <f t="shared" si="3"/>
        <v>42700</v>
      </c>
      <c r="P6" s="8" t="s">
        <v>199</v>
      </c>
      <c r="Q6" s="9">
        <v>-5000</v>
      </c>
      <c r="R6" s="9"/>
      <c r="S6" s="48">
        <v>0</v>
      </c>
      <c r="T6" s="21">
        <f t="shared" si="4"/>
        <v>29200</v>
      </c>
      <c r="U6" s="53">
        <f>IF($J6="","",ROUND(($J6-$J$3)/1000,1)+(_xlfn.RANK.AVG($J6,($J6,$O6,$T6),1)-2)*10)</f>
        <v>-1.9</v>
      </c>
      <c r="V6" s="54">
        <f>IF($O6="","",ROUND(($O6-$O$3)/1000,1)+(_xlfn.RANK.AVG($O6,($J6,$O6,$T6),1)-2)*10)</f>
        <v>17.7</v>
      </c>
      <c r="W6" s="55">
        <f>IF($T6="","",ROUND(($T6-$T$3)/1000,1)+(_xlfn.RANK.AVG($T6,($J6,$O6,$T6),1)-2)*10)</f>
        <v>-15.8</v>
      </c>
      <c r="Y6" s="8"/>
      <c r="Z6" s="34"/>
      <c r="AA6" s="26">
        <v>1</v>
      </c>
      <c r="AB6" s="26"/>
      <c r="AC6" s="26">
        <v>5</v>
      </c>
      <c r="AD6" s="30" t="s">
        <v>203</v>
      </c>
      <c r="AE6" s="40" t="s">
        <v>201</v>
      </c>
      <c r="AF6" s="41" t="s">
        <v>82</v>
      </c>
      <c r="AG6" s="41" t="s">
        <v>202</v>
      </c>
      <c r="AH6" s="41" t="s">
        <v>79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199</v>
      </c>
      <c r="G7" s="9">
        <v>-5000</v>
      </c>
      <c r="H7" s="9"/>
      <c r="I7" s="48">
        <v>0</v>
      </c>
      <c r="J7" s="21">
        <f t="shared" si="2"/>
        <v>28100</v>
      </c>
      <c r="K7" s="8" t="s">
        <v>199</v>
      </c>
      <c r="L7" s="9">
        <v>-3000</v>
      </c>
      <c r="M7" s="9"/>
      <c r="N7" s="48">
        <v>0</v>
      </c>
      <c r="O7" s="21">
        <f t="shared" si="3"/>
        <v>39700</v>
      </c>
      <c r="P7" s="8" t="s">
        <v>200</v>
      </c>
      <c r="Q7" s="9">
        <v>8000</v>
      </c>
      <c r="R7" s="9"/>
      <c r="S7" s="48">
        <v>0</v>
      </c>
      <c r="T7" s="21">
        <f t="shared" si="4"/>
        <v>37200</v>
      </c>
      <c r="U7" s="53">
        <f>IF($J7="","",ROUND(($J7-$J$3)/1000,1)+(_xlfn.RANK.AVG($J7,($J7,$O7,$T7),1)-2)*10)</f>
        <v>-16.899999999999999</v>
      </c>
      <c r="V7" s="54">
        <f>IF($O7="","",ROUND(($O7-$O$3)/1000,1)+(_xlfn.RANK.AVG($O7,($J7,$O7,$T7),1)-2)*10)</f>
        <v>14.7</v>
      </c>
      <c r="W7" s="55">
        <f>IF($T7="","",ROUND(($T7-$T$3)/1000,1)+(_xlfn.RANK.AVG($T7,($J7,$O7,$T7),1)-2)*10)</f>
        <v>2.2000000000000002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203</v>
      </c>
      <c r="BU7" s="40" t="s">
        <v>201</v>
      </c>
      <c r="BV7" s="41" t="s">
        <v>82</v>
      </c>
      <c r="BW7" s="41" t="s">
        <v>79</v>
      </c>
      <c r="BX7" s="41" t="s">
        <v>80</v>
      </c>
      <c r="BY7" s="41" t="s">
        <v>204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ぱぱ</v>
      </c>
      <c r="F8" s="8" t="s">
        <v>197</v>
      </c>
      <c r="G8" s="9">
        <v>8000</v>
      </c>
      <c r="H8" s="9">
        <v>1000</v>
      </c>
      <c r="I8" s="48">
        <v>0</v>
      </c>
      <c r="J8" s="21">
        <f t="shared" si="2"/>
        <v>37100</v>
      </c>
      <c r="K8" s="8" t="s">
        <v>198</v>
      </c>
      <c r="L8" s="9">
        <v>-8000</v>
      </c>
      <c r="M8" s="9">
        <v>-1000</v>
      </c>
      <c r="N8" s="48">
        <v>0</v>
      </c>
      <c r="O8" s="21">
        <f t="shared" si="3"/>
        <v>30700</v>
      </c>
      <c r="P8" s="8"/>
      <c r="Q8" s="9"/>
      <c r="R8" s="9"/>
      <c r="S8" s="48"/>
      <c r="T8" s="21">
        <f t="shared" si="4"/>
        <v>37200</v>
      </c>
      <c r="U8" s="53">
        <f>IF($J8="","",ROUND(($J8-$J$3)/1000,1)+(_xlfn.RANK.AVG($J8,($J8,$O8,$T8),1)-2)*10)</f>
        <v>2.1</v>
      </c>
      <c r="V8" s="54">
        <f>IF($O8="","",ROUND(($O8-$O$3)/1000,1)+(_xlfn.RANK.AVG($O8,($J8,$O8,$T8),1)-2)*10)</f>
        <v>-14.3</v>
      </c>
      <c r="W8" s="55">
        <f>IF($T8="","",ROUND(($T8-$T$3)/1000,1)+(_xlfn.RANK.AVG($T8,($J8,$O8,$T8),1)-2)*10)</f>
        <v>12.2</v>
      </c>
      <c r="Y8" s="8"/>
      <c r="Z8" s="34"/>
      <c r="AA8" s="26">
        <v>1</v>
      </c>
      <c r="AB8" s="26"/>
      <c r="AC8" s="26">
        <v>5</v>
      </c>
      <c r="AD8" s="30" t="s">
        <v>203</v>
      </c>
      <c r="AE8" s="40" t="s">
        <v>201</v>
      </c>
      <c r="AF8" s="41" t="s">
        <v>79</v>
      </c>
      <c r="AG8" s="41" t="s">
        <v>79</v>
      </c>
      <c r="AH8" s="41" t="s">
        <v>204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199</v>
      </c>
      <c r="G9" s="9">
        <v>-800</v>
      </c>
      <c r="H9" s="9"/>
      <c r="I9" s="48">
        <v>0</v>
      </c>
      <c r="J9" s="21">
        <f t="shared" si="2"/>
        <v>36300</v>
      </c>
      <c r="K9" s="8" t="s">
        <v>199</v>
      </c>
      <c r="L9" s="9">
        <v>-800</v>
      </c>
      <c r="M9" s="9"/>
      <c r="N9" s="48">
        <v>0</v>
      </c>
      <c r="O9" s="21">
        <f t="shared" si="3"/>
        <v>29900</v>
      </c>
      <c r="P9" s="8" t="s">
        <v>200</v>
      </c>
      <c r="Q9" s="9">
        <v>1600</v>
      </c>
      <c r="R9" s="9"/>
      <c r="S9" s="48">
        <v>0</v>
      </c>
      <c r="T9" s="21">
        <f t="shared" si="4"/>
        <v>38800</v>
      </c>
      <c r="U9" s="53">
        <f>IF($J9="","",ROUND(($J9-$J$3)/1000,1)+(_xlfn.RANK.AVG($J9,($J9,$O9,$T9),1)-2)*10)</f>
        <v>1.3</v>
      </c>
      <c r="V9" s="54">
        <f>IF($O9="","",ROUND(($O9-$O$3)/1000,1)+(_xlfn.RANK.AVG($O9,($J9,$O9,$T9),1)-2)*10)</f>
        <v>-15.1</v>
      </c>
      <c r="W9" s="55">
        <f>IF($T9="","",ROUND(($T9-$T$3)/1000,1)+(_xlfn.RANK.AVG($T9,($J9,$O9,$T9),1)-2)*10)</f>
        <v>13.8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DF5B5BFD-B9F4-44EE-9791-AE327F78FFAF}">
      <formula1>"ロン,ツモ,放銃,ツモ支払,流局,チョンボ"</formula1>
    </dataValidation>
    <dataValidation type="list" allowBlank="1" showInputMessage="1" showErrorMessage="1" sqref="E4:E30" xr:uid="{F7E0123A-EA4E-475F-92D6-93EE9DEAE562}">
      <formula1>$U$2:$W$2</formula1>
    </dataValidation>
    <dataValidation type="list" allowBlank="1" showInputMessage="1" sqref="F1:T1" xr:uid="{3E69783C-8D97-4EBD-8DFD-F56513951013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FECB-AE42-4CAB-99D4-B7EFAC968B3E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ぱぱ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86</v>
      </c>
      <c r="BA4" s="41" t="s">
        <v>86</v>
      </c>
      <c r="BB4" s="41" t="s">
        <v>104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ぱぱ</v>
      </c>
      <c r="F5" s="8" t="s">
        <v>200</v>
      </c>
      <c r="G5" s="9">
        <v>16000</v>
      </c>
      <c r="H5" s="9"/>
      <c r="I5" s="48">
        <v>0</v>
      </c>
      <c r="J5" s="21">
        <f t="shared" ref="J5:J30" si="2">IF(COUNTA($F5,$K5,$P5)&gt;0,J4+SUM(G5:I5),"")</f>
        <v>43000</v>
      </c>
      <c r="K5" s="8" t="s">
        <v>199</v>
      </c>
      <c r="L5" s="9">
        <v>-10000</v>
      </c>
      <c r="M5" s="9"/>
      <c r="N5" s="48">
        <v>0</v>
      </c>
      <c r="O5" s="21">
        <f t="shared" ref="O5:O30" si="3">IF(COUNTA($F5,$K5,$P5)&gt;0,O4+SUM(L5:N5),"")</f>
        <v>33000</v>
      </c>
      <c r="P5" s="8" t="s">
        <v>199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18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-16</v>
      </c>
      <c r="Y5" s="8"/>
      <c r="Z5" s="34"/>
      <c r="AA5" s="26">
        <v>1</v>
      </c>
      <c r="AB5" s="26"/>
      <c r="AC5" s="26">
        <v>8</v>
      </c>
      <c r="AD5" s="30" t="s">
        <v>203</v>
      </c>
      <c r="AE5" s="40" t="s">
        <v>201</v>
      </c>
      <c r="AF5" s="41" t="s">
        <v>82</v>
      </c>
      <c r="AG5" s="41" t="s">
        <v>202</v>
      </c>
      <c r="AH5" s="41" t="s">
        <v>104</v>
      </c>
      <c r="AI5" s="41" t="s">
        <v>86</v>
      </c>
      <c r="AJ5" s="41" t="s">
        <v>204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1300</v>
      </c>
      <c r="H6" s="9"/>
      <c r="I6" s="48">
        <v>0</v>
      </c>
      <c r="J6" s="21">
        <f t="shared" si="2"/>
        <v>44300</v>
      </c>
      <c r="K6" s="8" t="s">
        <v>198</v>
      </c>
      <c r="L6" s="9">
        <v>-1300</v>
      </c>
      <c r="M6" s="9"/>
      <c r="N6" s="48">
        <v>0</v>
      </c>
      <c r="O6" s="21">
        <f t="shared" si="3"/>
        <v>31700</v>
      </c>
      <c r="P6" s="8"/>
      <c r="Q6" s="9"/>
      <c r="R6" s="9"/>
      <c r="S6" s="48"/>
      <c r="T6" s="21">
        <f t="shared" si="4"/>
        <v>29000</v>
      </c>
      <c r="U6" s="53">
        <f>IF($J6="","",ROUND(($J6-$J$3)/1000,1)+(_xlfn.RANK.AVG($J6,($J6,$O6,$T6),1)-2)*10)</f>
        <v>19.3</v>
      </c>
      <c r="V6" s="54">
        <f>IF($O6="","",ROUND(($O6-$O$3)/1000,1)+(_xlfn.RANK.AVG($O6,($J6,$O6,$T6),1)-2)*10)</f>
        <v>-3.3</v>
      </c>
      <c r="W6" s="55">
        <f>IF($T6="","",ROUND(($T6-$T$3)/1000,1)+(_xlfn.RANK.AVG($T6,($J6,$O6,$T6),1)-2)*10)</f>
        <v>-16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201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197</v>
      </c>
      <c r="G7" s="9">
        <v>18000</v>
      </c>
      <c r="H7" s="9"/>
      <c r="I7" s="48">
        <v>0</v>
      </c>
      <c r="J7" s="21">
        <f t="shared" si="2"/>
        <v>62300</v>
      </c>
      <c r="K7" s="8" t="s">
        <v>198</v>
      </c>
      <c r="L7" s="9">
        <v>-18000</v>
      </c>
      <c r="M7" s="9"/>
      <c r="N7" s="48">
        <v>0</v>
      </c>
      <c r="O7" s="21">
        <f t="shared" si="3"/>
        <v>13700</v>
      </c>
      <c r="P7" s="8"/>
      <c r="Q7" s="9"/>
      <c r="R7" s="9"/>
      <c r="S7" s="48"/>
      <c r="T7" s="21">
        <f t="shared" si="4"/>
        <v>29000</v>
      </c>
      <c r="U7" s="53">
        <f>IF($J7="","",ROUND(($J7-$J$3)/1000,1)+(_xlfn.RANK.AVG($J7,($J7,$O7,$T7),1)-2)*10)</f>
        <v>37.299999999999997</v>
      </c>
      <c r="V7" s="54">
        <f>IF($O7="","",ROUND(($O7-$O$3)/1000,1)+(_xlfn.RANK.AVG($O7,($J7,$O7,$T7),1)-2)*10)</f>
        <v>-31.3</v>
      </c>
      <c r="W7" s="55">
        <f>IF($T7="","",ROUND(($T7-$T$3)/1000,1)+(_xlfn.RANK.AVG($T7,($J7,$O7,$T7),1)-2)*10)</f>
        <v>-6</v>
      </c>
      <c r="Y7" s="8"/>
      <c r="Z7" s="34"/>
      <c r="AA7" s="26"/>
      <c r="AB7" s="26"/>
      <c r="AC7" s="26">
        <v>7</v>
      </c>
      <c r="AD7" s="30" t="s">
        <v>203</v>
      </c>
      <c r="AE7" s="40" t="s">
        <v>106</v>
      </c>
      <c r="AF7" s="41" t="s">
        <v>84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れんたろう</v>
      </c>
      <c r="F8" s="8" t="s">
        <v>197</v>
      </c>
      <c r="G8" s="9">
        <v>48000</v>
      </c>
      <c r="H8" s="9">
        <v>1000</v>
      </c>
      <c r="I8" s="48">
        <v>1000</v>
      </c>
      <c r="J8" s="21">
        <f t="shared" si="2"/>
        <v>112300</v>
      </c>
      <c r="K8" s="8"/>
      <c r="L8" s="9"/>
      <c r="M8" s="9">
        <v>-1000</v>
      </c>
      <c r="N8" s="48"/>
      <c r="O8" s="21">
        <f t="shared" si="3"/>
        <v>12700</v>
      </c>
      <c r="P8" s="8" t="s">
        <v>198</v>
      </c>
      <c r="Q8" s="9">
        <v>-48000</v>
      </c>
      <c r="R8" s="9"/>
      <c r="S8" s="48">
        <v>-1000</v>
      </c>
      <c r="T8" s="21">
        <f t="shared" si="4"/>
        <v>-20000</v>
      </c>
      <c r="U8" s="53">
        <f>IF($J8="","",ROUND(($J8-$J$3)/1000,1)+(_xlfn.RANK.AVG($J8,($J8,$O8,$T8),1)-2)*10)</f>
        <v>87.3</v>
      </c>
      <c r="V8" s="54">
        <f>IF($O8="","",ROUND(($O8-$O$3)/1000,1)+(_xlfn.RANK.AVG($O8,($J8,$O8,$T8),1)-2)*10)</f>
        <v>-22.3</v>
      </c>
      <c r="W8" s="55">
        <f>IF($T8="","",ROUND(($T8-$T$3)/1000,1)+(_xlfn.RANK.AVG($T8,($J8,$O8,$T8),1)-2)*10)</f>
        <v>-65</v>
      </c>
      <c r="Y8" s="8"/>
      <c r="Z8" s="34"/>
      <c r="AA8" s="26"/>
      <c r="AB8" s="26"/>
      <c r="AC8" s="26">
        <v>13</v>
      </c>
      <c r="AD8" s="30" t="s">
        <v>203</v>
      </c>
      <c r="AE8" s="40" t="s">
        <v>107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れんたろう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23293D55-DEA1-402C-98AC-08754BA09A4C}">
      <formula1>$U$2:$W$2</formula1>
    </dataValidation>
    <dataValidation type="list" showInputMessage="1" showErrorMessage="1" sqref="K4:K30 P4:P30 F4:F30" xr:uid="{91E51416-59D1-4283-8B61-2102B89052A9}">
      <formula1>"ロン,ツモ,放銃,ツモ支払,流局,チョンボ"</formula1>
    </dataValidation>
    <dataValidation type="list" allowBlank="1" showInputMessage="1" sqref="F1:T1" xr:uid="{E598DC36-9D1B-4B69-B1C1-2C8C4F7F2DDA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2020-05-31T07:56:55Z</dcterms:modified>
</cp:coreProperties>
</file>