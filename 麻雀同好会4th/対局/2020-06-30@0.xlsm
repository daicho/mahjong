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D5BC9E9E-76D5-4CB2-A03E-4F9B2D2AEA47}" xr6:coauthVersionLast="44" xr6:coauthVersionMax="44" xr10:uidLastSave="{00000000-0000-0000-0000-000000000000}"/>
  <bookViews>
    <workbookView xWindow="-108" yWindow="-108" windowWidth="23256" windowHeight="12720" activeTab="5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役一覧" sheetId="15" state="hidden" r:id="rId7"/>
    <sheet name="点数表(親ロン)" sheetId="4" state="hidden" r:id="rId8"/>
    <sheet name="点数表(親ツモ)" sheetId="9" state="hidden" r:id="rId9"/>
    <sheet name="点数表(子→親)" sheetId="7" state="hidden" r:id="rId10"/>
    <sheet name="点数表(子ロン)" sheetId="3" state="hidden" r:id="rId11"/>
    <sheet name="点数表(子ツモ)" sheetId="10" state="hidden" r:id="rId12"/>
    <sheet name="点数表(子→子)" sheetId="5" state="hidden" r:id="rId13"/>
    <sheet name="点数表(親→子)" sheetId="6" state="hidden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0" i="24" l="1"/>
  <c r="E9" i="24"/>
  <c r="E8" i="24"/>
  <c r="E7" i="24"/>
  <c r="E6" i="24"/>
  <c r="E5" i="24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D19" i="24"/>
  <c r="D18" i="24"/>
  <c r="D17" i="24"/>
  <c r="D15" i="24"/>
  <c r="C15" i="24"/>
  <c r="C14" i="24"/>
  <c r="D13" i="24"/>
  <c r="D11" i="24"/>
  <c r="D10" i="24"/>
  <c r="D9" i="24"/>
  <c r="D7" i="24"/>
  <c r="T5" i="24"/>
  <c r="T6" i="24" s="1"/>
  <c r="J5" i="24"/>
  <c r="J6" i="24" s="1"/>
  <c r="C5" i="24"/>
  <c r="C6" i="24" s="1"/>
  <c r="D5" i="24"/>
  <c r="T4" i="24"/>
  <c r="O4" i="24"/>
  <c r="J4" i="24"/>
  <c r="U4" i="24" s="1"/>
  <c r="E4" i="24"/>
  <c r="B5" i="24" s="1"/>
  <c r="A5" i="24" s="1"/>
  <c r="W3" i="24"/>
  <c r="V3" i="24"/>
  <c r="U3" i="24"/>
  <c r="W2" i="24"/>
  <c r="V2" i="24"/>
  <c r="U2" i="24"/>
  <c r="BO1" i="24"/>
  <c r="AT1" i="24"/>
  <c r="Y1" i="24"/>
  <c r="C20" i="23"/>
  <c r="E19" i="23"/>
  <c r="E18" i="23"/>
  <c r="D18" i="23" s="1"/>
  <c r="E17" i="23"/>
  <c r="E16" i="23"/>
  <c r="E15" i="23"/>
  <c r="E14" i="23"/>
  <c r="D14" i="23" s="1"/>
  <c r="E13" i="23"/>
  <c r="E12" i="23"/>
  <c r="C12" i="23" s="1"/>
  <c r="E11" i="23"/>
  <c r="E10" i="23"/>
  <c r="C10" i="23" s="1"/>
  <c r="E9" i="23"/>
  <c r="E8" i="23"/>
  <c r="E7" i="23"/>
  <c r="E6" i="23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T19" i="23"/>
  <c r="W19" i="23" s="1"/>
  <c r="O19" i="23"/>
  <c r="J19" i="23"/>
  <c r="D19" i="23"/>
  <c r="C19" i="23"/>
  <c r="B19" i="23"/>
  <c r="A19" i="23"/>
  <c r="T18" i="23"/>
  <c r="W18" i="23" s="1"/>
  <c r="O18" i="23"/>
  <c r="V18" i="23" s="1"/>
  <c r="J18" i="23"/>
  <c r="T17" i="23"/>
  <c r="O17" i="23"/>
  <c r="V17" i="23" s="1"/>
  <c r="J17" i="23"/>
  <c r="D17" i="23"/>
  <c r="C17" i="23"/>
  <c r="B17" i="23"/>
  <c r="A17" i="23"/>
  <c r="T16" i="23"/>
  <c r="W16" i="23" s="1"/>
  <c r="O16" i="23"/>
  <c r="J16" i="23"/>
  <c r="D16" i="23"/>
  <c r="C16" i="23"/>
  <c r="B16" i="23"/>
  <c r="A16" i="23" s="1"/>
  <c r="T15" i="23"/>
  <c r="O15" i="23"/>
  <c r="J15" i="23"/>
  <c r="D15" i="23"/>
  <c r="C15" i="23"/>
  <c r="B15" i="23"/>
  <c r="A15" i="23" s="1"/>
  <c r="T14" i="23"/>
  <c r="O14" i="23"/>
  <c r="J14" i="23"/>
  <c r="T13" i="23"/>
  <c r="O13" i="23"/>
  <c r="J13" i="23"/>
  <c r="D13" i="23"/>
  <c r="C13" i="23"/>
  <c r="B13" i="23"/>
  <c r="A13" i="23"/>
  <c r="T12" i="23"/>
  <c r="O12" i="23"/>
  <c r="J12" i="23"/>
  <c r="U12" i="23" s="1"/>
  <c r="D12" i="23"/>
  <c r="B12" i="23"/>
  <c r="A12" i="23"/>
  <c r="T11" i="23"/>
  <c r="O11" i="23"/>
  <c r="J11" i="23"/>
  <c r="D11" i="23"/>
  <c r="C11" i="23"/>
  <c r="B11" i="23"/>
  <c r="A11" i="23" s="1"/>
  <c r="D9" i="23"/>
  <c r="D8" i="23"/>
  <c r="C8" i="23"/>
  <c r="J7" i="23"/>
  <c r="J8" i="23" s="1"/>
  <c r="D7" i="23"/>
  <c r="C7" i="23"/>
  <c r="J6" i="23"/>
  <c r="J5" i="23"/>
  <c r="D5" i="23"/>
  <c r="T4" i="23"/>
  <c r="T5" i="23" s="1"/>
  <c r="O4" i="23"/>
  <c r="O5" i="23" s="1"/>
  <c r="J4" i="23"/>
  <c r="E4" i="23"/>
  <c r="W3" i="23"/>
  <c r="V3" i="23"/>
  <c r="U3" i="23"/>
  <c r="W2" i="23"/>
  <c r="V2" i="23"/>
  <c r="U2" i="23"/>
  <c r="BO1" i="23"/>
  <c r="AT1" i="23"/>
  <c r="Y1" i="23"/>
  <c r="E10" i="22"/>
  <c r="D10" i="22" s="1"/>
  <c r="E9" i="22"/>
  <c r="E8" i="22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T11" i="22"/>
  <c r="W11" i="22" s="1"/>
  <c r="O11" i="22"/>
  <c r="V11" i="22" s="1"/>
  <c r="J11" i="22"/>
  <c r="U11" i="22" s="1"/>
  <c r="D11" i="22"/>
  <c r="C11" i="22"/>
  <c r="B11" i="22"/>
  <c r="A11" i="22" s="1"/>
  <c r="T10" i="22"/>
  <c r="O10" i="22"/>
  <c r="J10" i="22"/>
  <c r="C9" i="22"/>
  <c r="D9" i="22"/>
  <c r="C7" i="22"/>
  <c r="T6" i="22"/>
  <c r="T7" i="22" s="1"/>
  <c r="D6" i="22"/>
  <c r="T5" i="22"/>
  <c r="D5" i="22"/>
  <c r="C5" i="22"/>
  <c r="T4" i="22"/>
  <c r="O4" i="22"/>
  <c r="O5" i="22" s="1"/>
  <c r="J4" i="22"/>
  <c r="E4" i="22"/>
  <c r="B5" i="22" s="1"/>
  <c r="A5" i="22" s="1"/>
  <c r="W3" i="22"/>
  <c r="V3" i="22"/>
  <c r="U3" i="22"/>
  <c r="W2" i="22"/>
  <c r="V2" i="22"/>
  <c r="U2" i="22"/>
  <c r="BO1" i="22"/>
  <c r="AT1" i="22"/>
  <c r="Y1" i="22"/>
  <c r="E9" i="21"/>
  <c r="E8" i="21"/>
  <c r="D8" i="21" s="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T10" i="21"/>
  <c r="W10" i="21" s="1"/>
  <c r="O10" i="21"/>
  <c r="V10" i="21" s="1"/>
  <c r="J10" i="21"/>
  <c r="U10" i="21" s="1"/>
  <c r="D10" i="21"/>
  <c r="C10" i="21"/>
  <c r="B10" i="21"/>
  <c r="A10" i="21" s="1"/>
  <c r="C9" i="21"/>
  <c r="D9" i="21"/>
  <c r="C8" i="21"/>
  <c r="T5" i="21"/>
  <c r="D5" i="21"/>
  <c r="T4" i="21"/>
  <c r="O4" i="21"/>
  <c r="O5" i="21" s="1"/>
  <c r="J4" i="21"/>
  <c r="J5" i="21" s="1"/>
  <c r="E4" i="21"/>
  <c r="W3" i="21"/>
  <c r="V3" i="21"/>
  <c r="U3" i="21"/>
  <c r="W2" i="21"/>
  <c r="V2" i="21"/>
  <c r="U2" i="21"/>
  <c r="BO1" i="21"/>
  <c r="AT1" i="21"/>
  <c r="Y1" i="21"/>
  <c r="C10" i="20"/>
  <c r="E9" i="20"/>
  <c r="E8" i="20"/>
  <c r="E7" i="20"/>
  <c r="D7" i="20" s="1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D11" i="20"/>
  <c r="D10" i="20"/>
  <c r="D9" i="20"/>
  <c r="C9" i="20"/>
  <c r="C7" i="20"/>
  <c r="D6" i="20"/>
  <c r="C6" i="20"/>
  <c r="T5" i="20"/>
  <c r="D5" i="20"/>
  <c r="T4" i="20"/>
  <c r="O4" i="20"/>
  <c r="O5" i="20" s="1"/>
  <c r="J4" i="20"/>
  <c r="E4" i="20"/>
  <c r="W3" i="20"/>
  <c r="V3" i="20"/>
  <c r="U3" i="20"/>
  <c r="W2" i="20"/>
  <c r="V2" i="20"/>
  <c r="U2" i="20"/>
  <c r="BO1" i="20"/>
  <c r="AT1" i="20"/>
  <c r="Y1" i="20"/>
  <c r="E11" i="19"/>
  <c r="E10" i="19"/>
  <c r="E9" i="19"/>
  <c r="E8" i="19"/>
  <c r="E7" i="19"/>
  <c r="E6" i="19"/>
  <c r="E5" i="19"/>
  <c r="W4" i="24" l="1"/>
  <c r="C7" i="24"/>
  <c r="J7" i="24"/>
  <c r="T7" i="24"/>
  <c r="C8" i="24"/>
  <c r="C16" i="24"/>
  <c r="B6" i="24"/>
  <c r="A6" i="24" s="1"/>
  <c r="D8" i="24"/>
  <c r="C11" i="24"/>
  <c r="C12" i="24" s="1"/>
  <c r="C13" i="24" s="1"/>
  <c r="D16" i="24"/>
  <c r="C19" i="24"/>
  <c r="V4" i="24"/>
  <c r="O5" i="24"/>
  <c r="U5" i="24" s="1"/>
  <c r="D6" i="24"/>
  <c r="C9" i="24"/>
  <c r="D14" i="24"/>
  <c r="C17" i="24"/>
  <c r="D12" i="24"/>
  <c r="C10" i="24"/>
  <c r="C18" i="24"/>
  <c r="B20" i="23"/>
  <c r="A20" i="23" s="1"/>
  <c r="U19" i="23"/>
  <c r="V19" i="23"/>
  <c r="U18" i="23"/>
  <c r="B18" i="23"/>
  <c r="A18" i="23" s="1"/>
  <c r="C18" i="23"/>
  <c r="W17" i="23"/>
  <c r="U17" i="23"/>
  <c r="V16" i="23"/>
  <c r="U16" i="23"/>
  <c r="W15" i="23"/>
  <c r="U15" i="23"/>
  <c r="V15" i="23"/>
  <c r="W14" i="23"/>
  <c r="U14" i="23"/>
  <c r="V14" i="23"/>
  <c r="B14" i="23"/>
  <c r="A14" i="23" s="1"/>
  <c r="C14" i="23"/>
  <c r="V13" i="23"/>
  <c r="W13" i="23"/>
  <c r="U13" i="23"/>
  <c r="V12" i="23"/>
  <c r="W12" i="23"/>
  <c r="V11" i="23"/>
  <c r="U11" i="23"/>
  <c r="W11" i="23"/>
  <c r="T6" i="23"/>
  <c r="W5" i="23"/>
  <c r="J9" i="23"/>
  <c r="B6" i="23"/>
  <c r="B7" i="23"/>
  <c r="B8" i="23" s="1"/>
  <c r="O6" i="23"/>
  <c r="V5" i="23"/>
  <c r="U5" i="23"/>
  <c r="B5" i="23"/>
  <c r="C5" i="23"/>
  <c r="D10" i="23"/>
  <c r="U4" i="23"/>
  <c r="C6" i="23"/>
  <c r="V4" i="23"/>
  <c r="D6" i="23"/>
  <c r="C9" i="23"/>
  <c r="W4" i="23"/>
  <c r="W10" i="22"/>
  <c r="U10" i="22"/>
  <c r="V10" i="22"/>
  <c r="B10" i="22"/>
  <c r="A10" i="22" s="1"/>
  <c r="C10" i="22"/>
  <c r="W4" i="22"/>
  <c r="T8" i="22"/>
  <c r="O6" i="22"/>
  <c r="D7" i="22"/>
  <c r="C8" i="22"/>
  <c r="B6" i="22"/>
  <c r="A6" i="22" s="1"/>
  <c r="D8" i="22"/>
  <c r="U4" i="22"/>
  <c r="J5" i="22"/>
  <c r="C6" i="22"/>
  <c r="V4" i="22"/>
  <c r="B8" i="22"/>
  <c r="B7" i="22"/>
  <c r="W5" i="21"/>
  <c r="W4" i="21"/>
  <c r="D6" i="21"/>
  <c r="J6" i="21"/>
  <c r="U5" i="21"/>
  <c r="O6" i="21"/>
  <c r="V5" i="21"/>
  <c r="B5" i="21"/>
  <c r="A5" i="21" s="1"/>
  <c r="D7" i="21"/>
  <c r="C5" i="21"/>
  <c r="C6" i="21" s="1"/>
  <c r="T6" i="21"/>
  <c r="C7" i="21"/>
  <c r="U4" i="21"/>
  <c r="B7" i="21"/>
  <c r="B8" i="21" s="1"/>
  <c r="B6" i="21"/>
  <c r="A6" i="21" s="1"/>
  <c r="V4" i="21"/>
  <c r="B5" i="20"/>
  <c r="A5" i="20" s="1"/>
  <c r="W4" i="20"/>
  <c r="O6" i="20"/>
  <c r="T6" i="20"/>
  <c r="C8" i="20"/>
  <c r="B6" i="20"/>
  <c r="D8" i="20"/>
  <c r="C11" i="20"/>
  <c r="C5" i="20"/>
  <c r="U4" i="20"/>
  <c r="J5" i="20"/>
  <c r="V4" i="20"/>
  <c r="B7" i="20"/>
  <c r="E4" i="19"/>
  <c r="W5" i="24" l="1"/>
  <c r="O6" i="24"/>
  <c r="V5" i="24"/>
  <c r="T8" i="24"/>
  <c r="B7" i="24"/>
  <c r="J8" i="24"/>
  <c r="B9" i="23"/>
  <c r="O7" i="23"/>
  <c r="V6" i="23"/>
  <c r="U6" i="23"/>
  <c r="A5" i="23"/>
  <c r="A6" i="23" s="1"/>
  <c r="A7" i="23" s="1"/>
  <c r="A8" i="23" s="1"/>
  <c r="A9" i="23" s="1"/>
  <c r="J10" i="23"/>
  <c r="T7" i="23"/>
  <c r="W6" i="23"/>
  <c r="A7" i="22"/>
  <c r="A8" i="22" s="1"/>
  <c r="T9" i="22"/>
  <c r="B9" i="22"/>
  <c r="J6" i="22"/>
  <c r="U5" i="22"/>
  <c r="W5" i="22"/>
  <c r="V5" i="22"/>
  <c r="O7" i="22"/>
  <c r="B9" i="21"/>
  <c r="A9" i="21" s="1"/>
  <c r="O7" i="21"/>
  <c r="V6" i="21"/>
  <c r="A7" i="21"/>
  <c r="A8" i="21" s="1"/>
  <c r="J7" i="21"/>
  <c r="U6" i="21"/>
  <c r="T7" i="21"/>
  <c r="W6" i="21"/>
  <c r="A7" i="20"/>
  <c r="A6" i="20"/>
  <c r="T7" i="20"/>
  <c r="O7" i="20"/>
  <c r="J6" i="20"/>
  <c r="V6" i="20" s="1"/>
  <c r="U5" i="20"/>
  <c r="V5" i="20"/>
  <c r="B8" i="20"/>
  <c r="W5" i="20"/>
  <c r="W3" i="19"/>
  <c r="V3" i="19"/>
  <c r="U3" i="19"/>
  <c r="B8" i="24" l="1"/>
  <c r="A7" i="24"/>
  <c r="J9" i="24"/>
  <c r="T9" i="24"/>
  <c r="O7" i="24"/>
  <c r="V6" i="24"/>
  <c r="U6" i="24"/>
  <c r="W6" i="24"/>
  <c r="O8" i="23"/>
  <c r="V7" i="23"/>
  <c r="U7" i="23"/>
  <c r="B10" i="23"/>
  <c r="A10" i="23" s="1"/>
  <c r="T8" i="23"/>
  <c r="W7" i="23"/>
  <c r="A9" i="22"/>
  <c r="O8" i="22"/>
  <c r="U6" i="22"/>
  <c r="J7" i="22"/>
  <c r="V7" i="22" s="1"/>
  <c r="W6" i="22"/>
  <c r="V6" i="22"/>
  <c r="J8" i="21"/>
  <c r="U7" i="21"/>
  <c r="V7" i="21"/>
  <c r="O8" i="21"/>
  <c r="W7" i="21"/>
  <c r="T8" i="21"/>
  <c r="J7" i="20"/>
  <c r="U6" i="20"/>
  <c r="O8" i="20"/>
  <c r="T8" i="20"/>
  <c r="B9" i="20"/>
  <c r="W6" i="20"/>
  <c r="A8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O8" i="24" l="1"/>
  <c r="V7" i="24"/>
  <c r="W7" i="24"/>
  <c r="U7" i="24"/>
  <c r="T10" i="24"/>
  <c r="J10" i="24"/>
  <c r="B9" i="24"/>
  <c r="A9" i="24" s="1"/>
  <c r="A8" i="24"/>
  <c r="O9" i="23"/>
  <c r="V8" i="23"/>
  <c r="U8" i="23"/>
  <c r="T9" i="23"/>
  <c r="W8" i="23"/>
  <c r="O9" i="22"/>
  <c r="J8" i="22"/>
  <c r="U7" i="22"/>
  <c r="W7" i="22"/>
  <c r="T9" i="21"/>
  <c r="W8" i="21"/>
  <c r="O9" i="21"/>
  <c r="V8" i="21"/>
  <c r="J9" i="21"/>
  <c r="U8" i="21"/>
  <c r="B10" i="20"/>
  <c r="A9" i="20"/>
  <c r="J8" i="20"/>
  <c r="W8" i="20" s="1"/>
  <c r="U7" i="20"/>
  <c r="W7" i="20"/>
  <c r="T9" i="20"/>
  <c r="V7" i="20"/>
  <c r="O9" i="20"/>
  <c r="U11" i="19"/>
  <c r="V11" i="19"/>
  <c r="W11" i="19"/>
  <c r="U10" i="19"/>
  <c r="V9" i="19"/>
  <c r="W8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J11" i="24" l="1"/>
  <c r="T11" i="24"/>
  <c r="B10" i="24"/>
  <c r="A10" i="24" s="1"/>
  <c r="O9" i="24"/>
  <c r="V8" i="24"/>
  <c r="U8" i="24"/>
  <c r="W8" i="24"/>
  <c r="V9" i="23"/>
  <c r="O10" i="23"/>
  <c r="U9" i="23"/>
  <c r="T10" i="23"/>
  <c r="W9" i="23"/>
  <c r="J9" i="22"/>
  <c r="U8" i="22"/>
  <c r="W8" i="22"/>
  <c r="V8" i="22"/>
  <c r="V9" i="21"/>
  <c r="W9" i="21"/>
  <c r="U9" i="21"/>
  <c r="V8" i="20"/>
  <c r="B11" i="20"/>
  <c r="T10" i="20"/>
  <c r="J9" i="20"/>
  <c r="W9" i="20" s="1"/>
  <c r="U8" i="20"/>
  <c r="O10" i="20"/>
  <c r="V9" i="20"/>
  <c r="A10" i="20"/>
  <c r="W5" i="19"/>
  <c r="V5" i="19"/>
  <c r="U5" i="19"/>
  <c r="O10" i="24" l="1"/>
  <c r="V9" i="24"/>
  <c r="W9" i="24"/>
  <c r="U9" i="24"/>
  <c r="J12" i="24"/>
  <c r="B11" i="24"/>
  <c r="A11" i="24" s="1"/>
  <c r="T12" i="24"/>
  <c r="V10" i="23"/>
  <c r="U10" i="23"/>
  <c r="W10" i="23"/>
  <c r="U9" i="22"/>
  <c r="W9" i="22"/>
  <c r="V9" i="22"/>
  <c r="A11" i="20"/>
  <c r="O11" i="20"/>
  <c r="J10" i="20"/>
  <c r="U9" i="20"/>
  <c r="T11" i="20"/>
  <c r="O11" i="24" l="1"/>
  <c r="V10" i="24"/>
  <c r="W10" i="24"/>
  <c r="U10" i="24"/>
  <c r="J13" i="24"/>
  <c r="B12" i="24"/>
  <c r="T13" i="24"/>
  <c r="W10" i="20"/>
  <c r="W11" i="20"/>
  <c r="U10" i="20"/>
  <c r="J11" i="20"/>
  <c r="U11" i="20" s="1"/>
  <c r="V10" i="20"/>
  <c r="V11" i="20"/>
  <c r="T14" i="24" l="1"/>
  <c r="B13" i="24"/>
  <c r="J14" i="24"/>
  <c r="O12" i="24"/>
  <c r="V11" i="24"/>
  <c r="W11" i="24"/>
  <c r="U11" i="24"/>
  <c r="A12" i="24"/>
  <c r="A13" i="24" s="1"/>
  <c r="T15" i="24" l="1"/>
  <c r="O13" i="24"/>
  <c r="V12" i="24"/>
  <c r="W12" i="24"/>
  <c r="U12" i="24"/>
  <c r="J15" i="24"/>
  <c r="B14" i="24"/>
  <c r="J16" i="24" l="1"/>
  <c r="O14" i="24"/>
  <c r="V13" i="24"/>
  <c r="W13" i="24"/>
  <c r="U13" i="24"/>
  <c r="B15" i="24"/>
  <c r="A15" i="24" s="1"/>
  <c r="A14" i="24"/>
  <c r="T16" i="24"/>
  <c r="B16" i="24" l="1"/>
  <c r="O15" i="24"/>
  <c r="V14" i="24"/>
  <c r="W14" i="24"/>
  <c r="U14" i="24"/>
  <c r="T17" i="24"/>
  <c r="J17" i="24"/>
  <c r="B17" i="24" l="1"/>
  <c r="J18" i="24"/>
  <c r="T18" i="24"/>
  <c r="O16" i="24"/>
  <c r="V15" i="24"/>
  <c r="U15" i="24"/>
  <c r="W15" i="24"/>
  <c r="A16" i="24"/>
  <c r="B18" i="24" l="1"/>
  <c r="O17" i="24"/>
  <c r="V16" i="24"/>
  <c r="U16" i="24"/>
  <c r="W16" i="24"/>
  <c r="T19" i="24"/>
  <c r="J19" i="24"/>
  <c r="A17" i="24"/>
  <c r="O18" i="24" l="1"/>
  <c r="V17" i="24"/>
  <c r="U17" i="24"/>
  <c r="W17" i="24"/>
  <c r="B19" i="24"/>
  <c r="A19" i="24" s="1"/>
  <c r="A18" i="24"/>
  <c r="O19" i="24" l="1"/>
  <c r="V18" i="24"/>
  <c r="U18" i="24"/>
  <c r="W18" i="24"/>
  <c r="V19" i="24" l="1"/>
  <c r="W19" i="24"/>
  <c r="U19" i="24"/>
</calcChain>
</file>

<file path=xl/sharedStrings.xml><?xml version="1.0" encoding="utf-8"?>
<sst xmlns="http://schemas.openxmlformats.org/spreadsheetml/2006/main" count="1070" uniqueCount="211">
  <si>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</si>
  <si>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</si>
  <si>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</si>
  <si>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</si>
  <si>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</si>
  <si>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</si>
  <si>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</si>
  <si>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</si>
  <si>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</si>
  <si>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</si>
  <si>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</si>
  <si>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</si>
  <si>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</si>
  <si>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</si>
  <si>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</si>
  <si>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</si>
  <si>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</si>
  <si>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</si>
  <si>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</si>
  <si>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</si>
  <si>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</si>
  <si>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</si>
  <si>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</si>
  <si>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</si>
  <si>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</si>
  <si>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</si>
  <si>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</si>
  <si>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</si>
  <si>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</si>
  <si>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</si>
  <si>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</si>
  <si>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</si>
  <si>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</si>
  <si>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</si>
  <si>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</si>
  <si>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</si>
  <si>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</si>
  <si>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</si>
  <si>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</si>
  <si>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</si>
  <si>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</si>
  <si>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</si>
  <si>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</si>
  <si>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</si>
  <si>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</si>
  <si>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</si>
  <si>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</si>
  <si>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</si>
  <si>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</si>
  <si>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</si>
  <si>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</si>
  <si>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</si>
  <si>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</si>
  <si>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</si>
  <si>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</si>
  <si>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</si>
  <si>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</si>
  <si>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</si>
  <si>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</si>
  <si>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</si>
  <si>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</si>
  <si>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</si>
  <si>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</si>
  <si>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</si>
  <si>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</si>
  <si>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</si>
  <si>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</si>
  <si>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</si>
  <si>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</si>
  <si>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</si>
  <si>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</si>
  <si>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</si>
  <si>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</si>
  <si>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</si>
  <si>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</si>
  <si>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</si>
  <si>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</si>
  <si>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</si>
  <si>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</si>
  <si>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</si>
  <si>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</si>
  <si>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</si>
  <si>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</si>
  <si>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</si>
  <si>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</si>
  <si>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</si>
  <si>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</si>
  <si>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</si>
  <si>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</si>
  <si>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</si>
  <si>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</si>
  <si>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</si>
  <si>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</si>
  <si>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</si>
  <si>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</si>
  <si>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</si>
  <si>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</si>
  <si>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</si>
  <si>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</si>
  <si>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</si>
  <si>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</si>
  <si>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</si>
  <si>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</si>
  <si>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</si>
  <si>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</si>
  <si>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</si>
  <si>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</si>
  <si>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</si>
  <si>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</si>
  <si>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</si>
  <si>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</si>
  <si>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</si>
  <si>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</si>
  <si>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</si>
  <si>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</si>
  <si>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</si>
  <si>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</si>
  <si>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</si>
  <si>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</si>
  <si>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</si>
  <si>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</si>
  <si>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</si>
  <si>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</si>
  <si>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</si>
  <si>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</si>
  <si>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</si>
  <si>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</si>
  <si>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</si>
  <si>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</si>
  <si>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</si>
  <si>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</si>
  <si>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</si>
  <si>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</si>
  <si>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</si>
  <si>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</si>
  <si>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</si>
  <si>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</si>
  <si>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</si>
  <si>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</si>
  <si>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</si>
  <si>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</si>
  <si>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</si>
  <si>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</si>
  <si>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</si>
  <si>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</si>
  <si>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</si>
  <si>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</si>
  <si>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</si>
  <si>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</si>
  <si>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</si>
  <si>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</si>
  <si>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</si>
  <si>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</si>
  <si>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</si>
  <si>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</si>
  <si>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</si>
  <si>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</si>
  <si>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</si>
  <si>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</si>
  <si>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</si>
  <si>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</si>
  <si>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</si>
  <si>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</si>
  <si>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</si>
  <si>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</si>
  <si>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</si>
  <si>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</si>
  <si>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</si>
  <si>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</si>
  <si>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</si>
  <si>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</si>
  <si>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</si>
  <si>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</si>
  <si>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</si>
  <si>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</si>
  <si>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</si>
  <si>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</si>
  <si>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</si>
  <si>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</si>
  <si>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</si>
  <si>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</si>
  <si>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</si>
  <si>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</si>
  <si>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</si>
  <si>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</si>
  <si>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</si>
  <si>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</si>
  <si>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</si>
  <si>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</si>
  <si>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</si>
  <si>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</si>
  <si>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</si>
  <si>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まっつん</t>
    <phoneticPr fontId="1"/>
  </si>
  <si>
    <t>だいち</t>
  </si>
  <si>
    <t>だいち</t>
    <phoneticPr fontId="1"/>
  </si>
  <si>
    <t>れんたろう</t>
    <phoneticPr fontId="1"/>
  </si>
  <si>
    <t>T</t>
  </si>
  <si>
    <t>N</t>
  </si>
  <si>
    <t>流局</t>
    <phoneticPr fontId="1"/>
  </si>
  <si>
    <t>放銃</t>
  </si>
  <si>
    <t>ロン</t>
  </si>
  <si>
    <t>*</t>
  </si>
  <si>
    <t>52</t>
  </si>
  <si>
    <t>ツモ</t>
  </si>
  <si>
    <t>ツモ支払</t>
  </si>
  <si>
    <t>01</t>
  </si>
  <si>
    <t>ただ</t>
  </si>
  <si>
    <t>たかの</t>
  </si>
  <si>
    <t>流局</t>
    <phoneticPr fontId="1"/>
  </si>
  <si>
    <t>たかの</t>
    <phoneticPr fontId="1"/>
  </si>
  <si>
    <t>ただ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</si>
</sst>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3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だいち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198</v>
      </c>
      <c r="G4" s="9">
        <v>3000</v>
      </c>
      <c r="H4" s="9">
        <v>-1000</v>
      </c>
      <c r="I4" s="48"/>
      <c r="J4" s="21">
        <f>IF(COUNTA($F4,$K4,$P4)&gt;0,J3+SUM(G4:I4),"")</f>
        <v>37000</v>
      </c>
      <c r="K4" s="8" t="s">
        <v>198</v>
      </c>
      <c r="L4" s="9">
        <v>-1500</v>
      </c>
      <c r="M4" s="9"/>
      <c r="N4" s="48"/>
      <c r="O4" s="21">
        <f>IF(COUNTA($F4,$K4,$P4)&gt;0,O3+SUM(L4:N4),"")</f>
        <v>33500</v>
      </c>
      <c r="P4" s="8" t="s">
        <v>198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IF($J4="","",ROUND(($J4-$J$3)/1000,1)+(_xlfn.RANK.AVG($J4,($J4,$O4,$T4),1)-2)*10)</f>
        <v>12</v>
      </c>
      <c r="V4" s="54">
        <f>IF($O4="","",ROUND(($O4-$O$3)/1000,1)+(_xlfn.RANK.AVG($O4,($J4,$O4,$T4),1)-2)*10)</f>
        <v>-6.5</v>
      </c>
      <c r="W4" s="55">
        <f>IF($T4="","",ROUND(($T4-$T$3)/1000,1)+(_xlfn.RANK.AVG($T4,($J4,$O4,$T4),1)-2)*10)</f>
        <v>-6.5</v>
      </c>
      <c r="Y4" s="8" t="s">
        <v>196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197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197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IF($F$1="","",$F$1)</f>
        <v>まっつん</v>
      </c>
      <c r="F5" s="8" t="s">
        <v>199</v>
      </c>
      <c r="G5" s="9">
        <v>-12000</v>
      </c>
      <c r="H5" s="9"/>
      <c r="I5" s="48">
        <v>-1000</v>
      </c>
      <c r="J5" s="21">
        <f t="shared" ref="J5:J30" si="2">IF(COUNTA($F5,$K5,$P5)&gt;0,J4+SUM(G5:I5),"")</f>
        <v>24000</v>
      </c>
      <c r="K5" s="8"/>
      <c r="L5" s="9"/>
      <c r="M5" s="9"/>
      <c r="N5" s="48"/>
      <c r="O5" s="21">
        <f t="shared" ref="O5:O30" si="3">IF(COUNTA($F5,$K5,$P5)&gt;0,O4+SUM(L5:N5),"")</f>
        <v>33500</v>
      </c>
      <c r="P5" s="8" t="s">
        <v>200</v>
      </c>
      <c r="Q5" s="9">
        <v>12000</v>
      </c>
      <c r="R5" s="9">
        <v>1000</v>
      </c>
      <c r="S5" s="48">
        <v>1000</v>
      </c>
      <c r="T5" s="21">
        <f t="shared" ref="T5:T30" si="4">IF(COUNTA($F5,$K5,$P5)&gt;0,T4+SUM(Q5:S5),"")</f>
        <v>47500</v>
      </c>
      <c r="U5" s="53">
        <f>IF($J5="","",ROUND(($J5-$J$3)/1000,1)+(_xlfn.RANK.AVG($J5,($J5,$O5,$T5),1)-2)*10)</f>
        <v>-21</v>
      </c>
      <c r="V5" s="54">
        <f>IF($O5="","",ROUND(($O5-$O$3)/1000,1)+(_xlfn.RANK.AVG($O5,($J5,$O5,$T5),1)-2)*10)</f>
        <v>-1.5</v>
      </c>
      <c r="W5" s="55">
        <f>IF($T5="","",ROUND(($T5-$T$3)/1000,1)+(_xlfn.RANK.AVG($T5,($J5,$O5,$T5),1)-2)*10)</f>
        <v>22.5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6</v>
      </c>
      <c r="BT5" s="30" t="s">
        <v>201</v>
      </c>
      <c r="BU5" s="40" t="s">
        <v>86</v>
      </c>
      <c r="BV5" s="41" t="s">
        <v>86</v>
      </c>
      <c r="BW5" s="41" t="s">
        <v>79</v>
      </c>
      <c r="BX5" s="41" t="s">
        <v>79</v>
      </c>
      <c r="BY5" s="41" t="s">
        <v>79</v>
      </c>
      <c r="BZ5" s="41" t="s">
        <v>202</v>
      </c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だいち</v>
      </c>
      <c r="F6" s="8" t="s">
        <v>203</v>
      </c>
      <c r="G6" s="9">
        <v>7700</v>
      </c>
      <c r="H6" s="9">
        <v>1000</v>
      </c>
      <c r="I6" s="48">
        <v>0</v>
      </c>
      <c r="J6" s="21">
        <f t="shared" si="2"/>
        <v>32700</v>
      </c>
      <c r="K6" s="8" t="s">
        <v>204</v>
      </c>
      <c r="L6" s="9">
        <v>-4800</v>
      </c>
      <c r="M6" s="9"/>
      <c r="N6" s="48">
        <v>0</v>
      </c>
      <c r="O6" s="21">
        <f t="shared" si="3"/>
        <v>28700</v>
      </c>
      <c r="P6" s="8" t="s">
        <v>204</v>
      </c>
      <c r="Q6" s="9">
        <v>-2900</v>
      </c>
      <c r="R6" s="9">
        <v>-1000</v>
      </c>
      <c r="S6" s="48">
        <v>0</v>
      </c>
      <c r="T6" s="21">
        <f t="shared" si="4"/>
        <v>43600</v>
      </c>
      <c r="U6" s="53">
        <f>IF($J6="","",ROUND(($J6-$J$3)/1000,1)+(_xlfn.RANK.AVG($J6,($J6,$O6,$T6),1)-2)*10)</f>
        <v>-2.2999999999999998</v>
      </c>
      <c r="V6" s="54">
        <f>IF($O6="","",ROUND(($O6-$O$3)/1000,1)+(_xlfn.RANK.AVG($O6,($J6,$O6,$T6),1)-2)*10)</f>
        <v>-16.3</v>
      </c>
      <c r="W6" s="55">
        <f>IF($T6="","",ROUND(($T6-$T$3)/1000,1)+(_xlfn.RANK.AVG($T6,($J6,$O6,$T6),1)-2)*10)</f>
        <v>18.600000000000001</v>
      </c>
      <c r="Y6" s="8"/>
      <c r="Z6" s="34"/>
      <c r="AA6" s="26">
        <v>1</v>
      </c>
      <c r="AB6" s="26"/>
      <c r="AC6" s="26">
        <v>4</v>
      </c>
      <c r="AD6" s="30">
        <v>30</v>
      </c>
      <c r="AE6" s="40" t="s">
        <v>205</v>
      </c>
      <c r="AF6" s="41" t="s">
        <v>82</v>
      </c>
      <c r="AG6" s="41" t="s">
        <v>80</v>
      </c>
      <c r="AH6" s="41" t="s">
        <v>80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れんたろう</v>
      </c>
      <c r="F7" s="8"/>
      <c r="G7" s="9"/>
      <c r="H7" s="9"/>
      <c r="I7" s="48"/>
      <c r="J7" s="21">
        <f t="shared" si="2"/>
        <v>32700</v>
      </c>
      <c r="K7" s="8" t="s">
        <v>199</v>
      </c>
      <c r="L7" s="9">
        <v>-12000</v>
      </c>
      <c r="M7" s="9">
        <v>-1000</v>
      </c>
      <c r="N7" s="48">
        <v>0</v>
      </c>
      <c r="O7" s="21">
        <f t="shared" si="3"/>
        <v>15700</v>
      </c>
      <c r="P7" s="8" t="s">
        <v>200</v>
      </c>
      <c r="Q7" s="9">
        <v>12000</v>
      </c>
      <c r="R7" s="9">
        <v>1000</v>
      </c>
      <c r="S7" s="48">
        <v>0</v>
      </c>
      <c r="T7" s="21">
        <f t="shared" si="4"/>
        <v>56600</v>
      </c>
      <c r="U7" s="53">
        <f>IF($J7="","",ROUND(($J7-$J$3)/1000,1)+(_xlfn.RANK.AVG($J7,($J7,$O7,$T7),1)-2)*10)</f>
        <v>-2.2999999999999998</v>
      </c>
      <c r="V7" s="54">
        <f>IF($O7="","",ROUND(($O7-$O$3)/1000,1)+(_xlfn.RANK.AVG($O7,($J7,$O7,$T7),1)-2)*10)</f>
        <v>-29.3</v>
      </c>
      <c r="W7" s="55">
        <f>IF($T7="","",ROUND(($T7-$T$3)/1000,1)+(_xlfn.RANK.AVG($T7,($J7,$O7,$T7),1)-2)*10)</f>
        <v>31.6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40</v>
      </c>
      <c r="BU7" s="40" t="s">
        <v>205</v>
      </c>
      <c r="BV7" s="41" t="s">
        <v>202</v>
      </c>
      <c r="BW7" s="41" t="s">
        <v>79</v>
      </c>
      <c r="BX7" s="41" t="s">
        <v>80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IF($P$1="","",$P$1)</f>
        <v>れんたろう</v>
      </c>
      <c r="F8" s="8" t="s">
        <v>203</v>
      </c>
      <c r="G8" s="9">
        <v>8000</v>
      </c>
      <c r="H8" s="9">
        <v>1000</v>
      </c>
      <c r="I8" s="48">
        <v>1000</v>
      </c>
      <c r="J8" s="21">
        <f t="shared" si="2"/>
        <v>42700</v>
      </c>
      <c r="K8" s="8" t="s">
        <v>204</v>
      </c>
      <c r="L8" s="9">
        <v>-3000</v>
      </c>
      <c r="M8" s="9"/>
      <c r="N8" s="48">
        <v>-500</v>
      </c>
      <c r="O8" s="21">
        <f t="shared" si="3"/>
        <v>12200</v>
      </c>
      <c r="P8" s="8" t="s">
        <v>204</v>
      </c>
      <c r="Q8" s="9">
        <v>-5000</v>
      </c>
      <c r="R8" s="9">
        <v>-1000</v>
      </c>
      <c r="S8" s="48">
        <v>-500</v>
      </c>
      <c r="T8" s="21">
        <f t="shared" si="4"/>
        <v>50100</v>
      </c>
      <c r="U8" s="53">
        <f>IF($J8="","",ROUND(($J8-$J$3)/1000,1)+(_xlfn.RANK.AVG($J8,($J8,$O8,$T8),1)-2)*10)</f>
        <v>7.7</v>
      </c>
      <c r="V8" s="54">
        <f>IF($O8="","",ROUND(($O8-$O$3)/1000,1)+(_xlfn.RANK.AVG($O8,($J8,$O8,$T8),1)-2)*10)</f>
        <v>-32.799999999999997</v>
      </c>
      <c r="W8" s="55">
        <f>IF($T8="","",ROUND(($T8-$T$3)/1000,1)+(_xlfn.RANK.AVG($T8,($J8,$O8,$T8),1)-2)*10)</f>
        <v>25.1</v>
      </c>
      <c r="Y8" s="8"/>
      <c r="Z8" s="34"/>
      <c r="AA8" s="26">
        <v>1</v>
      </c>
      <c r="AB8" s="26"/>
      <c r="AC8" s="26">
        <v>5</v>
      </c>
      <c r="AD8" s="30" t="s">
        <v>201</v>
      </c>
      <c r="AE8" s="40" t="s">
        <v>205</v>
      </c>
      <c r="AF8" s="41" t="s">
        <v>82</v>
      </c>
      <c r="AG8" s="41" t="s">
        <v>83</v>
      </c>
      <c r="AH8" s="41" t="s">
        <v>79</v>
      </c>
      <c r="AI8" s="41" t="s">
        <v>79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まっつん</v>
      </c>
      <c r="F9" s="8" t="s">
        <v>199</v>
      </c>
      <c r="G9" s="9">
        <v>-8000</v>
      </c>
      <c r="H9" s="9"/>
      <c r="I9" s="48">
        <v>0</v>
      </c>
      <c r="J9" s="21">
        <f t="shared" si="2"/>
        <v>34700</v>
      </c>
      <c r="K9" s="8" t="s">
        <v>200</v>
      </c>
      <c r="L9" s="9">
        <v>8000</v>
      </c>
      <c r="M9" s="9"/>
      <c r="N9" s="48">
        <v>0</v>
      </c>
      <c r="O9" s="21">
        <f t="shared" si="3"/>
        <v>20200</v>
      </c>
      <c r="P9" s="8"/>
      <c r="Q9" s="9"/>
      <c r="R9" s="9"/>
      <c r="S9" s="48"/>
      <c r="T9" s="21">
        <f t="shared" si="4"/>
        <v>50100</v>
      </c>
      <c r="U9" s="53">
        <f>IF($J9="","",ROUND(($J9-$J$3)/1000,1)+(_xlfn.RANK.AVG($J9,($J9,$O9,$T9),1)-2)*10)</f>
        <v>-0.3</v>
      </c>
      <c r="V9" s="54">
        <f>IF($O9="","",ROUND(($O9-$O$3)/1000,1)+(_xlfn.RANK.AVG($O9,($J9,$O9,$T9),1)-2)*10)</f>
        <v>-24.8</v>
      </c>
      <c r="W9" s="55">
        <f>IF($T9="","",ROUND(($T9-$T$3)/1000,1)+(_xlfn.RANK.AVG($T9,($J9,$O9,$T9),1)-2)*10)</f>
        <v>25.1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4</v>
      </c>
      <c r="AY9" s="30">
        <v>40</v>
      </c>
      <c r="AZ9" s="40" t="s">
        <v>104</v>
      </c>
      <c r="BA9" s="41" t="s">
        <v>86</v>
      </c>
      <c r="BB9" s="41" t="s">
        <v>86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だいち</v>
      </c>
      <c r="F10" s="8" t="s">
        <v>200</v>
      </c>
      <c r="G10" s="9">
        <v>8000</v>
      </c>
      <c r="H10" s="9"/>
      <c r="I10" s="48">
        <v>0</v>
      </c>
      <c r="J10" s="21">
        <f t="shared" si="2"/>
        <v>42700</v>
      </c>
      <c r="K10" s="8" t="s">
        <v>199</v>
      </c>
      <c r="L10" s="9">
        <v>-8000</v>
      </c>
      <c r="M10" s="9"/>
      <c r="N10" s="48">
        <v>0</v>
      </c>
      <c r="O10" s="21">
        <f t="shared" si="3"/>
        <v>12200</v>
      </c>
      <c r="P10" s="8"/>
      <c r="Q10" s="9"/>
      <c r="R10" s="9"/>
      <c r="S10" s="48"/>
      <c r="T10" s="21">
        <f t="shared" si="4"/>
        <v>50100</v>
      </c>
      <c r="U10" s="53">
        <f>IF($J10="","",ROUND(($J10-$J$3)/1000,1)+(_xlfn.RANK.AVG($J10,($J10,$O10,$T10),1)-2)*10)</f>
        <v>7.7</v>
      </c>
      <c r="V10" s="54">
        <f>IF($O10="","",ROUND(($O10-$O$3)/1000,1)+(_xlfn.RANK.AVG($O10,($J10,$O10,$T10),1)-2)*10)</f>
        <v>-32.799999999999997</v>
      </c>
      <c r="W10" s="55">
        <f>IF($T10="","",ROUND(($T10-$T$3)/1000,1)+(_xlfn.RANK.AVG($T10,($J10,$O10,$T10),1)-2)*10)</f>
        <v>25.1</v>
      </c>
      <c r="Y10" s="8"/>
      <c r="Z10" s="34"/>
      <c r="AA10" s="26">
        <v>1</v>
      </c>
      <c r="AB10" s="26"/>
      <c r="AC10" s="26">
        <v>5</v>
      </c>
      <c r="AD10" s="30" t="s">
        <v>201</v>
      </c>
      <c r="AE10" s="40" t="s">
        <v>205</v>
      </c>
      <c r="AF10" s="41" t="s">
        <v>83</v>
      </c>
      <c r="AG10" s="41" t="s">
        <v>79</v>
      </c>
      <c r="AH10" s="41" t="s">
        <v>202</v>
      </c>
      <c r="AI10" s="41" t="s">
        <v>80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れんたろう</v>
      </c>
      <c r="F11" s="8" t="s">
        <v>204</v>
      </c>
      <c r="G11" s="9">
        <v>-1500</v>
      </c>
      <c r="H11" s="9"/>
      <c r="I11" s="48">
        <v>0</v>
      </c>
      <c r="J11" s="21">
        <f t="shared" si="2"/>
        <v>41200</v>
      </c>
      <c r="K11" s="8" t="s">
        <v>204</v>
      </c>
      <c r="L11" s="9">
        <v>-1500</v>
      </c>
      <c r="M11" s="9"/>
      <c r="N11" s="48">
        <v>0</v>
      </c>
      <c r="O11" s="21">
        <f t="shared" si="3"/>
        <v>10700</v>
      </c>
      <c r="P11" s="8" t="s">
        <v>203</v>
      </c>
      <c r="Q11" s="9">
        <v>3000</v>
      </c>
      <c r="R11" s="9"/>
      <c r="S11" s="48">
        <v>0</v>
      </c>
      <c r="T11" s="21">
        <f t="shared" si="4"/>
        <v>53100</v>
      </c>
      <c r="U11" s="53">
        <f>IF($J11="","",ROUND(($J11-$J$3)/1000,1)+(_xlfn.RANK.AVG($J11,($J11,$O11,$T11),1)-2)*10)</f>
        <v>6.2</v>
      </c>
      <c r="V11" s="54">
        <f>IF($O11="","",ROUND(($O11-$O$3)/1000,1)+(_xlfn.RANK.AVG($O11,($J11,$O11,$T11),1)-2)*10)</f>
        <v>-34.299999999999997</v>
      </c>
      <c r="W11" s="55">
        <f>IF($T11="","",ROUND(($T11-$T$3)/1000,1)+(_xlfn.RANK.AVG($T11,($J11,$O11,$T11),1)-2)*10)</f>
        <v>28.1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2</v>
      </c>
      <c r="BT11" s="30">
        <v>30</v>
      </c>
      <c r="BU11" s="40" t="s">
        <v>205</v>
      </c>
      <c r="BV11" s="41" t="s">
        <v>82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B4918D58-232B-41E6-8EAE-DEC4D0EB9F65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74A51-7929-4D2F-A062-F8A4631931B7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206</v>
      </c>
      <c r="G1" s="72"/>
      <c r="H1" s="72"/>
      <c r="I1" s="73"/>
      <c r="J1" s="74"/>
      <c r="K1" s="71" t="s">
        <v>207</v>
      </c>
      <c r="L1" s="72"/>
      <c r="M1" s="72"/>
      <c r="N1" s="73"/>
      <c r="O1" s="74"/>
      <c r="P1" s="71" t="s">
        <v>191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たかの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204</v>
      </c>
      <c r="G4" s="9">
        <v>-1300</v>
      </c>
      <c r="H4" s="9"/>
      <c r="I4" s="48">
        <v>0</v>
      </c>
      <c r="J4" s="21">
        <f>IF(COUNTA($F4,$K4,$P4)&gt;0,J3+SUM(G4:I4),"")</f>
        <v>33700</v>
      </c>
      <c r="K4" s="8" t="s">
        <v>203</v>
      </c>
      <c r="L4" s="9">
        <v>2100</v>
      </c>
      <c r="M4" s="9"/>
      <c r="N4" s="48">
        <v>0</v>
      </c>
      <c r="O4" s="21">
        <f>IF(COUNTA($F4,$K4,$P4)&gt;0,O3+SUM(L4:N4),"")</f>
        <v>37100</v>
      </c>
      <c r="P4" s="8" t="s">
        <v>204</v>
      </c>
      <c r="Q4" s="9">
        <v>-800</v>
      </c>
      <c r="R4" s="9"/>
      <c r="S4" s="48">
        <v>0</v>
      </c>
      <c r="T4" s="21">
        <f>IF(COUNTA($F4,$K4,$P4)&gt;0,T3+SUM(Q4:S4),"")</f>
        <v>34200</v>
      </c>
      <c r="U4" s="53">
        <f>IF($J4="","",ROUND(($J4-$J$3)/1000,1)+(_xlfn.RANK.AVG($J4,($J4,$O4,$T4),1)-2)*10)</f>
        <v>-11.3</v>
      </c>
      <c r="V4" s="54">
        <f>IF($O4="","",ROUND(($O4-$O$3)/1000,1)+(_xlfn.RANK.AVG($O4,($J4,$O4,$T4),1)-2)*10)</f>
        <v>12.1</v>
      </c>
      <c r="W4" s="55">
        <f>IF($T4="","",ROUND(($T4-$T$3)/1000,1)+(_xlfn.RANK.AVG($T4,($J4,$O4,$T4),1)-2)*10)</f>
        <v>-0.8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2</v>
      </c>
      <c r="AY4" s="30">
        <v>30</v>
      </c>
      <c r="AZ4" s="40" t="s">
        <v>205</v>
      </c>
      <c r="BA4" s="41" t="s">
        <v>82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たかの</v>
      </c>
      <c r="F5" s="8" t="s">
        <v>208</v>
      </c>
      <c r="G5" s="9">
        <v>-1500</v>
      </c>
      <c r="H5" s="9"/>
      <c r="I5" s="48"/>
      <c r="J5" s="21">
        <f t="shared" ref="J5:J30" si="2">IF(COUNTA($F5,$K5,$P5)&gt;0,J4+SUM(G5:I5),"")</f>
        <v>32200</v>
      </c>
      <c r="K5" s="8" t="s">
        <v>208</v>
      </c>
      <c r="L5" s="9">
        <v>-1500</v>
      </c>
      <c r="M5" s="9"/>
      <c r="N5" s="48"/>
      <c r="O5" s="21">
        <f t="shared" ref="O5:O30" si="3">IF(COUNTA($F5,$K5,$P5)&gt;0,O4+SUM(L5:N5),"")</f>
        <v>35600</v>
      </c>
      <c r="P5" s="8" t="s">
        <v>208</v>
      </c>
      <c r="Q5" s="9">
        <v>3000</v>
      </c>
      <c r="R5" s="9"/>
      <c r="S5" s="48"/>
      <c r="T5" s="21">
        <f t="shared" ref="T5:T30" si="4">IF(COUNTA($F5,$K5,$P5)&gt;0,T4+SUM(Q5:S5),"")</f>
        <v>37200</v>
      </c>
      <c r="U5" s="53">
        <f>IF($J5="","",ROUND(($J5-$J$3)/1000,1)+(_xlfn.RANK.AVG($J5,($J5,$O5,$T5),1)-2)*10)</f>
        <v>-12.8</v>
      </c>
      <c r="V5" s="54">
        <f>IF($O5="","",ROUND(($O5-$O$3)/1000,1)+(_xlfn.RANK.AVG($O5,($J5,$O5,$T5),1)-2)*10)</f>
        <v>0.6</v>
      </c>
      <c r="W5" s="55">
        <f>IF($T5="","",ROUND(($T5-$T$3)/1000,1)+(_xlfn.RANK.AVG($T5,($J5,$O5,$T5),1)-2)*10)</f>
        <v>12.2</v>
      </c>
      <c r="Y5" s="8" t="s">
        <v>197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197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196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IF($P$1="","",$P$1)</f>
        <v>まっつん</v>
      </c>
      <c r="F6" s="8" t="s">
        <v>199</v>
      </c>
      <c r="G6" s="9">
        <v>-8000</v>
      </c>
      <c r="H6" s="9"/>
      <c r="I6" s="48">
        <v>-1000</v>
      </c>
      <c r="J6" s="21">
        <f t="shared" si="2"/>
        <v>23200</v>
      </c>
      <c r="K6" s="8" t="s">
        <v>200</v>
      </c>
      <c r="L6" s="9">
        <v>8000</v>
      </c>
      <c r="M6" s="9"/>
      <c r="N6" s="48">
        <v>1000</v>
      </c>
      <c r="O6" s="21">
        <f t="shared" si="3"/>
        <v>44600</v>
      </c>
      <c r="P6" s="8"/>
      <c r="Q6" s="9"/>
      <c r="R6" s="9"/>
      <c r="S6" s="48"/>
      <c r="T6" s="21">
        <f t="shared" si="4"/>
        <v>37200</v>
      </c>
      <c r="U6" s="53">
        <f>IF($J6="","",ROUND(($J6-$J$3)/1000,1)+(_xlfn.RANK.AVG($J6,($J6,$O6,$T6),1)-2)*10)</f>
        <v>-21.8</v>
      </c>
      <c r="V6" s="54">
        <f>IF($O6="","",ROUND(($O6-$O$3)/1000,1)+(_xlfn.RANK.AVG($O6,($J6,$O6,$T6),1)-2)*10)</f>
        <v>19.600000000000001</v>
      </c>
      <c r="W6" s="55">
        <f>IF($T6="","",ROUND(($T6-$T$3)/1000,1)+(_xlfn.RANK.AVG($T6,($J6,$O6,$T6),1)-2)*10)</f>
        <v>2.2000000000000002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5</v>
      </c>
      <c r="AY6" s="30" t="s">
        <v>201</v>
      </c>
      <c r="AZ6" s="40" t="s">
        <v>98</v>
      </c>
      <c r="BA6" s="41" t="s">
        <v>79</v>
      </c>
      <c r="BB6" s="41" t="s">
        <v>79</v>
      </c>
      <c r="BC6" s="41" t="s">
        <v>79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ただ</v>
      </c>
      <c r="F7" s="8" t="s">
        <v>204</v>
      </c>
      <c r="G7" s="9">
        <v>-7500</v>
      </c>
      <c r="H7" s="9"/>
      <c r="I7" s="48">
        <v>0</v>
      </c>
      <c r="J7" s="21">
        <f t="shared" si="2"/>
        <v>15700</v>
      </c>
      <c r="K7" s="8" t="s">
        <v>204</v>
      </c>
      <c r="L7" s="9">
        <v>-4500</v>
      </c>
      <c r="M7" s="9"/>
      <c r="N7" s="48">
        <v>0</v>
      </c>
      <c r="O7" s="21">
        <f t="shared" si="3"/>
        <v>40100</v>
      </c>
      <c r="P7" s="8" t="s">
        <v>203</v>
      </c>
      <c r="Q7" s="9">
        <v>12000</v>
      </c>
      <c r="R7" s="9"/>
      <c r="S7" s="48">
        <v>0</v>
      </c>
      <c r="T7" s="21">
        <f t="shared" si="4"/>
        <v>49200</v>
      </c>
      <c r="U7" s="53">
        <f>IF($J7="","",ROUND(($J7-$J$3)/1000,1)+(_xlfn.RANK.AVG($J7,($J7,$O7,$T7),1)-2)*10)</f>
        <v>-29.3</v>
      </c>
      <c r="V7" s="54">
        <f>IF($O7="","",ROUND(($O7-$O$3)/1000,1)+(_xlfn.RANK.AVG($O7,($J7,$O7,$T7),1)-2)*10)</f>
        <v>5.0999999999999996</v>
      </c>
      <c r="W7" s="55">
        <f>IF($T7="","",ROUND(($T7-$T$3)/1000,1)+(_xlfn.RANK.AVG($T7,($J7,$O7,$T7),1)-2)*10)</f>
        <v>24.2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6</v>
      </c>
      <c r="BT7" s="30" t="s">
        <v>201</v>
      </c>
      <c r="BU7" s="40" t="s">
        <v>101</v>
      </c>
      <c r="BV7" s="41" t="s">
        <v>104</v>
      </c>
      <c r="BW7" s="41" t="s">
        <v>79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たかの</v>
      </c>
      <c r="F8" s="8" t="s">
        <v>204</v>
      </c>
      <c r="G8" s="9">
        <v>-6000</v>
      </c>
      <c r="H8" s="9">
        <v>-1000</v>
      </c>
      <c r="I8" s="48">
        <v>0</v>
      </c>
      <c r="J8" s="21">
        <f t="shared" si="2"/>
        <v>8700</v>
      </c>
      <c r="K8" s="8" t="s">
        <v>204</v>
      </c>
      <c r="L8" s="9">
        <v>-10000</v>
      </c>
      <c r="M8" s="9"/>
      <c r="N8" s="48">
        <v>0</v>
      </c>
      <c r="O8" s="21">
        <f t="shared" si="3"/>
        <v>30100</v>
      </c>
      <c r="P8" s="8" t="s">
        <v>203</v>
      </c>
      <c r="Q8" s="9">
        <v>16000</v>
      </c>
      <c r="R8" s="9">
        <v>1000</v>
      </c>
      <c r="S8" s="48">
        <v>0</v>
      </c>
      <c r="T8" s="21">
        <f t="shared" si="4"/>
        <v>66200</v>
      </c>
      <c r="U8" s="53">
        <f>IF($J8="","",ROUND(($J8-$J$3)/1000,1)+(_xlfn.RANK.AVG($J8,($J8,$O8,$T8),1)-2)*10)</f>
        <v>-36.299999999999997</v>
      </c>
      <c r="V8" s="54">
        <f>IF($O8="","",ROUND(($O8-$O$3)/1000,1)+(_xlfn.RANK.AVG($O8,($J8,$O8,$T8),1)-2)*10)</f>
        <v>-4.9000000000000004</v>
      </c>
      <c r="W8" s="55">
        <f>IF($T8="","",ROUND(($T8-$T$3)/1000,1)+(_xlfn.RANK.AVG($T8,($J8,$O8,$T8),1)-2)*10)</f>
        <v>41.2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10</v>
      </c>
      <c r="BT8" s="30" t="s">
        <v>201</v>
      </c>
      <c r="BU8" s="40" t="s">
        <v>205</v>
      </c>
      <c r="BV8" s="41" t="s">
        <v>82</v>
      </c>
      <c r="BW8" s="41" t="s">
        <v>84</v>
      </c>
      <c r="BX8" s="41" t="s">
        <v>106</v>
      </c>
      <c r="BY8" s="41" t="s">
        <v>83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まっつん</v>
      </c>
      <c r="F9" s="8" t="s">
        <v>204</v>
      </c>
      <c r="G9" s="9">
        <v>-4500</v>
      </c>
      <c r="H9" s="9"/>
      <c r="I9" s="48">
        <v>0</v>
      </c>
      <c r="J9" s="21">
        <f t="shared" si="2"/>
        <v>4200</v>
      </c>
      <c r="K9" s="8" t="s">
        <v>203</v>
      </c>
      <c r="L9" s="9">
        <v>12000</v>
      </c>
      <c r="M9" s="9"/>
      <c r="N9" s="48">
        <v>0</v>
      </c>
      <c r="O9" s="21">
        <f t="shared" si="3"/>
        <v>42100</v>
      </c>
      <c r="P9" s="8" t="s">
        <v>204</v>
      </c>
      <c r="Q9" s="9">
        <v>-7500</v>
      </c>
      <c r="R9" s="9"/>
      <c r="S9" s="48">
        <v>0</v>
      </c>
      <c r="T9" s="21">
        <f t="shared" si="4"/>
        <v>58700</v>
      </c>
      <c r="U9" s="53">
        <f>IF($J9="","",ROUND(($J9-$J$3)/1000,1)+(_xlfn.RANK.AVG($J9,($J9,$O9,$T9),1)-2)*10)</f>
        <v>-40.799999999999997</v>
      </c>
      <c r="V9" s="54">
        <f>IF($O9="","",ROUND(($O9-$O$3)/1000,1)+(_xlfn.RANK.AVG($O9,($J9,$O9,$T9),1)-2)*10)</f>
        <v>7.1</v>
      </c>
      <c r="W9" s="55">
        <f>IF($T9="","",ROUND(($T9-$T$3)/1000,1)+(_xlfn.RANK.AVG($T9,($J9,$O9,$T9),1)-2)*10)</f>
        <v>33.700000000000003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6</v>
      </c>
      <c r="AY9" s="30" t="s">
        <v>201</v>
      </c>
      <c r="AZ9" s="40" t="s">
        <v>82</v>
      </c>
      <c r="BA9" s="41" t="s">
        <v>83</v>
      </c>
      <c r="BB9" s="41" t="s">
        <v>202</v>
      </c>
      <c r="BC9" s="41" t="s">
        <v>104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qref="F1:T1" xr:uid="{6569664B-69CE-4E5A-8467-CF616AB81B32}">
      <formula1>"れんたろう,ともき,だいち,りくと,まっつん,たかの,のり,ただ,ぱぱ,"</formula1>
    </dataValidation>
    <dataValidation type="list" showInputMessage="1" showErrorMessage="1" sqref="K4:K30 P4:P30 F4:F30" xr:uid="{9E82F33A-7A36-4576-8B15-CBE9AF81852A}">
      <formula1>"ロン,ツモ,放銃,ツモ支払,流局,チョンボ"</formula1>
    </dataValidation>
    <dataValidation type="list" allowBlank="1" showInputMessage="1" showErrorMessage="1" sqref="E4:E30" xr:uid="{3494B9E3-66B0-430D-B722-55D162D058F3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DAF6-9F50-49DB-B646-951EC9B1569B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206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207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まっつん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204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204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203</v>
      </c>
      <c r="Q4" s="9">
        <v>4000</v>
      </c>
      <c r="R4" s="9"/>
      <c r="S4" s="48">
        <v>0</v>
      </c>
      <c r="T4" s="21">
        <f>IF(COUNTA($F4,$K4,$P4)&gt;0,T3+SUM(Q4:S4),"")</f>
        <v>39000</v>
      </c>
      <c r="U4" s="53">
        <f>IF($J4="","",ROUND(($J4-$J$3)/1000,1)+(_xlfn.RANK.AVG($J4,($J4,$O4,$T4),1)-2)*10)</f>
        <v>-12.5</v>
      </c>
      <c r="V4" s="54">
        <f>IF($O4="","",ROUND(($O4-$O$3)/1000,1)+(_xlfn.RANK.AVG($O4,($J4,$O4,$T4),1)-2)*10)</f>
        <v>-1.5</v>
      </c>
      <c r="W4" s="55">
        <f>IF($T4="","",ROUND(($T4-$T$3)/1000,1)+(_xlfn.RANK.AVG($T4,($J4,$O4,$T4),1)-2)*10)</f>
        <v>14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3</v>
      </c>
      <c r="BT4" s="30">
        <v>30</v>
      </c>
      <c r="BU4" s="40" t="s">
        <v>86</v>
      </c>
      <c r="BV4" s="41" t="s">
        <v>86</v>
      </c>
      <c r="BW4" s="41" t="s">
        <v>202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まっつん</v>
      </c>
      <c r="F5" s="8" t="s">
        <v>208</v>
      </c>
      <c r="G5" s="9">
        <v>-1500</v>
      </c>
      <c r="H5" s="9"/>
      <c r="I5" s="48"/>
      <c r="J5" s="21">
        <f t="shared" ref="J5:J30" si="2">IF(COUNTA($F5,$K5,$P5)&gt;0,J4+SUM(G5:I5),"")</f>
        <v>31000</v>
      </c>
      <c r="K5" s="8" t="s">
        <v>208</v>
      </c>
      <c r="L5" s="9">
        <v>-1500</v>
      </c>
      <c r="M5" s="9"/>
      <c r="N5" s="48"/>
      <c r="O5" s="21">
        <f t="shared" ref="O5:O30" si="3">IF(COUNTA($F5,$K5,$P5)&gt;0,O4+SUM(L5:N5),"")</f>
        <v>32000</v>
      </c>
      <c r="P5" s="8" t="s">
        <v>208</v>
      </c>
      <c r="Q5" s="9">
        <v>3000</v>
      </c>
      <c r="R5" s="9"/>
      <c r="S5" s="48"/>
      <c r="T5" s="21">
        <f t="shared" ref="T5:T30" si="4">IF(COUNTA($F5,$K5,$P5)&gt;0,T4+SUM(Q5:S5),"")</f>
        <v>42000</v>
      </c>
      <c r="U5" s="53">
        <f>IF($J5="","",ROUND(($J5-$J$3)/1000,1)+(_xlfn.RANK.AVG($J5,($J5,$O5,$T5),1)-2)*10)</f>
        <v>-14</v>
      </c>
      <c r="V5" s="54">
        <f>IF($O5="","",ROUND(($O5-$O$3)/1000,1)+(_xlfn.RANK.AVG($O5,($J5,$O5,$T5),1)-2)*10)</f>
        <v>-3</v>
      </c>
      <c r="W5" s="55">
        <f>IF($T5="","",ROUND(($T5-$T$3)/1000,1)+(_xlfn.RANK.AVG($T5,($J5,$O5,$T5),1)-2)*10)</f>
        <v>17</v>
      </c>
      <c r="Y5" s="8" t="s">
        <v>197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197</v>
      </c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196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IF($P$1="","",$P$1)</f>
        <v>たかの</v>
      </c>
      <c r="F6" s="8" t="s">
        <v>200</v>
      </c>
      <c r="G6" s="9">
        <v>8000</v>
      </c>
      <c r="H6" s="9"/>
      <c r="I6" s="48">
        <v>1000</v>
      </c>
      <c r="J6" s="21">
        <f t="shared" si="2"/>
        <v>40000</v>
      </c>
      <c r="K6" s="8" t="s">
        <v>199</v>
      </c>
      <c r="L6" s="9">
        <v>-8000</v>
      </c>
      <c r="M6" s="9"/>
      <c r="N6" s="48">
        <v>-1000</v>
      </c>
      <c r="O6" s="21">
        <f t="shared" si="3"/>
        <v>23000</v>
      </c>
      <c r="P6" s="8"/>
      <c r="Q6" s="9"/>
      <c r="R6" s="9"/>
      <c r="S6" s="48"/>
      <c r="T6" s="21">
        <f t="shared" si="4"/>
        <v>42000</v>
      </c>
      <c r="U6" s="53">
        <f>IF($J6="","",ROUND(($J6-$J$3)/1000,1)+(_xlfn.RANK.AVG($J6,($J6,$O6,$T6),1)-2)*10)</f>
        <v>5</v>
      </c>
      <c r="V6" s="54">
        <f>IF($O6="","",ROUND(($O6-$O$3)/1000,1)+(_xlfn.RANK.AVG($O6,($J6,$O6,$T6),1)-2)*10)</f>
        <v>-22</v>
      </c>
      <c r="W6" s="55">
        <f>IF($T6="","",ROUND(($T6-$T$3)/1000,1)+(_xlfn.RANK.AVG($T6,($J6,$O6,$T6),1)-2)*10)</f>
        <v>17</v>
      </c>
      <c r="Y6" s="8"/>
      <c r="Z6" s="34"/>
      <c r="AA6" s="26"/>
      <c r="AB6" s="26">
        <v>1</v>
      </c>
      <c r="AC6" s="26">
        <v>5</v>
      </c>
      <c r="AD6" s="30" t="s">
        <v>201</v>
      </c>
      <c r="AE6" s="40" t="s">
        <v>86</v>
      </c>
      <c r="AF6" s="41" t="s">
        <v>104</v>
      </c>
      <c r="AG6" s="41" t="s">
        <v>79</v>
      </c>
      <c r="AH6" s="41" t="s">
        <v>86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ただ</v>
      </c>
      <c r="F7" s="8" t="s">
        <v>204</v>
      </c>
      <c r="G7" s="9">
        <v>-2500</v>
      </c>
      <c r="H7" s="9"/>
      <c r="I7" s="48">
        <v>0</v>
      </c>
      <c r="J7" s="21">
        <f t="shared" si="2"/>
        <v>37500</v>
      </c>
      <c r="K7" s="8" t="s">
        <v>203</v>
      </c>
      <c r="L7" s="9">
        <v>4000</v>
      </c>
      <c r="M7" s="9"/>
      <c r="N7" s="48">
        <v>0</v>
      </c>
      <c r="O7" s="21">
        <f t="shared" si="3"/>
        <v>27000</v>
      </c>
      <c r="P7" s="8" t="s">
        <v>204</v>
      </c>
      <c r="Q7" s="9">
        <v>-1500</v>
      </c>
      <c r="R7" s="9"/>
      <c r="S7" s="48">
        <v>0</v>
      </c>
      <c r="T7" s="21">
        <f t="shared" si="4"/>
        <v>40500</v>
      </c>
      <c r="U7" s="53">
        <f>IF($J7="","",ROUND(($J7-$J$3)/1000,1)+(_xlfn.RANK.AVG($J7,($J7,$O7,$T7),1)-2)*10)</f>
        <v>2.5</v>
      </c>
      <c r="V7" s="54">
        <f>IF($O7="","",ROUND(($O7-$O$3)/1000,1)+(_xlfn.RANK.AVG($O7,($J7,$O7,$T7),1)-2)*10)</f>
        <v>-18</v>
      </c>
      <c r="W7" s="55">
        <f>IF($T7="","",ROUND(($T7-$T$3)/1000,1)+(_xlfn.RANK.AVG($T7,($J7,$O7,$T7),1)-2)*10)</f>
        <v>15.5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3</v>
      </c>
      <c r="AY7" s="30">
        <v>30</v>
      </c>
      <c r="AZ7" s="40" t="s">
        <v>86</v>
      </c>
      <c r="BA7" s="41" t="s">
        <v>79</v>
      </c>
      <c r="BB7" s="41" t="s">
        <v>79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まっつん</v>
      </c>
      <c r="F8" s="8"/>
      <c r="G8" s="9"/>
      <c r="H8" s="9"/>
      <c r="I8" s="48"/>
      <c r="J8" s="21">
        <f t="shared" si="2"/>
        <v>37500</v>
      </c>
      <c r="K8" s="8" t="s">
        <v>199</v>
      </c>
      <c r="L8" s="9">
        <v>-3900</v>
      </c>
      <c r="M8" s="9">
        <v>-2000</v>
      </c>
      <c r="N8" s="48">
        <v>0</v>
      </c>
      <c r="O8" s="21">
        <f t="shared" si="3"/>
        <v>21100</v>
      </c>
      <c r="P8" s="8" t="s">
        <v>200</v>
      </c>
      <c r="Q8" s="9">
        <v>3900</v>
      </c>
      <c r="R8" s="9">
        <v>2000</v>
      </c>
      <c r="S8" s="48">
        <v>0</v>
      </c>
      <c r="T8" s="21">
        <f t="shared" si="4"/>
        <v>46400</v>
      </c>
      <c r="U8" s="53">
        <f>IF($J8="","",ROUND(($J8-$J$3)/1000,1)+(_xlfn.RANK.AVG($J8,($J8,$O8,$T8),1)-2)*10)</f>
        <v>2.5</v>
      </c>
      <c r="V8" s="54">
        <f>IF($O8="","",ROUND(($O8-$O$3)/1000,1)+(_xlfn.RANK.AVG($O8,($J8,$O8,$T8),1)-2)*10)</f>
        <v>-23.9</v>
      </c>
      <c r="W8" s="55">
        <f>IF($T8="","",ROUND(($T8-$T$3)/1000,1)+(_xlfn.RANK.AVG($T8,($J8,$O8,$T8),1)-2)*10)</f>
        <v>21.4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3</v>
      </c>
      <c r="BT8" s="30">
        <v>30</v>
      </c>
      <c r="BU8" s="40" t="s">
        <v>86</v>
      </c>
      <c r="BV8" s="41" t="s">
        <v>98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たかの</v>
      </c>
      <c r="F9" s="8" t="s">
        <v>208</v>
      </c>
      <c r="G9" s="9">
        <v>-1500</v>
      </c>
      <c r="H9" s="9"/>
      <c r="I9" s="48"/>
      <c r="J9" s="21">
        <f t="shared" si="2"/>
        <v>36000</v>
      </c>
      <c r="K9" s="8" t="s">
        <v>208</v>
      </c>
      <c r="L9" s="9">
        <v>-1500</v>
      </c>
      <c r="M9" s="9"/>
      <c r="N9" s="48"/>
      <c r="O9" s="21">
        <f t="shared" si="3"/>
        <v>19600</v>
      </c>
      <c r="P9" s="8" t="s">
        <v>208</v>
      </c>
      <c r="Q9" s="9">
        <v>3000</v>
      </c>
      <c r="R9" s="9"/>
      <c r="S9" s="48"/>
      <c r="T9" s="21">
        <f t="shared" si="4"/>
        <v>49400</v>
      </c>
      <c r="U9" s="53">
        <f>IF($J9="","",ROUND(($J9-$J$3)/1000,1)+(_xlfn.RANK.AVG($J9,($J9,$O9,$T9),1)-2)*10)</f>
        <v>1</v>
      </c>
      <c r="V9" s="54">
        <f>IF($O9="","",ROUND(($O9-$O$3)/1000,1)+(_xlfn.RANK.AVG($O9,($J9,$O9,$T9),1)-2)*10)</f>
        <v>-25.4</v>
      </c>
      <c r="W9" s="55">
        <f>IF($T9="","",ROUND(($T9-$T$3)/1000,1)+(_xlfn.RANK.AVG($T9,($J9,$O9,$T9),1)-2)*10)</f>
        <v>24.4</v>
      </c>
      <c r="Y9" s="8" t="s">
        <v>197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197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196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888D6CBA-D8AC-42CF-B982-409969EA1FE5}">
      <formula1>$U$2:$W$2</formula1>
    </dataValidation>
    <dataValidation type="list" showInputMessage="1" showErrorMessage="1" sqref="K4:K30 P4:P30 F4:F30" xr:uid="{730FE8E2-8CDB-4E52-9060-D24252F3B613}">
      <formula1>"ロン,ツモ,放銃,ツモ支払,流局,チョンボ"</formula1>
    </dataValidation>
    <dataValidation type="list" allowBlank="1" showInputMessage="1" sqref="F1:T1" xr:uid="{F9FCEF47-FEBE-4949-8F4F-53A172A85F0B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F6C69-1A48-4C13-AD28-E98373A2094D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209</v>
      </c>
      <c r="G1" s="72"/>
      <c r="H1" s="72"/>
      <c r="I1" s="73"/>
      <c r="J1" s="74"/>
      <c r="K1" s="71" t="s">
        <v>210</v>
      </c>
      <c r="L1" s="72"/>
      <c r="M1" s="72"/>
      <c r="N1" s="73"/>
      <c r="O1" s="74"/>
      <c r="P1" s="71" t="s">
        <v>194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ただ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たかの</v>
      </c>
      <c r="F4" s="8" t="s">
        <v>204</v>
      </c>
      <c r="G4" s="9">
        <v>-700</v>
      </c>
      <c r="H4" s="9"/>
      <c r="I4" s="48">
        <v>0</v>
      </c>
      <c r="J4" s="21">
        <f>IF(COUNTA($F4,$K4,$P4)&gt;0,J3+SUM(G4:I4),"")</f>
        <v>34300</v>
      </c>
      <c r="K4" s="8" t="s">
        <v>203</v>
      </c>
      <c r="L4" s="9">
        <v>1200</v>
      </c>
      <c r="M4" s="9"/>
      <c r="N4" s="48">
        <v>0</v>
      </c>
      <c r="O4" s="21">
        <f>IF(COUNTA($F4,$K4,$P4)&gt;0,O3+SUM(L4:N4),"")</f>
        <v>36200</v>
      </c>
      <c r="P4" s="8" t="s">
        <v>204</v>
      </c>
      <c r="Q4" s="9">
        <v>-500</v>
      </c>
      <c r="R4" s="9"/>
      <c r="S4" s="48">
        <v>0</v>
      </c>
      <c r="T4" s="21">
        <f>IF(COUNTA($F4,$K4,$P4)&gt;0,T3+SUM(Q4:S4),"")</f>
        <v>34500</v>
      </c>
      <c r="U4" s="53">
        <f>IF($J4="","",ROUND(($J4-$J$3)/1000,1)+(_xlfn.RANK.AVG($J4,($J4,$O4,$T4),1)-2)*10)</f>
        <v>-10.7</v>
      </c>
      <c r="V4" s="54">
        <f>IF($O4="","",ROUND(($O4-$O$3)/1000,1)+(_xlfn.RANK.AVG($O4,($J4,$O4,$T4),1)-2)*10)</f>
        <v>11.2</v>
      </c>
      <c r="W4" s="55">
        <f>IF($T4="","",ROUND(($T4-$T$3)/1000,1)+(_xlfn.RANK.AVG($T4,($J4,$O4,$T4),1)-2)*10)</f>
        <v>-0.5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1</v>
      </c>
      <c r="AY4" s="30">
        <v>30</v>
      </c>
      <c r="AZ4" s="40" t="s">
        <v>86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200</v>
      </c>
      <c r="G5" s="9">
        <v>8000</v>
      </c>
      <c r="H5" s="9"/>
      <c r="I5" s="48">
        <v>0</v>
      </c>
      <c r="J5" s="21">
        <f t="shared" ref="J5:J30" si="2">IF(COUNTA($F5,$K5,$P5)&gt;0,J4+SUM(G5:I5),"")</f>
        <v>42300</v>
      </c>
      <c r="K5" s="8" t="s">
        <v>199</v>
      </c>
      <c r="L5" s="9">
        <v>-8000</v>
      </c>
      <c r="M5" s="9"/>
      <c r="N5" s="48">
        <v>0</v>
      </c>
      <c r="O5" s="21">
        <f t="shared" ref="O5:O30" si="3">IF(COUNTA($F5,$K5,$P5)&gt;0,O4+SUM(L5:N5),"")</f>
        <v>28200</v>
      </c>
      <c r="P5" s="8"/>
      <c r="Q5" s="9"/>
      <c r="R5" s="9"/>
      <c r="S5" s="48"/>
      <c r="T5" s="21">
        <f t="shared" ref="T5:T30" si="4">IF(COUNTA($F5,$K5,$P5)&gt;0,T4+SUM(Q5:S5),"")</f>
        <v>34500</v>
      </c>
      <c r="U5" s="53">
        <f>IF($J5="","",ROUND(($J5-$J$3)/1000,1)+(_xlfn.RANK.AVG($J5,($J5,$O5,$T5),1)-2)*10)</f>
        <v>17.3</v>
      </c>
      <c r="V5" s="54">
        <f>IF($O5="","",ROUND(($O5-$O$3)/1000,1)+(_xlfn.RANK.AVG($O5,($J5,$O5,$T5),1)-2)*10)</f>
        <v>-16.8</v>
      </c>
      <c r="W5" s="55">
        <f>IF($T5="","",ROUND(($T5-$T$3)/1000,1)+(_xlfn.RANK.AVG($T5,($J5,$O5,$T5),1)-2)*10)</f>
        <v>-0.5</v>
      </c>
      <c r="Y5" s="8"/>
      <c r="Z5" s="34"/>
      <c r="AA5" s="26"/>
      <c r="AB5" s="26">
        <v>1</v>
      </c>
      <c r="AC5" s="26">
        <v>5</v>
      </c>
      <c r="AD5" s="30" t="s">
        <v>201</v>
      </c>
      <c r="AE5" s="40" t="s">
        <v>86</v>
      </c>
      <c r="AF5" s="41" t="s">
        <v>79</v>
      </c>
      <c r="AG5" s="41" t="s">
        <v>79</v>
      </c>
      <c r="AH5" s="41" t="s">
        <v>79</v>
      </c>
      <c r="AI5" s="41" t="s">
        <v>202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/>
      <c r="G6" s="9"/>
      <c r="H6" s="9"/>
      <c r="I6" s="48"/>
      <c r="J6" s="21">
        <f t="shared" si="2"/>
        <v>42300</v>
      </c>
      <c r="K6" s="8" t="s">
        <v>200</v>
      </c>
      <c r="L6" s="9">
        <v>1000</v>
      </c>
      <c r="M6" s="9">
        <v>1000</v>
      </c>
      <c r="N6" s="48">
        <v>0</v>
      </c>
      <c r="O6" s="21">
        <f t="shared" si="3"/>
        <v>30200</v>
      </c>
      <c r="P6" s="8" t="s">
        <v>199</v>
      </c>
      <c r="Q6" s="9">
        <v>-1000</v>
      </c>
      <c r="R6" s="9">
        <v>-1000</v>
      </c>
      <c r="S6" s="48">
        <v>0</v>
      </c>
      <c r="T6" s="21">
        <f t="shared" si="4"/>
        <v>32500</v>
      </c>
      <c r="U6" s="53">
        <f>IF($J6="","",ROUND(($J6-$J$3)/1000,1)+(_xlfn.RANK.AVG($J6,($J6,$O6,$T6),1)-2)*10)</f>
        <v>17.3</v>
      </c>
      <c r="V6" s="54">
        <f>IF($O6="","",ROUND(($O6-$O$3)/1000,1)+(_xlfn.RANK.AVG($O6,($J6,$O6,$T6),1)-2)*10)</f>
        <v>-14.8</v>
      </c>
      <c r="W6" s="55">
        <f>IF($T6="","",ROUND(($T6-$T$3)/1000,1)+(_xlfn.RANK.AVG($T6,($J6,$O6,$T6),1)-2)*10)</f>
        <v>-2.5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1</v>
      </c>
      <c r="AY6" s="30">
        <v>30</v>
      </c>
      <c r="AZ6" s="40" t="s">
        <v>86</v>
      </c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たかの</v>
      </c>
      <c r="F7" s="8" t="s">
        <v>203</v>
      </c>
      <c r="G7" s="9">
        <v>3000</v>
      </c>
      <c r="H7" s="9"/>
      <c r="I7" s="48">
        <v>0</v>
      </c>
      <c r="J7" s="21">
        <f t="shared" si="2"/>
        <v>45300</v>
      </c>
      <c r="K7" s="8" t="s">
        <v>204</v>
      </c>
      <c r="L7" s="9">
        <v>-1500</v>
      </c>
      <c r="M7" s="9"/>
      <c r="N7" s="48">
        <v>0</v>
      </c>
      <c r="O7" s="21">
        <f t="shared" si="3"/>
        <v>28700</v>
      </c>
      <c r="P7" s="8" t="s">
        <v>204</v>
      </c>
      <c r="Q7" s="9">
        <v>-1500</v>
      </c>
      <c r="R7" s="9"/>
      <c r="S7" s="48">
        <v>0</v>
      </c>
      <c r="T7" s="21">
        <f t="shared" si="4"/>
        <v>31000</v>
      </c>
      <c r="U7" s="53">
        <f>IF($J7="","",ROUND(($J7-$J$3)/1000,1)+(_xlfn.RANK.AVG($J7,($J7,$O7,$T7),1)-2)*10)</f>
        <v>20.3</v>
      </c>
      <c r="V7" s="54">
        <f>IF($O7="","",ROUND(($O7-$O$3)/1000,1)+(_xlfn.RANK.AVG($O7,($J7,$O7,$T7),1)-2)*10)</f>
        <v>-16.3</v>
      </c>
      <c r="W7" s="55">
        <f>IF($T7="","",ROUND(($T7-$T$3)/1000,1)+(_xlfn.RANK.AVG($T7,($J7,$O7,$T7),1)-2)*10)</f>
        <v>-4</v>
      </c>
      <c r="Y7" s="8"/>
      <c r="Z7" s="34"/>
      <c r="AA7" s="26"/>
      <c r="AB7" s="26">
        <v>1</v>
      </c>
      <c r="AC7" s="26">
        <v>2</v>
      </c>
      <c r="AD7" s="30">
        <v>30</v>
      </c>
      <c r="AE7" s="40" t="s">
        <v>86</v>
      </c>
      <c r="AF7" s="41" t="s">
        <v>202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たかの</v>
      </c>
      <c r="F8" s="8"/>
      <c r="G8" s="9"/>
      <c r="H8" s="9"/>
      <c r="I8" s="48"/>
      <c r="J8" s="21">
        <f t="shared" si="2"/>
        <v>45300</v>
      </c>
      <c r="K8" s="8" t="s">
        <v>200</v>
      </c>
      <c r="L8" s="9">
        <v>8000</v>
      </c>
      <c r="M8" s="9"/>
      <c r="N8" s="48">
        <v>1000</v>
      </c>
      <c r="O8" s="21">
        <f t="shared" si="3"/>
        <v>37700</v>
      </c>
      <c r="P8" s="8" t="s">
        <v>199</v>
      </c>
      <c r="Q8" s="9">
        <v>-8000</v>
      </c>
      <c r="R8" s="9"/>
      <c r="S8" s="48">
        <v>-1000</v>
      </c>
      <c r="T8" s="21">
        <f t="shared" si="4"/>
        <v>22000</v>
      </c>
      <c r="U8" s="53">
        <f>IF($J8="","",ROUND(($J8-$J$3)/1000,1)+(_xlfn.RANK.AVG($J8,($J8,$O8,$T8),1)-2)*10)</f>
        <v>20.3</v>
      </c>
      <c r="V8" s="54">
        <f>IF($O8="","",ROUND(($O8-$O$3)/1000,1)+(_xlfn.RANK.AVG($O8,($J8,$O8,$T8),1)-2)*10)</f>
        <v>2.7</v>
      </c>
      <c r="W8" s="55">
        <f>IF($T8="","",ROUND(($T8-$T$3)/1000,1)+(_xlfn.RANK.AVG($T8,($J8,$O8,$T8),1)-2)*10)</f>
        <v>-23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5</v>
      </c>
      <c r="AY8" s="30" t="s">
        <v>201</v>
      </c>
      <c r="AZ8" s="40" t="s">
        <v>205</v>
      </c>
      <c r="BA8" s="41" t="s">
        <v>84</v>
      </c>
      <c r="BB8" s="41" t="s">
        <v>80</v>
      </c>
      <c r="BC8" s="41" t="s">
        <v>80</v>
      </c>
      <c r="BD8" s="41" t="s">
        <v>202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ただ</v>
      </c>
      <c r="F9" s="8" t="s">
        <v>200</v>
      </c>
      <c r="G9" s="9">
        <v>1600</v>
      </c>
      <c r="H9" s="9"/>
      <c r="I9" s="48">
        <v>0</v>
      </c>
      <c r="J9" s="21">
        <f t="shared" si="2"/>
        <v>46900</v>
      </c>
      <c r="K9" s="8"/>
      <c r="L9" s="9"/>
      <c r="M9" s="9"/>
      <c r="N9" s="48"/>
      <c r="O9" s="21">
        <f t="shared" si="3"/>
        <v>37700</v>
      </c>
      <c r="P9" s="8" t="s">
        <v>199</v>
      </c>
      <c r="Q9" s="9">
        <v>-1600</v>
      </c>
      <c r="R9" s="9"/>
      <c r="S9" s="48">
        <v>0</v>
      </c>
      <c r="T9" s="21">
        <f t="shared" si="4"/>
        <v>20400</v>
      </c>
      <c r="U9" s="53">
        <f>IF($J9="","",ROUND(($J9-$J$3)/1000,1)+(_xlfn.RANK.AVG($J9,($J9,$O9,$T9),1)-2)*10)</f>
        <v>21.9</v>
      </c>
      <c r="V9" s="54">
        <f>IF($O9="","",ROUND(($O9-$O$3)/1000,1)+(_xlfn.RANK.AVG($O9,($J9,$O9,$T9),1)-2)*10)</f>
        <v>2.7</v>
      </c>
      <c r="W9" s="55">
        <f>IF($T9="","",ROUND(($T9-$T$3)/1000,1)+(_xlfn.RANK.AVG($T9,($J9,$O9,$T9),1)-2)*10)</f>
        <v>-24.6</v>
      </c>
      <c r="Y9" s="8"/>
      <c r="Z9" s="34"/>
      <c r="AA9" s="26"/>
      <c r="AB9" s="26"/>
      <c r="AC9" s="26">
        <v>2</v>
      </c>
      <c r="AD9" s="30">
        <v>25</v>
      </c>
      <c r="AE9" s="40" t="s">
        <v>101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だいち</v>
      </c>
      <c r="F10" s="8" t="s">
        <v>204</v>
      </c>
      <c r="G10" s="9">
        <v>-12000</v>
      </c>
      <c r="H10" s="9"/>
      <c r="I10" s="48">
        <v>0</v>
      </c>
      <c r="J10" s="21">
        <f t="shared" si="2"/>
        <v>34900</v>
      </c>
      <c r="K10" s="8" t="s">
        <v>204</v>
      </c>
      <c r="L10" s="9">
        <v>-12000</v>
      </c>
      <c r="M10" s="9"/>
      <c r="N10" s="48">
        <v>0</v>
      </c>
      <c r="O10" s="21">
        <f t="shared" si="3"/>
        <v>25700</v>
      </c>
      <c r="P10" s="8" t="s">
        <v>203</v>
      </c>
      <c r="Q10" s="9">
        <v>24000</v>
      </c>
      <c r="R10" s="9"/>
      <c r="S10" s="48">
        <v>0</v>
      </c>
      <c r="T10" s="21">
        <f t="shared" si="4"/>
        <v>44400</v>
      </c>
      <c r="U10" s="53">
        <f>IF($J10="","",ROUND(($J10-$J$3)/1000,1)+(_xlfn.RANK.AVG($J10,($J10,$O10,$T10),1)-2)*10)</f>
        <v>-0.1</v>
      </c>
      <c r="V10" s="54">
        <f>IF($O10="","",ROUND(($O10-$O$3)/1000,1)+(_xlfn.RANK.AVG($O10,($J10,$O10,$T10),1)-2)*10)</f>
        <v>-19.3</v>
      </c>
      <c r="W10" s="55">
        <f>IF($T10="","",ROUND(($T10-$T$3)/1000,1)+(_xlfn.RANK.AVG($T10,($J10,$O10,$T10),1)-2)*10)</f>
        <v>19.399999999999999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8</v>
      </c>
      <c r="BT10" s="30" t="s">
        <v>201</v>
      </c>
      <c r="BU10" s="40" t="s">
        <v>85</v>
      </c>
      <c r="BV10" s="41" t="s">
        <v>98</v>
      </c>
      <c r="BW10" s="41" t="s">
        <v>96</v>
      </c>
      <c r="BX10" s="41" t="s">
        <v>79</v>
      </c>
      <c r="BY10" s="41" t="s">
        <v>79</v>
      </c>
      <c r="BZ10" s="41" t="s">
        <v>202</v>
      </c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5B70C4B6-596B-4382-9078-284F83BE7C90}">
      <formula1>"れんたろう,ともき,だいち,りくと,まっつん,たかの,のり,ただ,ぱぱ,"</formula1>
    </dataValidation>
    <dataValidation type="list" showInputMessage="1" showErrorMessage="1" sqref="K4:K30 P4:P30 F4:F30" xr:uid="{A52093E0-B567-489E-9BF3-ED68586E0786}">
      <formula1>"ロン,ツモ,放銃,ツモ支払,流局,チョンボ"</formula1>
    </dataValidation>
    <dataValidation type="list" allowBlank="1" showInputMessage="1" showErrorMessage="1" sqref="E4:E30" xr:uid="{EEC8EA27-0B29-4CCC-BFBD-7488839CD15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79E2C-2FC4-43F2-9903-151EEE5F78AD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207</v>
      </c>
      <c r="L1" s="72"/>
      <c r="M1" s="72"/>
      <c r="N1" s="73"/>
      <c r="O1" s="74"/>
      <c r="P1" s="71" t="s">
        <v>191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たかの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208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208</v>
      </c>
      <c r="L4" s="9">
        <v>1500</v>
      </c>
      <c r="M4" s="9">
        <v>-1000</v>
      </c>
      <c r="N4" s="48"/>
      <c r="O4" s="21">
        <f>IF(COUNTA($F4,$K4,$P4)&gt;0,O3+SUM(L4:N4),"")</f>
        <v>35500</v>
      </c>
      <c r="P4" s="8" t="s">
        <v>208</v>
      </c>
      <c r="Q4" s="9">
        <v>-3000</v>
      </c>
      <c r="R4" s="9"/>
      <c r="S4" s="48"/>
      <c r="T4" s="21">
        <f>IF(COUNTA($F4,$K4,$P4)&gt;0,T3+SUM(Q4:S4),"")</f>
        <v>32000</v>
      </c>
      <c r="U4" s="53">
        <f>IF($J4="","",ROUND(($J4-$J$3)/1000,1)+(_xlfn.RANK.AVG($J4,($J4,$O4,$T4),1)-2)*10)</f>
        <v>5.5</v>
      </c>
      <c r="V4" s="54">
        <f>IF($O4="","",ROUND(($O4-$O$3)/1000,1)+(_xlfn.RANK.AVG($O4,($J4,$O4,$T4),1)-2)*10)</f>
        <v>5.5</v>
      </c>
      <c r="W4" s="55">
        <f>IF($T4="","",ROUND(($T4-$T$3)/1000,1)+(_xlfn.RANK.AVG($T4,($J4,$O4,$T4),1)-2)*10)</f>
        <v>-13</v>
      </c>
      <c r="Y4" s="8" t="s">
        <v>196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196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197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2</v>
      </c>
      <c r="E5" s="4" t="str">
        <f>IF($F$1="","",$F$1)</f>
        <v>だいち</v>
      </c>
      <c r="F5" s="8" t="s">
        <v>203</v>
      </c>
      <c r="G5" s="9">
        <v>12000</v>
      </c>
      <c r="H5" s="9">
        <v>2000</v>
      </c>
      <c r="I5" s="48">
        <v>1000</v>
      </c>
      <c r="J5" s="21">
        <f t="shared" ref="J5:J30" si="2">IF(COUNTA($F5,$K5,$P5)&gt;0,J4+SUM(G5:I5),"")</f>
        <v>50500</v>
      </c>
      <c r="K5" s="8" t="s">
        <v>204</v>
      </c>
      <c r="L5" s="9">
        <v>-6000</v>
      </c>
      <c r="M5" s="9"/>
      <c r="N5" s="48">
        <v>-500</v>
      </c>
      <c r="O5" s="21">
        <f t="shared" ref="O5:O30" si="3">IF(COUNTA($F5,$K5,$P5)&gt;0,O4+SUM(L5:N5),"")</f>
        <v>29000</v>
      </c>
      <c r="P5" s="8" t="s">
        <v>204</v>
      </c>
      <c r="Q5" s="9">
        <v>-6000</v>
      </c>
      <c r="R5" s="9"/>
      <c r="S5" s="48">
        <v>-500</v>
      </c>
      <c r="T5" s="21">
        <f t="shared" ref="T5:T30" si="4">IF(COUNTA($F5,$K5,$P5)&gt;0,T4+SUM(Q5:S5),"")</f>
        <v>25500</v>
      </c>
      <c r="U5" s="53">
        <f>IF($J5="","",ROUND(($J5-$J$3)/1000,1)+(_xlfn.RANK.AVG($J5,($J5,$O5,$T5),1)-2)*10)</f>
        <v>25.5</v>
      </c>
      <c r="V5" s="54">
        <f>IF($O5="","",ROUND(($O5-$O$3)/1000,1)+(_xlfn.RANK.AVG($O5,($J5,$O5,$T5),1)-2)*10)</f>
        <v>-6</v>
      </c>
      <c r="W5" s="55">
        <f>IF($T5="","",ROUND(($T5-$T$3)/1000,1)+(_xlfn.RANK.AVG($T5,($J5,$O5,$T5),1)-2)*10)</f>
        <v>-19.5</v>
      </c>
      <c r="Y5" s="8"/>
      <c r="Z5" s="34"/>
      <c r="AA5" s="26"/>
      <c r="AB5" s="26"/>
      <c r="AC5" s="26">
        <v>5</v>
      </c>
      <c r="AD5" s="30" t="s">
        <v>201</v>
      </c>
      <c r="AE5" s="40" t="s">
        <v>82</v>
      </c>
      <c r="AF5" s="41" t="s">
        <v>83</v>
      </c>
      <c r="AG5" s="41" t="s">
        <v>92</v>
      </c>
      <c r="AH5" s="41" t="s">
        <v>202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だいち</v>
      </c>
      <c r="F6" s="8" t="s">
        <v>203</v>
      </c>
      <c r="G6" s="9">
        <v>11600</v>
      </c>
      <c r="H6" s="9"/>
      <c r="I6" s="48">
        <v>2000</v>
      </c>
      <c r="J6" s="21">
        <f t="shared" si="2"/>
        <v>64100</v>
      </c>
      <c r="K6" s="8" t="s">
        <v>204</v>
      </c>
      <c r="L6" s="9">
        <v>-5800</v>
      </c>
      <c r="M6" s="9"/>
      <c r="N6" s="48">
        <v>-1000</v>
      </c>
      <c r="O6" s="21">
        <f t="shared" si="3"/>
        <v>22200</v>
      </c>
      <c r="P6" s="8" t="s">
        <v>204</v>
      </c>
      <c r="Q6" s="9">
        <v>-5800</v>
      </c>
      <c r="R6" s="9"/>
      <c r="S6" s="48">
        <v>-1000</v>
      </c>
      <c r="T6" s="21">
        <f t="shared" si="4"/>
        <v>18700</v>
      </c>
      <c r="U6" s="53">
        <f>IF($J6="","",ROUND(($J6-$J$3)/1000,1)+(_xlfn.RANK.AVG($J6,($J6,$O6,$T6),1)-2)*10)</f>
        <v>39.1</v>
      </c>
      <c r="V6" s="54">
        <f>IF($O6="","",ROUND(($O6-$O$3)/1000,1)+(_xlfn.RANK.AVG($O6,($J6,$O6,$T6),1)-2)*10)</f>
        <v>-12.8</v>
      </c>
      <c r="W6" s="55">
        <f>IF($T6="","",ROUND(($T6-$T$3)/1000,1)+(_xlfn.RANK.AVG($T6,($J6,$O6,$T6),1)-2)*10)</f>
        <v>-26.3</v>
      </c>
      <c r="Y6" s="8"/>
      <c r="Z6" s="34"/>
      <c r="AA6" s="26"/>
      <c r="AB6" s="26"/>
      <c r="AC6" s="26">
        <v>4</v>
      </c>
      <c r="AD6" s="30">
        <v>30</v>
      </c>
      <c r="AE6" s="40" t="s">
        <v>82</v>
      </c>
      <c r="AF6" s="41" t="s">
        <v>86</v>
      </c>
      <c r="AG6" s="41" t="s">
        <v>86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tr">
        <f>IF($F$1="","",$F$1)</f>
        <v>だいち</v>
      </c>
      <c r="F7" s="8" t="s">
        <v>208</v>
      </c>
      <c r="G7" s="9">
        <v>3000</v>
      </c>
      <c r="H7" s="9"/>
      <c r="I7" s="48"/>
      <c r="J7" s="21">
        <f t="shared" si="2"/>
        <v>67100</v>
      </c>
      <c r="K7" s="8" t="s">
        <v>208</v>
      </c>
      <c r="L7" s="9">
        <v>-1500</v>
      </c>
      <c r="M7" s="9"/>
      <c r="N7" s="48"/>
      <c r="O7" s="21">
        <f t="shared" si="3"/>
        <v>20700</v>
      </c>
      <c r="P7" s="8" t="s">
        <v>208</v>
      </c>
      <c r="Q7" s="9">
        <v>-1500</v>
      </c>
      <c r="R7" s="9"/>
      <c r="S7" s="48"/>
      <c r="T7" s="21">
        <f t="shared" si="4"/>
        <v>17200</v>
      </c>
      <c r="U7" s="53">
        <f>IF($J7="","",ROUND(($J7-$J$3)/1000,1)+(_xlfn.RANK.AVG($J7,($J7,$O7,$T7),1)-2)*10)</f>
        <v>42.1</v>
      </c>
      <c r="V7" s="54">
        <f>IF($O7="","",ROUND(($O7-$O$3)/1000,1)+(_xlfn.RANK.AVG($O7,($J7,$O7,$T7),1)-2)*10)</f>
        <v>-14.3</v>
      </c>
      <c r="W7" s="55">
        <f>IF($T7="","",ROUND(($T7-$T$3)/1000,1)+(_xlfn.RANK.AVG($T7,($J7,$O7,$T7),1)-2)*10)</f>
        <v>-27.8</v>
      </c>
      <c r="Y7" s="8" t="s">
        <v>196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197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197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tr">
        <f>IF($F$1="","",$F$1)</f>
        <v>だいち</v>
      </c>
      <c r="F8" s="8" t="s">
        <v>203</v>
      </c>
      <c r="G8" s="9">
        <v>3000</v>
      </c>
      <c r="H8" s="9"/>
      <c r="I8" s="48">
        <v>4000</v>
      </c>
      <c r="J8" s="21">
        <f t="shared" si="2"/>
        <v>74100</v>
      </c>
      <c r="K8" s="8" t="s">
        <v>204</v>
      </c>
      <c r="L8" s="9">
        <v>-1500</v>
      </c>
      <c r="M8" s="9"/>
      <c r="N8" s="48">
        <v>-2000</v>
      </c>
      <c r="O8" s="21">
        <f t="shared" si="3"/>
        <v>17200</v>
      </c>
      <c r="P8" s="8" t="s">
        <v>204</v>
      </c>
      <c r="Q8" s="9">
        <v>-1500</v>
      </c>
      <c r="R8" s="9"/>
      <c r="S8" s="48">
        <v>-2000</v>
      </c>
      <c r="T8" s="21">
        <f t="shared" si="4"/>
        <v>13700</v>
      </c>
      <c r="U8" s="53">
        <f>IF($J8="","",ROUND(($J8-$J$3)/1000,1)+(_xlfn.RANK.AVG($J8,($J8,$O8,$T8),1)-2)*10)</f>
        <v>49.1</v>
      </c>
      <c r="V8" s="54">
        <f>IF($O8="","",ROUND(($O8-$O$3)/1000,1)+(_xlfn.RANK.AVG($O8,($J8,$O8,$T8),1)-2)*10)</f>
        <v>-17.8</v>
      </c>
      <c r="W8" s="55">
        <f>IF($T8="","",ROUND(($T8-$T$3)/1000,1)+(_xlfn.RANK.AVG($T8,($J8,$O8,$T8),1)-2)*10)</f>
        <v>-31.3</v>
      </c>
      <c r="Y8" s="8"/>
      <c r="Z8" s="34"/>
      <c r="AA8" s="26"/>
      <c r="AB8" s="26">
        <v>1</v>
      </c>
      <c r="AC8" s="26">
        <v>2</v>
      </c>
      <c r="AD8" s="30">
        <v>30</v>
      </c>
      <c r="AE8" s="40" t="s">
        <v>86</v>
      </c>
      <c r="AF8" s="41" t="s">
        <v>79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1</v>
      </c>
      <c r="C9" s="18">
        <f t="shared" si="6"/>
        <v>5</v>
      </c>
      <c r="D9" s="18">
        <f t="shared" si="1"/>
        <v>0</v>
      </c>
      <c r="E9" s="4" t="str">
        <f>IF($F$1="","",$F$1)</f>
        <v>だいち</v>
      </c>
      <c r="F9" s="8" t="s">
        <v>200</v>
      </c>
      <c r="G9" s="9">
        <v>2400</v>
      </c>
      <c r="H9" s="9"/>
      <c r="I9" s="48">
        <v>5000</v>
      </c>
      <c r="J9" s="21">
        <f t="shared" si="2"/>
        <v>81500</v>
      </c>
      <c r="K9" s="8" t="s">
        <v>199</v>
      </c>
      <c r="L9" s="9">
        <v>-2400</v>
      </c>
      <c r="M9" s="9"/>
      <c r="N9" s="48">
        <v>-5000</v>
      </c>
      <c r="O9" s="21">
        <f t="shared" si="3"/>
        <v>9800</v>
      </c>
      <c r="P9" s="8"/>
      <c r="Q9" s="9"/>
      <c r="R9" s="9"/>
      <c r="S9" s="48"/>
      <c r="T9" s="21">
        <f t="shared" si="4"/>
        <v>13700</v>
      </c>
      <c r="U9" s="53">
        <f>IF($J9="","",ROUND(($J9-$J$3)/1000,1)+(_xlfn.RANK.AVG($J9,($J9,$O9,$T9),1)-2)*10)</f>
        <v>56.5</v>
      </c>
      <c r="V9" s="54">
        <f>IF($O9="","",ROUND(($O9-$O$3)/1000,1)+(_xlfn.RANK.AVG($O9,($J9,$O9,$T9),1)-2)*10)</f>
        <v>-35.200000000000003</v>
      </c>
      <c r="W9" s="55">
        <f>IF($T9="","",ROUND(($T9-$T$3)/1000,1)+(_xlfn.RANK.AVG($T9,($J9,$O9,$T9),1)-2)*10)</f>
        <v>-21.3</v>
      </c>
      <c r="Y9" s="8"/>
      <c r="Z9" s="34"/>
      <c r="AA9" s="26"/>
      <c r="AB9" s="26"/>
      <c r="AC9" s="26">
        <v>2</v>
      </c>
      <c r="AD9" s="30">
        <v>25</v>
      </c>
      <c r="AE9" s="40" t="s">
        <v>101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1</v>
      </c>
      <c r="C10" s="18">
        <f t="shared" si="6"/>
        <v>6</v>
      </c>
      <c r="D10" s="18">
        <f t="shared" si="1"/>
        <v>0</v>
      </c>
      <c r="E10" s="4" t="str">
        <f>IF($F$1="","",$F$1)</f>
        <v>だいち</v>
      </c>
      <c r="F10" s="8" t="s">
        <v>199</v>
      </c>
      <c r="G10" s="9">
        <v>-2600</v>
      </c>
      <c r="H10" s="9"/>
      <c r="I10" s="48">
        <v>-6000</v>
      </c>
      <c r="J10" s="21">
        <f t="shared" si="2"/>
        <v>72900</v>
      </c>
      <c r="K10" s="8"/>
      <c r="L10" s="9"/>
      <c r="M10" s="9"/>
      <c r="N10" s="48"/>
      <c r="O10" s="21">
        <f t="shared" si="3"/>
        <v>9800</v>
      </c>
      <c r="P10" s="8" t="s">
        <v>200</v>
      </c>
      <c r="Q10" s="9">
        <v>2600</v>
      </c>
      <c r="R10" s="9"/>
      <c r="S10" s="48">
        <v>6000</v>
      </c>
      <c r="T10" s="21">
        <f t="shared" si="4"/>
        <v>22300</v>
      </c>
      <c r="U10" s="53">
        <f>IF($J10="","",ROUND(($J10-$J$3)/1000,1)+(_xlfn.RANK.AVG($J10,($J10,$O10,$T10),1)-2)*10)</f>
        <v>47.9</v>
      </c>
      <c r="V10" s="54">
        <f>IF($O10="","",ROUND(($O10-$O$3)/1000,1)+(_xlfn.RANK.AVG($O10,($J10,$O10,$T10),1)-2)*10)</f>
        <v>-35.200000000000003</v>
      </c>
      <c r="W10" s="55">
        <f>IF($T10="","",ROUND(($T10-$T$3)/1000,1)+(_xlfn.RANK.AVG($T10,($J10,$O10,$T10),1)-2)*10)</f>
        <v>-12.7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2</v>
      </c>
      <c r="BT10" s="30">
        <v>40</v>
      </c>
      <c r="BU10" s="40" t="s">
        <v>98</v>
      </c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東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たかの</v>
      </c>
      <c r="F11" s="8" t="s">
        <v>204</v>
      </c>
      <c r="G11" s="9">
        <v>-9000</v>
      </c>
      <c r="H11" s="9"/>
      <c r="I11" s="48">
        <v>0</v>
      </c>
      <c r="J11" s="21">
        <f t="shared" si="2"/>
        <v>63900</v>
      </c>
      <c r="K11" s="8" t="s">
        <v>203</v>
      </c>
      <c r="L11" s="9">
        <v>18000</v>
      </c>
      <c r="M11" s="9"/>
      <c r="N11" s="48">
        <v>0</v>
      </c>
      <c r="O11" s="21">
        <f t="shared" si="3"/>
        <v>27800</v>
      </c>
      <c r="P11" s="8" t="s">
        <v>204</v>
      </c>
      <c r="Q11" s="9">
        <v>-9000</v>
      </c>
      <c r="R11" s="9"/>
      <c r="S11" s="48">
        <v>0</v>
      </c>
      <c r="T11" s="21">
        <f t="shared" si="4"/>
        <v>13300</v>
      </c>
      <c r="U11" s="53">
        <f>IF($J11="","",ROUND(($J11-$J$3)/1000,1)+(_xlfn.RANK.AVG($J11,($J11,$O11,$T11),1)-2)*10)</f>
        <v>38.9</v>
      </c>
      <c r="V11" s="54">
        <f>IF($O11="","",ROUND(($O11-$O$3)/1000,1)+(_xlfn.RANK.AVG($O11,($J11,$O11,$T11),1)-2)*10)</f>
        <v>-7.2</v>
      </c>
      <c r="W11" s="55">
        <f>IF($T11="","",ROUND(($T11-$T$3)/1000,1)+(_xlfn.RANK.AVG($T11,($J11,$O11,$T11),1)-2)*10)</f>
        <v>-31.7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7</v>
      </c>
      <c r="AY11" s="30" t="s">
        <v>201</v>
      </c>
      <c r="AZ11" s="40" t="s">
        <v>205</v>
      </c>
      <c r="BA11" s="41" t="s">
        <v>82</v>
      </c>
      <c r="BB11" s="41" t="s">
        <v>96</v>
      </c>
      <c r="BC11" s="41" t="s">
        <v>86</v>
      </c>
      <c r="BD11" s="41" t="s">
        <v>86</v>
      </c>
      <c r="BE11" s="41" t="s">
        <v>202</v>
      </c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東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tr">
        <f>IF($K$1="","",$K$1)</f>
        <v>たかの</v>
      </c>
      <c r="F12" s="8"/>
      <c r="G12" s="9"/>
      <c r="H12" s="9"/>
      <c r="I12" s="48"/>
      <c r="J12" s="21">
        <f t="shared" si="2"/>
        <v>63900</v>
      </c>
      <c r="K12" s="8" t="s">
        <v>200</v>
      </c>
      <c r="L12" s="9">
        <v>2900</v>
      </c>
      <c r="M12" s="9"/>
      <c r="N12" s="48">
        <v>1000</v>
      </c>
      <c r="O12" s="21">
        <f t="shared" si="3"/>
        <v>31700</v>
      </c>
      <c r="P12" s="8" t="s">
        <v>199</v>
      </c>
      <c r="Q12" s="9">
        <v>-2900</v>
      </c>
      <c r="R12" s="9"/>
      <c r="S12" s="48">
        <v>-1000</v>
      </c>
      <c r="T12" s="21">
        <f t="shared" si="4"/>
        <v>9400</v>
      </c>
      <c r="U12" s="53">
        <f>IF($J12="","",ROUND(($J12-$J$3)/1000,1)+(_xlfn.RANK.AVG($J12,($J12,$O12,$T12),1)-2)*10)</f>
        <v>38.9</v>
      </c>
      <c r="V12" s="54">
        <f>IF($O12="","",ROUND(($O12-$O$3)/1000,1)+(_xlfn.RANK.AVG($O12,($J12,$O12,$T12),1)-2)*10)</f>
        <v>-3.3</v>
      </c>
      <c r="W12" s="55">
        <f>IF($T12="","",ROUND(($T12-$T$3)/1000,1)+(_xlfn.RANK.AVG($T12,($J12,$O12,$T12),1)-2)*10)</f>
        <v>-35.6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2</v>
      </c>
      <c r="AY12" s="30">
        <v>30</v>
      </c>
      <c r="AZ12" s="40" t="s">
        <v>93</v>
      </c>
      <c r="BA12" s="41" t="s">
        <v>86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東</v>
      </c>
      <c r="B13" s="18">
        <f t="shared" si="5"/>
        <v>2</v>
      </c>
      <c r="C13" s="18">
        <f t="shared" si="6"/>
        <v>2</v>
      </c>
      <c r="D13" s="18">
        <f t="shared" si="1"/>
        <v>0</v>
      </c>
      <c r="E13" s="4" t="str">
        <f>IF($K$1="","",$K$1)</f>
        <v>たかの</v>
      </c>
      <c r="F13" s="8" t="s">
        <v>200</v>
      </c>
      <c r="G13" s="9">
        <v>2000</v>
      </c>
      <c r="H13" s="9"/>
      <c r="I13" s="48">
        <v>2000</v>
      </c>
      <c r="J13" s="21">
        <f t="shared" si="2"/>
        <v>67900</v>
      </c>
      <c r="K13" s="8"/>
      <c r="L13" s="9"/>
      <c r="M13" s="9"/>
      <c r="N13" s="48"/>
      <c r="O13" s="21">
        <f t="shared" si="3"/>
        <v>31700</v>
      </c>
      <c r="P13" s="8" t="s">
        <v>199</v>
      </c>
      <c r="Q13" s="9">
        <v>-2000</v>
      </c>
      <c r="R13" s="9"/>
      <c r="S13" s="48">
        <v>-2000</v>
      </c>
      <c r="T13" s="21">
        <f t="shared" si="4"/>
        <v>5400</v>
      </c>
      <c r="U13" s="53">
        <f>IF($J13="","",ROUND(($J13-$J$3)/1000,1)+(_xlfn.RANK.AVG($J13,($J13,$O13,$T13),1)-2)*10)</f>
        <v>42.9</v>
      </c>
      <c r="V13" s="54">
        <f>IF($O13="","",ROUND(($O13-$O$3)/1000,1)+(_xlfn.RANK.AVG($O13,($J13,$O13,$T13),1)-2)*10)</f>
        <v>-3.3</v>
      </c>
      <c r="W13" s="55">
        <f>IF($T13="","",ROUND(($T13-$T$3)/1000,1)+(_xlfn.RANK.AVG($T13,($J13,$O13,$T13),1)-2)*10)</f>
        <v>-39.6</v>
      </c>
      <c r="Y13" s="8"/>
      <c r="Z13" s="34"/>
      <c r="AA13" s="26"/>
      <c r="AB13" s="26"/>
      <c r="AC13" s="26">
        <v>2</v>
      </c>
      <c r="AD13" s="30">
        <v>30</v>
      </c>
      <c r="AE13" s="40" t="s">
        <v>83</v>
      </c>
      <c r="AF13" s="41" t="s">
        <v>202</v>
      </c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東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tr">
        <f>IF($P$1="","",$P$1)</f>
        <v>まっつん</v>
      </c>
      <c r="F14" s="8" t="s">
        <v>203</v>
      </c>
      <c r="G14" s="9">
        <v>7700</v>
      </c>
      <c r="H14" s="9"/>
      <c r="I14" s="48">
        <v>0</v>
      </c>
      <c r="J14" s="21">
        <f t="shared" si="2"/>
        <v>75600</v>
      </c>
      <c r="K14" s="8" t="s">
        <v>204</v>
      </c>
      <c r="L14" s="9">
        <v>-2900</v>
      </c>
      <c r="M14" s="9"/>
      <c r="N14" s="48">
        <v>0</v>
      </c>
      <c r="O14" s="21">
        <f t="shared" si="3"/>
        <v>28800</v>
      </c>
      <c r="P14" s="8" t="s">
        <v>204</v>
      </c>
      <c r="Q14" s="9">
        <v>-4800</v>
      </c>
      <c r="R14" s="9"/>
      <c r="S14" s="48">
        <v>0</v>
      </c>
      <c r="T14" s="21">
        <f t="shared" si="4"/>
        <v>600</v>
      </c>
      <c r="U14" s="53">
        <f>IF($J14="","",ROUND(($J14-$J$3)/1000,1)+(_xlfn.RANK.AVG($J14,($J14,$O14,$T14),1)-2)*10)</f>
        <v>50.6</v>
      </c>
      <c r="V14" s="54">
        <f>IF($O14="","",ROUND(($O14-$O$3)/1000,1)+(_xlfn.RANK.AVG($O14,($J14,$O14,$T14),1)-2)*10)</f>
        <v>-6.2</v>
      </c>
      <c r="W14" s="55">
        <f>IF($T14="","",ROUND(($T14-$T$3)/1000,1)+(_xlfn.RANK.AVG($T14,($J14,$O14,$T14),1)-2)*10)</f>
        <v>-44.4</v>
      </c>
      <c r="Y14" s="8"/>
      <c r="Z14" s="34"/>
      <c r="AA14" s="26"/>
      <c r="AB14" s="26">
        <v>1</v>
      </c>
      <c r="AC14" s="26">
        <v>4</v>
      </c>
      <c r="AD14" s="30">
        <v>30</v>
      </c>
      <c r="AE14" s="40" t="s">
        <v>86</v>
      </c>
      <c r="AF14" s="41" t="s">
        <v>79</v>
      </c>
      <c r="AG14" s="41" t="s">
        <v>79</v>
      </c>
      <c r="AH14" s="41" t="s">
        <v>79</v>
      </c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1</v>
      </c>
      <c r="C15" s="18">
        <f t="shared" si="6"/>
        <v>0</v>
      </c>
      <c r="D15" s="18">
        <f t="shared" si="1"/>
        <v>0</v>
      </c>
      <c r="E15" s="4" t="str">
        <f>IF($F$1="","",$F$1)</f>
        <v>だいち</v>
      </c>
      <c r="F15" s="8"/>
      <c r="G15" s="9"/>
      <c r="H15" s="9"/>
      <c r="I15" s="48"/>
      <c r="J15" s="21">
        <f t="shared" si="2"/>
        <v>75600</v>
      </c>
      <c r="K15" s="8" t="s">
        <v>199</v>
      </c>
      <c r="L15" s="9">
        <v>-3200</v>
      </c>
      <c r="M15" s="9"/>
      <c r="N15" s="48">
        <v>0</v>
      </c>
      <c r="O15" s="21">
        <f t="shared" si="3"/>
        <v>25600</v>
      </c>
      <c r="P15" s="8" t="s">
        <v>200</v>
      </c>
      <c r="Q15" s="9">
        <v>3200</v>
      </c>
      <c r="R15" s="9"/>
      <c r="S15" s="48">
        <v>0</v>
      </c>
      <c r="T15" s="21">
        <f t="shared" si="4"/>
        <v>3800</v>
      </c>
      <c r="U15" s="53">
        <f>IF($J15="","",ROUND(($J15-$J$3)/1000,1)+(_xlfn.RANK.AVG($J15,($J15,$O15,$T15),1)-2)*10)</f>
        <v>50.6</v>
      </c>
      <c r="V15" s="54">
        <f>IF($O15="","",ROUND(($O15-$O$3)/1000,1)+(_xlfn.RANK.AVG($O15,($J15,$O15,$T15),1)-2)*10)</f>
        <v>-9.4</v>
      </c>
      <c r="W15" s="55">
        <f>IF($T15="","",ROUND(($T15-$T$3)/1000,1)+(_xlfn.RANK.AVG($T15,($J15,$O15,$T15),1)-2)*10)</f>
        <v>-41.2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>
        <v>1</v>
      </c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>
        <v>2</v>
      </c>
      <c r="BT15" s="30">
        <v>50</v>
      </c>
      <c r="BU15" s="40" t="s">
        <v>96</v>
      </c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>南</v>
      </c>
      <c r="B16" s="18">
        <f t="shared" si="5"/>
        <v>2</v>
      </c>
      <c r="C16" s="18">
        <f t="shared" si="6"/>
        <v>0</v>
      </c>
      <c r="D16" s="18">
        <f t="shared" si="1"/>
        <v>0</v>
      </c>
      <c r="E16" s="4" t="str">
        <f>IF($K$1="","",$K$1)</f>
        <v>たかの</v>
      </c>
      <c r="F16" s="8" t="s">
        <v>204</v>
      </c>
      <c r="G16" s="9">
        <v>-1500</v>
      </c>
      <c r="H16" s="9"/>
      <c r="I16" s="48">
        <v>0</v>
      </c>
      <c r="J16" s="21">
        <f t="shared" si="2"/>
        <v>74100</v>
      </c>
      <c r="K16" s="8" t="s">
        <v>203</v>
      </c>
      <c r="L16" s="9">
        <v>3000</v>
      </c>
      <c r="M16" s="9"/>
      <c r="N16" s="48">
        <v>0</v>
      </c>
      <c r="O16" s="21">
        <f t="shared" si="3"/>
        <v>28600</v>
      </c>
      <c r="P16" s="8" t="s">
        <v>204</v>
      </c>
      <c r="Q16" s="9">
        <v>-1500</v>
      </c>
      <c r="R16" s="9"/>
      <c r="S16" s="48">
        <v>0</v>
      </c>
      <c r="T16" s="21">
        <f t="shared" si="4"/>
        <v>2300</v>
      </c>
      <c r="U16" s="53">
        <f>IF($J16="","",ROUND(($J16-$J$3)/1000,1)+(_xlfn.RANK.AVG($J16,($J16,$O16,$T16),1)-2)*10)</f>
        <v>49.1</v>
      </c>
      <c r="V16" s="54">
        <f>IF($O16="","",ROUND(($O16-$O$3)/1000,1)+(_xlfn.RANK.AVG($O16,($J16,$O16,$T16),1)-2)*10)</f>
        <v>-6.4</v>
      </c>
      <c r="W16" s="55">
        <f>IF($T16="","",ROUND(($T16-$T$3)/1000,1)+(_xlfn.RANK.AVG($T16,($J16,$O16,$T16),1)-2)*10)</f>
        <v>-42.7</v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>
        <v>1</v>
      </c>
      <c r="AX16" s="26">
        <v>2</v>
      </c>
      <c r="AY16" s="30">
        <v>30</v>
      </c>
      <c r="AZ16" s="40" t="s">
        <v>104</v>
      </c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>南</v>
      </c>
      <c r="B17" s="18">
        <f t="shared" si="5"/>
        <v>2</v>
      </c>
      <c r="C17" s="18">
        <f t="shared" si="6"/>
        <v>1</v>
      </c>
      <c r="D17" s="18">
        <f t="shared" si="1"/>
        <v>0</v>
      </c>
      <c r="E17" s="4" t="str">
        <f>IF($K$1="","",$K$1)</f>
        <v>たかの</v>
      </c>
      <c r="F17" s="8" t="s">
        <v>199</v>
      </c>
      <c r="G17" s="9">
        <v>-2900</v>
      </c>
      <c r="H17" s="9"/>
      <c r="I17" s="48">
        <v>-1000</v>
      </c>
      <c r="J17" s="21">
        <f t="shared" si="2"/>
        <v>70200</v>
      </c>
      <c r="K17" s="8" t="s">
        <v>200</v>
      </c>
      <c r="L17" s="9">
        <v>2900</v>
      </c>
      <c r="M17" s="9"/>
      <c r="N17" s="48">
        <v>1000</v>
      </c>
      <c r="O17" s="21">
        <f t="shared" si="3"/>
        <v>32500</v>
      </c>
      <c r="P17" s="8"/>
      <c r="Q17" s="9"/>
      <c r="R17" s="9"/>
      <c r="S17" s="48"/>
      <c r="T17" s="21">
        <f t="shared" si="4"/>
        <v>2300</v>
      </c>
      <c r="U17" s="53">
        <f>IF($J17="","",ROUND(($J17-$J$3)/1000,1)+(_xlfn.RANK.AVG($J17,($J17,$O17,$T17),1)-2)*10)</f>
        <v>45.2</v>
      </c>
      <c r="V17" s="54">
        <f>IF($O17="","",ROUND(($O17-$O$3)/1000,1)+(_xlfn.RANK.AVG($O17,($J17,$O17,$T17),1)-2)*10)</f>
        <v>-2.5</v>
      </c>
      <c r="W17" s="55">
        <f>IF($T17="","",ROUND(($T17-$T$3)/1000,1)+(_xlfn.RANK.AVG($T17,($J17,$O17,$T17),1)-2)*10)</f>
        <v>-42.7</v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>
        <v>1</v>
      </c>
      <c r="AX17" s="26">
        <v>2</v>
      </c>
      <c r="AY17" s="30">
        <v>30</v>
      </c>
      <c r="AZ17" s="40" t="s">
        <v>86</v>
      </c>
      <c r="BA17" s="41" t="s">
        <v>202</v>
      </c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>南</v>
      </c>
      <c r="B18" s="18">
        <f t="shared" si="5"/>
        <v>2</v>
      </c>
      <c r="C18" s="18">
        <f t="shared" si="6"/>
        <v>2</v>
      </c>
      <c r="D18" s="18">
        <f t="shared" si="1"/>
        <v>0</v>
      </c>
      <c r="E18" s="4" t="str">
        <f>IF($K$1="","",$K$1)</f>
        <v>たかの</v>
      </c>
      <c r="F18" s="8" t="s">
        <v>200</v>
      </c>
      <c r="G18" s="9">
        <v>1300</v>
      </c>
      <c r="H18" s="9"/>
      <c r="I18" s="48">
        <v>2000</v>
      </c>
      <c r="J18" s="21">
        <f t="shared" si="2"/>
        <v>73500</v>
      </c>
      <c r="K18" s="8" t="s">
        <v>199</v>
      </c>
      <c r="L18" s="9">
        <v>-1300</v>
      </c>
      <c r="M18" s="9"/>
      <c r="N18" s="48">
        <v>-2000</v>
      </c>
      <c r="O18" s="21">
        <f t="shared" si="3"/>
        <v>29200</v>
      </c>
      <c r="P18" s="8"/>
      <c r="Q18" s="9"/>
      <c r="R18" s="9"/>
      <c r="S18" s="48"/>
      <c r="T18" s="21">
        <f t="shared" si="4"/>
        <v>2300</v>
      </c>
      <c r="U18" s="53">
        <f>IF($J18="","",ROUND(($J18-$J$3)/1000,1)+(_xlfn.RANK.AVG($J18,($J18,$O18,$T18),1)-2)*10)</f>
        <v>48.5</v>
      </c>
      <c r="V18" s="54">
        <f>IF($O18="","",ROUND(($O18-$O$3)/1000,1)+(_xlfn.RANK.AVG($O18,($J18,$O18,$T18),1)-2)*10)</f>
        <v>-5.8</v>
      </c>
      <c r="W18" s="55">
        <f>IF($T18="","",ROUND(($T18-$T$3)/1000,1)+(_xlfn.RANK.AVG($T18,($J18,$O18,$T18),1)-2)*10)</f>
        <v>-42.7</v>
      </c>
      <c r="Y18" s="8"/>
      <c r="Z18" s="34"/>
      <c r="AA18" s="26"/>
      <c r="AB18" s="26"/>
      <c r="AC18" s="26">
        <v>1</v>
      </c>
      <c r="AD18" s="30">
        <v>40</v>
      </c>
      <c r="AE18" s="40" t="s">
        <v>86</v>
      </c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>
        <v>1</v>
      </c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>
        <v>1</v>
      </c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>南</v>
      </c>
      <c r="B19" s="18">
        <f t="shared" si="5"/>
        <v>3</v>
      </c>
      <c r="C19" s="18">
        <f t="shared" si="6"/>
        <v>0</v>
      </c>
      <c r="D19" s="18">
        <f t="shared" si="1"/>
        <v>0</v>
      </c>
      <c r="E19" s="4" t="str">
        <f>IF($P$1="","",$P$1)</f>
        <v>まっつん</v>
      </c>
      <c r="F19" s="8" t="s">
        <v>200</v>
      </c>
      <c r="G19" s="9">
        <v>12000</v>
      </c>
      <c r="H19" s="9"/>
      <c r="I19" s="48">
        <v>0</v>
      </c>
      <c r="J19" s="21">
        <f t="shared" si="2"/>
        <v>85500</v>
      </c>
      <c r="K19" s="8"/>
      <c r="L19" s="9"/>
      <c r="M19" s="9"/>
      <c r="N19" s="48"/>
      <c r="O19" s="21">
        <f t="shared" si="3"/>
        <v>29200</v>
      </c>
      <c r="P19" s="8" t="s">
        <v>199</v>
      </c>
      <c r="Q19" s="9">
        <v>-12000</v>
      </c>
      <c r="R19" s="9"/>
      <c r="S19" s="48">
        <v>0</v>
      </c>
      <c r="T19" s="21">
        <f t="shared" si="4"/>
        <v>-9700</v>
      </c>
      <c r="U19" s="53">
        <f>IF($J19="","",ROUND(($J19-$J$3)/1000,1)+(_xlfn.RANK.AVG($J19,($J19,$O19,$T19),1)-2)*10)</f>
        <v>60.5</v>
      </c>
      <c r="V19" s="54">
        <f>IF($O19="","",ROUND(($O19-$O$3)/1000,1)+(_xlfn.RANK.AVG($O19,($J19,$O19,$T19),1)-2)*10)</f>
        <v>-5.8</v>
      </c>
      <c r="W19" s="55">
        <f>IF($T19="","",ROUND(($T19-$T$3)/1000,1)+(_xlfn.RANK.AVG($T19,($J19,$O19,$T19),1)-2)*10)</f>
        <v>-54.7</v>
      </c>
      <c r="Y19" s="8"/>
      <c r="Z19" s="34"/>
      <c r="AA19" s="26"/>
      <c r="AB19" s="26">
        <v>1</v>
      </c>
      <c r="AC19" s="26">
        <v>7</v>
      </c>
      <c r="AD19" s="30" t="s">
        <v>201</v>
      </c>
      <c r="AE19" s="40" t="s">
        <v>104</v>
      </c>
      <c r="AF19" s="41" t="s">
        <v>86</v>
      </c>
      <c r="AG19" s="41" t="s">
        <v>79</v>
      </c>
      <c r="AH19" s="41" t="s">
        <v>79</v>
      </c>
      <c r="AI19" s="41" t="s">
        <v>79</v>
      </c>
      <c r="AJ19" s="41" t="s">
        <v>202</v>
      </c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0CB1DF46-14F2-4450-9444-9A65AA09C70C}">
      <formula1>$U$2:$W$2</formula1>
    </dataValidation>
    <dataValidation type="list" showInputMessage="1" showErrorMessage="1" sqref="K4:K30 P4:P30 F4:F30" xr:uid="{2A0F84DD-D7C4-4110-A2A8-4BBB2934E271}">
      <formula1>"ロン,ツモ,放銃,ツモ支払,流局,チョンボ"</formula1>
    </dataValidation>
    <dataValidation type="list" allowBlank="1" showInputMessage="1" sqref="F1:T1" xr:uid="{21345AE4-70FB-4E37-A8A8-A1999F39E29C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8FB8B-E7B5-4F2D-A58C-3F3AA2F283EF}">
  <sheetPr codeName="Sheet15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195</v>
      </c>
      <c r="L1" s="72"/>
      <c r="M1" s="72"/>
      <c r="N1" s="73"/>
      <c r="O1" s="74"/>
      <c r="P1" s="71" t="s">
        <v>194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れんたろう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199</v>
      </c>
      <c r="G4" s="9">
        <v>-16000</v>
      </c>
      <c r="H4" s="9"/>
      <c r="I4" s="48">
        <v>0</v>
      </c>
      <c r="J4" s="21">
        <f>IF(COUNTA($F4,$K4,$P4)&gt;0,J3+SUM(G4:I4),"")</f>
        <v>19000</v>
      </c>
      <c r="K4" s="8" t="s">
        <v>200</v>
      </c>
      <c r="L4" s="9">
        <v>16000</v>
      </c>
      <c r="M4" s="9"/>
      <c r="N4" s="48">
        <v>0</v>
      </c>
      <c r="O4" s="21">
        <f>IF(COUNTA($F4,$K4,$P4)&gt;0,O3+SUM(L4:N4),"")</f>
        <v>51000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-26</v>
      </c>
      <c r="V4" s="54">
        <f>IF($O4="","",ROUND(($O4-$O$3)/1000,1)+(_xlfn.RANK.AVG($O4,($J4,$O4,$T4),1)-2)*10)</f>
        <v>26</v>
      </c>
      <c r="W4" s="55">
        <f>IF($T4="","",ROUND(($T4-$T$3)/1000,1)+(_xlfn.RANK.AVG($T4,($J4,$O4,$T4),1)-2)*10)</f>
        <v>0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8</v>
      </c>
      <c r="AY4" s="30" t="s">
        <v>201</v>
      </c>
      <c r="AZ4" s="40" t="s">
        <v>104</v>
      </c>
      <c r="BA4" s="41" t="s">
        <v>86</v>
      </c>
      <c r="BB4" s="41" t="s">
        <v>86</v>
      </c>
      <c r="BC4" s="41" t="s">
        <v>79</v>
      </c>
      <c r="BD4" s="41" t="s">
        <v>79</v>
      </c>
      <c r="BE4" s="41" t="s">
        <v>79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 t="s">
        <v>203</v>
      </c>
      <c r="G5" s="9">
        <v>12000</v>
      </c>
      <c r="H5" s="9"/>
      <c r="I5" s="48">
        <v>0</v>
      </c>
      <c r="J5" s="21">
        <f t="shared" ref="J5:J30" si="2">IF(COUNTA($F5,$K5,$P5)&gt;0,J4+SUM(G5:I5),"")</f>
        <v>31000</v>
      </c>
      <c r="K5" s="8" t="s">
        <v>204</v>
      </c>
      <c r="L5" s="9">
        <v>-7500</v>
      </c>
      <c r="M5" s="9"/>
      <c r="N5" s="48">
        <v>0</v>
      </c>
      <c r="O5" s="21">
        <f t="shared" ref="O5:O30" si="3">IF(COUNTA($F5,$K5,$P5)&gt;0,O4+SUM(L5:N5),"")</f>
        <v>43500</v>
      </c>
      <c r="P5" s="8" t="s">
        <v>204</v>
      </c>
      <c r="Q5" s="9">
        <v>-4500</v>
      </c>
      <c r="R5" s="9"/>
      <c r="S5" s="48">
        <v>0</v>
      </c>
      <c r="T5" s="21">
        <f t="shared" ref="T5:T30" si="4">IF(COUNTA($F5,$K5,$P5)&gt;0,T4+SUM(Q5:S5),"")</f>
        <v>30500</v>
      </c>
      <c r="U5" s="53">
        <f>IF($J5="","",ROUND(($J5-$J$3)/1000,1)+(_xlfn.RANK.AVG($J5,($J5,$O5,$T5),1)-2)*10)</f>
        <v>-4</v>
      </c>
      <c r="V5" s="54">
        <f>IF($O5="","",ROUND(($O5-$O$3)/1000,1)+(_xlfn.RANK.AVG($O5,($J5,$O5,$T5),1)-2)*10)</f>
        <v>18.5</v>
      </c>
      <c r="W5" s="55">
        <f>IF($T5="","",ROUND(($T5-$T$3)/1000,1)+(_xlfn.RANK.AVG($T5,($J5,$O5,$T5),1)-2)*10)</f>
        <v>-14.5</v>
      </c>
      <c r="Y5" s="8"/>
      <c r="Z5" s="34"/>
      <c r="AA5" s="26">
        <v>1</v>
      </c>
      <c r="AB5" s="26"/>
      <c r="AC5" s="26">
        <v>6</v>
      </c>
      <c r="AD5" s="30" t="s">
        <v>201</v>
      </c>
      <c r="AE5" s="40" t="s">
        <v>205</v>
      </c>
      <c r="AF5" s="41" t="s">
        <v>82</v>
      </c>
      <c r="AG5" s="41" t="s">
        <v>84</v>
      </c>
      <c r="AH5" s="41" t="s">
        <v>79</v>
      </c>
      <c r="AI5" s="41" t="s">
        <v>79</v>
      </c>
      <c r="AJ5" s="41" t="s">
        <v>86</v>
      </c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203</v>
      </c>
      <c r="G6" s="9">
        <v>12000</v>
      </c>
      <c r="H6" s="9"/>
      <c r="I6" s="48">
        <v>0</v>
      </c>
      <c r="J6" s="21">
        <f t="shared" si="2"/>
        <v>43000</v>
      </c>
      <c r="K6" s="8" t="s">
        <v>204</v>
      </c>
      <c r="L6" s="9">
        <v>-4500</v>
      </c>
      <c r="M6" s="9"/>
      <c r="N6" s="48">
        <v>0</v>
      </c>
      <c r="O6" s="21">
        <f t="shared" si="3"/>
        <v>39000</v>
      </c>
      <c r="P6" s="8" t="s">
        <v>204</v>
      </c>
      <c r="Q6" s="9">
        <v>-7500</v>
      </c>
      <c r="R6" s="9"/>
      <c r="S6" s="48">
        <v>0</v>
      </c>
      <c r="T6" s="21">
        <f t="shared" si="4"/>
        <v>23000</v>
      </c>
      <c r="U6" s="53">
        <f>IF($J6="","",ROUND(($J6-$J$3)/1000,1)+(_xlfn.RANK.AVG($J6,($J6,$O6,$T6),1)-2)*10)</f>
        <v>18</v>
      </c>
      <c r="V6" s="54">
        <f>IF($O6="","",ROUND(($O6-$O$3)/1000,1)+(_xlfn.RANK.AVG($O6,($J6,$O6,$T6),1)-2)*10)</f>
        <v>4</v>
      </c>
      <c r="W6" s="55">
        <f>IF($T6="","",ROUND(($T6-$T$3)/1000,1)+(_xlfn.RANK.AVG($T6,($J6,$O6,$T6),1)-2)*10)</f>
        <v>-22</v>
      </c>
      <c r="Y6" s="8"/>
      <c r="Z6" s="34"/>
      <c r="AA6" s="26"/>
      <c r="AB6" s="26">
        <v>1</v>
      </c>
      <c r="AC6" s="26">
        <v>6</v>
      </c>
      <c r="AD6" s="30" t="s">
        <v>201</v>
      </c>
      <c r="AE6" s="40" t="s">
        <v>86</v>
      </c>
      <c r="AF6" s="41" t="s">
        <v>79</v>
      </c>
      <c r="AG6" s="41" t="s">
        <v>79</v>
      </c>
      <c r="AH6" s="41" t="s">
        <v>79</v>
      </c>
      <c r="AI6" s="41" t="s">
        <v>202</v>
      </c>
      <c r="AJ6" s="41" t="s">
        <v>202</v>
      </c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まっつん</v>
      </c>
      <c r="F7" s="8" t="s">
        <v>208</v>
      </c>
      <c r="G7" s="9">
        <v>-1500</v>
      </c>
      <c r="H7" s="9"/>
      <c r="I7" s="48"/>
      <c r="J7" s="21">
        <f t="shared" si="2"/>
        <v>41500</v>
      </c>
      <c r="K7" s="8" t="s">
        <v>208</v>
      </c>
      <c r="L7" s="9">
        <v>3000</v>
      </c>
      <c r="M7" s="9">
        <v>-1000</v>
      </c>
      <c r="N7" s="48"/>
      <c r="O7" s="21">
        <f t="shared" si="3"/>
        <v>41000</v>
      </c>
      <c r="P7" s="8" t="s">
        <v>208</v>
      </c>
      <c r="Q7" s="9">
        <v>-1500</v>
      </c>
      <c r="R7" s="9"/>
      <c r="S7" s="48"/>
      <c r="T7" s="21">
        <f t="shared" si="4"/>
        <v>21500</v>
      </c>
      <c r="U7" s="53">
        <f>IF($J7="","",ROUND(($J7-$J$3)/1000,1)+(_xlfn.RANK.AVG($J7,($J7,$O7,$T7),1)-2)*10)</f>
        <v>16.5</v>
      </c>
      <c r="V7" s="54">
        <f>IF($O7="","",ROUND(($O7-$O$3)/1000,1)+(_xlfn.RANK.AVG($O7,($J7,$O7,$T7),1)-2)*10)</f>
        <v>6</v>
      </c>
      <c r="W7" s="55">
        <f>IF($T7="","",ROUND(($T7-$T$3)/1000,1)+(_xlfn.RANK.AVG($T7,($J7,$O7,$T7),1)-2)*10)</f>
        <v>-23.5</v>
      </c>
      <c r="Y7" s="8" t="s">
        <v>197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196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197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1</v>
      </c>
      <c r="D8" s="18">
        <f t="shared" si="1"/>
        <v>1</v>
      </c>
      <c r="E8" s="4" t="str">
        <f>IF($K$1="","",$K$1)</f>
        <v>れんたろう</v>
      </c>
      <c r="F8" s="8" t="s">
        <v>204</v>
      </c>
      <c r="G8" s="9">
        <v>-4500</v>
      </c>
      <c r="H8" s="9"/>
      <c r="I8" s="48">
        <v>-500</v>
      </c>
      <c r="J8" s="21">
        <f t="shared" si="2"/>
        <v>36500</v>
      </c>
      <c r="K8" s="8" t="s">
        <v>204</v>
      </c>
      <c r="L8" s="9">
        <v>-7500</v>
      </c>
      <c r="M8" s="9"/>
      <c r="N8" s="48">
        <v>-500</v>
      </c>
      <c r="O8" s="21">
        <f t="shared" si="3"/>
        <v>33000</v>
      </c>
      <c r="P8" s="8" t="s">
        <v>203</v>
      </c>
      <c r="Q8" s="9">
        <v>12000</v>
      </c>
      <c r="R8" s="9">
        <v>1000</v>
      </c>
      <c r="S8" s="48">
        <v>1000</v>
      </c>
      <c r="T8" s="21">
        <f t="shared" si="4"/>
        <v>35500</v>
      </c>
      <c r="U8" s="53">
        <f>IF($J8="","",ROUND(($J8-$J$3)/1000,1)+(_xlfn.RANK.AVG($J8,($J8,$O8,$T8),1)-2)*10)</f>
        <v>11.5</v>
      </c>
      <c r="V8" s="54">
        <f>IF($O8="","",ROUND(($O8-$O$3)/1000,1)+(_xlfn.RANK.AVG($O8,($J8,$O8,$T8),1)-2)*10)</f>
        <v>-12</v>
      </c>
      <c r="W8" s="55">
        <f>IF($T8="","",ROUND(($T8-$T$3)/1000,1)+(_xlfn.RANK.AVG($T8,($J8,$O8,$T8),1)-2)*10)</f>
        <v>0.5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6</v>
      </c>
      <c r="BT8" s="30" t="s">
        <v>201</v>
      </c>
      <c r="BU8" s="40" t="s">
        <v>205</v>
      </c>
      <c r="BV8" s="41" t="s">
        <v>82</v>
      </c>
      <c r="BW8" s="41" t="s">
        <v>83</v>
      </c>
      <c r="BX8" s="41" t="s">
        <v>202</v>
      </c>
      <c r="BY8" s="41" t="s">
        <v>80</v>
      </c>
      <c r="BZ8" s="41" t="s">
        <v>80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だいち</v>
      </c>
      <c r="F9" s="8" t="s">
        <v>200</v>
      </c>
      <c r="G9" s="9">
        <v>7700</v>
      </c>
      <c r="H9" s="9">
        <v>1000</v>
      </c>
      <c r="I9" s="48">
        <v>0</v>
      </c>
      <c r="J9" s="21">
        <f t="shared" si="2"/>
        <v>45200</v>
      </c>
      <c r="K9" s="8"/>
      <c r="L9" s="9"/>
      <c r="M9" s="9"/>
      <c r="N9" s="48"/>
      <c r="O9" s="21">
        <f t="shared" si="3"/>
        <v>33000</v>
      </c>
      <c r="P9" s="8" t="s">
        <v>199</v>
      </c>
      <c r="Q9" s="9">
        <v>-7700</v>
      </c>
      <c r="R9" s="9">
        <v>-1000</v>
      </c>
      <c r="S9" s="48">
        <v>0</v>
      </c>
      <c r="T9" s="21">
        <f t="shared" si="4"/>
        <v>26800</v>
      </c>
      <c r="U9" s="53">
        <f>IF($J9="","",ROUND(($J9-$J$3)/1000,1)+(_xlfn.RANK.AVG($J9,($J9,$O9,$T9),1)-2)*10)</f>
        <v>20.2</v>
      </c>
      <c r="V9" s="54">
        <f>IF($O9="","",ROUND(($O9-$O$3)/1000,1)+(_xlfn.RANK.AVG($O9,($J9,$O9,$T9),1)-2)*10)</f>
        <v>-2</v>
      </c>
      <c r="W9" s="55">
        <f>IF($T9="","",ROUND(($T9-$T$3)/1000,1)+(_xlfn.RANK.AVG($T9,($J9,$O9,$T9),1)-2)*10)</f>
        <v>-18.2</v>
      </c>
      <c r="Y9" s="8"/>
      <c r="Z9" s="34"/>
      <c r="AA9" s="26"/>
      <c r="AB9" s="26">
        <v>1</v>
      </c>
      <c r="AC9" s="26">
        <v>4</v>
      </c>
      <c r="AD9" s="30">
        <v>30</v>
      </c>
      <c r="AE9" s="40" t="s">
        <v>86</v>
      </c>
      <c r="AF9" s="41" t="s">
        <v>86</v>
      </c>
      <c r="AG9" s="41" t="s">
        <v>86</v>
      </c>
      <c r="AH9" s="41" t="s">
        <v>202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西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まっつん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2A0D8AC5-D898-4982-A59D-8FEED2F9C8DA}">
      <formula1>"れんたろう,ともき,だいち,りくと,まっつん,たかの,のり,ただ,ぱぱ,"</formula1>
    </dataValidation>
    <dataValidation type="list" showInputMessage="1" showErrorMessage="1" sqref="K4:K30 P4:P30 F4:F30" xr:uid="{D78C2159-3CA6-47D9-9D0F-5848C19C924D}">
      <formula1>"ロン,ツモ,放銃,ツモ支払,流局,チョンボ"</formula1>
    </dataValidation>
    <dataValidation type="list" allowBlank="1" showInputMessage="1" showErrorMessage="1" sqref="E4:E30" xr:uid="{DD656E9B-B684-4E19-BF98-FD91BAAAEDA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Sheet1</vt:lpstr>
      <vt:lpstr>Sheet2</vt:lpstr>
      <vt:lpstr>Sheet3</vt:lpstr>
      <vt:lpstr>Sheet4</vt:lpstr>
      <vt:lpstr>Sheet5</vt:lpstr>
      <vt:lpstr>Sheet6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2020-06-30T07:16:11Z</dcterms:modified>
</cp:coreProperties>
</file>