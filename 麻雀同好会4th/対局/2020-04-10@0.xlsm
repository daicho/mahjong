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AD919D8D-0047-4F76-92F9-5AD702BEE9B9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8" i="19" l="1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C6" i="19" s="1"/>
  <c r="B5" i="19"/>
  <c r="A5" i="19" s="1"/>
  <c r="T4" i="19"/>
  <c r="O4" i="19"/>
  <c r="J4" i="19"/>
  <c r="W2" i="19"/>
  <c r="V2" i="19"/>
  <c r="U2" i="19"/>
  <c r="BO1" i="19"/>
  <c r="AT1" i="19"/>
  <c r="Y1" i="19"/>
  <c r="V10" i="19" l="1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<sst xmlns="http://schemas.openxmlformats.org/spreadsheetml/2006/main" count="560" uniqueCount="206">
  <si>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</si>
  <si>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</si>
  <si>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</si>
  <si>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</si>
  <si>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</si>
  <si>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</si>
  <si>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</si>
  <si>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</si>
  <si>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</si>
  <si>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</si>
  <si>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</si>
  <si>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</si>
  <si>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</si>
  <si>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</si>
  <si>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</si>
  <si>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</si>
  <si>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</si>
  <si>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</si>
  <si>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</si>
  <si>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</si>
  <si>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</si>
  <si>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</si>
  <si>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</si>
  <si>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</si>
  <si>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</si>
  <si>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</si>
  <si>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</si>
  <si>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</si>
  <si>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</si>
  <si>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</si>
  <si>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</si>
  <si>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</si>
  <si>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</si>
  <si>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</si>
  <si>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</si>
  <si>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</si>
  <si>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</si>
  <si>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</si>
  <si>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</si>
  <si>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</si>
  <si>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</si>
  <si>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</si>
  <si>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</si>
  <si>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</si>
  <si>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</si>
  <si>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</si>
  <si>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</si>
  <si>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</si>
  <si>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</si>
  <si>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</si>
  <si>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</si>
  <si>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</si>
  <si>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</si>
  <si>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</si>
  <si>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</si>
  <si>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</si>
  <si>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</si>
  <si>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</si>
  <si>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</si>
  <si>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</si>
  <si>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</si>
  <si>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</si>
  <si>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</si>
  <si>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</si>
  <si>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</si>
  <si>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</si>
  <si>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</si>
  <si>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</si>
  <si>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</si>
  <si>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</si>
  <si>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</si>
  <si>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</si>
  <si>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</si>
  <si>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</si>
  <si>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</si>
  <si>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</si>
  <si>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</si>
  <si>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</si>
  <si>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</si>
  <si>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</si>
  <si>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</si>
  <si>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</si>
  <si>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</si>
  <si>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</si>
  <si>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</si>
  <si>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</si>
  <si>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</si>
  <si>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</si>
  <si>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</si>
  <si>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</si>
  <si>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</si>
  <si>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</si>
  <si>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</si>
  <si>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</si>
  <si>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</si>
  <si>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</si>
  <si>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</si>
  <si>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</si>
  <si>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</si>
  <si>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</si>
  <si>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</si>
  <si>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</si>
  <si>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</si>
  <si>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</si>
  <si>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</si>
  <si>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</si>
  <si>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</si>
  <si>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</si>
  <si>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</si>
  <si>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</si>
  <si>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</si>
  <si>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</si>
  <si>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</si>
  <si>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</si>
  <si>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</si>
  <si>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</si>
  <si>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</si>
  <si>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</si>
  <si>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</si>
  <si>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</si>
  <si>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</si>
  <si>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</si>
  <si>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</si>
  <si>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</si>
  <si>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</si>
  <si>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</si>
  <si>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</si>
  <si>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</si>
  <si>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</si>
  <si>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</si>
  <si>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</si>
  <si>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</si>
  <si>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</si>
  <si>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</si>
  <si>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</si>
  <si>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</si>
  <si>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</si>
  <si>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</si>
  <si>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</si>
  <si>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</si>
  <si>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</si>
  <si>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</si>
  <si>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</si>
  <si>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</si>
  <si>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</si>
  <si>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</si>
  <si>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</si>
  <si>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</si>
  <si>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</si>
  <si>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</si>
  <si>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</si>
  <si>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</si>
  <si>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</si>
  <si>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</si>
  <si>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</si>
  <si>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</si>
  <si>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</si>
  <si>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</si>
  <si>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</si>
  <si>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</si>
  <si>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</si>
  <si>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</si>
  <si>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</si>
  <si>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</si>
  <si>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</si>
  <si>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</si>
  <si>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</si>
  <si>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</si>
  <si>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</si>
  <si>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</si>
  <si>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</si>
  <si>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</si>
  <si>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</si>
  <si>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</si>
  <si>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</si>
  <si>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</si>
  <si>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</si>
  <si>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</si>
  <si>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</si>
  <si>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</si>
  <si>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</si>
  <si>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</si>
  <si>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</si>
  <si>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</si>
  <si>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</si>
  <si>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</si>
  <si>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</si>
  <si>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</si>
  <si>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</si>
  <si>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</si>
  <si>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</si>
  <si>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  <phoneticPr fontId="1"/>
  </si>
  <si>
    <t>だいち</t>
    <phoneticPr fontId="1"/>
  </si>
  <si>
    <t>まっつん</t>
    <phoneticPr fontId="1"/>
  </si>
  <si>
    <t>放銃</t>
  </si>
  <si>
    <t>ロン</t>
  </si>
  <si>
    <t>*</t>
  </si>
  <si>
    <t>51</t>
  </si>
  <si>
    <t>02</t>
  </si>
  <si>
    <t>52</t>
  </si>
  <si>
    <t>ツモ支払</t>
  </si>
  <si>
    <t>ツモ</t>
  </si>
  <si>
    <t>01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</si>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</sst>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れんたろう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だいち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まっつん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5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だいち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194</v>
      </c>
      <c r="G4" s="9">
        <v>-12000</v>
      </c>
      <c r="H4" s="9">
        <v>-1000</v>
      </c>
      <c r="I4" s="48">
        <v>0</v>
      </c>
      <c r="J4" s="21">
        <f>IF(COUNTA($F4,$K4,$P4)&gt;0,J3+SUM(G4:I4),"")</f>
        <v>22000</v>
      </c>
      <c r="K4" s="8"/>
      <c r="L4" s="9"/>
      <c r="M4" s="9"/>
      <c r="N4" s="48"/>
      <c r="O4" s="21">
        <f>IF(COUNTA($F4,$K4,$P4)&gt;0,O3+SUM(L4:N4),"")</f>
        <v>35000</v>
      </c>
      <c r="P4" s="8" t="s">
        <v>195</v>
      </c>
      <c r="Q4" s="9">
        <v>12000</v>
      </c>
      <c r="R4" s="9">
        <v>1000</v>
      </c>
      <c r="S4" s="48">
        <v>0</v>
      </c>
      <c r="T4" s="21">
        <f>IF(COUNTA($F4,$K4,$P4)&gt;0,T3+SUM(Q4:S4),"")</f>
        <v>48000</v>
      </c>
      <c r="U4" s="53">
        <f>IF($J4="","",ROUND(($J4-$J$3)/1000,1)+(_xlfn.RANK.AVG($J4,($J4,$O4,$T4),1)-2)*10)</f>
        <v>-23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23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7</v>
      </c>
      <c r="BT4" s="30" t="s">
        <v>196</v>
      </c>
      <c r="BU4" s="40" t="s">
        <v>197</v>
      </c>
      <c r="BV4" s="41" t="s">
        <v>198</v>
      </c>
      <c r="BW4" s="41" t="s">
        <v>83</v>
      </c>
      <c r="BX4" s="41" t="s">
        <v>199</v>
      </c>
      <c r="BY4" s="41" t="s">
        <v>79</v>
      </c>
      <c r="BZ4" s="41" t="s">
        <v>80</v>
      </c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194</v>
      </c>
      <c r="G5" s="9">
        <v>-7700</v>
      </c>
      <c r="H5" s="9"/>
      <c r="I5" s="48">
        <v>0</v>
      </c>
      <c r="J5" s="21">
        <f t="shared" ref="J5:J30" si="2">IF(COUNTA($F5,$K5,$P5)&gt;0,J4+SUM(G5:I5),"")</f>
        <v>14300</v>
      </c>
      <c r="K5" s="8" t="s">
        <v>195</v>
      </c>
      <c r="L5" s="9">
        <v>7700</v>
      </c>
      <c r="M5" s="9"/>
      <c r="N5" s="48">
        <v>0</v>
      </c>
      <c r="O5" s="21">
        <f t="shared" ref="O5:O30" si="3">IF(COUNTA($F5,$K5,$P5)&gt;0,O4+SUM(L5:N5),"")</f>
        <v>42700</v>
      </c>
      <c r="P5" s="8"/>
      <c r="Q5" s="9"/>
      <c r="R5" s="9"/>
      <c r="S5" s="48"/>
      <c r="T5" s="21">
        <f t="shared" ref="T5:T30" si="4">IF(COUNTA($F5,$K5,$P5)&gt;0,T4+SUM(Q5:S5),"")</f>
        <v>48000</v>
      </c>
      <c r="U5" s="53">
        <f>IF($J5="","",ROUND(($J5-$J$3)/1000,1)+(_xlfn.RANK.AVG($J5,($J5,$O5,$T5),1)-2)*10)</f>
        <v>-30.7</v>
      </c>
      <c r="V5" s="54">
        <f>IF($O5="","",ROUND(($O5-$O$3)/1000,1)+(_xlfn.RANK.AVG($O5,($J5,$O5,$T5),1)-2)*10)</f>
        <v>7.7</v>
      </c>
      <c r="W5" s="55">
        <f>IF($T5="","",ROUND(($T5-$T$3)/1000,1)+(_xlfn.RANK.AVG($T5,($J5,$O5,$T5),1)-2)*10)</f>
        <v>23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3</v>
      </c>
      <c r="AY5" s="30">
        <v>40</v>
      </c>
      <c r="AZ5" s="40" t="s">
        <v>104</v>
      </c>
      <c r="BA5" s="41" t="s">
        <v>86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だいち</v>
      </c>
      <c r="F6" s="8" t="s">
        <v>200</v>
      </c>
      <c r="G6" s="9">
        <v>-3000</v>
      </c>
      <c r="H6" s="9">
        <v>-2000</v>
      </c>
      <c r="I6" s="48">
        <v>-500</v>
      </c>
      <c r="J6" s="21">
        <f t="shared" si="2"/>
        <v>8800</v>
      </c>
      <c r="K6" s="8" t="s">
        <v>201</v>
      </c>
      <c r="L6" s="9">
        <v>6000</v>
      </c>
      <c r="M6" s="9">
        <v>2000</v>
      </c>
      <c r="N6" s="48">
        <v>1000</v>
      </c>
      <c r="O6" s="21">
        <f t="shared" si="3"/>
        <v>51700</v>
      </c>
      <c r="P6" s="8" t="s">
        <v>200</v>
      </c>
      <c r="Q6" s="9">
        <v>-3000</v>
      </c>
      <c r="R6" s="9"/>
      <c r="S6" s="48">
        <v>-500</v>
      </c>
      <c r="T6" s="21">
        <f t="shared" si="4"/>
        <v>44500</v>
      </c>
      <c r="U6" s="53">
        <f>IF($J6="","",ROUND(($J6-$J$3)/1000,1)+(_xlfn.RANK.AVG($J6,($J6,$O6,$T6),1)-2)*10)</f>
        <v>-36.200000000000003</v>
      </c>
      <c r="V6" s="54">
        <f>IF($O6="","",ROUND(($O6-$O$3)/1000,1)+(_xlfn.RANK.AVG($O6,($J6,$O6,$T6),1)-2)*10)</f>
        <v>26.7</v>
      </c>
      <c r="W6" s="55">
        <f>IF($T6="","",ROUND(($T6-$T$3)/1000,1)+(_xlfn.RANK.AVG($T6,($J6,$O6,$T6),1)-2)*10)</f>
        <v>9.5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30</v>
      </c>
      <c r="AZ6" s="40" t="s">
        <v>202</v>
      </c>
      <c r="BA6" s="41" t="s">
        <v>82</v>
      </c>
      <c r="BB6" s="41" t="s">
        <v>199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だいち</v>
      </c>
      <c r="F7" s="8" t="s">
        <v>205</v>
      </c>
      <c r="G7" s="9">
        <v>1500</v>
      </c>
      <c r="H7" s="9"/>
      <c r="I7" s="48"/>
      <c r="J7" s="21">
        <f t="shared" si="2"/>
        <v>10300</v>
      </c>
      <c r="K7" s="8" t="s">
        <v>205</v>
      </c>
      <c r="L7" s="9">
        <v>-3000</v>
      </c>
      <c r="M7" s="9"/>
      <c r="N7" s="48"/>
      <c r="O7" s="21">
        <f t="shared" si="3"/>
        <v>48700</v>
      </c>
      <c r="P7" s="8" t="s">
        <v>205</v>
      </c>
      <c r="Q7" s="9">
        <v>1500</v>
      </c>
      <c r="R7" s="9">
        <v>-1000</v>
      </c>
      <c r="S7" s="48"/>
      <c r="T7" s="21">
        <f t="shared" si="4"/>
        <v>45000</v>
      </c>
      <c r="U7" s="53">
        <f>IF($J7="","",ROUND(($J7-$J$3)/1000,1)+(_xlfn.RANK.AVG($J7,($J7,$O7,$T7),1)-2)*10)</f>
        <v>-34.700000000000003</v>
      </c>
      <c r="V7" s="54">
        <f>IF($O7="","",ROUND(($O7-$O$3)/1000,1)+(_xlfn.RANK.AVG($O7,($J7,$O7,$T7),1)-2)*10)</f>
        <v>23.7</v>
      </c>
      <c r="W7" s="55">
        <f>IF($T7="","",ROUND(($T7-$T$3)/1000,1)+(_xlfn.RANK.AVG($T7,($J7,$O7,$T7),1)-2)*10)</f>
        <v>10</v>
      </c>
      <c r="Y7" s="8" t="s">
        <v>203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204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203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3</v>
      </c>
      <c r="D8" s="18">
        <f t="shared" si="1"/>
        <v>1</v>
      </c>
      <c r="E8" s="4" t="str">
        <f>IF($P$1="","",$P$1)</f>
        <v>まっつん</v>
      </c>
      <c r="F8" s="8" t="s">
        <v>200</v>
      </c>
      <c r="G8" s="9">
        <v>-12000</v>
      </c>
      <c r="H8" s="9"/>
      <c r="I8" s="48">
        <v>-1500</v>
      </c>
      <c r="J8" s="21">
        <f t="shared" si="2"/>
        <v>-3200</v>
      </c>
      <c r="K8" s="8" t="s">
        <v>201</v>
      </c>
      <c r="L8" s="9">
        <v>32000</v>
      </c>
      <c r="M8" s="9">
        <v>1000</v>
      </c>
      <c r="N8" s="48">
        <v>3000</v>
      </c>
      <c r="O8" s="21">
        <f t="shared" si="3"/>
        <v>84700</v>
      </c>
      <c r="P8" s="8" t="s">
        <v>200</v>
      </c>
      <c r="Q8" s="9">
        <v>-20000</v>
      </c>
      <c r="R8" s="9"/>
      <c r="S8" s="48">
        <v>-1500</v>
      </c>
      <c r="T8" s="21">
        <f t="shared" si="4"/>
        <v>23500</v>
      </c>
      <c r="U8" s="53">
        <f>IF($J8="","",ROUND(($J8-$J$3)/1000,1)+(_xlfn.RANK.AVG($J8,($J8,$O8,$T8),1)-2)*10)</f>
        <v>-48.2</v>
      </c>
      <c r="V8" s="54">
        <f>IF($O8="","",ROUND(($O8-$O$3)/1000,1)+(_xlfn.RANK.AVG($O8,($J8,$O8,$T8),1)-2)*10)</f>
        <v>59.7</v>
      </c>
      <c r="W8" s="55">
        <f>IF($T8="","",ROUND(($T8-$T$3)/1000,1)+(_xlfn.RANK.AVG($T8,($J8,$O8,$T8),1)-2)*10)</f>
        <v>-11.5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13</v>
      </c>
      <c r="AY8" s="30" t="s">
        <v>196</v>
      </c>
      <c r="AZ8" s="40" t="s">
        <v>107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FF866140-C5E3-4C38-A9CF-80B1264797B4}">
      <formula1>"れんたろう,ともき,だいち,りくと,まっつん,たかの,のり,ただ,"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2020-04-10T02:56:42Z</dcterms:modified>
</cp:coreProperties>
</file>