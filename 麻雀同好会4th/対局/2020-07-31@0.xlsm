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FB57634C-1D66-4B6A-8ABC-C5406E921069}" xr6:coauthVersionLast="45" xr6:coauthVersionMax="45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22" l="1"/>
  <c r="E10" i="22"/>
  <c r="E9" i="22"/>
  <c r="E8" i="22"/>
  <c r="D8" i="22" s="1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D13" i="22"/>
  <c r="D12" i="22"/>
  <c r="D11" i="22"/>
  <c r="C9" i="22"/>
  <c r="D9" i="22"/>
  <c r="J7" i="22"/>
  <c r="J8" i="22" s="1"/>
  <c r="D7" i="22"/>
  <c r="J6" i="22"/>
  <c r="T5" i="22"/>
  <c r="T6" i="22" s="1"/>
  <c r="J5" i="22"/>
  <c r="C5" i="22"/>
  <c r="D5" i="22"/>
  <c r="T4" i="22"/>
  <c r="W4" i="22" s="1"/>
  <c r="O4" i="22"/>
  <c r="O5" i="22" s="1"/>
  <c r="J4" i="22"/>
  <c r="E4" i="22"/>
  <c r="W3" i="22"/>
  <c r="V3" i="22"/>
  <c r="U3" i="22"/>
  <c r="W2" i="22"/>
  <c r="V2" i="22"/>
  <c r="U2" i="22"/>
  <c r="BO1" i="22"/>
  <c r="AT1" i="22"/>
  <c r="Y1" i="22"/>
  <c r="E14" i="21"/>
  <c r="E13" i="21"/>
  <c r="E12" i="21"/>
  <c r="D12" i="21" s="1"/>
  <c r="E11" i="21"/>
  <c r="E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 s="1"/>
  <c r="T14" i="21"/>
  <c r="O14" i="21"/>
  <c r="J14" i="21"/>
  <c r="D14" i="21"/>
  <c r="C14" i="21"/>
  <c r="B14" i="21"/>
  <c r="A14" i="21" s="1"/>
  <c r="T13" i="21"/>
  <c r="O13" i="21"/>
  <c r="J13" i="21"/>
  <c r="D13" i="21"/>
  <c r="C13" i="21"/>
  <c r="B13" i="21"/>
  <c r="A13" i="21" s="1"/>
  <c r="T12" i="21"/>
  <c r="W12" i="21" s="1"/>
  <c r="O12" i="21"/>
  <c r="V12" i="21" s="1"/>
  <c r="J12" i="21"/>
  <c r="T11" i="21"/>
  <c r="O11" i="21"/>
  <c r="V11" i="21" s="1"/>
  <c r="J11" i="21"/>
  <c r="D11" i="21"/>
  <c r="C11" i="21"/>
  <c r="B11" i="21"/>
  <c r="A11" i="21" s="1"/>
  <c r="C9" i="21"/>
  <c r="D9" i="21"/>
  <c r="D8" i="21"/>
  <c r="C8" i="21"/>
  <c r="J7" i="21"/>
  <c r="J8" i="21" s="1"/>
  <c r="D7" i="21"/>
  <c r="J6" i="21"/>
  <c r="T5" i="21"/>
  <c r="T6" i="21" s="1"/>
  <c r="J5" i="21"/>
  <c r="C5" i="21"/>
  <c r="D5" i="21"/>
  <c r="T4" i="21"/>
  <c r="O4" i="21"/>
  <c r="O5" i="21" s="1"/>
  <c r="J4" i="21"/>
  <c r="E4" i="21"/>
  <c r="W3" i="21"/>
  <c r="V3" i="21"/>
  <c r="U3" i="21"/>
  <c r="W2" i="21"/>
  <c r="V2" i="21"/>
  <c r="U2" i="21"/>
  <c r="BO1" i="21"/>
  <c r="AT1" i="21"/>
  <c r="Y1" i="21"/>
  <c r="E10" i="20"/>
  <c r="D10" i="20" s="1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C13" i="20"/>
  <c r="D13" i="20"/>
  <c r="D12" i="20"/>
  <c r="C9" i="20"/>
  <c r="D9" i="20"/>
  <c r="D8" i="20"/>
  <c r="C8" i="20"/>
  <c r="J7" i="20"/>
  <c r="J8" i="20" s="1"/>
  <c r="D7" i="20"/>
  <c r="J6" i="20"/>
  <c r="T5" i="20"/>
  <c r="T6" i="20" s="1"/>
  <c r="J5" i="20"/>
  <c r="C5" i="20"/>
  <c r="D5" i="20"/>
  <c r="T4" i="20"/>
  <c r="W4" i="20" s="1"/>
  <c r="O4" i="20"/>
  <c r="O5" i="20" s="1"/>
  <c r="J4" i="20"/>
  <c r="E4" i="20"/>
  <c r="W3" i="20"/>
  <c r="V3" i="20"/>
  <c r="U3" i="20"/>
  <c r="W2" i="20"/>
  <c r="V2" i="20"/>
  <c r="U2" i="20"/>
  <c r="BO1" i="20"/>
  <c r="AT1" i="20"/>
  <c r="Y1" i="20"/>
  <c r="C8" i="22" l="1"/>
  <c r="T7" i="22"/>
  <c r="W6" i="22"/>
  <c r="O6" i="22"/>
  <c r="V5" i="22"/>
  <c r="U5" i="22"/>
  <c r="J9" i="22"/>
  <c r="C13" i="22"/>
  <c r="C11" i="22"/>
  <c r="C12" i="22" s="1"/>
  <c r="U4" i="22"/>
  <c r="C6" i="22"/>
  <c r="C7" i="22" s="1"/>
  <c r="C14" i="22"/>
  <c r="V4" i="22"/>
  <c r="D6" i="22"/>
  <c r="D14" i="22"/>
  <c r="B5" i="22"/>
  <c r="B6" i="22" s="1"/>
  <c r="C10" i="22"/>
  <c r="W5" i="22"/>
  <c r="D10" i="22"/>
  <c r="V14" i="21"/>
  <c r="U14" i="21"/>
  <c r="W14" i="21"/>
  <c r="U13" i="21"/>
  <c r="V13" i="21"/>
  <c r="W13" i="21"/>
  <c r="U12" i="21"/>
  <c r="B12" i="21"/>
  <c r="C12" i="21"/>
  <c r="A12" i="21"/>
  <c r="U11" i="21"/>
  <c r="W11" i="21"/>
  <c r="W4" i="21"/>
  <c r="O6" i="21"/>
  <c r="U5" i="21"/>
  <c r="V5" i="21"/>
  <c r="J9" i="21"/>
  <c r="W6" i="21"/>
  <c r="T7" i="21"/>
  <c r="C7" i="21"/>
  <c r="B5" i="21"/>
  <c r="C10" i="21"/>
  <c r="W5" i="21"/>
  <c r="D10" i="21"/>
  <c r="U4" i="21"/>
  <c r="C6" i="21"/>
  <c r="V4" i="21"/>
  <c r="D6" i="21"/>
  <c r="D11" i="20"/>
  <c r="T7" i="20"/>
  <c r="J9" i="20"/>
  <c r="C7" i="20"/>
  <c r="O6" i="20"/>
  <c r="W6" i="20" s="1"/>
  <c r="V5" i="20"/>
  <c r="U5" i="20"/>
  <c r="U4" i="20"/>
  <c r="C6" i="20"/>
  <c r="C11" i="20"/>
  <c r="C12" i="20" s="1"/>
  <c r="V4" i="20"/>
  <c r="D6" i="20"/>
  <c r="C10" i="20"/>
  <c r="B5" i="20"/>
  <c r="B6" i="20" s="1"/>
  <c r="W5" i="20"/>
  <c r="A5" i="22" l="1"/>
  <c r="B7" i="22"/>
  <c r="A6" i="22"/>
  <c r="J10" i="22"/>
  <c r="T8" i="22"/>
  <c r="W7" i="22"/>
  <c r="V6" i="22"/>
  <c r="O7" i="22"/>
  <c r="U6" i="22"/>
  <c r="O7" i="21"/>
  <c r="V6" i="21"/>
  <c r="U6" i="21"/>
  <c r="J10" i="21"/>
  <c r="B6" i="21"/>
  <c r="A6" i="21" s="1"/>
  <c r="A5" i="21"/>
  <c r="T8" i="21"/>
  <c r="W7" i="21"/>
  <c r="A5" i="20"/>
  <c r="B7" i="20"/>
  <c r="T8" i="20"/>
  <c r="U6" i="20"/>
  <c r="O7" i="20"/>
  <c r="W7" i="20" s="1"/>
  <c r="V6" i="20"/>
  <c r="A6" i="20"/>
  <c r="J10" i="20"/>
  <c r="B8" i="22" l="1"/>
  <c r="O8" i="22"/>
  <c r="W8" i="22" s="1"/>
  <c r="V7" i="22"/>
  <c r="U7" i="22"/>
  <c r="A7" i="22"/>
  <c r="T9" i="22"/>
  <c r="J11" i="22"/>
  <c r="T9" i="21"/>
  <c r="O8" i="21"/>
  <c r="V7" i="21"/>
  <c r="U7" i="21"/>
  <c r="B7" i="21"/>
  <c r="A7" i="21" s="1"/>
  <c r="B8" i="20"/>
  <c r="A8" i="20" s="1"/>
  <c r="J11" i="20"/>
  <c r="A7" i="20"/>
  <c r="O8" i="20"/>
  <c r="V7" i="20"/>
  <c r="U7" i="20"/>
  <c r="T9" i="20"/>
  <c r="W8" i="20"/>
  <c r="B9" i="22" l="1"/>
  <c r="J12" i="22"/>
  <c r="A8" i="22"/>
  <c r="O9" i="22"/>
  <c r="V8" i="22"/>
  <c r="U8" i="22"/>
  <c r="T10" i="22"/>
  <c r="W9" i="22"/>
  <c r="O9" i="21"/>
  <c r="V8" i="21"/>
  <c r="U8" i="21"/>
  <c r="T10" i="21"/>
  <c r="W9" i="21"/>
  <c r="W8" i="21"/>
  <c r="B8" i="21"/>
  <c r="A8" i="21" s="1"/>
  <c r="T10" i="20"/>
  <c r="B9" i="20"/>
  <c r="A9" i="20" s="1"/>
  <c r="J12" i="20"/>
  <c r="O9" i="20"/>
  <c r="W9" i="20" s="1"/>
  <c r="V8" i="20"/>
  <c r="U8" i="20"/>
  <c r="J13" i="22" l="1"/>
  <c r="B10" i="22"/>
  <c r="T11" i="22"/>
  <c r="A9" i="22"/>
  <c r="O10" i="22"/>
  <c r="W10" i="22" s="1"/>
  <c r="V9" i="22"/>
  <c r="U9" i="22"/>
  <c r="O10" i="21"/>
  <c r="V9" i="21"/>
  <c r="U9" i="21"/>
  <c r="B9" i="21"/>
  <c r="W10" i="21"/>
  <c r="T11" i="20"/>
  <c r="O10" i="20"/>
  <c r="W10" i="20" s="1"/>
  <c r="V9" i="20"/>
  <c r="U9" i="20"/>
  <c r="J13" i="20"/>
  <c r="B10" i="20"/>
  <c r="J14" i="22" l="1"/>
  <c r="V10" i="22"/>
  <c r="O11" i="22"/>
  <c r="U10" i="22"/>
  <c r="T12" i="22"/>
  <c r="W11" i="22"/>
  <c r="B11" i="22"/>
  <c r="A10" i="22"/>
  <c r="V10" i="21"/>
  <c r="U10" i="21"/>
  <c r="B10" i="21"/>
  <c r="A10" i="21" s="1"/>
  <c r="A9" i="21"/>
  <c r="B11" i="20"/>
  <c r="A11" i="20" s="1"/>
  <c r="W11" i="20"/>
  <c r="T12" i="20"/>
  <c r="A10" i="20"/>
  <c r="O11" i="20"/>
  <c r="V10" i="20"/>
  <c r="U10" i="20"/>
  <c r="A12" i="22" l="1"/>
  <c r="B12" i="22"/>
  <c r="A11" i="22"/>
  <c r="T13" i="22"/>
  <c r="W12" i="22"/>
  <c r="V11" i="22"/>
  <c r="O12" i="22"/>
  <c r="U11" i="22"/>
  <c r="B12" i="20"/>
  <c r="O12" i="20"/>
  <c r="V11" i="20"/>
  <c r="U11" i="20"/>
  <c r="T13" i="20"/>
  <c r="W12" i="20"/>
  <c r="O13" i="22" l="1"/>
  <c r="V12" i="22"/>
  <c r="U12" i="22"/>
  <c r="T14" i="22"/>
  <c r="A13" i="22"/>
  <c r="B13" i="22"/>
  <c r="O13" i="20"/>
  <c r="V12" i="20"/>
  <c r="U12" i="20"/>
  <c r="B13" i="20"/>
  <c r="A13" i="20" s="1"/>
  <c r="A12" i="20"/>
  <c r="W13" i="20"/>
  <c r="O14" i="22" l="1"/>
  <c r="W14" i="22" s="1"/>
  <c r="V13" i="22"/>
  <c r="U13" i="22"/>
  <c r="B14" i="22"/>
  <c r="A14" i="22" s="1"/>
  <c r="W13" i="22"/>
  <c r="V13" i="20"/>
  <c r="U13" i="20"/>
  <c r="V14" i="22" l="1"/>
  <c r="U14" i="22"/>
  <c r="E13" i="19" l="1"/>
  <c r="E12" i="19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W13" i="19" s="1"/>
  <c r="O13" i="19"/>
  <c r="J13" i="19"/>
  <c r="D13" i="19"/>
  <c r="C13" i="19"/>
  <c r="B13" i="19"/>
  <c r="A13" i="19" s="1"/>
  <c r="T12" i="19"/>
  <c r="W12" i="19" s="1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13" i="19" l="1"/>
  <c r="V13" i="19"/>
  <c r="U12" i="19"/>
  <c r="V11" i="19"/>
  <c r="W11" i="19"/>
  <c r="U9" i="19"/>
  <c r="V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<sst xmlns="http://schemas.openxmlformats.org/spreadsheetml/2006/main" count="898" uniqueCount="208">
  <si>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</si>
  <si>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</si>
  <si>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</si>
  <si>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</si>
  <si>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</si>
  <si>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</si>
  <si>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</si>
  <si>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</si>
  <si>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</si>
  <si>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</si>
  <si>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</si>
  <si>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</si>
  <si>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</si>
  <si>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</si>
  <si>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</si>
  <si>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</si>
  <si>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</si>
  <si>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</si>
  <si>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</si>
  <si>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</si>
  <si>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</si>
  <si>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</si>
  <si>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</si>
  <si>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</si>
  <si>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</si>
  <si>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</si>
  <si>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</si>
  <si>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</si>
  <si>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</si>
  <si>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</si>
  <si>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</si>
  <si>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</si>
  <si>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</si>
  <si>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</si>
  <si>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</si>
  <si>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</si>
  <si>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</si>
  <si>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</si>
  <si>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</si>
  <si>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</si>
  <si>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</si>
  <si>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</si>
  <si>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</si>
  <si>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</si>
  <si>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</si>
  <si>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</si>
  <si>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</si>
  <si>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</si>
  <si>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</si>
  <si>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</si>
  <si>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</si>
  <si>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</si>
  <si>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</si>
  <si>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</si>
  <si>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</si>
  <si>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</si>
  <si>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</si>
  <si>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</si>
  <si>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</si>
  <si>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</si>
  <si>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</si>
  <si>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</si>
  <si>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</si>
  <si>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</si>
  <si>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</si>
  <si>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</si>
  <si>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</si>
  <si>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</si>
  <si>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</si>
  <si>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</si>
  <si>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</si>
  <si>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</si>
  <si>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</si>
  <si>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</si>
  <si>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</si>
  <si>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</si>
  <si>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</si>
  <si>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</si>
  <si>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</si>
  <si>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</si>
  <si>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</si>
  <si>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</si>
  <si>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</si>
  <si>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</si>
  <si>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</si>
  <si>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</si>
  <si>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</si>
  <si>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</si>
  <si>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</si>
  <si>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</si>
  <si>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</si>
  <si>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</si>
  <si>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</si>
  <si>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</si>
  <si>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</si>
  <si>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</si>
  <si>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</si>
  <si>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</si>
  <si>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</si>
  <si>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</si>
  <si>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</si>
  <si>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</si>
  <si>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</si>
  <si>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</si>
  <si>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</si>
  <si>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</si>
  <si>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</si>
  <si>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</si>
  <si>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</si>
  <si>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</si>
  <si>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</si>
  <si>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</si>
  <si>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</si>
  <si>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</si>
  <si>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</si>
  <si>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</si>
  <si>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</si>
  <si>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</si>
  <si>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</si>
  <si>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</si>
  <si>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</si>
  <si>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</si>
  <si>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</si>
  <si>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</si>
  <si>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</si>
  <si>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</si>
  <si>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</si>
  <si>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</si>
  <si>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</si>
  <si>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</si>
  <si>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</si>
  <si>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</si>
  <si>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</si>
  <si>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</si>
  <si>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</si>
  <si>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</si>
  <si>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</si>
  <si>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</si>
  <si>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</si>
  <si>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</si>
  <si>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</si>
  <si>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</si>
  <si>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</si>
  <si>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</si>
  <si>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</si>
  <si>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</si>
  <si>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</si>
  <si>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</si>
  <si>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</si>
  <si>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</si>
  <si>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</si>
  <si>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</si>
  <si>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</si>
  <si>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</si>
  <si>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</si>
  <si>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</si>
  <si>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</si>
  <si>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</si>
  <si>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</si>
  <si>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</si>
  <si>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</si>
  <si>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</si>
  <si>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</si>
  <si>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</si>
  <si>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</si>
  <si>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</si>
  <si>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</si>
  <si>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</si>
  <si>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</si>
  <si>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</si>
  <si>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</si>
  <si>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</si>
  <si>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</si>
  <si>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</si>
  <si>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</si>
  <si>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</si>
  <si>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</si>
  <si>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</si>
  <si>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</si>
  <si>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</si>
  <si>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</si>
  <si>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</si>
  <si>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</si>
  <si>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</si>
  <si>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</si>
  <si>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</si>
  <si>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</si>
  <si>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</si>
  <si>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</si>
  <si>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</si>
  <si>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</si>
  <si>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いちかわ</t>
    <phoneticPr fontId="1"/>
  </si>
  <si>
    <t>まっつん</t>
    <phoneticPr fontId="1"/>
  </si>
  <si>
    <t>れんたろう</t>
    <phoneticPr fontId="1"/>
  </si>
  <si>
    <t>放銃</t>
  </si>
  <si>
    <t>ロン</t>
  </si>
  <si>
    <t>*</t>
  </si>
  <si>
    <t>01</t>
  </si>
  <si>
    <t>52</t>
  </si>
  <si>
    <t>ツモ支払</t>
  </si>
  <si>
    <t>ツモ</t>
  </si>
  <si>
    <t>02</t>
  </si>
  <si>
    <t>T</t>
  </si>
  <si>
    <t>N</t>
  </si>
  <si>
    <t>流局</t>
    <phoneticPr fontId="1"/>
  </si>
  <si>
    <t>だいち</t>
    <phoneticPr fontId="1"/>
  </si>
  <si>
    <t>流局</t>
    <phoneticPr fontId="1"/>
  </si>
  <si>
    <t>たかの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</si>
</sst>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いちかわ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いちかわ</v>
      </c>
      <c r="V2" s="64" t="str">
        <f>$K$1</f>
        <v>まっつん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194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 t="s">
        <v>195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-18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196</v>
      </c>
      <c r="AZ4" s="40" t="s">
        <v>79</v>
      </c>
      <c r="BA4" s="41" t="s">
        <v>79</v>
      </c>
      <c r="BB4" s="41" t="s">
        <v>79</v>
      </c>
      <c r="BC4" s="41" t="s">
        <v>197</v>
      </c>
      <c r="BD4" s="41" t="s">
        <v>198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199</v>
      </c>
      <c r="G5" s="9">
        <v>-4500</v>
      </c>
      <c r="H5" s="9"/>
      <c r="I5" s="48">
        <v>0</v>
      </c>
      <c r="J5" s="21">
        <f t="shared" ref="J5:J30" si="2">IF(COUNTA($F5,$K5,$P5)&gt;0,J4+SUM(G5:I5),"")</f>
        <v>22500</v>
      </c>
      <c r="K5" s="8" t="s">
        <v>199</v>
      </c>
      <c r="L5" s="9">
        <v>-7500</v>
      </c>
      <c r="M5" s="9"/>
      <c r="N5" s="48">
        <v>0</v>
      </c>
      <c r="O5" s="21">
        <f t="shared" ref="O5:O30" si="3">IF(COUNTA($F5,$K5,$P5)&gt;0,O4+SUM(L5:N5),"")</f>
        <v>35500</v>
      </c>
      <c r="P5" s="8" t="s">
        <v>200</v>
      </c>
      <c r="Q5" s="9">
        <v>12000</v>
      </c>
      <c r="R5" s="9"/>
      <c r="S5" s="48">
        <v>0</v>
      </c>
      <c r="T5" s="21">
        <f t="shared" ref="T5:T30" si="4">IF(COUNTA($F5,$K5,$P5)&gt;0,T4+SUM(Q5:S5),"")</f>
        <v>47000</v>
      </c>
      <c r="U5" s="53">
        <f>IF($J5="","",ROUND(($J5-$J$3)/1000,1)+(_xlfn.RANK.AVG($J5,($J5,$O5,$T5),1)-2)*10)</f>
        <v>-22.5</v>
      </c>
      <c r="V5" s="54">
        <f>IF($O5="","",ROUND(($O5-$O$3)/1000,1)+(_xlfn.RANK.AVG($O5,($J5,$O5,$T5),1)-2)*10)</f>
        <v>0.5</v>
      </c>
      <c r="W5" s="55">
        <f>IF($T5="","",ROUND(($T5-$T$3)/1000,1)+(_xlfn.RANK.AVG($T5,($J5,$O5,$T5),1)-2)*10)</f>
        <v>22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7</v>
      </c>
      <c r="BT5" s="30" t="s">
        <v>196</v>
      </c>
      <c r="BU5" s="40" t="s">
        <v>197</v>
      </c>
      <c r="BV5" s="41" t="s">
        <v>82</v>
      </c>
      <c r="BW5" s="41" t="s">
        <v>80</v>
      </c>
      <c r="BX5" s="41" t="s">
        <v>83</v>
      </c>
      <c r="BY5" s="41" t="s">
        <v>85</v>
      </c>
      <c r="BZ5" s="41" t="s">
        <v>84</v>
      </c>
      <c r="CA5" s="41" t="s">
        <v>201</v>
      </c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/>
      <c r="G6" s="9"/>
      <c r="H6" s="9"/>
      <c r="I6" s="48"/>
      <c r="J6" s="21">
        <f t="shared" si="2"/>
        <v>22500</v>
      </c>
      <c r="K6" s="8" t="s">
        <v>194</v>
      </c>
      <c r="L6" s="9">
        <v>-11600</v>
      </c>
      <c r="M6" s="9"/>
      <c r="N6" s="48">
        <v>0</v>
      </c>
      <c r="O6" s="21">
        <f t="shared" si="3"/>
        <v>23900</v>
      </c>
      <c r="P6" s="8" t="s">
        <v>195</v>
      </c>
      <c r="Q6" s="9">
        <v>11600</v>
      </c>
      <c r="R6" s="9"/>
      <c r="S6" s="48">
        <v>0</v>
      </c>
      <c r="T6" s="21">
        <f t="shared" si="4"/>
        <v>58600</v>
      </c>
      <c r="U6" s="53">
        <f>IF($J6="","",ROUND(($J6-$J$3)/1000,1)+(_xlfn.RANK.AVG($J6,($J6,$O6,$T6),1)-2)*10)</f>
        <v>-22.5</v>
      </c>
      <c r="V6" s="54">
        <f>IF($O6="","",ROUND(($O6-$O$3)/1000,1)+(_xlfn.RANK.AVG($O6,($J6,$O6,$T6),1)-2)*10)</f>
        <v>-11.1</v>
      </c>
      <c r="W6" s="55">
        <f>IF($T6="","",ROUND(($T6-$T$3)/1000,1)+(_xlfn.RANK.AVG($T6,($J6,$O6,$T6),1)-2)*10)</f>
        <v>33.6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197</v>
      </c>
      <c r="BV6" s="41" t="s">
        <v>79</v>
      </c>
      <c r="BW6" s="41" t="s">
        <v>83</v>
      </c>
      <c r="BX6" s="41" t="s">
        <v>198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れんたろう</v>
      </c>
      <c r="F7" s="8" t="s">
        <v>194</v>
      </c>
      <c r="G7" s="9">
        <v>-1300</v>
      </c>
      <c r="H7" s="9">
        <v>-1000</v>
      </c>
      <c r="I7" s="48">
        <v>-1000</v>
      </c>
      <c r="J7" s="21">
        <f t="shared" si="2"/>
        <v>19200</v>
      </c>
      <c r="K7" s="8" t="s">
        <v>195</v>
      </c>
      <c r="L7" s="9">
        <v>1300</v>
      </c>
      <c r="M7" s="9">
        <v>3000</v>
      </c>
      <c r="N7" s="48">
        <v>1000</v>
      </c>
      <c r="O7" s="21">
        <f t="shared" si="3"/>
        <v>29200</v>
      </c>
      <c r="P7" s="8"/>
      <c r="Q7" s="9"/>
      <c r="R7" s="9">
        <v>-2000</v>
      </c>
      <c r="S7" s="48"/>
      <c r="T7" s="21">
        <f t="shared" si="4"/>
        <v>56600</v>
      </c>
      <c r="U7" s="53">
        <f>IF($J7="","",ROUND(($J7-$J$3)/1000,1)+(_xlfn.RANK.AVG($J7,($J7,$O7,$T7),1)-2)*10)</f>
        <v>-25.8</v>
      </c>
      <c r="V7" s="54">
        <f>IF($O7="","",ROUND(($O7-$O$3)/1000,1)+(_xlfn.RANK.AVG($O7,($J7,$O7,$T7),1)-2)*10)</f>
        <v>-5.8</v>
      </c>
      <c r="W7" s="55">
        <f>IF($T7="","",ROUND(($T7-$T$3)/1000,1)+(_xlfn.RANK.AVG($T7,($J7,$O7,$T7),1)-2)*10)</f>
        <v>31.6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1</v>
      </c>
      <c r="AY7" s="30">
        <v>40</v>
      </c>
      <c r="AZ7" s="40" t="s">
        <v>197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いちかわ</v>
      </c>
      <c r="F8" s="8" t="s">
        <v>204</v>
      </c>
      <c r="G8" s="9">
        <v>1500</v>
      </c>
      <c r="H8" s="9">
        <v>-1000</v>
      </c>
      <c r="I8" s="48"/>
      <c r="J8" s="21">
        <f t="shared" si="2"/>
        <v>19700</v>
      </c>
      <c r="K8" s="8" t="s">
        <v>204</v>
      </c>
      <c r="L8" s="9">
        <v>1500</v>
      </c>
      <c r="M8" s="9">
        <v>-1000</v>
      </c>
      <c r="N8" s="48"/>
      <c r="O8" s="21">
        <f t="shared" si="3"/>
        <v>29700</v>
      </c>
      <c r="P8" s="8" t="s">
        <v>204</v>
      </c>
      <c r="Q8" s="9">
        <v>-3000</v>
      </c>
      <c r="R8" s="9"/>
      <c r="S8" s="48"/>
      <c r="T8" s="21">
        <f t="shared" si="4"/>
        <v>53600</v>
      </c>
      <c r="U8" s="53">
        <f>IF($J8="","",ROUND(($J8-$J$3)/1000,1)+(_xlfn.RANK.AVG($J8,($J8,$O8,$T8),1)-2)*10)</f>
        <v>-25.3</v>
      </c>
      <c r="V8" s="54">
        <f>IF($O8="","",ROUND(($O8-$O$3)/1000,1)+(_xlfn.RANK.AVG($O8,($J8,$O8,$T8),1)-2)*10)</f>
        <v>-5.3</v>
      </c>
      <c r="W8" s="55">
        <f>IF($T8="","",ROUND(($T8-$T$3)/1000,1)+(_xlfn.RANK.AVG($T8,($J8,$O8,$T8),1)-2)*10)</f>
        <v>28.6</v>
      </c>
      <c r="Y8" s="8" t="s">
        <v>202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2</v>
      </c>
      <c r="E9" s="4" t="str">
        <f>IF($F$1="","",$F$1)</f>
        <v>いちかわ</v>
      </c>
      <c r="F9" s="8"/>
      <c r="G9" s="9"/>
      <c r="H9" s="9"/>
      <c r="I9" s="48"/>
      <c r="J9" s="21">
        <f t="shared" si="2"/>
        <v>19700</v>
      </c>
      <c r="K9" s="8" t="s">
        <v>194</v>
      </c>
      <c r="L9" s="9">
        <v>-12000</v>
      </c>
      <c r="M9" s="9"/>
      <c r="N9" s="48">
        <v>-1000</v>
      </c>
      <c r="O9" s="21">
        <f t="shared" si="3"/>
        <v>16700</v>
      </c>
      <c r="P9" s="8" t="s">
        <v>195</v>
      </c>
      <c r="Q9" s="9">
        <v>12000</v>
      </c>
      <c r="R9" s="9">
        <v>2000</v>
      </c>
      <c r="S9" s="48">
        <v>1000</v>
      </c>
      <c r="T9" s="21">
        <f t="shared" si="4"/>
        <v>68600</v>
      </c>
      <c r="U9" s="53">
        <f>IF($J9="","",ROUND(($J9-$J$3)/1000,1)+(_xlfn.RANK.AVG($J9,($J9,$O9,$T9),1)-2)*10)</f>
        <v>-15.3</v>
      </c>
      <c r="V9" s="54">
        <f>IF($O9="","",ROUND(($O9-$O$3)/1000,1)+(_xlfn.RANK.AVG($O9,($J9,$O9,$T9),1)-2)*10)</f>
        <v>-28.3</v>
      </c>
      <c r="W9" s="55">
        <f>IF($T9="","",ROUND(($T9-$T$3)/1000,1)+(_xlfn.RANK.AVG($T9,($J9,$O9,$T9),1)-2)*10)</f>
        <v>43.6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196</v>
      </c>
      <c r="BU9" s="40" t="s">
        <v>197</v>
      </c>
      <c r="BV9" s="41" t="s">
        <v>101</v>
      </c>
      <c r="BW9" s="41" t="s">
        <v>79</v>
      </c>
      <c r="BX9" s="41" t="s">
        <v>79</v>
      </c>
      <c r="BY9" s="41" t="s">
        <v>80</v>
      </c>
      <c r="BZ9" s="41" t="s">
        <v>80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まっつん</v>
      </c>
      <c r="F10" s="8" t="s">
        <v>204</v>
      </c>
      <c r="G10" s="9">
        <v>1500</v>
      </c>
      <c r="H10" s="9"/>
      <c r="I10" s="48"/>
      <c r="J10" s="21">
        <f t="shared" si="2"/>
        <v>21200</v>
      </c>
      <c r="K10" s="8" t="s">
        <v>204</v>
      </c>
      <c r="L10" s="9">
        <v>1500</v>
      </c>
      <c r="M10" s="9">
        <v>-1000</v>
      </c>
      <c r="N10" s="48"/>
      <c r="O10" s="21">
        <f t="shared" si="3"/>
        <v>17200</v>
      </c>
      <c r="P10" s="8" t="s">
        <v>204</v>
      </c>
      <c r="Q10" s="9">
        <v>-3000</v>
      </c>
      <c r="R10" s="9"/>
      <c r="S10" s="48"/>
      <c r="T10" s="21">
        <f t="shared" si="4"/>
        <v>65600</v>
      </c>
      <c r="U10" s="53">
        <f>IF($J10="","",ROUND(($J10-$J$3)/1000,1)+(_xlfn.RANK.AVG($J10,($J10,$O10,$T10),1)-2)*10)</f>
        <v>-13.8</v>
      </c>
      <c r="V10" s="54">
        <f>IF($O10="","",ROUND(($O10-$O$3)/1000,1)+(_xlfn.RANK.AVG($O10,($J10,$O10,$T10),1)-2)*10)</f>
        <v>-27.8</v>
      </c>
      <c r="W10" s="55">
        <f>IF($T10="","",ROUND(($T10-$T$3)/1000,1)+(_xlfn.RANK.AVG($T10,($J10,$O10,$T10),1)-2)*10)</f>
        <v>40.6</v>
      </c>
      <c r="Y10" s="8" t="s">
        <v>202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202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1</v>
      </c>
      <c r="E11" s="4" t="str">
        <f>IF($K$1="","",$K$1)</f>
        <v>まっつん</v>
      </c>
      <c r="F11" s="8" t="s">
        <v>199</v>
      </c>
      <c r="G11" s="9">
        <v>-9000</v>
      </c>
      <c r="H11" s="9"/>
      <c r="I11" s="48">
        <v>-500</v>
      </c>
      <c r="J11" s="21">
        <f t="shared" si="2"/>
        <v>11700</v>
      </c>
      <c r="K11" s="8" t="s">
        <v>200</v>
      </c>
      <c r="L11" s="9">
        <v>18000</v>
      </c>
      <c r="M11" s="9">
        <v>2000</v>
      </c>
      <c r="N11" s="48">
        <v>1000</v>
      </c>
      <c r="O11" s="21">
        <f t="shared" si="3"/>
        <v>38200</v>
      </c>
      <c r="P11" s="8" t="s">
        <v>199</v>
      </c>
      <c r="Q11" s="9">
        <v>-9000</v>
      </c>
      <c r="R11" s="9">
        <v>-1000</v>
      </c>
      <c r="S11" s="48">
        <v>-500</v>
      </c>
      <c r="T11" s="21">
        <f t="shared" si="4"/>
        <v>55100</v>
      </c>
      <c r="U11" s="53">
        <f>IF($J11="","",ROUND(($J11-$J$3)/1000,1)+(_xlfn.RANK.AVG($J11,($J11,$O11,$T11),1)-2)*10)</f>
        <v>-33.299999999999997</v>
      </c>
      <c r="V11" s="54">
        <f>IF($O11="","",ROUND(($O11-$O$3)/1000,1)+(_xlfn.RANK.AVG($O11,($J11,$O11,$T11),1)-2)*10)</f>
        <v>3.2</v>
      </c>
      <c r="W11" s="55">
        <f>IF($T11="","",ROUND(($T11-$T$3)/1000,1)+(_xlfn.RANK.AVG($T11,($J11,$O11,$T11),1)-2)*10)</f>
        <v>30.1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7</v>
      </c>
      <c r="AY11" s="30" t="s">
        <v>196</v>
      </c>
      <c r="AZ11" s="40" t="s">
        <v>98</v>
      </c>
      <c r="BA11" s="41" t="s">
        <v>198</v>
      </c>
      <c r="BB11" s="41" t="s">
        <v>198</v>
      </c>
      <c r="BC11" s="41" t="s">
        <v>86</v>
      </c>
      <c r="BD11" s="41" t="s">
        <v>86</v>
      </c>
      <c r="BE11" s="41" t="s">
        <v>89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tr">
        <f>IF($K$1="","",$K$1)</f>
        <v>まっつん</v>
      </c>
      <c r="F12" s="8" t="s">
        <v>194</v>
      </c>
      <c r="G12" s="9">
        <v>-8000</v>
      </c>
      <c r="H12" s="9"/>
      <c r="I12" s="48">
        <v>-2000</v>
      </c>
      <c r="J12" s="21">
        <f t="shared" si="2"/>
        <v>1700</v>
      </c>
      <c r="K12" s="8"/>
      <c r="L12" s="9"/>
      <c r="M12" s="9"/>
      <c r="N12" s="48"/>
      <c r="O12" s="21">
        <f t="shared" si="3"/>
        <v>38200</v>
      </c>
      <c r="P12" s="8" t="s">
        <v>195</v>
      </c>
      <c r="Q12" s="9">
        <v>8000</v>
      </c>
      <c r="R12" s="9"/>
      <c r="S12" s="48">
        <v>2000</v>
      </c>
      <c r="T12" s="21">
        <f t="shared" si="4"/>
        <v>65100</v>
      </c>
      <c r="U12" s="53">
        <f>IF($J12="","",ROUND(($J12-$J$3)/1000,1)+(_xlfn.RANK.AVG($J12,($J12,$O12,$T12),1)-2)*10)</f>
        <v>-43.3</v>
      </c>
      <c r="V12" s="54">
        <f>IF($O12="","",ROUND(($O12-$O$3)/1000,1)+(_xlfn.RANK.AVG($O12,($J12,$O12,$T12),1)-2)*10)</f>
        <v>3.2</v>
      </c>
      <c r="W12" s="55">
        <f>IF($T12="","",ROUND(($T12-$T$3)/1000,1)+(_xlfn.RANK.AVG($T12,($J12,$O12,$T12),1)-2)*10)</f>
        <v>40.1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5</v>
      </c>
      <c r="BT12" s="30" t="s">
        <v>196</v>
      </c>
      <c r="BU12" s="40" t="s">
        <v>197</v>
      </c>
      <c r="BV12" s="41" t="s">
        <v>80</v>
      </c>
      <c r="BW12" s="41" t="s">
        <v>79</v>
      </c>
      <c r="BX12" s="41" t="s">
        <v>86</v>
      </c>
      <c r="BY12" s="41" t="s">
        <v>86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れんたろう</v>
      </c>
      <c r="F13" s="8" t="s">
        <v>204</v>
      </c>
      <c r="G13" s="9">
        <v>3000</v>
      </c>
      <c r="H13" s="9">
        <v>-1000</v>
      </c>
      <c r="I13" s="48"/>
      <c r="J13" s="21">
        <f t="shared" si="2"/>
        <v>3700</v>
      </c>
      <c r="K13" s="8" t="s">
        <v>204</v>
      </c>
      <c r="L13" s="9">
        <v>-1500</v>
      </c>
      <c r="M13" s="9"/>
      <c r="N13" s="48"/>
      <c r="O13" s="21">
        <f t="shared" si="3"/>
        <v>36700</v>
      </c>
      <c r="P13" s="8" t="s">
        <v>204</v>
      </c>
      <c r="Q13" s="9">
        <v>-1500</v>
      </c>
      <c r="R13" s="9">
        <v>1000</v>
      </c>
      <c r="S13" s="48"/>
      <c r="T13" s="21">
        <f t="shared" si="4"/>
        <v>64600</v>
      </c>
      <c r="U13" s="53">
        <f>IF($J13="","",ROUND(($J13-$J$3)/1000,1)+(_xlfn.RANK.AVG($J13,($J13,$O13,$T13),1)-2)*10)</f>
        <v>-41.3</v>
      </c>
      <c r="V13" s="54">
        <f>IF($O13="","",ROUND(($O13-$O$3)/1000,1)+(_xlfn.RANK.AVG($O13,($J13,$O13,$T13),1)-2)*10)</f>
        <v>1.7</v>
      </c>
      <c r="W13" s="55">
        <f>IF($T13="","",ROUND(($T13-$T$3)/1000,1)+(_xlfn.RANK.AVG($T13,($J13,$O13,$T13),1)-2)*10)</f>
        <v>39.6</v>
      </c>
      <c r="Y13" s="8" t="s">
        <v>202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203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203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0D3B345-6713-4D35-AB5D-6BF5D1F31987}">
      <formula1>"れんたろう,ともき,だいち,りくと,まっつん,たかの,のり,ただ,ぱぱ,てんちゃん,いちかわ,"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CA001-AB8F-4540-B649-31B11E02CFE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205</v>
      </c>
      <c r="L1" s="73"/>
      <c r="M1" s="73"/>
      <c r="N1" s="74"/>
      <c r="O1" s="75"/>
      <c r="P1" s="72" t="s">
        <v>191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いちかわ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だいち</v>
      </c>
      <c r="W2" s="16" t="str">
        <f>$P$1</f>
        <v>いちかわ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199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200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199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-3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196</v>
      </c>
      <c r="AZ4" s="40" t="s">
        <v>197</v>
      </c>
      <c r="BA4" s="41" t="s">
        <v>82</v>
      </c>
      <c r="BB4" s="41" t="s">
        <v>83</v>
      </c>
      <c r="BC4" s="41" t="s">
        <v>79</v>
      </c>
      <c r="BD4" s="41" t="s">
        <v>198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200</v>
      </c>
      <c r="G5" s="9">
        <v>16000</v>
      </c>
      <c r="H5" s="9"/>
      <c r="I5" s="48">
        <v>0</v>
      </c>
      <c r="J5" s="21">
        <f t="shared" ref="J5:J30" si="2">IF(COUNTA($F5,$K5,$P5)&gt;0,J4+SUM(G5:I5),"")</f>
        <v>46000</v>
      </c>
      <c r="K5" s="8" t="s">
        <v>199</v>
      </c>
      <c r="L5" s="9">
        <v>-10000</v>
      </c>
      <c r="M5" s="9"/>
      <c r="N5" s="48">
        <v>0</v>
      </c>
      <c r="O5" s="21">
        <f t="shared" ref="O5:O30" si="3">IF(COUNTA($F5,$K5,$P5)&gt;0,O4+SUM(L5:N5),"")</f>
        <v>33000</v>
      </c>
      <c r="P5" s="8" t="s">
        <v>199</v>
      </c>
      <c r="Q5" s="9">
        <v>-6000</v>
      </c>
      <c r="R5" s="9"/>
      <c r="S5" s="48">
        <v>0</v>
      </c>
      <c r="T5" s="21">
        <f t="shared" ref="T5:T30" si="4">IF(COUNTA($F5,$K5,$P5)&gt;0,T4+SUM(Q5:S5),"")</f>
        <v>26000</v>
      </c>
      <c r="U5" s="53">
        <f>IF($J5="","",ROUND(($J5-$J$3)/1000,1)+(_xlfn.RANK.AVG($J5,($J5,$O5,$T5),1)-2)*10)</f>
        <v>21</v>
      </c>
      <c r="V5" s="54">
        <f>IF($O5="","",ROUND(($O5-$O$3)/1000,1)+(_xlfn.RANK.AVG($O5,($J5,$O5,$T5),1)-2)*10)</f>
        <v>-2</v>
      </c>
      <c r="W5" s="55">
        <f>IF($T5="","",ROUND(($T5-$T$3)/1000,1)+(_xlfn.RANK.AVG($T5,($J5,$O5,$T5),1)-2)*10)</f>
        <v>-19</v>
      </c>
      <c r="Y5" s="8"/>
      <c r="Z5" s="34"/>
      <c r="AA5" s="26"/>
      <c r="AB5" s="26"/>
      <c r="AC5" s="26">
        <v>8</v>
      </c>
      <c r="AD5" s="30" t="s">
        <v>196</v>
      </c>
      <c r="AE5" s="40" t="s">
        <v>82</v>
      </c>
      <c r="AF5" s="41" t="s">
        <v>106</v>
      </c>
      <c r="AG5" s="41" t="s">
        <v>198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いちかわ</v>
      </c>
      <c r="F6" s="8"/>
      <c r="G6" s="9"/>
      <c r="H6" s="9"/>
      <c r="I6" s="48"/>
      <c r="J6" s="21">
        <f t="shared" si="2"/>
        <v>46000</v>
      </c>
      <c r="K6" s="8" t="s">
        <v>195</v>
      </c>
      <c r="L6" s="9">
        <v>2600</v>
      </c>
      <c r="M6" s="9"/>
      <c r="N6" s="48">
        <v>0</v>
      </c>
      <c r="O6" s="21">
        <f t="shared" si="3"/>
        <v>35600</v>
      </c>
      <c r="P6" s="8" t="s">
        <v>194</v>
      </c>
      <c r="Q6" s="9">
        <v>-2600</v>
      </c>
      <c r="R6" s="9"/>
      <c r="S6" s="48">
        <v>0</v>
      </c>
      <c r="T6" s="21">
        <f t="shared" si="4"/>
        <v>23400</v>
      </c>
      <c r="U6" s="53">
        <f>IF($J6="","",ROUND(($J6-$J$3)/1000,1)+(_xlfn.RANK.AVG($J6,($J6,$O6,$T6),1)-2)*10)</f>
        <v>21</v>
      </c>
      <c r="V6" s="54">
        <f>IF($O6="","",ROUND(($O6-$O$3)/1000,1)+(_xlfn.RANK.AVG($O6,($J6,$O6,$T6),1)-2)*10)</f>
        <v>0.6</v>
      </c>
      <c r="W6" s="55">
        <f>IF($T6="","",ROUND(($T6-$T$3)/1000,1)+(_xlfn.RANK.AVG($T6,($J6,$O6,$T6),1)-2)*10)</f>
        <v>-21.6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197</v>
      </c>
      <c r="BA6" s="41" t="s">
        <v>198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199</v>
      </c>
      <c r="G7" s="9">
        <v>-7500</v>
      </c>
      <c r="H7" s="9"/>
      <c r="I7" s="48">
        <v>0</v>
      </c>
      <c r="J7" s="21">
        <f t="shared" si="2"/>
        <v>38500</v>
      </c>
      <c r="K7" s="8" t="s">
        <v>200</v>
      </c>
      <c r="L7" s="9">
        <v>12000</v>
      </c>
      <c r="M7" s="9"/>
      <c r="N7" s="48">
        <v>0</v>
      </c>
      <c r="O7" s="21">
        <f t="shared" si="3"/>
        <v>47600</v>
      </c>
      <c r="P7" s="8" t="s">
        <v>199</v>
      </c>
      <c r="Q7" s="9">
        <v>-4500</v>
      </c>
      <c r="R7" s="9"/>
      <c r="S7" s="48">
        <v>0</v>
      </c>
      <c r="T7" s="21">
        <f t="shared" si="4"/>
        <v>18900</v>
      </c>
      <c r="U7" s="53">
        <f>IF($J7="","",ROUND(($J7-$J$3)/1000,1)+(_xlfn.RANK.AVG($J7,($J7,$O7,$T7),1)-2)*10)</f>
        <v>3.5</v>
      </c>
      <c r="V7" s="54">
        <f>IF($O7="","",ROUND(($O7-$O$3)/1000,1)+(_xlfn.RANK.AVG($O7,($J7,$O7,$T7),1)-2)*10)</f>
        <v>22.6</v>
      </c>
      <c r="W7" s="55">
        <f>IF($T7="","",ROUND(($T7-$T$3)/1000,1)+(_xlfn.RANK.AVG($T7,($J7,$O7,$T7),1)-2)*10)</f>
        <v>-26.1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6</v>
      </c>
      <c r="AY7" s="30" t="s">
        <v>196</v>
      </c>
      <c r="AZ7" s="40" t="s">
        <v>82</v>
      </c>
      <c r="BA7" s="41" t="s">
        <v>92</v>
      </c>
      <c r="BB7" s="41" t="s">
        <v>79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206</v>
      </c>
      <c r="G8" s="9">
        <v>-1500</v>
      </c>
      <c r="H8" s="9"/>
      <c r="I8" s="48"/>
      <c r="J8" s="21">
        <f t="shared" si="2"/>
        <v>37000</v>
      </c>
      <c r="K8" s="8" t="s">
        <v>206</v>
      </c>
      <c r="L8" s="9">
        <v>-1500</v>
      </c>
      <c r="M8" s="9"/>
      <c r="N8" s="48"/>
      <c r="O8" s="21">
        <f t="shared" si="3"/>
        <v>46100</v>
      </c>
      <c r="P8" s="8" t="s">
        <v>206</v>
      </c>
      <c r="Q8" s="9">
        <v>3000</v>
      </c>
      <c r="R8" s="9">
        <v>-1000</v>
      </c>
      <c r="S8" s="48"/>
      <c r="T8" s="21">
        <f t="shared" si="4"/>
        <v>20900</v>
      </c>
      <c r="U8" s="53">
        <f>IF($J8="","",ROUND(($J8-$J$3)/1000,1)+(_xlfn.RANK.AVG($J8,($J8,$O8,$T8),1)-2)*10)</f>
        <v>2</v>
      </c>
      <c r="V8" s="54">
        <f>IF($O8="","",ROUND(($O8-$O$3)/1000,1)+(_xlfn.RANK.AVG($O8,($J8,$O8,$T8),1)-2)*10)</f>
        <v>21.1</v>
      </c>
      <c r="W8" s="55">
        <f>IF($T8="","",ROUND(($T8-$T$3)/1000,1)+(_xlfn.RANK.AVG($T8,($J8,$O8,$T8),1)-2)*10)</f>
        <v>-24.1</v>
      </c>
      <c r="Y8" s="8" t="s">
        <v>203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1</v>
      </c>
      <c r="D9" s="18">
        <f t="shared" si="1"/>
        <v>1</v>
      </c>
      <c r="E9" s="4" t="str">
        <f>IF($P$1="","",$P$1)</f>
        <v>いちかわ</v>
      </c>
      <c r="F9" s="8" t="s">
        <v>199</v>
      </c>
      <c r="G9" s="9">
        <v>-5800</v>
      </c>
      <c r="H9" s="9"/>
      <c r="I9" s="48">
        <v>-500</v>
      </c>
      <c r="J9" s="21">
        <f t="shared" si="2"/>
        <v>30700</v>
      </c>
      <c r="K9" s="8" t="s">
        <v>199</v>
      </c>
      <c r="L9" s="9">
        <v>-5800</v>
      </c>
      <c r="M9" s="9"/>
      <c r="N9" s="48">
        <v>-500</v>
      </c>
      <c r="O9" s="21">
        <f t="shared" si="3"/>
        <v>39800</v>
      </c>
      <c r="P9" s="8" t="s">
        <v>200</v>
      </c>
      <c r="Q9" s="9">
        <v>11600</v>
      </c>
      <c r="R9" s="9">
        <v>1000</v>
      </c>
      <c r="S9" s="48">
        <v>1000</v>
      </c>
      <c r="T9" s="21">
        <f t="shared" si="4"/>
        <v>34500</v>
      </c>
      <c r="U9" s="53">
        <f>IF($J9="","",ROUND(($J9-$J$3)/1000,1)+(_xlfn.RANK.AVG($J9,($J9,$O9,$T9),1)-2)*10)</f>
        <v>-14.3</v>
      </c>
      <c r="V9" s="54">
        <f>IF($O9="","",ROUND(($O9-$O$3)/1000,1)+(_xlfn.RANK.AVG($O9,($J9,$O9,$T9),1)-2)*10)</f>
        <v>14.8</v>
      </c>
      <c r="W9" s="55">
        <f>IF($T9="","",ROUND(($T9-$T$3)/1000,1)+(_xlfn.RANK.AVG($T9,($J9,$O9,$T9),1)-2)*10)</f>
        <v>-0.5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197</v>
      </c>
      <c r="BV9" s="41" t="s">
        <v>82</v>
      </c>
      <c r="BW9" s="41" t="s">
        <v>86</v>
      </c>
      <c r="BX9" s="41" t="s">
        <v>80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tr">
        <f>IF($P$1="","",$P$1)</f>
        <v>いちかわ</v>
      </c>
      <c r="F10" s="8" t="s">
        <v>200</v>
      </c>
      <c r="G10" s="9">
        <v>12000</v>
      </c>
      <c r="H10" s="9">
        <v>1000</v>
      </c>
      <c r="I10" s="48">
        <v>2000</v>
      </c>
      <c r="J10" s="21">
        <f t="shared" si="2"/>
        <v>45700</v>
      </c>
      <c r="K10" s="8" t="s">
        <v>199</v>
      </c>
      <c r="L10" s="9">
        <v>-4500</v>
      </c>
      <c r="M10" s="9">
        <v>-1000</v>
      </c>
      <c r="N10" s="48">
        <v>-1000</v>
      </c>
      <c r="O10" s="21">
        <f t="shared" si="3"/>
        <v>33300</v>
      </c>
      <c r="P10" s="8" t="s">
        <v>199</v>
      </c>
      <c r="Q10" s="9">
        <v>-7500</v>
      </c>
      <c r="R10" s="9"/>
      <c r="S10" s="48">
        <v>-1000</v>
      </c>
      <c r="T10" s="21">
        <f t="shared" si="4"/>
        <v>26000</v>
      </c>
      <c r="U10" s="53">
        <f>IF($J10="","",ROUND(($J10-$J$3)/1000,1)+(_xlfn.RANK.AVG($J10,($J10,$O10,$T10),1)-2)*10)</f>
        <v>20.7</v>
      </c>
      <c r="V10" s="54">
        <f>IF($O10="","",ROUND(($O10-$O$3)/1000,1)+(_xlfn.RANK.AVG($O10,($J10,$O10,$T10),1)-2)*10)</f>
        <v>-1.7</v>
      </c>
      <c r="W10" s="55">
        <f>IF($T10="","",ROUND(($T10-$T$3)/1000,1)+(_xlfn.RANK.AVG($T10,($J10,$O10,$T10),1)-2)*10)</f>
        <v>-19</v>
      </c>
      <c r="Y10" s="8"/>
      <c r="Z10" s="34"/>
      <c r="AA10" s="26">
        <v>1</v>
      </c>
      <c r="AB10" s="26"/>
      <c r="AC10" s="26">
        <v>6</v>
      </c>
      <c r="AD10" s="30" t="s">
        <v>196</v>
      </c>
      <c r="AE10" s="40" t="s">
        <v>197</v>
      </c>
      <c r="AF10" s="41" t="s">
        <v>82</v>
      </c>
      <c r="AG10" s="41" t="s">
        <v>83</v>
      </c>
      <c r="AH10" s="41" t="s">
        <v>79</v>
      </c>
      <c r="AI10" s="41" t="s">
        <v>79</v>
      </c>
      <c r="AJ10" s="41" t="s">
        <v>79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9E09F36D-5357-4F73-B776-D9902C8CCD49}">
      <formula1>"れんたろう,ともき,だいち,りくと,まっつん,たかの,のり,ただ,ぱぱ,てんちゃん,いちかわ,"</formula1>
    </dataValidation>
    <dataValidation type="list" showInputMessage="1" showErrorMessage="1" sqref="K4:K30 P4:P30 F4:F30" xr:uid="{347DC384-928D-41F0-800A-D30EF0AAA4F4}">
      <formula1>"ロン,ツモ,放銃,ツモ支払,流局,チョンボ"</formula1>
    </dataValidation>
    <dataValidation type="list" allowBlank="1" showInputMessage="1" showErrorMessage="1" sqref="E4:E30" xr:uid="{B07B97D8-A21D-4924-A218-7D03DE83C5E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1FE2D-1199-476A-BEA0-37FFA0C44B2D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207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たかの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195</v>
      </c>
      <c r="G4" s="9">
        <v>5800</v>
      </c>
      <c r="H4" s="9">
        <v>1000</v>
      </c>
      <c r="I4" s="48">
        <v>0</v>
      </c>
      <c r="J4" s="21">
        <f>IF(COUNTA($F4,$K4,$P4)&gt;0,J3+SUM(G4:I4),"")</f>
        <v>41800</v>
      </c>
      <c r="K4" s="8"/>
      <c r="L4" s="9"/>
      <c r="M4" s="9"/>
      <c r="N4" s="48"/>
      <c r="O4" s="21">
        <f>IF(COUNTA($F4,$K4,$P4)&gt;0,O3+SUM(L4:N4),"")</f>
        <v>35000</v>
      </c>
      <c r="P4" s="8" t="s">
        <v>194</v>
      </c>
      <c r="Q4" s="9">
        <v>-5800</v>
      </c>
      <c r="R4" s="9">
        <v>-1000</v>
      </c>
      <c r="S4" s="48">
        <v>0</v>
      </c>
      <c r="T4" s="21">
        <f>IF(COUNTA($F4,$K4,$P4)&gt;0,T3+SUM(Q4:S4),"")</f>
        <v>28200</v>
      </c>
      <c r="U4" s="53">
        <f>IF($J4="","",ROUND(($J4-$J$3)/1000,1)+(_xlfn.RANK.AVG($J4,($J4,$O4,$T4),1)-2)*10)</f>
        <v>16.8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-16.8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86</v>
      </c>
      <c r="AF4" s="41" t="s">
        <v>79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/>
      <c r="G5" s="9"/>
      <c r="H5" s="9"/>
      <c r="I5" s="48"/>
      <c r="J5" s="21">
        <f t="shared" ref="J5:J30" si="2">IF(COUNTA($F5,$K5,$P5)&gt;0,J4+SUM(G5:I5),"")</f>
        <v>41800</v>
      </c>
      <c r="K5" s="8" t="s">
        <v>195</v>
      </c>
      <c r="L5" s="9">
        <v>5200</v>
      </c>
      <c r="M5" s="9"/>
      <c r="N5" s="48">
        <v>1000</v>
      </c>
      <c r="O5" s="21">
        <f t="shared" ref="O5:O30" si="3">IF(COUNTA($F5,$K5,$P5)&gt;0,O4+SUM(L5:N5),"")</f>
        <v>41200</v>
      </c>
      <c r="P5" s="8" t="s">
        <v>194</v>
      </c>
      <c r="Q5" s="9">
        <v>-5200</v>
      </c>
      <c r="R5" s="9"/>
      <c r="S5" s="48">
        <v>-1000</v>
      </c>
      <c r="T5" s="21">
        <f t="shared" ref="T5:T30" si="4">IF(COUNTA($F5,$K5,$P5)&gt;0,T4+SUM(Q5:S5),"")</f>
        <v>22000</v>
      </c>
      <c r="U5" s="53">
        <f>IF($J5="","",ROUND(($J5-$J$3)/1000,1)+(_xlfn.RANK.AVG($J5,($J5,$O5,$T5),1)-2)*10)</f>
        <v>16.8</v>
      </c>
      <c r="V5" s="54">
        <f>IF($O5="","",ROUND(($O5-$O$3)/1000,1)+(_xlfn.RANK.AVG($O5,($J5,$O5,$T5),1)-2)*10)</f>
        <v>6.2</v>
      </c>
      <c r="W5" s="55">
        <f>IF($T5="","",ROUND(($T5-$T$3)/1000,1)+(_xlfn.RANK.AVG($T5,($J5,$O5,$T5),1)-2)*10)</f>
        <v>-23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197</v>
      </c>
      <c r="BA5" s="41" t="s">
        <v>201</v>
      </c>
      <c r="BB5" s="41" t="s">
        <v>84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たかの</v>
      </c>
      <c r="F6" s="8" t="s">
        <v>194</v>
      </c>
      <c r="G6" s="9">
        <v>-3900</v>
      </c>
      <c r="H6" s="9"/>
      <c r="I6" s="48">
        <v>0</v>
      </c>
      <c r="J6" s="21">
        <f t="shared" si="2"/>
        <v>37900</v>
      </c>
      <c r="K6" s="8" t="s">
        <v>195</v>
      </c>
      <c r="L6" s="9">
        <v>3900</v>
      </c>
      <c r="M6" s="9"/>
      <c r="N6" s="48">
        <v>0</v>
      </c>
      <c r="O6" s="21">
        <f t="shared" si="3"/>
        <v>45100</v>
      </c>
      <c r="P6" s="8"/>
      <c r="Q6" s="9"/>
      <c r="R6" s="9"/>
      <c r="S6" s="48"/>
      <c r="T6" s="21">
        <f t="shared" si="4"/>
        <v>22000</v>
      </c>
      <c r="U6" s="53">
        <f>IF($J6="","",ROUND(($J6-$J$3)/1000,1)+(_xlfn.RANK.AVG($J6,($J6,$O6,$T6),1)-2)*10)</f>
        <v>2.9</v>
      </c>
      <c r="V6" s="54">
        <f>IF($O6="","",ROUND(($O6-$O$3)/1000,1)+(_xlfn.RANK.AVG($O6,($J6,$O6,$T6),1)-2)*10)</f>
        <v>20.100000000000001</v>
      </c>
      <c r="W6" s="55">
        <f>IF($T6="","",ROUND(($T6-$T$3)/1000,1)+(_xlfn.RANK.AVG($T6,($J6,$O6,$T6),1)-2)*10)</f>
        <v>-23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197</v>
      </c>
      <c r="BA6" s="41" t="s">
        <v>84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たかの</v>
      </c>
      <c r="F7" s="8" t="s">
        <v>194</v>
      </c>
      <c r="G7" s="9">
        <v>-3900</v>
      </c>
      <c r="H7" s="9"/>
      <c r="I7" s="48">
        <v>-1000</v>
      </c>
      <c r="J7" s="21">
        <f t="shared" si="2"/>
        <v>33000</v>
      </c>
      <c r="K7" s="8"/>
      <c r="L7" s="9"/>
      <c r="M7" s="9"/>
      <c r="N7" s="48"/>
      <c r="O7" s="21">
        <f t="shared" si="3"/>
        <v>45100</v>
      </c>
      <c r="P7" s="8" t="s">
        <v>195</v>
      </c>
      <c r="Q7" s="9">
        <v>3900</v>
      </c>
      <c r="R7" s="9"/>
      <c r="S7" s="48">
        <v>1000</v>
      </c>
      <c r="T7" s="21">
        <f t="shared" si="4"/>
        <v>26900</v>
      </c>
      <c r="U7" s="53">
        <f>IF($J7="","",ROUND(($J7-$J$3)/1000,1)+(_xlfn.RANK.AVG($J7,($J7,$O7,$T7),1)-2)*10)</f>
        <v>-2</v>
      </c>
      <c r="V7" s="54">
        <f>IF($O7="","",ROUND(($O7-$O$3)/1000,1)+(_xlfn.RANK.AVG($O7,($J7,$O7,$T7),1)-2)*10)</f>
        <v>20.100000000000001</v>
      </c>
      <c r="W7" s="55">
        <f>IF($T7="","",ROUND(($T7-$T$3)/1000,1)+(_xlfn.RANK.AVG($T7,($J7,$O7,$T7),1)-2)*10)</f>
        <v>-18.100000000000001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30</v>
      </c>
      <c r="BU7" s="40" t="s">
        <v>86</v>
      </c>
      <c r="BV7" s="41" t="s">
        <v>86</v>
      </c>
      <c r="BW7" s="41" t="s">
        <v>198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まっつん</v>
      </c>
      <c r="F8" s="8" t="s">
        <v>199</v>
      </c>
      <c r="G8" s="9">
        <v>-1500</v>
      </c>
      <c r="H8" s="9"/>
      <c r="I8" s="48">
        <v>0</v>
      </c>
      <c r="J8" s="21">
        <f t="shared" si="2"/>
        <v>31500</v>
      </c>
      <c r="K8" s="8" t="s">
        <v>199</v>
      </c>
      <c r="L8" s="9">
        <v>-1500</v>
      </c>
      <c r="M8" s="9"/>
      <c r="N8" s="48">
        <v>0</v>
      </c>
      <c r="O8" s="21">
        <f t="shared" si="3"/>
        <v>43600</v>
      </c>
      <c r="P8" s="8" t="s">
        <v>200</v>
      </c>
      <c r="Q8" s="9">
        <v>3000</v>
      </c>
      <c r="R8" s="9"/>
      <c r="S8" s="48">
        <v>0</v>
      </c>
      <c r="T8" s="21">
        <f t="shared" si="4"/>
        <v>29900</v>
      </c>
      <c r="U8" s="53">
        <f>IF($J8="","",ROUND(($J8-$J$3)/1000,1)+(_xlfn.RANK.AVG($J8,($J8,$O8,$T8),1)-2)*10)</f>
        <v>-3.5</v>
      </c>
      <c r="V8" s="54">
        <f>IF($O8="","",ROUND(($O8-$O$3)/1000,1)+(_xlfn.RANK.AVG($O8,($J8,$O8,$T8),1)-2)*10)</f>
        <v>18.600000000000001</v>
      </c>
      <c r="W8" s="55">
        <f>IF($T8="","",ROUND(($T8-$T$3)/1000,1)+(_xlfn.RANK.AVG($T8,($J8,$O8,$T8),1)-2)*10)</f>
        <v>-15.1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まっつん</v>
      </c>
      <c r="F9" s="8" t="s">
        <v>199</v>
      </c>
      <c r="G9" s="9">
        <v>-4500</v>
      </c>
      <c r="H9" s="9"/>
      <c r="I9" s="48">
        <v>-500</v>
      </c>
      <c r="J9" s="21">
        <f t="shared" si="2"/>
        <v>26500</v>
      </c>
      <c r="K9" s="8" t="s">
        <v>200</v>
      </c>
      <c r="L9" s="9">
        <v>12000</v>
      </c>
      <c r="M9" s="9"/>
      <c r="N9" s="48">
        <v>1000</v>
      </c>
      <c r="O9" s="21">
        <f t="shared" si="3"/>
        <v>56600</v>
      </c>
      <c r="P9" s="8" t="s">
        <v>199</v>
      </c>
      <c r="Q9" s="9">
        <v>-7500</v>
      </c>
      <c r="R9" s="9"/>
      <c r="S9" s="48">
        <v>-500</v>
      </c>
      <c r="T9" s="21">
        <f t="shared" si="4"/>
        <v>21900</v>
      </c>
      <c r="U9" s="53">
        <f>IF($J9="","",ROUND(($J9-$J$3)/1000,1)+(_xlfn.RANK.AVG($J9,($J9,$O9,$T9),1)-2)*10)</f>
        <v>-8.5</v>
      </c>
      <c r="V9" s="54">
        <f>IF($O9="","",ROUND(($O9-$O$3)/1000,1)+(_xlfn.RANK.AVG($O9,($J9,$O9,$T9),1)-2)*10)</f>
        <v>31.6</v>
      </c>
      <c r="W9" s="55">
        <f>IF($T9="","",ROUND(($T9-$T$3)/1000,1)+(_xlfn.RANK.AVG($T9,($J9,$O9,$T9),1)-2)*10)</f>
        <v>-23.1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6</v>
      </c>
      <c r="AY9" s="30" t="s">
        <v>196</v>
      </c>
      <c r="AZ9" s="40" t="s">
        <v>104</v>
      </c>
      <c r="BA9" s="41" t="s">
        <v>86</v>
      </c>
      <c r="BB9" s="41" t="s">
        <v>86</v>
      </c>
      <c r="BC9" s="41" t="s">
        <v>79</v>
      </c>
      <c r="BD9" s="41" t="s">
        <v>79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れんたろう</v>
      </c>
      <c r="F10" s="8" t="s">
        <v>199</v>
      </c>
      <c r="G10" s="9">
        <v>-4800</v>
      </c>
      <c r="H10" s="9"/>
      <c r="I10" s="48">
        <v>0</v>
      </c>
      <c r="J10" s="21">
        <f t="shared" si="2"/>
        <v>21700</v>
      </c>
      <c r="K10" s="8" t="s">
        <v>200</v>
      </c>
      <c r="L10" s="9">
        <v>7700</v>
      </c>
      <c r="M10" s="9"/>
      <c r="N10" s="48">
        <v>0</v>
      </c>
      <c r="O10" s="21">
        <f t="shared" si="3"/>
        <v>64300</v>
      </c>
      <c r="P10" s="8" t="s">
        <v>199</v>
      </c>
      <c r="Q10" s="9">
        <v>-2900</v>
      </c>
      <c r="R10" s="9"/>
      <c r="S10" s="48">
        <v>0</v>
      </c>
      <c r="T10" s="21">
        <f t="shared" si="4"/>
        <v>19000</v>
      </c>
      <c r="U10" s="53">
        <f>IF($J10="","",ROUND(($J10-$J$3)/1000,1)+(_xlfn.RANK.AVG($J10,($J10,$O10,$T10),1)-2)*10)</f>
        <v>-13.3</v>
      </c>
      <c r="V10" s="54">
        <f>IF($O10="","",ROUND(($O10-$O$3)/1000,1)+(_xlfn.RANK.AVG($O10,($J10,$O10,$T10),1)-2)*10)</f>
        <v>39.299999999999997</v>
      </c>
      <c r="W10" s="55">
        <f>IF($T10="","",ROUND(($T10-$T$3)/1000,1)+(_xlfn.RANK.AVG($T10,($J10,$O10,$T10),1)-2)*10)</f>
        <v>-26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104</v>
      </c>
      <c r="BA10" s="41" t="s">
        <v>79</v>
      </c>
      <c r="BB10" s="41" t="s">
        <v>86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たかの</v>
      </c>
      <c r="F11" s="8" t="s">
        <v>194</v>
      </c>
      <c r="G11" s="9">
        <v>-18000</v>
      </c>
      <c r="H11" s="9"/>
      <c r="I11" s="48">
        <v>0</v>
      </c>
      <c r="J11" s="21">
        <f t="shared" si="2"/>
        <v>3700</v>
      </c>
      <c r="K11" s="8" t="s">
        <v>195</v>
      </c>
      <c r="L11" s="9">
        <v>18000</v>
      </c>
      <c r="M11" s="9"/>
      <c r="N11" s="48">
        <v>0</v>
      </c>
      <c r="O11" s="21">
        <f t="shared" si="3"/>
        <v>82300</v>
      </c>
      <c r="P11" s="8"/>
      <c r="Q11" s="9"/>
      <c r="R11" s="9"/>
      <c r="S11" s="48"/>
      <c r="T11" s="21">
        <f t="shared" si="4"/>
        <v>19000</v>
      </c>
      <c r="U11" s="53">
        <f>IF($J11="","",ROUND(($J11-$J$3)/1000,1)+(_xlfn.RANK.AVG($J11,($J11,$O11,$T11),1)-2)*10)</f>
        <v>-41.3</v>
      </c>
      <c r="V11" s="54">
        <f>IF($O11="","",ROUND(($O11-$O$3)/1000,1)+(_xlfn.RANK.AVG($O11,($J11,$O11,$T11),1)-2)*10)</f>
        <v>57.3</v>
      </c>
      <c r="W11" s="55">
        <f>IF($T11="","",ROUND(($T11-$T$3)/1000,1)+(_xlfn.RANK.AVG($T11,($J11,$O11,$T11),1)-2)*10)</f>
        <v>-16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7</v>
      </c>
      <c r="AY11" s="30" t="s">
        <v>196</v>
      </c>
      <c r="AZ11" s="40" t="s">
        <v>197</v>
      </c>
      <c r="BA11" s="41" t="s">
        <v>82</v>
      </c>
      <c r="BB11" s="41" t="s">
        <v>79</v>
      </c>
      <c r="BC11" s="41" t="s">
        <v>80</v>
      </c>
      <c r="BD11" s="41" t="s">
        <v>80</v>
      </c>
      <c r="BE11" s="41" t="s">
        <v>83</v>
      </c>
      <c r="BF11" s="41" t="s">
        <v>198</v>
      </c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IF($K$1="","",$K$1)</f>
        <v>たかの</v>
      </c>
      <c r="F12" s="8" t="s">
        <v>206</v>
      </c>
      <c r="G12" s="9">
        <v>1500</v>
      </c>
      <c r="H12" s="9">
        <v>-1000</v>
      </c>
      <c r="I12" s="48"/>
      <c r="J12" s="21">
        <f t="shared" si="2"/>
        <v>4200</v>
      </c>
      <c r="K12" s="8" t="s">
        <v>206</v>
      </c>
      <c r="L12" s="9">
        <v>-3000</v>
      </c>
      <c r="M12" s="9"/>
      <c r="N12" s="48"/>
      <c r="O12" s="21">
        <f t="shared" si="3"/>
        <v>79300</v>
      </c>
      <c r="P12" s="8" t="s">
        <v>206</v>
      </c>
      <c r="Q12" s="9">
        <v>1500</v>
      </c>
      <c r="R12" s="9"/>
      <c r="S12" s="48"/>
      <c r="T12" s="21">
        <f t="shared" si="4"/>
        <v>20500</v>
      </c>
      <c r="U12" s="53">
        <f>IF($J12="","",ROUND(($J12-$J$3)/1000,1)+(_xlfn.RANK.AVG($J12,($J12,$O12,$T12),1)-2)*10)</f>
        <v>-40.799999999999997</v>
      </c>
      <c r="V12" s="54">
        <f>IF($O12="","",ROUND(($O12-$O$3)/1000,1)+(_xlfn.RANK.AVG($O12,($J12,$O12,$T12),1)-2)*10)</f>
        <v>54.3</v>
      </c>
      <c r="W12" s="55">
        <f>IF($T12="","",ROUND(($T12-$T$3)/1000,1)+(_xlfn.RANK.AVG($T12,($J12,$O12,$T12),1)-2)*10)</f>
        <v>-14.5</v>
      </c>
      <c r="Y12" s="8" t="s">
        <v>202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203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202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1</v>
      </c>
      <c r="E13" s="4" t="str">
        <f>IF($P$1="","",$P$1)</f>
        <v>まっつん</v>
      </c>
      <c r="F13" s="8" t="s">
        <v>206</v>
      </c>
      <c r="G13" s="9">
        <v>-3000</v>
      </c>
      <c r="H13" s="9"/>
      <c r="I13" s="48"/>
      <c r="J13" s="21">
        <f t="shared" si="2"/>
        <v>1200</v>
      </c>
      <c r="K13" s="8" t="s">
        <v>206</v>
      </c>
      <c r="L13" s="9">
        <v>1500</v>
      </c>
      <c r="M13" s="9"/>
      <c r="N13" s="48"/>
      <c r="O13" s="21">
        <f t="shared" si="3"/>
        <v>80800</v>
      </c>
      <c r="P13" s="8" t="s">
        <v>206</v>
      </c>
      <c r="Q13" s="9">
        <v>1500</v>
      </c>
      <c r="R13" s="9">
        <v>-1000</v>
      </c>
      <c r="S13" s="48"/>
      <c r="T13" s="21">
        <f t="shared" si="4"/>
        <v>21000</v>
      </c>
      <c r="U13" s="53">
        <f>IF($J13="","",ROUND(($J13-$J$3)/1000,1)+(_xlfn.RANK.AVG($J13,($J13,$O13,$T13),1)-2)*10)</f>
        <v>-43.8</v>
      </c>
      <c r="V13" s="54">
        <f>IF($O13="","",ROUND(($O13-$O$3)/1000,1)+(_xlfn.RANK.AVG($O13,($J13,$O13,$T13),1)-2)*10)</f>
        <v>55.8</v>
      </c>
      <c r="W13" s="55">
        <f>IF($T13="","",ROUND(($T13-$T$3)/1000,1)+(_xlfn.RANK.AVG($T13,($J13,$O13,$T13),1)-2)*10)</f>
        <v>-14</v>
      </c>
      <c r="Y13" s="8" t="s">
        <v>203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202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202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3</v>
      </c>
      <c r="D14" s="18">
        <f t="shared" si="1"/>
        <v>2</v>
      </c>
      <c r="E14" s="4" t="str">
        <f>IF($P$1="","",$P$1)</f>
        <v>まっつん</v>
      </c>
      <c r="F14" s="8" t="s">
        <v>199</v>
      </c>
      <c r="G14" s="9">
        <v>-3000</v>
      </c>
      <c r="H14" s="9"/>
      <c r="I14" s="48">
        <v>-1500</v>
      </c>
      <c r="J14" s="21">
        <f t="shared" si="2"/>
        <v>-3300</v>
      </c>
      <c r="K14" s="8" t="s">
        <v>199</v>
      </c>
      <c r="L14" s="9">
        <v>-3000</v>
      </c>
      <c r="M14" s="9"/>
      <c r="N14" s="48">
        <v>-1500</v>
      </c>
      <c r="O14" s="21">
        <f t="shared" si="3"/>
        <v>76300</v>
      </c>
      <c r="P14" s="8" t="s">
        <v>200</v>
      </c>
      <c r="Q14" s="9">
        <v>6000</v>
      </c>
      <c r="R14" s="9">
        <v>2000</v>
      </c>
      <c r="S14" s="48">
        <v>3000</v>
      </c>
      <c r="T14" s="21">
        <f t="shared" si="4"/>
        <v>32000</v>
      </c>
      <c r="U14" s="53">
        <f>IF($J14="","",ROUND(($J14-$J$3)/1000,1)+(_xlfn.RANK.AVG($J14,($J14,$O14,$T14),1)-2)*10)</f>
        <v>-48.3</v>
      </c>
      <c r="V14" s="54">
        <f>IF($O14="","",ROUND(($O14-$O$3)/1000,1)+(_xlfn.RANK.AVG($O14,($J14,$O14,$T14),1)-2)*10)</f>
        <v>51.3</v>
      </c>
      <c r="W14" s="55">
        <f>IF($T14="","",ROUND(($T14-$T$3)/1000,1)+(_xlfn.RANK.AVG($T14,($J14,$O14,$T14),1)-2)*10)</f>
        <v>-3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3</v>
      </c>
      <c r="BT14" s="30">
        <v>30</v>
      </c>
      <c r="BU14" s="40" t="s">
        <v>86</v>
      </c>
      <c r="BV14" s="41" t="s">
        <v>86</v>
      </c>
      <c r="BW14" s="41" t="s">
        <v>79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C4B2F373-98AF-47D4-AE68-C80263D57FBA}">
      <formula1>$U$2:$W$2</formula1>
    </dataValidation>
    <dataValidation type="list" showInputMessage="1" showErrorMessage="1" sqref="K4:K30 P4:P30 F4:F30" xr:uid="{2FEB05C5-8D7B-467F-8E25-55B0D4EAF794}">
      <formula1>"ロン,ツモ,放銃,ツモ支払,流局,チョンボ"</formula1>
    </dataValidation>
    <dataValidation type="list" allowBlank="1" showInputMessage="1" sqref="F1:T1" xr:uid="{6844B3BB-17C9-4723-8341-09612B8C299B}">
      <formula1>"れんたろう,ともき,だいち,りくと,まっつん,たかの,のり,ただ,ぱぱ,てんちゃん,いちかわ,"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49934-B6AC-477A-AEEA-4C4D77F14A5A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205</v>
      </c>
      <c r="L1" s="73"/>
      <c r="M1" s="73"/>
      <c r="N1" s="74"/>
      <c r="O1" s="75"/>
      <c r="P1" s="72" t="s">
        <v>207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だいち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194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195</v>
      </c>
      <c r="Q4" s="9">
        <v>1300</v>
      </c>
      <c r="R4" s="9">
        <v>1000</v>
      </c>
      <c r="S4" s="48">
        <v>0</v>
      </c>
      <c r="T4" s="21">
        <f>IF(COUNTA($F4,$K4,$P4)&gt;0,T3+SUM(Q4:S4),"")</f>
        <v>37300</v>
      </c>
      <c r="U4" s="53">
        <f>IF($J4="","",ROUND(($J4-$J$3)/1000,1)+(_xlfn.RANK.AVG($J4,($J4,$O4,$T4),1)-2)*10)</f>
        <v>-11.3</v>
      </c>
      <c r="V4" s="54">
        <f>IF($O4="","",ROUND(($O4-$O$3)/1000,1)+(_xlfn.RANK.AVG($O4,($J4,$O4,$T4),1)-2)*10)</f>
        <v>-1</v>
      </c>
      <c r="W4" s="55">
        <f>IF($T4="","",ROUND(($T4-$T$3)/1000,1)+(_xlfn.RANK.AVG($T4,($J4,$O4,$T4),1)-2)*10)</f>
        <v>12.3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1</v>
      </c>
      <c r="BT4" s="30">
        <v>40</v>
      </c>
      <c r="BU4" s="40" t="s">
        <v>197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194</v>
      </c>
      <c r="G5" s="9">
        <v>-8000</v>
      </c>
      <c r="H5" s="9"/>
      <c r="I5" s="48">
        <v>0</v>
      </c>
      <c r="J5" s="21">
        <f t="shared" ref="J5:J30" si="2">IF(COUNTA($F5,$K5,$P5)&gt;0,J4+SUM(G5:I5),"")</f>
        <v>25700</v>
      </c>
      <c r="K5" s="8"/>
      <c r="L5" s="9"/>
      <c r="M5" s="9"/>
      <c r="N5" s="48"/>
      <c r="O5" s="21">
        <f t="shared" ref="O5:O30" si="3">IF(COUNTA($F5,$K5,$P5)&gt;0,O4+SUM(L5:N5),"")</f>
        <v>34000</v>
      </c>
      <c r="P5" s="8" t="s">
        <v>195</v>
      </c>
      <c r="Q5" s="9">
        <v>8000</v>
      </c>
      <c r="R5" s="9"/>
      <c r="S5" s="48">
        <v>0</v>
      </c>
      <c r="T5" s="21">
        <f t="shared" ref="T5:T30" si="4">IF(COUNTA($F5,$K5,$P5)&gt;0,T4+SUM(Q5:S5),"")</f>
        <v>45300</v>
      </c>
      <c r="U5" s="53">
        <f>IF($J5="","",ROUND(($J5-$J$3)/1000,1)+(_xlfn.RANK.AVG($J5,($J5,$O5,$T5),1)-2)*10)</f>
        <v>-19.3</v>
      </c>
      <c r="V5" s="54">
        <f>IF($O5="","",ROUND(($O5-$O$3)/1000,1)+(_xlfn.RANK.AVG($O5,($J5,$O5,$T5),1)-2)*10)</f>
        <v>-1</v>
      </c>
      <c r="W5" s="55">
        <f>IF($T5="","",ROUND(($T5-$T$3)/1000,1)+(_xlfn.RANK.AVG($T5,($J5,$O5,$T5),1)-2)*10)</f>
        <v>20.3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4</v>
      </c>
      <c r="BT5" s="30">
        <v>40</v>
      </c>
      <c r="BU5" s="40" t="s">
        <v>104</v>
      </c>
      <c r="BV5" s="41" t="s">
        <v>84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 t="s">
        <v>195</v>
      </c>
      <c r="G6" s="9">
        <v>2600</v>
      </c>
      <c r="H6" s="9"/>
      <c r="I6" s="48">
        <v>0</v>
      </c>
      <c r="J6" s="21">
        <f t="shared" si="2"/>
        <v>28300</v>
      </c>
      <c r="K6" s="8" t="s">
        <v>194</v>
      </c>
      <c r="L6" s="9">
        <v>-2600</v>
      </c>
      <c r="M6" s="9"/>
      <c r="N6" s="48">
        <v>0</v>
      </c>
      <c r="O6" s="21">
        <f t="shared" si="3"/>
        <v>31400</v>
      </c>
      <c r="P6" s="8"/>
      <c r="Q6" s="9"/>
      <c r="R6" s="9"/>
      <c r="S6" s="48"/>
      <c r="T6" s="21">
        <f t="shared" si="4"/>
        <v>45300</v>
      </c>
      <c r="U6" s="53">
        <f>IF($J6="","",ROUND(($J6-$J$3)/1000,1)+(_xlfn.RANK.AVG($J6,($J6,$O6,$T6),1)-2)*10)</f>
        <v>-16.7</v>
      </c>
      <c r="V6" s="54">
        <f>IF($O6="","",ROUND(($O6-$O$3)/1000,1)+(_xlfn.RANK.AVG($O6,($J6,$O6,$T6),1)-2)*10)</f>
        <v>-3.6</v>
      </c>
      <c r="W6" s="55">
        <f>IF($T6="","",ROUND(($T6-$T$3)/1000,1)+(_xlfn.RANK.AVG($T6,($J6,$O6,$T6),1)-2)*10)</f>
        <v>20.3</v>
      </c>
      <c r="Y6" s="8"/>
      <c r="Z6" s="34"/>
      <c r="AA6" s="26"/>
      <c r="AB6" s="26"/>
      <c r="AC6" s="26">
        <v>2</v>
      </c>
      <c r="AD6" s="30">
        <v>40</v>
      </c>
      <c r="AE6" s="40" t="s">
        <v>96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194</v>
      </c>
      <c r="G7" s="9">
        <v>-8000</v>
      </c>
      <c r="H7" s="9"/>
      <c r="I7" s="48">
        <v>0</v>
      </c>
      <c r="J7" s="21">
        <f t="shared" si="2"/>
        <v>20300</v>
      </c>
      <c r="K7" s="8"/>
      <c r="L7" s="9"/>
      <c r="M7" s="9"/>
      <c r="N7" s="48"/>
      <c r="O7" s="21">
        <f t="shared" si="3"/>
        <v>31400</v>
      </c>
      <c r="P7" s="8" t="s">
        <v>195</v>
      </c>
      <c r="Q7" s="9">
        <v>8000</v>
      </c>
      <c r="R7" s="9"/>
      <c r="S7" s="48">
        <v>0</v>
      </c>
      <c r="T7" s="21">
        <f t="shared" si="4"/>
        <v>53300</v>
      </c>
      <c r="U7" s="53">
        <f>IF($J7="","",ROUND(($J7-$J$3)/1000,1)+(_xlfn.RANK.AVG($J7,($J7,$O7,$T7),1)-2)*10)</f>
        <v>-24.7</v>
      </c>
      <c r="V7" s="54">
        <f>IF($O7="","",ROUND(($O7-$O$3)/1000,1)+(_xlfn.RANK.AVG($O7,($J7,$O7,$T7),1)-2)*10)</f>
        <v>-3.6</v>
      </c>
      <c r="W7" s="55">
        <f>IF($T7="","",ROUND(($T7-$T$3)/1000,1)+(_xlfn.RANK.AVG($T7,($J7,$O7,$T7),1)-2)*10)</f>
        <v>28.3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196</v>
      </c>
      <c r="BU7" s="40" t="s">
        <v>98</v>
      </c>
      <c r="BV7" s="41" t="s">
        <v>79</v>
      </c>
      <c r="BW7" s="41" t="s">
        <v>79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199</v>
      </c>
      <c r="G8" s="9">
        <v>-6000</v>
      </c>
      <c r="H8" s="9">
        <v>-1000</v>
      </c>
      <c r="I8" s="48">
        <v>0</v>
      </c>
      <c r="J8" s="21">
        <f t="shared" si="2"/>
        <v>13300</v>
      </c>
      <c r="K8" s="8" t="s">
        <v>200</v>
      </c>
      <c r="L8" s="9">
        <v>12000</v>
      </c>
      <c r="M8" s="9">
        <v>1000</v>
      </c>
      <c r="N8" s="48">
        <v>0</v>
      </c>
      <c r="O8" s="21">
        <f t="shared" si="3"/>
        <v>44400</v>
      </c>
      <c r="P8" s="8" t="s">
        <v>199</v>
      </c>
      <c r="Q8" s="9">
        <v>-6000</v>
      </c>
      <c r="R8" s="9"/>
      <c r="S8" s="48">
        <v>0</v>
      </c>
      <c r="T8" s="21">
        <f t="shared" si="4"/>
        <v>47300</v>
      </c>
      <c r="U8" s="53">
        <f>IF($J8="","",ROUND(($J8-$J$3)/1000,1)+(_xlfn.RANK.AVG($J8,($J8,$O8,$T8),1)-2)*10)</f>
        <v>-31.7</v>
      </c>
      <c r="V8" s="54">
        <f>IF($O8="","",ROUND(($O8-$O$3)/1000,1)+(_xlfn.RANK.AVG($O8,($J8,$O8,$T8),1)-2)*10)</f>
        <v>9.4</v>
      </c>
      <c r="W8" s="55">
        <f>IF($T8="","",ROUND(($T8-$T$3)/1000,1)+(_xlfn.RANK.AVG($T8,($J8,$O8,$T8),1)-2)*10)</f>
        <v>22.3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196</v>
      </c>
      <c r="AZ8" s="40" t="s">
        <v>197</v>
      </c>
      <c r="BA8" s="41" t="s">
        <v>82</v>
      </c>
      <c r="BB8" s="41" t="s">
        <v>201</v>
      </c>
      <c r="BC8" s="41" t="s">
        <v>86</v>
      </c>
      <c r="BD8" s="41" t="s">
        <v>84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だいち</v>
      </c>
      <c r="F9" s="8" t="s">
        <v>206</v>
      </c>
      <c r="G9" s="9">
        <v>-1500</v>
      </c>
      <c r="H9" s="9"/>
      <c r="I9" s="48"/>
      <c r="J9" s="21">
        <f t="shared" si="2"/>
        <v>11800</v>
      </c>
      <c r="K9" s="8" t="s">
        <v>206</v>
      </c>
      <c r="L9" s="9">
        <v>-1500</v>
      </c>
      <c r="M9" s="9"/>
      <c r="N9" s="48"/>
      <c r="O9" s="21">
        <f t="shared" si="3"/>
        <v>42900</v>
      </c>
      <c r="P9" s="8" t="s">
        <v>206</v>
      </c>
      <c r="Q9" s="9">
        <v>3000</v>
      </c>
      <c r="R9" s="9">
        <v>-1000</v>
      </c>
      <c r="S9" s="48"/>
      <c r="T9" s="21">
        <f t="shared" si="4"/>
        <v>49300</v>
      </c>
      <c r="U9" s="53">
        <f>IF($J9="","",ROUND(($J9-$J$3)/1000,1)+(_xlfn.RANK.AVG($J9,($J9,$O9,$T9),1)-2)*10)</f>
        <v>-33.200000000000003</v>
      </c>
      <c r="V9" s="54">
        <f>IF($O9="","",ROUND(($O9-$O$3)/1000,1)+(_xlfn.RANK.AVG($O9,($J9,$O9,$T9),1)-2)*10)</f>
        <v>7.9</v>
      </c>
      <c r="W9" s="55">
        <f>IF($T9="","",ROUND(($T9-$T$3)/1000,1)+(_xlfn.RANK.AVG($T9,($J9,$O9,$T9),1)-2)*10)</f>
        <v>24.3</v>
      </c>
      <c r="Y9" s="8" t="s">
        <v>203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202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2</v>
      </c>
      <c r="D10" s="18">
        <f t="shared" si="1"/>
        <v>1</v>
      </c>
      <c r="E10" s="4" t="str">
        <f>IF($P$1="","",$P$1)</f>
        <v>たかの</v>
      </c>
      <c r="F10" s="8" t="s">
        <v>199</v>
      </c>
      <c r="G10" s="9">
        <v>-5800</v>
      </c>
      <c r="H10" s="9"/>
      <c r="I10" s="48">
        <v>-1000</v>
      </c>
      <c r="J10" s="21">
        <f t="shared" si="2"/>
        <v>5000</v>
      </c>
      <c r="K10" s="8" t="s">
        <v>199</v>
      </c>
      <c r="L10" s="9">
        <v>-5800</v>
      </c>
      <c r="M10" s="9">
        <v>-1000</v>
      </c>
      <c r="N10" s="48">
        <v>-1000</v>
      </c>
      <c r="O10" s="21">
        <f t="shared" si="3"/>
        <v>35100</v>
      </c>
      <c r="P10" s="8" t="s">
        <v>200</v>
      </c>
      <c r="Q10" s="9">
        <v>11600</v>
      </c>
      <c r="R10" s="9">
        <v>2000</v>
      </c>
      <c r="S10" s="48">
        <v>2000</v>
      </c>
      <c r="T10" s="21">
        <f t="shared" si="4"/>
        <v>64900</v>
      </c>
      <c r="U10" s="53">
        <f>IF($J10="","",ROUND(($J10-$J$3)/1000,1)+(_xlfn.RANK.AVG($J10,($J10,$O10,$T10),1)-2)*10)</f>
        <v>-40</v>
      </c>
      <c r="V10" s="54">
        <f>IF($O10="","",ROUND(($O10-$O$3)/1000,1)+(_xlfn.RANK.AVG($O10,($J10,$O10,$T10),1)-2)*10)</f>
        <v>0.1</v>
      </c>
      <c r="W10" s="55">
        <f>IF($T10="","",ROUND(($T10-$T$3)/1000,1)+(_xlfn.RANK.AVG($T10,($J10,$O10,$T10),1)-2)*10)</f>
        <v>39.9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4</v>
      </c>
      <c r="BT10" s="30">
        <v>30</v>
      </c>
      <c r="BU10" s="40" t="s">
        <v>104</v>
      </c>
      <c r="BV10" s="41" t="s">
        <v>86</v>
      </c>
      <c r="BW10" s="41" t="s">
        <v>79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3</v>
      </c>
      <c r="D11" s="18">
        <f t="shared" si="1"/>
        <v>0</v>
      </c>
      <c r="E11" s="4" t="str">
        <f>IF($P$1="","",$P$1)</f>
        <v>たかの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233CA051-4226-4701-91C3-350AA49906AC}">
      <formula1>"れんたろう,ともき,だいち,りくと,まっつん,たかの,のり,ただ,ぱぱ,てんちゃん,いちかわ,"</formula1>
    </dataValidation>
    <dataValidation type="list" showInputMessage="1" showErrorMessage="1" sqref="K4:K30 P4:P30 F4:F30" xr:uid="{55BF2851-ADF1-48FA-B997-267C45509883}">
      <formula1>"ロン,ツモ,放銃,ツモ支払,流局,チョンボ"</formula1>
    </dataValidation>
    <dataValidation type="list" allowBlank="1" showInputMessage="1" showErrorMessage="1" sqref="E4:E30" xr:uid="{BBA4D97F-952F-45BC-A794-125C70C923F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2020-07-31T15:03:41Z</dcterms:modified>
</cp:coreProperties>
</file>