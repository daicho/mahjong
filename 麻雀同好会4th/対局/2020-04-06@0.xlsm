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503A76EF-9135-4693-9C6D-7B3623831A31}" xr6:coauthVersionLast="44" xr6:coauthVersionMax="44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2" l="1"/>
  <c r="E9" i="22"/>
  <c r="E8" i="22"/>
  <c r="D8" i="22" s="1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C10" i="22"/>
  <c r="D10" i="22"/>
  <c r="D9" i="22"/>
  <c r="C9" i="22"/>
  <c r="T6" i="22"/>
  <c r="T7" i="22" s="1"/>
  <c r="C6" i="22"/>
  <c r="D6" i="22"/>
  <c r="T5" i="22"/>
  <c r="O5" i="22"/>
  <c r="O6" i="22" s="1"/>
  <c r="B5" i="22"/>
  <c r="D5" i="22"/>
  <c r="C5" i="22"/>
  <c r="T4" i="22"/>
  <c r="O4" i="22"/>
  <c r="J4" i="22"/>
  <c r="E4" i="22"/>
  <c r="W3" i="22"/>
  <c r="V3" i="22"/>
  <c r="U3" i="22"/>
  <c r="W2" i="22"/>
  <c r="V2" i="22"/>
  <c r="U2" i="22"/>
  <c r="BO1" i="22"/>
  <c r="AT1" i="22"/>
  <c r="Y1" i="22"/>
  <c r="D14" i="21"/>
  <c r="E13" i="21"/>
  <c r="D13" i="21" s="1"/>
  <c r="E12" i="21"/>
  <c r="D12" i="21" s="1"/>
  <c r="E11" i="21"/>
  <c r="E10" i="21"/>
  <c r="E9" i="21"/>
  <c r="D9" i="21" s="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C14" i="21"/>
  <c r="T13" i="21"/>
  <c r="O13" i="21"/>
  <c r="J13" i="21"/>
  <c r="U13" i="21" s="1"/>
  <c r="T12" i="21"/>
  <c r="O12" i="21"/>
  <c r="J12" i="21"/>
  <c r="U12" i="21" s="1"/>
  <c r="B12" i="21"/>
  <c r="T11" i="21"/>
  <c r="O11" i="21"/>
  <c r="J11" i="21"/>
  <c r="D11" i="21"/>
  <c r="C11" i="21"/>
  <c r="B11" i="21"/>
  <c r="A11" i="21" s="1"/>
  <c r="C10" i="21"/>
  <c r="D8" i="21"/>
  <c r="J7" i="21"/>
  <c r="J8" i="21" s="1"/>
  <c r="D7" i="21"/>
  <c r="J6" i="21"/>
  <c r="C7" i="21"/>
  <c r="C8" i="21" s="1"/>
  <c r="T5" i="21"/>
  <c r="T6" i="21" s="1"/>
  <c r="J5" i="21"/>
  <c r="B5" i="21"/>
  <c r="D5" i="21"/>
  <c r="T4" i="2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D11" i="20"/>
  <c r="E10" i="20"/>
  <c r="D10" i="20" s="1"/>
  <c r="E9" i="20"/>
  <c r="E8" i="20"/>
  <c r="D8" i="20" s="1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C11" i="20"/>
  <c r="T7" i="20"/>
  <c r="T8" i="20" s="1"/>
  <c r="D7" i="20"/>
  <c r="T6" i="20"/>
  <c r="B6" i="20"/>
  <c r="C6" i="20"/>
  <c r="T5" i="20"/>
  <c r="O5" i="20"/>
  <c r="O6" i="20" s="1"/>
  <c r="J5" i="20"/>
  <c r="B5" i="20"/>
  <c r="D5" i="20"/>
  <c r="C5" i="20"/>
  <c r="T4" i="20"/>
  <c r="O4" i="20"/>
  <c r="V4" i="20" s="1"/>
  <c r="J4" i="20"/>
  <c r="E4" i="20"/>
  <c r="W3" i="20"/>
  <c r="V3" i="20"/>
  <c r="U3" i="20"/>
  <c r="W2" i="20"/>
  <c r="V2" i="20"/>
  <c r="U2" i="20"/>
  <c r="BO1" i="20"/>
  <c r="AT1" i="20"/>
  <c r="Y1" i="20"/>
  <c r="V4" i="22" l="1"/>
  <c r="W4" i="22"/>
  <c r="T8" i="22"/>
  <c r="O7" i="22"/>
  <c r="C8" i="22"/>
  <c r="B6" i="22"/>
  <c r="B7" i="22" s="1"/>
  <c r="C11" i="22"/>
  <c r="U4" i="22"/>
  <c r="J5" i="22"/>
  <c r="D11" i="22"/>
  <c r="C12" i="22"/>
  <c r="A5" i="22"/>
  <c r="C7" i="22"/>
  <c r="V5" i="22"/>
  <c r="D7" i="22"/>
  <c r="B14" i="21"/>
  <c r="A14" i="21" s="1"/>
  <c r="W13" i="21"/>
  <c r="V13" i="21"/>
  <c r="B13" i="21"/>
  <c r="A13" i="21" s="1"/>
  <c r="C13" i="21"/>
  <c r="V12" i="21"/>
  <c r="W12" i="21"/>
  <c r="A12" i="21"/>
  <c r="C12" i="21"/>
  <c r="W11" i="21"/>
  <c r="U11" i="21"/>
  <c r="V11" i="21"/>
  <c r="W4" i="21"/>
  <c r="C9" i="21"/>
  <c r="O6" i="21"/>
  <c r="V5" i="21"/>
  <c r="U5" i="21"/>
  <c r="T7" i="21"/>
  <c r="J9" i="21"/>
  <c r="A5" i="21"/>
  <c r="C5" i="21"/>
  <c r="C6" i="21" s="1"/>
  <c r="W5" i="21"/>
  <c r="D10" i="21"/>
  <c r="B6" i="21"/>
  <c r="B7" i="21" s="1"/>
  <c r="U4" i="21"/>
  <c r="V4" i="21"/>
  <c r="D6" i="21"/>
  <c r="W5" i="20"/>
  <c r="W4" i="20"/>
  <c r="U4" i="20"/>
  <c r="O7" i="20"/>
  <c r="A5" i="20"/>
  <c r="A6" i="20" s="1"/>
  <c r="T9" i="20"/>
  <c r="B7" i="20"/>
  <c r="D9" i="20"/>
  <c r="C12" i="20"/>
  <c r="J6" i="20"/>
  <c r="U5" i="20"/>
  <c r="C7" i="20"/>
  <c r="V5" i="20"/>
  <c r="C8" i="20"/>
  <c r="C9" i="20" s="1"/>
  <c r="C10" i="20" s="1"/>
  <c r="B8" i="22" l="1"/>
  <c r="T9" i="22"/>
  <c r="J6" i="22"/>
  <c r="U5" i="22"/>
  <c r="W5" i="22"/>
  <c r="O8" i="22"/>
  <c r="A6" i="22"/>
  <c r="A7" i="22" s="1"/>
  <c r="A6" i="21"/>
  <c r="B8" i="21"/>
  <c r="A7" i="21"/>
  <c r="O7" i="21"/>
  <c r="W7" i="21" s="1"/>
  <c r="V6" i="21"/>
  <c r="U6" i="21"/>
  <c r="J10" i="21"/>
  <c r="W6" i="21"/>
  <c r="T8" i="21"/>
  <c r="O8" i="20"/>
  <c r="A7" i="20"/>
  <c r="B8" i="20"/>
  <c r="J7" i="20"/>
  <c r="V7" i="20" s="1"/>
  <c r="U6" i="20"/>
  <c r="W6" i="20"/>
  <c r="T10" i="20"/>
  <c r="V6" i="20"/>
  <c r="T10" i="22" l="1"/>
  <c r="B9" i="22"/>
  <c r="O9" i="22"/>
  <c r="A8" i="22"/>
  <c r="A9" i="22" s="1"/>
  <c r="J7" i="22"/>
  <c r="U6" i="22"/>
  <c r="V6" i="22"/>
  <c r="W6" i="22"/>
  <c r="B9" i="21"/>
  <c r="A9" i="21" s="1"/>
  <c r="A8" i="21"/>
  <c r="T9" i="21"/>
  <c r="O8" i="21"/>
  <c r="W8" i="21" s="1"/>
  <c r="V7" i="21"/>
  <c r="U7" i="21"/>
  <c r="U7" i="20"/>
  <c r="J8" i="20"/>
  <c r="W7" i="20"/>
  <c r="B9" i="20"/>
  <c r="T11" i="20"/>
  <c r="O9" i="20"/>
  <c r="A8" i="20"/>
  <c r="T11" i="22" l="1"/>
  <c r="J8" i="22"/>
  <c r="U7" i="22"/>
  <c r="W7" i="22"/>
  <c r="V7" i="22"/>
  <c r="O10" i="22"/>
  <c r="B10" i="22"/>
  <c r="O9" i="21"/>
  <c r="W9" i="21" s="1"/>
  <c r="V8" i="21"/>
  <c r="U8" i="21"/>
  <c r="T10" i="21"/>
  <c r="B10" i="21"/>
  <c r="A10" i="21" s="1"/>
  <c r="J9" i="20"/>
  <c r="U8" i="20"/>
  <c r="W8" i="20"/>
  <c r="V8" i="20"/>
  <c r="O10" i="20"/>
  <c r="T12" i="20"/>
  <c r="B10" i="20"/>
  <c r="A10" i="20" s="1"/>
  <c r="A9" i="20"/>
  <c r="J9" i="22" l="1"/>
  <c r="U8" i="22"/>
  <c r="W8" i="22"/>
  <c r="V8" i="22"/>
  <c r="B11" i="22"/>
  <c r="A10" i="22"/>
  <c r="T12" i="22"/>
  <c r="O11" i="22"/>
  <c r="O10" i="21"/>
  <c r="V9" i="21"/>
  <c r="U9" i="21"/>
  <c r="J10" i="20"/>
  <c r="V10" i="20" s="1"/>
  <c r="U9" i="20"/>
  <c r="W9" i="20"/>
  <c r="T13" i="20"/>
  <c r="O11" i="20"/>
  <c r="V9" i="20"/>
  <c r="B11" i="20"/>
  <c r="A11" i="20" s="1"/>
  <c r="O12" i="22" l="1"/>
  <c r="J10" i="22"/>
  <c r="U9" i="22"/>
  <c r="W9" i="22"/>
  <c r="V9" i="22"/>
  <c r="T13" i="22"/>
  <c r="B12" i="22"/>
  <c r="A11" i="22"/>
  <c r="V10" i="21"/>
  <c r="U10" i="21"/>
  <c r="W10" i="21"/>
  <c r="O12" i="20"/>
  <c r="T14" i="20"/>
  <c r="A12" i="20"/>
  <c r="B12" i="20"/>
  <c r="J11" i="20"/>
  <c r="U10" i="20"/>
  <c r="W10" i="20"/>
  <c r="E14" i="19"/>
  <c r="E13" i="19"/>
  <c r="E12" i="19"/>
  <c r="E11" i="19"/>
  <c r="E10" i="19"/>
  <c r="E9" i="19"/>
  <c r="E8" i="19"/>
  <c r="E7" i="19"/>
  <c r="E6" i="19"/>
  <c r="E5" i="19"/>
  <c r="B13" i="22" l="1"/>
  <c r="A12" i="22"/>
  <c r="A13" i="22" s="1"/>
  <c r="O13" i="22"/>
  <c r="J11" i="22"/>
  <c r="U10" i="22"/>
  <c r="W10" i="22"/>
  <c r="V10" i="22"/>
  <c r="J12" i="20"/>
  <c r="U11" i="20"/>
  <c r="W11" i="20"/>
  <c r="B13" i="20"/>
  <c r="O13" i="20"/>
  <c r="V12" i="20"/>
  <c r="V11" i="20"/>
  <c r="E4" i="19"/>
  <c r="J12" i="22" l="1"/>
  <c r="U11" i="22"/>
  <c r="W11" i="22"/>
  <c r="V11" i="22"/>
  <c r="A14" i="20"/>
  <c r="B14" i="20"/>
  <c r="A13" i="20"/>
  <c r="U12" i="20"/>
  <c r="J13" i="20"/>
  <c r="W12" i="20"/>
  <c r="O14" i="20"/>
  <c r="V13" i="20"/>
  <c r="W3" i="19"/>
  <c r="V3" i="19"/>
  <c r="U3" i="19"/>
  <c r="J13" i="22" l="1"/>
  <c r="U12" i="22"/>
  <c r="W12" i="22"/>
  <c r="V12" i="22"/>
  <c r="V14" i="20"/>
  <c r="J14" i="20"/>
  <c r="U13" i="20"/>
  <c r="W13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22" l="1"/>
  <c r="W13" i="22"/>
  <c r="V13" i="22"/>
  <c r="U14" i="20"/>
  <c r="W14" i="20"/>
  <c r="W14" i="19"/>
  <c r="V14" i="19"/>
  <c r="U14" i="19"/>
  <c r="U13" i="19"/>
  <c r="V13" i="19"/>
  <c r="W13" i="19"/>
  <c r="W12" i="19"/>
  <c r="V12" i="19"/>
  <c r="V11" i="19"/>
  <c r="U11" i="19"/>
  <c r="W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<sst xmlns="http://schemas.openxmlformats.org/spreadsheetml/2006/main" count="864" uniqueCount="208">
  <si>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</si>
  <si>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</si>
  <si>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</si>
  <si>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</si>
  <si>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</si>
  <si>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</si>
  <si>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</si>
  <si>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</si>
  <si>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</si>
  <si>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</si>
  <si>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</si>
  <si>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</si>
  <si>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</si>
  <si>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</si>
  <si>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</si>
  <si>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</si>
  <si>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</si>
  <si>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</si>
  <si>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</si>
  <si>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</si>
  <si>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</si>
  <si>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</si>
  <si>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</si>
  <si>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</si>
  <si>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</si>
  <si>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</si>
  <si>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</si>
  <si>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</si>
  <si>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</si>
  <si>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</si>
  <si>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</si>
  <si>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</si>
  <si>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</si>
  <si>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</si>
  <si>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</si>
  <si>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</si>
  <si>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</si>
  <si>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</si>
  <si>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</si>
  <si>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</si>
  <si>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</si>
  <si>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</si>
  <si>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</si>
  <si>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</si>
  <si>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</si>
  <si>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</si>
  <si>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</si>
  <si>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</si>
  <si>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</si>
  <si>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</si>
  <si>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</si>
  <si>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</si>
  <si>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</si>
  <si>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</si>
  <si>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</si>
  <si>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</si>
  <si>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</si>
  <si>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</si>
  <si>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</si>
  <si>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</si>
  <si>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</si>
  <si>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</si>
  <si>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</si>
  <si>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</si>
  <si>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</si>
  <si>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</si>
  <si>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</si>
  <si>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</si>
  <si>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</si>
  <si>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</si>
  <si>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</si>
  <si>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</si>
  <si>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</si>
  <si>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</si>
  <si>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</si>
  <si>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</si>
  <si>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</si>
  <si>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</si>
  <si>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</si>
  <si>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</si>
  <si>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</si>
  <si>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</si>
  <si>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</si>
  <si>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</si>
  <si>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</si>
  <si>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</si>
  <si>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</si>
  <si>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</si>
  <si>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</si>
  <si>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</si>
  <si>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</si>
  <si>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</si>
  <si>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</si>
  <si>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</si>
  <si>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</si>
  <si>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</si>
  <si>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</si>
  <si>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</si>
  <si>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</si>
  <si>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</si>
  <si>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</si>
  <si>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</si>
  <si>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</si>
  <si>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</si>
  <si>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</si>
  <si>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</si>
  <si>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</si>
  <si>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</si>
  <si>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</si>
  <si>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</si>
  <si>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</si>
  <si>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</si>
  <si>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</si>
  <si>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</si>
  <si>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</si>
  <si>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</si>
  <si>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</si>
  <si>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</si>
  <si>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</si>
  <si>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</si>
  <si>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</si>
  <si>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</si>
  <si>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</si>
  <si>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</si>
  <si>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</si>
  <si>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</si>
  <si>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</si>
  <si>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</si>
  <si>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</si>
  <si>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</si>
  <si>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</si>
  <si>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</si>
  <si>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</si>
  <si>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</si>
  <si>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</si>
  <si>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</si>
  <si>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</si>
  <si>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</si>
  <si>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</si>
  <si>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</si>
  <si>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</si>
  <si>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</si>
  <si>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</si>
  <si>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</si>
  <si>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</si>
  <si>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</si>
  <si>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</si>
  <si>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</si>
  <si>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</si>
  <si>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</si>
  <si>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</si>
  <si>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</si>
  <si>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</si>
  <si>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</si>
  <si>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</si>
  <si>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</si>
  <si>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</si>
  <si>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</si>
  <si>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</si>
  <si>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</si>
  <si>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</si>
  <si>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</si>
  <si>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</si>
  <si>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</si>
  <si>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</si>
  <si>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</si>
  <si>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</si>
  <si>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</si>
  <si>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</si>
  <si>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</si>
  <si>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</si>
  <si>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</si>
  <si>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</si>
  <si>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</si>
  <si>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</si>
  <si>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</si>
  <si>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</si>
  <si>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</si>
  <si>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</si>
  <si>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</si>
  <si>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</si>
  <si>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</si>
  <si>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</si>
  <si>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</si>
  <si>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</si>
  <si>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</si>
  <si>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</si>
  <si>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</si>
  <si>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</si>
  <si>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</si>
  <si>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</si>
  <si>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  <phoneticPr fontId="1"/>
  </si>
  <si>
    <t>れんたろう</t>
    <phoneticPr fontId="1"/>
  </si>
  <si>
    <t>まっつん</t>
    <phoneticPr fontId="1"/>
  </si>
  <si>
    <t>ロン</t>
  </si>
  <si>
    <t>放銃</t>
  </si>
  <si>
    <t>*</t>
  </si>
  <si>
    <t>N</t>
  </si>
  <si>
    <t>T</t>
  </si>
  <si>
    <t>流局</t>
    <phoneticPr fontId="1"/>
  </si>
  <si>
    <t>01</t>
  </si>
  <si>
    <t>ツモ</t>
  </si>
  <si>
    <t>ツモ支払</t>
  </si>
  <si>
    <t>52</t>
  </si>
  <si>
    <t>だいち</t>
    <phoneticPr fontId="1"/>
  </si>
  <si>
    <t>流局</t>
    <phoneticPr fontId="1"/>
  </si>
  <si>
    <t>りくと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</si>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</sst>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194</v>
      </c>
      <c r="L4" s="9">
        <v>32000</v>
      </c>
      <c r="M4" s="9">
        <v>2000</v>
      </c>
      <c r="N4" s="48">
        <v>0</v>
      </c>
      <c r="O4" s="21">
        <f>IF(COUNTA($F4,$K4,$P4)&gt;0,O3+SUM(L4:N4),"")</f>
        <v>69000</v>
      </c>
      <c r="P4" s="8" t="s">
        <v>195</v>
      </c>
      <c r="Q4" s="9">
        <v>-32000</v>
      </c>
      <c r="R4" s="9">
        <v>-1000</v>
      </c>
      <c r="S4" s="48">
        <v>0</v>
      </c>
      <c r="T4" s="21">
        <f>IF(COUNTA($F4,$K4,$P4)&gt;0,T3+SUM(Q4:S4),"")</f>
        <v>2000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44</v>
      </c>
      <c r="W4" s="55">
        <f>IF($T4="","",ROUND(($T4-$T$3)/1000,1)+(_xlfn.RANK.AVG($T4,($J4,$O4,$T4),1)-2)*10)</f>
        <v>-43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13</v>
      </c>
      <c r="AY4" s="30" t="s">
        <v>196</v>
      </c>
      <c r="AZ4" s="40" t="s">
        <v>107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199</v>
      </c>
      <c r="G5" s="9">
        <v>-1500</v>
      </c>
      <c r="H5" s="9"/>
      <c r="I5" s="48"/>
      <c r="J5" s="21">
        <f t="shared" ref="J5:J30" si="2">IF(COUNTA($F5,$K5,$P5)&gt;0,J4+SUM(G5:I5),"")</f>
        <v>32500</v>
      </c>
      <c r="K5" s="8" t="s">
        <v>199</v>
      </c>
      <c r="L5" s="9">
        <v>-1500</v>
      </c>
      <c r="M5" s="9"/>
      <c r="N5" s="48"/>
      <c r="O5" s="21">
        <f t="shared" ref="O5:O30" si="3">IF(COUNTA($F5,$K5,$P5)&gt;0,O4+SUM(L5:N5),"")</f>
        <v>67500</v>
      </c>
      <c r="P5" s="8" t="s">
        <v>199</v>
      </c>
      <c r="Q5" s="9">
        <v>3000</v>
      </c>
      <c r="R5" s="9">
        <v>-1000</v>
      </c>
      <c r="S5" s="48"/>
      <c r="T5" s="21">
        <f t="shared" ref="T5:T30" si="4">IF(COUNTA($F5,$K5,$P5)&gt;0,T4+SUM(Q5:S5),"")</f>
        <v>4000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42.5</v>
      </c>
      <c r="W5" s="55">
        <f>IF($T5="","",ROUND(($T5-$T$3)/1000,1)+(_xlfn.RANK.AVG($T5,($J5,$O5,$T5),1)-2)*10)</f>
        <v>-41</v>
      </c>
      <c r="Y5" s="8" t="s">
        <v>197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IF($P$1="","",$P$1)</f>
        <v>まっつん</v>
      </c>
      <c r="F6" s="8"/>
      <c r="G6" s="9"/>
      <c r="H6" s="9">
        <v>-1000</v>
      </c>
      <c r="I6" s="48"/>
      <c r="J6" s="21">
        <f t="shared" si="2"/>
        <v>31500</v>
      </c>
      <c r="K6" s="8" t="s">
        <v>195</v>
      </c>
      <c r="L6" s="9">
        <v>-5800</v>
      </c>
      <c r="M6" s="9"/>
      <c r="N6" s="48">
        <v>-1000</v>
      </c>
      <c r="O6" s="21">
        <f t="shared" si="3"/>
        <v>60700</v>
      </c>
      <c r="P6" s="8" t="s">
        <v>194</v>
      </c>
      <c r="Q6" s="9">
        <v>5800</v>
      </c>
      <c r="R6" s="9">
        <v>2000</v>
      </c>
      <c r="S6" s="48">
        <v>1000</v>
      </c>
      <c r="T6" s="21">
        <f t="shared" si="4"/>
        <v>12800</v>
      </c>
      <c r="U6" s="53">
        <f>IF($J6="","",ROUND(($J6-$J$3)/1000,1)+(_xlfn.RANK.AVG($J6,($J6,$O6,$T6),1)-2)*10)</f>
        <v>-3.5</v>
      </c>
      <c r="V6" s="54">
        <f>IF($O6="","",ROUND(($O6-$O$3)/1000,1)+(_xlfn.RANK.AVG($O6,($J6,$O6,$T6),1)-2)*10)</f>
        <v>35.700000000000003</v>
      </c>
      <c r="W6" s="55">
        <f>IF($T6="","",ROUND(($T6-$T$3)/1000,1)+(_xlfn.RANK.AVG($T6,($J6,$O6,$T6),1)-2)*10)</f>
        <v>-32.200000000000003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86</v>
      </c>
      <c r="BW6" s="41" t="s">
        <v>93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IF($P$1="","",$P$1)</f>
        <v>まっつん</v>
      </c>
      <c r="F7" s="8"/>
      <c r="G7" s="9"/>
      <c r="H7" s="9"/>
      <c r="I7" s="48"/>
      <c r="J7" s="21">
        <f t="shared" si="2"/>
        <v>31500</v>
      </c>
      <c r="K7" s="8" t="s">
        <v>195</v>
      </c>
      <c r="L7" s="9">
        <v>-12000</v>
      </c>
      <c r="M7" s="9">
        <v>-1000</v>
      </c>
      <c r="N7" s="48">
        <v>-2000</v>
      </c>
      <c r="O7" s="21">
        <f t="shared" si="3"/>
        <v>45700</v>
      </c>
      <c r="P7" s="8" t="s">
        <v>194</v>
      </c>
      <c r="Q7" s="9">
        <v>12000</v>
      </c>
      <c r="R7" s="9">
        <v>1000</v>
      </c>
      <c r="S7" s="48">
        <v>2000</v>
      </c>
      <c r="T7" s="21">
        <f t="shared" si="4"/>
        <v>27800</v>
      </c>
      <c r="U7" s="53">
        <f>IF($J7="","",ROUND(($J7-$J$3)/1000,1)+(_xlfn.RANK.AVG($J7,($J7,$O7,$T7),1)-2)*10)</f>
        <v>-3.5</v>
      </c>
      <c r="V7" s="54">
        <f>IF($O7="","",ROUND(($O7-$O$3)/1000,1)+(_xlfn.RANK.AVG($O7,($J7,$O7,$T7),1)-2)*10)</f>
        <v>20.7</v>
      </c>
      <c r="W7" s="55">
        <f>IF($T7="","",ROUND(($T7-$T$3)/1000,1)+(_xlfn.RANK.AVG($T7,($J7,$O7,$T7),1)-2)*10)</f>
        <v>-17.2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196</v>
      </c>
      <c r="BU7" s="40" t="s">
        <v>86</v>
      </c>
      <c r="BV7" s="41" t="s">
        <v>86</v>
      </c>
      <c r="BW7" s="41" t="s">
        <v>79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tr">
        <f>IF($P$1="","",$P$1)</f>
        <v>まっつん</v>
      </c>
      <c r="F8" s="8"/>
      <c r="G8" s="9"/>
      <c r="H8" s="9"/>
      <c r="I8" s="48"/>
      <c r="J8" s="21">
        <f t="shared" si="2"/>
        <v>31500</v>
      </c>
      <c r="K8" s="8" t="s">
        <v>195</v>
      </c>
      <c r="L8" s="9">
        <v>-1500</v>
      </c>
      <c r="M8" s="9"/>
      <c r="N8" s="48">
        <v>-3000</v>
      </c>
      <c r="O8" s="21">
        <f t="shared" si="3"/>
        <v>41200</v>
      </c>
      <c r="P8" s="8" t="s">
        <v>194</v>
      </c>
      <c r="Q8" s="9">
        <v>1500</v>
      </c>
      <c r="R8" s="9"/>
      <c r="S8" s="48">
        <v>3000</v>
      </c>
      <c r="T8" s="21">
        <f t="shared" si="4"/>
        <v>32300</v>
      </c>
      <c r="U8" s="53">
        <f>IF($J8="","",ROUND(($J8-$J$3)/1000,1)+(_xlfn.RANK.AVG($J8,($J8,$O8,$T8),1)-2)*10)</f>
        <v>-13.5</v>
      </c>
      <c r="V8" s="54">
        <f>IF($O8="","",ROUND(($O8-$O$3)/1000,1)+(_xlfn.RANK.AVG($O8,($J8,$O8,$T8),1)-2)*10)</f>
        <v>16.2</v>
      </c>
      <c r="W8" s="55">
        <f>IF($T8="","",ROUND(($T8-$T$3)/1000,1)+(_xlfn.RANK.AVG($T8,($J8,$O8,$T8),1)-2)*10)</f>
        <v>-2.7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tr">
        <f>IF($P$1="","",$P$1)</f>
        <v>まっつん</v>
      </c>
      <c r="F9" s="8"/>
      <c r="G9" s="9"/>
      <c r="H9" s="9"/>
      <c r="I9" s="48"/>
      <c r="J9" s="21">
        <f t="shared" si="2"/>
        <v>31500</v>
      </c>
      <c r="K9" s="8" t="s">
        <v>195</v>
      </c>
      <c r="L9" s="9">
        <v>-3900</v>
      </c>
      <c r="M9" s="9"/>
      <c r="N9" s="48">
        <v>-4000</v>
      </c>
      <c r="O9" s="21">
        <f t="shared" si="3"/>
        <v>33300</v>
      </c>
      <c r="P9" s="8" t="s">
        <v>194</v>
      </c>
      <c r="Q9" s="9">
        <v>3900</v>
      </c>
      <c r="R9" s="9"/>
      <c r="S9" s="48">
        <v>4000</v>
      </c>
      <c r="T9" s="21">
        <f t="shared" si="4"/>
        <v>40200</v>
      </c>
      <c r="U9" s="53">
        <f>IF($J9="","",ROUND(($J9-$J$3)/1000,1)+(_xlfn.RANK.AVG($J9,($J9,$O9,$T9),1)-2)*10)</f>
        <v>-13.5</v>
      </c>
      <c r="V9" s="54">
        <f>IF($O9="","",ROUND(($O9-$O$3)/1000,1)+(_xlfn.RANK.AVG($O9,($J9,$O9,$T9),1)-2)*10)</f>
        <v>-1.7</v>
      </c>
      <c r="W9" s="55">
        <f>IF($T9="","",ROUND(($T9-$T$3)/1000,1)+(_xlfn.RANK.AVG($T9,($J9,$O9,$T9),1)-2)*10)</f>
        <v>15.2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200</v>
      </c>
      <c r="BV9" s="41" t="s">
        <v>80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tr">
        <f>IF($P$1="","",$P$1)</f>
        <v>まっつん</v>
      </c>
      <c r="F10" s="8" t="s">
        <v>195</v>
      </c>
      <c r="G10" s="9">
        <v>-1600</v>
      </c>
      <c r="H10" s="9"/>
      <c r="I10" s="48">
        <v>-5000</v>
      </c>
      <c r="J10" s="21">
        <f t="shared" si="2"/>
        <v>24900</v>
      </c>
      <c r="K10" s="8" t="s">
        <v>194</v>
      </c>
      <c r="L10" s="9">
        <v>1600</v>
      </c>
      <c r="M10" s="9"/>
      <c r="N10" s="48">
        <v>5000</v>
      </c>
      <c r="O10" s="21">
        <f t="shared" si="3"/>
        <v>39900</v>
      </c>
      <c r="P10" s="8"/>
      <c r="Q10" s="9"/>
      <c r="R10" s="9"/>
      <c r="S10" s="48"/>
      <c r="T10" s="21">
        <f t="shared" si="4"/>
        <v>40200</v>
      </c>
      <c r="U10" s="53">
        <f>IF($J10="","",ROUND(($J10-$J$3)/1000,1)+(_xlfn.RANK.AVG($J10,($J10,$O10,$T10),1)-2)*10)</f>
        <v>-20.100000000000001</v>
      </c>
      <c r="V10" s="54">
        <f>IF($O10="","",ROUND(($O10-$O$3)/1000,1)+(_xlfn.RANK.AVG($O10,($J10,$O10,$T10),1)-2)*10)</f>
        <v>4.9000000000000004</v>
      </c>
      <c r="W10" s="55">
        <f>IF($T10="","",ROUND(($T10-$T$3)/1000,1)+(_xlfn.RANK.AVG($T10,($J10,$O10,$T10),1)-2)*10)</f>
        <v>15.2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25</v>
      </c>
      <c r="AZ10" s="40" t="s">
        <v>101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たかの</v>
      </c>
      <c r="F11" s="8" t="s">
        <v>201</v>
      </c>
      <c r="G11" s="9">
        <v>12000</v>
      </c>
      <c r="H11" s="9"/>
      <c r="I11" s="48">
        <v>0</v>
      </c>
      <c r="J11" s="21">
        <f t="shared" si="2"/>
        <v>36900</v>
      </c>
      <c r="K11" s="8" t="s">
        <v>202</v>
      </c>
      <c r="L11" s="9">
        <v>-6000</v>
      </c>
      <c r="M11" s="9"/>
      <c r="N11" s="48">
        <v>0</v>
      </c>
      <c r="O11" s="21">
        <f t="shared" si="3"/>
        <v>33900</v>
      </c>
      <c r="P11" s="8" t="s">
        <v>202</v>
      </c>
      <c r="Q11" s="9">
        <v>-6000</v>
      </c>
      <c r="R11" s="9"/>
      <c r="S11" s="48">
        <v>0</v>
      </c>
      <c r="T11" s="21">
        <f t="shared" si="4"/>
        <v>34200</v>
      </c>
      <c r="U11" s="53">
        <f>IF($J11="","",ROUND(($J11-$J$3)/1000,1)+(_xlfn.RANK.AVG($J11,($J11,$O11,$T11),1)-2)*10)</f>
        <v>11.9</v>
      </c>
      <c r="V11" s="54">
        <f>IF($O11="","",ROUND(($O11-$O$3)/1000,1)+(_xlfn.RANK.AVG($O11,($J11,$O11,$T11),1)-2)*10)</f>
        <v>-11.1</v>
      </c>
      <c r="W11" s="55">
        <f>IF($T11="","",ROUND(($T11-$T$3)/1000,1)+(_xlfn.RANK.AVG($T11,($J11,$O11,$T11),1)-2)*10)</f>
        <v>-0.8</v>
      </c>
      <c r="Y11" s="8"/>
      <c r="Z11" s="34"/>
      <c r="AA11" s="26"/>
      <c r="AB11" s="26">
        <v>1</v>
      </c>
      <c r="AC11" s="26">
        <v>5</v>
      </c>
      <c r="AD11" s="30" t="s">
        <v>196</v>
      </c>
      <c r="AE11" s="40" t="s">
        <v>98</v>
      </c>
      <c r="AF11" s="41" t="s">
        <v>86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IF($F$1="","",$F$1)</f>
        <v>たかの</v>
      </c>
      <c r="F12" s="8"/>
      <c r="G12" s="9"/>
      <c r="H12" s="9"/>
      <c r="I12" s="48"/>
      <c r="J12" s="21">
        <f t="shared" si="2"/>
        <v>36900</v>
      </c>
      <c r="K12" s="8" t="s">
        <v>195</v>
      </c>
      <c r="L12" s="9">
        <v>-5200</v>
      </c>
      <c r="M12" s="9"/>
      <c r="N12" s="48">
        <v>-1000</v>
      </c>
      <c r="O12" s="21">
        <f t="shared" si="3"/>
        <v>27700</v>
      </c>
      <c r="P12" s="8" t="s">
        <v>194</v>
      </c>
      <c r="Q12" s="9">
        <v>5200</v>
      </c>
      <c r="R12" s="9"/>
      <c r="S12" s="48">
        <v>1000</v>
      </c>
      <c r="T12" s="21">
        <f t="shared" si="4"/>
        <v>40400</v>
      </c>
      <c r="U12" s="53">
        <f>IF($J12="","",ROUND(($J12-$J$3)/1000,1)+(_xlfn.RANK.AVG($J12,($J12,$O12,$T12),1)-2)*10)</f>
        <v>1.9</v>
      </c>
      <c r="V12" s="54">
        <f>IF($O12="","",ROUND(($O12-$O$3)/1000,1)+(_xlfn.RANK.AVG($O12,($J12,$O12,$T12),1)-2)*10)</f>
        <v>-17.3</v>
      </c>
      <c r="W12" s="55">
        <f>IF($T12="","",ROUND(($T12-$T$3)/1000,1)+(_xlfn.RANK.AVG($T12,($J12,$O12,$T12),1)-2)*10)</f>
        <v>15.4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40</v>
      </c>
      <c r="BU12" s="40" t="s">
        <v>86</v>
      </c>
      <c r="BV12" s="41" t="s">
        <v>203</v>
      </c>
      <c r="BW12" s="41" t="s">
        <v>203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れんたろう</v>
      </c>
      <c r="F13" s="8" t="s">
        <v>194</v>
      </c>
      <c r="G13" s="9">
        <v>8000</v>
      </c>
      <c r="H13" s="9"/>
      <c r="I13" s="48">
        <v>0</v>
      </c>
      <c r="J13" s="21">
        <f t="shared" si="2"/>
        <v>44900</v>
      </c>
      <c r="K13" s="8" t="s">
        <v>195</v>
      </c>
      <c r="L13" s="9">
        <v>-8000</v>
      </c>
      <c r="M13" s="9"/>
      <c r="N13" s="48">
        <v>0</v>
      </c>
      <c r="O13" s="21">
        <f t="shared" si="3"/>
        <v>19700</v>
      </c>
      <c r="P13" s="8"/>
      <c r="Q13" s="9"/>
      <c r="R13" s="9"/>
      <c r="S13" s="48"/>
      <c r="T13" s="21">
        <f t="shared" si="4"/>
        <v>40400</v>
      </c>
      <c r="U13" s="53">
        <f>IF($J13="","",ROUND(($J13-$J$3)/1000,1)+(_xlfn.RANK.AVG($J13,($J13,$O13,$T13),1)-2)*10)</f>
        <v>19.899999999999999</v>
      </c>
      <c r="V13" s="54">
        <f>IF($O13="","",ROUND(($O13-$O$3)/1000,1)+(_xlfn.RANK.AVG($O13,($J13,$O13,$T13),1)-2)*10)</f>
        <v>-25.3</v>
      </c>
      <c r="W13" s="55">
        <f>IF($T13="","",ROUND(($T13-$T$3)/1000,1)+(_xlfn.RANK.AVG($T13,($J13,$O13,$T13),1)-2)*10)</f>
        <v>5.4</v>
      </c>
      <c r="Y13" s="8"/>
      <c r="Z13" s="34"/>
      <c r="AA13" s="26"/>
      <c r="AB13" s="26"/>
      <c r="AC13" s="26">
        <v>5</v>
      </c>
      <c r="AD13" s="30" t="s">
        <v>196</v>
      </c>
      <c r="AE13" s="40" t="s">
        <v>104</v>
      </c>
      <c r="AF13" s="41" t="s">
        <v>86</v>
      </c>
      <c r="AG13" s="41" t="s">
        <v>86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まっつん</v>
      </c>
      <c r="F14" s="8" t="s">
        <v>194</v>
      </c>
      <c r="G14" s="9">
        <v>1600</v>
      </c>
      <c r="H14" s="9"/>
      <c r="I14" s="48">
        <v>0</v>
      </c>
      <c r="J14" s="21">
        <f t="shared" si="2"/>
        <v>46500</v>
      </c>
      <c r="K14" s="8" t="s">
        <v>195</v>
      </c>
      <c r="L14" s="9">
        <v>-1600</v>
      </c>
      <c r="M14" s="9"/>
      <c r="N14" s="48">
        <v>0</v>
      </c>
      <c r="O14" s="21">
        <f t="shared" si="3"/>
        <v>18100</v>
      </c>
      <c r="P14" s="8"/>
      <c r="Q14" s="9"/>
      <c r="R14" s="9"/>
      <c r="S14" s="48"/>
      <c r="T14" s="21">
        <f t="shared" si="4"/>
        <v>40400</v>
      </c>
      <c r="U14" s="53">
        <f>IF($J14="","",ROUND(($J14-$J$3)/1000,1)+(_xlfn.RANK.AVG($J14,($J14,$O14,$T14),1)-2)*10)</f>
        <v>21.5</v>
      </c>
      <c r="V14" s="54">
        <f>IF($O14="","",ROUND(($O14-$O$3)/1000,1)+(_xlfn.RANK.AVG($O14,($J14,$O14,$T14),1)-2)*10)</f>
        <v>-26.9</v>
      </c>
      <c r="W14" s="55">
        <f>IF($T14="","",ROUND(($T14-$T$3)/1000,1)+(_xlfn.RANK.AVG($T14,($J14,$O14,$T14),1)-2)*10)</f>
        <v>5.4</v>
      </c>
      <c r="Y14" s="8"/>
      <c r="Z14" s="34"/>
      <c r="AA14" s="26"/>
      <c r="AB14" s="26"/>
      <c r="AC14" s="26">
        <v>1</v>
      </c>
      <c r="AD14" s="30">
        <v>50</v>
      </c>
      <c r="AE14" s="40" t="s">
        <v>86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3347BC9-965A-49C6-9DCA-A36A1E459BCC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61381-1D91-4E78-B631-DAA4384D700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204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195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194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203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202</v>
      </c>
      <c r="G5" s="9">
        <v>-24000</v>
      </c>
      <c r="H5" s="9"/>
      <c r="I5" s="48">
        <v>0</v>
      </c>
      <c r="J5" s="21">
        <f t="shared" ref="J5:J30" si="2">IF(COUNTA($F5,$K5,$P5)&gt;0,J4+SUM(G5:I5),"")</f>
        <v>9000</v>
      </c>
      <c r="K5" s="8" t="s">
        <v>201</v>
      </c>
      <c r="L5" s="9">
        <v>48000</v>
      </c>
      <c r="M5" s="9">
        <v>1000</v>
      </c>
      <c r="N5" s="48">
        <v>0</v>
      </c>
      <c r="O5" s="21">
        <f t="shared" ref="O5:O30" si="3">IF(COUNTA($F5,$K5,$P5)&gt;0,O4+SUM(L5:N5),"")</f>
        <v>86000</v>
      </c>
      <c r="P5" s="8" t="s">
        <v>202</v>
      </c>
      <c r="Q5" s="9">
        <v>-24000</v>
      </c>
      <c r="R5" s="9">
        <v>-1000</v>
      </c>
      <c r="S5" s="48">
        <v>0</v>
      </c>
      <c r="T5" s="21">
        <f t="shared" ref="T5:T30" si="4">IF(COUNTA($F5,$K5,$P5)&gt;0,T4+SUM(Q5:S5),"")</f>
        <v>10000</v>
      </c>
      <c r="U5" s="53">
        <f>IF($J5="","",ROUND(($J5-$J$3)/1000,1)+(_xlfn.RANK.AVG($J5,($J5,$O5,$T5),1)-2)*10)</f>
        <v>-36</v>
      </c>
      <c r="V5" s="54">
        <f>IF($O5="","",ROUND(($O5-$O$3)/1000,1)+(_xlfn.RANK.AVG($O5,($J5,$O5,$T5),1)-2)*10)</f>
        <v>61</v>
      </c>
      <c r="W5" s="55">
        <f>IF($T5="","",ROUND(($T5-$T$3)/1000,1)+(_xlfn.RANK.AVG($T5,($J5,$O5,$T5),1)-2)*10)</f>
        <v>-25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13</v>
      </c>
      <c r="AY5" s="30" t="s">
        <v>196</v>
      </c>
      <c r="AZ5" s="40" t="s">
        <v>107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195</v>
      </c>
      <c r="G6" s="9">
        <v>-1300</v>
      </c>
      <c r="H6" s="9"/>
      <c r="I6" s="48">
        <v>-1000</v>
      </c>
      <c r="J6" s="21">
        <f t="shared" si="2"/>
        <v>6700</v>
      </c>
      <c r="K6" s="8"/>
      <c r="L6" s="9"/>
      <c r="M6" s="9">
        <v>-1000</v>
      </c>
      <c r="N6" s="48"/>
      <c r="O6" s="21">
        <f t="shared" si="3"/>
        <v>85000</v>
      </c>
      <c r="P6" s="8" t="s">
        <v>194</v>
      </c>
      <c r="Q6" s="9">
        <v>1300</v>
      </c>
      <c r="R6" s="9">
        <v>1000</v>
      </c>
      <c r="S6" s="48">
        <v>1000</v>
      </c>
      <c r="T6" s="21">
        <f t="shared" si="4"/>
        <v>13300</v>
      </c>
      <c r="U6" s="53">
        <f>IF($J6="","",ROUND(($J6-$J$3)/1000,1)+(_xlfn.RANK.AVG($J6,($J6,$O6,$T6),1)-2)*10)</f>
        <v>-38.299999999999997</v>
      </c>
      <c r="V6" s="54">
        <f>IF($O6="","",ROUND(($O6-$O$3)/1000,1)+(_xlfn.RANK.AVG($O6,($J6,$O6,$T6),1)-2)*10)</f>
        <v>60</v>
      </c>
      <c r="W6" s="55">
        <f>IF($T6="","",ROUND(($T6-$T$3)/1000,1)+(_xlfn.RANK.AVG($T6,($J6,$O6,$T6),1)-2)*10)</f>
        <v>-21.7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200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まっつん</v>
      </c>
      <c r="F7" s="8" t="s">
        <v>205</v>
      </c>
      <c r="G7" s="9">
        <v>1500</v>
      </c>
      <c r="H7" s="9"/>
      <c r="I7" s="48"/>
      <c r="J7" s="21">
        <f t="shared" si="2"/>
        <v>8200</v>
      </c>
      <c r="K7" s="8" t="s">
        <v>205</v>
      </c>
      <c r="L7" s="9">
        <v>-3000</v>
      </c>
      <c r="M7" s="9"/>
      <c r="N7" s="48"/>
      <c r="O7" s="21">
        <f t="shared" si="3"/>
        <v>82000</v>
      </c>
      <c r="P7" s="8" t="s">
        <v>205</v>
      </c>
      <c r="Q7" s="9">
        <v>1500</v>
      </c>
      <c r="R7" s="9"/>
      <c r="S7" s="48"/>
      <c r="T7" s="21">
        <f t="shared" si="4"/>
        <v>14800</v>
      </c>
      <c r="U7" s="53">
        <f>IF($J7="","",ROUND(($J7-$J$3)/1000,1)+(_xlfn.RANK.AVG($J7,($J7,$O7,$T7),1)-2)*10)</f>
        <v>-36.799999999999997</v>
      </c>
      <c r="V7" s="54">
        <f>IF($O7="","",ROUND(($O7-$O$3)/1000,1)+(_xlfn.RANK.AVG($O7,($J7,$O7,$T7),1)-2)*10)</f>
        <v>57</v>
      </c>
      <c r="W7" s="55">
        <f>IF($T7="","",ROUND(($T7-$T$3)/1000,1)+(_xlfn.RANK.AVG($T7,($J7,$O7,$T7),1)-2)*10)</f>
        <v>-20.2</v>
      </c>
      <c r="Y7" s="8" t="s">
        <v>198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198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まっつん</v>
      </c>
      <c r="F8" s="8" t="s">
        <v>205</v>
      </c>
      <c r="G8" s="9">
        <v>1500</v>
      </c>
      <c r="H8" s="9"/>
      <c r="I8" s="48"/>
      <c r="J8" s="21">
        <f t="shared" si="2"/>
        <v>9700</v>
      </c>
      <c r="K8" s="8" t="s">
        <v>205</v>
      </c>
      <c r="L8" s="9">
        <v>-3000</v>
      </c>
      <c r="M8" s="9"/>
      <c r="N8" s="48"/>
      <c r="O8" s="21">
        <f t="shared" si="3"/>
        <v>79000</v>
      </c>
      <c r="P8" s="8" t="s">
        <v>205</v>
      </c>
      <c r="Q8" s="9">
        <v>1500</v>
      </c>
      <c r="R8" s="9">
        <v>-1000</v>
      </c>
      <c r="S8" s="48"/>
      <c r="T8" s="21">
        <f t="shared" si="4"/>
        <v>15300</v>
      </c>
      <c r="U8" s="53">
        <f>IF($J8="","",ROUND(($J8-$J$3)/1000,1)+(_xlfn.RANK.AVG($J8,($J8,$O8,$T8),1)-2)*10)</f>
        <v>-35.299999999999997</v>
      </c>
      <c r="V8" s="54">
        <f>IF($O8="","",ROUND(($O8-$O$3)/1000,1)+(_xlfn.RANK.AVG($O8,($J8,$O8,$T8),1)-2)*10)</f>
        <v>54</v>
      </c>
      <c r="W8" s="55">
        <f>IF($T8="","",ROUND(($T8-$T$3)/1000,1)+(_xlfn.RANK.AVG($T8,($J8,$O8,$T8),1)-2)*10)</f>
        <v>-19.7</v>
      </c>
      <c r="Y8" s="8" t="s">
        <v>198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197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198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tr">
        <f>IF($P$1="","",$P$1)</f>
        <v>まっつん</v>
      </c>
      <c r="F9" s="8" t="s">
        <v>202</v>
      </c>
      <c r="G9" s="9">
        <v>-4500</v>
      </c>
      <c r="H9" s="9"/>
      <c r="I9" s="48">
        <v>-1000</v>
      </c>
      <c r="J9" s="21">
        <f t="shared" si="2"/>
        <v>4200</v>
      </c>
      <c r="K9" s="8" t="s">
        <v>201</v>
      </c>
      <c r="L9" s="9">
        <v>12000</v>
      </c>
      <c r="M9" s="9">
        <v>1000</v>
      </c>
      <c r="N9" s="48">
        <v>2000</v>
      </c>
      <c r="O9" s="21">
        <f t="shared" si="3"/>
        <v>94000</v>
      </c>
      <c r="P9" s="8" t="s">
        <v>202</v>
      </c>
      <c r="Q9" s="9">
        <v>-7500</v>
      </c>
      <c r="R9" s="9"/>
      <c r="S9" s="48">
        <v>-1000</v>
      </c>
      <c r="T9" s="21">
        <f t="shared" si="4"/>
        <v>6800</v>
      </c>
      <c r="U9" s="53">
        <f>IF($J9="","",ROUND(($J9-$J$3)/1000,1)+(_xlfn.RANK.AVG($J9,($J9,$O9,$T9),1)-2)*10)</f>
        <v>-40.799999999999997</v>
      </c>
      <c r="V9" s="54">
        <f>IF($O9="","",ROUND(($O9-$O$3)/1000,1)+(_xlfn.RANK.AVG($O9,($J9,$O9,$T9),1)-2)*10)</f>
        <v>69</v>
      </c>
      <c r="W9" s="55">
        <f>IF($T9="","",ROUND(($T9-$T$3)/1000,1)+(_xlfn.RANK.AVG($T9,($J9,$O9,$T9),1)-2)*10)</f>
        <v>-28.2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196</v>
      </c>
      <c r="AZ9" s="40" t="s">
        <v>104</v>
      </c>
      <c r="BA9" s="41" t="s">
        <v>98</v>
      </c>
      <c r="BB9" s="41" t="s">
        <v>86</v>
      </c>
      <c r="BC9" s="41" t="s">
        <v>86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たかの</v>
      </c>
      <c r="F10" s="8" t="s">
        <v>202</v>
      </c>
      <c r="G10" s="9">
        <v>-4800</v>
      </c>
      <c r="H10" s="9">
        <v>-1000</v>
      </c>
      <c r="I10" s="48">
        <v>0</v>
      </c>
      <c r="J10" s="21">
        <f t="shared" si="2"/>
        <v>-1600</v>
      </c>
      <c r="K10" s="8" t="s">
        <v>201</v>
      </c>
      <c r="L10" s="9">
        <v>7700</v>
      </c>
      <c r="M10" s="9">
        <v>1000</v>
      </c>
      <c r="N10" s="48">
        <v>0</v>
      </c>
      <c r="O10" s="21">
        <f t="shared" si="3"/>
        <v>102700</v>
      </c>
      <c r="P10" s="8" t="s">
        <v>202</v>
      </c>
      <c r="Q10" s="9">
        <v>-2900</v>
      </c>
      <c r="R10" s="9"/>
      <c r="S10" s="48">
        <v>0</v>
      </c>
      <c r="T10" s="21">
        <f t="shared" si="4"/>
        <v>3900</v>
      </c>
      <c r="U10" s="53">
        <f>IF($J10="","",ROUND(($J10-$J$3)/1000,1)+(_xlfn.RANK.AVG($J10,($J10,$O10,$T10),1)-2)*10)</f>
        <v>-46.6</v>
      </c>
      <c r="V10" s="54">
        <f>IF($O10="","",ROUND(($O10-$O$3)/1000,1)+(_xlfn.RANK.AVG($O10,($J10,$O10,$T10),1)-2)*10)</f>
        <v>77.7</v>
      </c>
      <c r="W10" s="55">
        <f>IF($T10="","",ROUND(($T10-$T$3)/1000,1)+(_xlfn.RANK.AVG($T10,($J10,$O10,$T10),1)-2)*10)</f>
        <v>-31.1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30</v>
      </c>
      <c r="AZ10" s="40" t="s">
        <v>82</v>
      </c>
      <c r="BA10" s="41" t="s">
        <v>85</v>
      </c>
      <c r="BB10" s="41" t="s">
        <v>87</v>
      </c>
      <c r="BC10" s="41" t="s">
        <v>203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60298368-8FD1-4EBC-96A7-50B608BBA55B}">
      <formula1>"れんたろう,ともき,だいち,りくと,まっつん,たかの,のり,"</formula1>
    </dataValidation>
    <dataValidation type="list" showInputMessage="1" showErrorMessage="1" sqref="K4:K30 P4:P30 F4:F30" xr:uid="{5447A46F-4B01-4E66-BC38-97B5C41B5A30}">
      <formula1>"ロン,ツモ,放銃,ツモ支払,流局,チョンボ"</formula1>
    </dataValidation>
    <dataValidation type="list" allowBlank="1" showInputMessage="1" showErrorMessage="1" sqref="E4:E30" xr:uid="{FE8B9E8B-D129-4AC3-A949-86DD4F82B5D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2304D-B7FD-4F1F-811C-0E9AD456389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204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201</v>
      </c>
      <c r="G4" s="9">
        <v>1600</v>
      </c>
      <c r="H4" s="9"/>
      <c r="I4" s="48">
        <v>0</v>
      </c>
      <c r="J4" s="21">
        <f>IF(COUNTA($F4,$K4,$P4)&gt;0,J3+SUM(G4:I4),"")</f>
        <v>36600</v>
      </c>
      <c r="K4" s="8" t="s">
        <v>202</v>
      </c>
      <c r="L4" s="9">
        <v>-800</v>
      </c>
      <c r="M4" s="9"/>
      <c r="N4" s="48">
        <v>0</v>
      </c>
      <c r="O4" s="21">
        <f>IF(COUNTA($F4,$K4,$P4)&gt;0,O3+SUM(L4:N4),"")</f>
        <v>34200</v>
      </c>
      <c r="P4" s="8" t="s">
        <v>202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11.6</v>
      </c>
      <c r="V4" s="54">
        <f>IF($O4="","",ROUND(($O4-$O$3)/1000,1)+(_xlfn.RANK.AVG($O4,($J4,$O4,$T4),1)-2)*10)</f>
        <v>-5.8</v>
      </c>
      <c r="W4" s="55">
        <f>IF($T4="","",ROUND(($T4-$T$3)/1000,1)+(_xlfn.RANK.AVG($T4,($J4,$O4,$T4),1)-2)*10)</f>
        <v>-5.8</v>
      </c>
      <c r="Y4" s="8"/>
      <c r="Z4" s="34"/>
      <c r="AA4" s="26"/>
      <c r="AB4" s="26"/>
      <c r="AC4" s="26">
        <v>1</v>
      </c>
      <c r="AD4" s="30">
        <v>30</v>
      </c>
      <c r="AE4" s="40" t="s">
        <v>82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まっつん</v>
      </c>
      <c r="F5" s="8"/>
      <c r="G5" s="9"/>
      <c r="H5" s="9"/>
      <c r="I5" s="48"/>
      <c r="J5" s="21">
        <f t="shared" ref="J5:J30" si="2">IF(COUNTA($F5,$K5,$P5)&gt;0,J4+SUM(G5:I5),"")</f>
        <v>36600</v>
      </c>
      <c r="K5" s="8" t="s">
        <v>194</v>
      </c>
      <c r="L5" s="9">
        <v>8000</v>
      </c>
      <c r="M5" s="9"/>
      <c r="N5" s="48">
        <v>1000</v>
      </c>
      <c r="O5" s="21">
        <f t="shared" ref="O5:O30" si="3">IF(COUNTA($F5,$K5,$P5)&gt;0,O4+SUM(L5:N5),"")</f>
        <v>43200</v>
      </c>
      <c r="P5" s="8" t="s">
        <v>195</v>
      </c>
      <c r="Q5" s="9">
        <v>-8000</v>
      </c>
      <c r="R5" s="9"/>
      <c r="S5" s="48">
        <v>-1000</v>
      </c>
      <c r="T5" s="21">
        <f t="shared" ref="T5:T30" si="4">IF(COUNTA($F5,$K5,$P5)&gt;0,T4+SUM(Q5:S5),"")</f>
        <v>25200</v>
      </c>
      <c r="U5" s="53">
        <f>IF($J5="","",ROUND(($J5-$J$3)/1000,1)+(_xlfn.RANK.AVG($J5,($J5,$O5,$T5),1)-2)*10)</f>
        <v>1.6</v>
      </c>
      <c r="V5" s="54">
        <f>IF($O5="","",ROUND(($O5-$O$3)/1000,1)+(_xlfn.RANK.AVG($O5,($J5,$O5,$T5),1)-2)*10)</f>
        <v>18.2</v>
      </c>
      <c r="W5" s="55">
        <f>IF($T5="","",ROUND(($T5-$T$3)/1000,1)+(_xlfn.RANK.AVG($T5,($J5,$O5,$T5),1)-2)*10)</f>
        <v>-19.8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40</v>
      </c>
      <c r="AZ5" s="40" t="s">
        <v>104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-2000</v>
      </c>
      <c r="H6" s="9"/>
      <c r="I6" s="48">
        <v>0</v>
      </c>
      <c r="J6" s="21">
        <f t="shared" si="2"/>
        <v>34600</v>
      </c>
      <c r="K6" s="8" t="s">
        <v>201</v>
      </c>
      <c r="L6" s="9">
        <v>4000</v>
      </c>
      <c r="M6" s="9">
        <v>1000</v>
      </c>
      <c r="N6" s="48">
        <v>0</v>
      </c>
      <c r="O6" s="21">
        <f t="shared" si="3"/>
        <v>48200</v>
      </c>
      <c r="P6" s="8" t="s">
        <v>202</v>
      </c>
      <c r="Q6" s="9">
        <v>-2000</v>
      </c>
      <c r="R6" s="9">
        <v>-1000</v>
      </c>
      <c r="S6" s="48">
        <v>0</v>
      </c>
      <c r="T6" s="21">
        <f t="shared" si="4"/>
        <v>22200</v>
      </c>
      <c r="U6" s="53">
        <f>IF($J6="","",ROUND(($J6-$J$3)/1000,1)+(_xlfn.RANK.AVG($J6,($J6,$O6,$T6),1)-2)*10)</f>
        <v>-0.4</v>
      </c>
      <c r="V6" s="54">
        <f>IF($O6="","",ROUND(($O6-$O$3)/1000,1)+(_xlfn.RANK.AVG($O6,($J6,$O6,$T6),1)-2)*10)</f>
        <v>23.2</v>
      </c>
      <c r="W6" s="55">
        <f>IF($T6="","",ROUND(($T6-$T$3)/1000,1)+(_xlfn.RANK.AVG($T6,($J6,$O6,$T6),1)-2)*10)</f>
        <v>-22.8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20</v>
      </c>
      <c r="AZ6" s="40" t="s">
        <v>82</v>
      </c>
      <c r="BA6" s="41" t="s">
        <v>200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だいち</v>
      </c>
      <c r="F7" s="8" t="s">
        <v>195</v>
      </c>
      <c r="G7" s="9">
        <v>-2900</v>
      </c>
      <c r="H7" s="9"/>
      <c r="I7" s="48">
        <v>-1000</v>
      </c>
      <c r="J7" s="21">
        <f t="shared" si="2"/>
        <v>30700</v>
      </c>
      <c r="K7" s="8" t="s">
        <v>194</v>
      </c>
      <c r="L7" s="9">
        <v>2900</v>
      </c>
      <c r="M7" s="9"/>
      <c r="N7" s="48">
        <v>1000</v>
      </c>
      <c r="O7" s="21">
        <f t="shared" si="3"/>
        <v>52100</v>
      </c>
      <c r="P7" s="8"/>
      <c r="Q7" s="9"/>
      <c r="R7" s="9"/>
      <c r="S7" s="48"/>
      <c r="T7" s="21">
        <f t="shared" si="4"/>
        <v>22200</v>
      </c>
      <c r="U7" s="53">
        <f>IF($J7="","",ROUND(($J7-$J$3)/1000,1)+(_xlfn.RANK.AVG($J7,($J7,$O7,$T7),1)-2)*10)</f>
        <v>-4.3</v>
      </c>
      <c r="V7" s="54">
        <f>IF($O7="","",ROUND(($O7-$O$3)/1000,1)+(_xlfn.RANK.AVG($O7,($J7,$O7,$T7),1)-2)*10)</f>
        <v>27.1</v>
      </c>
      <c r="W7" s="55">
        <f>IF($T7="","",ROUND(($T7-$T$3)/1000,1)+(_xlfn.RANK.AVG($T7,($J7,$O7,$T7),1)-2)*10)</f>
        <v>-22.8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200</v>
      </c>
      <c r="BA7" s="41" t="s">
        <v>83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だいち</v>
      </c>
      <c r="F8" s="8" t="s">
        <v>195</v>
      </c>
      <c r="G8" s="9">
        <v>-2600</v>
      </c>
      <c r="H8" s="9"/>
      <c r="I8" s="48">
        <v>-2000</v>
      </c>
      <c r="J8" s="21">
        <f t="shared" si="2"/>
        <v>26100</v>
      </c>
      <c r="K8" s="8"/>
      <c r="L8" s="9"/>
      <c r="M8" s="9"/>
      <c r="N8" s="48"/>
      <c r="O8" s="21">
        <f t="shared" si="3"/>
        <v>52100</v>
      </c>
      <c r="P8" s="8" t="s">
        <v>194</v>
      </c>
      <c r="Q8" s="9">
        <v>2600</v>
      </c>
      <c r="R8" s="9"/>
      <c r="S8" s="48">
        <v>2000</v>
      </c>
      <c r="T8" s="21">
        <f t="shared" si="4"/>
        <v>26800</v>
      </c>
      <c r="U8" s="53">
        <f>IF($J8="","",ROUND(($J8-$J$3)/1000,1)+(_xlfn.RANK.AVG($J8,($J8,$O8,$T8),1)-2)*10)</f>
        <v>-18.899999999999999</v>
      </c>
      <c r="V8" s="54">
        <f>IF($O8="","",ROUND(($O8-$O$3)/1000,1)+(_xlfn.RANK.AVG($O8,($J8,$O8,$T8),1)-2)*10)</f>
        <v>27.1</v>
      </c>
      <c r="W8" s="55">
        <f>IF($T8="","",ROUND(($T8-$T$3)/1000,1)+(_xlfn.RANK.AVG($T8,($J8,$O8,$T8),1)-2)*10)</f>
        <v>-8.1999999999999993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200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/>
      <c r="G9" s="9"/>
      <c r="H9" s="9"/>
      <c r="I9" s="48"/>
      <c r="J9" s="21">
        <f t="shared" si="2"/>
        <v>26100</v>
      </c>
      <c r="K9" s="8" t="s">
        <v>195</v>
      </c>
      <c r="L9" s="9">
        <v>-12000</v>
      </c>
      <c r="M9" s="9"/>
      <c r="N9" s="48">
        <v>0</v>
      </c>
      <c r="O9" s="21">
        <f t="shared" si="3"/>
        <v>40100</v>
      </c>
      <c r="P9" s="8" t="s">
        <v>194</v>
      </c>
      <c r="Q9" s="9">
        <v>12000</v>
      </c>
      <c r="R9" s="9"/>
      <c r="S9" s="48">
        <v>0</v>
      </c>
      <c r="T9" s="21">
        <f t="shared" si="4"/>
        <v>38800</v>
      </c>
      <c r="U9" s="53">
        <f>IF($J9="","",ROUND(($J9-$J$3)/1000,1)+(_xlfn.RANK.AVG($J9,($J9,$O9,$T9),1)-2)*10)</f>
        <v>-18.899999999999999</v>
      </c>
      <c r="V9" s="54">
        <f>IF($O9="","",ROUND(($O9-$O$3)/1000,1)+(_xlfn.RANK.AVG($O9,($J9,$O9,$T9),1)-2)*10)</f>
        <v>15.1</v>
      </c>
      <c r="W9" s="55">
        <f>IF($T9="","",ROUND(($T9-$T$3)/1000,1)+(_xlfn.RANK.AVG($T9,($J9,$O9,$T9),1)-2)*10)</f>
        <v>3.8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196</v>
      </c>
      <c r="BU9" s="40" t="s">
        <v>86</v>
      </c>
      <c r="BV9" s="41" t="s">
        <v>86</v>
      </c>
      <c r="BW9" s="41" t="s">
        <v>86</v>
      </c>
      <c r="BX9" s="41" t="s">
        <v>104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たかの</v>
      </c>
      <c r="F10" s="8" t="s">
        <v>202</v>
      </c>
      <c r="G10" s="9">
        <v>-800</v>
      </c>
      <c r="H10" s="9">
        <v>-1000</v>
      </c>
      <c r="I10" s="48">
        <v>-500</v>
      </c>
      <c r="J10" s="21">
        <f t="shared" si="2"/>
        <v>23800</v>
      </c>
      <c r="K10" s="8" t="s">
        <v>201</v>
      </c>
      <c r="L10" s="9">
        <v>2100</v>
      </c>
      <c r="M10" s="9">
        <v>1000</v>
      </c>
      <c r="N10" s="48">
        <v>1000</v>
      </c>
      <c r="O10" s="21">
        <f t="shared" si="3"/>
        <v>44200</v>
      </c>
      <c r="P10" s="8" t="s">
        <v>202</v>
      </c>
      <c r="Q10" s="9">
        <v>-1300</v>
      </c>
      <c r="R10" s="9"/>
      <c r="S10" s="48">
        <v>-500</v>
      </c>
      <c r="T10" s="21">
        <f t="shared" si="4"/>
        <v>37000</v>
      </c>
      <c r="U10" s="53">
        <f>IF($J10="","",ROUND(($J10-$J$3)/1000,1)+(_xlfn.RANK.AVG($J10,($J10,$O10,$T10),1)-2)*10)</f>
        <v>-21.2</v>
      </c>
      <c r="V10" s="54">
        <f>IF($O10="","",ROUND(($O10-$O$3)/1000,1)+(_xlfn.RANK.AVG($O10,($J10,$O10,$T10),1)-2)*10)</f>
        <v>19.2</v>
      </c>
      <c r="W10" s="55">
        <f>IF($T10="","",ROUND(($T10-$T$3)/1000,1)+(_xlfn.RANK.AVG($T10,($J10,$O10,$T10),1)-2)*10)</f>
        <v>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85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まっつん</v>
      </c>
      <c r="F11" s="8" t="s">
        <v>195</v>
      </c>
      <c r="G11" s="9">
        <v>-3900</v>
      </c>
      <c r="H11" s="9"/>
      <c r="I11" s="48">
        <v>0</v>
      </c>
      <c r="J11" s="21">
        <f t="shared" si="2"/>
        <v>19900</v>
      </c>
      <c r="K11" s="8"/>
      <c r="L11" s="9"/>
      <c r="M11" s="9"/>
      <c r="N11" s="48"/>
      <c r="O11" s="21">
        <f t="shared" si="3"/>
        <v>44200</v>
      </c>
      <c r="P11" s="8" t="s">
        <v>194</v>
      </c>
      <c r="Q11" s="9">
        <v>3900</v>
      </c>
      <c r="R11" s="9"/>
      <c r="S11" s="48">
        <v>0</v>
      </c>
      <c r="T11" s="21">
        <f t="shared" si="4"/>
        <v>40900</v>
      </c>
      <c r="U11" s="53">
        <f>IF($J11="","",ROUND(($J11-$J$3)/1000,1)+(_xlfn.RANK.AVG($J11,($J11,$O11,$T11),1)-2)*10)</f>
        <v>-25.1</v>
      </c>
      <c r="V11" s="54">
        <f>IF($O11="","",ROUND(($O11-$O$3)/1000,1)+(_xlfn.RANK.AVG($O11,($J11,$O11,$T11),1)-2)*10)</f>
        <v>19.2</v>
      </c>
      <c r="W11" s="55">
        <f>IF($T11="","",ROUND(($T11-$T$3)/1000,1)+(_xlfn.RANK.AVG($T11,($J11,$O11,$T11),1)-2)*10)</f>
        <v>5.9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86</v>
      </c>
      <c r="BV11" s="41" t="s">
        <v>79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 t="s">
        <v>202</v>
      </c>
      <c r="G12" s="9">
        <v>-4500</v>
      </c>
      <c r="H12" s="9"/>
      <c r="I12" s="48">
        <v>0</v>
      </c>
      <c r="J12" s="21">
        <f t="shared" si="2"/>
        <v>15400</v>
      </c>
      <c r="K12" s="8" t="s">
        <v>202</v>
      </c>
      <c r="L12" s="9">
        <v>-7500</v>
      </c>
      <c r="M12" s="9"/>
      <c r="N12" s="48">
        <v>0</v>
      </c>
      <c r="O12" s="21">
        <f t="shared" si="3"/>
        <v>36700</v>
      </c>
      <c r="P12" s="8" t="s">
        <v>201</v>
      </c>
      <c r="Q12" s="9">
        <v>12000</v>
      </c>
      <c r="R12" s="9"/>
      <c r="S12" s="48">
        <v>0</v>
      </c>
      <c r="T12" s="21">
        <f t="shared" si="4"/>
        <v>52900</v>
      </c>
      <c r="U12" s="53">
        <f>IF($J12="","",ROUND(($J12-$J$3)/1000,1)+(_xlfn.RANK.AVG($J12,($J12,$O12,$T12),1)-2)*10)</f>
        <v>-29.6</v>
      </c>
      <c r="V12" s="54">
        <f>IF($O12="","",ROUND(($O12-$O$3)/1000,1)+(_xlfn.RANK.AVG($O12,($J12,$O12,$T12),1)-2)*10)</f>
        <v>1.7</v>
      </c>
      <c r="W12" s="55">
        <f>IF($T12="","",ROUND(($T12-$T$3)/1000,1)+(_xlfn.RANK.AVG($T12,($J12,$O12,$T12),1)-2)*10)</f>
        <v>27.9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196</v>
      </c>
      <c r="BU12" s="40" t="s">
        <v>98</v>
      </c>
      <c r="BV12" s="41" t="s">
        <v>86</v>
      </c>
      <c r="BW12" s="41" t="s">
        <v>86</v>
      </c>
      <c r="BX12" s="41" t="s">
        <v>79</v>
      </c>
      <c r="BY12" s="41" t="s">
        <v>79</v>
      </c>
      <c r="BZ12" s="41" t="s">
        <v>79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たかの</v>
      </c>
      <c r="F13" s="8" t="s">
        <v>195</v>
      </c>
      <c r="G13" s="9">
        <v>-12000</v>
      </c>
      <c r="H13" s="9"/>
      <c r="I13" s="48">
        <v>0</v>
      </c>
      <c r="J13" s="21">
        <f t="shared" si="2"/>
        <v>3400</v>
      </c>
      <c r="K13" s="8" t="s">
        <v>194</v>
      </c>
      <c r="L13" s="9">
        <v>12000</v>
      </c>
      <c r="M13" s="9"/>
      <c r="N13" s="48">
        <v>0</v>
      </c>
      <c r="O13" s="21">
        <f t="shared" si="3"/>
        <v>48700</v>
      </c>
      <c r="P13" s="8"/>
      <c r="Q13" s="9"/>
      <c r="R13" s="9"/>
      <c r="S13" s="48"/>
      <c r="T13" s="21">
        <f t="shared" si="4"/>
        <v>52900</v>
      </c>
      <c r="U13" s="53">
        <f>IF($J13="","",ROUND(($J13-$J$3)/1000,1)+(_xlfn.RANK.AVG($J13,($J13,$O13,$T13),1)-2)*10)</f>
        <v>-41.6</v>
      </c>
      <c r="V13" s="54">
        <f>IF($O13="","",ROUND(($O13-$O$3)/1000,1)+(_xlfn.RANK.AVG($O13,($J13,$O13,$T13),1)-2)*10)</f>
        <v>13.7</v>
      </c>
      <c r="W13" s="55">
        <f>IF($T13="","",ROUND(($T13-$T$3)/1000,1)+(_xlfn.RANK.AVG($T13,($J13,$O13,$T13),1)-2)*10)</f>
        <v>27.9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6</v>
      </c>
      <c r="AY13" s="30" t="s">
        <v>196</v>
      </c>
      <c r="AZ13" s="40" t="s">
        <v>98</v>
      </c>
      <c r="BA13" s="41" t="s">
        <v>104</v>
      </c>
      <c r="BB13" s="41" t="s">
        <v>86</v>
      </c>
      <c r="BC13" s="41" t="s">
        <v>86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1E557C24-7CFF-4EF8-87CB-D05107EB038B}">
      <formula1>$U$2:$W$2</formula1>
    </dataValidation>
    <dataValidation type="list" showInputMessage="1" showErrorMessage="1" sqref="K4:K30 P4:P30 F4:F30" xr:uid="{4694540F-3ACD-442E-B537-8A3296677FDA}">
      <formula1>"ロン,ツモ,放銃,ツモ支払,流局,チョンボ"</formula1>
    </dataValidation>
    <dataValidation type="list" allowBlank="1" showInputMessage="1" sqref="F1:T1" xr:uid="{FFC7F2E2-DEF8-48B2-9F79-DFC866CD9838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AE0D4-DDAD-4DEF-AB34-2FBED5790A81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りくと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205</v>
      </c>
      <c r="G4" s="9">
        <v>-1500</v>
      </c>
      <c r="H4" s="9"/>
      <c r="I4" s="48"/>
      <c r="J4" s="21">
        <f>IF(COUNTA($F4,$K4,$P4)&gt;0,J3+SUM(G4:I4),"")</f>
        <v>33500</v>
      </c>
      <c r="K4" s="8" t="s">
        <v>205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205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りくと</v>
      </c>
      <c r="F5" s="8" t="s">
        <v>202</v>
      </c>
      <c r="G5" s="9">
        <v>-4500</v>
      </c>
      <c r="H5" s="9">
        <v>-1000</v>
      </c>
      <c r="I5" s="48">
        <v>-500</v>
      </c>
      <c r="J5" s="21">
        <f t="shared" ref="J5:J30" si="2">IF(COUNTA($F5,$K5,$P5)&gt;0,J4+SUM(G5:I5),"")</f>
        <v>27500</v>
      </c>
      <c r="K5" s="8" t="s">
        <v>202</v>
      </c>
      <c r="L5" s="9">
        <v>-7500</v>
      </c>
      <c r="M5" s="9"/>
      <c r="N5" s="48">
        <v>-500</v>
      </c>
      <c r="O5" s="21">
        <f t="shared" ref="O5:O30" si="3">IF(COUNTA($F5,$K5,$P5)&gt;0,O4+SUM(L5:N5),"")</f>
        <v>29000</v>
      </c>
      <c r="P5" s="8" t="s">
        <v>201</v>
      </c>
      <c r="Q5" s="9">
        <v>12000</v>
      </c>
      <c r="R5" s="9">
        <v>2000</v>
      </c>
      <c r="S5" s="48">
        <v>1000</v>
      </c>
      <c r="T5" s="21">
        <f t="shared" ref="T5:T30" si="4">IF(COUNTA($F5,$K5,$P5)&gt;0,T4+SUM(Q5:S5),"")</f>
        <v>48500</v>
      </c>
      <c r="U5" s="53">
        <f>IF($J5="","",ROUND(($J5-$J$3)/1000,1)+(_xlfn.RANK.AVG($J5,($J5,$O5,$T5),1)-2)*10)</f>
        <v>-17.5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23.5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196</v>
      </c>
      <c r="BU5" s="40" t="s">
        <v>200</v>
      </c>
      <c r="BV5" s="41" t="s">
        <v>82</v>
      </c>
      <c r="BW5" s="41" t="s">
        <v>86</v>
      </c>
      <c r="BX5" s="41" t="s">
        <v>80</v>
      </c>
      <c r="BY5" s="41" t="s">
        <v>80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195</v>
      </c>
      <c r="G6" s="9">
        <v>-1300</v>
      </c>
      <c r="H6" s="9">
        <v>-1000</v>
      </c>
      <c r="I6" s="48">
        <v>0</v>
      </c>
      <c r="J6" s="21">
        <f t="shared" si="2"/>
        <v>25200</v>
      </c>
      <c r="K6" s="8" t="s">
        <v>194</v>
      </c>
      <c r="L6" s="9">
        <v>1300</v>
      </c>
      <c r="M6" s="9">
        <v>1000</v>
      </c>
      <c r="N6" s="48">
        <v>0</v>
      </c>
      <c r="O6" s="21">
        <f t="shared" si="3"/>
        <v>31300</v>
      </c>
      <c r="P6" s="8"/>
      <c r="Q6" s="9"/>
      <c r="R6" s="9"/>
      <c r="S6" s="48"/>
      <c r="T6" s="21">
        <f t="shared" si="4"/>
        <v>48500</v>
      </c>
      <c r="U6" s="53">
        <f>IF($J6="","",ROUND(($J6-$J$3)/1000,1)+(_xlfn.RANK.AVG($J6,($J6,$O6,$T6),1)-2)*10)</f>
        <v>-19.8</v>
      </c>
      <c r="V6" s="54">
        <f>IF($O6="","",ROUND(($O6-$O$3)/1000,1)+(_xlfn.RANK.AVG($O6,($J6,$O6,$T6),1)-2)*10)</f>
        <v>-3.7</v>
      </c>
      <c r="W6" s="55">
        <f>IF($T6="","",ROUND(($T6-$T$3)/1000,1)+(_xlfn.RANK.AVG($T6,($J6,$O6,$T6),1)-2)*10)</f>
        <v>23.5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</v>
      </c>
      <c r="AY6" s="30">
        <v>40</v>
      </c>
      <c r="AZ6" s="40" t="s">
        <v>200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202</v>
      </c>
      <c r="G7" s="9">
        <v>-7500</v>
      </c>
      <c r="H7" s="9"/>
      <c r="I7" s="48">
        <v>0</v>
      </c>
      <c r="J7" s="21">
        <f t="shared" si="2"/>
        <v>17700</v>
      </c>
      <c r="K7" s="8" t="s">
        <v>201</v>
      </c>
      <c r="L7" s="9">
        <v>12000</v>
      </c>
      <c r="M7" s="9"/>
      <c r="N7" s="48">
        <v>0</v>
      </c>
      <c r="O7" s="21">
        <f t="shared" si="3"/>
        <v>43300</v>
      </c>
      <c r="P7" s="8" t="s">
        <v>202</v>
      </c>
      <c r="Q7" s="9">
        <v>-4500</v>
      </c>
      <c r="R7" s="9"/>
      <c r="S7" s="48">
        <v>0</v>
      </c>
      <c r="T7" s="21">
        <f t="shared" si="4"/>
        <v>44000</v>
      </c>
      <c r="U7" s="53">
        <f>IF($J7="","",ROUND(($J7-$J$3)/1000,1)+(_xlfn.RANK.AVG($J7,($J7,$O7,$T7),1)-2)*10)</f>
        <v>-27.3</v>
      </c>
      <c r="V7" s="54">
        <f>IF($O7="","",ROUND(($O7-$O$3)/1000,1)+(_xlfn.RANK.AVG($O7,($J7,$O7,$T7),1)-2)*10)</f>
        <v>8.3000000000000007</v>
      </c>
      <c r="W7" s="55">
        <f>IF($T7="","",ROUND(($T7-$T$3)/1000,1)+(_xlfn.RANK.AVG($T7,($J7,$O7,$T7),1)-2)*10)</f>
        <v>19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200</v>
      </c>
      <c r="BA7" s="41" t="s">
        <v>82</v>
      </c>
      <c r="BB7" s="41" t="s">
        <v>79</v>
      </c>
      <c r="BC7" s="41" t="s">
        <v>80</v>
      </c>
      <c r="BD7" s="41" t="s">
        <v>203</v>
      </c>
      <c r="BE7" s="41" t="s">
        <v>207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202</v>
      </c>
      <c r="G8" s="9">
        <v>-3000</v>
      </c>
      <c r="H8" s="9"/>
      <c r="I8" s="48">
        <v>0</v>
      </c>
      <c r="J8" s="21">
        <f t="shared" si="2"/>
        <v>14700</v>
      </c>
      <c r="K8" s="8" t="s">
        <v>202</v>
      </c>
      <c r="L8" s="9">
        <v>-5000</v>
      </c>
      <c r="M8" s="9"/>
      <c r="N8" s="48">
        <v>0</v>
      </c>
      <c r="O8" s="21">
        <f t="shared" si="3"/>
        <v>38300</v>
      </c>
      <c r="P8" s="8" t="s">
        <v>201</v>
      </c>
      <c r="Q8" s="9">
        <v>8000</v>
      </c>
      <c r="R8" s="9"/>
      <c r="S8" s="48">
        <v>0</v>
      </c>
      <c r="T8" s="21">
        <f t="shared" si="4"/>
        <v>52000</v>
      </c>
      <c r="U8" s="53">
        <f>IF($J8="","",ROUND(($J8-$J$3)/1000,1)+(_xlfn.RANK.AVG($J8,($J8,$O8,$T8),1)-2)*10)</f>
        <v>-30.3</v>
      </c>
      <c r="V8" s="54">
        <f>IF($O8="","",ROUND(($O8-$O$3)/1000,1)+(_xlfn.RANK.AVG($O8,($J8,$O8,$T8),1)-2)*10)</f>
        <v>3.3</v>
      </c>
      <c r="W8" s="55">
        <f>IF($T8="","",ROUND(($T8-$T$3)/1000,1)+(_xlfn.RANK.AVG($T8,($J8,$O8,$T8),1)-2)*10)</f>
        <v>27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196</v>
      </c>
      <c r="BU8" s="40" t="s">
        <v>200</v>
      </c>
      <c r="BV8" s="41" t="s">
        <v>82</v>
      </c>
      <c r="BW8" s="41" t="s">
        <v>79</v>
      </c>
      <c r="BX8" s="41" t="s">
        <v>79</v>
      </c>
      <c r="BY8" s="41" t="s">
        <v>207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195</v>
      </c>
      <c r="G9" s="9">
        <v>-8000</v>
      </c>
      <c r="H9" s="9"/>
      <c r="I9" s="48">
        <v>0</v>
      </c>
      <c r="J9" s="21">
        <f t="shared" si="2"/>
        <v>6700</v>
      </c>
      <c r="K9" s="8" t="s">
        <v>194</v>
      </c>
      <c r="L9" s="9">
        <v>8000</v>
      </c>
      <c r="M9" s="9"/>
      <c r="N9" s="48">
        <v>0</v>
      </c>
      <c r="O9" s="21">
        <f t="shared" si="3"/>
        <v>46300</v>
      </c>
      <c r="P9" s="8"/>
      <c r="Q9" s="9"/>
      <c r="R9" s="9"/>
      <c r="S9" s="48"/>
      <c r="T9" s="21">
        <f t="shared" si="4"/>
        <v>52000</v>
      </c>
      <c r="U9" s="53">
        <f>IF($J9="","",ROUND(($J9-$J$3)/1000,1)+(_xlfn.RANK.AVG($J9,($J9,$O9,$T9),1)-2)*10)</f>
        <v>-38.299999999999997</v>
      </c>
      <c r="V9" s="54">
        <f>IF($O9="","",ROUND(($O9-$O$3)/1000,1)+(_xlfn.RANK.AVG($O9,($J9,$O9,$T9),1)-2)*10)</f>
        <v>11.3</v>
      </c>
      <c r="W9" s="55">
        <f>IF($T9="","",ROUND(($T9-$T$3)/1000,1)+(_xlfn.RANK.AVG($T9,($J9,$O9,$T9),1)-2)*10)</f>
        <v>27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196</v>
      </c>
      <c r="AZ9" s="40" t="s">
        <v>200</v>
      </c>
      <c r="BA9" s="41" t="s">
        <v>83</v>
      </c>
      <c r="BB9" s="41" t="s">
        <v>203</v>
      </c>
      <c r="BC9" s="41" t="s">
        <v>203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まっつん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461A601D-A4CA-43AD-9F92-ADBDF4E3B010}">
      <formula1>"れんたろう,ともき,だいち,りくと,まっつん,たかの,のり,"</formula1>
    </dataValidation>
    <dataValidation type="list" showInputMessage="1" showErrorMessage="1" sqref="K4:K30 P4:P30 F4:F30" xr:uid="{1488F1F5-9F86-42A6-A30D-975E4DFCA72C}">
      <formula1>"ロン,ツモ,放銃,ツモ支払,流局,チョンボ"</formula1>
    </dataValidation>
    <dataValidation type="list" allowBlank="1" showInputMessage="1" showErrorMessage="1" sqref="E4:E30" xr:uid="{DCFC4927-07DF-4BB9-99CA-20A71E26245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2020-04-06T08:19:42Z</dcterms:modified>
</cp:coreProperties>
</file>