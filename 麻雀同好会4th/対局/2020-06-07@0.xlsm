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5BC61099-DA07-4A69-B827-103A3BB8ACBE}" xr6:coauthVersionLast="44" xr6:coauthVersionMax="44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21" l="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/>
  <c r="C9" i="21"/>
  <c r="D9" i="21"/>
  <c r="D7" i="21"/>
  <c r="T5" i="21"/>
  <c r="T6" i="21" s="1"/>
  <c r="J5" i="21"/>
  <c r="J6" i="21" s="1"/>
  <c r="D5" i="21"/>
  <c r="T4" i="21"/>
  <c r="O4" i="21"/>
  <c r="O5" i="21" s="1"/>
  <c r="J4" i="21"/>
  <c r="E4" i="21"/>
  <c r="C5" i="21" s="1"/>
  <c r="W3" i="21"/>
  <c r="V3" i="21"/>
  <c r="U3" i="21"/>
  <c r="W2" i="21"/>
  <c r="V2" i="21"/>
  <c r="U2" i="21"/>
  <c r="BO1" i="21"/>
  <c r="AT1" i="21"/>
  <c r="Y1" i="21"/>
  <c r="D10" i="20"/>
  <c r="E9" i="20"/>
  <c r="E8" i="20"/>
  <c r="C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9" i="20"/>
  <c r="D8" i="20"/>
  <c r="D7" i="20"/>
  <c r="T5" i="20"/>
  <c r="T6" i="20" s="1"/>
  <c r="O5" i="20"/>
  <c r="O6" i="20" s="1"/>
  <c r="C5" i="20"/>
  <c r="D5" i="20"/>
  <c r="T4" i="20"/>
  <c r="O4" i="20"/>
  <c r="J4" i="20"/>
  <c r="J5" i="20" s="1"/>
  <c r="E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U4" i="21" l="1"/>
  <c r="W4" i="21"/>
  <c r="J7" i="21"/>
  <c r="T7" i="21"/>
  <c r="O6" i="21"/>
  <c r="U6" i="21" s="1"/>
  <c r="V5" i="21"/>
  <c r="B5" i="21"/>
  <c r="A5" i="21" s="1"/>
  <c r="W5" i="21"/>
  <c r="D8" i="21"/>
  <c r="C6" i="21"/>
  <c r="C7" i="21" s="1"/>
  <c r="C8" i="21" s="1"/>
  <c r="V4" i="21"/>
  <c r="D6" i="21"/>
  <c r="U5" i="21"/>
  <c r="V4" i="20"/>
  <c r="W4" i="20"/>
  <c r="U5" i="20"/>
  <c r="J6" i="20"/>
  <c r="O7" i="20"/>
  <c r="V6" i="20"/>
  <c r="T7" i="20"/>
  <c r="B5" i="20"/>
  <c r="A5" i="20" s="1"/>
  <c r="V5" i="20"/>
  <c r="C10" i="20"/>
  <c r="W5" i="20"/>
  <c r="U4" i="20"/>
  <c r="C6" i="20"/>
  <c r="C7" i="20" s="1"/>
  <c r="D6" i="20"/>
  <c r="C9" i="20"/>
  <c r="E4" i="19"/>
  <c r="W6" i="21" l="1"/>
  <c r="B6" i="21"/>
  <c r="A6" i="21" s="1"/>
  <c r="T8" i="21"/>
  <c r="J8" i="21"/>
  <c r="O7" i="21"/>
  <c r="W7" i="21" s="1"/>
  <c r="V6" i="21"/>
  <c r="O8" i="20"/>
  <c r="U6" i="20"/>
  <c r="J7" i="20"/>
  <c r="W7" i="20" s="1"/>
  <c r="B6" i="20"/>
  <c r="A6" i="20" s="1"/>
  <c r="W6" i="20"/>
  <c r="T8" i="20"/>
  <c r="W3" i="19"/>
  <c r="V3" i="19"/>
  <c r="U3" i="19"/>
  <c r="U7" i="21" l="1"/>
  <c r="J9" i="21"/>
  <c r="T9" i="21"/>
  <c r="B7" i="21"/>
  <c r="V7" i="21"/>
  <c r="O8" i="21"/>
  <c r="U8" i="21" s="1"/>
  <c r="V7" i="20"/>
  <c r="O9" i="20"/>
  <c r="T9" i="20"/>
  <c r="B7" i="20"/>
  <c r="J8" i="20"/>
  <c r="W8" i="20" s="1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8" i="21" l="1"/>
  <c r="B8" i="21"/>
  <c r="O9" i="21"/>
  <c r="V9" i="21" s="1"/>
  <c r="V8" i="21"/>
  <c r="A7" i="21"/>
  <c r="V8" i="20"/>
  <c r="O10" i="20"/>
  <c r="U8" i="20"/>
  <c r="J9" i="20"/>
  <c r="V9" i="20" s="1"/>
  <c r="B8" i="20"/>
  <c r="A7" i="20"/>
  <c r="T10" i="20"/>
  <c r="W9" i="20"/>
  <c r="U10" i="19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8" i="21" l="1"/>
  <c r="B9" i="21"/>
  <c r="A9" i="21" s="1"/>
  <c r="U9" i="21"/>
  <c r="W9" i="21"/>
  <c r="B9" i="20"/>
  <c r="A9" i="20" s="1"/>
  <c r="A8" i="20"/>
  <c r="U9" i="20"/>
  <c r="J10" i="20"/>
  <c r="W5" i="19"/>
  <c r="V5" i="19"/>
  <c r="U5" i="19"/>
  <c r="U10" i="20" l="1"/>
  <c r="W10" i="20"/>
  <c r="V10" i="20"/>
  <c r="B10" i="20"/>
  <c r="A10" i="20" s="1"/>
</calcChain>
</file>

<file path=xl/sharedStrings.xml><?xml version="1.0" encoding="utf-8"?>
<sst xmlns="http://schemas.openxmlformats.org/spreadsheetml/2006/main" count="739" uniqueCount="206">
  <si>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</si>
  <si>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</si>
  <si>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</si>
  <si>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</si>
  <si>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</si>
  <si>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</si>
  <si>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</si>
  <si>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</si>
  <si>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</si>
  <si>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</si>
  <si>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</si>
  <si>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</si>
  <si>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</si>
  <si>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</si>
  <si>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</si>
  <si>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</si>
  <si>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</si>
  <si>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</si>
  <si>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</si>
  <si>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</si>
  <si>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</si>
  <si>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</si>
  <si>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</si>
  <si>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</si>
  <si>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</si>
  <si>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</si>
  <si>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</si>
  <si>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</si>
  <si>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</si>
  <si>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</si>
  <si>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</si>
  <si>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</si>
  <si>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</si>
  <si>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</si>
  <si>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</si>
  <si>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</si>
  <si>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</si>
  <si>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</si>
  <si>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</si>
  <si>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</si>
  <si>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</si>
  <si>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</si>
  <si>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</si>
  <si>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</si>
  <si>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</si>
  <si>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</si>
  <si>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</si>
  <si>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</si>
  <si>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</si>
  <si>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</si>
  <si>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</si>
  <si>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</si>
  <si>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</si>
  <si>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</si>
  <si>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</si>
  <si>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</si>
  <si>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</si>
  <si>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</si>
  <si>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</si>
  <si>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</si>
  <si>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</si>
  <si>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</si>
  <si>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</si>
  <si>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</si>
  <si>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</si>
  <si>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</si>
  <si>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</si>
  <si>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</si>
  <si>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</si>
  <si>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</si>
  <si>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</si>
  <si>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</si>
  <si>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</si>
  <si>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</si>
  <si>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</si>
  <si>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</si>
  <si>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</si>
  <si>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</si>
  <si>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</si>
  <si>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</si>
  <si>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</si>
  <si>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</si>
  <si>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</si>
  <si>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</si>
  <si>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</si>
  <si>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</si>
  <si>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</si>
  <si>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</si>
  <si>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</si>
  <si>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</si>
  <si>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</si>
  <si>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</si>
  <si>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</si>
  <si>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</si>
  <si>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</si>
  <si>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</si>
  <si>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</si>
  <si>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</si>
  <si>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</si>
  <si>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</si>
  <si>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</si>
  <si>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</si>
  <si>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</si>
  <si>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</si>
  <si>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</si>
  <si>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</si>
  <si>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</si>
  <si>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</si>
  <si>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</si>
  <si>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</si>
  <si>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</si>
  <si>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</si>
  <si>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</si>
  <si>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</si>
  <si>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</si>
  <si>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</si>
  <si>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</si>
  <si>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</si>
  <si>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</si>
  <si>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</si>
  <si>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</si>
  <si>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</si>
  <si>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</si>
  <si>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</si>
  <si>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</si>
  <si>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</si>
  <si>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</si>
  <si>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</si>
  <si>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</si>
  <si>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</si>
  <si>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</si>
  <si>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</si>
  <si>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</si>
  <si>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</si>
  <si>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</si>
  <si>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</si>
  <si>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</si>
  <si>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</si>
  <si>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</si>
  <si>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</si>
  <si>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</si>
  <si>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</si>
  <si>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</si>
  <si>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</si>
  <si>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</si>
  <si>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</si>
  <si>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</si>
  <si>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</si>
  <si>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</si>
  <si>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</si>
  <si>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</si>
  <si>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</si>
  <si>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</si>
  <si>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</si>
  <si>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</si>
  <si>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</si>
  <si>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</si>
  <si>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</si>
  <si>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</si>
  <si>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</si>
  <si>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</si>
  <si>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</si>
  <si>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</si>
  <si>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</si>
  <si>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</si>
  <si>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</si>
  <si>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</si>
  <si>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</si>
  <si>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</si>
  <si>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</si>
  <si>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</si>
  <si>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</si>
  <si>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</si>
  <si>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</si>
  <si>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</si>
  <si>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</si>
  <si>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</si>
  <si>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</si>
  <si>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</si>
  <si>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</si>
  <si>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</si>
  <si>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</si>
  <si>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</si>
  <si>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</si>
  <si>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</si>
  <si>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</si>
  <si>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</si>
  <si>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</si>
  <si>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</si>
  <si>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</si>
  <si>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</si>
  <si>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  <phoneticPr fontId="1"/>
  </si>
  <si>
    <t>れんたろう</t>
    <phoneticPr fontId="1"/>
  </si>
  <si>
    <t>だいち</t>
    <phoneticPr fontId="1"/>
  </si>
  <si>
    <t>ロン</t>
  </si>
  <si>
    <t>放銃</t>
  </si>
  <si>
    <t>01</t>
  </si>
  <si>
    <t>*</t>
  </si>
  <si>
    <t>ツモ支払</t>
  </si>
  <si>
    <t>ツモ</t>
  </si>
  <si>
    <t>52</t>
  </si>
  <si>
    <t>T</t>
  </si>
  <si>
    <t>N</t>
  </si>
  <si>
    <t>流局</t>
    <phoneticPr fontId="1"/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</si>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</sst>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1300</v>
      </c>
      <c r="M4" s="9">
        <v>1000</v>
      </c>
      <c r="N4" s="48">
        <v>0</v>
      </c>
      <c r="O4" s="21">
        <f>IF(COUNTA($F4,$K4,$P4)&gt;0,O3+SUM(L4:N4),"")</f>
        <v>37300</v>
      </c>
      <c r="P4" s="8" t="s">
        <v>195</v>
      </c>
      <c r="Q4" s="9">
        <v>-1300</v>
      </c>
      <c r="R4" s="9">
        <v>-1000</v>
      </c>
      <c r="S4" s="48">
        <v>0</v>
      </c>
      <c r="T4" s="21">
        <f>IF(COUNTA($F4,$K4,$P4)&gt;0,T3+SUM(Q4:S4),"")</f>
        <v>32700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12.3</v>
      </c>
      <c r="W4" s="55">
        <f>IF($T4="","",ROUND(($T4-$T$3)/1000,1)+(_xlfn.RANK.AVG($T4,($J4,$O4,$T4),1)-2)*10)</f>
        <v>-12.3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1</v>
      </c>
      <c r="AY4" s="30">
        <v>40</v>
      </c>
      <c r="AZ4" s="40" t="s">
        <v>196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194</v>
      </c>
      <c r="G5" s="9">
        <v>8000</v>
      </c>
      <c r="H5" s="9"/>
      <c r="I5" s="48">
        <v>0</v>
      </c>
      <c r="J5" s="21">
        <f t="shared" ref="J5:J30" si="2">IF(COUNTA($F5,$K5,$P5)&gt;0,J4+SUM(G5:I5),"")</f>
        <v>43000</v>
      </c>
      <c r="K5" s="8" t="s">
        <v>195</v>
      </c>
      <c r="L5" s="9">
        <v>-8000</v>
      </c>
      <c r="M5" s="9"/>
      <c r="N5" s="48">
        <v>0</v>
      </c>
      <c r="O5" s="21">
        <f t="shared" ref="O5:O30" si="3">IF(COUNTA($F5,$K5,$P5)&gt;0,O4+SUM(L5:N5),"")</f>
        <v>29300</v>
      </c>
      <c r="P5" s="8"/>
      <c r="Q5" s="9"/>
      <c r="R5" s="9"/>
      <c r="S5" s="48"/>
      <c r="T5" s="21">
        <f t="shared" ref="T5:T30" si="4">IF(COUNTA($F5,$K5,$P5)&gt;0,T4+SUM(Q5:S5),"")</f>
        <v>32700</v>
      </c>
      <c r="U5" s="53">
        <f>IF($J5="","",ROUND(($J5-$J$3)/1000,1)+(_xlfn.RANK.AVG($J5,($J5,$O5,$T5),1)-2)*10)</f>
        <v>18</v>
      </c>
      <c r="V5" s="54">
        <f>IF($O5="","",ROUND(($O5-$O$3)/1000,1)+(_xlfn.RANK.AVG($O5,($J5,$O5,$T5),1)-2)*10)</f>
        <v>-15.7</v>
      </c>
      <c r="W5" s="55">
        <f>IF($T5="","",ROUND(($T5-$T$3)/1000,1)+(_xlfn.RANK.AVG($T5,($J5,$O5,$T5),1)-2)*10)</f>
        <v>-2.2999999999999998</v>
      </c>
      <c r="Y5" s="8"/>
      <c r="Z5" s="34"/>
      <c r="AA5" s="26"/>
      <c r="AB5" s="26">
        <v>1</v>
      </c>
      <c r="AC5" s="26">
        <v>5</v>
      </c>
      <c r="AD5" s="30" t="s">
        <v>197</v>
      </c>
      <c r="AE5" s="40" t="s">
        <v>86</v>
      </c>
      <c r="AF5" s="41" t="s">
        <v>98</v>
      </c>
      <c r="AG5" s="41" t="s">
        <v>100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198</v>
      </c>
      <c r="G6" s="9">
        <v>-4800</v>
      </c>
      <c r="H6" s="9"/>
      <c r="I6" s="48">
        <v>0</v>
      </c>
      <c r="J6" s="21">
        <f t="shared" si="2"/>
        <v>38200</v>
      </c>
      <c r="K6" s="8" t="s">
        <v>198</v>
      </c>
      <c r="L6" s="9">
        <v>-4800</v>
      </c>
      <c r="M6" s="9"/>
      <c r="N6" s="48">
        <v>0</v>
      </c>
      <c r="O6" s="21">
        <f t="shared" si="3"/>
        <v>24500</v>
      </c>
      <c r="P6" s="8" t="s">
        <v>199</v>
      </c>
      <c r="Q6" s="9">
        <v>9600</v>
      </c>
      <c r="R6" s="9"/>
      <c r="S6" s="48">
        <v>0</v>
      </c>
      <c r="T6" s="21">
        <f t="shared" si="4"/>
        <v>42300</v>
      </c>
      <c r="U6" s="53">
        <f>IF($J6="","",ROUND(($J6-$J$3)/1000,1)+(_xlfn.RANK.AVG($J6,($J6,$O6,$T6),1)-2)*10)</f>
        <v>3.2</v>
      </c>
      <c r="V6" s="54">
        <f>IF($O6="","",ROUND(($O6-$O$3)/1000,1)+(_xlfn.RANK.AVG($O6,($J6,$O6,$T6),1)-2)*10)</f>
        <v>-20.5</v>
      </c>
      <c r="W6" s="55">
        <f>IF($T6="","",ROUND(($T6-$T$3)/1000,1)+(_xlfn.RANK.AVG($T6,($J6,$O6,$T6),1)-2)*10)</f>
        <v>17.3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25</v>
      </c>
      <c r="BU6" s="40" t="s">
        <v>82</v>
      </c>
      <c r="BV6" s="41" t="s">
        <v>101</v>
      </c>
      <c r="BW6" s="41" t="s">
        <v>200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/>
      <c r="G7" s="9"/>
      <c r="H7" s="9"/>
      <c r="I7" s="48"/>
      <c r="J7" s="21">
        <f t="shared" si="2"/>
        <v>38200</v>
      </c>
      <c r="K7" s="8" t="s">
        <v>194</v>
      </c>
      <c r="L7" s="9">
        <v>8000</v>
      </c>
      <c r="M7" s="9"/>
      <c r="N7" s="48">
        <v>1000</v>
      </c>
      <c r="O7" s="21">
        <f t="shared" si="3"/>
        <v>33500</v>
      </c>
      <c r="P7" s="8" t="s">
        <v>195</v>
      </c>
      <c r="Q7" s="9">
        <v>-8000</v>
      </c>
      <c r="R7" s="9"/>
      <c r="S7" s="48">
        <v>-1000</v>
      </c>
      <c r="T7" s="21">
        <f t="shared" si="4"/>
        <v>33300</v>
      </c>
      <c r="U7" s="53">
        <f>IF($J7="","",ROUND(($J7-$J$3)/1000,1)+(_xlfn.RANK.AVG($J7,($J7,$O7,$T7),1)-2)*10)</f>
        <v>13.2</v>
      </c>
      <c r="V7" s="54">
        <f>IF($O7="","",ROUND(($O7-$O$3)/1000,1)+(_xlfn.RANK.AVG($O7,($J7,$O7,$T7),1)-2)*10)</f>
        <v>-1.5</v>
      </c>
      <c r="W7" s="55">
        <f>IF($T7="","",ROUND(($T7-$T$3)/1000,1)+(_xlfn.RANK.AVG($T7,($J7,$O7,$T7),1)-2)*10)</f>
        <v>-11.7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197</v>
      </c>
      <c r="AZ7" s="40" t="s">
        <v>196</v>
      </c>
      <c r="BA7" s="41" t="s">
        <v>86</v>
      </c>
      <c r="BB7" s="41" t="s">
        <v>79</v>
      </c>
      <c r="BC7" s="41" t="s">
        <v>79</v>
      </c>
      <c r="BD7" s="41" t="s">
        <v>200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たかの</v>
      </c>
      <c r="F8" s="8" t="s">
        <v>198</v>
      </c>
      <c r="G8" s="9">
        <v>-7500</v>
      </c>
      <c r="H8" s="9"/>
      <c r="I8" s="48">
        <v>0</v>
      </c>
      <c r="J8" s="21">
        <f t="shared" si="2"/>
        <v>30700</v>
      </c>
      <c r="K8" s="8" t="s">
        <v>198</v>
      </c>
      <c r="L8" s="9">
        <v>-4500</v>
      </c>
      <c r="M8" s="9"/>
      <c r="N8" s="48">
        <v>0</v>
      </c>
      <c r="O8" s="21">
        <f t="shared" si="3"/>
        <v>29000</v>
      </c>
      <c r="P8" s="8" t="s">
        <v>199</v>
      </c>
      <c r="Q8" s="9">
        <v>12000</v>
      </c>
      <c r="R8" s="9"/>
      <c r="S8" s="48">
        <v>0</v>
      </c>
      <c r="T8" s="21">
        <f t="shared" si="4"/>
        <v>45300</v>
      </c>
      <c r="U8" s="53">
        <f>IF($J8="","",ROUND(($J8-$J$3)/1000,1)+(_xlfn.RANK.AVG($J8,($J8,$O8,$T8),1)-2)*10)</f>
        <v>-4.3</v>
      </c>
      <c r="V8" s="54">
        <f>IF($O8="","",ROUND(($O8-$O$3)/1000,1)+(_xlfn.RANK.AVG($O8,($J8,$O8,$T8),1)-2)*10)</f>
        <v>-16</v>
      </c>
      <c r="W8" s="55">
        <f>IF($T8="","",ROUND(($T8-$T$3)/1000,1)+(_xlfn.RANK.AVG($T8,($J8,$O8,$T8),1)-2)*10)</f>
        <v>20.3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6</v>
      </c>
      <c r="BT8" s="30" t="s">
        <v>197</v>
      </c>
      <c r="BU8" s="40" t="s">
        <v>82</v>
      </c>
      <c r="BV8" s="41" t="s">
        <v>104</v>
      </c>
      <c r="BW8" s="41" t="s">
        <v>101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/>
      <c r="G9" s="9"/>
      <c r="H9" s="9"/>
      <c r="I9" s="48"/>
      <c r="J9" s="21">
        <f t="shared" si="2"/>
        <v>30700</v>
      </c>
      <c r="K9" s="8" t="s">
        <v>195</v>
      </c>
      <c r="L9" s="9">
        <v>-5200</v>
      </c>
      <c r="M9" s="9"/>
      <c r="N9" s="48">
        <v>0</v>
      </c>
      <c r="O9" s="21">
        <f t="shared" si="3"/>
        <v>23800</v>
      </c>
      <c r="P9" s="8" t="s">
        <v>194</v>
      </c>
      <c r="Q9" s="9">
        <v>5200</v>
      </c>
      <c r="R9" s="9"/>
      <c r="S9" s="48">
        <v>0</v>
      </c>
      <c r="T9" s="21">
        <f t="shared" si="4"/>
        <v>50500</v>
      </c>
      <c r="U9" s="53">
        <f>IF($J9="","",ROUND(($J9-$J$3)/1000,1)+(_xlfn.RANK.AVG($J9,($J9,$O9,$T9),1)-2)*10)</f>
        <v>-4.3</v>
      </c>
      <c r="V9" s="54">
        <f>IF($O9="","",ROUND(($O9-$O$3)/1000,1)+(_xlfn.RANK.AVG($O9,($J9,$O9,$T9),1)-2)*10)</f>
        <v>-21.2</v>
      </c>
      <c r="W9" s="55">
        <f>IF($T9="","",ROUND(($T9-$T$3)/1000,1)+(_xlfn.RANK.AVG($T9,($J9,$O9,$T9),1)-2)*10)</f>
        <v>25.5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196</v>
      </c>
      <c r="BV9" s="41" t="s">
        <v>86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195</v>
      </c>
      <c r="G10" s="9">
        <v>-12000</v>
      </c>
      <c r="H10" s="9"/>
      <c r="I10" s="48">
        <v>0</v>
      </c>
      <c r="J10" s="21">
        <f t="shared" si="2"/>
        <v>18700</v>
      </c>
      <c r="K10" s="8" t="s">
        <v>194</v>
      </c>
      <c r="L10" s="9">
        <v>12000</v>
      </c>
      <c r="M10" s="9"/>
      <c r="N10" s="48">
        <v>0</v>
      </c>
      <c r="O10" s="21">
        <f t="shared" si="3"/>
        <v>35800</v>
      </c>
      <c r="P10" s="8"/>
      <c r="Q10" s="9"/>
      <c r="R10" s="9"/>
      <c r="S10" s="48"/>
      <c r="T10" s="21">
        <f t="shared" si="4"/>
        <v>50500</v>
      </c>
      <c r="U10" s="53">
        <f>IF($J10="","",ROUND(($J10-$J$3)/1000,1)+(_xlfn.RANK.AVG($J10,($J10,$O10,$T10),1)-2)*10)</f>
        <v>-26.3</v>
      </c>
      <c r="V10" s="54">
        <f>IF($O10="","",ROUND(($O10-$O$3)/1000,1)+(_xlfn.RANK.AVG($O10,($J10,$O10,$T10),1)-2)*10)</f>
        <v>0.8</v>
      </c>
      <c r="W10" s="55">
        <f>IF($T10="","",ROUND(($T10-$T$3)/1000,1)+(_xlfn.RANK.AVG($T10,($J10,$O10,$T10),1)-2)*10)</f>
        <v>25.5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6</v>
      </c>
      <c r="AY10" s="30" t="s">
        <v>197</v>
      </c>
      <c r="AZ10" s="40" t="s">
        <v>106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3138985-5A4A-4D56-A79C-95F5E40E752C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A9483-D124-4935-813C-A2CB11D0682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203</v>
      </c>
      <c r="G4" s="9">
        <v>3000</v>
      </c>
      <c r="H4" s="9"/>
      <c r="I4" s="48"/>
      <c r="J4" s="21">
        <f>IF(COUNTA($F4,$K4,$P4)&gt;0,J3+SUM(G4:I4),"")</f>
        <v>38000</v>
      </c>
      <c r="K4" s="8" t="s">
        <v>203</v>
      </c>
      <c r="L4" s="9">
        <v>-1500</v>
      </c>
      <c r="M4" s="9"/>
      <c r="N4" s="48"/>
      <c r="O4" s="21">
        <f>IF(COUNTA($F4,$K4,$P4)&gt;0,O3+SUM(L4:N4),"")</f>
        <v>33500</v>
      </c>
      <c r="P4" s="8" t="s">
        <v>203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13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 t="s">
        <v>201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たかの</v>
      </c>
      <c r="F5" s="8" t="s">
        <v>199</v>
      </c>
      <c r="G5" s="9">
        <v>18000</v>
      </c>
      <c r="H5" s="9"/>
      <c r="I5" s="48">
        <v>1000</v>
      </c>
      <c r="J5" s="21">
        <f t="shared" ref="J5:J30" si="2">IF(COUNTA($F5,$K5,$P5)&gt;0,J4+SUM(G5:I5),"")</f>
        <v>57000</v>
      </c>
      <c r="K5" s="8" t="s">
        <v>198</v>
      </c>
      <c r="L5" s="9">
        <v>-9000</v>
      </c>
      <c r="M5" s="9"/>
      <c r="N5" s="48">
        <v>-500</v>
      </c>
      <c r="O5" s="21">
        <f t="shared" ref="O5:O30" si="3">IF(COUNTA($F5,$K5,$P5)&gt;0,O4+SUM(L5:N5),"")</f>
        <v>24000</v>
      </c>
      <c r="P5" s="8" t="s">
        <v>198</v>
      </c>
      <c r="Q5" s="9">
        <v>-9000</v>
      </c>
      <c r="R5" s="9"/>
      <c r="S5" s="48">
        <v>-500</v>
      </c>
      <c r="T5" s="21">
        <f t="shared" ref="T5:T30" si="4">IF(COUNTA($F5,$K5,$P5)&gt;0,T4+SUM(Q5:S5),"")</f>
        <v>24000</v>
      </c>
      <c r="U5" s="53">
        <f>IF($J5="","",ROUND(($J5-$J$3)/1000,1)+(_xlfn.RANK.AVG($J5,($J5,$O5,$T5),1)-2)*10)</f>
        <v>32</v>
      </c>
      <c r="V5" s="54">
        <f>IF($O5="","",ROUND(($O5-$O$3)/1000,1)+(_xlfn.RANK.AVG($O5,($J5,$O5,$T5),1)-2)*10)</f>
        <v>-16</v>
      </c>
      <c r="W5" s="55">
        <f>IF($T5="","",ROUND(($T5-$T$3)/1000,1)+(_xlfn.RANK.AVG($T5,($J5,$O5,$T5),1)-2)*10)</f>
        <v>-16</v>
      </c>
      <c r="Y5" s="8"/>
      <c r="Z5" s="34"/>
      <c r="AA5" s="26">
        <v>1</v>
      </c>
      <c r="AB5" s="26"/>
      <c r="AC5" s="26">
        <v>6</v>
      </c>
      <c r="AD5" s="30" t="s">
        <v>197</v>
      </c>
      <c r="AE5" s="40" t="s">
        <v>196</v>
      </c>
      <c r="AF5" s="41" t="s">
        <v>82</v>
      </c>
      <c r="AG5" s="41" t="s">
        <v>204</v>
      </c>
      <c r="AH5" s="41" t="s">
        <v>86</v>
      </c>
      <c r="AI5" s="41" t="s">
        <v>79</v>
      </c>
      <c r="AJ5" s="41" t="s">
        <v>80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たかの</v>
      </c>
      <c r="F6" s="8" t="s">
        <v>199</v>
      </c>
      <c r="G6" s="9">
        <v>12000</v>
      </c>
      <c r="H6" s="9"/>
      <c r="I6" s="48">
        <v>2000</v>
      </c>
      <c r="J6" s="21">
        <f t="shared" si="2"/>
        <v>71000</v>
      </c>
      <c r="K6" s="8" t="s">
        <v>198</v>
      </c>
      <c r="L6" s="9">
        <v>-6000</v>
      </c>
      <c r="M6" s="9"/>
      <c r="N6" s="48">
        <v>-1000</v>
      </c>
      <c r="O6" s="21">
        <f t="shared" si="3"/>
        <v>17000</v>
      </c>
      <c r="P6" s="8" t="s">
        <v>198</v>
      </c>
      <c r="Q6" s="9">
        <v>-6000</v>
      </c>
      <c r="R6" s="9"/>
      <c r="S6" s="48">
        <v>-1000</v>
      </c>
      <c r="T6" s="21">
        <f t="shared" si="4"/>
        <v>17000</v>
      </c>
      <c r="U6" s="53">
        <f>IF($J6="","",ROUND(($J6-$J$3)/1000,1)+(_xlfn.RANK.AVG($J6,($J6,$O6,$T6),1)-2)*10)</f>
        <v>46</v>
      </c>
      <c r="V6" s="54">
        <f>IF($O6="","",ROUND(($O6-$O$3)/1000,1)+(_xlfn.RANK.AVG($O6,($J6,$O6,$T6),1)-2)*10)</f>
        <v>-23</v>
      </c>
      <c r="W6" s="55">
        <f>IF($T6="","",ROUND(($T6-$T$3)/1000,1)+(_xlfn.RANK.AVG($T6,($J6,$O6,$T6),1)-2)*10)</f>
        <v>-23</v>
      </c>
      <c r="Y6" s="8"/>
      <c r="Z6" s="34"/>
      <c r="AA6" s="26"/>
      <c r="AB6" s="26"/>
      <c r="AC6" s="26">
        <v>5</v>
      </c>
      <c r="AD6" s="30" t="s">
        <v>197</v>
      </c>
      <c r="AE6" s="40" t="s">
        <v>82</v>
      </c>
      <c r="AF6" s="41" t="s">
        <v>92</v>
      </c>
      <c r="AG6" s="41" t="s">
        <v>200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たかの</v>
      </c>
      <c r="F7" s="8" t="s">
        <v>199</v>
      </c>
      <c r="G7" s="9">
        <v>18000</v>
      </c>
      <c r="H7" s="9"/>
      <c r="I7" s="48">
        <v>3000</v>
      </c>
      <c r="J7" s="21">
        <f t="shared" si="2"/>
        <v>92000</v>
      </c>
      <c r="K7" s="8" t="s">
        <v>198</v>
      </c>
      <c r="L7" s="9">
        <v>-9000</v>
      </c>
      <c r="M7" s="9"/>
      <c r="N7" s="48">
        <v>-1500</v>
      </c>
      <c r="O7" s="21">
        <f t="shared" si="3"/>
        <v>6500</v>
      </c>
      <c r="P7" s="8" t="s">
        <v>198</v>
      </c>
      <c r="Q7" s="9">
        <v>-9000</v>
      </c>
      <c r="R7" s="9"/>
      <c r="S7" s="48">
        <v>-1500</v>
      </c>
      <c r="T7" s="21">
        <f t="shared" si="4"/>
        <v>6500</v>
      </c>
      <c r="U7" s="53">
        <f>IF($J7="","",ROUND(($J7-$J$3)/1000,1)+(_xlfn.RANK.AVG($J7,($J7,$O7,$T7),1)-2)*10)</f>
        <v>67</v>
      </c>
      <c r="V7" s="54">
        <f>IF($O7="","",ROUND(($O7-$O$3)/1000,1)+(_xlfn.RANK.AVG($O7,($J7,$O7,$T7),1)-2)*10)</f>
        <v>-33.5</v>
      </c>
      <c r="W7" s="55">
        <f>IF($T7="","",ROUND(($T7-$T$3)/1000,1)+(_xlfn.RANK.AVG($T7,($J7,$O7,$T7),1)-2)*10)</f>
        <v>-33.5</v>
      </c>
      <c r="Y7" s="8"/>
      <c r="Z7" s="34"/>
      <c r="AA7" s="26"/>
      <c r="AB7" s="26">
        <v>1</v>
      </c>
      <c r="AC7" s="26">
        <v>7</v>
      </c>
      <c r="AD7" s="30" t="s">
        <v>197</v>
      </c>
      <c r="AE7" s="40" t="s">
        <v>98</v>
      </c>
      <c r="AF7" s="41" t="s">
        <v>96</v>
      </c>
      <c r="AG7" s="41" t="s">
        <v>79</v>
      </c>
      <c r="AH7" s="41" t="s">
        <v>79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tr">
        <f>IF($F$1="","",$F$1)</f>
        <v>たかの</v>
      </c>
      <c r="F8" s="8" t="s">
        <v>198</v>
      </c>
      <c r="G8" s="9">
        <v>-1300</v>
      </c>
      <c r="H8" s="9"/>
      <c r="I8" s="48">
        <v>-2000</v>
      </c>
      <c r="J8" s="21">
        <f t="shared" si="2"/>
        <v>88700</v>
      </c>
      <c r="K8" s="8" t="s">
        <v>199</v>
      </c>
      <c r="L8" s="9">
        <v>2100</v>
      </c>
      <c r="M8" s="9"/>
      <c r="N8" s="48">
        <v>4000</v>
      </c>
      <c r="O8" s="21">
        <f t="shared" si="3"/>
        <v>12600</v>
      </c>
      <c r="P8" s="8" t="s">
        <v>198</v>
      </c>
      <c r="Q8" s="9">
        <v>-800</v>
      </c>
      <c r="R8" s="9"/>
      <c r="S8" s="48">
        <v>-2000</v>
      </c>
      <c r="T8" s="21">
        <f t="shared" si="4"/>
        <v>3700</v>
      </c>
      <c r="U8" s="53">
        <f>IF($J8="","",ROUND(($J8-$J$3)/1000,1)+(_xlfn.RANK.AVG($J8,($J8,$O8,$T8),1)-2)*10)</f>
        <v>63.7</v>
      </c>
      <c r="V8" s="54">
        <f>IF($O8="","",ROUND(($O8-$O$3)/1000,1)+(_xlfn.RANK.AVG($O8,($J8,$O8,$T8),1)-2)*10)</f>
        <v>-22.4</v>
      </c>
      <c r="W8" s="55">
        <f>IF($T8="","",ROUND(($T8-$T$3)/1000,1)+(_xlfn.RANK.AVG($T8,($J8,$O8,$T8),1)-2)*10)</f>
        <v>-41.3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30</v>
      </c>
      <c r="AZ8" s="40" t="s">
        <v>82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198</v>
      </c>
      <c r="G9" s="9">
        <v>-9000</v>
      </c>
      <c r="H9" s="9"/>
      <c r="I9" s="48">
        <v>0</v>
      </c>
      <c r="J9" s="21">
        <f t="shared" si="2"/>
        <v>79700</v>
      </c>
      <c r="K9" s="8" t="s">
        <v>199</v>
      </c>
      <c r="L9" s="9">
        <v>18000</v>
      </c>
      <c r="M9" s="9"/>
      <c r="N9" s="48">
        <v>0</v>
      </c>
      <c r="O9" s="21">
        <f t="shared" si="3"/>
        <v>30600</v>
      </c>
      <c r="P9" s="8" t="s">
        <v>198</v>
      </c>
      <c r="Q9" s="9">
        <v>-9000</v>
      </c>
      <c r="R9" s="9"/>
      <c r="S9" s="48">
        <v>0</v>
      </c>
      <c r="T9" s="21">
        <f t="shared" si="4"/>
        <v>-5300</v>
      </c>
      <c r="U9" s="53">
        <f>IF($J9="","",ROUND(($J9-$J$3)/1000,1)+(_xlfn.RANK.AVG($J9,($J9,$O9,$T9),1)-2)*10)</f>
        <v>54.7</v>
      </c>
      <c r="V9" s="54">
        <f>IF($O9="","",ROUND(($O9-$O$3)/1000,1)+(_xlfn.RANK.AVG($O9,($J9,$O9,$T9),1)-2)*10)</f>
        <v>-4.4000000000000004</v>
      </c>
      <c r="W9" s="55">
        <f>IF($T9="","",ROUND(($T9-$T$3)/1000,1)+(_xlfn.RANK.AVG($T9,($J9,$O9,$T9),1)-2)*10)</f>
        <v>-50.3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197</v>
      </c>
      <c r="AZ9" s="40" t="s">
        <v>205</v>
      </c>
      <c r="BA9" s="41" t="s">
        <v>82</v>
      </c>
      <c r="BB9" s="41" t="s">
        <v>83</v>
      </c>
      <c r="BC9" s="41" t="s">
        <v>200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05AF2A67-8EE0-4D86-B87F-6393F717D3D6}">
      <formula1>"れんたろう,ともき,だいち,りくと,まっつん,たかの,のり,ただ,ぱぱ,"</formula1>
    </dataValidation>
    <dataValidation type="list" showInputMessage="1" showErrorMessage="1" sqref="K4:K30 P4:P30 F4:F30" xr:uid="{A8B894CF-7257-462C-B907-51BC2E256B8E}">
      <formula1>"ロン,ツモ,放銃,ツモ支払,流局,チョンボ"</formula1>
    </dataValidation>
    <dataValidation type="list" allowBlank="1" showInputMessage="1" showErrorMessage="1" sqref="E4:E30" xr:uid="{45C495B9-1543-4C87-AC42-ABACADDCF6F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738D-77FF-4FB1-B908-604492773B2B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れんたろう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7700</v>
      </c>
      <c r="H4" s="9"/>
      <c r="I4" s="48">
        <v>0</v>
      </c>
      <c r="J4" s="21">
        <f>IF(COUNTA($F4,$K4,$P4)&gt;0,J3+SUM(G4:I4),"")</f>
        <v>42700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17.7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-17.7</v>
      </c>
      <c r="Y4" s="8"/>
      <c r="Z4" s="34"/>
      <c r="AA4" s="26">
        <v>1</v>
      </c>
      <c r="AB4" s="26"/>
      <c r="AC4" s="26">
        <v>3</v>
      </c>
      <c r="AD4" s="30">
        <v>40</v>
      </c>
      <c r="AE4" s="40" t="s">
        <v>196</v>
      </c>
      <c r="AF4" s="41" t="s">
        <v>204</v>
      </c>
      <c r="AG4" s="41" t="s">
        <v>80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198</v>
      </c>
      <c r="G5" s="9">
        <v>-1300</v>
      </c>
      <c r="H5" s="9">
        <v>-1000</v>
      </c>
      <c r="I5" s="48">
        <v>-500</v>
      </c>
      <c r="J5" s="21">
        <f t="shared" ref="J5:J30" si="2">IF(COUNTA($F5,$K5,$P5)&gt;0,J4+SUM(G5:I5),"")</f>
        <v>39900</v>
      </c>
      <c r="K5" s="8" t="s">
        <v>199</v>
      </c>
      <c r="L5" s="9">
        <v>2100</v>
      </c>
      <c r="M5" s="9">
        <v>1000</v>
      </c>
      <c r="N5" s="48">
        <v>1000</v>
      </c>
      <c r="O5" s="21">
        <f t="shared" ref="O5:O30" si="3">IF(COUNTA($F5,$K5,$P5)&gt;0,O4+SUM(L5:N5),"")</f>
        <v>39100</v>
      </c>
      <c r="P5" s="8" t="s">
        <v>198</v>
      </c>
      <c r="Q5" s="9">
        <v>-800</v>
      </c>
      <c r="R5" s="9"/>
      <c r="S5" s="48">
        <v>-500</v>
      </c>
      <c r="T5" s="21">
        <f t="shared" ref="T5:T30" si="4">IF(COUNTA($F5,$K5,$P5)&gt;0,T4+SUM(Q5:S5),"")</f>
        <v>26000</v>
      </c>
      <c r="U5" s="53">
        <f>IF($J5="","",ROUND(($J5-$J$3)/1000,1)+(_xlfn.RANK.AVG($J5,($J5,$O5,$T5),1)-2)*10)</f>
        <v>14.9</v>
      </c>
      <c r="V5" s="54">
        <f>IF($O5="","",ROUND(($O5-$O$3)/1000,1)+(_xlfn.RANK.AVG($O5,($J5,$O5,$T5),1)-2)*10)</f>
        <v>4.0999999999999996</v>
      </c>
      <c r="W5" s="55">
        <f>IF($T5="","",ROUND(($T5-$T$3)/1000,1)+(_xlfn.RANK.AVG($T5,($J5,$O5,$T5),1)-2)*10)</f>
        <v>-19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30</v>
      </c>
      <c r="AZ5" s="40" t="s">
        <v>86</v>
      </c>
      <c r="BA5" s="41" t="s">
        <v>200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/>
      <c r="G6" s="9"/>
      <c r="H6" s="9"/>
      <c r="I6" s="48"/>
      <c r="J6" s="21">
        <f t="shared" si="2"/>
        <v>39900</v>
      </c>
      <c r="K6" s="8" t="s">
        <v>194</v>
      </c>
      <c r="L6" s="9">
        <v>18000</v>
      </c>
      <c r="M6" s="9"/>
      <c r="N6" s="48">
        <v>0</v>
      </c>
      <c r="O6" s="21">
        <f t="shared" si="3"/>
        <v>57100</v>
      </c>
      <c r="P6" s="8" t="s">
        <v>195</v>
      </c>
      <c r="Q6" s="9">
        <v>-18000</v>
      </c>
      <c r="R6" s="9"/>
      <c r="S6" s="48">
        <v>0</v>
      </c>
      <c r="T6" s="21">
        <f t="shared" si="4"/>
        <v>8000</v>
      </c>
      <c r="U6" s="53">
        <f>IF($J6="","",ROUND(($J6-$J$3)/1000,1)+(_xlfn.RANK.AVG($J6,($J6,$O6,$T6),1)-2)*10)</f>
        <v>4.9000000000000004</v>
      </c>
      <c r="V6" s="54">
        <f>IF($O6="","",ROUND(($O6-$O$3)/1000,1)+(_xlfn.RANK.AVG($O6,($J6,$O6,$T6),1)-2)*10)</f>
        <v>32.1</v>
      </c>
      <c r="W6" s="55">
        <f>IF($T6="","",ROUND(($T6-$T$3)/1000,1)+(_xlfn.RANK.AVG($T6,($J6,$O6,$T6),1)-2)*10)</f>
        <v>-37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7</v>
      </c>
      <c r="AY6" s="30" t="s">
        <v>197</v>
      </c>
      <c r="AZ6" s="40" t="s">
        <v>106</v>
      </c>
      <c r="BA6" s="41" t="s">
        <v>84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れんたろう</v>
      </c>
      <c r="F7" s="8" t="s">
        <v>198</v>
      </c>
      <c r="G7" s="9">
        <v>-5800</v>
      </c>
      <c r="H7" s="9"/>
      <c r="I7" s="48">
        <v>-500</v>
      </c>
      <c r="J7" s="21">
        <f t="shared" si="2"/>
        <v>33600</v>
      </c>
      <c r="K7" s="8" t="s">
        <v>199</v>
      </c>
      <c r="L7" s="9">
        <v>11600</v>
      </c>
      <c r="M7" s="9"/>
      <c r="N7" s="48">
        <v>1000</v>
      </c>
      <c r="O7" s="21">
        <f t="shared" si="3"/>
        <v>69700</v>
      </c>
      <c r="P7" s="8" t="s">
        <v>198</v>
      </c>
      <c r="Q7" s="9">
        <v>-5800</v>
      </c>
      <c r="R7" s="9"/>
      <c r="S7" s="48">
        <v>-500</v>
      </c>
      <c r="T7" s="21">
        <f t="shared" si="4"/>
        <v>1700</v>
      </c>
      <c r="U7" s="53">
        <f>IF($J7="","",ROUND(($J7-$J$3)/1000,1)+(_xlfn.RANK.AVG($J7,($J7,$O7,$T7),1)-2)*10)</f>
        <v>-1.4</v>
      </c>
      <c r="V7" s="54">
        <f>IF($O7="","",ROUND(($O7-$O$3)/1000,1)+(_xlfn.RANK.AVG($O7,($J7,$O7,$T7),1)-2)*10)</f>
        <v>44.7</v>
      </c>
      <c r="W7" s="55">
        <f>IF($T7="","",ROUND(($T7-$T$3)/1000,1)+(_xlfn.RANK.AVG($T7,($J7,$O7,$T7),1)-2)*10)</f>
        <v>-43.3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196</v>
      </c>
      <c r="BA7" s="41" t="s">
        <v>82</v>
      </c>
      <c r="BB7" s="41" t="s">
        <v>200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IF($K$1="","",$K$1)</f>
        <v>れんたろう</v>
      </c>
      <c r="F8" s="8" t="s">
        <v>199</v>
      </c>
      <c r="G8" s="9">
        <v>8000</v>
      </c>
      <c r="H8" s="9"/>
      <c r="I8" s="48">
        <v>2000</v>
      </c>
      <c r="J8" s="21">
        <f t="shared" si="2"/>
        <v>43600</v>
      </c>
      <c r="K8" s="8" t="s">
        <v>198</v>
      </c>
      <c r="L8" s="9">
        <v>-5000</v>
      </c>
      <c r="M8" s="9"/>
      <c r="N8" s="48">
        <v>-1000</v>
      </c>
      <c r="O8" s="21">
        <f t="shared" si="3"/>
        <v>63700</v>
      </c>
      <c r="P8" s="8" t="s">
        <v>198</v>
      </c>
      <c r="Q8" s="9">
        <v>-3000</v>
      </c>
      <c r="R8" s="9"/>
      <c r="S8" s="48">
        <v>-1000</v>
      </c>
      <c r="T8" s="21">
        <f t="shared" si="4"/>
        <v>-2300</v>
      </c>
      <c r="U8" s="53">
        <f>IF($J8="","",ROUND(($J8-$J$3)/1000,1)+(_xlfn.RANK.AVG($J8,($J8,$O8,$T8),1)-2)*10)</f>
        <v>8.6</v>
      </c>
      <c r="V8" s="54">
        <f>IF($O8="","",ROUND(($O8-$O$3)/1000,1)+(_xlfn.RANK.AVG($O8,($J8,$O8,$T8),1)-2)*10)</f>
        <v>38.700000000000003</v>
      </c>
      <c r="W8" s="55">
        <f>IF($T8="","",ROUND(($T8-$T$3)/1000,1)+(_xlfn.RANK.AVG($T8,($J8,$O8,$T8),1)-2)*10)</f>
        <v>-47.3</v>
      </c>
      <c r="Y8" s="8"/>
      <c r="Z8" s="34"/>
      <c r="AA8" s="26">
        <v>1</v>
      </c>
      <c r="AB8" s="26"/>
      <c r="AC8" s="26">
        <v>5</v>
      </c>
      <c r="AD8" s="30" t="s">
        <v>197</v>
      </c>
      <c r="AE8" s="40" t="s">
        <v>196</v>
      </c>
      <c r="AF8" s="41" t="s">
        <v>83</v>
      </c>
      <c r="AG8" s="41" t="s">
        <v>82</v>
      </c>
      <c r="AH8" s="41" t="s">
        <v>200</v>
      </c>
      <c r="AI8" s="41" t="s">
        <v>80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たかの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EE515DC3-9008-4F33-A48C-A8D723806409}">
      <formula1>$U$2:$W$2</formula1>
    </dataValidation>
    <dataValidation type="list" showInputMessage="1" showErrorMessage="1" sqref="K4:K30 P4:P30 F4:F30" xr:uid="{A5FE8E1E-CC61-4DC3-B425-2CA238F52D21}">
      <formula1>"ロン,ツモ,放銃,ツモ支払,流局,チョンボ"</formula1>
    </dataValidation>
    <dataValidation type="list" allowBlank="1" showInputMessage="1" sqref="F1:T1" xr:uid="{FFF1E952-9685-4A5E-A943-8AF8514A01DA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2020-06-07T05:46:39Z</dcterms:modified>
</cp:coreProperties>
</file>