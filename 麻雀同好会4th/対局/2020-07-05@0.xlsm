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ntaro\Desktop\mahjong\麻雀同好会4th\対局\"/>
    </mc:Choice>
  </mc:AlternateContent>
  <xr:revisionPtr revIDLastSave="0" documentId="13_ncr:1_{5D5F7E47-6963-4904-B679-3E5DC23F90A0}" xr6:coauthVersionLast="44" xr6:coauthVersionMax="44" xr10:uidLastSave="{00000000-0000-0000-0000-000000000000}"/>
  <bookViews>
    <workbookView xWindow="-110" yWindow="-110" windowWidth="19420" windowHeight="110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19" l="1"/>
  <c r="E12" i="19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12" i="19" l="1"/>
  <c r="W12" i="19"/>
  <c r="W11" i="19"/>
  <c r="U11" i="19"/>
  <c r="V11" i="19"/>
  <c r="U10" i="19"/>
  <c r="U9" i="19"/>
  <c r="V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<sst xmlns="http://schemas.openxmlformats.org/spreadsheetml/2006/main" count="580" uniqueCount="204">
  <si>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</si>
  <si>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</si>
  <si>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</si>
  <si>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</si>
  <si>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</si>
  <si>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</si>
  <si>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</si>
  <si>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</si>
  <si>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</si>
  <si>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</si>
  <si>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</si>
  <si>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</si>
  <si>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</si>
  <si>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</si>
  <si>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</si>
  <si>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</si>
  <si>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</si>
  <si>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</si>
  <si>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</si>
  <si>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</si>
  <si>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</si>
  <si>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</si>
  <si>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</si>
  <si>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</si>
  <si>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</si>
  <si>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</si>
  <si>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</si>
  <si>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</si>
  <si>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</si>
  <si>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</si>
  <si>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</si>
  <si>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</si>
  <si>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</si>
  <si>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</si>
  <si>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</si>
  <si>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</si>
  <si>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</si>
  <si>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</si>
  <si>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</si>
  <si>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</si>
  <si>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</si>
  <si>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</si>
  <si>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</si>
  <si>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</si>
  <si>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</si>
  <si>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</si>
  <si>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</si>
  <si>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</si>
  <si>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</si>
  <si>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</si>
  <si>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</si>
  <si>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</si>
  <si>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</si>
  <si>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</si>
  <si>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</si>
  <si>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</si>
  <si>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</si>
  <si>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</si>
  <si>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</si>
  <si>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</si>
  <si>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</si>
  <si>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</si>
  <si>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</si>
  <si>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</si>
  <si>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</si>
  <si>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</si>
  <si>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</si>
  <si>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</si>
  <si>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</si>
  <si>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</si>
  <si>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</si>
  <si>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</si>
  <si>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</si>
  <si>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</si>
  <si>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</si>
  <si>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</si>
  <si>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</si>
  <si>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</si>
  <si>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</si>
  <si>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</si>
  <si>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</si>
  <si>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</si>
  <si>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</si>
  <si>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</si>
  <si>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</si>
  <si>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</si>
  <si>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</si>
  <si>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</si>
  <si>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</si>
  <si>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</si>
  <si>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</si>
  <si>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</si>
  <si>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</si>
  <si>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</si>
  <si>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</si>
  <si>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</si>
  <si>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</si>
  <si>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</si>
  <si>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</si>
  <si>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</si>
  <si>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</si>
  <si>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</si>
  <si>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</si>
  <si>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</si>
  <si>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</si>
  <si>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</si>
  <si>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</si>
  <si>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</si>
  <si>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</si>
  <si>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</si>
  <si>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</si>
  <si>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</si>
  <si>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</si>
  <si>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</si>
  <si>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</si>
  <si>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</si>
  <si>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</si>
  <si>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</si>
  <si>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</si>
  <si>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</si>
  <si>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</si>
  <si>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</si>
  <si>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</si>
  <si>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</si>
  <si>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</si>
  <si>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</si>
  <si>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</si>
  <si>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</si>
  <si>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</si>
  <si>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</si>
  <si>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</si>
  <si>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</si>
  <si>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</si>
  <si>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</si>
  <si>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</si>
  <si>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</si>
  <si>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</si>
  <si>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</si>
  <si>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</si>
  <si>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</si>
  <si>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</si>
  <si>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</si>
  <si>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</si>
  <si>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</si>
  <si>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</si>
  <si>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</si>
  <si>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</si>
  <si>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</si>
  <si>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</si>
  <si>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</si>
  <si>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</si>
  <si>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</si>
  <si>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</si>
  <si>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</si>
  <si>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</si>
  <si>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</si>
  <si>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</si>
  <si>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</si>
  <si>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</si>
  <si>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</si>
  <si>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</si>
  <si>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</si>
  <si>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</si>
  <si>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</si>
  <si>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</si>
  <si>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</si>
  <si>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</si>
  <si>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</si>
  <si>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</si>
  <si>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</si>
  <si>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</si>
  <si>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</si>
  <si>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</si>
  <si>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</si>
  <si>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</si>
  <si>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</si>
  <si>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</si>
  <si>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</si>
  <si>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</si>
  <si>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</si>
  <si>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</si>
  <si>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</si>
  <si>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</si>
  <si>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</si>
  <si>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</si>
  <si>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</si>
  <si>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</si>
  <si>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</si>
  <si>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</si>
  <si>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</si>
  <si>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</si>
  <si>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のり</t>
    <phoneticPr fontId="1"/>
  </si>
  <si>
    <t>まっつん</t>
    <phoneticPr fontId="1"/>
  </si>
  <si>
    <t>れんたろう</t>
    <phoneticPr fontId="1"/>
  </si>
  <si>
    <t>ロン</t>
  </si>
  <si>
    <t>放銃</t>
  </si>
  <si>
    <t>*</t>
  </si>
  <si>
    <t>ツモ支払</t>
  </si>
  <si>
    <t>ツモ</t>
  </si>
  <si>
    <t>T</t>
  </si>
  <si>
    <t>流局</t>
    <phoneticPr fontId="1"/>
  </si>
  <si>
    <t>N</t>
  </si>
  <si>
    <t>52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</si>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</sst>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55000000000000004"/>
  <cols>
    <col min="1" max="4" width="5.16406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5500000000000000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のり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まっつん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れんたろう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5500000000000000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のり</v>
      </c>
      <c r="V2" s="64" t="str">
        <f>$K$1</f>
        <v>まっつん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5500000000000000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5500000000000000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のり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195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6</v>
      </c>
      <c r="AY4" s="30" t="s">
        <v>196</v>
      </c>
      <c r="AZ4" s="40" t="s">
        <v>86</v>
      </c>
      <c r="BA4" s="41" t="s">
        <v>86</v>
      </c>
      <c r="BB4" s="41" t="s">
        <v>79</v>
      </c>
      <c r="BC4" s="41" t="s">
        <v>79</v>
      </c>
      <c r="BD4" s="41" t="s">
        <v>79</v>
      </c>
      <c r="BE4" s="41" t="s">
        <v>93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5500000000000000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まっつん</v>
      </c>
      <c r="F5" s="8" t="s">
        <v>197</v>
      </c>
      <c r="G5" s="9">
        <v>-3000</v>
      </c>
      <c r="H5" s="9"/>
      <c r="I5" s="48">
        <v>0</v>
      </c>
      <c r="J5" s="21">
        <f t="shared" ref="J5:J30" si="2">IF(COUNTA($F5,$K5,$P5)&gt;0,J4+SUM(G5:I5),"")</f>
        <v>32000</v>
      </c>
      <c r="K5" s="8" t="s">
        <v>197</v>
      </c>
      <c r="L5" s="9">
        <v>-5000</v>
      </c>
      <c r="M5" s="9"/>
      <c r="N5" s="48">
        <v>0</v>
      </c>
      <c r="O5" s="21">
        <f t="shared" ref="O5:O30" si="3">IF(COUNTA($F5,$K5,$P5)&gt;0,O4+SUM(L5:N5),"")</f>
        <v>42000</v>
      </c>
      <c r="P5" s="8" t="s">
        <v>198</v>
      </c>
      <c r="Q5" s="9">
        <v>8000</v>
      </c>
      <c r="R5" s="9"/>
      <c r="S5" s="48">
        <v>0</v>
      </c>
      <c r="T5" s="21">
        <f t="shared" ref="T5:T30" si="4">IF(COUNTA($F5,$K5,$P5)&gt;0,T4+SUM(Q5:S5),"")</f>
        <v>31000</v>
      </c>
      <c r="U5" s="53">
        <f>IF($J5="","",ROUND(($J5-$J$3)/1000,1)+(_xlfn.RANK.AVG($J5,($J5,$O5,$T5),1)-2)*10)</f>
        <v>-3</v>
      </c>
      <c r="V5" s="54">
        <f>IF($O5="","",ROUND(($O5-$O$3)/1000,1)+(_xlfn.RANK.AVG($O5,($J5,$O5,$T5),1)-2)*10)</f>
        <v>17</v>
      </c>
      <c r="W5" s="55">
        <f>IF($T5="","",ROUND(($T5-$T$3)/1000,1)+(_xlfn.RANK.AVG($T5,($J5,$O5,$T5),1)-2)*10)</f>
        <v>-14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196</v>
      </c>
      <c r="BU5" s="40" t="s">
        <v>106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5500000000000000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 t="s">
        <v>200</v>
      </c>
      <c r="G6" s="9">
        <v>0</v>
      </c>
      <c r="H6" s="9">
        <v>-1000</v>
      </c>
      <c r="I6" s="48"/>
      <c r="J6" s="21">
        <f t="shared" si="2"/>
        <v>31000</v>
      </c>
      <c r="K6" s="8" t="s">
        <v>200</v>
      </c>
      <c r="L6" s="9">
        <v>0</v>
      </c>
      <c r="M6" s="9"/>
      <c r="N6" s="48"/>
      <c r="O6" s="21">
        <f t="shared" si="3"/>
        <v>42000</v>
      </c>
      <c r="P6" s="8" t="s">
        <v>200</v>
      </c>
      <c r="Q6" s="9">
        <v>0</v>
      </c>
      <c r="R6" s="9"/>
      <c r="S6" s="48"/>
      <c r="T6" s="21">
        <f t="shared" si="4"/>
        <v>31000</v>
      </c>
      <c r="U6" s="53">
        <f>IF($J6="","",ROUND(($J6-$J$3)/1000,1)+(_xlfn.RANK.AVG($J6,($J6,$O6,$T6),1)-2)*10)</f>
        <v>-9</v>
      </c>
      <c r="V6" s="54">
        <f>IF($O6="","",ROUND(($O6-$O$3)/1000,1)+(_xlfn.RANK.AVG($O6,($J6,$O6,$T6),1)-2)*10)</f>
        <v>17</v>
      </c>
      <c r="W6" s="55">
        <f>IF($T6="","",ROUND(($T6-$T$3)/1000,1)+(_xlfn.RANK.AVG($T6,($J6,$O6,$T6),1)-2)*10)</f>
        <v>-9</v>
      </c>
      <c r="Y6" s="8" t="s">
        <v>199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199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199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5500000000000000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tr">
        <f>IF($P$1="","",$P$1)</f>
        <v>れんたろう</v>
      </c>
      <c r="F7" s="8" t="s">
        <v>200</v>
      </c>
      <c r="G7" s="9">
        <v>-3000</v>
      </c>
      <c r="H7" s="9"/>
      <c r="I7" s="48"/>
      <c r="J7" s="21">
        <f t="shared" si="2"/>
        <v>28000</v>
      </c>
      <c r="K7" s="8" t="s">
        <v>200</v>
      </c>
      <c r="L7" s="9">
        <v>1500</v>
      </c>
      <c r="M7" s="9"/>
      <c r="N7" s="48"/>
      <c r="O7" s="21">
        <f t="shared" si="3"/>
        <v>43500</v>
      </c>
      <c r="P7" s="8" t="s">
        <v>200</v>
      </c>
      <c r="Q7" s="9">
        <v>1500</v>
      </c>
      <c r="R7" s="9">
        <v>-1000</v>
      </c>
      <c r="S7" s="48"/>
      <c r="T7" s="21">
        <f t="shared" si="4"/>
        <v>31500</v>
      </c>
      <c r="U7" s="53">
        <f>IF($J7="","",ROUND(($J7-$J$3)/1000,1)+(_xlfn.RANK.AVG($J7,($J7,$O7,$T7),1)-2)*10)</f>
        <v>-17</v>
      </c>
      <c r="V7" s="54">
        <f>IF($O7="","",ROUND(($O7-$O$3)/1000,1)+(_xlfn.RANK.AVG($O7,($J7,$O7,$T7),1)-2)*10)</f>
        <v>18.5</v>
      </c>
      <c r="W7" s="55">
        <f>IF($T7="","",ROUND(($T7-$T$3)/1000,1)+(_xlfn.RANK.AVG($T7,($J7,$O7,$T7),1)-2)*10)</f>
        <v>-3.5</v>
      </c>
      <c r="Y7" s="8" t="s">
        <v>201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199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199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5500000000000000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2</v>
      </c>
      <c r="E8" s="4" t="str">
        <f>IF($P$1="","",$P$1)</f>
        <v>れんたろう</v>
      </c>
      <c r="F8" s="8" t="s">
        <v>194</v>
      </c>
      <c r="G8" s="9">
        <v>3900</v>
      </c>
      <c r="H8" s="9">
        <v>2000</v>
      </c>
      <c r="I8" s="48">
        <v>2000</v>
      </c>
      <c r="J8" s="21">
        <f t="shared" si="2"/>
        <v>35900</v>
      </c>
      <c r="K8" s="8"/>
      <c r="L8" s="9"/>
      <c r="M8" s="9"/>
      <c r="N8" s="48"/>
      <c r="O8" s="21">
        <f t="shared" si="3"/>
        <v>43500</v>
      </c>
      <c r="P8" s="8" t="s">
        <v>195</v>
      </c>
      <c r="Q8" s="9">
        <v>-3900</v>
      </c>
      <c r="R8" s="9"/>
      <c r="S8" s="48">
        <v>-2000</v>
      </c>
      <c r="T8" s="21">
        <f t="shared" si="4"/>
        <v>25600</v>
      </c>
      <c r="U8" s="53">
        <f>IF($J8="","",ROUND(($J8-$J$3)/1000,1)+(_xlfn.RANK.AVG($J8,($J8,$O8,$T8),1)-2)*10)</f>
        <v>0.9</v>
      </c>
      <c r="V8" s="54">
        <f>IF($O8="","",ROUND(($O8-$O$3)/1000,1)+(_xlfn.RANK.AVG($O8,($J8,$O8,$T8),1)-2)*10)</f>
        <v>18.5</v>
      </c>
      <c r="W8" s="55">
        <f>IF($T8="","",ROUND(($T8-$T$3)/1000,1)+(_xlfn.RANK.AVG($T8,($J8,$O8,$T8),1)-2)*10)</f>
        <v>-19.399999999999999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104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5500000000000000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のり</v>
      </c>
      <c r="F9" s="8"/>
      <c r="G9" s="9"/>
      <c r="H9" s="9"/>
      <c r="I9" s="48"/>
      <c r="J9" s="21">
        <f t="shared" si="2"/>
        <v>35900</v>
      </c>
      <c r="K9" s="8" t="s">
        <v>194</v>
      </c>
      <c r="L9" s="9">
        <v>7700</v>
      </c>
      <c r="M9" s="9"/>
      <c r="N9" s="48">
        <v>0</v>
      </c>
      <c r="O9" s="21">
        <f t="shared" si="3"/>
        <v>51200</v>
      </c>
      <c r="P9" s="8" t="s">
        <v>195</v>
      </c>
      <c r="Q9" s="9">
        <v>-7700</v>
      </c>
      <c r="R9" s="9"/>
      <c r="S9" s="48">
        <v>0</v>
      </c>
      <c r="T9" s="21">
        <f t="shared" si="4"/>
        <v>17900</v>
      </c>
      <c r="U9" s="53">
        <f>IF($J9="","",ROUND(($J9-$J$3)/1000,1)+(_xlfn.RANK.AVG($J9,($J9,$O9,$T9),1)-2)*10)</f>
        <v>0.9</v>
      </c>
      <c r="V9" s="54">
        <f>IF($O9="","",ROUND(($O9-$O$3)/1000,1)+(_xlfn.RANK.AVG($O9,($J9,$O9,$T9),1)-2)*10)</f>
        <v>26.2</v>
      </c>
      <c r="W9" s="55">
        <f>IF($T9="","",ROUND(($T9-$T$3)/1000,1)+(_xlfn.RANK.AVG($T9,($J9,$O9,$T9),1)-2)*10)</f>
        <v>-27.1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86</v>
      </c>
      <c r="BA9" s="41" t="s">
        <v>86</v>
      </c>
      <c r="BB9" s="41" t="s">
        <v>86</v>
      </c>
      <c r="BC9" s="41" t="s">
        <v>202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5500000000000000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まっつん</v>
      </c>
      <c r="F10" s="8" t="s">
        <v>197</v>
      </c>
      <c r="G10" s="9">
        <v>-1500</v>
      </c>
      <c r="H10" s="9"/>
      <c r="I10" s="48">
        <v>0</v>
      </c>
      <c r="J10" s="21">
        <f t="shared" si="2"/>
        <v>34400</v>
      </c>
      <c r="K10" s="8" t="s">
        <v>198</v>
      </c>
      <c r="L10" s="9">
        <v>3000</v>
      </c>
      <c r="M10" s="9">
        <v>1000</v>
      </c>
      <c r="N10" s="48">
        <v>0</v>
      </c>
      <c r="O10" s="21">
        <f t="shared" si="3"/>
        <v>55200</v>
      </c>
      <c r="P10" s="8" t="s">
        <v>197</v>
      </c>
      <c r="Q10" s="9">
        <v>-1500</v>
      </c>
      <c r="R10" s="9">
        <v>-1000</v>
      </c>
      <c r="S10" s="48">
        <v>0</v>
      </c>
      <c r="T10" s="21">
        <f t="shared" si="4"/>
        <v>15400</v>
      </c>
      <c r="U10" s="53">
        <f>IF($J10="","",ROUND(($J10-$J$3)/1000,1)+(_xlfn.RANK.AVG($J10,($J10,$O10,$T10),1)-2)*10)</f>
        <v>-0.6</v>
      </c>
      <c r="V10" s="54">
        <f>IF($O10="","",ROUND(($O10-$O$3)/1000,1)+(_xlfn.RANK.AVG($O10,($J10,$O10,$T10),1)-2)*10)</f>
        <v>30.2</v>
      </c>
      <c r="W10" s="55">
        <f>IF($T10="","",ROUND(($T10-$T$3)/1000,1)+(_xlfn.RANK.AVG($T10,($J10,$O10,$T10),1)-2)*10)</f>
        <v>-29.6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2</v>
      </c>
      <c r="AY10" s="30">
        <v>30</v>
      </c>
      <c r="AZ10" s="40" t="s">
        <v>86</v>
      </c>
      <c r="BA10" s="41" t="s">
        <v>202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5500000000000000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まっつん</v>
      </c>
      <c r="F11" s="8" t="s">
        <v>194</v>
      </c>
      <c r="G11" s="9">
        <v>7700</v>
      </c>
      <c r="H11" s="9"/>
      <c r="I11" s="48">
        <v>1000</v>
      </c>
      <c r="J11" s="21">
        <f t="shared" si="2"/>
        <v>43100</v>
      </c>
      <c r="K11" s="8"/>
      <c r="L11" s="9"/>
      <c r="M11" s="9"/>
      <c r="N11" s="48"/>
      <c r="O11" s="21">
        <f t="shared" si="3"/>
        <v>55200</v>
      </c>
      <c r="P11" s="8" t="s">
        <v>195</v>
      </c>
      <c r="Q11" s="9">
        <v>-7700</v>
      </c>
      <c r="R11" s="9"/>
      <c r="S11" s="48">
        <v>-1000</v>
      </c>
      <c r="T11" s="21">
        <f t="shared" si="4"/>
        <v>6700</v>
      </c>
      <c r="U11" s="53">
        <f>IF($J11="","",ROUND(($J11-$J$3)/1000,1)+(_xlfn.RANK.AVG($J11,($J11,$O11,$T11),1)-2)*10)</f>
        <v>8.1</v>
      </c>
      <c r="V11" s="54">
        <f>IF($O11="","",ROUND(($O11-$O$3)/1000,1)+(_xlfn.RANK.AVG($O11,($J11,$O11,$T11),1)-2)*10)</f>
        <v>30.2</v>
      </c>
      <c r="W11" s="55">
        <f>IF($T11="","",ROUND(($T11-$T$3)/1000,1)+(_xlfn.RANK.AVG($T11,($J11,$O11,$T11),1)-2)*10)</f>
        <v>-38.299999999999997</v>
      </c>
      <c r="Y11" s="8"/>
      <c r="Z11" s="34"/>
      <c r="AA11" s="26"/>
      <c r="AB11" s="26"/>
      <c r="AC11" s="26">
        <v>4</v>
      </c>
      <c r="AD11" s="30">
        <v>30</v>
      </c>
      <c r="AE11" s="40" t="s">
        <v>85</v>
      </c>
      <c r="AF11" s="41" t="s">
        <v>83</v>
      </c>
      <c r="AG11" s="41" t="s">
        <v>202</v>
      </c>
      <c r="AH11" s="41" t="s">
        <v>202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5500000000000000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れんたろう</v>
      </c>
      <c r="F12" s="8" t="s">
        <v>203</v>
      </c>
      <c r="G12" s="9">
        <v>6000</v>
      </c>
      <c r="H12" s="9"/>
      <c r="I12" s="48"/>
      <c r="J12" s="21">
        <f t="shared" si="2"/>
        <v>49100</v>
      </c>
      <c r="K12" s="8" t="s">
        <v>203</v>
      </c>
      <c r="L12" s="9">
        <v>6000</v>
      </c>
      <c r="M12" s="9"/>
      <c r="N12" s="48"/>
      <c r="O12" s="21">
        <f t="shared" si="3"/>
        <v>61200</v>
      </c>
      <c r="P12" s="8" t="s">
        <v>203</v>
      </c>
      <c r="Q12" s="9">
        <v>-12000</v>
      </c>
      <c r="R12" s="9"/>
      <c r="S12" s="48"/>
      <c r="T12" s="21">
        <f t="shared" si="4"/>
        <v>-5300</v>
      </c>
      <c r="U12" s="53">
        <f>IF($J12="","",ROUND(($J12-$J$3)/1000,1)+(_xlfn.RANK.AVG($J12,($J12,$O12,$T12),1)-2)*10)</f>
        <v>14.1</v>
      </c>
      <c r="V12" s="54">
        <f>IF($O12="","",ROUND(($O12-$O$3)/1000,1)+(_xlfn.RANK.AVG($O12,($J12,$O12,$T12),1)-2)*10)</f>
        <v>36.200000000000003</v>
      </c>
      <c r="W12" s="55">
        <f>IF($T12="","",ROUND(($T12-$T$3)/1000,1)+(_xlfn.RANK.AVG($T12,($J12,$O12,$T12),1)-2)*10)</f>
        <v>-50.3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>
        <v>1</v>
      </c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55000000000000004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tr">
        <f>IF($F$1="","",$F$1)</f>
        <v>のり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5500000000000000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5500000000000000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5500000000000000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5500000000000000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5500000000000000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5500000000000000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5500000000000000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5500000000000000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5500000000000000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5500000000000000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5500000000000000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5500000000000000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5500000000000000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5500000000000000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5500000000000000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5500000000000000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5500000000000000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6C7ADA2-E584-4D6E-A581-9CA7CD7AEDB6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55000000000000004"/>
  <cols>
    <col min="1" max="1" width="9" style="36" customWidth="1"/>
    <col min="2" max="2" width="6.5" style="36" customWidth="1"/>
    <col min="3" max="3" width="19.1640625" style="15" bestFit="1" customWidth="1"/>
    <col min="4" max="5" width="6.5" style="15" customWidth="1"/>
  </cols>
  <sheetData>
    <row r="1" spans="1:5" x14ac:dyDescent="0.5500000000000000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5500000000000000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5500000000000000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5500000000000000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5500000000000000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5500000000000000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5500000000000000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5500000000000000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5500000000000000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5500000000000000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5500000000000000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5500000000000000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5500000000000000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5500000000000000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5500000000000000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5500000000000000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5500000000000000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5500000000000000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5500000000000000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5500000000000000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5500000000000000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5500000000000000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5500000000000000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5500000000000000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5500000000000000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5500000000000000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5500000000000000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5500000000000000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5500000000000000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5500000000000000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5500000000000000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5500000000000000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5500000000000000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5500000000000000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5500000000000000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5500000000000000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5500000000000000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5500000000000000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5500000000000000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5500000000000000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5500000000000000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5500000000000000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5500000000000000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5500000000000000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5500000000000000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5500000000000000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5500000000000000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5500000000000000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5500000000000000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55000000000000004">
      <c r="A50" s="36" t="s">
        <v>125</v>
      </c>
      <c r="C50" s="15" t="s">
        <v>75</v>
      </c>
      <c r="D50" s="15">
        <v>13</v>
      </c>
    </row>
    <row r="51" spans="1:5" x14ac:dyDescent="0.5500000000000000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5500000000000000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5500000000000000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5500000000000000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55000000000000004"/>
  <cols>
    <col min="1" max="12" width="9" style="32"/>
    <col min="13" max="13" width="9" style="32" customWidth="1"/>
    <col min="14" max="16384" width="9" style="32"/>
  </cols>
  <sheetData>
    <row r="1" spans="1:13" x14ac:dyDescent="0.5500000000000000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5500000000000000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55000000000000004">
      <c r="A3" s="15">
        <v>20</v>
      </c>
      <c r="E3" s="32">
        <v>3900</v>
      </c>
      <c r="F3" s="32">
        <v>7700</v>
      </c>
    </row>
    <row r="4" spans="1:13" x14ac:dyDescent="0.5500000000000000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5500000000000000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5500000000000000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5500000000000000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5500000000000000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5500000000000000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5500000000000000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5500000000000000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5500000000000000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5500000000000000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cols>
    <col min="1" max="16384" width="9" style="32"/>
  </cols>
  <sheetData>
    <row r="1" spans="1:13" x14ac:dyDescent="0.5500000000000000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5500000000000000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5500000000000000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5500000000000000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5500000000000000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5500000000000000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5500000000000000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5500000000000000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5500000000000000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5500000000000000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5500000000000000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5500000000000000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5500000000000000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cols>
    <col min="1" max="16384" width="9" style="32"/>
  </cols>
  <sheetData>
    <row r="1" spans="1:13" x14ac:dyDescent="0.5500000000000000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5500000000000000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5500000000000000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5500000000000000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5500000000000000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5500000000000000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5500000000000000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5500000000000000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5500000000000000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5500000000000000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5500000000000000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5500000000000000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5500000000000000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" max="16384" width="9" style="32"/>
  </cols>
  <sheetData>
    <row r="1" spans="1:13" x14ac:dyDescent="0.5500000000000000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5500000000000000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5500000000000000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5500000000000000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5500000000000000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5500000000000000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5500000000000000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5500000000000000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5500000000000000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5500000000000000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5500000000000000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5500000000000000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5500000000000000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cols>
    <col min="1" max="16384" width="9" style="32"/>
  </cols>
  <sheetData>
    <row r="1" spans="1:13" x14ac:dyDescent="0.5500000000000000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5500000000000000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5500000000000000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5500000000000000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5500000000000000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5500000000000000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5500000000000000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5500000000000000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5500000000000000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5500000000000000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5500000000000000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5500000000000000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5500000000000000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cols>
    <col min="1" max="16384" width="9" style="32"/>
  </cols>
  <sheetData>
    <row r="1" spans="1:13" x14ac:dyDescent="0.5500000000000000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5500000000000000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5500000000000000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5500000000000000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5500000000000000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5500000000000000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5500000000000000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5500000000000000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5500000000000000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5500000000000000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5500000000000000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5500000000000000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5500000000000000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cols>
    <col min="1" max="16384" width="9" style="32"/>
  </cols>
  <sheetData>
    <row r="1" spans="1:13" x14ac:dyDescent="0.5500000000000000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5500000000000000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5500000000000000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5500000000000000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5500000000000000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5500000000000000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5500000000000000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5500000000000000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5500000000000000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5500000000000000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5500000000000000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5500000000000000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5500000000000000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Rentaro</cp:lastModifiedBy>
  <cp:lastPrinted>2018-10-03T09:15:05Z</cp:lastPrinted>
  <dcterms:created xsi:type="dcterms:W3CDTF">2018-10-02T11:54:05Z</dcterms:created>
  <dcterms:modified xsi:type="dcterms:W3CDTF">2020-07-05T15:22:57Z</dcterms:modified>
</cp:coreProperties>
</file>