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d\Desktop\"/>
    </mc:Choice>
  </mc:AlternateContent>
  <xr:revisionPtr revIDLastSave="0" documentId="13_ncr:1_{0C331BAB-D14C-4CF1-A9FE-61F64CE3AB73}" xr6:coauthVersionLast="45" xr6:coauthVersionMax="45" xr10:uidLastSave="{00000000-0000-0000-0000-000000000000}"/>
  <bookViews>
    <workbookView xWindow="-120" yWindow="-120" windowWidth="29040" windowHeight="158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30" i="21" l="1"/>
  <c r="T30" i="21"/>
  <c r="W30" i="21" s="1"/>
  <c r="O30" i="21"/>
  <c r="V30" i="21" s="1"/>
  <c r="J30" i="21"/>
  <c r="D30" i="21"/>
  <c r="C30" i="21"/>
  <c r="B30" i="21"/>
  <c r="A30" i="21"/>
  <c r="W29" i="21"/>
  <c r="V29" i="21"/>
  <c r="T29" i="21"/>
  <c r="O29" i="21"/>
  <c r="J29" i="21"/>
  <c r="U29" i="21" s="1"/>
  <c r="D29" i="21"/>
  <c r="C29" i="21"/>
  <c r="B29" i="21"/>
  <c r="A29" i="21"/>
  <c r="U28" i="21"/>
  <c r="T28" i="21"/>
  <c r="W28" i="21" s="1"/>
  <c r="O28" i="21"/>
  <c r="V28" i="21" s="1"/>
  <c r="J28" i="21"/>
  <c r="D28" i="21"/>
  <c r="C28" i="21"/>
  <c r="B28" i="21"/>
  <c r="A28" i="21"/>
  <c r="W27" i="21"/>
  <c r="V27" i="21"/>
  <c r="T27" i="21"/>
  <c r="O27" i="21"/>
  <c r="J27" i="21"/>
  <c r="U27" i="21" s="1"/>
  <c r="D27" i="21"/>
  <c r="C27" i="21"/>
  <c r="B27" i="21"/>
  <c r="A27" i="21"/>
  <c r="U26" i="21"/>
  <c r="T26" i="21"/>
  <c r="W26" i="21" s="1"/>
  <c r="O26" i="21"/>
  <c r="V26" i="21" s="1"/>
  <c r="J26" i="21"/>
  <c r="D26" i="21"/>
  <c r="C26" i="21"/>
  <c r="B26" i="21"/>
  <c r="A26" i="21"/>
  <c r="W25" i="21"/>
  <c r="V25" i="21"/>
  <c r="T25" i="21"/>
  <c r="O25" i="21"/>
  <c r="J25" i="21"/>
  <c r="U25" i="21" s="1"/>
  <c r="D25" i="21"/>
  <c r="C25" i="21"/>
  <c r="B25" i="21"/>
  <c r="A25" i="21"/>
  <c r="U24" i="21"/>
  <c r="T24" i="21"/>
  <c r="W24" i="21" s="1"/>
  <c r="O24" i="21"/>
  <c r="V24" i="21" s="1"/>
  <c r="J24" i="21"/>
  <c r="D24" i="21"/>
  <c r="C24" i="21"/>
  <c r="B24" i="21"/>
  <c r="A24" i="21"/>
  <c r="W23" i="21"/>
  <c r="V23" i="21"/>
  <c r="T23" i="21"/>
  <c r="O23" i="21"/>
  <c r="J23" i="21"/>
  <c r="U23" i="21" s="1"/>
  <c r="D23" i="21"/>
  <c r="C23" i="21"/>
  <c r="B23" i="21"/>
  <c r="A23" i="21"/>
  <c r="U22" i="21"/>
  <c r="T22" i="21"/>
  <c r="W22" i="21" s="1"/>
  <c r="O22" i="21"/>
  <c r="V22" i="21" s="1"/>
  <c r="J22" i="21"/>
  <c r="D22" i="21"/>
  <c r="C22" i="21"/>
  <c r="B22" i="21"/>
  <c r="A22" i="21"/>
  <c r="W21" i="21"/>
  <c r="V21" i="21"/>
  <c r="T21" i="21"/>
  <c r="O21" i="21"/>
  <c r="J21" i="21"/>
  <c r="U21" i="21" s="1"/>
  <c r="D21" i="21"/>
  <c r="C21" i="21"/>
  <c r="B21" i="21"/>
  <c r="A21" i="21"/>
  <c r="U20" i="21"/>
  <c r="T20" i="21"/>
  <c r="W20" i="21" s="1"/>
  <c r="O20" i="21"/>
  <c r="V20" i="21" s="1"/>
  <c r="J20" i="21"/>
  <c r="D20" i="21"/>
  <c r="C20" i="21"/>
  <c r="B20" i="21"/>
  <c r="A20" i="21"/>
  <c r="W19" i="21"/>
  <c r="V19" i="21"/>
  <c r="T19" i="21"/>
  <c r="O19" i="21"/>
  <c r="J19" i="21"/>
  <c r="U19" i="21" s="1"/>
  <c r="D19" i="21"/>
  <c r="C19" i="21"/>
  <c r="B19" i="21"/>
  <c r="A19" i="21"/>
  <c r="U18" i="21"/>
  <c r="T18" i="21"/>
  <c r="W18" i="21" s="1"/>
  <c r="O18" i="21"/>
  <c r="V18" i="21" s="1"/>
  <c r="J18" i="21"/>
  <c r="D18" i="21"/>
  <c r="C18" i="21"/>
  <c r="B18" i="21"/>
  <c r="A18" i="21"/>
  <c r="W17" i="21"/>
  <c r="V17" i="21"/>
  <c r="T17" i="21"/>
  <c r="O17" i="21"/>
  <c r="J17" i="21"/>
  <c r="U17" i="21" s="1"/>
  <c r="D17" i="21"/>
  <c r="C17" i="21"/>
  <c r="B17" i="21"/>
  <c r="A17" i="21"/>
  <c r="U16" i="21"/>
  <c r="T16" i="21"/>
  <c r="W16" i="21" s="1"/>
  <c r="O16" i="21"/>
  <c r="V16" i="21" s="1"/>
  <c r="J16" i="21"/>
  <c r="D16" i="21"/>
  <c r="C16" i="21"/>
  <c r="B16" i="21"/>
  <c r="A16" i="21"/>
  <c r="W15" i="21"/>
  <c r="V15" i="21"/>
  <c r="T15" i="21"/>
  <c r="O15" i="21"/>
  <c r="J15" i="21"/>
  <c r="U15" i="21" s="1"/>
  <c r="D15" i="21"/>
  <c r="C15" i="21"/>
  <c r="B15" i="21"/>
  <c r="A15" i="21"/>
  <c r="U14" i="21"/>
  <c r="T14" i="21"/>
  <c r="W14" i="21" s="1"/>
  <c r="O14" i="21"/>
  <c r="V14" i="21" s="1"/>
  <c r="J14" i="21"/>
  <c r="D14" i="21"/>
  <c r="C14" i="21"/>
  <c r="B14" i="21"/>
  <c r="A14" i="21"/>
  <c r="W13" i="21"/>
  <c r="V13" i="21"/>
  <c r="T13" i="21"/>
  <c r="O13" i="21"/>
  <c r="J13" i="21"/>
  <c r="U13" i="21" s="1"/>
  <c r="E13" i="21"/>
  <c r="D13" i="21" s="1"/>
  <c r="E12" i="21"/>
  <c r="D12" i="21" s="1"/>
  <c r="E11" i="21"/>
  <c r="C11" i="21" s="1"/>
  <c r="D11" i="21"/>
  <c r="E10" i="21"/>
  <c r="D10" i="21"/>
  <c r="C10" i="21"/>
  <c r="E9" i="21"/>
  <c r="E8" i="21"/>
  <c r="D8" i="21" s="1"/>
  <c r="E7" i="21"/>
  <c r="C7" i="21" s="1"/>
  <c r="D7" i="21"/>
  <c r="O6" i="21"/>
  <c r="O7" i="21" s="1"/>
  <c r="E6" i="21"/>
  <c r="D6" i="21"/>
  <c r="C6" i="21"/>
  <c r="O5" i="21"/>
  <c r="J5" i="21"/>
  <c r="J6" i="21" s="1"/>
  <c r="E5" i="21"/>
  <c r="V4" i="21"/>
  <c r="U4" i="21"/>
  <c r="T4" i="21"/>
  <c r="T5" i="21" s="1"/>
  <c r="O4" i="21"/>
  <c r="J4" i="21"/>
  <c r="E4" i="21"/>
  <c r="C5" i="21" s="1"/>
  <c r="W3" i="21"/>
  <c r="V3" i="21"/>
  <c r="U3" i="21"/>
  <c r="W2" i="21"/>
  <c r="V2" i="21"/>
  <c r="U2" i="21"/>
  <c r="BO1" i="21"/>
  <c r="AT1" i="21"/>
  <c r="Y1" i="21"/>
  <c r="J7" i="21" l="1"/>
  <c r="T6" i="21"/>
  <c r="W5" i="21"/>
  <c r="O8" i="21"/>
  <c r="B5" i="21"/>
  <c r="C9" i="21"/>
  <c r="W4" i="21"/>
  <c r="D5" i="21"/>
  <c r="C8" i="21"/>
  <c r="D9" i="21"/>
  <c r="C12" i="21"/>
  <c r="C13" i="21" s="1"/>
  <c r="V5" i="21"/>
  <c r="U5" i="21"/>
  <c r="E17" i="20"/>
  <c r="E16" i="20"/>
  <c r="D16" i="20" s="1"/>
  <c r="E15" i="20"/>
  <c r="E14" i="20"/>
  <c r="D14" i="20" s="1"/>
  <c r="E13" i="20"/>
  <c r="E12" i="20"/>
  <c r="D12" i="20" s="1"/>
  <c r="E11" i="20"/>
  <c r="E10" i="20"/>
  <c r="D10" i="20" s="1"/>
  <c r="E9" i="20"/>
  <c r="E8" i="20"/>
  <c r="E7" i="20"/>
  <c r="D7" i="20" s="1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C16" i="20"/>
  <c r="D11" i="20"/>
  <c r="D9" i="20"/>
  <c r="D6" i="20"/>
  <c r="T4" i="20"/>
  <c r="T5" i="20" s="1"/>
  <c r="O4" i="20"/>
  <c r="O5" i="20" s="1"/>
  <c r="O6" i="20" s="1"/>
  <c r="O7" i="20" s="1"/>
  <c r="J4" i="20"/>
  <c r="J5" i="20" s="1"/>
  <c r="J6" i="20" s="1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T7" i="21" l="1"/>
  <c r="W6" i="21"/>
  <c r="V6" i="21"/>
  <c r="U6" i="21"/>
  <c r="O9" i="21"/>
  <c r="U7" i="21"/>
  <c r="J8" i="21"/>
  <c r="A5" i="21"/>
  <c r="B6" i="21"/>
  <c r="A6" i="21" s="1"/>
  <c r="C14" i="20"/>
  <c r="C6" i="20"/>
  <c r="C15" i="20"/>
  <c r="U4" i="20"/>
  <c r="D15" i="20"/>
  <c r="D13" i="20"/>
  <c r="C5" i="20"/>
  <c r="V4" i="20"/>
  <c r="W4" i="20"/>
  <c r="O8" i="20"/>
  <c r="J7" i="20"/>
  <c r="V5" i="20"/>
  <c r="T6" i="20"/>
  <c r="V6" i="20" s="1"/>
  <c r="W5" i="20"/>
  <c r="B5" i="20"/>
  <c r="C9" i="20"/>
  <c r="C10" i="20" s="1"/>
  <c r="C11" i="20" s="1"/>
  <c r="C12" i="20" s="1"/>
  <c r="C13" i="20" s="1"/>
  <c r="U5" i="20"/>
  <c r="C7" i="20"/>
  <c r="C8" i="20" s="1"/>
  <c r="D8" i="20"/>
  <c r="E8" i="19"/>
  <c r="E7" i="19"/>
  <c r="E6" i="19"/>
  <c r="E5" i="19"/>
  <c r="O10" i="21" l="1"/>
  <c r="T8" i="21"/>
  <c r="W7" i="21"/>
  <c r="B7" i="21"/>
  <c r="J9" i="21"/>
  <c r="U8" i="21"/>
  <c r="V7" i="21"/>
  <c r="J8" i="20"/>
  <c r="A5" i="20"/>
  <c r="B6" i="20"/>
  <c r="T7" i="20"/>
  <c r="U7" i="20" s="1"/>
  <c r="W6" i="20"/>
  <c r="U6" i="20"/>
  <c r="O9" i="20"/>
  <c r="E4" i="19"/>
  <c r="T9" i="21" l="1"/>
  <c r="W8" i="21"/>
  <c r="V8" i="21"/>
  <c r="B8" i="21"/>
  <c r="J10" i="21"/>
  <c r="U9" i="21"/>
  <c r="A7" i="21"/>
  <c r="O11" i="21"/>
  <c r="V7" i="20"/>
  <c r="B7" i="20"/>
  <c r="A6" i="20"/>
  <c r="O10" i="20"/>
  <c r="J9" i="20"/>
  <c r="T8" i="20"/>
  <c r="W7" i="20"/>
  <c r="W3" i="19"/>
  <c r="V3" i="19"/>
  <c r="U3" i="19"/>
  <c r="O12" i="21" l="1"/>
  <c r="B9" i="21"/>
  <c r="T10" i="21"/>
  <c r="W9" i="21"/>
  <c r="J11" i="21"/>
  <c r="U10" i="21"/>
  <c r="A8" i="21"/>
  <c r="V9" i="21"/>
  <c r="A7" i="20"/>
  <c r="J10" i="20"/>
  <c r="T9" i="20"/>
  <c r="U9" i="20" s="1"/>
  <c r="W8" i="20"/>
  <c r="V8" i="20"/>
  <c r="B8" i="20"/>
  <c r="A8" i="20" s="1"/>
  <c r="O11" i="20"/>
  <c r="O12" i="20" s="1"/>
  <c r="U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D10" i="19"/>
  <c r="D11" i="19" s="1"/>
  <c r="C10" i="19"/>
  <c r="C11" i="19" s="1"/>
  <c r="D9" i="19"/>
  <c r="C9" i="19"/>
  <c r="C8" i="19"/>
  <c r="D7" i="19"/>
  <c r="D8" i="19" s="1"/>
  <c r="C7" i="19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1" i="21" l="1"/>
  <c r="B10" i="21"/>
  <c r="A9" i="21"/>
  <c r="U11" i="21"/>
  <c r="J12" i="21"/>
  <c r="T11" i="21"/>
  <c r="W10" i="21"/>
  <c r="V10" i="21"/>
  <c r="O13" i="20"/>
  <c r="B6" i="19"/>
  <c r="V9" i="20"/>
  <c r="J11" i="20"/>
  <c r="J12" i="20" s="1"/>
  <c r="B9" i="20"/>
  <c r="T10" i="20"/>
  <c r="W9" i="20"/>
  <c r="C6" i="19"/>
  <c r="U4" i="19"/>
  <c r="V4" i="19"/>
  <c r="T5" i="19"/>
  <c r="T6" i="19" s="1"/>
  <c r="T7" i="19" s="1"/>
  <c r="T8" i="19" s="1"/>
  <c r="T9" i="19" s="1"/>
  <c r="T10" i="19" s="1"/>
  <c r="T11" i="19" s="1"/>
  <c r="W11" i="19" s="1"/>
  <c r="W4" i="19"/>
  <c r="J5" i="19"/>
  <c r="J6" i="19" s="1"/>
  <c r="J7" i="19" s="1"/>
  <c r="J8" i="19" s="1"/>
  <c r="J9" i="19" s="1"/>
  <c r="J10" i="19" s="1"/>
  <c r="J11" i="19" s="1"/>
  <c r="U11" i="19" s="1"/>
  <c r="O5" i="19"/>
  <c r="O6" i="19" s="1"/>
  <c r="O7" i="19" s="1"/>
  <c r="O8" i="19" s="1"/>
  <c r="O9" i="19" s="1"/>
  <c r="O10" i="19" s="1"/>
  <c r="O11" i="19" s="1"/>
  <c r="V11" i="19" s="1"/>
  <c r="T12" i="21" l="1"/>
  <c r="W11" i="21"/>
  <c r="B11" i="21"/>
  <c r="A11" i="21"/>
  <c r="U12" i="21"/>
  <c r="A10" i="21"/>
  <c r="U7" i="19"/>
  <c r="U10" i="19"/>
  <c r="W6" i="19"/>
  <c r="V7" i="19"/>
  <c r="W10" i="19"/>
  <c r="W8" i="19"/>
  <c r="A6" i="19"/>
  <c r="B7" i="19"/>
  <c r="V6" i="19"/>
  <c r="V8" i="19"/>
  <c r="V10" i="19"/>
  <c r="U9" i="19"/>
  <c r="W9" i="19"/>
  <c r="U6" i="19"/>
  <c r="W7" i="19"/>
  <c r="U8" i="19"/>
  <c r="V9" i="19"/>
  <c r="J13" i="20"/>
  <c r="O14" i="20"/>
  <c r="B10" i="20"/>
  <c r="A10" i="20" s="1"/>
  <c r="A9" i="20"/>
  <c r="T11" i="20"/>
  <c r="T12" i="20" s="1"/>
  <c r="U12" i="20" s="1"/>
  <c r="W10" i="20"/>
  <c r="V10" i="20"/>
  <c r="U10" i="20"/>
  <c r="W5" i="19"/>
  <c r="V5" i="19"/>
  <c r="U5" i="19"/>
  <c r="B12" i="21" l="1"/>
  <c r="A12" i="21" s="1"/>
  <c r="W12" i="21"/>
  <c r="V12" i="21"/>
  <c r="J14" i="20"/>
  <c r="T13" i="20"/>
  <c r="W12" i="20"/>
  <c r="V13" i="20"/>
  <c r="O15" i="20"/>
  <c r="A7" i="19"/>
  <c r="B8" i="19"/>
  <c r="V12" i="20"/>
  <c r="W11" i="20"/>
  <c r="U11" i="20"/>
  <c r="V11" i="20"/>
  <c r="B11" i="20"/>
  <c r="B13" i="21" l="1"/>
  <c r="A13" i="21" s="1"/>
  <c r="T14" i="20"/>
  <c r="W13" i="20"/>
  <c r="A11" i="20"/>
  <c r="B12" i="20"/>
  <c r="O16" i="20"/>
  <c r="U13" i="20"/>
  <c r="A8" i="19"/>
  <c r="B9" i="19"/>
  <c r="U14" i="20"/>
  <c r="J15" i="20"/>
  <c r="J16" i="20" l="1"/>
  <c r="A12" i="20"/>
  <c r="B13" i="20"/>
  <c r="A9" i="19"/>
  <c r="B10" i="19"/>
  <c r="T15" i="20"/>
  <c r="U15" i="20" s="1"/>
  <c r="W14" i="20"/>
  <c r="V14" i="20"/>
  <c r="A10" i="19" l="1"/>
  <c r="B11" i="19"/>
  <c r="A13" i="20"/>
  <c r="B14" i="20"/>
  <c r="T16" i="20"/>
  <c r="W15" i="20"/>
  <c r="V15" i="20"/>
  <c r="U16" i="20"/>
  <c r="A14" i="20" l="1"/>
  <c r="B15" i="20"/>
  <c r="B16" i="20" s="1"/>
  <c r="A15" i="20"/>
  <c r="A11" i="19"/>
  <c r="W16" i="20"/>
  <c r="V16" i="20"/>
  <c r="A16" i="20" l="1"/>
  <c r="B17" i="20"/>
  <c r="A17" i="20" s="1"/>
</calcChain>
</file>

<file path=xl/sharedStrings.xml><?xml version="1.0" encoding="utf-8"?>
<sst xmlns="http://schemas.openxmlformats.org/spreadsheetml/2006/main" count="816" uniqueCount="209">
  <si>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</si>
  <si>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</si>
  <si>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</si>
  <si>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</si>
  <si>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</si>
  <si>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</si>
  <si>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</si>
  <si>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</si>
  <si>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</si>
  <si>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</si>
  <si>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</si>
  <si>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</si>
  <si>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</si>
  <si>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</si>
  <si>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</si>
  <si>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</si>
  <si>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</si>
  <si>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</si>
  <si>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</si>
  <si>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</si>
  <si>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</si>
  <si>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</si>
  <si>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</si>
  <si>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</si>
  <si>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</si>
  <si>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</si>
  <si>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</si>
  <si>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</si>
  <si>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</si>
  <si>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</si>
  <si>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</si>
  <si>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</si>
  <si>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</si>
  <si>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</si>
  <si>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</si>
  <si>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</si>
  <si>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</si>
  <si>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</si>
  <si>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</si>
  <si>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</si>
  <si>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</si>
  <si>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</si>
  <si>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</si>
  <si>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</si>
  <si>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</si>
  <si>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</si>
  <si>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</si>
  <si>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</si>
  <si>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</si>
  <si>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</si>
  <si>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</si>
  <si>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</si>
  <si>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</si>
  <si>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</si>
  <si>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</si>
  <si>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</si>
  <si>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</si>
  <si>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</si>
  <si>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</si>
  <si>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</si>
  <si>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</si>
  <si>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</si>
  <si>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</si>
  <si>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</si>
  <si>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</si>
  <si>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</si>
  <si>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</si>
  <si>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</si>
  <si>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</si>
  <si>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</si>
  <si>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</si>
  <si>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</si>
  <si>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</si>
  <si>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</si>
  <si>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</si>
  <si>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</si>
  <si>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</si>
  <si>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</si>
  <si>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</si>
  <si>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</si>
  <si>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</si>
  <si>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</si>
  <si>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</si>
  <si>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</si>
  <si>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</si>
  <si>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</si>
  <si>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</si>
  <si>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</si>
  <si>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</si>
  <si>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</si>
  <si>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</si>
  <si>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</si>
  <si>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</si>
  <si>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</si>
  <si>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</si>
  <si>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</si>
  <si>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</si>
  <si>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</si>
  <si>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</si>
  <si>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</si>
  <si>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</si>
  <si>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</si>
  <si>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</si>
  <si>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</si>
  <si>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</si>
  <si>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</si>
  <si>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</si>
  <si>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</si>
  <si>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</si>
  <si>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</si>
  <si>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</si>
  <si>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</si>
  <si>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</si>
  <si>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</si>
  <si>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</si>
  <si>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</si>
  <si>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</si>
  <si>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</si>
  <si>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</si>
  <si>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</si>
  <si>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</si>
  <si>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</si>
  <si>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</si>
  <si>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</si>
  <si>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</si>
  <si>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</si>
  <si>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</si>
  <si>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</si>
  <si>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</si>
  <si>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</si>
  <si>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</si>
  <si>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</si>
  <si>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</si>
  <si>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</si>
  <si>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</si>
  <si>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</si>
  <si>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</si>
  <si>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</si>
  <si>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</si>
  <si>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</si>
  <si>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</si>
  <si>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</si>
  <si>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</si>
  <si>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</si>
  <si>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</si>
  <si>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</si>
  <si>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</si>
  <si>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</si>
  <si>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</si>
  <si>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</si>
  <si>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</si>
  <si>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</si>
  <si>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</si>
  <si>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</si>
  <si>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</si>
  <si>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</si>
  <si>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</si>
  <si>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</si>
  <si>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</si>
  <si>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</si>
  <si>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</si>
  <si>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</si>
  <si>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</si>
  <si>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</si>
  <si>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</si>
  <si>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</si>
  <si>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</si>
  <si>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</si>
  <si>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</si>
  <si>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</si>
  <si>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</si>
  <si>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</si>
  <si>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</si>
  <si>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</si>
  <si>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</si>
  <si>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</si>
  <si>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</si>
  <si>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</si>
  <si>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</si>
  <si>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</si>
  <si>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</si>
  <si>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</si>
  <si>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</si>
  <si>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</si>
  <si>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</si>
  <si>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</si>
  <si>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</si>
  <si>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</si>
  <si>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</si>
  <si>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</si>
  <si>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</si>
  <si>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  <phoneticPr fontId="1"/>
  </si>
  <si>
    <t>りくと</t>
    <phoneticPr fontId="1"/>
  </si>
  <si>
    <t>だいち</t>
    <phoneticPr fontId="1"/>
  </si>
  <si>
    <t>N</t>
  </si>
  <si>
    <t>T</t>
  </si>
  <si>
    <t>流局</t>
    <phoneticPr fontId="1"/>
  </si>
  <si>
    <t>ロン</t>
  </si>
  <si>
    <t>放銃</t>
  </si>
  <si>
    <t>52</t>
  </si>
  <si>
    <t>ツモ</t>
  </si>
  <si>
    <t>ツモ支払</t>
  </si>
  <si>
    <t>*</t>
  </si>
  <si>
    <t>01</t>
  </si>
  <si>
    <t>51</t>
  </si>
  <si>
    <t>流局</t>
    <phoneticPr fontId="1"/>
  </si>
  <si>
    <t>のり</t>
    <phoneticPr fontId="1"/>
  </si>
  <si>
    <t>れんたろう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</si>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</sst>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13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 t="s">
        <v>197</v>
      </c>
      <c r="G5" s="9">
        <v>3900</v>
      </c>
      <c r="H5" s="9"/>
      <c r="I5" s="48">
        <v>1000</v>
      </c>
      <c r="J5" s="21">
        <f t="shared" ref="J5:J30" si="2">IF(COUNTA($F5,$K5,$P5)&gt;0,J4+SUM(G5:I5),"")</f>
        <v>38400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198</v>
      </c>
      <c r="Q5" s="9">
        <v>-3900</v>
      </c>
      <c r="R5" s="9"/>
      <c r="S5" s="48">
        <v>-1000</v>
      </c>
      <c r="T5" s="21">
        <f t="shared" ref="T5:T30" si="4">IF(COUNTA($F5,$K5,$P5)&gt;0,T4+SUM(Q5:S5),"")</f>
        <v>33100</v>
      </c>
      <c r="U5" s="53">
        <f>IF($J5="","",ROUND(($J5-$J$3)/1000,1)+(_xlfn.RANK.AVG($J5,($J5,$O5,$T5),1)-2)*10)</f>
        <v>13.4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-11.9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199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2100</v>
      </c>
      <c r="H6" s="9"/>
      <c r="I6" s="48">
        <v>0</v>
      </c>
      <c r="J6" s="21">
        <f t="shared" si="2"/>
        <v>40500</v>
      </c>
      <c r="K6" s="8" t="s">
        <v>201</v>
      </c>
      <c r="L6" s="9">
        <v>-800</v>
      </c>
      <c r="M6" s="9"/>
      <c r="N6" s="48">
        <v>0</v>
      </c>
      <c r="O6" s="21">
        <f t="shared" si="3"/>
        <v>32700</v>
      </c>
      <c r="P6" s="8" t="s">
        <v>201</v>
      </c>
      <c r="Q6" s="9">
        <v>-1300</v>
      </c>
      <c r="R6" s="9"/>
      <c r="S6" s="48">
        <v>0</v>
      </c>
      <c r="T6" s="21">
        <f t="shared" si="4"/>
        <v>31800</v>
      </c>
      <c r="U6" s="53">
        <f>IF($J6="","",ROUND(($J6-$J$3)/1000,1)+(_xlfn.RANK.AVG($J6,($J6,$O6,$T6),1)-2)*10)</f>
        <v>15.5</v>
      </c>
      <c r="V6" s="54">
        <f>IF($O6="","",ROUND(($O6-$O$3)/1000,1)+(_xlfn.RANK.AVG($O6,($J6,$O6,$T6),1)-2)*10)</f>
        <v>-2.2999999999999998</v>
      </c>
      <c r="W6" s="55">
        <f>IF($T6="","",ROUND(($T6-$T$3)/1000,1)+(_xlfn.RANK.AVG($T6,($J6,$O6,$T6),1)-2)*10)</f>
        <v>-13.2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79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196</v>
      </c>
      <c r="G7" s="9">
        <v>1500</v>
      </c>
      <c r="H7" s="9">
        <v>-1000</v>
      </c>
      <c r="I7" s="48"/>
      <c r="J7" s="21">
        <f t="shared" si="2"/>
        <v>41000</v>
      </c>
      <c r="K7" s="8" t="s">
        <v>196</v>
      </c>
      <c r="L7" s="9">
        <v>1500</v>
      </c>
      <c r="M7" s="9"/>
      <c r="N7" s="48"/>
      <c r="O7" s="21">
        <f t="shared" si="3"/>
        <v>34200</v>
      </c>
      <c r="P7" s="8" t="s">
        <v>196</v>
      </c>
      <c r="Q7" s="9">
        <v>-3000</v>
      </c>
      <c r="R7" s="9"/>
      <c r="S7" s="48"/>
      <c r="T7" s="21">
        <f t="shared" si="4"/>
        <v>28800</v>
      </c>
      <c r="U7" s="53">
        <f>IF($J7="","",ROUND(($J7-$J$3)/1000,1)+(_xlfn.RANK.AVG($J7,($J7,$O7,$T7),1)-2)*10)</f>
        <v>16</v>
      </c>
      <c r="V7" s="54">
        <f>IF($O7="","",ROUND(($O7-$O$3)/1000,1)+(_xlfn.RANK.AVG($O7,($J7,$O7,$T7),1)-2)*10)</f>
        <v>-0.8</v>
      </c>
      <c r="W7" s="55">
        <f>IF($T7="","",ROUND(($T7-$T$3)/1000,1)+(_xlfn.RANK.AVG($T7,($J7,$O7,$T7),1)-2)*10)</f>
        <v>-16.2</v>
      </c>
      <c r="Y7" s="8" t="s">
        <v>195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まっつん</v>
      </c>
      <c r="F8" s="8"/>
      <c r="G8" s="9"/>
      <c r="H8" s="9"/>
      <c r="I8" s="48"/>
      <c r="J8" s="21">
        <f t="shared" si="2"/>
        <v>41000</v>
      </c>
      <c r="K8" s="8" t="s">
        <v>198</v>
      </c>
      <c r="L8" s="9">
        <v>-1300</v>
      </c>
      <c r="M8" s="9">
        <v>-1000</v>
      </c>
      <c r="N8" s="48">
        <v>-1000</v>
      </c>
      <c r="O8" s="21">
        <f t="shared" si="3"/>
        <v>30900</v>
      </c>
      <c r="P8" s="8" t="s">
        <v>197</v>
      </c>
      <c r="Q8" s="9">
        <v>1300</v>
      </c>
      <c r="R8" s="9">
        <v>2000</v>
      </c>
      <c r="S8" s="48">
        <v>1000</v>
      </c>
      <c r="T8" s="21">
        <f t="shared" si="4"/>
        <v>33100</v>
      </c>
      <c r="U8" s="53">
        <f>IF($J8="","",ROUND(($J8-$J$3)/1000,1)+(_xlfn.RANK.AVG($J8,($J8,$O8,$T8),1)-2)*10)</f>
        <v>16</v>
      </c>
      <c r="V8" s="54">
        <f>IF($O8="","",ROUND(($O8-$O$3)/1000,1)+(_xlfn.RANK.AVG($O8,($J8,$O8,$T8),1)-2)*10)</f>
        <v>-14.1</v>
      </c>
      <c r="W8" s="55">
        <f>IF($T8="","",ROUND(($T8-$T$3)/1000,1)+(_xlfn.RANK.AVG($T8,($J8,$O8,$T8),1)-2)*10)</f>
        <v>-1.9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40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201</v>
      </c>
      <c r="G9" s="9">
        <v>-12000</v>
      </c>
      <c r="H9" s="9"/>
      <c r="I9" s="48">
        <v>0</v>
      </c>
      <c r="J9" s="21">
        <f t="shared" si="2"/>
        <v>29000</v>
      </c>
      <c r="K9" s="8" t="s">
        <v>200</v>
      </c>
      <c r="L9" s="9">
        <v>24000</v>
      </c>
      <c r="M9" s="9"/>
      <c r="N9" s="48">
        <v>0</v>
      </c>
      <c r="O9" s="21">
        <f t="shared" si="3"/>
        <v>54900</v>
      </c>
      <c r="P9" s="8" t="s">
        <v>201</v>
      </c>
      <c r="Q9" s="9">
        <v>-12000</v>
      </c>
      <c r="R9" s="9"/>
      <c r="S9" s="48">
        <v>0</v>
      </c>
      <c r="T9" s="21">
        <f t="shared" si="4"/>
        <v>21100</v>
      </c>
      <c r="U9" s="53">
        <f>IF($J9="","",ROUND(($J9-$J$3)/1000,1)+(_xlfn.RANK.AVG($J9,($J9,$O9,$T9),1)-2)*10)</f>
        <v>-6</v>
      </c>
      <c r="V9" s="54">
        <f>IF($O9="","",ROUND(($O9-$O$3)/1000,1)+(_xlfn.RANK.AVG($O9,($J9,$O9,$T9),1)-2)*10)</f>
        <v>29.9</v>
      </c>
      <c r="W9" s="55">
        <f>IF($T9="","",ROUND(($T9-$T$3)/1000,1)+(_xlfn.RANK.AVG($T9,($J9,$O9,$T9),1)-2)*10)</f>
        <v>-23.9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202</v>
      </c>
      <c r="AZ9" s="40" t="s">
        <v>203</v>
      </c>
      <c r="BA9" s="41" t="s">
        <v>82</v>
      </c>
      <c r="BB9" s="41" t="s">
        <v>96</v>
      </c>
      <c r="BC9" s="41" t="s">
        <v>79</v>
      </c>
      <c r="BD9" s="41" t="s">
        <v>80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りくと</v>
      </c>
      <c r="F10" s="8" t="s">
        <v>196</v>
      </c>
      <c r="G10" s="9">
        <v>-1500</v>
      </c>
      <c r="H10" s="9"/>
      <c r="I10" s="48"/>
      <c r="J10" s="21">
        <f t="shared" si="2"/>
        <v>27500</v>
      </c>
      <c r="K10" s="8" t="s">
        <v>196</v>
      </c>
      <c r="L10" s="9">
        <v>-1500</v>
      </c>
      <c r="M10" s="9"/>
      <c r="N10" s="48"/>
      <c r="O10" s="21">
        <f t="shared" si="3"/>
        <v>53400</v>
      </c>
      <c r="P10" s="8" t="s">
        <v>196</v>
      </c>
      <c r="Q10" s="9">
        <v>3000</v>
      </c>
      <c r="R10" s="9">
        <v>-1000</v>
      </c>
      <c r="S10" s="48"/>
      <c r="T10" s="21">
        <f t="shared" si="4"/>
        <v>23100</v>
      </c>
      <c r="U10" s="53">
        <f>IF($J10="","",ROUND(($J10-$J$3)/1000,1)+(_xlfn.RANK.AVG($J10,($J10,$O10,$T10),1)-2)*10)</f>
        <v>-7.5</v>
      </c>
      <c r="V10" s="54">
        <f>IF($O10="","",ROUND(($O10-$O$3)/1000,1)+(_xlfn.RANK.AVG($O10,($J10,$O10,$T10),1)-2)*10)</f>
        <v>28.4</v>
      </c>
      <c r="W10" s="55">
        <f>IF($T10="","",ROUND(($T10-$T$3)/1000,1)+(_xlfn.RANK.AVG($T10,($J10,$O10,$T10),1)-2)*10)</f>
        <v>-21.9</v>
      </c>
      <c r="Y10" s="8" t="s">
        <v>194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195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tr">
        <f>IF($P$1="","",$P$1)</f>
        <v>だいち</v>
      </c>
      <c r="F11" s="8" t="s">
        <v>201</v>
      </c>
      <c r="G11" s="9">
        <v>-9000</v>
      </c>
      <c r="H11" s="9"/>
      <c r="I11" s="48">
        <v>-1000</v>
      </c>
      <c r="J11" s="21">
        <f t="shared" si="2"/>
        <v>17500</v>
      </c>
      <c r="K11" s="8" t="s">
        <v>201</v>
      </c>
      <c r="L11" s="9">
        <v>-9000</v>
      </c>
      <c r="M11" s="9"/>
      <c r="N11" s="48">
        <v>-1000</v>
      </c>
      <c r="O11" s="21">
        <f t="shared" si="3"/>
        <v>43400</v>
      </c>
      <c r="P11" s="8" t="s">
        <v>200</v>
      </c>
      <c r="Q11" s="9">
        <v>18000</v>
      </c>
      <c r="R11" s="9">
        <v>1000</v>
      </c>
      <c r="S11" s="48">
        <v>2000</v>
      </c>
      <c r="T11" s="21">
        <f t="shared" si="4"/>
        <v>44100</v>
      </c>
      <c r="U11" s="53">
        <f>IF($J11="","",ROUND(($J11-$J$3)/1000,1)+(_xlfn.RANK.AVG($J11,($J11,$O11,$T11),1)-2)*10)</f>
        <v>-27.5</v>
      </c>
      <c r="V11" s="54">
        <f>IF($O11="","",ROUND(($O11-$O$3)/1000,1)+(_xlfn.RANK.AVG($O11,($J11,$O11,$T11),1)-2)*10)</f>
        <v>8.4</v>
      </c>
      <c r="W11" s="55">
        <f>IF($T11="","",ROUND(($T11-$T$3)/1000,1)+(_xlfn.RANK.AVG($T11,($J11,$O11,$T11),1)-2)*10)</f>
        <v>19.100000000000001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202</v>
      </c>
      <c r="BU11" s="40" t="s">
        <v>204</v>
      </c>
      <c r="BV11" s="41" t="s">
        <v>82</v>
      </c>
      <c r="BW11" s="41" t="s">
        <v>83</v>
      </c>
      <c r="BX11" s="41" t="s">
        <v>92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5F0FF5C-29D2-4D88-A912-010F23A165B7}">
      <formula1>"れんたろう
ともき
だいち
りくと
まっつん
たかの
のり
ただ
ぱぱ
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7527B-DEF4-491F-962C-839B8ED79C5B}">
  <sheetPr codeName="Sheet11">
    <pageSetUpPr fitToPage="1"/>
  </sheetPr>
  <dimension ref="A1:CI30"/>
  <sheetViews>
    <sheetView zoomScaleNormal="100" workbookViewId="0">
      <selection activeCell="P2" sqref="P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197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 t="s">
        <v>198</v>
      </c>
      <c r="L4" s="9">
        <v>-18000</v>
      </c>
      <c r="M4" s="9">
        <v>-1000</v>
      </c>
      <c r="N4" s="48">
        <v>0</v>
      </c>
      <c r="O4" s="21">
        <f>IF(COUNTA($F4,$K4,$P4)&gt;0,O3+SUM(L4:N4),"")</f>
        <v>16000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29</v>
      </c>
      <c r="V4" s="54">
        <f>IF($O4="","",ROUND(($O4-$O$3)/1000,1)+(_xlfn.RANK.AVG($O4,($J4,$O4,$T4),1)-2)*10)</f>
        <v>-29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7</v>
      </c>
      <c r="AD4" s="30" t="s">
        <v>202</v>
      </c>
      <c r="AE4" s="40" t="s">
        <v>204</v>
      </c>
      <c r="AF4" s="41" t="s">
        <v>83</v>
      </c>
      <c r="AG4" s="41" t="s">
        <v>199</v>
      </c>
      <c r="AH4" s="41" t="s">
        <v>199</v>
      </c>
      <c r="AI4" s="41" t="s">
        <v>79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205</v>
      </c>
      <c r="G5" s="9">
        <v>3000</v>
      </c>
      <c r="H5" s="9"/>
      <c r="I5" s="48"/>
      <c r="J5" s="21">
        <f t="shared" ref="J5:J30" si="2">IF(COUNTA($F5,$K5,$P5)&gt;0,J4+SUM(G5:I5),"")</f>
        <v>57000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14500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32</v>
      </c>
      <c r="V5" s="54">
        <f>IF($O5="","",ROUND(($O5-$O$3)/1000,1)+(_xlfn.RANK.AVG($O5,($J5,$O5,$T5),1)-2)*10)</f>
        <v>-30.5</v>
      </c>
      <c r="W5" s="55">
        <f>IF($T5="","",ROUND(($T5-$T$3)/1000,1)+(_xlfn.RANK.AVG($T5,($J5,$O5,$T5),1)-2)*10)</f>
        <v>-1.5</v>
      </c>
      <c r="Y5" s="8" t="s">
        <v>195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57000</v>
      </c>
      <c r="K6" s="8" t="s">
        <v>197</v>
      </c>
      <c r="L6" s="9">
        <v>2600</v>
      </c>
      <c r="M6" s="9"/>
      <c r="N6" s="48">
        <v>2000</v>
      </c>
      <c r="O6" s="21">
        <f t="shared" si="3"/>
        <v>19100</v>
      </c>
      <c r="P6" s="8" t="s">
        <v>198</v>
      </c>
      <c r="Q6" s="9">
        <v>-2600</v>
      </c>
      <c r="R6" s="9"/>
      <c r="S6" s="48">
        <v>-2000</v>
      </c>
      <c r="T6" s="21">
        <f t="shared" si="4"/>
        <v>28900</v>
      </c>
      <c r="U6" s="53">
        <f>IF($J6="","",ROUND(($J6-$J$3)/1000,1)+(_xlfn.RANK.AVG($J6,($J6,$O6,$T6),1)-2)*10)</f>
        <v>32</v>
      </c>
      <c r="V6" s="54">
        <f>IF($O6="","",ROUND(($O6-$O$3)/1000,1)+(_xlfn.RANK.AVG($O6,($J6,$O6,$T6),1)-2)*10)</f>
        <v>-25.9</v>
      </c>
      <c r="W6" s="55">
        <f>IF($T6="","",ROUND(($T6-$T$3)/1000,1)+(_xlfn.RANK.AVG($T6,($J6,$O6,$T6),1)-2)*10)</f>
        <v>-6.1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203</v>
      </c>
      <c r="BA6" s="41" t="s">
        <v>199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りくと</v>
      </c>
      <c r="F7" s="8" t="s">
        <v>201</v>
      </c>
      <c r="G7" s="9">
        <v>-800</v>
      </c>
      <c r="H7" s="9"/>
      <c r="I7" s="48">
        <v>0</v>
      </c>
      <c r="J7" s="21">
        <f t="shared" si="2"/>
        <v>56200</v>
      </c>
      <c r="K7" s="8" t="s">
        <v>200</v>
      </c>
      <c r="L7" s="9">
        <v>1600</v>
      </c>
      <c r="M7" s="9"/>
      <c r="N7" s="48">
        <v>0</v>
      </c>
      <c r="O7" s="21">
        <f t="shared" si="3"/>
        <v>20700</v>
      </c>
      <c r="P7" s="8" t="s">
        <v>201</v>
      </c>
      <c r="Q7" s="9">
        <v>-800</v>
      </c>
      <c r="R7" s="9"/>
      <c r="S7" s="48">
        <v>0</v>
      </c>
      <c r="T7" s="21">
        <f t="shared" si="4"/>
        <v>28100</v>
      </c>
      <c r="U7" s="53">
        <f>IF($J7="","",ROUND(($J7-$J$3)/1000,1)+(_xlfn.RANK.AVG($J7,($J7,$O7,$T7),1)-2)*10)</f>
        <v>31.2</v>
      </c>
      <c r="V7" s="54">
        <f>IF($O7="","",ROUND(($O7-$O$3)/1000,1)+(_xlfn.RANK.AVG($O7,($J7,$O7,$T7),1)-2)*10)</f>
        <v>-24.3</v>
      </c>
      <c r="W7" s="55">
        <f>IF($T7="","",ROUND(($T7-$T$3)/1000,1)+(_xlfn.RANK.AVG($T7,($J7,$O7,$T7),1)-2)*10)</f>
        <v>-6.9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りくと</v>
      </c>
      <c r="F8" s="8" t="s">
        <v>201</v>
      </c>
      <c r="G8" s="9">
        <v>-9000</v>
      </c>
      <c r="H8" s="9"/>
      <c r="I8" s="48">
        <v>-500</v>
      </c>
      <c r="J8" s="21">
        <f t="shared" si="2"/>
        <v>46700</v>
      </c>
      <c r="K8" s="8" t="s">
        <v>200</v>
      </c>
      <c r="L8" s="9">
        <v>18000</v>
      </c>
      <c r="M8" s="9"/>
      <c r="N8" s="48">
        <v>1000</v>
      </c>
      <c r="O8" s="21">
        <f t="shared" si="3"/>
        <v>39700</v>
      </c>
      <c r="P8" s="8" t="s">
        <v>201</v>
      </c>
      <c r="Q8" s="9">
        <v>-9000</v>
      </c>
      <c r="R8" s="9"/>
      <c r="S8" s="48">
        <v>-500</v>
      </c>
      <c r="T8" s="21">
        <f t="shared" si="4"/>
        <v>18600</v>
      </c>
      <c r="U8" s="53">
        <f>IF($J8="","",ROUND(($J8-$J$3)/1000,1)+(_xlfn.RANK.AVG($J8,($J8,$O8,$T8),1)-2)*10)</f>
        <v>21.7</v>
      </c>
      <c r="V8" s="54">
        <f>IF($O8="","",ROUND(($O8-$O$3)/1000,1)+(_xlfn.RANK.AVG($O8,($J8,$O8,$T8),1)-2)*10)</f>
        <v>4.7</v>
      </c>
      <c r="W8" s="55">
        <f>IF($T8="","",ROUND(($T8-$T$3)/1000,1)+(_xlfn.RANK.AVG($T8,($J8,$O8,$T8),1)-2)*10)</f>
        <v>-26.4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202</v>
      </c>
      <c r="AZ8" s="40" t="s">
        <v>203</v>
      </c>
      <c r="BA8" s="41" t="s">
        <v>82</v>
      </c>
      <c r="BB8" s="41" t="s">
        <v>83</v>
      </c>
      <c r="BC8" s="41" t="s">
        <v>92</v>
      </c>
      <c r="BD8" s="41" t="s">
        <v>79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tr">
        <f>IF($K$1="","",$K$1)</f>
        <v>りくと</v>
      </c>
      <c r="F9" s="8" t="s">
        <v>198</v>
      </c>
      <c r="G9" s="9">
        <v>-7700</v>
      </c>
      <c r="H9" s="9"/>
      <c r="I9" s="48">
        <v>-2000</v>
      </c>
      <c r="J9" s="21">
        <f t="shared" si="2"/>
        <v>37000</v>
      </c>
      <c r="K9" s="8"/>
      <c r="L9" s="9"/>
      <c r="M9" s="9"/>
      <c r="N9" s="48"/>
      <c r="O9" s="21">
        <f t="shared" si="3"/>
        <v>39700</v>
      </c>
      <c r="P9" s="8" t="s">
        <v>197</v>
      </c>
      <c r="Q9" s="9">
        <v>7700</v>
      </c>
      <c r="R9" s="9"/>
      <c r="S9" s="48">
        <v>2000</v>
      </c>
      <c r="T9" s="21">
        <f t="shared" si="4"/>
        <v>28300</v>
      </c>
      <c r="U9" s="53">
        <f>IF($J9="","",ROUND(($J9-$J$3)/1000,1)+(_xlfn.RANK.AVG($J9,($J9,$O9,$T9),1)-2)*10)</f>
        <v>2</v>
      </c>
      <c r="V9" s="54">
        <f>IF($O9="","",ROUND(($O9-$O$3)/1000,1)+(_xlfn.RANK.AVG($O9,($J9,$O9,$T9),1)-2)*10)</f>
        <v>14.7</v>
      </c>
      <c r="W9" s="55">
        <f>IF($T9="","",ROUND(($T9-$T$3)/1000,1)+(_xlfn.RANK.AVG($T9,($J9,$O9,$T9),1)-2)*10)</f>
        <v>-16.7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199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まっつん</v>
      </c>
      <c r="F10" s="8"/>
      <c r="G10" s="9"/>
      <c r="H10" s="9"/>
      <c r="I10" s="48"/>
      <c r="J10" s="21">
        <f t="shared" si="2"/>
        <v>37000</v>
      </c>
      <c r="K10" s="8" t="s">
        <v>198</v>
      </c>
      <c r="L10" s="9">
        <v>-2900</v>
      </c>
      <c r="M10" s="9"/>
      <c r="N10" s="48">
        <v>0</v>
      </c>
      <c r="O10" s="21">
        <f t="shared" si="3"/>
        <v>36800</v>
      </c>
      <c r="P10" s="8" t="s">
        <v>197</v>
      </c>
      <c r="Q10" s="9">
        <v>2900</v>
      </c>
      <c r="R10" s="9"/>
      <c r="S10" s="48">
        <v>0</v>
      </c>
      <c r="T10" s="21">
        <f t="shared" si="4"/>
        <v>31200</v>
      </c>
      <c r="U10" s="53">
        <f>IF($J10="","",ROUND(($J10-$J$3)/1000,1)+(_xlfn.RANK.AVG($J10,($J10,$O10,$T10),1)-2)*10)</f>
        <v>12</v>
      </c>
      <c r="V10" s="54">
        <f>IF($O10="","",ROUND(($O10-$O$3)/1000,1)+(_xlfn.RANK.AVG($O10,($J10,$O10,$T10),1)-2)*10)</f>
        <v>1.8</v>
      </c>
      <c r="W10" s="55">
        <f>IF($T10="","",ROUND(($T10-$T$3)/1000,1)+(_xlfn.RANK.AVG($T10,($J10,$O10,$T10),1)-2)*10)</f>
        <v>-13.8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199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まっつん</v>
      </c>
      <c r="F11" s="8"/>
      <c r="G11" s="9"/>
      <c r="H11" s="9"/>
      <c r="I11" s="48"/>
      <c r="J11" s="21">
        <f t="shared" si="2"/>
        <v>37000</v>
      </c>
      <c r="K11" s="8" t="s">
        <v>198</v>
      </c>
      <c r="L11" s="9">
        <v>-12000</v>
      </c>
      <c r="M11" s="9"/>
      <c r="N11" s="48">
        <v>-1000</v>
      </c>
      <c r="O11" s="21">
        <f t="shared" si="3"/>
        <v>23800</v>
      </c>
      <c r="P11" s="8" t="s">
        <v>197</v>
      </c>
      <c r="Q11" s="9">
        <v>12000</v>
      </c>
      <c r="R11" s="9"/>
      <c r="S11" s="48">
        <v>1000</v>
      </c>
      <c r="T11" s="21">
        <f t="shared" si="4"/>
        <v>44200</v>
      </c>
      <c r="U11" s="53">
        <f>IF($J11="","",ROUND(($J11-$J$3)/1000,1)+(_xlfn.RANK.AVG($J11,($J11,$O11,$T11),1)-2)*10)</f>
        <v>2</v>
      </c>
      <c r="V11" s="54">
        <f>IF($O11="","",ROUND(($O11-$O$3)/1000,1)+(_xlfn.RANK.AVG($O11,($J11,$O11,$T11),1)-2)*10)</f>
        <v>-21.2</v>
      </c>
      <c r="W11" s="55">
        <f>IF($T11="","",ROUND(($T11-$T$3)/1000,1)+(_xlfn.RANK.AVG($T11,($J11,$O11,$T11),1)-2)*10)</f>
        <v>19.2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50</v>
      </c>
      <c r="BU11" s="40" t="s">
        <v>203</v>
      </c>
      <c r="BV11" s="41" t="s">
        <v>86</v>
      </c>
      <c r="BW11" s="41" t="s">
        <v>86</v>
      </c>
      <c r="BX11" s="41" t="s">
        <v>199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tr">
        <f>IF($P$1="","",$P$1)</f>
        <v>まっつん</v>
      </c>
      <c r="F12" s="8" t="s">
        <v>205</v>
      </c>
      <c r="G12" s="9">
        <v>1500</v>
      </c>
      <c r="H12" s="9">
        <v>-1000</v>
      </c>
      <c r="I12" s="48"/>
      <c r="J12" s="21">
        <f t="shared" si="2"/>
        <v>37500</v>
      </c>
      <c r="K12" s="8" t="s">
        <v>205</v>
      </c>
      <c r="L12" s="9">
        <v>1500</v>
      </c>
      <c r="M12" s="9"/>
      <c r="N12" s="48"/>
      <c r="O12" s="21">
        <f t="shared" si="3"/>
        <v>25300</v>
      </c>
      <c r="P12" s="8" t="s">
        <v>205</v>
      </c>
      <c r="Q12" s="9">
        <v>-3000</v>
      </c>
      <c r="R12" s="9"/>
      <c r="S12" s="48"/>
      <c r="T12" s="21">
        <f t="shared" si="4"/>
        <v>41200</v>
      </c>
      <c r="U12" s="53">
        <f>IF($J12="","",ROUND(($J12-$J$3)/1000,1)+(_xlfn.RANK.AVG($J12,($J12,$O12,$T12),1)-2)*10)</f>
        <v>2.5</v>
      </c>
      <c r="V12" s="54">
        <f>IF($O12="","",ROUND(($O12-$O$3)/1000,1)+(_xlfn.RANK.AVG($O12,($J12,$O12,$T12),1)-2)*10)</f>
        <v>-19.7</v>
      </c>
      <c r="W12" s="55">
        <f>IF($T12="","",ROUND(($T12-$T$3)/1000,1)+(_xlfn.RANK.AVG($T12,($J12,$O12,$T12),1)-2)*10)</f>
        <v>16.2</v>
      </c>
      <c r="Y12" s="8" t="s">
        <v>195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1</v>
      </c>
      <c r="E13" s="4" t="str">
        <f>IF($F$1="","",$F$1)</f>
        <v>だいち</v>
      </c>
      <c r="F13" s="8" t="s">
        <v>198</v>
      </c>
      <c r="G13" s="9">
        <v>-8000</v>
      </c>
      <c r="H13" s="9"/>
      <c r="I13" s="48">
        <v>-3000</v>
      </c>
      <c r="J13" s="21">
        <f t="shared" si="2"/>
        <v>26500</v>
      </c>
      <c r="K13" s="8"/>
      <c r="L13" s="9"/>
      <c r="M13" s="9"/>
      <c r="N13" s="48"/>
      <c r="O13" s="21">
        <f t="shared" si="3"/>
        <v>25300</v>
      </c>
      <c r="P13" s="8" t="s">
        <v>197</v>
      </c>
      <c r="Q13" s="9">
        <v>8000</v>
      </c>
      <c r="R13" s="9">
        <v>1000</v>
      </c>
      <c r="S13" s="48">
        <v>3000</v>
      </c>
      <c r="T13" s="21">
        <f t="shared" si="4"/>
        <v>53200</v>
      </c>
      <c r="U13" s="53">
        <f>IF($J13="","",ROUND(($J13-$J$3)/1000,1)+(_xlfn.RANK.AVG($J13,($J13,$O13,$T13),1)-2)*10)</f>
        <v>-8.5</v>
      </c>
      <c r="V13" s="54">
        <f>IF($O13="","",ROUND(($O13-$O$3)/1000,1)+(_xlfn.RANK.AVG($O13,($J13,$O13,$T13),1)-2)*10)</f>
        <v>-19.7</v>
      </c>
      <c r="W13" s="55">
        <f>IF($T13="","",ROUND(($T13-$T$3)/1000,1)+(_xlfn.RANK.AVG($T13,($J13,$O13,$T13),1)-2)*10)</f>
        <v>28.2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202</v>
      </c>
      <c r="BU13" s="40" t="s">
        <v>203</v>
      </c>
      <c r="BV13" s="41" t="s">
        <v>92</v>
      </c>
      <c r="BW13" s="41" t="s">
        <v>80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りくと</v>
      </c>
      <c r="F14" s="8" t="s">
        <v>201</v>
      </c>
      <c r="G14" s="9">
        <v>-9000</v>
      </c>
      <c r="H14" s="9">
        <v>-1000</v>
      </c>
      <c r="I14" s="48">
        <v>0</v>
      </c>
      <c r="J14" s="21">
        <f t="shared" si="2"/>
        <v>16500</v>
      </c>
      <c r="K14" s="8" t="s">
        <v>200</v>
      </c>
      <c r="L14" s="9">
        <v>18000</v>
      </c>
      <c r="M14" s="9">
        <v>1000</v>
      </c>
      <c r="N14" s="48">
        <v>0</v>
      </c>
      <c r="O14" s="21">
        <f t="shared" si="3"/>
        <v>44300</v>
      </c>
      <c r="P14" s="8" t="s">
        <v>201</v>
      </c>
      <c r="Q14" s="9">
        <v>-9000</v>
      </c>
      <c r="R14" s="9"/>
      <c r="S14" s="48">
        <v>0</v>
      </c>
      <c r="T14" s="21">
        <f t="shared" si="4"/>
        <v>44200</v>
      </c>
      <c r="U14" s="53">
        <f>IF($J14="","",ROUND(($J14-$J$3)/1000,1)+(_xlfn.RANK.AVG($J14,($J14,$O14,$T14),1)-2)*10)</f>
        <v>-28.5</v>
      </c>
      <c r="V14" s="54">
        <f>IF($O14="","",ROUND(($O14-$O$3)/1000,1)+(_xlfn.RANK.AVG($O14,($J14,$O14,$T14),1)-2)*10)</f>
        <v>19.3</v>
      </c>
      <c r="W14" s="55">
        <f>IF($T14="","",ROUND(($T14-$T$3)/1000,1)+(_xlfn.RANK.AVG($T14,($J14,$O14,$T14),1)-2)*10)</f>
        <v>9.1999999999999993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6</v>
      </c>
      <c r="AY14" s="30" t="s">
        <v>202</v>
      </c>
      <c r="AZ14" s="40" t="s">
        <v>203</v>
      </c>
      <c r="BA14" s="41" t="s">
        <v>101</v>
      </c>
      <c r="BB14" s="41" t="s">
        <v>82</v>
      </c>
      <c r="BC14" s="41" t="s">
        <v>80</v>
      </c>
      <c r="BD14" s="41" t="s">
        <v>80</v>
      </c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tr">
        <f>IF($K$1="","",$K$1)</f>
        <v>りくと</v>
      </c>
      <c r="F15" s="8" t="s">
        <v>200</v>
      </c>
      <c r="G15" s="9">
        <v>12000</v>
      </c>
      <c r="H15" s="9"/>
      <c r="I15" s="48">
        <v>1000</v>
      </c>
      <c r="J15" s="21">
        <f t="shared" si="2"/>
        <v>29500</v>
      </c>
      <c r="K15" s="8" t="s">
        <v>201</v>
      </c>
      <c r="L15" s="9">
        <v>-7500</v>
      </c>
      <c r="M15" s="9"/>
      <c r="N15" s="48">
        <v>-500</v>
      </c>
      <c r="O15" s="21">
        <f t="shared" si="3"/>
        <v>36300</v>
      </c>
      <c r="P15" s="8" t="s">
        <v>201</v>
      </c>
      <c r="Q15" s="9">
        <v>-4500</v>
      </c>
      <c r="R15" s="9"/>
      <c r="S15" s="48">
        <v>-500</v>
      </c>
      <c r="T15" s="21">
        <f t="shared" si="4"/>
        <v>39200</v>
      </c>
      <c r="U15" s="53">
        <f>IF($J15="","",ROUND(($J15-$J$3)/1000,1)+(_xlfn.RANK.AVG($J15,($J15,$O15,$T15),1)-2)*10)</f>
        <v>-15.5</v>
      </c>
      <c r="V15" s="54">
        <f>IF($O15="","",ROUND(($O15-$O$3)/1000,1)+(_xlfn.RANK.AVG($O15,($J15,$O15,$T15),1)-2)*10)</f>
        <v>1.3</v>
      </c>
      <c r="W15" s="55">
        <f>IF($T15="","",ROUND(($T15-$T$3)/1000,1)+(_xlfn.RANK.AVG($T15,($J15,$O15,$T15),1)-2)*10)</f>
        <v>14.2</v>
      </c>
      <c r="Y15" s="8"/>
      <c r="Z15" s="34"/>
      <c r="AA15" s="26">
        <v>1</v>
      </c>
      <c r="AB15" s="26"/>
      <c r="AC15" s="26">
        <v>6</v>
      </c>
      <c r="AD15" s="30" t="s">
        <v>202</v>
      </c>
      <c r="AE15" s="40" t="s">
        <v>203</v>
      </c>
      <c r="AF15" s="41" t="s">
        <v>82</v>
      </c>
      <c r="AG15" s="41" t="s">
        <v>86</v>
      </c>
      <c r="AH15" s="41" t="s">
        <v>79</v>
      </c>
      <c r="AI15" s="41" t="s">
        <v>79</v>
      </c>
      <c r="AJ15" s="41" t="s">
        <v>79</v>
      </c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まっつん</v>
      </c>
      <c r="F16" s="8" t="s">
        <v>197</v>
      </c>
      <c r="G16" s="9">
        <v>24000</v>
      </c>
      <c r="H16" s="9">
        <v>1000</v>
      </c>
      <c r="I16" s="48">
        <v>0</v>
      </c>
      <c r="J16" s="21">
        <f t="shared" si="2"/>
        <v>54500</v>
      </c>
      <c r="K16" s="8"/>
      <c r="L16" s="9"/>
      <c r="M16" s="9"/>
      <c r="N16" s="48"/>
      <c r="O16" s="21">
        <f t="shared" si="3"/>
        <v>36300</v>
      </c>
      <c r="P16" s="8" t="s">
        <v>198</v>
      </c>
      <c r="Q16" s="9">
        <v>-24000</v>
      </c>
      <c r="R16" s="9">
        <v>-1000</v>
      </c>
      <c r="S16" s="48">
        <v>0</v>
      </c>
      <c r="T16" s="21">
        <f t="shared" si="4"/>
        <v>14200</v>
      </c>
      <c r="U16" s="53">
        <f>IF($J16="","",ROUND(($J16-$J$3)/1000,1)+(_xlfn.RANK.AVG($J16,($J16,$O16,$T16),1)-2)*10)</f>
        <v>29.5</v>
      </c>
      <c r="V16" s="54">
        <f>IF($O16="","",ROUND(($O16-$O$3)/1000,1)+(_xlfn.RANK.AVG($O16,($J16,$O16,$T16),1)-2)*10)</f>
        <v>1.3</v>
      </c>
      <c r="W16" s="55">
        <f>IF($T16="","",ROUND(($T16-$T$3)/1000,1)+(_xlfn.RANK.AVG($T16,($J16,$O16,$T16),1)-2)*10)</f>
        <v>-30.8</v>
      </c>
      <c r="Y16" s="8"/>
      <c r="Z16" s="34"/>
      <c r="AA16" s="26">
        <v>1</v>
      </c>
      <c r="AB16" s="26"/>
      <c r="AC16" s="26">
        <v>12</v>
      </c>
      <c r="AD16" s="30" t="s">
        <v>202</v>
      </c>
      <c r="AE16" s="40" t="s">
        <v>203</v>
      </c>
      <c r="AF16" s="41" t="s">
        <v>104</v>
      </c>
      <c r="AG16" s="41" t="s">
        <v>84</v>
      </c>
      <c r="AH16" s="41" t="s">
        <v>93</v>
      </c>
      <c r="AI16" s="41" t="s">
        <v>86</v>
      </c>
      <c r="AJ16" s="41" t="s">
        <v>79</v>
      </c>
      <c r="AK16" s="41" t="s">
        <v>79</v>
      </c>
      <c r="AL16" s="41" t="s">
        <v>80</v>
      </c>
      <c r="AM16" s="41" t="s">
        <v>80</v>
      </c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tr">
        <f>IF($F$1="","",$F$1)</f>
        <v>だいち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0333DF86-4A60-44EC-814A-0067B9182C60}">
      <formula1>"ロン,ツモ,放銃,ツモ支払,流局,チョンボ"</formula1>
    </dataValidation>
    <dataValidation type="list" allowBlank="1" showInputMessage="1" showErrorMessage="1" sqref="E4:E30" xr:uid="{EE6BA33B-DF84-459D-80EE-C707FFC3D176}">
      <formula1>$U$2:$W$2</formula1>
    </dataValidation>
    <dataValidation type="list" allowBlank="1" showInputMessage="1" sqref="F1:T1" xr:uid="{98A6A31D-43C5-41D3-A671-342929664D5E}">
      <formula1>"れんたろう
ともき
だいち
りくと
まっつん
たかの
のり
ただ
ぱぱ
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15E56-9F8C-462E-B086-65E3B3E6A7D7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125" style="89" customWidth="1"/>
    <col min="5" max="5" width="9" style="89" customWidth="1"/>
    <col min="6" max="7" width="9" style="89"/>
    <col min="8" max="9" width="9" style="89" customWidth="1"/>
    <col min="10" max="12" width="9" style="89"/>
    <col min="13" max="14" width="9" style="89" customWidth="1"/>
    <col min="15" max="17" width="9" style="89"/>
    <col min="18" max="19" width="9" style="89" customWidth="1"/>
    <col min="20" max="20" width="9" style="89"/>
    <col min="21" max="23" width="9" style="89" customWidth="1"/>
    <col min="24" max="24" width="3.5" style="89" bestFit="1" customWidth="1"/>
    <col min="25" max="30" width="3.5" style="90" customWidth="1"/>
    <col min="31" max="45" width="3.5" style="90" bestFit="1" customWidth="1"/>
    <col min="46" max="51" width="3.5" style="90" customWidth="1"/>
    <col min="52" max="66" width="3.5" style="90" bestFit="1" customWidth="1"/>
    <col min="67" max="72" width="3.5" style="90" customWidth="1"/>
    <col min="73" max="87" width="3.5" style="90" bestFit="1" customWidth="1"/>
    <col min="88" max="16384" width="9" style="89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206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207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74" t="str">
        <f>$F$1</f>
        <v>のり</v>
      </c>
      <c r="V2" s="75" t="str">
        <f>$K$1</f>
        <v>まっつん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/>
      <c r="G4" s="9"/>
      <c r="H4" s="9"/>
      <c r="I4" s="9"/>
      <c r="J4" s="21">
        <f>IF(COUNTA($F4,$K4,$P4)&gt;0,J3+SUM(G4:I4),"")</f>
        <v>35000</v>
      </c>
      <c r="K4" s="8" t="s">
        <v>197</v>
      </c>
      <c r="L4" s="9">
        <v>12000</v>
      </c>
      <c r="M4" s="9"/>
      <c r="N4" s="9">
        <v>0</v>
      </c>
      <c r="O4" s="21">
        <f>IF(COUNTA($F4,$K4,$P4)&gt;0,O3+SUM(L4:N4),"")</f>
        <v>47000</v>
      </c>
      <c r="P4" s="8" t="s">
        <v>198</v>
      </c>
      <c r="Q4" s="9">
        <v>-12000</v>
      </c>
      <c r="R4" s="9"/>
      <c r="S4" s="9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202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93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201</v>
      </c>
      <c r="G5" s="9">
        <v>-3000</v>
      </c>
      <c r="H5" s="9"/>
      <c r="I5" s="9">
        <v>0</v>
      </c>
      <c r="J5" s="21">
        <f t="shared" ref="J5:J30" si="2">IF(COUNTA($F5,$K5,$P5)&gt;0,J4+SUM(G5:I5),"")</f>
        <v>32000</v>
      </c>
      <c r="K5" s="8" t="s">
        <v>201</v>
      </c>
      <c r="L5" s="9">
        <v>-5000</v>
      </c>
      <c r="M5" s="9"/>
      <c r="N5" s="9">
        <v>0</v>
      </c>
      <c r="O5" s="21">
        <f t="shared" ref="O5:O30" si="3">IF(COUNTA($F5,$K5,$P5)&gt;0,O4+SUM(L5:N5),"")</f>
        <v>42000</v>
      </c>
      <c r="P5" s="8" t="s">
        <v>200</v>
      </c>
      <c r="Q5" s="9">
        <v>8000</v>
      </c>
      <c r="R5" s="9"/>
      <c r="S5" s="9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-14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202</v>
      </c>
      <c r="BU5" s="40" t="s">
        <v>106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196</v>
      </c>
      <c r="G6" s="9">
        <v>0</v>
      </c>
      <c r="H6" s="9">
        <v>-1000</v>
      </c>
      <c r="I6" s="9"/>
      <c r="J6" s="21">
        <f t="shared" si="2"/>
        <v>31000</v>
      </c>
      <c r="K6" s="8" t="s">
        <v>196</v>
      </c>
      <c r="L6" s="9">
        <v>0</v>
      </c>
      <c r="M6" s="9"/>
      <c r="N6" s="9"/>
      <c r="O6" s="21">
        <f t="shared" si="3"/>
        <v>42000</v>
      </c>
      <c r="P6" s="8" t="s">
        <v>196</v>
      </c>
      <c r="Q6" s="9">
        <v>0</v>
      </c>
      <c r="R6" s="9"/>
      <c r="S6" s="9"/>
      <c r="T6" s="21">
        <f t="shared" si="4"/>
        <v>31000</v>
      </c>
      <c r="U6" s="53">
        <f>IF($J6="","",ROUND(($J6-$J$3)/1000,1)+(_xlfn.RANK.AVG($J6,($J6,$O6,$T6),1)-2)*10)</f>
        <v>-9</v>
      </c>
      <c r="V6" s="54">
        <f>IF($O6="","",ROUND(($O6-$O$3)/1000,1)+(_xlfn.RANK.AVG($O6,($J6,$O6,$T6),1)-2)*10)</f>
        <v>17</v>
      </c>
      <c r="W6" s="55">
        <f>IF($T6="","",ROUND(($T6-$T$3)/1000,1)+(_xlfn.RANK.AVG($T6,($J6,$O6,$T6),1)-2)*10)</f>
        <v>-9</v>
      </c>
      <c r="Y6" s="8" t="s">
        <v>195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195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196</v>
      </c>
      <c r="G7" s="9">
        <v>-3000</v>
      </c>
      <c r="H7" s="9"/>
      <c r="I7" s="9"/>
      <c r="J7" s="21">
        <f t="shared" si="2"/>
        <v>28000</v>
      </c>
      <c r="K7" s="8" t="s">
        <v>196</v>
      </c>
      <c r="L7" s="9">
        <v>1500</v>
      </c>
      <c r="M7" s="9"/>
      <c r="N7" s="9"/>
      <c r="O7" s="21">
        <f t="shared" si="3"/>
        <v>43500</v>
      </c>
      <c r="P7" s="8" t="s">
        <v>196</v>
      </c>
      <c r="Q7" s="9">
        <v>1500</v>
      </c>
      <c r="R7" s="9">
        <v>-1000</v>
      </c>
      <c r="S7" s="9"/>
      <c r="T7" s="21">
        <f t="shared" si="4"/>
        <v>31500</v>
      </c>
      <c r="U7" s="53">
        <f>IF($J7="","",ROUND(($J7-$J$3)/1000,1)+(_xlfn.RANK.AVG($J7,($J7,$O7,$T7),1)-2)*10)</f>
        <v>-17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-3.5</v>
      </c>
      <c r="Y7" s="8" t="s">
        <v>194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tr">
        <f>IF($P$1="","",$P$1)</f>
        <v>れんたろう</v>
      </c>
      <c r="F8" s="8" t="s">
        <v>197</v>
      </c>
      <c r="G8" s="9">
        <v>3900</v>
      </c>
      <c r="H8" s="9">
        <v>2000</v>
      </c>
      <c r="I8" s="9">
        <v>2000</v>
      </c>
      <c r="J8" s="21">
        <f t="shared" si="2"/>
        <v>35900</v>
      </c>
      <c r="K8" s="8"/>
      <c r="L8" s="9"/>
      <c r="M8" s="9"/>
      <c r="N8" s="9"/>
      <c r="O8" s="21">
        <f t="shared" si="3"/>
        <v>43500</v>
      </c>
      <c r="P8" s="8" t="s">
        <v>198</v>
      </c>
      <c r="Q8" s="9">
        <v>-3900</v>
      </c>
      <c r="R8" s="9"/>
      <c r="S8" s="9">
        <v>-2000</v>
      </c>
      <c r="T8" s="21">
        <f t="shared" si="4"/>
        <v>25600</v>
      </c>
      <c r="U8" s="53">
        <f>IF($J8="","",ROUND(($J8-$J$3)/1000,1)+(_xlfn.RANK.AVG($J8,($J8,$O8,$T8),1)-2)*10)</f>
        <v>0.9</v>
      </c>
      <c r="V8" s="54">
        <f>IF($O8="","",ROUND(($O8-$O$3)/1000,1)+(_xlfn.RANK.AVG($O8,($J8,$O8,$T8),1)-2)*10)</f>
        <v>18.5</v>
      </c>
      <c r="W8" s="55">
        <f>IF($T8="","",ROUND(($T8-$T$3)/1000,1)+(_xlfn.RANK.AVG($T8,($J8,$O8,$T8),1)-2)*10)</f>
        <v>-19.399999999999999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104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のり</v>
      </c>
      <c r="F9" s="8"/>
      <c r="G9" s="9"/>
      <c r="H9" s="9"/>
      <c r="I9" s="9"/>
      <c r="J9" s="21">
        <f t="shared" si="2"/>
        <v>35900</v>
      </c>
      <c r="K9" s="8" t="s">
        <v>197</v>
      </c>
      <c r="L9" s="9">
        <v>7700</v>
      </c>
      <c r="M9" s="9"/>
      <c r="N9" s="9">
        <v>0</v>
      </c>
      <c r="O9" s="21">
        <f t="shared" si="3"/>
        <v>51200</v>
      </c>
      <c r="P9" s="8" t="s">
        <v>198</v>
      </c>
      <c r="Q9" s="9">
        <v>-7700</v>
      </c>
      <c r="R9" s="9"/>
      <c r="S9" s="9">
        <v>0</v>
      </c>
      <c r="T9" s="21">
        <f t="shared" si="4"/>
        <v>17900</v>
      </c>
      <c r="U9" s="53">
        <f>IF($J9="","",ROUND(($J9-$J$3)/1000,1)+(_xlfn.RANK.AVG($J9,($J9,$O9,$T9),1)-2)*10)</f>
        <v>0.9</v>
      </c>
      <c r="V9" s="54">
        <f>IF($O9="","",ROUND(($O9-$O$3)/1000,1)+(_xlfn.RANK.AVG($O9,($J9,$O9,$T9),1)-2)*10)</f>
        <v>26.2</v>
      </c>
      <c r="W9" s="55">
        <f>IF($T9="","",ROUND(($T9-$T$3)/1000,1)+(_xlfn.RANK.AVG($T9,($J9,$O9,$T9),1)-2)*10)</f>
        <v>-27.1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86</v>
      </c>
      <c r="BC9" s="41" t="s">
        <v>199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201</v>
      </c>
      <c r="G10" s="9">
        <v>-1500</v>
      </c>
      <c r="H10" s="9"/>
      <c r="I10" s="9">
        <v>0</v>
      </c>
      <c r="J10" s="21">
        <f t="shared" si="2"/>
        <v>34400</v>
      </c>
      <c r="K10" s="8" t="s">
        <v>200</v>
      </c>
      <c r="L10" s="9">
        <v>3000</v>
      </c>
      <c r="M10" s="9">
        <v>1000</v>
      </c>
      <c r="N10" s="9">
        <v>0</v>
      </c>
      <c r="O10" s="21">
        <f t="shared" si="3"/>
        <v>55200</v>
      </c>
      <c r="P10" s="8" t="s">
        <v>201</v>
      </c>
      <c r="Q10" s="9">
        <v>-1500</v>
      </c>
      <c r="R10" s="9">
        <v>-1000</v>
      </c>
      <c r="S10" s="9">
        <v>0</v>
      </c>
      <c r="T10" s="21">
        <f t="shared" si="4"/>
        <v>15400</v>
      </c>
      <c r="U10" s="53">
        <f>IF($J10="","",ROUND(($J10-$J$3)/1000,1)+(_xlfn.RANK.AVG($J10,($J10,$O10,$T10),1)-2)*10)</f>
        <v>-0.6</v>
      </c>
      <c r="V10" s="54">
        <f>IF($O10="","",ROUND(($O10-$O$3)/1000,1)+(_xlfn.RANK.AVG($O10,($J10,$O10,$T10),1)-2)*10)</f>
        <v>30.2</v>
      </c>
      <c r="W10" s="55">
        <f>IF($T10="","",ROUND(($T10-$T$3)/1000,1)+(_xlfn.RANK.AVG($T10,($J10,$O10,$T10),1)-2)*10)</f>
        <v>-29.6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199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197</v>
      </c>
      <c r="G11" s="9">
        <v>7700</v>
      </c>
      <c r="H11" s="9"/>
      <c r="I11" s="9">
        <v>1000</v>
      </c>
      <c r="J11" s="21">
        <f t="shared" si="2"/>
        <v>43100</v>
      </c>
      <c r="K11" s="8"/>
      <c r="L11" s="9"/>
      <c r="M11" s="9"/>
      <c r="N11" s="9"/>
      <c r="O11" s="21">
        <f t="shared" si="3"/>
        <v>55200</v>
      </c>
      <c r="P11" s="8" t="s">
        <v>198</v>
      </c>
      <c r="Q11" s="9">
        <v>-7700</v>
      </c>
      <c r="R11" s="9"/>
      <c r="S11" s="9">
        <v>-1000</v>
      </c>
      <c r="T11" s="21">
        <f t="shared" si="4"/>
        <v>6700</v>
      </c>
      <c r="U11" s="53">
        <f>IF($J11="","",ROUND(($J11-$J$3)/1000,1)+(_xlfn.RANK.AVG($J11,($J11,$O11,$T11),1)-2)*10)</f>
        <v>8.1</v>
      </c>
      <c r="V11" s="54">
        <f>IF($O11="","",ROUND(($O11-$O$3)/1000,1)+(_xlfn.RANK.AVG($O11,($J11,$O11,$T11),1)-2)*10)</f>
        <v>30.2</v>
      </c>
      <c r="W11" s="55">
        <f>IF($T11="","",ROUND(($T11-$T$3)/1000,1)+(_xlfn.RANK.AVG($T11,($J11,$O11,$T11),1)-2)*10)</f>
        <v>-38.299999999999997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85</v>
      </c>
      <c r="AF11" s="41" t="s">
        <v>83</v>
      </c>
      <c r="AG11" s="41" t="s">
        <v>199</v>
      </c>
      <c r="AH11" s="41" t="s">
        <v>199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208</v>
      </c>
      <c r="G12" s="9">
        <v>6000</v>
      </c>
      <c r="H12" s="9"/>
      <c r="I12" s="9"/>
      <c r="J12" s="21">
        <f t="shared" si="2"/>
        <v>49100</v>
      </c>
      <c r="K12" s="8" t="s">
        <v>208</v>
      </c>
      <c r="L12" s="9">
        <v>6000</v>
      </c>
      <c r="M12" s="9"/>
      <c r="N12" s="9"/>
      <c r="O12" s="21">
        <f t="shared" si="3"/>
        <v>61200</v>
      </c>
      <c r="P12" s="8" t="s">
        <v>208</v>
      </c>
      <c r="Q12" s="9">
        <v>-12000</v>
      </c>
      <c r="R12" s="9"/>
      <c r="S12" s="9"/>
      <c r="T12" s="21">
        <f t="shared" si="4"/>
        <v>-5300</v>
      </c>
      <c r="U12" s="53">
        <f>IF($J12="","",ROUND(($J12-$J$3)/1000,1)+(_xlfn.RANK.AVG($J12,($J12,$O12,$T12),1)-2)*10)</f>
        <v>14.1</v>
      </c>
      <c r="V12" s="54">
        <f>IF($O12="","",ROUND(($O12-$O$3)/1000,1)+(_xlfn.RANK.AVG($O12,($J12,$O12,$T12),1)-2)*10)</f>
        <v>36.200000000000003</v>
      </c>
      <c r="W12" s="55">
        <f>IF($T12="","",ROUND(($T12-$T$3)/1000,1)+(_xlfn.RANK.AVG($T12,($J12,$O12,$T12),1)-2)*10)</f>
        <v>-50.3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>
        <v>1</v>
      </c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のり</v>
      </c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1E8F935-4289-4FD5-BCD5-A86BE78D452E}">
      <formula1>"れんたろう
ともき
だいち
りくと
まっつん
たかの
のり
ただ
ぱぱ
,"</formula1>
    </dataValidation>
    <dataValidation type="list" showInputMessage="1" showErrorMessage="1" sqref="K4:K30 P4:P30 F4:F30" xr:uid="{D05D8B82-B1CA-456D-8916-500A6FC5746A}">
      <formula1>"ロン,ツモ,放銃,ツモ支払,流局,チョンボ"</formula1>
    </dataValidation>
    <dataValidation type="list" allowBlank="1" showInputMessage="1" showErrorMessage="1" sqref="E4:E30" xr:uid="{53E73309-E28A-4A05-9279-6E704979F4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asd</cp:lastModifiedBy>
  <cp:lastPrinted>2018-10-03T09:15:05Z</cp:lastPrinted>
  <dcterms:created xsi:type="dcterms:W3CDTF">2018-10-02T11:54:05Z</dcterms:created>
  <dcterms:modified xsi:type="dcterms:W3CDTF">2020-07-06T09:11:58Z</dcterms:modified>
</cp:coreProperties>
</file>