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03D51189-4808-4FAA-94E1-3B2820500C9D}" xr6:coauthVersionLast="44" xr6:coauthVersionMax="44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" i="20" l="1"/>
  <c r="D10" i="20" s="1"/>
  <c r="E9" i="20"/>
  <c r="D9" i="20" s="1"/>
  <c r="E8" i="20"/>
  <c r="C8" i="20" s="1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T10" i="20"/>
  <c r="W10" i="20" s="1"/>
  <c r="O10" i="20"/>
  <c r="V10" i="20" s="1"/>
  <c r="J10" i="20"/>
  <c r="U10" i="20" s="1"/>
  <c r="C9" i="20"/>
  <c r="C7" i="20"/>
  <c r="D7" i="20"/>
  <c r="T5" i="20"/>
  <c r="T6" i="20" s="1"/>
  <c r="J5" i="20"/>
  <c r="J6" i="20" s="1"/>
  <c r="D5" i="20"/>
  <c r="T4" i="20"/>
  <c r="O4" i="20"/>
  <c r="J4" i="20"/>
  <c r="E4" i="20"/>
  <c r="C5" i="20" s="1"/>
  <c r="W3" i="20"/>
  <c r="V3" i="20"/>
  <c r="U3" i="20"/>
  <c r="W2" i="20"/>
  <c r="V2" i="20"/>
  <c r="U2" i="20"/>
  <c r="BO1" i="20"/>
  <c r="AT1" i="20"/>
  <c r="Y1" i="20"/>
  <c r="E9" i="19"/>
  <c r="E8" i="19"/>
  <c r="E7" i="19"/>
  <c r="E6" i="19"/>
  <c r="E5" i="19"/>
  <c r="C10" i="20" l="1"/>
  <c r="B10" i="20"/>
  <c r="A10" i="20" s="1"/>
  <c r="W4" i="20"/>
  <c r="T7" i="20"/>
  <c r="J7" i="20"/>
  <c r="B5" i="20"/>
  <c r="D8" i="20"/>
  <c r="U4" i="20"/>
  <c r="C6" i="20"/>
  <c r="V4" i="20"/>
  <c r="O5" i="20"/>
  <c r="D6" i="20"/>
  <c r="U5" i="20"/>
  <c r="E4" i="19"/>
  <c r="O6" i="20" l="1"/>
  <c r="V5" i="20"/>
  <c r="W5" i="20"/>
  <c r="A5" i="20"/>
  <c r="J8" i="20"/>
  <c r="B6" i="20"/>
  <c r="T8" i="20"/>
  <c r="W3" i="19"/>
  <c r="V3" i="19"/>
  <c r="U3" i="19"/>
  <c r="B7" i="20" l="1"/>
  <c r="J9" i="20"/>
  <c r="A6" i="20"/>
  <c r="T9" i="20"/>
  <c r="O7" i="20"/>
  <c r="V6" i="20"/>
  <c r="U6" i="20"/>
  <c r="W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O8" i="20" l="1"/>
  <c r="V7" i="20"/>
  <c r="W7" i="20"/>
  <c r="U7" i="20"/>
  <c r="B8" i="20"/>
  <c r="A7" i="20"/>
  <c r="U9" i="19"/>
  <c r="V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9" i="20" l="1"/>
  <c r="A9" i="20" s="1"/>
  <c r="A8" i="20"/>
  <c r="O9" i="20"/>
  <c r="V8" i="20"/>
  <c r="U8" i="20"/>
  <c r="W8" i="20"/>
  <c r="W5" i="19"/>
  <c r="V5" i="19"/>
  <c r="U5" i="19"/>
  <c r="V9" i="20" l="1"/>
  <c r="W9" i="20"/>
  <c r="U9" i="20"/>
</calcChain>
</file>

<file path=xl/sharedStrings.xml><?xml version="1.0" encoding="utf-8"?>
<sst xmlns="http://schemas.openxmlformats.org/spreadsheetml/2006/main" count="660" uniqueCount="208">
  <si>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</si>
  <si>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</si>
  <si>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</si>
  <si>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</si>
  <si>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</si>
  <si>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</si>
  <si>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</si>
  <si>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</si>
  <si>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</si>
  <si>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</si>
  <si>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</si>
  <si>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</si>
  <si>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</si>
  <si>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</si>
  <si>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</si>
  <si>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</si>
  <si>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</si>
  <si>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</si>
  <si>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</si>
  <si>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</si>
  <si>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</si>
  <si>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</si>
  <si>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</si>
  <si>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</si>
  <si>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</si>
  <si>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</si>
  <si>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</si>
  <si>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</si>
  <si>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</si>
  <si>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</si>
  <si>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</si>
  <si>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</si>
  <si>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</si>
  <si>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</si>
  <si>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</si>
  <si>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</si>
  <si>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</si>
  <si>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</si>
  <si>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</si>
  <si>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</si>
  <si>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</si>
  <si>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</si>
  <si>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</si>
  <si>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</si>
  <si>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</si>
  <si>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</si>
  <si>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</si>
  <si>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</si>
  <si>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</si>
  <si>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</si>
  <si>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</si>
  <si>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</si>
  <si>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</si>
  <si>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</si>
  <si>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</si>
  <si>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</si>
  <si>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</si>
  <si>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</si>
  <si>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</si>
  <si>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</si>
  <si>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</si>
  <si>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</si>
  <si>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</si>
  <si>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</si>
  <si>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</si>
  <si>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</si>
  <si>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</si>
  <si>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</si>
  <si>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</si>
  <si>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</si>
  <si>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</si>
  <si>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</si>
  <si>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</si>
  <si>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</si>
  <si>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</si>
  <si>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</si>
  <si>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</si>
  <si>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</si>
  <si>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</si>
  <si>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</si>
  <si>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</si>
  <si>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</si>
  <si>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</si>
  <si>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</si>
  <si>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</si>
  <si>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</si>
  <si>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</si>
  <si>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</si>
  <si>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</si>
  <si>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</si>
  <si>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</si>
  <si>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</si>
  <si>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</si>
  <si>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</si>
  <si>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</si>
  <si>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</si>
  <si>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</si>
  <si>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</si>
  <si>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</si>
  <si>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</si>
  <si>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</si>
  <si>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</si>
  <si>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</si>
  <si>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</si>
  <si>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</si>
  <si>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</si>
  <si>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</si>
  <si>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</si>
  <si>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</si>
  <si>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</si>
  <si>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</si>
  <si>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</si>
  <si>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</si>
  <si>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</si>
  <si>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</si>
  <si>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</si>
  <si>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</si>
  <si>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</si>
  <si>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</si>
  <si>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</si>
  <si>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</si>
  <si>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</si>
  <si>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</si>
  <si>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</si>
  <si>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</si>
  <si>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</si>
  <si>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</si>
  <si>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</si>
  <si>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</si>
  <si>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</si>
  <si>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</si>
  <si>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</si>
  <si>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</si>
  <si>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</si>
  <si>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</si>
  <si>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</si>
  <si>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</si>
  <si>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</si>
  <si>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</si>
  <si>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</si>
  <si>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</si>
  <si>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</si>
  <si>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</si>
  <si>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</si>
  <si>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</si>
  <si>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</si>
  <si>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</si>
  <si>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</si>
  <si>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</si>
  <si>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</si>
  <si>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</si>
  <si>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</si>
  <si>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</si>
  <si>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</si>
  <si>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</si>
  <si>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</si>
  <si>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</si>
  <si>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</si>
  <si>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</si>
  <si>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</si>
  <si>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</si>
  <si>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</si>
  <si>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</si>
  <si>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</si>
  <si>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</si>
  <si>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</si>
  <si>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</si>
  <si>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</si>
  <si>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</si>
  <si>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</si>
  <si>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</si>
  <si>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</si>
  <si>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</si>
  <si>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</si>
  <si>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</si>
  <si>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</si>
  <si>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</si>
  <si>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</si>
  <si>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</si>
  <si>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</si>
  <si>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</si>
  <si>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</si>
  <si>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</si>
  <si>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</si>
  <si>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</si>
  <si>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</si>
  <si>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</si>
  <si>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</si>
  <si>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</si>
  <si>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</si>
  <si>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</si>
  <si>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</si>
  <si>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</si>
  <si>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たかの</t>
  </si>
  <si>
    <t>たかの</t>
    <phoneticPr fontId="1"/>
  </si>
  <si>
    <t>だいち</t>
  </si>
  <si>
    <t>だいち</t>
    <phoneticPr fontId="1"/>
  </si>
  <si>
    <t>N</t>
  </si>
  <si>
    <t>T</t>
  </si>
  <si>
    <t>流局</t>
    <phoneticPr fontId="1"/>
  </si>
  <si>
    <t>ロン</t>
  </si>
  <si>
    <t>放銃</t>
  </si>
  <si>
    <t>*</t>
  </si>
  <si>
    <t>01</t>
  </si>
  <si>
    <t>ツモ支払</t>
  </si>
  <si>
    <t>ツモ</t>
  </si>
  <si>
    <t>52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</si>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</sst>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たかの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たかの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 t="s">
        <v>199</v>
      </c>
      <c r="G4" s="9">
        <v>-3000</v>
      </c>
      <c r="H4" s="9"/>
      <c r="I4" s="48"/>
      <c r="J4" s="21">
        <f>IF(COUNTA($F4,$K4,$P4)&gt;0,J3+SUM(G4:I4),"")</f>
        <v>32000</v>
      </c>
      <c r="K4" s="8" t="s">
        <v>199</v>
      </c>
      <c r="L4" s="9">
        <v>1500</v>
      </c>
      <c r="M4" s="9">
        <v>-1000</v>
      </c>
      <c r="N4" s="48"/>
      <c r="O4" s="21">
        <f>IF(COUNTA($F4,$K4,$P4)&gt;0,O3+SUM(L4:N4),"")</f>
        <v>35500</v>
      </c>
      <c r="P4" s="8" t="s">
        <v>199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-13</v>
      </c>
      <c r="V4" s="54">
        <f>IF($O4="","",ROUND(($O4-$O$3)/1000,1)+(_xlfn.RANK.AVG($O4,($J4,$O4,$T4),1)-2)*10)</f>
        <v>0.5</v>
      </c>
      <c r="W4" s="55">
        <f>IF($T4="","",ROUND(($T4-$T$3)/1000,1)+(_xlfn.RANK.AVG($T4,($J4,$O4,$T4),1)-2)*10)</f>
        <v>11.5</v>
      </c>
      <c r="Y4" s="8" t="s">
        <v>197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198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198</v>
      </c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IF($K$1="","",$K$1)</f>
        <v>たかの</v>
      </c>
      <c r="F5" s="8" t="s">
        <v>200</v>
      </c>
      <c r="G5" s="9">
        <v>12000</v>
      </c>
      <c r="H5" s="9">
        <v>1000</v>
      </c>
      <c r="I5" s="48">
        <v>1000</v>
      </c>
      <c r="J5" s="21">
        <f t="shared" ref="J5:J30" si="2">IF(COUNTA($F5,$K5,$P5)&gt;0,J4+SUM(G5:I5),"")</f>
        <v>46000</v>
      </c>
      <c r="K5" s="8" t="s">
        <v>201</v>
      </c>
      <c r="L5" s="9">
        <v>-12000</v>
      </c>
      <c r="M5" s="9"/>
      <c r="N5" s="48">
        <v>-1000</v>
      </c>
      <c r="O5" s="21">
        <f t="shared" ref="O5:O30" si="3">IF(COUNTA($F5,$K5,$P5)&gt;0,O4+SUM(L5:N5),"")</f>
        <v>22500</v>
      </c>
      <c r="P5" s="8"/>
      <c r="Q5" s="9"/>
      <c r="R5" s="9"/>
      <c r="S5" s="48"/>
      <c r="T5" s="21">
        <f t="shared" ref="T5:T30" si="4">IF(COUNTA($F5,$K5,$P5)&gt;0,T4+SUM(Q5:S5),"")</f>
        <v>36500</v>
      </c>
      <c r="U5" s="53">
        <f>IF($J5="","",ROUND(($J5-$J$3)/1000,1)+(_xlfn.RANK.AVG($J5,($J5,$O5,$T5),1)-2)*10)</f>
        <v>21</v>
      </c>
      <c r="V5" s="54">
        <f>IF($O5="","",ROUND(($O5-$O$3)/1000,1)+(_xlfn.RANK.AVG($O5,($J5,$O5,$T5),1)-2)*10)</f>
        <v>-22.5</v>
      </c>
      <c r="W5" s="55">
        <f>IF($T5="","",ROUND(($T5-$T$3)/1000,1)+(_xlfn.RANK.AVG($T5,($J5,$O5,$T5),1)-2)*10)</f>
        <v>1.5</v>
      </c>
      <c r="Y5" s="8"/>
      <c r="Z5" s="34"/>
      <c r="AA5" s="26">
        <v>1</v>
      </c>
      <c r="AB5" s="26"/>
      <c r="AC5" s="26">
        <v>6</v>
      </c>
      <c r="AD5" s="30" t="s">
        <v>202</v>
      </c>
      <c r="AE5" s="40" t="s">
        <v>203</v>
      </c>
      <c r="AF5" s="41" t="s">
        <v>104</v>
      </c>
      <c r="AG5" s="41" t="s">
        <v>101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201</v>
      </c>
      <c r="G6" s="9">
        <v>-2600</v>
      </c>
      <c r="H6" s="9"/>
      <c r="I6" s="48">
        <v>0</v>
      </c>
      <c r="J6" s="21">
        <f t="shared" si="2"/>
        <v>43400</v>
      </c>
      <c r="K6" s="8" t="s">
        <v>200</v>
      </c>
      <c r="L6" s="9">
        <v>2600</v>
      </c>
      <c r="M6" s="9"/>
      <c r="N6" s="48">
        <v>0</v>
      </c>
      <c r="O6" s="21">
        <f t="shared" si="3"/>
        <v>25100</v>
      </c>
      <c r="P6" s="8"/>
      <c r="Q6" s="9"/>
      <c r="R6" s="9"/>
      <c r="S6" s="48"/>
      <c r="T6" s="21">
        <f t="shared" si="4"/>
        <v>36500</v>
      </c>
      <c r="U6" s="53">
        <f>IF($J6="","",ROUND(($J6-$J$3)/1000,1)+(_xlfn.RANK.AVG($J6,($J6,$O6,$T6),1)-2)*10)</f>
        <v>18.399999999999999</v>
      </c>
      <c r="V6" s="54">
        <f>IF($O6="","",ROUND(($O6-$O$3)/1000,1)+(_xlfn.RANK.AVG($O6,($J6,$O6,$T6),1)-2)*10)</f>
        <v>-19.899999999999999</v>
      </c>
      <c r="W6" s="55">
        <f>IF($T6="","",ROUND(($T6-$T$3)/1000,1)+(_xlfn.RANK.AVG($T6,($J6,$O6,$T6),1)-2)*10)</f>
        <v>1.5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203</v>
      </c>
      <c r="BA6" s="41" t="s">
        <v>84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りくと</v>
      </c>
      <c r="F7" s="8" t="s">
        <v>204</v>
      </c>
      <c r="G7" s="9">
        <v>-7500</v>
      </c>
      <c r="H7" s="9"/>
      <c r="I7" s="48">
        <v>0</v>
      </c>
      <c r="J7" s="21">
        <f t="shared" si="2"/>
        <v>35900</v>
      </c>
      <c r="K7" s="8" t="s">
        <v>205</v>
      </c>
      <c r="L7" s="9">
        <v>12000</v>
      </c>
      <c r="M7" s="9"/>
      <c r="N7" s="48">
        <v>0</v>
      </c>
      <c r="O7" s="21">
        <f t="shared" si="3"/>
        <v>37100</v>
      </c>
      <c r="P7" s="8" t="s">
        <v>204</v>
      </c>
      <c r="Q7" s="9">
        <v>-4500</v>
      </c>
      <c r="R7" s="9"/>
      <c r="S7" s="48">
        <v>0</v>
      </c>
      <c r="T7" s="21">
        <f t="shared" si="4"/>
        <v>32000</v>
      </c>
      <c r="U7" s="53">
        <f>IF($J7="","",ROUND(($J7-$J$3)/1000,1)+(_xlfn.RANK.AVG($J7,($J7,$O7,$T7),1)-2)*10)</f>
        <v>0.9</v>
      </c>
      <c r="V7" s="54">
        <f>IF($O7="","",ROUND(($O7-$O$3)/1000,1)+(_xlfn.RANK.AVG($O7,($J7,$O7,$T7),1)-2)*10)</f>
        <v>12.1</v>
      </c>
      <c r="W7" s="55">
        <f>IF($T7="","",ROUND(($T7-$T$3)/1000,1)+(_xlfn.RANK.AVG($T7,($J7,$O7,$T7),1)-2)*10)</f>
        <v>-13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202</v>
      </c>
      <c r="AZ7" s="40" t="s">
        <v>203</v>
      </c>
      <c r="BA7" s="41" t="s">
        <v>83</v>
      </c>
      <c r="BB7" s="41" t="s">
        <v>85</v>
      </c>
      <c r="BC7" s="41" t="s">
        <v>82</v>
      </c>
      <c r="BD7" s="41" t="s">
        <v>79</v>
      </c>
      <c r="BE7" s="41" t="s">
        <v>80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たかの</v>
      </c>
      <c r="F8" s="8" t="s">
        <v>205</v>
      </c>
      <c r="G8" s="9">
        <v>7700</v>
      </c>
      <c r="H8" s="9"/>
      <c r="I8" s="48">
        <v>0</v>
      </c>
      <c r="J8" s="21">
        <f t="shared" si="2"/>
        <v>43600</v>
      </c>
      <c r="K8" s="8" t="s">
        <v>204</v>
      </c>
      <c r="L8" s="9">
        <v>-4800</v>
      </c>
      <c r="M8" s="9"/>
      <c r="N8" s="48">
        <v>0</v>
      </c>
      <c r="O8" s="21">
        <f t="shared" si="3"/>
        <v>32300</v>
      </c>
      <c r="P8" s="8" t="s">
        <v>204</v>
      </c>
      <c r="Q8" s="9">
        <v>-2900</v>
      </c>
      <c r="R8" s="9"/>
      <c r="S8" s="48">
        <v>0</v>
      </c>
      <c r="T8" s="21">
        <f t="shared" si="4"/>
        <v>29100</v>
      </c>
      <c r="U8" s="53">
        <f>IF($J8="","",ROUND(($J8-$J$3)/1000,1)+(_xlfn.RANK.AVG($J8,($J8,$O8,$T8),1)-2)*10)</f>
        <v>18.600000000000001</v>
      </c>
      <c r="V8" s="54">
        <f>IF($O8="","",ROUND(($O8-$O$3)/1000,1)+(_xlfn.RANK.AVG($O8,($J8,$O8,$T8),1)-2)*10)</f>
        <v>-2.7</v>
      </c>
      <c r="W8" s="55">
        <f>IF($T8="","",ROUND(($T8-$T$3)/1000,1)+(_xlfn.RANK.AVG($T8,($J8,$O8,$T8),1)-2)*10)</f>
        <v>-15.9</v>
      </c>
      <c r="Y8" s="8"/>
      <c r="Z8" s="34"/>
      <c r="AA8" s="26">
        <v>1</v>
      </c>
      <c r="AB8" s="26"/>
      <c r="AC8" s="26">
        <v>4</v>
      </c>
      <c r="AD8" s="30">
        <v>30</v>
      </c>
      <c r="AE8" s="40" t="s">
        <v>203</v>
      </c>
      <c r="AF8" s="41" t="s">
        <v>82</v>
      </c>
      <c r="AG8" s="41" t="s">
        <v>79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 t="s">
        <v>200</v>
      </c>
      <c r="G9" s="9">
        <v>8000</v>
      </c>
      <c r="H9" s="9"/>
      <c r="I9" s="48">
        <v>0</v>
      </c>
      <c r="J9" s="21">
        <f t="shared" si="2"/>
        <v>51600</v>
      </c>
      <c r="K9" s="8" t="s">
        <v>201</v>
      </c>
      <c r="L9" s="9">
        <v>-8000</v>
      </c>
      <c r="M9" s="9"/>
      <c r="N9" s="48">
        <v>0</v>
      </c>
      <c r="O9" s="21">
        <f t="shared" si="3"/>
        <v>24300</v>
      </c>
      <c r="P9" s="8"/>
      <c r="Q9" s="9"/>
      <c r="R9" s="9"/>
      <c r="S9" s="48"/>
      <c r="T9" s="21">
        <f t="shared" si="4"/>
        <v>29100</v>
      </c>
      <c r="U9" s="53">
        <f>IF($J9="","",ROUND(($J9-$J$3)/1000,1)+(_xlfn.RANK.AVG($J9,($J9,$O9,$T9),1)-2)*10)</f>
        <v>26.6</v>
      </c>
      <c r="V9" s="54">
        <f>IF($O9="","",ROUND(($O9-$O$3)/1000,1)+(_xlfn.RANK.AVG($O9,($J9,$O9,$T9),1)-2)*10)</f>
        <v>-20.7</v>
      </c>
      <c r="W9" s="55">
        <f>IF($T9="","",ROUND(($T9-$T$3)/1000,1)+(_xlfn.RANK.AVG($T9,($J9,$O9,$T9),1)-2)*10)</f>
        <v>-5.9</v>
      </c>
      <c r="Y9" s="8"/>
      <c r="Z9" s="34"/>
      <c r="AA9" s="26">
        <v>1</v>
      </c>
      <c r="AB9" s="26"/>
      <c r="AC9" s="26">
        <v>5</v>
      </c>
      <c r="AD9" s="30" t="s">
        <v>202</v>
      </c>
      <c r="AE9" s="40" t="s">
        <v>203</v>
      </c>
      <c r="AF9" s="41" t="s">
        <v>86</v>
      </c>
      <c r="AG9" s="41" t="s">
        <v>86</v>
      </c>
      <c r="AH9" s="41" t="s">
        <v>79</v>
      </c>
      <c r="AI9" s="41" t="s">
        <v>206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7B71A6BB-C3A5-42B5-875B-10FCC210B752}">
      <formula1>"れんたろう,ともき,だいち,りくと,まっつん,たかの,のり,ただ,ぱぱ,てんちゃん,"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F928D-6E29-4EFF-A91D-9E80054F1862}">
  <sheetPr codeName="Sheet11">
    <pageSetUpPr fitToPage="1"/>
  </sheetPr>
  <dimension ref="A1:CI30"/>
  <sheetViews>
    <sheetView tabSelected="1" zoomScaleNormal="100" workbookViewId="0">
      <selection activeCell="N9" sqref="N9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195</v>
      </c>
      <c r="G1" s="73"/>
      <c r="H1" s="73"/>
      <c r="I1" s="74"/>
      <c r="J1" s="75"/>
      <c r="K1" s="72" t="s">
        <v>191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りくと</v>
      </c>
      <c r="W2" s="16" t="str">
        <f>$P$1</f>
        <v>たかの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204</v>
      </c>
      <c r="G4" s="9">
        <v>-4000</v>
      </c>
      <c r="H4" s="9"/>
      <c r="I4" s="48">
        <v>0</v>
      </c>
      <c r="J4" s="21">
        <f>IF(COUNTA($F4,$K4,$P4)&gt;0,J3+SUM(G4:I4),"")</f>
        <v>31000</v>
      </c>
      <c r="K4" s="8" t="s">
        <v>205</v>
      </c>
      <c r="L4" s="9">
        <v>6400</v>
      </c>
      <c r="M4" s="9"/>
      <c r="N4" s="48">
        <v>0</v>
      </c>
      <c r="O4" s="21">
        <f>IF(COUNTA($F4,$K4,$P4)&gt;0,O3+SUM(L4:N4),"")</f>
        <v>41400</v>
      </c>
      <c r="P4" s="8" t="s">
        <v>204</v>
      </c>
      <c r="Q4" s="9">
        <v>-2400</v>
      </c>
      <c r="R4" s="9"/>
      <c r="S4" s="48">
        <v>0</v>
      </c>
      <c r="T4" s="21">
        <f>IF(COUNTA($F4,$K4,$P4)&gt;0,T3+SUM(Q4:S4),"")</f>
        <v>32600</v>
      </c>
      <c r="U4" s="53">
        <f>IF($J4="","",ROUND(($J4-$J$3)/1000,1)+(_xlfn.RANK.AVG($J4,($J4,$O4,$T4),1)-2)*10)</f>
        <v>-14</v>
      </c>
      <c r="V4" s="54">
        <f>IF($O4="","",ROUND(($O4-$O$3)/1000,1)+(_xlfn.RANK.AVG($O4,($J4,$O4,$T4),1)-2)*10)</f>
        <v>16.399999999999999</v>
      </c>
      <c r="W4" s="55">
        <f>IF($T4="","",ROUND(($T4-$T$3)/1000,1)+(_xlfn.RANK.AVG($T4,($J4,$O4,$T4),1)-2)*10)</f>
        <v>-2.4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25</v>
      </c>
      <c r="AZ4" s="40" t="s">
        <v>203</v>
      </c>
      <c r="BA4" s="41" t="s">
        <v>82</v>
      </c>
      <c r="BB4" s="41" t="s">
        <v>101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 t="s">
        <v>204</v>
      </c>
      <c r="G5" s="9">
        <v>-2900</v>
      </c>
      <c r="H5" s="9"/>
      <c r="I5" s="48">
        <v>0</v>
      </c>
      <c r="J5" s="21">
        <f t="shared" ref="J5:J30" si="2">IF(COUNTA($F5,$K5,$P5)&gt;0,J4+SUM(G5:I5),"")</f>
        <v>28100</v>
      </c>
      <c r="K5" s="8" t="s">
        <v>204</v>
      </c>
      <c r="L5" s="9">
        <v>-4800</v>
      </c>
      <c r="M5" s="9"/>
      <c r="N5" s="48">
        <v>0</v>
      </c>
      <c r="O5" s="21">
        <f t="shared" ref="O5:O30" si="3">IF(COUNTA($F5,$K5,$P5)&gt;0,O4+SUM(L5:N5),"")</f>
        <v>36600</v>
      </c>
      <c r="P5" s="8" t="s">
        <v>205</v>
      </c>
      <c r="Q5" s="9">
        <v>7700</v>
      </c>
      <c r="R5" s="9"/>
      <c r="S5" s="48">
        <v>0</v>
      </c>
      <c r="T5" s="21">
        <f t="shared" ref="T5:T30" si="4">IF(COUNTA($F5,$K5,$P5)&gt;0,T4+SUM(Q5:S5),"")</f>
        <v>40300</v>
      </c>
      <c r="U5" s="53">
        <f>IF($J5="","",ROUND(($J5-$J$3)/1000,1)+(_xlfn.RANK.AVG($J5,($J5,$O5,$T5),1)-2)*10)</f>
        <v>-16.899999999999999</v>
      </c>
      <c r="V5" s="54">
        <f>IF($O5="","",ROUND(($O5-$O$3)/1000,1)+(_xlfn.RANK.AVG($O5,($J5,$O5,$T5),1)-2)*10)</f>
        <v>1.6</v>
      </c>
      <c r="W5" s="55">
        <f>IF($T5="","",ROUND(($T5-$T$3)/1000,1)+(_xlfn.RANK.AVG($T5,($J5,$O5,$T5),1)-2)*10)</f>
        <v>15.3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4</v>
      </c>
      <c r="BT5" s="30">
        <v>30</v>
      </c>
      <c r="BU5" s="40" t="s">
        <v>86</v>
      </c>
      <c r="BV5" s="41" t="s">
        <v>79</v>
      </c>
      <c r="BW5" s="41" t="s">
        <v>79</v>
      </c>
      <c r="BX5" s="41" t="s">
        <v>206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たかの</v>
      </c>
      <c r="F6" s="8" t="s">
        <v>204</v>
      </c>
      <c r="G6" s="9">
        <v>-3000</v>
      </c>
      <c r="H6" s="9"/>
      <c r="I6" s="48">
        <v>0</v>
      </c>
      <c r="J6" s="21">
        <f t="shared" si="2"/>
        <v>25100</v>
      </c>
      <c r="K6" s="8" t="s">
        <v>205</v>
      </c>
      <c r="L6" s="9">
        <v>8000</v>
      </c>
      <c r="M6" s="9"/>
      <c r="N6" s="48">
        <v>0</v>
      </c>
      <c r="O6" s="21">
        <f t="shared" si="3"/>
        <v>44600</v>
      </c>
      <c r="P6" s="8" t="s">
        <v>204</v>
      </c>
      <c r="Q6" s="9">
        <v>-5000</v>
      </c>
      <c r="R6" s="9"/>
      <c r="S6" s="48">
        <v>0</v>
      </c>
      <c r="T6" s="21">
        <f t="shared" si="4"/>
        <v>35300</v>
      </c>
      <c r="U6" s="53">
        <f>IF($J6="","",ROUND(($J6-$J$3)/1000,1)+(_xlfn.RANK.AVG($J6,($J6,$O6,$T6),1)-2)*10)</f>
        <v>-19.899999999999999</v>
      </c>
      <c r="V6" s="54">
        <f>IF($O6="","",ROUND(($O6-$O$3)/1000,1)+(_xlfn.RANK.AVG($O6,($J6,$O6,$T6),1)-2)*10)</f>
        <v>19.600000000000001</v>
      </c>
      <c r="W6" s="55">
        <f>IF($T6="","",ROUND(($T6-$T$3)/1000,1)+(_xlfn.RANK.AVG($T6,($J6,$O6,$T6),1)-2)*10)</f>
        <v>0.3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202</v>
      </c>
      <c r="AZ6" s="40" t="s">
        <v>203</v>
      </c>
      <c r="BA6" s="41" t="s">
        <v>82</v>
      </c>
      <c r="BB6" s="41" t="s">
        <v>84</v>
      </c>
      <c r="BC6" s="41" t="s">
        <v>79</v>
      </c>
      <c r="BD6" s="41" t="s">
        <v>79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204</v>
      </c>
      <c r="G7" s="9">
        <v>-4800</v>
      </c>
      <c r="H7" s="9"/>
      <c r="I7" s="48">
        <v>0</v>
      </c>
      <c r="J7" s="21">
        <f t="shared" si="2"/>
        <v>20300</v>
      </c>
      <c r="K7" s="8" t="s">
        <v>205</v>
      </c>
      <c r="L7" s="9">
        <v>7700</v>
      </c>
      <c r="M7" s="9"/>
      <c r="N7" s="48">
        <v>0</v>
      </c>
      <c r="O7" s="21">
        <f t="shared" si="3"/>
        <v>52300</v>
      </c>
      <c r="P7" s="8" t="s">
        <v>204</v>
      </c>
      <c r="Q7" s="9">
        <v>-2900</v>
      </c>
      <c r="R7" s="9"/>
      <c r="S7" s="48">
        <v>0</v>
      </c>
      <c r="T7" s="21">
        <f t="shared" si="4"/>
        <v>32400</v>
      </c>
      <c r="U7" s="53">
        <f>IF($J7="","",ROUND(($J7-$J$3)/1000,1)+(_xlfn.RANK.AVG($J7,($J7,$O7,$T7),1)-2)*10)</f>
        <v>-24.7</v>
      </c>
      <c r="V7" s="54">
        <f>IF($O7="","",ROUND(($O7-$O$3)/1000,1)+(_xlfn.RANK.AVG($O7,($J7,$O7,$T7),1)-2)*10)</f>
        <v>27.3</v>
      </c>
      <c r="W7" s="55">
        <f>IF($T7="","",ROUND(($T7-$T$3)/1000,1)+(_xlfn.RANK.AVG($T7,($J7,$O7,$T7),1)-2)*10)</f>
        <v>-2.6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30</v>
      </c>
      <c r="AZ7" s="40" t="s">
        <v>203</v>
      </c>
      <c r="BA7" s="41" t="s">
        <v>82</v>
      </c>
      <c r="BB7" s="41" t="s">
        <v>206</v>
      </c>
      <c r="BC7" s="41" t="s">
        <v>206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りくと</v>
      </c>
      <c r="F8" s="8" t="s">
        <v>201</v>
      </c>
      <c r="G8" s="9">
        <v>-5200</v>
      </c>
      <c r="H8" s="9"/>
      <c r="I8" s="48">
        <v>0</v>
      </c>
      <c r="J8" s="21">
        <f t="shared" si="2"/>
        <v>15100</v>
      </c>
      <c r="K8" s="8"/>
      <c r="L8" s="9"/>
      <c r="M8" s="9"/>
      <c r="N8" s="48"/>
      <c r="O8" s="21">
        <f t="shared" si="3"/>
        <v>52300</v>
      </c>
      <c r="P8" s="8" t="s">
        <v>200</v>
      </c>
      <c r="Q8" s="9">
        <v>5200</v>
      </c>
      <c r="R8" s="9"/>
      <c r="S8" s="48">
        <v>0</v>
      </c>
      <c r="T8" s="21">
        <f t="shared" si="4"/>
        <v>37600</v>
      </c>
      <c r="U8" s="53">
        <f>IF($J8="","",ROUND(($J8-$J$3)/1000,1)+(_xlfn.RANK.AVG($J8,($J8,$O8,$T8),1)-2)*10)</f>
        <v>-29.9</v>
      </c>
      <c r="V8" s="54">
        <f>IF($O8="","",ROUND(($O8-$O$3)/1000,1)+(_xlfn.RANK.AVG($O8,($J8,$O8,$T8),1)-2)*10)</f>
        <v>27.3</v>
      </c>
      <c r="W8" s="55">
        <f>IF($T8="","",ROUND(($T8-$T$3)/1000,1)+(_xlfn.RANK.AVG($T8,($J8,$O8,$T8),1)-2)*10)</f>
        <v>2.6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40</v>
      </c>
      <c r="BU8" s="40" t="s">
        <v>203</v>
      </c>
      <c r="BV8" s="41" t="s">
        <v>79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たかの</v>
      </c>
      <c r="F9" s="8" t="s">
        <v>204</v>
      </c>
      <c r="G9" s="9">
        <v>-9000</v>
      </c>
      <c r="H9" s="9"/>
      <c r="I9" s="48">
        <v>0</v>
      </c>
      <c r="J9" s="21">
        <f t="shared" si="2"/>
        <v>6100</v>
      </c>
      <c r="K9" s="8" t="s">
        <v>204</v>
      </c>
      <c r="L9" s="9">
        <v>-9000</v>
      </c>
      <c r="M9" s="9"/>
      <c r="N9" s="48">
        <v>0</v>
      </c>
      <c r="O9" s="21">
        <f t="shared" si="3"/>
        <v>43300</v>
      </c>
      <c r="P9" s="8" t="s">
        <v>205</v>
      </c>
      <c r="Q9" s="9">
        <v>18000</v>
      </c>
      <c r="R9" s="9"/>
      <c r="S9" s="48">
        <v>0</v>
      </c>
      <c r="T9" s="21">
        <f t="shared" si="4"/>
        <v>55600</v>
      </c>
      <c r="U9" s="53">
        <f>IF($J9="","",ROUND(($J9-$J$3)/1000,1)+(_xlfn.RANK.AVG($J9,($J9,$O9,$T9),1)-2)*10)</f>
        <v>-38.9</v>
      </c>
      <c r="V9" s="54">
        <f>IF($O9="","",ROUND(($O9-$O$3)/1000,1)+(_xlfn.RANK.AVG($O9,($J9,$O9,$T9),1)-2)*10)</f>
        <v>8.3000000000000007</v>
      </c>
      <c r="W9" s="55">
        <f>IF($T9="","",ROUND(($T9-$T$3)/1000,1)+(_xlfn.RANK.AVG($T9,($J9,$O9,$T9),1)-2)*10)</f>
        <v>30.6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6</v>
      </c>
      <c r="BT9" s="30" t="s">
        <v>202</v>
      </c>
      <c r="BU9" s="40" t="s">
        <v>203</v>
      </c>
      <c r="BV9" s="41" t="s">
        <v>82</v>
      </c>
      <c r="BW9" s="41" t="s">
        <v>96</v>
      </c>
      <c r="BX9" s="41" t="s">
        <v>207</v>
      </c>
      <c r="BY9" s="41" t="s">
        <v>206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tr">
        <f>IF($P$1="","",$P$1)</f>
        <v>たかの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5DA85582-22EA-479C-BCCC-02BF885B1EAB}">
      <formula1>"れんたろう,ともき,だいち,りくと,まっつん,たかの,のり,ただ,ぱぱ,てんちゃん,"</formula1>
    </dataValidation>
    <dataValidation type="list" showInputMessage="1" showErrorMessage="1" sqref="K4:K30 P4:P30 F4:F30" xr:uid="{4E045528-4CCF-4894-AD3E-E858868217BB}">
      <formula1>"ロン,ツモ,放銃,ツモ支払,流局,チョンボ"</formula1>
    </dataValidation>
    <dataValidation type="list" allowBlank="1" showInputMessage="1" showErrorMessage="1" sqref="E4:E30" xr:uid="{8CA6F4DC-F55E-4528-B021-15C88C85224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2020-07-21T09:45:10Z</dcterms:modified>
</cp:coreProperties>
</file>