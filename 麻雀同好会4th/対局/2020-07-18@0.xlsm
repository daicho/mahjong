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2ABD1EE8-EE24-4CBA-BA88-D1AC9C4FD529}" xr6:coauthVersionLast="44" xr6:coauthVersionMax="44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3" l="1"/>
  <c r="E12" i="23"/>
  <c r="E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O12" i="23"/>
  <c r="J12" i="23"/>
  <c r="D12" i="23"/>
  <c r="C12" i="23"/>
  <c r="B12" i="23"/>
  <c r="A12" i="23" s="1"/>
  <c r="D11" i="23"/>
  <c r="D10" i="23"/>
  <c r="D9" i="23"/>
  <c r="D7" i="23"/>
  <c r="T5" i="23"/>
  <c r="T6" i="23" s="1"/>
  <c r="O5" i="23"/>
  <c r="O6" i="23" s="1"/>
  <c r="J5" i="23"/>
  <c r="J6" i="23" s="1"/>
  <c r="C5" i="23"/>
  <c r="D5" i="23"/>
  <c r="T4" i="23"/>
  <c r="O4" i="23"/>
  <c r="V4" i="23" s="1"/>
  <c r="J4" i="23"/>
  <c r="E4" i="23"/>
  <c r="B5" i="23" s="1"/>
  <c r="A5" i="23" s="1"/>
  <c r="W3" i="23"/>
  <c r="V3" i="23"/>
  <c r="U3" i="23"/>
  <c r="W2" i="23"/>
  <c r="V2" i="23"/>
  <c r="U2" i="23"/>
  <c r="BO1" i="23"/>
  <c r="AT1" i="23"/>
  <c r="Y1" i="23"/>
  <c r="U12" i="23" l="1"/>
  <c r="W12" i="23"/>
  <c r="V12" i="23"/>
  <c r="W4" i="23"/>
  <c r="U4" i="23"/>
  <c r="J7" i="23"/>
  <c r="U6" i="23"/>
  <c r="O7" i="23"/>
  <c r="V6" i="23"/>
  <c r="T7" i="23"/>
  <c r="W6" i="23"/>
  <c r="B7" i="23"/>
  <c r="B8" i="23" s="1"/>
  <c r="B6" i="23"/>
  <c r="D8" i="23"/>
  <c r="C6" i="23"/>
  <c r="C7" i="23" s="1"/>
  <c r="C8" i="23" s="1"/>
  <c r="C9" i="23" s="1"/>
  <c r="D6" i="23"/>
  <c r="U5" i="23"/>
  <c r="C10" i="23"/>
  <c r="C11" i="23" s="1"/>
  <c r="V5" i="23"/>
  <c r="W5" i="23"/>
  <c r="B9" i="23" l="1"/>
  <c r="J8" i="23"/>
  <c r="U7" i="23"/>
  <c r="A6" i="23"/>
  <c r="A7" i="23" s="1"/>
  <c r="A8" i="23" s="1"/>
  <c r="V7" i="23"/>
  <c r="O8" i="23"/>
  <c r="T8" i="23"/>
  <c r="W7" i="23"/>
  <c r="O9" i="23" l="1"/>
  <c r="V8" i="23"/>
  <c r="J9" i="23"/>
  <c r="U8" i="23"/>
  <c r="B10" i="23"/>
  <c r="W8" i="23"/>
  <c r="T9" i="23"/>
  <c r="A9" i="23"/>
  <c r="B11" i="23" l="1"/>
  <c r="A10" i="23"/>
  <c r="A11" i="23" s="1"/>
  <c r="T10" i="23"/>
  <c r="W9" i="23"/>
  <c r="J10" i="23"/>
  <c r="U9" i="23"/>
  <c r="O10" i="23"/>
  <c r="V9" i="23"/>
  <c r="O11" i="23" l="1"/>
  <c r="V10" i="23"/>
  <c r="J11" i="23"/>
  <c r="U11" i="23" s="1"/>
  <c r="U10" i="23"/>
  <c r="T11" i="23"/>
  <c r="W11" i="23" s="1"/>
  <c r="W10" i="23"/>
  <c r="V11" i="23" l="1"/>
  <c r="D12" i="22" l="1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C10" i="22"/>
  <c r="D10" i="22"/>
  <c r="C6" i="22"/>
  <c r="D6" i="22"/>
  <c r="D5" i="22"/>
  <c r="C5" i="22"/>
  <c r="T4" i="22"/>
  <c r="T5" i="22" s="1"/>
  <c r="O4" i="22"/>
  <c r="O5" i="22" s="1"/>
  <c r="J4" i="22"/>
  <c r="J5" i="22" s="1"/>
  <c r="E4" i="22"/>
  <c r="W3" i="22"/>
  <c r="V3" i="22"/>
  <c r="U3" i="22"/>
  <c r="W2" i="22"/>
  <c r="V2" i="22"/>
  <c r="U2" i="22"/>
  <c r="BO1" i="22"/>
  <c r="AT1" i="22"/>
  <c r="Y1" i="22"/>
  <c r="E12" i="21"/>
  <c r="E11" i="21"/>
  <c r="E10" i="21"/>
  <c r="E9" i="21"/>
  <c r="E8" i="2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V12" i="21" s="1"/>
  <c r="J12" i="21"/>
  <c r="D12" i="21"/>
  <c r="C12" i="21"/>
  <c r="B12" i="21"/>
  <c r="A12" i="21" s="1"/>
  <c r="D11" i="21"/>
  <c r="D10" i="21"/>
  <c r="D9" i="21"/>
  <c r="D8" i="21"/>
  <c r="C8" i="21"/>
  <c r="C9" i="21" s="1"/>
  <c r="C5" i="21"/>
  <c r="D5" i="21"/>
  <c r="T4" i="21"/>
  <c r="T5" i="21" s="1"/>
  <c r="O4" i="21"/>
  <c r="O5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C12" i="20"/>
  <c r="E11" i="20"/>
  <c r="E10" i="20"/>
  <c r="E9" i="20"/>
  <c r="E8" i="20"/>
  <c r="C8" i="20" s="1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B12" i="20"/>
  <c r="A12" i="20" s="1"/>
  <c r="T11" i="20"/>
  <c r="O11" i="20"/>
  <c r="J11" i="20"/>
  <c r="D11" i="20"/>
  <c r="C11" i="20"/>
  <c r="B11" i="20"/>
  <c r="A11" i="20" s="1"/>
  <c r="D9" i="20"/>
  <c r="C9" i="20"/>
  <c r="D7" i="20"/>
  <c r="T5" i="20"/>
  <c r="T6" i="20" s="1"/>
  <c r="J5" i="20"/>
  <c r="J6" i="20" s="1"/>
  <c r="D5" i="20"/>
  <c r="T4" i="20"/>
  <c r="O4" i="20"/>
  <c r="O5" i="20" s="1"/>
  <c r="J4" i="20"/>
  <c r="E4" i="20"/>
  <c r="C5" i="20" s="1"/>
  <c r="W3" i="20"/>
  <c r="V3" i="20"/>
  <c r="U3" i="20"/>
  <c r="W2" i="20"/>
  <c r="V2" i="20"/>
  <c r="U2" i="20"/>
  <c r="BO1" i="20"/>
  <c r="AT1" i="20"/>
  <c r="Y1" i="20"/>
  <c r="E10" i="19"/>
  <c r="E9" i="19"/>
  <c r="E8" i="19"/>
  <c r="O6" i="22" l="1"/>
  <c r="V5" i="22"/>
  <c r="W5" i="22"/>
  <c r="T6" i="22"/>
  <c r="U5" i="22"/>
  <c r="J6" i="22"/>
  <c r="C11" i="22"/>
  <c r="U4" i="22"/>
  <c r="D11" i="22"/>
  <c r="V4" i="22"/>
  <c r="W4" i="22"/>
  <c r="D9" i="22"/>
  <c r="C12" i="22"/>
  <c r="C7" i="22"/>
  <c r="C8" i="22" s="1"/>
  <c r="C9" i="22" s="1"/>
  <c r="B5" i="22"/>
  <c r="B6" i="22" s="1"/>
  <c r="D7" i="22"/>
  <c r="D8" i="22" s="1"/>
  <c r="W12" i="21"/>
  <c r="U12" i="21"/>
  <c r="O6" i="21"/>
  <c r="V5" i="21"/>
  <c r="T6" i="21"/>
  <c r="W5" i="21"/>
  <c r="J6" i="21"/>
  <c r="U5" i="21"/>
  <c r="C11" i="21"/>
  <c r="U4" i="21"/>
  <c r="C6" i="21"/>
  <c r="V4" i="21"/>
  <c r="W4" i="21"/>
  <c r="C7" i="21"/>
  <c r="B5" i="21"/>
  <c r="B6" i="21" s="1"/>
  <c r="D7" i="21"/>
  <c r="C10" i="21"/>
  <c r="W11" i="20"/>
  <c r="U11" i="20"/>
  <c r="V11" i="20"/>
  <c r="W4" i="20"/>
  <c r="O6" i="20"/>
  <c r="V5" i="20"/>
  <c r="C7" i="20"/>
  <c r="J7" i="20"/>
  <c r="U6" i="20"/>
  <c r="T7" i="20"/>
  <c r="B7" i="20"/>
  <c r="B5" i="20"/>
  <c r="A5" i="20" s="1"/>
  <c r="C10" i="20"/>
  <c r="W5" i="20"/>
  <c r="D10" i="20"/>
  <c r="B6" i="20"/>
  <c r="D8" i="20"/>
  <c r="U4" i="20"/>
  <c r="C6" i="20"/>
  <c r="V4" i="20"/>
  <c r="U5" i="20"/>
  <c r="E7" i="19"/>
  <c r="E6" i="19"/>
  <c r="E5" i="19"/>
  <c r="B7" i="22" l="1"/>
  <c r="O7" i="22"/>
  <c r="V6" i="22"/>
  <c r="J7" i="22"/>
  <c r="U6" i="22"/>
  <c r="T7" i="22"/>
  <c r="W6" i="22"/>
  <c r="A5" i="22"/>
  <c r="A6" i="22" s="1"/>
  <c r="B7" i="21"/>
  <c r="U6" i="21"/>
  <c r="J7" i="21"/>
  <c r="A5" i="21"/>
  <c r="A6" i="21" s="1"/>
  <c r="T7" i="21"/>
  <c r="W6" i="21"/>
  <c r="V6" i="21"/>
  <c r="O7" i="21"/>
  <c r="T8" i="20"/>
  <c r="O7" i="20"/>
  <c r="U7" i="20" s="1"/>
  <c r="V6" i="20"/>
  <c r="W6" i="20"/>
  <c r="B8" i="20"/>
  <c r="J8" i="20"/>
  <c r="A6" i="20"/>
  <c r="A7" i="20" s="1"/>
  <c r="E4" i="19"/>
  <c r="J8" i="22" l="1"/>
  <c r="U7" i="22"/>
  <c r="T8" i="22"/>
  <c r="W7" i="22"/>
  <c r="O8" i="22"/>
  <c r="V7" i="22"/>
  <c r="B8" i="22"/>
  <c r="A7" i="22"/>
  <c r="T8" i="21"/>
  <c r="W7" i="21"/>
  <c r="O8" i="21"/>
  <c r="V7" i="21"/>
  <c r="B8" i="21"/>
  <c r="J8" i="21"/>
  <c r="U7" i="21"/>
  <c r="A7" i="21"/>
  <c r="A8" i="20"/>
  <c r="W7" i="20"/>
  <c r="J9" i="20"/>
  <c r="B9" i="20"/>
  <c r="T9" i="20"/>
  <c r="O8" i="20"/>
  <c r="U8" i="20" s="1"/>
  <c r="V7" i="20"/>
  <c r="W3" i="19"/>
  <c r="V3" i="19"/>
  <c r="U3" i="19"/>
  <c r="B9" i="22" l="1"/>
  <c r="J9" i="22"/>
  <c r="U8" i="22"/>
  <c r="A8" i="22"/>
  <c r="V8" i="22"/>
  <c r="O9" i="22"/>
  <c r="T9" i="22"/>
  <c r="W8" i="22"/>
  <c r="A8" i="21"/>
  <c r="W8" i="21"/>
  <c r="T9" i="21"/>
  <c r="J9" i="21"/>
  <c r="U8" i="21"/>
  <c r="B9" i="21"/>
  <c r="A9" i="21" s="1"/>
  <c r="O9" i="21"/>
  <c r="V8" i="21"/>
  <c r="J10" i="20"/>
  <c r="B10" i="20"/>
  <c r="O9" i="20"/>
  <c r="W9" i="20" s="1"/>
  <c r="V8" i="20"/>
  <c r="T10" i="20"/>
  <c r="W8" i="20"/>
  <c r="A9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0" i="22" l="1"/>
  <c r="A10" i="22" s="1"/>
  <c r="T10" i="22"/>
  <c r="W9" i="22"/>
  <c r="U9" i="22"/>
  <c r="J10" i="22"/>
  <c r="O10" i="22"/>
  <c r="V9" i="22"/>
  <c r="A9" i="22"/>
  <c r="O10" i="21"/>
  <c r="V9" i="21"/>
  <c r="B10" i="21"/>
  <c r="A10" i="21" s="1"/>
  <c r="J10" i="21"/>
  <c r="U9" i="21"/>
  <c r="T10" i="21"/>
  <c r="W9" i="21"/>
  <c r="U9" i="20"/>
  <c r="V9" i="20"/>
  <c r="O10" i="20"/>
  <c r="V10" i="20" s="1"/>
  <c r="U10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1" i="22" l="1"/>
  <c r="V10" i="22"/>
  <c r="J11" i="22"/>
  <c r="U10" i="22"/>
  <c r="T11" i="22"/>
  <c r="W10" i="22"/>
  <c r="B11" i="22"/>
  <c r="T11" i="21"/>
  <c r="W10" i="21"/>
  <c r="O11" i="21"/>
  <c r="V10" i="21"/>
  <c r="J11" i="21"/>
  <c r="U10" i="21"/>
  <c r="B11" i="21"/>
  <c r="A11" i="21" s="1"/>
  <c r="W10" i="20"/>
  <c r="U10" i="20"/>
  <c r="W5" i="19"/>
  <c r="V5" i="19"/>
  <c r="U5" i="19"/>
  <c r="B12" i="22" l="1"/>
  <c r="A12" i="22" s="1"/>
  <c r="T12" i="22"/>
  <c r="W11" i="22"/>
  <c r="A11" i="22"/>
  <c r="U11" i="22"/>
  <c r="J12" i="22"/>
  <c r="O12" i="22"/>
  <c r="V11" i="22"/>
  <c r="W11" i="21"/>
  <c r="U11" i="21"/>
  <c r="V11" i="21"/>
  <c r="W12" i="22" l="1"/>
  <c r="U12" i="22"/>
  <c r="V12" i="22"/>
</calcChain>
</file>

<file path=xl/sharedStrings.xml><?xml version="1.0" encoding="utf-8"?>
<sst xmlns="http://schemas.openxmlformats.org/spreadsheetml/2006/main" count="980" uniqueCount="210">
  <si>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</si>
  <si>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</si>
  <si>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</si>
  <si>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</si>
  <si>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</si>
  <si>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</si>
  <si>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</si>
  <si>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</si>
  <si>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</si>
  <si>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</si>
  <si>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</si>
  <si>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</si>
  <si>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</si>
  <si>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</si>
  <si>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</si>
  <si>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</si>
  <si>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</si>
  <si>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</si>
  <si>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</si>
  <si>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</si>
  <si>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</si>
  <si>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</si>
  <si>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</si>
  <si>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</si>
  <si>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</si>
  <si>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</si>
  <si>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</si>
  <si>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</si>
  <si>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</si>
  <si>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</si>
  <si>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</si>
  <si>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</si>
  <si>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</si>
  <si>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</si>
  <si>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</si>
  <si>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</si>
  <si>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</si>
  <si>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</si>
  <si>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</si>
  <si>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</si>
  <si>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</si>
  <si>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</si>
  <si>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</si>
  <si>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</si>
  <si>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</si>
  <si>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</si>
  <si>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</si>
  <si>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</si>
  <si>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</si>
  <si>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</si>
  <si>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</si>
  <si>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</si>
  <si>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</si>
  <si>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</si>
  <si>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</si>
  <si>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</si>
  <si>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</si>
  <si>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</si>
  <si>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</si>
  <si>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</si>
  <si>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</si>
  <si>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</si>
  <si>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</si>
  <si>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</si>
  <si>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</si>
  <si>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</si>
  <si>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</si>
  <si>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</si>
  <si>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</si>
  <si>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</si>
  <si>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</si>
  <si>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</si>
  <si>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</si>
  <si>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</si>
  <si>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</si>
  <si>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</si>
  <si>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</si>
  <si>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</si>
  <si>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</si>
  <si>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</si>
  <si>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</si>
  <si>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</si>
  <si>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</si>
  <si>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</si>
  <si>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</si>
  <si>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</si>
  <si>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</si>
  <si>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</si>
  <si>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</si>
  <si>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</si>
  <si>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</si>
  <si>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</si>
  <si>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</si>
  <si>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</si>
  <si>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</si>
  <si>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</si>
  <si>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</si>
  <si>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</si>
  <si>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</si>
  <si>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</si>
  <si>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</si>
  <si>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</si>
  <si>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</si>
  <si>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</si>
  <si>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</si>
  <si>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</si>
  <si>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</si>
  <si>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</si>
  <si>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</si>
  <si>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</si>
  <si>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</si>
  <si>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</si>
  <si>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</si>
  <si>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</si>
  <si>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</si>
  <si>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</si>
  <si>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</si>
  <si>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</si>
  <si>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</si>
  <si>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</si>
  <si>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</si>
  <si>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</si>
  <si>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</si>
  <si>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</si>
  <si>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</si>
  <si>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</si>
  <si>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</si>
  <si>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</si>
  <si>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</si>
  <si>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</si>
  <si>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</si>
  <si>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</si>
  <si>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</si>
  <si>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</si>
  <si>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</si>
  <si>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</si>
  <si>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</si>
  <si>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</si>
  <si>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</si>
  <si>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</si>
  <si>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</si>
  <si>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</si>
  <si>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</si>
  <si>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</si>
  <si>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</si>
  <si>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</si>
  <si>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</si>
  <si>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</si>
  <si>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</si>
  <si>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</si>
  <si>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</si>
  <si>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</si>
  <si>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</si>
  <si>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</si>
  <si>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</si>
  <si>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</si>
  <si>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</si>
  <si>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</si>
  <si>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</si>
  <si>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</si>
  <si>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</si>
  <si>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</si>
  <si>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</si>
  <si>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</si>
  <si>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</si>
  <si>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</si>
  <si>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</si>
  <si>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</si>
  <si>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</si>
  <si>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</si>
  <si>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</si>
  <si>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</si>
  <si>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</si>
  <si>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</si>
  <si>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</si>
  <si>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</si>
  <si>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</si>
  <si>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</si>
  <si>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</si>
  <si>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</si>
  <si>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</si>
  <si>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</si>
  <si>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</si>
  <si>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</si>
  <si>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</si>
  <si>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</si>
  <si>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</si>
  <si>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</si>
  <si>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</si>
  <si>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</si>
  <si>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</si>
  <si>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</si>
  <si>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</si>
  <si>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  <phoneticPr fontId="1"/>
  </si>
  <si>
    <t>てんちゃん</t>
    <phoneticPr fontId="1"/>
  </si>
  <si>
    <t>ツモ</t>
  </si>
  <si>
    <t>ツモ支払</t>
  </si>
  <si>
    <t>T</t>
  </si>
  <si>
    <t>N</t>
  </si>
  <si>
    <t>流局</t>
    <phoneticPr fontId="1"/>
  </si>
  <si>
    <t>ロン</t>
  </si>
  <si>
    <t>放銃</t>
  </si>
  <si>
    <t>52</t>
  </si>
  <si>
    <t>01</t>
  </si>
  <si>
    <t>*</t>
  </si>
  <si>
    <t>02</t>
  </si>
  <si>
    <t>流局</t>
    <phoneticPr fontId="1"/>
  </si>
  <si>
    <t>りくと</t>
  </si>
  <si>
    <t>51</t>
  </si>
  <si>
    <t>まっつん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</si>
</sst>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てんちゃん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てんちゃん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196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98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199</v>
      </c>
      <c r="G5" s="9">
        <v>1500</v>
      </c>
      <c r="H5" s="9">
        <v>-1000</v>
      </c>
      <c r="I5" s="48"/>
      <c r="J5" s="21">
        <f t="shared" ref="J5:J30" si="2">IF(COUNTA($F5,$K5,$P5)&gt;0,J4+SUM(G5:I5),"")</f>
        <v>47500</v>
      </c>
      <c r="K5" s="8" t="s">
        <v>199</v>
      </c>
      <c r="L5" s="9">
        <v>-3000</v>
      </c>
      <c r="M5" s="9"/>
      <c r="N5" s="48"/>
      <c r="O5" s="21">
        <f t="shared" ref="O5:O30" si="3">IF(COUNTA($F5,$K5,$P5)&gt;0,O4+SUM(L5:N5),"")</f>
        <v>26000</v>
      </c>
      <c r="P5" s="8" t="s">
        <v>199</v>
      </c>
      <c r="Q5" s="9">
        <v>1500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22.5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-4.5</v>
      </c>
      <c r="Y5" s="8" t="s">
        <v>197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IF($F$1="","",$F$1)</f>
        <v>だいち</v>
      </c>
      <c r="F6" s="8" t="s">
        <v>200</v>
      </c>
      <c r="G6" s="9">
        <v>11600</v>
      </c>
      <c r="H6" s="9">
        <v>1000</v>
      </c>
      <c r="I6" s="48">
        <v>2000</v>
      </c>
      <c r="J6" s="21">
        <f t="shared" si="2"/>
        <v>62100</v>
      </c>
      <c r="K6" s="8" t="s">
        <v>201</v>
      </c>
      <c r="L6" s="9">
        <v>-11600</v>
      </c>
      <c r="M6" s="9"/>
      <c r="N6" s="48">
        <v>-2000</v>
      </c>
      <c r="O6" s="21">
        <f t="shared" si="3"/>
        <v>12400</v>
      </c>
      <c r="P6" s="8"/>
      <c r="Q6" s="9"/>
      <c r="R6" s="9"/>
      <c r="S6" s="48"/>
      <c r="T6" s="21">
        <f t="shared" si="4"/>
        <v>30500</v>
      </c>
      <c r="U6" s="53">
        <f>IF($J6="","",ROUND(($J6-$J$3)/1000,1)+(_xlfn.RANK.AVG($J6,($J6,$O6,$T6),1)-2)*10)</f>
        <v>37.1</v>
      </c>
      <c r="V6" s="54">
        <f>IF($O6="","",ROUND(($O6-$O$3)/1000,1)+(_xlfn.RANK.AVG($O6,($J6,$O6,$T6),1)-2)*10)</f>
        <v>-32.6</v>
      </c>
      <c r="W6" s="55">
        <f>IF($T6="","",ROUND(($T6-$T$3)/1000,1)+(_xlfn.RANK.AVG($T6,($J6,$O6,$T6),1)-2)*10)</f>
        <v>-4.5</v>
      </c>
      <c r="Y6" s="8"/>
      <c r="Z6" s="34"/>
      <c r="AA6" s="26"/>
      <c r="AB6" s="26">
        <v>1</v>
      </c>
      <c r="AC6" s="26">
        <v>3</v>
      </c>
      <c r="AD6" s="30">
        <v>60</v>
      </c>
      <c r="AE6" s="40" t="s">
        <v>98</v>
      </c>
      <c r="AF6" s="41" t="s">
        <v>202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-2600</v>
      </c>
      <c r="H7" s="9"/>
      <c r="I7" s="48">
        <v>-3000</v>
      </c>
      <c r="J7" s="21">
        <f t="shared" si="2"/>
        <v>56500</v>
      </c>
      <c r="K7" s="8"/>
      <c r="L7" s="9"/>
      <c r="M7" s="9"/>
      <c r="N7" s="48"/>
      <c r="O7" s="21">
        <f t="shared" si="3"/>
        <v>12400</v>
      </c>
      <c r="P7" s="8" t="s">
        <v>200</v>
      </c>
      <c r="Q7" s="9">
        <v>2600</v>
      </c>
      <c r="R7" s="9"/>
      <c r="S7" s="48">
        <v>3000</v>
      </c>
      <c r="T7" s="21">
        <f t="shared" si="4"/>
        <v>36100</v>
      </c>
      <c r="U7" s="53">
        <f>IF($J7="","",ROUND(($J7-$J$3)/1000,1)+(_xlfn.RANK.AVG($J7,($J7,$O7,$T7),1)-2)*10)</f>
        <v>31.5</v>
      </c>
      <c r="V7" s="54">
        <f>IF($O7="","",ROUND(($O7-$O$3)/1000,1)+(_xlfn.RANK.AVG($O7,($J7,$O7,$T7),1)-2)*10)</f>
        <v>-32.6</v>
      </c>
      <c r="W7" s="55">
        <f>IF($T7="","",ROUND(($T7-$T$3)/1000,1)+(_xlfn.RANK.AVG($T7,($J7,$O7,$T7),1)-2)*10)</f>
        <v>1.1000000000000001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203</v>
      </c>
      <c r="BV7" s="41" t="s">
        <v>80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201</v>
      </c>
      <c r="G8" s="9">
        <v>-3900</v>
      </c>
      <c r="H8" s="9"/>
      <c r="I8" s="48">
        <v>0</v>
      </c>
      <c r="J8" s="21">
        <f t="shared" si="2"/>
        <v>52600</v>
      </c>
      <c r="K8" s="8" t="s">
        <v>200</v>
      </c>
      <c r="L8" s="9">
        <v>3900</v>
      </c>
      <c r="M8" s="9"/>
      <c r="N8" s="48">
        <v>0</v>
      </c>
      <c r="O8" s="21">
        <f t="shared" si="3"/>
        <v>16300</v>
      </c>
      <c r="P8" s="8"/>
      <c r="Q8" s="9"/>
      <c r="R8" s="9"/>
      <c r="S8" s="48"/>
      <c r="T8" s="21">
        <f t="shared" si="4"/>
        <v>36100</v>
      </c>
      <c r="U8" s="53">
        <f>IF($J8="","",ROUND(($J8-$J$3)/1000,1)+(_xlfn.RANK.AVG($J8,($J8,$O8,$T8),1)-2)*10)</f>
        <v>27.6</v>
      </c>
      <c r="V8" s="54">
        <f>IF($O8="","",ROUND(($O8-$O$3)/1000,1)+(_xlfn.RANK.AVG($O8,($J8,$O8,$T8),1)-2)*10)</f>
        <v>-28.7</v>
      </c>
      <c r="W8" s="55">
        <f>IF($T8="","",ROUND(($T8-$T$3)/1000,1)+(_xlfn.RANK.AVG($T8,($J8,$O8,$T8),1)-2)*10)</f>
        <v>1.1000000000000001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86</v>
      </c>
      <c r="BA8" s="41" t="s">
        <v>203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195</v>
      </c>
      <c r="G9" s="9">
        <v>8000</v>
      </c>
      <c r="H9" s="9"/>
      <c r="I9" s="48">
        <v>1000</v>
      </c>
      <c r="J9" s="21">
        <f t="shared" si="2"/>
        <v>61600</v>
      </c>
      <c r="K9" s="8" t="s">
        <v>196</v>
      </c>
      <c r="L9" s="9">
        <v>-5000</v>
      </c>
      <c r="M9" s="9"/>
      <c r="N9" s="48">
        <v>-500</v>
      </c>
      <c r="O9" s="21">
        <f t="shared" si="3"/>
        <v>10800</v>
      </c>
      <c r="P9" s="8" t="s">
        <v>196</v>
      </c>
      <c r="Q9" s="9">
        <v>-3000</v>
      </c>
      <c r="R9" s="9"/>
      <c r="S9" s="48">
        <v>-500</v>
      </c>
      <c r="T9" s="21">
        <f t="shared" si="4"/>
        <v>32600</v>
      </c>
      <c r="U9" s="53">
        <f>IF($J9="","",ROUND(($J9-$J$3)/1000,1)+(_xlfn.RANK.AVG($J9,($J9,$O9,$T9),1)-2)*10)</f>
        <v>36.6</v>
      </c>
      <c r="V9" s="54">
        <f>IF($O9="","",ROUND(($O9-$O$3)/1000,1)+(_xlfn.RANK.AVG($O9,($J9,$O9,$T9),1)-2)*10)</f>
        <v>-34.200000000000003</v>
      </c>
      <c r="W9" s="55">
        <f>IF($T9="","",ROUND(($T9-$T$3)/1000,1)+(_xlfn.RANK.AVG($T9,($J9,$O9,$T9),1)-2)*10)</f>
        <v>-2.4</v>
      </c>
      <c r="Y9" s="8"/>
      <c r="Z9" s="34"/>
      <c r="AA9" s="26">
        <v>1</v>
      </c>
      <c r="AB9" s="26"/>
      <c r="AC9" s="26">
        <v>5</v>
      </c>
      <c r="AD9" s="30" t="s">
        <v>204</v>
      </c>
      <c r="AE9" s="40" t="s">
        <v>203</v>
      </c>
      <c r="AF9" s="41" t="s">
        <v>82</v>
      </c>
      <c r="AG9" s="41" t="s">
        <v>205</v>
      </c>
      <c r="AH9" s="41" t="s">
        <v>79</v>
      </c>
      <c r="AI9" s="41" t="s">
        <v>83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てんちゃん</v>
      </c>
      <c r="F10" s="8"/>
      <c r="G10" s="9"/>
      <c r="H10" s="9"/>
      <c r="I10" s="48"/>
      <c r="J10" s="21">
        <f t="shared" si="2"/>
        <v>61600</v>
      </c>
      <c r="K10" s="8" t="s">
        <v>201</v>
      </c>
      <c r="L10" s="9">
        <v>-11600</v>
      </c>
      <c r="M10" s="9">
        <v>-1000</v>
      </c>
      <c r="N10" s="48">
        <v>0</v>
      </c>
      <c r="O10" s="21">
        <f t="shared" si="3"/>
        <v>-1800</v>
      </c>
      <c r="P10" s="8" t="s">
        <v>200</v>
      </c>
      <c r="Q10" s="9">
        <v>11600</v>
      </c>
      <c r="R10" s="9">
        <v>1000</v>
      </c>
      <c r="S10" s="48">
        <v>0</v>
      </c>
      <c r="T10" s="21">
        <f t="shared" si="4"/>
        <v>45200</v>
      </c>
      <c r="U10" s="53">
        <f>IF($J10="","",ROUND(($J10-$J$3)/1000,1)+(_xlfn.RANK.AVG($J10,($J10,$O10,$T10),1)-2)*10)</f>
        <v>36.6</v>
      </c>
      <c r="V10" s="54">
        <f>IF($O10="","",ROUND(($O10-$O$3)/1000,1)+(_xlfn.RANK.AVG($O10,($J10,$O10,$T10),1)-2)*10)</f>
        <v>-46.8</v>
      </c>
      <c r="W10" s="55">
        <f>IF($T10="","",ROUND(($T10-$T$3)/1000,1)+(_xlfn.RANK.AVG($T10,($J10,$O10,$T10),1)-2)*10)</f>
        <v>10.199999999999999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86</v>
      </c>
      <c r="BW10" s="41" t="s">
        <v>202</v>
      </c>
      <c r="BX10" s="41" t="s">
        <v>202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F0203F6-4FEA-4B57-9AE0-A1F94A878D8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A8469-7EB2-479E-A2E5-0428D29F69D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てんちゃん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てんちゃん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てんちゃん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200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203</v>
      </c>
      <c r="BV4" s="41" t="s">
        <v>86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201</v>
      </c>
      <c r="L5" s="9">
        <v>-12000</v>
      </c>
      <c r="M5" s="9"/>
      <c r="N5" s="48">
        <v>0</v>
      </c>
      <c r="O5" s="21">
        <f t="shared" ref="O5:O30" si="3">IF(COUNTA($F5,$K5,$P5)&gt;0,O4+SUM(L5:N5),"")</f>
        <v>17800</v>
      </c>
      <c r="P5" s="8" t="s">
        <v>200</v>
      </c>
      <c r="Q5" s="9">
        <v>12000</v>
      </c>
      <c r="R5" s="9"/>
      <c r="S5" s="48">
        <v>0</v>
      </c>
      <c r="T5" s="21">
        <f t="shared" ref="T5:T30" si="4">IF(COUNTA($F5,$K5,$P5)&gt;0,T4+SUM(Q5:S5),"")</f>
        <v>52200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-27.2</v>
      </c>
      <c r="W5" s="55">
        <f>IF($T5="","",ROUND(($T5-$T$3)/1000,1)+(_xlfn.RANK.AVG($T5,($J5,$O5,$T5),1)-2)*10)</f>
        <v>27.2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204</v>
      </c>
      <c r="BU5" s="40" t="s">
        <v>203</v>
      </c>
      <c r="BV5" s="41" t="s">
        <v>83</v>
      </c>
      <c r="BW5" s="41" t="s">
        <v>205</v>
      </c>
      <c r="BX5" s="41" t="s">
        <v>92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196</v>
      </c>
      <c r="G6" s="9">
        <v>-9000</v>
      </c>
      <c r="H6" s="9"/>
      <c r="I6" s="48">
        <v>0</v>
      </c>
      <c r="J6" s="21">
        <f t="shared" si="2"/>
        <v>26000</v>
      </c>
      <c r="K6" s="8" t="s">
        <v>196</v>
      </c>
      <c r="L6" s="9">
        <v>-9000</v>
      </c>
      <c r="M6" s="9"/>
      <c r="N6" s="48">
        <v>0</v>
      </c>
      <c r="O6" s="21">
        <f t="shared" si="3"/>
        <v>8800</v>
      </c>
      <c r="P6" s="8" t="s">
        <v>195</v>
      </c>
      <c r="Q6" s="9">
        <v>18000</v>
      </c>
      <c r="R6" s="9"/>
      <c r="S6" s="48">
        <v>0</v>
      </c>
      <c r="T6" s="21">
        <f t="shared" si="4"/>
        <v>70200</v>
      </c>
      <c r="U6" s="53">
        <f>IF($J6="","",ROUND(($J6-$J$3)/1000,1)+(_xlfn.RANK.AVG($J6,($J6,$O6,$T6),1)-2)*10)</f>
        <v>-9</v>
      </c>
      <c r="V6" s="54">
        <f>IF($O6="","",ROUND(($O6-$O$3)/1000,1)+(_xlfn.RANK.AVG($O6,($J6,$O6,$T6),1)-2)*10)</f>
        <v>-36.200000000000003</v>
      </c>
      <c r="W6" s="55">
        <f>IF($T6="","",ROUND(($T6-$T$3)/1000,1)+(_xlfn.RANK.AVG($T6,($J6,$O6,$T6),1)-2)*10)</f>
        <v>45.2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6</v>
      </c>
      <c r="BT6" s="30" t="s">
        <v>204</v>
      </c>
      <c r="BU6" s="40" t="s">
        <v>82</v>
      </c>
      <c r="BV6" s="41" t="s">
        <v>83</v>
      </c>
      <c r="BW6" s="41" t="s">
        <v>202</v>
      </c>
      <c r="BX6" s="41" t="s">
        <v>92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195</v>
      </c>
      <c r="G7" s="9">
        <v>7700</v>
      </c>
      <c r="H7" s="9">
        <v>1000</v>
      </c>
      <c r="I7" s="48">
        <v>1000</v>
      </c>
      <c r="J7" s="21">
        <f t="shared" si="2"/>
        <v>35700</v>
      </c>
      <c r="K7" s="8" t="s">
        <v>196</v>
      </c>
      <c r="L7" s="9">
        <v>-2900</v>
      </c>
      <c r="M7" s="9"/>
      <c r="N7" s="48">
        <v>-500</v>
      </c>
      <c r="O7" s="21">
        <f t="shared" si="3"/>
        <v>5400</v>
      </c>
      <c r="P7" s="8" t="s">
        <v>196</v>
      </c>
      <c r="Q7" s="9">
        <v>-4800</v>
      </c>
      <c r="R7" s="9">
        <v>-1000</v>
      </c>
      <c r="S7" s="48">
        <v>-500</v>
      </c>
      <c r="T7" s="21">
        <f t="shared" si="4"/>
        <v>63900</v>
      </c>
      <c r="U7" s="53">
        <f>IF($J7="","",ROUND(($J7-$J$3)/1000,1)+(_xlfn.RANK.AVG($J7,($J7,$O7,$T7),1)-2)*10)</f>
        <v>0.7</v>
      </c>
      <c r="V7" s="54">
        <f>IF($O7="","",ROUND(($O7-$O$3)/1000,1)+(_xlfn.RANK.AVG($O7,($J7,$O7,$T7),1)-2)*10)</f>
        <v>-39.6</v>
      </c>
      <c r="W7" s="55">
        <f>IF($T7="","",ROUND(($T7-$T$3)/1000,1)+(_xlfn.RANK.AVG($T7,($J7,$O7,$T7),1)-2)*10)</f>
        <v>38.9</v>
      </c>
      <c r="Y7" s="8"/>
      <c r="Z7" s="34"/>
      <c r="AA7" s="26"/>
      <c r="AB7" s="26"/>
      <c r="AC7" s="26">
        <v>4</v>
      </c>
      <c r="AD7" s="30">
        <v>30</v>
      </c>
      <c r="AE7" s="40" t="s">
        <v>82</v>
      </c>
      <c r="AF7" s="41" t="s">
        <v>93</v>
      </c>
      <c r="AG7" s="41" t="s">
        <v>86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てんちゃん</v>
      </c>
      <c r="F8" s="8" t="s">
        <v>206</v>
      </c>
      <c r="G8" s="9">
        <v>1500</v>
      </c>
      <c r="H8" s="9"/>
      <c r="I8" s="48"/>
      <c r="J8" s="21">
        <f t="shared" si="2"/>
        <v>37200</v>
      </c>
      <c r="K8" s="8" t="s">
        <v>206</v>
      </c>
      <c r="L8" s="9">
        <v>-3000</v>
      </c>
      <c r="M8" s="9"/>
      <c r="N8" s="48"/>
      <c r="O8" s="21">
        <f t="shared" si="3"/>
        <v>2400</v>
      </c>
      <c r="P8" s="8" t="s">
        <v>206</v>
      </c>
      <c r="Q8" s="9">
        <v>1500</v>
      </c>
      <c r="R8" s="9"/>
      <c r="S8" s="48"/>
      <c r="T8" s="21">
        <f t="shared" si="4"/>
        <v>65400</v>
      </c>
      <c r="U8" s="53">
        <f>IF($J8="","",ROUND(($J8-$J$3)/1000,1)+(_xlfn.RANK.AVG($J8,($J8,$O8,$T8),1)-2)*10)</f>
        <v>2.2000000000000002</v>
      </c>
      <c r="V8" s="54">
        <f>IF($O8="","",ROUND(($O8-$O$3)/1000,1)+(_xlfn.RANK.AVG($O8,($J8,$O8,$T8),1)-2)*10)</f>
        <v>-42.6</v>
      </c>
      <c r="W8" s="55">
        <f>IF($T8="","",ROUND(($T8-$T$3)/1000,1)+(_xlfn.RANK.AVG($T8,($J8,$O8,$T8),1)-2)*10)</f>
        <v>40.4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てんちゃん</v>
      </c>
      <c r="F9" s="8" t="s">
        <v>196</v>
      </c>
      <c r="G9" s="9">
        <v>-15000</v>
      </c>
      <c r="H9" s="9"/>
      <c r="I9" s="48">
        <v>-500</v>
      </c>
      <c r="J9" s="21">
        <f t="shared" si="2"/>
        <v>21700</v>
      </c>
      <c r="K9" s="8" t="s">
        <v>195</v>
      </c>
      <c r="L9" s="9">
        <v>24000</v>
      </c>
      <c r="M9" s="9"/>
      <c r="N9" s="48">
        <v>1000</v>
      </c>
      <c r="O9" s="21">
        <f t="shared" si="3"/>
        <v>27400</v>
      </c>
      <c r="P9" s="8" t="s">
        <v>196</v>
      </c>
      <c r="Q9" s="9">
        <v>-9000</v>
      </c>
      <c r="R9" s="9"/>
      <c r="S9" s="48">
        <v>-500</v>
      </c>
      <c r="T9" s="21">
        <f t="shared" si="4"/>
        <v>55900</v>
      </c>
      <c r="U9" s="53">
        <f>IF($J9="","",ROUND(($J9-$J$3)/1000,1)+(_xlfn.RANK.AVG($J9,($J9,$O9,$T9),1)-2)*10)</f>
        <v>-23.3</v>
      </c>
      <c r="V9" s="54">
        <f>IF($O9="","",ROUND(($O9-$O$3)/1000,1)+(_xlfn.RANK.AVG($O9,($J9,$O9,$T9),1)-2)*10)</f>
        <v>-7.6</v>
      </c>
      <c r="W9" s="55">
        <f>IF($T9="","",ROUND(($T9-$T$3)/1000,1)+(_xlfn.RANK.AVG($T9,($J9,$O9,$T9),1)-2)*10)</f>
        <v>30.9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12</v>
      </c>
      <c r="AY9" s="30" t="s">
        <v>204</v>
      </c>
      <c r="AZ9" s="40" t="s">
        <v>203</v>
      </c>
      <c r="BA9" s="41" t="s">
        <v>82</v>
      </c>
      <c r="BB9" s="41" t="s">
        <v>202</v>
      </c>
      <c r="BC9" s="41" t="s">
        <v>202</v>
      </c>
      <c r="BD9" s="41" t="s">
        <v>79</v>
      </c>
      <c r="BE9" s="41" t="s">
        <v>79</v>
      </c>
      <c r="BF9" s="41" t="s">
        <v>79</v>
      </c>
      <c r="BG9" s="41" t="s">
        <v>79</v>
      </c>
      <c r="BH9" s="41" t="s">
        <v>80</v>
      </c>
      <c r="BI9" s="41" t="s">
        <v>80</v>
      </c>
      <c r="BJ9" s="41" t="s">
        <v>80</v>
      </c>
      <c r="BK9" s="41" t="s">
        <v>80</v>
      </c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196</v>
      </c>
      <c r="G10" s="9">
        <v>-800</v>
      </c>
      <c r="H10" s="9"/>
      <c r="I10" s="48">
        <v>0</v>
      </c>
      <c r="J10" s="21">
        <f t="shared" si="2"/>
        <v>20900</v>
      </c>
      <c r="K10" s="8" t="s">
        <v>196</v>
      </c>
      <c r="L10" s="9">
        <v>-1300</v>
      </c>
      <c r="M10" s="9"/>
      <c r="N10" s="48">
        <v>0</v>
      </c>
      <c r="O10" s="21">
        <f t="shared" si="3"/>
        <v>26100</v>
      </c>
      <c r="P10" s="8" t="s">
        <v>195</v>
      </c>
      <c r="Q10" s="9">
        <v>2100</v>
      </c>
      <c r="R10" s="9"/>
      <c r="S10" s="48">
        <v>0</v>
      </c>
      <c r="T10" s="21">
        <f t="shared" si="4"/>
        <v>58000</v>
      </c>
      <c r="U10" s="53">
        <f>IF($J10="","",ROUND(($J10-$J$3)/1000,1)+(_xlfn.RANK.AVG($J10,($J10,$O10,$T10),1)-2)*10)</f>
        <v>-24.1</v>
      </c>
      <c r="V10" s="54">
        <f>IF($O10="","",ROUND(($O10-$O$3)/1000,1)+(_xlfn.RANK.AVG($O10,($J10,$O10,$T10),1)-2)*10)</f>
        <v>-8.9</v>
      </c>
      <c r="W10" s="55">
        <f>IF($T10="","",ROUND(($T10-$T$3)/1000,1)+(_xlfn.RANK.AVG($T10,($J10,$O10,$T10),1)-2)*10)</f>
        <v>33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82</v>
      </c>
      <c r="BV10" s="41" t="s">
        <v>84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201</v>
      </c>
      <c r="G11" s="9">
        <v>-16000</v>
      </c>
      <c r="H11" s="9"/>
      <c r="I11" s="48">
        <v>0</v>
      </c>
      <c r="J11" s="21">
        <f t="shared" si="2"/>
        <v>4900</v>
      </c>
      <c r="K11" s="8" t="s">
        <v>200</v>
      </c>
      <c r="L11" s="9">
        <v>16000</v>
      </c>
      <c r="M11" s="9"/>
      <c r="N11" s="48">
        <v>0</v>
      </c>
      <c r="O11" s="21">
        <f t="shared" si="3"/>
        <v>42100</v>
      </c>
      <c r="P11" s="8"/>
      <c r="Q11" s="9"/>
      <c r="R11" s="9"/>
      <c r="S11" s="48"/>
      <c r="T11" s="21">
        <f t="shared" si="4"/>
        <v>58000</v>
      </c>
      <c r="U11" s="53">
        <f>IF($J11="","",ROUND(($J11-$J$3)/1000,1)+(_xlfn.RANK.AVG($J11,($J11,$O11,$T11),1)-2)*10)</f>
        <v>-40.1</v>
      </c>
      <c r="V11" s="54">
        <f>IF($O11="","",ROUND(($O11-$O$3)/1000,1)+(_xlfn.RANK.AVG($O11,($J11,$O11,$T11),1)-2)*10)</f>
        <v>7.1</v>
      </c>
      <c r="W11" s="55">
        <f>IF($T11="","",ROUND(($T11-$T$3)/1000,1)+(_xlfn.RANK.AVG($T11,($J11,$O11,$T11),1)-2)*10)</f>
        <v>33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8</v>
      </c>
      <c r="AY11" s="30" t="s">
        <v>204</v>
      </c>
      <c r="AZ11" s="40" t="s">
        <v>203</v>
      </c>
      <c r="BA11" s="41" t="s">
        <v>101</v>
      </c>
      <c r="BB11" s="41" t="s">
        <v>79</v>
      </c>
      <c r="BC11" s="41" t="s">
        <v>79</v>
      </c>
      <c r="BD11" s="41" t="s">
        <v>80</v>
      </c>
      <c r="BE11" s="41" t="s">
        <v>80</v>
      </c>
      <c r="BF11" s="41" t="s">
        <v>202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BB3B11C0-A42F-4BE0-9C95-CBBED261EFAC}">
      <formula1>"れんたろう,ともき,だいち,りくと,まっつん,たかの,のり,ただ,ぱぱ,"</formula1>
    </dataValidation>
    <dataValidation type="list" showInputMessage="1" showErrorMessage="1" sqref="K4:K30 P4:P30 F4:F30" xr:uid="{A8D69F45-2A6F-4E00-AEB5-1B3DAD877280}">
      <formula1>"ロン,ツモ,放銃,ツモ支払,流局,チョンボ"</formula1>
    </dataValidation>
    <dataValidation type="list" allowBlank="1" showInputMessage="1" showErrorMessage="1" sqref="E4:E30" xr:uid="{F6CC6823-C251-4844-91C4-000433BFA3E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B8209-089F-42BE-A284-99B57501CD5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てんちゃん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てんちゃん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195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196</v>
      </c>
      <c r="L4" s="9">
        <v>-3000</v>
      </c>
      <c r="M4" s="9">
        <v>-1000</v>
      </c>
      <c r="N4" s="48">
        <v>0</v>
      </c>
      <c r="O4" s="21">
        <f>IF(COUNTA($F4,$K4,$P4)&gt;0,O3+SUM(L4:N4),"")</f>
        <v>31000</v>
      </c>
      <c r="P4" s="8" t="s">
        <v>196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17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-3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203</v>
      </c>
      <c r="AF4" s="41" t="s">
        <v>82</v>
      </c>
      <c r="AG4" s="41" t="s">
        <v>87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196</v>
      </c>
      <c r="G5" s="9">
        <v>-2500</v>
      </c>
      <c r="H5" s="9"/>
      <c r="I5" s="48">
        <v>-500</v>
      </c>
      <c r="J5" s="21">
        <f t="shared" ref="J5:J30" si="2">IF(COUNTA($F5,$K5,$P5)&gt;0,J4+SUM(G5:I5),"")</f>
        <v>39000</v>
      </c>
      <c r="K5" s="8" t="s">
        <v>195</v>
      </c>
      <c r="L5" s="9">
        <v>4000</v>
      </c>
      <c r="M5" s="9"/>
      <c r="N5" s="48">
        <v>1000</v>
      </c>
      <c r="O5" s="21">
        <f t="shared" ref="O5:O30" si="3">IF(COUNTA($F5,$K5,$P5)&gt;0,O4+SUM(L5:N5),"")</f>
        <v>36000</v>
      </c>
      <c r="P5" s="8" t="s">
        <v>196</v>
      </c>
      <c r="Q5" s="9">
        <v>-1500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14</v>
      </c>
      <c r="V5" s="54">
        <f>IF($O5="","",ROUND(($O5-$O$3)/1000,1)+(_xlfn.RANK.AVG($O5,($J5,$O5,$T5),1)-2)*10)</f>
        <v>1</v>
      </c>
      <c r="W5" s="55">
        <f>IF($T5="","",ROUND(($T5-$T$3)/1000,1)+(_xlfn.RANK.AVG($T5,($J5,$O5,$T5),1)-2)*10)</f>
        <v>-15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203</v>
      </c>
      <c r="BA5" s="41" t="s">
        <v>82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てんちゃん</v>
      </c>
      <c r="F6" s="8" t="s">
        <v>201</v>
      </c>
      <c r="G6" s="9">
        <v>-4800</v>
      </c>
      <c r="H6" s="9">
        <v>-1000</v>
      </c>
      <c r="I6" s="48">
        <v>0</v>
      </c>
      <c r="J6" s="21">
        <f t="shared" si="2"/>
        <v>33200</v>
      </c>
      <c r="K6" s="8" t="s">
        <v>200</v>
      </c>
      <c r="L6" s="9">
        <v>4800</v>
      </c>
      <c r="M6" s="9">
        <v>1000</v>
      </c>
      <c r="N6" s="48">
        <v>0</v>
      </c>
      <c r="O6" s="21">
        <f t="shared" si="3"/>
        <v>41800</v>
      </c>
      <c r="P6" s="8"/>
      <c r="Q6" s="9"/>
      <c r="R6" s="9"/>
      <c r="S6" s="48"/>
      <c r="T6" s="21">
        <f t="shared" si="4"/>
        <v>30000</v>
      </c>
      <c r="U6" s="53">
        <f>IF($J6="","",ROUND(($J6-$J$3)/1000,1)+(_xlfn.RANK.AVG($J6,($J6,$O6,$T6),1)-2)*10)</f>
        <v>-1.8</v>
      </c>
      <c r="V6" s="54">
        <f>IF($O6="","",ROUND(($O6-$O$3)/1000,1)+(_xlfn.RANK.AVG($O6,($J6,$O6,$T6),1)-2)*10)</f>
        <v>16.8</v>
      </c>
      <c r="W6" s="55">
        <f>IF($T6="","",ROUND(($T6-$T$3)/1000,1)+(_xlfn.RANK.AVG($T6,($J6,$O6,$T6),1)-2)*10)</f>
        <v>-15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50</v>
      </c>
      <c r="AZ6" s="40" t="s">
        <v>203</v>
      </c>
      <c r="BA6" s="41" t="s">
        <v>205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てんちゃん</v>
      </c>
      <c r="F7" s="8" t="s">
        <v>206</v>
      </c>
      <c r="G7" s="9">
        <v>1500</v>
      </c>
      <c r="H7" s="9"/>
      <c r="I7" s="48"/>
      <c r="J7" s="21">
        <f t="shared" si="2"/>
        <v>34700</v>
      </c>
      <c r="K7" s="8" t="s">
        <v>206</v>
      </c>
      <c r="L7" s="9">
        <v>-3000</v>
      </c>
      <c r="M7" s="9"/>
      <c r="N7" s="48"/>
      <c r="O7" s="21">
        <f t="shared" si="3"/>
        <v>38800</v>
      </c>
      <c r="P7" s="8" t="s">
        <v>206</v>
      </c>
      <c r="Q7" s="9">
        <v>1500</v>
      </c>
      <c r="R7" s="9"/>
      <c r="S7" s="48"/>
      <c r="T7" s="21">
        <f t="shared" si="4"/>
        <v>31500</v>
      </c>
      <c r="U7" s="53">
        <f>IF($J7="","",ROUND(($J7-$J$3)/1000,1)+(_xlfn.RANK.AVG($J7,($J7,$O7,$T7),1)-2)*10)</f>
        <v>-0.3</v>
      </c>
      <c r="V7" s="54">
        <f>IF($O7="","",ROUND(($O7-$O$3)/1000,1)+(_xlfn.RANK.AVG($O7,($J7,$O7,$T7),1)-2)*10)</f>
        <v>13.8</v>
      </c>
      <c r="W7" s="55">
        <f>IF($T7="","",ROUND(($T7-$T$3)/1000,1)+(_xlfn.RANK.AVG($T7,($J7,$O7,$T7),1)-2)*10)</f>
        <v>-13.5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/>
      <c r="G8" s="9"/>
      <c r="H8" s="9">
        <v>-1000</v>
      </c>
      <c r="I8" s="48"/>
      <c r="J8" s="21">
        <f t="shared" si="2"/>
        <v>33700</v>
      </c>
      <c r="K8" s="8" t="s">
        <v>201</v>
      </c>
      <c r="L8" s="9">
        <v>-7700</v>
      </c>
      <c r="M8" s="9"/>
      <c r="N8" s="48">
        <v>-2000</v>
      </c>
      <c r="O8" s="21">
        <f t="shared" si="3"/>
        <v>29100</v>
      </c>
      <c r="P8" s="8" t="s">
        <v>200</v>
      </c>
      <c r="Q8" s="9">
        <v>7700</v>
      </c>
      <c r="R8" s="9">
        <v>1000</v>
      </c>
      <c r="S8" s="48">
        <v>2000</v>
      </c>
      <c r="T8" s="21">
        <f t="shared" si="4"/>
        <v>42200</v>
      </c>
      <c r="U8" s="53">
        <f>IF($J8="","",ROUND(($J8-$J$3)/1000,1)+(_xlfn.RANK.AVG($J8,($J8,$O8,$T8),1)-2)*10)</f>
        <v>-1.3</v>
      </c>
      <c r="V8" s="54">
        <f>IF($O8="","",ROUND(($O8-$O$3)/1000,1)+(_xlfn.RANK.AVG($O8,($J8,$O8,$T8),1)-2)*10)</f>
        <v>-15.9</v>
      </c>
      <c r="W8" s="55">
        <f>IF($T8="","",ROUND(($T8-$T$3)/1000,1)+(_xlfn.RANK.AVG($T8,($J8,$O8,$T8),1)-2)*10)</f>
        <v>17.2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40</v>
      </c>
      <c r="BU8" s="40" t="s">
        <v>86</v>
      </c>
      <c r="BV8" s="41" t="s">
        <v>86</v>
      </c>
      <c r="BW8" s="41" t="s">
        <v>93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IF($P$1="","",$P$1)</f>
        <v>だいち</v>
      </c>
      <c r="F9" s="8" t="s">
        <v>196</v>
      </c>
      <c r="G9" s="9">
        <v>-2900</v>
      </c>
      <c r="H9" s="9"/>
      <c r="I9" s="48">
        <v>-1500</v>
      </c>
      <c r="J9" s="21">
        <f t="shared" si="2"/>
        <v>29300</v>
      </c>
      <c r="K9" s="8" t="s">
        <v>195</v>
      </c>
      <c r="L9" s="9">
        <v>7700</v>
      </c>
      <c r="M9" s="9"/>
      <c r="N9" s="48">
        <v>3000</v>
      </c>
      <c r="O9" s="21">
        <f t="shared" si="3"/>
        <v>39800</v>
      </c>
      <c r="P9" s="8" t="s">
        <v>196</v>
      </c>
      <c r="Q9" s="9">
        <v>-4800</v>
      </c>
      <c r="R9" s="9"/>
      <c r="S9" s="48">
        <v>-1500</v>
      </c>
      <c r="T9" s="21">
        <f t="shared" si="4"/>
        <v>35900</v>
      </c>
      <c r="U9" s="53">
        <f>IF($J9="","",ROUND(($J9-$J$3)/1000,1)+(_xlfn.RANK.AVG($J9,($J9,$O9,$T9),1)-2)*10)</f>
        <v>-15.7</v>
      </c>
      <c r="V9" s="54">
        <f>IF($O9="","",ROUND(($O9-$O$3)/1000,1)+(_xlfn.RANK.AVG($O9,($J9,$O9,$T9),1)-2)*10)</f>
        <v>14.8</v>
      </c>
      <c r="W9" s="55">
        <f>IF($T9="","",ROUND(($T9-$T$3)/1000,1)+(_xlfn.RANK.AVG($T9,($J9,$O9,$T9),1)-2)*10)</f>
        <v>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203</v>
      </c>
      <c r="BA9" s="41" t="s">
        <v>82</v>
      </c>
      <c r="BB9" s="41" t="s">
        <v>84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196</v>
      </c>
      <c r="G10" s="9">
        <v>-10000</v>
      </c>
      <c r="H10" s="9"/>
      <c r="I10" s="48">
        <v>0</v>
      </c>
      <c r="J10" s="21">
        <f t="shared" si="2"/>
        <v>19300</v>
      </c>
      <c r="K10" s="8" t="s">
        <v>196</v>
      </c>
      <c r="L10" s="9">
        <v>-6000</v>
      </c>
      <c r="M10" s="9"/>
      <c r="N10" s="48">
        <v>0</v>
      </c>
      <c r="O10" s="21">
        <f t="shared" si="3"/>
        <v>33800</v>
      </c>
      <c r="P10" s="8" t="s">
        <v>195</v>
      </c>
      <c r="Q10" s="9">
        <v>16000</v>
      </c>
      <c r="R10" s="9"/>
      <c r="S10" s="48">
        <v>0</v>
      </c>
      <c r="T10" s="21">
        <f t="shared" si="4"/>
        <v>51900</v>
      </c>
      <c r="U10" s="53">
        <f>IF($J10="","",ROUND(($J10-$J$3)/1000,1)+(_xlfn.RANK.AVG($J10,($J10,$O10,$T10),1)-2)*10)</f>
        <v>-25.7</v>
      </c>
      <c r="V10" s="54">
        <f>IF($O10="","",ROUND(($O10-$O$3)/1000,1)+(_xlfn.RANK.AVG($O10,($J10,$O10,$T10),1)-2)*10)</f>
        <v>-1.2</v>
      </c>
      <c r="W10" s="55">
        <f>IF($T10="","",ROUND(($T10-$T$3)/1000,1)+(_xlfn.RANK.AVG($T10,($J10,$O10,$T10),1)-2)*10)</f>
        <v>26.9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204</v>
      </c>
      <c r="BU10" s="40" t="s">
        <v>82</v>
      </c>
      <c r="BV10" s="41" t="s">
        <v>208</v>
      </c>
      <c r="BW10" s="41" t="s">
        <v>89</v>
      </c>
      <c r="BX10" s="41" t="s">
        <v>86</v>
      </c>
      <c r="BY10" s="41" t="s">
        <v>202</v>
      </c>
      <c r="BZ10" s="41" t="s">
        <v>80</v>
      </c>
      <c r="CA10" s="41" t="s">
        <v>80</v>
      </c>
      <c r="CB10" s="41" t="s">
        <v>80</v>
      </c>
      <c r="CC10" s="41" t="s">
        <v>80</v>
      </c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てんちゃん</v>
      </c>
      <c r="F11" s="8" t="s">
        <v>200</v>
      </c>
      <c r="G11" s="9">
        <v>5200</v>
      </c>
      <c r="H11" s="9"/>
      <c r="I11" s="48">
        <v>0</v>
      </c>
      <c r="J11" s="21">
        <f t="shared" si="2"/>
        <v>24500</v>
      </c>
      <c r="K11" s="8"/>
      <c r="L11" s="9"/>
      <c r="M11" s="9"/>
      <c r="N11" s="48"/>
      <c r="O11" s="21">
        <f t="shared" si="3"/>
        <v>33800</v>
      </c>
      <c r="P11" s="8" t="s">
        <v>201</v>
      </c>
      <c r="Q11" s="9">
        <v>-5200</v>
      </c>
      <c r="R11" s="9"/>
      <c r="S11" s="48">
        <v>0</v>
      </c>
      <c r="T11" s="21">
        <f t="shared" si="4"/>
        <v>46700</v>
      </c>
      <c r="U11" s="53">
        <f>IF($J11="","",ROUND(($J11-$J$3)/1000,1)+(_xlfn.RANK.AVG($J11,($J11,$O11,$T11),1)-2)*10)</f>
        <v>-20.5</v>
      </c>
      <c r="V11" s="54">
        <f>IF($O11="","",ROUND(($O11-$O$3)/1000,1)+(_xlfn.RANK.AVG($O11,($J11,$O11,$T11),1)-2)*10)</f>
        <v>-1.2</v>
      </c>
      <c r="W11" s="55">
        <f>IF($T11="","",ROUND(($T11-$T$3)/1000,1)+(_xlfn.RANK.AVG($T11,($J11,$O11,$T11),1)-2)*10)</f>
        <v>21.7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203</v>
      </c>
      <c r="AF11" s="41" t="s">
        <v>202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196</v>
      </c>
      <c r="G12" s="9">
        <v>-6000</v>
      </c>
      <c r="H12" s="9">
        <v>-2000</v>
      </c>
      <c r="I12" s="48">
        <v>0</v>
      </c>
      <c r="J12" s="21">
        <f t="shared" si="2"/>
        <v>16500</v>
      </c>
      <c r="K12" s="8" t="s">
        <v>196</v>
      </c>
      <c r="L12" s="9">
        <v>-6000</v>
      </c>
      <c r="M12" s="9"/>
      <c r="N12" s="48">
        <v>0</v>
      </c>
      <c r="O12" s="21">
        <f t="shared" si="3"/>
        <v>27800</v>
      </c>
      <c r="P12" s="8" t="s">
        <v>195</v>
      </c>
      <c r="Q12" s="9">
        <v>12000</v>
      </c>
      <c r="R12" s="9">
        <v>2000</v>
      </c>
      <c r="S12" s="48">
        <v>0</v>
      </c>
      <c r="T12" s="21">
        <f t="shared" si="4"/>
        <v>60700</v>
      </c>
      <c r="U12" s="53">
        <f>IF($J12="","",ROUND(($J12-$J$3)/1000,1)+(_xlfn.RANK.AVG($J12,($J12,$O12,$T12),1)-2)*10)</f>
        <v>-28.5</v>
      </c>
      <c r="V12" s="54">
        <f>IF($O12="","",ROUND(($O12-$O$3)/1000,1)+(_xlfn.RANK.AVG($O12,($J12,$O12,$T12),1)-2)*10)</f>
        <v>-7.2</v>
      </c>
      <c r="W12" s="55">
        <f>IF($T12="","",ROUND(($T12-$T$3)/1000,1)+(_xlfn.RANK.AVG($T12,($J12,$O12,$T12),1)-2)*10)</f>
        <v>35.700000000000003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5</v>
      </c>
      <c r="BT12" s="30" t="s">
        <v>204</v>
      </c>
      <c r="BU12" s="40" t="s">
        <v>106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45963856-3BA0-4106-B7A3-D422745C487A}">
      <formula1>$U$2:$W$2</formula1>
    </dataValidation>
    <dataValidation type="list" showInputMessage="1" showErrorMessage="1" sqref="K4:K30 P4:P30 F4:F30" xr:uid="{A5615813-632B-4E40-AA9F-202387F9EF75}">
      <formula1>"ロン,ツモ,放銃,ツモ支払,流局,チョンボ"</formula1>
    </dataValidation>
    <dataValidation type="list" allowBlank="1" showInputMessage="1" sqref="F1:T1" xr:uid="{044AB9BD-F1E4-4581-9D19-25438BD2C6A6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9CC9-671A-4EEF-A87F-F6F601F07CD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てんちゃん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てんちゃん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196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196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>
        <v>6</v>
      </c>
      <c r="AD4" s="30" t="s">
        <v>204</v>
      </c>
      <c r="AE4" s="40" t="s">
        <v>86</v>
      </c>
      <c r="AF4" s="41" t="s">
        <v>86</v>
      </c>
      <c r="AG4" s="41" t="s">
        <v>104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200</v>
      </c>
      <c r="G5" s="9">
        <v>3900</v>
      </c>
      <c r="H5" s="9">
        <v>1000</v>
      </c>
      <c r="I5" s="48">
        <v>1000</v>
      </c>
      <c r="J5" s="21">
        <f t="shared" ref="J5:J30" si="2">IF(COUNTA($F5,$K5,$P5)&gt;0,J4+SUM(G5:I5),"")</f>
        <v>58900</v>
      </c>
      <c r="K5" s="8" t="s">
        <v>201</v>
      </c>
      <c r="L5" s="9">
        <v>-3900</v>
      </c>
      <c r="M5" s="9">
        <v>-1000</v>
      </c>
      <c r="N5" s="48">
        <v>-1000</v>
      </c>
      <c r="O5" s="21">
        <f t="shared" ref="O5:O30" si="3">IF(COUNTA($F5,$K5,$P5)&gt;0,O4+SUM(L5:N5),"")</f>
        <v>20100</v>
      </c>
      <c r="P5" s="8"/>
      <c r="Q5" s="9"/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33.9</v>
      </c>
      <c r="V5" s="54">
        <f>IF($O5="","",ROUND(($O5-$O$3)/1000,1)+(_xlfn.RANK.AVG($O5,($J5,$O5,$T5),1)-2)*10)</f>
        <v>-24.9</v>
      </c>
      <c r="W5" s="55">
        <f>IF($T5="","",ROUND(($T5-$T$3)/1000,1)+(_xlfn.RANK.AVG($T5,($J5,$O5,$T5),1)-2)*10)</f>
        <v>-9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203</v>
      </c>
      <c r="AF5" s="41" t="s">
        <v>205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195</v>
      </c>
      <c r="G6" s="9">
        <v>18000</v>
      </c>
      <c r="H6" s="9"/>
      <c r="I6" s="48">
        <v>2000</v>
      </c>
      <c r="J6" s="21">
        <f t="shared" si="2"/>
        <v>78900</v>
      </c>
      <c r="K6" s="8" t="s">
        <v>196</v>
      </c>
      <c r="L6" s="9">
        <v>-9000</v>
      </c>
      <c r="M6" s="9"/>
      <c r="N6" s="48">
        <v>-1000</v>
      </c>
      <c r="O6" s="21">
        <f t="shared" si="3"/>
        <v>10100</v>
      </c>
      <c r="P6" s="8" t="s">
        <v>196</v>
      </c>
      <c r="Q6" s="9">
        <v>-9000</v>
      </c>
      <c r="R6" s="9"/>
      <c r="S6" s="48">
        <v>-1000</v>
      </c>
      <c r="T6" s="21">
        <f t="shared" si="4"/>
        <v>16000</v>
      </c>
      <c r="U6" s="53">
        <f>IF($J6="","",ROUND(($J6-$J$3)/1000,1)+(_xlfn.RANK.AVG($J6,($J6,$O6,$T6),1)-2)*10)</f>
        <v>53.9</v>
      </c>
      <c r="V6" s="54">
        <f>IF($O6="","",ROUND(($O6-$O$3)/1000,1)+(_xlfn.RANK.AVG($O6,($J6,$O6,$T6),1)-2)*10)</f>
        <v>-34.9</v>
      </c>
      <c r="W6" s="55">
        <f>IF($T6="","",ROUND(($T6-$T$3)/1000,1)+(_xlfn.RANK.AVG($T6,($J6,$O6,$T6),1)-2)*10)</f>
        <v>-19</v>
      </c>
      <c r="Y6" s="8"/>
      <c r="Z6" s="34"/>
      <c r="AA6" s="26">
        <v>1</v>
      </c>
      <c r="AB6" s="26"/>
      <c r="AC6" s="26">
        <v>7</v>
      </c>
      <c r="AD6" s="30" t="s">
        <v>204</v>
      </c>
      <c r="AE6" s="40" t="s">
        <v>203</v>
      </c>
      <c r="AF6" s="41" t="s">
        <v>82</v>
      </c>
      <c r="AG6" s="41" t="s">
        <v>86</v>
      </c>
      <c r="AH6" s="41" t="s">
        <v>202</v>
      </c>
      <c r="AI6" s="41" t="s">
        <v>80</v>
      </c>
      <c r="AJ6" s="41" t="s">
        <v>80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200</v>
      </c>
      <c r="G7" s="9">
        <v>5800</v>
      </c>
      <c r="H7" s="9"/>
      <c r="I7" s="48">
        <v>3000</v>
      </c>
      <c r="J7" s="21">
        <f t="shared" si="2"/>
        <v>87700</v>
      </c>
      <c r="K7" s="8" t="s">
        <v>201</v>
      </c>
      <c r="L7" s="9">
        <v>-5800</v>
      </c>
      <c r="M7" s="9"/>
      <c r="N7" s="48">
        <v>-3000</v>
      </c>
      <c r="O7" s="21">
        <f t="shared" si="3"/>
        <v>1300</v>
      </c>
      <c r="P7" s="8"/>
      <c r="Q7" s="9"/>
      <c r="R7" s="9"/>
      <c r="S7" s="48"/>
      <c r="T7" s="21">
        <f t="shared" si="4"/>
        <v>16000</v>
      </c>
      <c r="U7" s="53">
        <f>IF($J7="","",ROUND(($J7-$J$3)/1000,1)+(_xlfn.RANK.AVG($J7,($J7,$O7,$T7),1)-2)*10)</f>
        <v>62.7</v>
      </c>
      <c r="V7" s="54">
        <f>IF($O7="","",ROUND(($O7-$O$3)/1000,1)+(_xlfn.RANK.AVG($O7,($J7,$O7,$T7),1)-2)*10)</f>
        <v>-43.7</v>
      </c>
      <c r="W7" s="55">
        <f>IF($T7="","",ROUND(($T7-$T$3)/1000,1)+(_xlfn.RANK.AVG($T7,($J7,$O7,$T7),1)-2)*10)</f>
        <v>-19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203</v>
      </c>
      <c r="AF7" s="41" t="s">
        <v>83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だいち</v>
      </c>
      <c r="F8" s="8" t="s">
        <v>200</v>
      </c>
      <c r="G8" s="9">
        <v>1500</v>
      </c>
      <c r="H8" s="9"/>
      <c r="I8" s="48">
        <v>4000</v>
      </c>
      <c r="J8" s="21">
        <f t="shared" si="2"/>
        <v>93200</v>
      </c>
      <c r="K8" s="8"/>
      <c r="L8" s="9"/>
      <c r="M8" s="9"/>
      <c r="N8" s="48"/>
      <c r="O8" s="21">
        <f t="shared" si="3"/>
        <v>1300</v>
      </c>
      <c r="P8" s="8" t="s">
        <v>201</v>
      </c>
      <c r="Q8" s="9">
        <v>-1500</v>
      </c>
      <c r="R8" s="9"/>
      <c r="S8" s="48">
        <v>-4000</v>
      </c>
      <c r="T8" s="21">
        <f t="shared" si="4"/>
        <v>10500</v>
      </c>
      <c r="U8" s="53">
        <f>IF($J8="","",ROUND(($J8-$J$3)/1000,1)+(_xlfn.RANK.AVG($J8,($J8,$O8,$T8),1)-2)*10)</f>
        <v>68.2</v>
      </c>
      <c r="V8" s="54">
        <f>IF($O8="","",ROUND(($O8-$O$3)/1000,1)+(_xlfn.RANK.AVG($O8,($J8,$O8,$T8),1)-2)*10)</f>
        <v>-43.7</v>
      </c>
      <c r="W8" s="55">
        <f>IF($T8="","",ROUND(($T8-$T$3)/1000,1)+(_xlfn.RANK.AVG($T8,($J8,$O8,$T8),1)-2)*10)</f>
        <v>-24.5</v>
      </c>
      <c r="Y8" s="8"/>
      <c r="Z8" s="34"/>
      <c r="AA8" s="26"/>
      <c r="AB8" s="26"/>
      <c r="AC8" s="26">
        <v>1</v>
      </c>
      <c r="AD8" s="30">
        <v>30</v>
      </c>
      <c r="AE8" s="40" t="s">
        <v>83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tr">
        <f>IF($F$1="","",$F$1)</f>
        <v>だいち</v>
      </c>
      <c r="F9" s="8" t="s">
        <v>196</v>
      </c>
      <c r="G9" s="9">
        <v>-4800</v>
      </c>
      <c r="H9" s="9"/>
      <c r="I9" s="48">
        <v>-2500</v>
      </c>
      <c r="J9" s="21">
        <f t="shared" si="2"/>
        <v>85900</v>
      </c>
      <c r="K9" s="8" t="s">
        <v>195</v>
      </c>
      <c r="L9" s="9">
        <v>7700</v>
      </c>
      <c r="M9" s="9"/>
      <c r="N9" s="48">
        <v>5000</v>
      </c>
      <c r="O9" s="21">
        <f t="shared" si="3"/>
        <v>14000</v>
      </c>
      <c r="P9" s="8" t="s">
        <v>196</v>
      </c>
      <c r="Q9" s="9">
        <v>-2900</v>
      </c>
      <c r="R9" s="9"/>
      <c r="S9" s="48">
        <v>-2500</v>
      </c>
      <c r="T9" s="21">
        <f t="shared" si="4"/>
        <v>5100</v>
      </c>
      <c r="U9" s="53">
        <f>IF($J9="","",ROUND(($J9-$J$3)/1000,1)+(_xlfn.RANK.AVG($J9,($J9,$O9,$T9),1)-2)*10)</f>
        <v>60.9</v>
      </c>
      <c r="V9" s="54">
        <f>IF($O9="","",ROUND(($O9-$O$3)/1000,1)+(_xlfn.RANK.AVG($O9,($J9,$O9,$T9),1)-2)*10)</f>
        <v>-21</v>
      </c>
      <c r="W9" s="55">
        <f>IF($T9="","",ROUND(($T9-$T$3)/1000,1)+(_xlfn.RANK.AVG($T9,($J9,$O9,$T9),1)-2)*10)</f>
        <v>-39.9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202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196</v>
      </c>
      <c r="G10" s="9">
        <v>-1500</v>
      </c>
      <c r="H10" s="9"/>
      <c r="I10" s="48">
        <v>0</v>
      </c>
      <c r="J10" s="21">
        <f t="shared" si="2"/>
        <v>84400</v>
      </c>
      <c r="K10" s="8" t="s">
        <v>195</v>
      </c>
      <c r="L10" s="9">
        <v>3000</v>
      </c>
      <c r="M10" s="9"/>
      <c r="N10" s="48">
        <v>0</v>
      </c>
      <c r="O10" s="21">
        <f t="shared" si="3"/>
        <v>17000</v>
      </c>
      <c r="P10" s="8" t="s">
        <v>196</v>
      </c>
      <c r="Q10" s="9">
        <v>-1500</v>
      </c>
      <c r="R10" s="9"/>
      <c r="S10" s="48">
        <v>0</v>
      </c>
      <c r="T10" s="21">
        <f t="shared" si="4"/>
        <v>3600</v>
      </c>
      <c r="U10" s="53">
        <f>IF($J10="","",ROUND(($J10-$J$3)/1000,1)+(_xlfn.RANK.AVG($J10,($J10,$O10,$T10),1)-2)*10)</f>
        <v>59.4</v>
      </c>
      <c r="V10" s="54">
        <f>IF($O10="","",ROUND(($O10-$O$3)/1000,1)+(_xlfn.RANK.AVG($O10,($J10,$O10,$T10),1)-2)*10)</f>
        <v>-18</v>
      </c>
      <c r="W10" s="55">
        <f>IF($T10="","",ROUND(($T10-$T$3)/1000,1)+(_xlfn.RANK.AVG($T10,($J10,$O10,$T10),1)-2)*10)</f>
        <v>-41.4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202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りくと</v>
      </c>
      <c r="F11" s="8" t="s">
        <v>196</v>
      </c>
      <c r="G11" s="9">
        <v>-5800</v>
      </c>
      <c r="H11" s="9">
        <v>-2000</v>
      </c>
      <c r="I11" s="48">
        <v>-500</v>
      </c>
      <c r="J11" s="21">
        <f t="shared" si="2"/>
        <v>76100</v>
      </c>
      <c r="K11" s="8" t="s">
        <v>195</v>
      </c>
      <c r="L11" s="9">
        <v>11600</v>
      </c>
      <c r="M11" s="9">
        <v>3000</v>
      </c>
      <c r="N11" s="48">
        <v>1000</v>
      </c>
      <c r="O11" s="21">
        <f t="shared" si="3"/>
        <v>32600</v>
      </c>
      <c r="P11" s="8" t="s">
        <v>196</v>
      </c>
      <c r="Q11" s="9">
        <v>-5800</v>
      </c>
      <c r="R11" s="9">
        <v>-1000</v>
      </c>
      <c r="S11" s="48">
        <v>-500</v>
      </c>
      <c r="T11" s="21">
        <f t="shared" si="4"/>
        <v>-3700</v>
      </c>
      <c r="U11" s="53">
        <f>IF($J11="","",ROUND(($J11-$J$3)/1000,1)+(_xlfn.RANK.AVG($J11,($J11,$O11,$T11),1)-2)*10)</f>
        <v>51.1</v>
      </c>
      <c r="V11" s="54">
        <f>IF($O11="","",ROUND(($O11-$O$3)/1000,1)+(_xlfn.RANK.AVG($O11,($J11,$O11,$T11),1)-2)*10)</f>
        <v>-2.4</v>
      </c>
      <c r="W11" s="55">
        <f>IF($T11="","",ROUND(($T11-$T$3)/1000,1)+(_xlfn.RANK.AVG($T11,($J11,$O11,$T11),1)-2)*10)</f>
        <v>-48.7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203</v>
      </c>
      <c r="BA11" s="41" t="s">
        <v>82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E7F80D5-214B-485D-A7C0-96154B35F758}">
      <formula1>"れんたろう,ともき,だいち,りくと,まっつん,たかの,のり,ただ,ぱぱ,"</formula1>
    </dataValidation>
    <dataValidation type="list" showInputMessage="1" showErrorMessage="1" sqref="K4:K30 P4:P30 F4:F30" xr:uid="{093F31A0-98F6-4C27-AD9A-D5708742612D}">
      <formula1>"ロン,ツモ,放銃,ツモ支払,流局,チョンボ"</formula1>
    </dataValidation>
    <dataValidation type="list" allowBlank="1" showInputMessage="1" showErrorMessage="1" sqref="E4:E30" xr:uid="{63537E17-3A4E-435B-B5CB-881F05F1BD3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1B321-E254-429D-8C40-30BB6D88A8E3}">
  <sheetPr codeName="Sheet14">
    <pageSetUpPr fitToPage="1"/>
  </sheetPr>
  <dimension ref="A1:CI30"/>
  <sheetViews>
    <sheetView tabSelected="1" zoomScaleNormal="100" workbookViewId="0">
      <selection activeCell="E8" sqref="E8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209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てんちゃん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まっつん</v>
      </c>
      <c r="W2" s="16" t="str">
        <f>$P$1</f>
        <v>てんちゃん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201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50</v>
      </c>
      <c r="AZ4" s="40" t="s">
        <v>203</v>
      </c>
      <c r="BA4" s="41" t="s">
        <v>80</v>
      </c>
      <c r="BB4" s="41" t="s">
        <v>80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200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44000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201</v>
      </c>
      <c r="Q5" s="9">
        <v>-8000</v>
      </c>
      <c r="R5" s="9">
        <v>-1000</v>
      </c>
      <c r="S5" s="48">
        <v>0</v>
      </c>
      <c r="T5" s="21">
        <f t="shared" ref="T5:T30" si="4">IF(COUNTA($F5,$K5,$P5)&gt;0,T4+SUM(Q5:S5),"")</f>
        <v>18000</v>
      </c>
      <c r="U5" s="53">
        <f>IF($J5="","",ROUND(($J5-$J$3)/1000,1)+(_xlfn.RANK.AVG($J5,($J5,$O5,$T5),1)-2)*10)</f>
        <v>19</v>
      </c>
      <c r="V5" s="54">
        <f>IF($O5="","",ROUND(($O5-$O$3)/1000,1)+(_xlfn.RANK.AVG($O5,($J5,$O5,$T5),1)-2)*10)</f>
        <v>8</v>
      </c>
      <c r="W5" s="55">
        <f>IF($T5="","",ROUND(($T5-$T$3)/1000,1)+(_xlfn.RANK.AVG($T5,($J5,$O5,$T5),1)-2)*10)</f>
        <v>-27</v>
      </c>
      <c r="Y5" s="8"/>
      <c r="Z5" s="34"/>
      <c r="AA5" s="26"/>
      <c r="AB5" s="26"/>
      <c r="AC5" s="26">
        <v>5</v>
      </c>
      <c r="AD5" s="30" t="s">
        <v>204</v>
      </c>
      <c r="AE5" s="40" t="s">
        <v>104</v>
      </c>
      <c r="AF5" s="41" t="s">
        <v>101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てんちゃん</v>
      </c>
      <c r="F6" s="8"/>
      <c r="G6" s="9"/>
      <c r="H6" s="9"/>
      <c r="I6" s="48"/>
      <c r="J6" s="21">
        <f t="shared" si="2"/>
        <v>44000</v>
      </c>
      <c r="K6" s="8" t="s">
        <v>201</v>
      </c>
      <c r="L6" s="9">
        <v>-11600</v>
      </c>
      <c r="M6" s="9"/>
      <c r="N6" s="48">
        <v>0</v>
      </c>
      <c r="O6" s="21">
        <f t="shared" si="3"/>
        <v>31400</v>
      </c>
      <c r="P6" s="8" t="s">
        <v>200</v>
      </c>
      <c r="Q6" s="9">
        <v>11600</v>
      </c>
      <c r="R6" s="9"/>
      <c r="S6" s="48">
        <v>0</v>
      </c>
      <c r="T6" s="21">
        <f t="shared" si="4"/>
        <v>29600</v>
      </c>
      <c r="U6" s="53">
        <f>IF($J6="","",ROUND(($J6-$J$3)/1000,1)+(_xlfn.RANK.AVG($J6,($J6,$O6,$T6),1)-2)*10)</f>
        <v>19</v>
      </c>
      <c r="V6" s="54">
        <f>IF($O6="","",ROUND(($O6-$O$3)/1000,1)+(_xlfn.RANK.AVG($O6,($J6,$O6,$T6),1)-2)*10)</f>
        <v>-3.6</v>
      </c>
      <c r="W6" s="55">
        <f>IF($T6="","",ROUND(($T6-$T$3)/1000,1)+(_xlfn.RANK.AVG($T6,($J6,$O6,$T6),1)-2)*10)</f>
        <v>-15.4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203</v>
      </c>
      <c r="BV6" s="41" t="s">
        <v>83</v>
      </c>
      <c r="BW6" s="41" t="s">
        <v>205</v>
      </c>
      <c r="BX6" s="41" t="s">
        <v>202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てんちゃん</v>
      </c>
      <c r="F7" s="8" t="s">
        <v>196</v>
      </c>
      <c r="G7" s="9">
        <v>-4500</v>
      </c>
      <c r="H7" s="9"/>
      <c r="I7" s="48">
        <v>-500</v>
      </c>
      <c r="J7" s="21">
        <f t="shared" si="2"/>
        <v>39000</v>
      </c>
      <c r="K7" s="8" t="s">
        <v>195</v>
      </c>
      <c r="L7" s="9">
        <v>12000</v>
      </c>
      <c r="M7" s="9"/>
      <c r="N7" s="48">
        <v>1000</v>
      </c>
      <c r="O7" s="21">
        <f t="shared" si="3"/>
        <v>44400</v>
      </c>
      <c r="P7" s="8" t="s">
        <v>196</v>
      </c>
      <c r="Q7" s="9">
        <v>-7500</v>
      </c>
      <c r="R7" s="9"/>
      <c r="S7" s="48">
        <v>-500</v>
      </c>
      <c r="T7" s="21">
        <f t="shared" si="4"/>
        <v>21600</v>
      </c>
      <c r="U7" s="53">
        <f>IF($J7="","",ROUND(($J7-$J$3)/1000,1)+(_xlfn.RANK.AVG($J7,($J7,$O7,$T7),1)-2)*10)</f>
        <v>4</v>
      </c>
      <c r="V7" s="54">
        <f>IF($O7="","",ROUND(($O7-$O$3)/1000,1)+(_xlfn.RANK.AVG($O7,($J7,$O7,$T7),1)-2)*10)</f>
        <v>19.399999999999999</v>
      </c>
      <c r="W7" s="55">
        <f>IF($T7="","",ROUND(($T7-$T$3)/1000,1)+(_xlfn.RANK.AVG($T7,($J7,$O7,$T7),1)-2)*10)</f>
        <v>-23.4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204</v>
      </c>
      <c r="AZ7" s="40" t="s">
        <v>203</v>
      </c>
      <c r="BA7" s="41" t="s">
        <v>82</v>
      </c>
      <c r="BB7" s="41" t="s">
        <v>79</v>
      </c>
      <c r="BC7" s="41" t="s">
        <v>80</v>
      </c>
      <c r="BD7" s="41" t="s">
        <v>80</v>
      </c>
      <c r="BE7" s="41" t="s">
        <v>202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200</v>
      </c>
      <c r="G8" s="9">
        <v>12000</v>
      </c>
      <c r="H8" s="9"/>
      <c r="I8" s="48">
        <v>0</v>
      </c>
      <c r="J8" s="21">
        <f t="shared" si="2"/>
        <v>51000</v>
      </c>
      <c r="K8" s="8"/>
      <c r="L8" s="9"/>
      <c r="M8" s="9"/>
      <c r="N8" s="48"/>
      <c r="O8" s="21">
        <f t="shared" si="3"/>
        <v>44400</v>
      </c>
      <c r="P8" s="8" t="s">
        <v>201</v>
      </c>
      <c r="Q8" s="9">
        <v>-12000</v>
      </c>
      <c r="R8" s="9"/>
      <c r="S8" s="48">
        <v>0</v>
      </c>
      <c r="T8" s="21">
        <f t="shared" si="4"/>
        <v>9600</v>
      </c>
      <c r="U8" s="53">
        <f>IF($J8="","",ROUND(($J8-$J$3)/1000,1)+(_xlfn.RANK.AVG($J8,($J8,$O8,$T8),1)-2)*10)</f>
        <v>26</v>
      </c>
      <c r="V8" s="54">
        <f>IF($O8="","",ROUND(($O8-$O$3)/1000,1)+(_xlfn.RANK.AVG($O8,($J8,$O8,$T8),1)-2)*10)</f>
        <v>9.4</v>
      </c>
      <c r="W8" s="55">
        <f>IF($T8="","",ROUND(($T8-$T$3)/1000,1)+(_xlfn.RANK.AVG($T8,($J8,$O8,$T8),1)-2)*10)</f>
        <v>-35.4</v>
      </c>
      <c r="Y8" s="8"/>
      <c r="Z8" s="34"/>
      <c r="AA8" s="26">
        <v>1</v>
      </c>
      <c r="AB8" s="26"/>
      <c r="AC8" s="26">
        <v>5</v>
      </c>
      <c r="AD8" s="30" t="s">
        <v>204</v>
      </c>
      <c r="AE8" s="40" t="s">
        <v>203</v>
      </c>
      <c r="AF8" s="41" t="s">
        <v>92</v>
      </c>
      <c r="AG8" s="41" t="s">
        <v>202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206</v>
      </c>
      <c r="G9" s="9">
        <v>-3000</v>
      </c>
      <c r="H9" s="9"/>
      <c r="I9" s="48"/>
      <c r="J9" s="21">
        <f t="shared" si="2"/>
        <v>48000</v>
      </c>
      <c r="K9" s="8" t="s">
        <v>206</v>
      </c>
      <c r="L9" s="9">
        <v>1500</v>
      </c>
      <c r="M9" s="9">
        <v>-1000</v>
      </c>
      <c r="N9" s="48"/>
      <c r="O9" s="21">
        <f t="shared" si="3"/>
        <v>44900</v>
      </c>
      <c r="P9" s="8" t="s">
        <v>206</v>
      </c>
      <c r="Q9" s="9">
        <v>1500</v>
      </c>
      <c r="R9" s="9">
        <v>-1000</v>
      </c>
      <c r="S9" s="48"/>
      <c r="T9" s="21">
        <f t="shared" si="4"/>
        <v>10100</v>
      </c>
      <c r="U9" s="53">
        <f>IF($J9="","",ROUND(($J9-$J$3)/1000,1)+(_xlfn.RANK.AVG($J9,($J9,$O9,$T9),1)-2)*10)</f>
        <v>23</v>
      </c>
      <c r="V9" s="54">
        <f>IF($O9="","",ROUND(($O9-$O$3)/1000,1)+(_xlfn.RANK.AVG($O9,($J9,$O9,$T9),1)-2)*10)</f>
        <v>9.9</v>
      </c>
      <c r="W9" s="55">
        <f>IF($T9="","",ROUND(($T9-$T$3)/1000,1)+(_xlfn.RANK.AVG($T9,($J9,$O9,$T9),1)-2)*10)</f>
        <v>-34.9</v>
      </c>
      <c r="Y9" s="8" t="s">
        <v>198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2</v>
      </c>
      <c r="E10" s="4" t="str">
        <f>IF($K$1="","",$K$1)</f>
        <v>まっつん</v>
      </c>
      <c r="F10" s="8" t="s">
        <v>196</v>
      </c>
      <c r="G10" s="9">
        <v>-1500</v>
      </c>
      <c r="H10" s="9"/>
      <c r="I10" s="48">
        <v>-1000</v>
      </c>
      <c r="J10" s="21">
        <f t="shared" si="2"/>
        <v>45500</v>
      </c>
      <c r="K10" s="8" t="s">
        <v>195</v>
      </c>
      <c r="L10" s="9">
        <v>3000</v>
      </c>
      <c r="M10" s="9">
        <v>3000</v>
      </c>
      <c r="N10" s="48">
        <v>2000</v>
      </c>
      <c r="O10" s="21">
        <f t="shared" si="3"/>
        <v>52900</v>
      </c>
      <c r="P10" s="8" t="s">
        <v>196</v>
      </c>
      <c r="Q10" s="9">
        <v>-1500</v>
      </c>
      <c r="R10" s="9">
        <v>-1000</v>
      </c>
      <c r="S10" s="48">
        <v>-1000</v>
      </c>
      <c r="T10" s="21">
        <f t="shared" si="4"/>
        <v>6600</v>
      </c>
      <c r="U10" s="53">
        <f>IF($J10="","",ROUND(($J10-$J$3)/1000,1)+(_xlfn.RANK.AVG($J10,($J10,$O10,$T10),1)-2)*10)</f>
        <v>10.5</v>
      </c>
      <c r="V10" s="54">
        <f>IF($O10="","",ROUND(($O10-$O$3)/1000,1)+(_xlfn.RANK.AVG($O10,($J10,$O10,$T10),1)-2)*10)</f>
        <v>27.9</v>
      </c>
      <c r="W10" s="55">
        <f>IF($T10="","",ROUND(($T10-$T$3)/1000,1)+(_xlfn.RANK.AVG($T10,($J10,$O10,$T10),1)-2)*10)</f>
        <v>-38.4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tr">
        <f>IF($K$1="","",$K$1)</f>
        <v>まっつん</v>
      </c>
      <c r="F11" s="8" t="s">
        <v>206</v>
      </c>
      <c r="G11" s="9">
        <v>-3000</v>
      </c>
      <c r="H11" s="9"/>
      <c r="I11" s="48"/>
      <c r="J11" s="21">
        <f t="shared" si="2"/>
        <v>42500</v>
      </c>
      <c r="K11" s="8" t="s">
        <v>206</v>
      </c>
      <c r="L11" s="9">
        <v>1500</v>
      </c>
      <c r="M11" s="9"/>
      <c r="N11" s="48"/>
      <c r="O11" s="21">
        <f t="shared" si="3"/>
        <v>54400</v>
      </c>
      <c r="P11" s="8" t="s">
        <v>206</v>
      </c>
      <c r="Q11" s="9">
        <v>1500</v>
      </c>
      <c r="R11" s="9"/>
      <c r="S11" s="48"/>
      <c r="T11" s="21">
        <f t="shared" si="4"/>
        <v>8100</v>
      </c>
      <c r="U11" s="53">
        <f>IF($J11="","",ROUND(($J11-$J$3)/1000,1)+(_xlfn.RANK.AVG($J11,($J11,$O11,$T11),1)-2)*10)</f>
        <v>7.5</v>
      </c>
      <c r="V11" s="54">
        <f>IF($O11="","",ROUND(($O11-$O$3)/1000,1)+(_xlfn.RANK.AVG($O11,($J11,$O11,$T11),1)-2)*10)</f>
        <v>29.4</v>
      </c>
      <c r="W11" s="55">
        <f>IF($T11="","",ROUND(($T11-$T$3)/1000,1)+(_xlfn.RANK.AVG($T11,($J11,$O11,$T11),1)-2)*10)</f>
        <v>-36.9</v>
      </c>
      <c r="Y11" s="8" t="s">
        <v>198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tr">
        <f>IF($K$1="","",$K$1)</f>
        <v>まっつん</v>
      </c>
      <c r="F12" s="8" t="s">
        <v>201</v>
      </c>
      <c r="G12" s="9">
        <v>-48000</v>
      </c>
      <c r="H12" s="9"/>
      <c r="I12" s="48">
        <v>-4000</v>
      </c>
      <c r="J12" s="21">
        <f t="shared" si="2"/>
        <v>-9500</v>
      </c>
      <c r="K12" s="8" t="s">
        <v>200</v>
      </c>
      <c r="L12" s="9">
        <v>48000</v>
      </c>
      <c r="M12" s="9">
        <v>1000</v>
      </c>
      <c r="N12" s="48">
        <v>4000</v>
      </c>
      <c r="O12" s="21">
        <f t="shared" si="3"/>
        <v>107400</v>
      </c>
      <c r="P12" s="8"/>
      <c r="Q12" s="9"/>
      <c r="R12" s="9">
        <v>-1000</v>
      </c>
      <c r="S12" s="48"/>
      <c r="T12" s="21">
        <f t="shared" si="4"/>
        <v>7100</v>
      </c>
      <c r="U12" s="53">
        <f>IF($J12="","",ROUND(($J12-$J$3)/1000,1)+(_xlfn.RANK.AVG($J12,($J12,$O12,$T12),1)-2)*10)</f>
        <v>-54.5</v>
      </c>
      <c r="V12" s="54">
        <f>IF($O12="","",ROUND(($O12-$O$3)/1000,1)+(_xlfn.RANK.AVG($O12,($J12,$O12,$T12),1)-2)*10)</f>
        <v>82.4</v>
      </c>
      <c r="W12" s="55">
        <f>IF($T12="","",ROUND(($T12-$T$3)/1000,1)+(_xlfn.RANK.AVG($T12,($J12,$O12,$T12),1)-2)*10)</f>
        <v>-27.9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13</v>
      </c>
      <c r="AY12" s="30" t="s">
        <v>204</v>
      </c>
      <c r="AZ12" s="40" t="s">
        <v>107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5</v>
      </c>
      <c r="D13" s="18">
        <f t="shared" si="1"/>
        <v>0</v>
      </c>
      <c r="E13" s="4" t="str">
        <f>IF($K$1="","",$K$1)</f>
        <v>まっつん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8CF9322D-DDE3-4CC5-9234-A229B7EB971B}">
      <formula1>$U$2:$W$2</formula1>
    </dataValidation>
    <dataValidation type="list" showInputMessage="1" showErrorMessage="1" sqref="K4:K30 P4:P30 F4:F30" xr:uid="{9B9CA370-B97B-4CEE-B462-0F9C14919905}">
      <formula1>"ロン,ツモ,放銃,ツモ支払,流局,チョンボ"</formula1>
    </dataValidation>
    <dataValidation type="list" allowBlank="1" showInputMessage="1" sqref="F1:T1" xr:uid="{1F387CC2-FEB0-429D-A977-73F1B2357176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2020-07-18T14:55:45Z</dcterms:modified>
</cp:coreProperties>
</file>