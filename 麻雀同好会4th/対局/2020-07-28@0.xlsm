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D531E36C-5E54-48FC-A227-DA664FD628DB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2" l="1"/>
  <c r="E13" i="22"/>
  <c r="E12" i="22"/>
  <c r="C12" i="22" s="1"/>
  <c r="E11" i="22"/>
  <c r="A11" i="22" s="1"/>
  <c r="E10" i="22"/>
  <c r="C10" i="22" s="1"/>
  <c r="E9" i="22"/>
  <c r="D9" i="22" s="1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J12" i="22"/>
  <c r="U12" i="22" s="1"/>
  <c r="D12" i="22"/>
  <c r="T11" i="22"/>
  <c r="O11" i="22"/>
  <c r="J11" i="22"/>
  <c r="C11" i="22"/>
  <c r="B11" i="22"/>
  <c r="T10" i="22"/>
  <c r="O10" i="22"/>
  <c r="J10" i="22"/>
  <c r="U10" i="22" s="1"/>
  <c r="D10" i="22"/>
  <c r="C9" i="22"/>
  <c r="D7" i="22"/>
  <c r="T5" i="22"/>
  <c r="T6" i="22" s="1"/>
  <c r="J5" i="22"/>
  <c r="J6" i="22" s="1"/>
  <c r="D5" i="22"/>
  <c r="T4" i="22"/>
  <c r="O4" i="22"/>
  <c r="O5" i="22" s="1"/>
  <c r="J4" i="22"/>
  <c r="E4" i="22"/>
  <c r="W3" i="22"/>
  <c r="V3" i="22"/>
  <c r="U3" i="22"/>
  <c r="W2" i="22"/>
  <c r="V2" i="22"/>
  <c r="U2" i="22"/>
  <c r="BO1" i="22"/>
  <c r="AT1" i="22"/>
  <c r="Y1" i="22"/>
  <c r="D10" i="21"/>
  <c r="E9" i="21"/>
  <c r="E8" i="21"/>
  <c r="D8" i="21" s="1"/>
  <c r="E7" i="21"/>
  <c r="D7" i="21" s="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9" i="21"/>
  <c r="O7" i="21"/>
  <c r="O8" i="21" s="1"/>
  <c r="O6" i="21"/>
  <c r="J6" i="21"/>
  <c r="J7" i="21" s="1"/>
  <c r="D6" i="21"/>
  <c r="O5" i="21"/>
  <c r="J5" i="21"/>
  <c r="T4" i="21"/>
  <c r="T5" i="21" s="1"/>
  <c r="O4" i="21"/>
  <c r="J4" i="21"/>
  <c r="E4" i="21"/>
  <c r="W3" i="21"/>
  <c r="V3" i="21"/>
  <c r="U3" i="21"/>
  <c r="W2" i="21"/>
  <c r="V2" i="21"/>
  <c r="U2" i="21"/>
  <c r="BO1" i="21"/>
  <c r="AT1" i="21"/>
  <c r="Y1" i="21"/>
  <c r="W13" i="22" l="1"/>
  <c r="U13" i="22"/>
  <c r="V13" i="22"/>
  <c r="V12" i="22"/>
  <c r="W12" i="22"/>
  <c r="B12" i="22"/>
  <c r="A12" i="22" s="1"/>
  <c r="V11" i="22"/>
  <c r="U11" i="22"/>
  <c r="W11" i="22"/>
  <c r="D11" i="22"/>
  <c r="V10" i="22"/>
  <c r="W10" i="22"/>
  <c r="B10" i="22"/>
  <c r="A10" i="22" s="1"/>
  <c r="U4" i="22"/>
  <c r="W4" i="22"/>
  <c r="J7" i="22"/>
  <c r="T7" i="22"/>
  <c r="D6" i="22"/>
  <c r="O6" i="22"/>
  <c r="W6" i="22" s="1"/>
  <c r="V5" i="22"/>
  <c r="U5" i="22"/>
  <c r="B5" i="22"/>
  <c r="C5" i="22"/>
  <c r="C6" i="22" s="1"/>
  <c r="W5" i="22"/>
  <c r="C7" i="22"/>
  <c r="C8" i="22"/>
  <c r="D8" i="22"/>
  <c r="V4" i="22"/>
  <c r="C7" i="21"/>
  <c r="V5" i="21"/>
  <c r="J8" i="21"/>
  <c r="T6" i="21"/>
  <c r="W5" i="21"/>
  <c r="U5" i="21"/>
  <c r="O9" i="21"/>
  <c r="B5" i="21"/>
  <c r="A5" i="21" s="1"/>
  <c r="C10" i="21"/>
  <c r="C5" i="21"/>
  <c r="D5" i="21"/>
  <c r="U6" i="21"/>
  <c r="C8" i="21"/>
  <c r="U4" i="21"/>
  <c r="C6" i="21"/>
  <c r="V4" i="21"/>
  <c r="C9" i="21"/>
  <c r="W4" i="21"/>
  <c r="D12" i="20"/>
  <c r="E11" i="20"/>
  <c r="E10" i="20"/>
  <c r="D10" i="20" s="1"/>
  <c r="E9" i="20"/>
  <c r="E8" i="20"/>
  <c r="E7" i="20"/>
  <c r="E6" i="20"/>
  <c r="E5" i="20"/>
  <c r="D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1" i="20"/>
  <c r="D8" i="20"/>
  <c r="D7" i="20"/>
  <c r="C7" i="20"/>
  <c r="D6" i="20"/>
  <c r="T4" i="20"/>
  <c r="T5" i="20" s="1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O7" i="22" l="1"/>
  <c r="W7" i="22" s="1"/>
  <c r="V6" i="22"/>
  <c r="B6" i="22"/>
  <c r="A6" i="22" s="1"/>
  <c r="A5" i="22"/>
  <c r="T8" i="22"/>
  <c r="U6" i="22"/>
  <c r="J8" i="22"/>
  <c r="U7" i="22"/>
  <c r="T7" i="21"/>
  <c r="V6" i="21"/>
  <c r="W6" i="21"/>
  <c r="O10" i="21"/>
  <c r="J9" i="21"/>
  <c r="B6" i="21"/>
  <c r="C5" i="20"/>
  <c r="J6" i="20"/>
  <c r="U5" i="20"/>
  <c r="T6" i="20"/>
  <c r="W5" i="20"/>
  <c r="V5" i="20"/>
  <c r="O6" i="20"/>
  <c r="U4" i="20"/>
  <c r="C6" i="20"/>
  <c r="B5" i="20"/>
  <c r="B6" i="20" s="1"/>
  <c r="C11" i="20"/>
  <c r="V4" i="20"/>
  <c r="C9" i="20"/>
  <c r="C10" i="20" s="1"/>
  <c r="C8" i="20"/>
  <c r="W4" i="20"/>
  <c r="D9" i="20"/>
  <c r="C12" i="20"/>
  <c r="E4" i="19"/>
  <c r="T9" i="22" l="1"/>
  <c r="W8" i="22"/>
  <c r="V7" i="22"/>
  <c r="O8" i="22"/>
  <c r="J9" i="22"/>
  <c r="U8" i="22"/>
  <c r="B7" i="22"/>
  <c r="A7" i="22" s="1"/>
  <c r="B7" i="21"/>
  <c r="T8" i="21"/>
  <c r="W7" i="21"/>
  <c r="V7" i="21"/>
  <c r="U7" i="21"/>
  <c r="A6" i="21"/>
  <c r="J10" i="21"/>
  <c r="O11" i="21"/>
  <c r="B7" i="20"/>
  <c r="O7" i="20"/>
  <c r="V6" i="20"/>
  <c r="A5" i="20"/>
  <c r="A6" i="20" s="1"/>
  <c r="J7" i="20"/>
  <c r="U6" i="20"/>
  <c r="T7" i="20"/>
  <c r="W6" i="20"/>
  <c r="W3" i="19"/>
  <c r="V3" i="19"/>
  <c r="U3" i="19"/>
  <c r="B8" i="22" l="1"/>
  <c r="O9" i="22"/>
  <c r="V8" i="22"/>
  <c r="J11" i="21"/>
  <c r="T9" i="21"/>
  <c r="W8" i="21"/>
  <c r="V8" i="21"/>
  <c r="U8" i="21"/>
  <c r="B8" i="21"/>
  <c r="A7" i="21"/>
  <c r="B8" i="20"/>
  <c r="A8" i="20" s="1"/>
  <c r="A7" i="20"/>
  <c r="J8" i="20"/>
  <c r="U7" i="20"/>
  <c r="T8" i="20"/>
  <c r="W7" i="20"/>
  <c r="O8" i="20"/>
  <c r="V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W11" i="19" s="1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9" i="22" l="1"/>
  <c r="B9" i="22"/>
  <c r="A9" i="22" s="1"/>
  <c r="A8" i="22"/>
  <c r="U9" i="22"/>
  <c r="W9" i="22"/>
  <c r="A8" i="21"/>
  <c r="B9" i="21"/>
  <c r="A9" i="21" s="1"/>
  <c r="T10" i="21"/>
  <c r="W9" i="21"/>
  <c r="U9" i="21"/>
  <c r="V9" i="21"/>
  <c r="O9" i="20"/>
  <c r="V8" i="20"/>
  <c r="U8" i="20"/>
  <c r="J9" i="20"/>
  <c r="T9" i="20"/>
  <c r="W8" i="20"/>
  <c r="B9" i="20"/>
  <c r="V12" i="19"/>
  <c r="W12" i="19"/>
  <c r="V11" i="19"/>
  <c r="U10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1" i="21" l="1"/>
  <c r="W10" i="21"/>
  <c r="V10" i="21"/>
  <c r="U10" i="21"/>
  <c r="B10" i="21"/>
  <c r="O10" i="20"/>
  <c r="V9" i="20"/>
  <c r="B10" i="20"/>
  <c r="A9" i="20"/>
  <c r="T10" i="20"/>
  <c r="W9" i="20"/>
  <c r="U9" i="20"/>
  <c r="J10" i="20"/>
  <c r="W5" i="19"/>
  <c r="V5" i="19"/>
  <c r="U5" i="19"/>
  <c r="W11" i="21" l="1"/>
  <c r="U11" i="21"/>
  <c r="V11" i="21"/>
  <c r="B11" i="21"/>
  <c r="A11" i="21" s="1"/>
  <c r="A10" i="21"/>
  <c r="O11" i="20"/>
  <c r="V10" i="20"/>
  <c r="W10" i="20"/>
  <c r="T11" i="20"/>
  <c r="B11" i="20"/>
  <c r="J11" i="20"/>
  <c r="U10" i="20"/>
  <c r="A10" i="20"/>
  <c r="J12" i="20" l="1"/>
  <c r="U11" i="20"/>
  <c r="B12" i="20"/>
  <c r="A12" i="20" s="1"/>
  <c r="W11" i="20"/>
  <c r="T12" i="20"/>
  <c r="V11" i="20"/>
  <c r="O12" i="20"/>
  <c r="A11" i="20"/>
  <c r="V12" i="20" l="1"/>
  <c r="W12" i="20"/>
  <c r="U12" i="20"/>
</calcChain>
</file>

<file path=xl/sharedStrings.xml><?xml version="1.0" encoding="utf-8"?>
<sst xmlns="http://schemas.openxmlformats.org/spreadsheetml/2006/main" count="877" uniqueCount="211">
  <si>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</si>
  <si>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</si>
  <si>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</si>
  <si>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</si>
  <si>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</si>
  <si>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</si>
  <si>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</si>
  <si>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</si>
  <si>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</si>
  <si>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</si>
  <si>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</si>
  <si>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</si>
  <si>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</si>
  <si>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</si>
  <si>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</si>
  <si>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</si>
  <si>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</si>
  <si>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</si>
  <si>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</si>
  <si>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</si>
  <si>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</si>
  <si>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</si>
  <si>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</si>
  <si>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</si>
  <si>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</si>
  <si>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</si>
  <si>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</si>
  <si>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</si>
  <si>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</si>
  <si>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</si>
  <si>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</si>
  <si>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</si>
  <si>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</si>
  <si>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</si>
  <si>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</si>
  <si>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</si>
  <si>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</si>
  <si>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</si>
  <si>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</si>
  <si>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</si>
  <si>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</si>
  <si>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</si>
  <si>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</si>
  <si>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</si>
  <si>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</si>
  <si>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</si>
  <si>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</si>
  <si>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</si>
  <si>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</si>
  <si>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</si>
  <si>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</si>
  <si>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</si>
  <si>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</si>
  <si>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</si>
  <si>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</si>
  <si>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</si>
  <si>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</si>
  <si>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</si>
  <si>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</si>
  <si>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</si>
  <si>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</si>
  <si>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</si>
  <si>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</si>
  <si>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</si>
  <si>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</si>
  <si>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</si>
  <si>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</si>
  <si>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</si>
  <si>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</si>
  <si>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</si>
  <si>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</si>
  <si>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</si>
  <si>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</si>
  <si>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</si>
  <si>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</si>
  <si>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</si>
  <si>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</si>
  <si>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</si>
  <si>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</si>
  <si>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</si>
  <si>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</si>
  <si>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</si>
  <si>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</si>
  <si>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</si>
  <si>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</si>
  <si>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</si>
  <si>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</si>
  <si>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</si>
  <si>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</si>
  <si>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</si>
  <si>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</si>
  <si>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</si>
  <si>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</si>
  <si>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</si>
  <si>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</si>
  <si>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</si>
  <si>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</si>
  <si>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</si>
  <si>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</si>
  <si>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</si>
  <si>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</si>
  <si>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</si>
  <si>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</si>
  <si>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</si>
  <si>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</si>
  <si>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</si>
  <si>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</si>
  <si>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</si>
  <si>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</si>
  <si>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</si>
  <si>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</si>
  <si>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</si>
  <si>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</si>
  <si>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</si>
  <si>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</si>
  <si>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</si>
  <si>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</si>
  <si>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</si>
  <si>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</si>
  <si>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</si>
  <si>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</si>
  <si>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</si>
  <si>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</si>
  <si>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</si>
  <si>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</si>
  <si>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</si>
  <si>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</si>
  <si>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</si>
  <si>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</si>
  <si>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</si>
  <si>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</si>
  <si>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</si>
  <si>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</si>
  <si>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</si>
  <si>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</si>
  <si>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</si>
  <si>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</si>
  <si>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</si>
  <si>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</si>
  <si>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</si>
  <si>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</si>
  <si>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</si>
  <si>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</si>
  <si>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</si>
  <si>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</si>
  <si>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</si>
  <si>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</si>
  <si>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</si>
  <si>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</si>
  <si>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</si>
  <si>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</si>
  <si>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</si>
  <si>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</si>
  <si>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</si>
  <si>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</si>
  <si>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</si>
  <si>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</si>
  <si>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</si>
  <si>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</si>
  <si>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</si>
  <si>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</si>
  <si>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</si>
  <si>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</si>
  <si>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</si>
  <si>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</si>
  <si>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</si>
  <si>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</si>
  <si>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</si>
  <si>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</si>
  <si>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</si>
  <si>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</si>
  <si>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</si>
  <si>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</si>
  <si>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</si>
  <si>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</si>
  <si>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</si>
  <si>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</si>
  <si>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</si>
  <si>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</si>
  <si>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</si>
  <si>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</si>
  <si>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</si>
  <si>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</si>
  <si>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</si>
  <si>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</si>
  <si>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</si>
  <si>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</si>
  <si>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</si>
  <si>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</si>
  <si>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</si>
  <si>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</si>
  <si>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</si>
  <si>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</si>
  <si>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</si>
  <si>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</si>
  <si>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りくと</t>
  </si>
  <si>
    <t>りくと</t>
    <phoneticPr fontId="1"/>
  </si>
  <si>
    <t>T</t>
  </si>
  <si>
    <t>N</t>
  </si>
  <si>
    <t>流局</t>
    <phoneticPr fontId="1"/>
  </si>
  <si>
    <t>放銃</t>
  </si>
  <si>
    <t>ロン</t>
  </si>
  <si>
    <t>*</t>
  </si>
  <si>
    <t>01</t>
  </si>
  <si>
    <t>ツモ</t>
  </si>
  <si>
    <t>ツモ支払</t>
  </si>
  <si>
    <t>51</t>
  </si>
  <si>
    <t>02</t>
  </si>
  <si>
    <t>52</t>
  </si>
  <si>
    <t>まっつん</t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</si>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</sst>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3000</v>
      </c>
      <c r="H4" s="9"/>
      <c r="I4" s="48"/>
      <c r="J4" s="21">
        <f>IF(COUNTA($F4,$K4,$P4)&gt;0,J3+SUM(G4:I4),"")</f>
        <v>38000</v>
      </c>
      <c r="K4" s="8" t="s">
        <v>199</v>
      </c>
      <c r="L4" s="9">
        <v>-1500</v>
      </c>
      <c r="M4" s="9"/>
      <c r="N4" s="48"/>
      <c r="O4" s="21">
        <f>IF(COUNTA($F4,$K4,$P4)&gt;0,O3+SUM(L4:N4),"")</f>
        <v>33500</v>
      </c>
      <c r="P4" s="8" t="s">
        <v>199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197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200</v>
      </c>
      <c r="G5" s="9">
        <v>-12000</v>
      </c>
      <c r="H5" s="9">
        <v>-1000</v>
      </c>
      <c r="I5" s="48">
        <v>-1000</v>
      </c>
      <c r="J5" s="21">
        <f t="shared" ref="J5:J30" si="2">IF(COUNTA($F5,$K5,$P5)&gt;0,J4+SUM(G5:I5),"")</f>
        <v>24000</v>
      </c>
      <c r="K5" s="8" t="s">
        <v>201</v>
      </c>
      <c r="L5" s="9">
        <v>12000</v>
      </c>
      <c r="M5" s="9">
        <v>1000</v>
      </c>
      <c r="N5" s="48">
        <v>1000</v>
      </c>
      <c r="O5" s="21">
        <f t="shared" ref="O5:O30" si="3">IF(COUNTA($F5,$K5,$P5)&gt;0,O4+SUM(L5:N5),"")</f>
        <v>47500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-21</v>
      </c>
      <c r="V5" s="54">
        <f>IF($O5="","",ROUND(($O5-$O$3)/1000,1)+(_xlfn.RANK.AVG($O5,($J5,$O5,$T5),1)-2)*10)</f>
        <v>22.5</v>
      </c>
      <c r="W5" s="55">
        <f>IF($T5="","",ROUND(($T5-$T$3)/1000,1)+(_xlfn.RANK.AVG($T5,($J5,$O5,$T5),1)-2)*10)</f>
        <v>-1.5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202</v>
      </c>
      <c r="AZ5" s="40" t="s">
        <v>203</v>
      </c>
      <c r="BA5" s="41" t="s">
        <v>83</v>
      </c>
      <c r="BB5" s="41" t="s">
        <v>79</v>
      </c>
      <c r="BC5" s="41" t="s">
        <v>80</v>
      </c>
      <c r="BD5" s="41" t="s">
        <v>80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24000</v>
      </c>
      <c r="K6" s="8" t="s">
        <v>200</v>
      </c>
      <c r="L6" s="9">
        <v>-3900</v>
      </c>
      <c r="M6" s="9"/>
      <c r="N6" s="48">
        <v>0</v>
      </c>
      <c r="O6" s="21">
        <f t="shared" si="3"/>
        <v>43600</v>
      </c>
      <c r="P6" s="8" t="s">
        <v>201</v>
      </c>
      <c r="Q6" s="9">
        <v>3900</v>
      </c>
      <c r="R6" s="9"/>
      <c r="S6" s="48">
        <v>0</v>
      </c>
      <c r="T6" s="21">
        <f t="shared" si="4"/>
        <v>37400</v>
      </c>
      <c r="U6" s="53">
        <f>IF($J6="","",ROUND(($J6-$J$3)/1000,1)+(_xlfn.RANK.AVG($J6,($J6,$O6,$T6),1)-2)*10)</f>
        <v>-21</v>
      </c>
      <c r="V6" s="54">
        <f>IF($O6="","",ROUND(($O6-$O$3)/1000,1)+(_xlfn.RANK.AVG($O6,($J6,$O6,$T6),1)-2)*10)</f>
        <v>18.600000000000001</v>
      </c>
      <c r="W6" s="55">
        <f>IF($T6="","",ROUND(($T6-$T$3)/1000,1)+(_xlfn.RANK.AVG($T6,($J6,$O6,$T6),1)-2)*10)</f>
        <v>2.4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204</v>
      </c>
      <c r="G7" s="9">
        <v>12000</v>
      </c>
      <c r="H7" s="9"/>
      <c r="I7" s="48">
        <v>0</v>
      </c>
      <c r="J7" s="21">
        <f t="shared" si="2"/>
        <v>36000</v>
      </c>
      <c r="K7" s="8" t="s">
        <v>205</v>
      </c>
      <c r="L7" s="9">
        <v>-4500</v>
      </c>
      <c r="M7" s="9"/>
      <c r="N7" s="48">
        <v>0</v>
      </c>
      <c r="O7" s="21">
        <f t="shared" si="3"/>
        <v>39100</v>
      </c>
      <c r="P7" s="8" t="s">
        <v>205</v>
      </c>
      <c r="Q7" s="9">
        <v>-7500</v>
      </c>
      <c r="R7" s="9"/>
      <c r="S7" s="48">
        <v>0</v>
      </c>
      <c r="T7" s="21">
        <f t="shared" si="4"/>
        <v>29900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14.1</v>
      </c>
      <c r="W7" s="55">
        <f>IF($T7="","",ROUND(($T7-$T$3)/1000,1)+(_xlfn.RANK.AVG($T7,($J7,$O7,$T7),1)-2)*10)</f>
        <v>-15.1</v>
      </c>
      <c r="Y7" s="8"/>
      <c r="Z7" s="34"/>
      <c r="AA7" s="26">
        <v>1</v>
      </c>
      <c r="AB7" s="26"/>
      <c r="AC7" s="26">
        <v>7</v>
      </c>
      <c r="AD7" s="30" t="s">
        <v>202</v>
      </c>
      <c r="AE7" s="40" t="s">
        <v>206</v>
      </c>
      <c r="AF7" s="41" t="s">
        <v>82</v>
      </c>
      <c r="AG7" s="41" t="s">
        <v>207</v>
      </c>
      <c r="AH7" s="41" t="s">
        <v>104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205</v>
      </c>
      <c r="G8" s="9">
        <v>-7500</v>
      </c>
      <c r="H8" s="9"/>
      <c r="I8" s="48">
        <v>0</v>
      </c>
      <c r="J8" s="21">
        <f t="shared" si="2"/>
        <v>28500</v>
      </c>
      <c r="K8" s="8" t="s">
        <v>204</v>
      </c>
      <c r="L8" s="9">
        <v>12000</v>
      </c>
      <c r="M8" s="9"/>
      <c r="N8" s="48">
        <v>0</v>
      </c>
      <c r="O8" s="21">
        <f t="shared" si="3"/>
        <v>51100</v>
      </c>
      <c r="P8" s="8" t="s">
        <v>205</v>
      </c>
      <c r="Q8" s="9">
        <v>-4500</v>
      </c>
      <c r="R8" s="9"/>
      <c r="S8" s="48">
        <v>0</v>
      </c>
      <c r="T8" s="21">
        <f t="shared" si="4"/>
        <v>25400</v>
      </c>
      <c r="U8" s="53">
        <f>IF($J8="","",ROUND(($J8-$J$3)/1000,1)+(_xlfn.RANK.AVG($J8,($J8,$O8,$T8),1)-2)*10)</f>
        <v>-6.5</v>
      </c>
      <c r="V8" s="54">
        <f>IF($O8="","",ROUND(($O8-$O$3)/1000,1)+(_xlfn.RANK.AVG($O8,($J8,$O8,$T8),1)-2)*10)</f>
        <v>26.1</v>
      </c>
      <c r="W8" s="55">
        <f>IF($T8="","",ROUND(($T8-$T$3)/1000,1)+(_xlfn.RANK.AVG($T8,($J8,$O8,$T8),1)-2)*10)</f>
        <v>-19.600000000000001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202</v>
      </c>
      <c r="AZ8" s="40" t="s">
        <v>203</v>
      </c>
      <c r="BA8" s="41" t="s">
        <v>83</v>
      </c>
      <c r="BB8" s="41" t="s">
        <v>85</v>
      </c>
      <c r="BC8" s="41" t="s">
        <v>208</v>
      </c>
      <c r="BD8" s="41" t="s">
        <v>80</v>
      </c>
      <c r="BE8" s="41" t="s">
        <v>82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205</v>
      </c>
      <c r="G9" s="9">
        <v>-3900</v>
      </c>
      <c r="H9" s="9"/>
      <c r="I9" s="48">
        <v>0</v>
      </c>
      <c r="J9" s="21">
        <f t="shared" si="2"/>
        <v>24600</v>
      </c>
      <c r="K9" s="8" t="s">
        <v>204</v>
      </c>
      <c r="L9" s="9">
        <v>7800</v>
      </c>
      <c r="M9" s="9"/>
      <c r="N9" s="48">
        <v>0</v>
      </c>
      <c r="O9" s="21">
        <f t="shared" si="3"/>
        <v>58900</v>
      </c>
      <c r="P9" s="8" t="s">
        <v>205</v>
      </c>
      <c r="Q9" s="9">
        <v>-3900</v>
      </c>
      <c r="R9" s="9"/>
      <c r="S9" s="48">
        <v>0</v>
      </c>
      <c r="T9" s="21">
        <f t="shared" si="4"/>
        <v>21500</v>
      </c>
      <c r="U9" s="53">
        <f>IF($J9="","",ROUND(($J9-$J$3)/1000,1)+(_xlfn.RANK.AVG($J9,($J9,$O9,$T9),1)-2)*10)</f>
        <v>-10.4</v>
      </c>
      <c r="V9" s="54">
        <f>IF($O9="","",ROUND(($O9-$O$3)/1000,1)+(_xlfn.RANK.AVG($O9,($J9,$O9,$T9),1)-2)*10)</f>
        <v>33.9</v>
      </c>
      <c r="W9" s="55">
        <f>IF($T9="","",ROUND(($T9-$T$3)/1000,1)+(_xlfn.RANK.AVG($T9,($J9,$O9,$T9),1)-2)*10)</f>
        <v>-23.5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20</v>
      </c>
      <c r="AZ9" s="40" t="s">
        <v>203</v>
      </c>
      <c r="BA9" s="41" t="s">
        <v>82</v>
      </c>
      <c r="BB9" s="41" t="s">
        <v>83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れんたろう</v>
      </c>
      <c r="F10" s="8" t="s">
        <v>199</v>
      </c>
      <c r="G10" s="9">
        <v>-3000</v>
      </c>
      <c r="H10" s="9"/>
      <c r="I10" s="48"/>
      <c r="J10" s="21">
        <f t="shared" si="2"/>
        <v>21600</v>
      </c>
      <c r="K10" s="8" t="s">
        <v>199</v>
      </c>
      <c r="L10" s="9">
        <v>1500</v>
      </c>
      <c r="M10" s="9">
        <v>-1000</v>
      </c>
      <c r="N10" s="48"/>
      <c r="O10" s="21">
        <f t="shared" si="3"/>
        <v>59400</v>
      </c>
      <c r="P10" s="8" t="s">
        <v>199</v>
      </c>
      <c r="Q10" s="9">
        <v>1500</v>
      </c>
      <c r="R10" s="9"/>
      <c r="S10" s="48"/>
      <c r="T10" s="21">
        <f t="shared" si="4"/>
        <v>23000</v>
      </c>
      <c r="U10" s="53">
        <f>IF($J10="","",ROUND(($J10-$J$3)/1000,1)+(_xlfn.RANK.AVG($J10,($J10,$O10,$T10),1)-2)*10)</f>
        <v>-23.4</v>
      </c>
      <c r="V10" s="54">
        <f>IF($O10="","",ROUND(($O10-$O$3)/1000,1)+(_xlfn.RANK.AVG($O10,($J10,$O10,$T10),1)-2)*10)</f>
        <v>34.4</v>
      </c>
      <c r="W10" s="55">
        <f>IF($T10="","",ROUND(($T10-$T$3)/1000,1)+(_xlfn.RANK.AVG($T10,($J10,$O10,$T10),1)-2)*10)</f>
        <v>-12</v>
      </c>
      <c r="Y10" s="8" t="s">
        <v>198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tr">
        <f>IF($K$1="","",$K$1)</f>
        <v>れんたろう</v>
      </c>
      <c r="F11" s="8" t="s">
        <v>205</v>
      </c>
      <c r="G11" s="9">
        <v>-3000</v>
      </c>
      <c r="H11" s="9"/>
      <c r="I11" s="48">
        <v>-1000</v>
      </c>
      <c r="J11" s="21">
        <f t="shared" si="2"/>
        <v>17600</v>
      </c>
      <c r="K11" s="8" t="s">
        <v>205</v>
      </c>
      <c r="L11" s="9">
        <v>-5000</v>
      </c>
      <c r="M11" s="9"/>
      <c r="N11" s="48">
        <v>-1000</v>
      </c>
      <c r="O11" s="21">
        <f t="shared" si="3"/>
        <v>53400</v>
      </c>
      <c r="P11" s="8" t="s">
        <v>204</v>
      </c>
      <c r="Q11" s="9">
        <v>8000</v>
      </c>
      <c r="R11" s="9">
        <v>1000</v>
      </c>
      <c r="S11" s="48">
        <v>2000</v>
      </c>
      <c r="T11" s="21">
        <f t="shared" si="4"/>
        <v>34000</v>
      </c>
      <c r="U11" s="53">
        <f>IF($J11="","",ROUND(($J11-$J$3)/1000,1)+(_xlfn.RANK.AVG($J11,($J11,$O11,$T11),1)-2)*10)</f>
        <v>-27.4</v>
      </c>
      <c r="V11" s="54">
        <f>IF($O11="","",ROUND(($O11-$O$3)/1000,1)+(_xlfn.RANK.AVG($O11,($J11,$O11,$T11),1)-2)*10)</f>
        <v>28.4</v>
      </c>
      <c r="W11" s="55">
        <f>IF($T11="","",ROUND(($T11-$T$3)/1000,1)+(_xlfn.RANK.AVG($T11,($J11,$O11,$T11),1)-2)*10)</f>
        <v>-1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202</v>
      </c>
      <c r="BU11" s="40" t="s">
        <v>203</v>
      </c>
      <c r="BV11" s="41" t="s">
        <v>82</v>
      </c>
      <c r="BW11" s="41" t="s">
        <v>86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りくと</v>
      </c>
      <c r="F12" s="8" t="s">
        <v>201</v>
      </c>
      <c r="G12" s="9">
        <v>5200</v>
      </c>
      <c r="H12" s="9">
        <v>1000</v>
      </c>
      <c r="I12" s="48">
        <v>0</v>
      </c>
      <c r="J12" s="21">
        <f t="shared" si="2"/>
        <v>23800</v>
      </c>
      <c r="K12" s="8"/>
      <c r="L12" s="9"/>
      <c r="M12" s="9"/>
      <c r="N12" s="48"/>
      <c r="O12" s="21">
        <f t="shared" si="3"/>
        <v>53400</v>
      </c>
      <c r="P12" s="8" t="s">
        <v>200</v>
      </c>
      <c r="Q12" s="9">
        <v>-5200</v>
      </c>
      <c r="R12" s="9">
        <v>-1000</v>
      </c>
      <c r="S12" s="48">
        <v>0</v>
      </c>
      <c r="T12" s="21">
        <f t="shared" si="4"/>
        <v>27800</v>
      </c>
      <c r="U12" s="53">
        <f>IF($J12="","",ROUND(($J12-$J$3)/1000,1)+(_xlfn.RANK.AVG($J12,($J12,$O12,$T12),1)-2)*10)</f>
        <v>-21.2</v>
      </c>
      <c r="V12" s="54">
        <f>IF($O12="","",ROUND(($O12-$O$3)/1000,1)+(_xlfn.RANK.AVG($O12,($J12,$O12,$T12),1)-2)*10)</f>
        <v>28.4</v>
      </c>
      <c r="W12" s="55">
        <f>IF($T12="","",ROUND(($T12-$T$3)/1000,1)+(_xlfn.RANK.AVG($T12,($J12,$O12,$T12),1)-2)*10)</f>
        <v>-7.2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203</v>
      </c>
      <c r="AF12" s="41" t="s">
        <v>86</v>
      </c>
      <c r="AG12" s="41" t="s">
        <v>86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2CA735D-4115-4006-BA32-993EF321071A}">
      <formula1>"れんたろう,ともき,だいち,りくと,まっつん,たかの,のり,ただ,ぱぱ,てんちゃん,いちかわ,"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2EEF6-BEB2-42C1-B738-D2237B11DEA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195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200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202</v>
      </c>
      <c r="AZ4" s="40" t="s">
        <v>98</v>
      </c>
      <c r="BA4" s="41" t="s">
        <v>104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204</v>
      </c>
      <c r="G5" s="9">
        <v>4000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205</v>
      </c>
      <c r="L5" s="9">
        <v>-2500</v>
      </c>
      <c r="M5" s="9"/>
      <c r="N5" s="48">
        <v>0</v>
      </c>
      <c r="O5" s="21">
        <f t="shared" ref="O5:O30" si="3">IF(COUNTA($F5,$K5,$P5)&gt;0,O4+SUM(L5:N5),"")</f>
        <v>40500</v>
      </c>
      <c r="P5" s="8" t="s">
        <v>205</v>
      </c>
      <c r="Q5" s="9">
        <v>-1500</v>
      </c>
      <c r="R5" s="9"/>
      <c r="S5" s="48">
        <v>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15.5</v>
      </c>
      <c r="W5" s="55">
        <f>IF($T5="","",ROUND(($T5-$T$3)/1000,1)+(_xlfn.RANK.AVG($T5,($J5,$O5,$T5),1)-2)*10)</f>
        <v>-19.5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203</v>
      </c>
      <c r="AF5" s="41" t="s">
        <v>82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205</v>
      </c>
      <c r="G6" s="9">
        <v>-4500</v>
      </c>
      <c r="H6" s="9"/>
      <c r="I6" s="48">
        <v>0</v>
      </c>
      <c r="J6" s="21">
        <f t="shared" si="2"/>
        <v>34500</v>
      </c>
      <c r="K6" s="8" t="s">
        <v>204</v>
      </c>
      <c r="L6" s="9">
        <v>12000</v>
      </c>
      <c r="M6" s="9"/>
      <c r="N6" s="48">
        <v>0</v>
      </c>
      <c r="O6" s="21">
        <f t="shared" si="3"/>
        <v>52500</v>
      </c>
      <c r="P6" s="8" t="s">
        <v>205</v>
      </c>
      <c r="Q6" s="9">
        <v>-7500</v>
      </c>
      <c r="R6" s="9"/>
      <c r="S6" s="48">
        <v>0</v>
      </c>
      <c r="T6" s="21">
        <f t="shared" si="4"/>
        <v>18000</v>
      </c>
      <c r="U6" s="53">
        <f>IF($J6="","",ROUND(($J6-$J$3)/1000,1)+(_xlfn.RANK.AVG($J6,($J6,$O6,$T6),1)-2)*10)</f>
        <v>-0.5</v>
      </c>
      <c r="V6" s="54">
        <f>IF($O6="","",ROUND(($O6-$O$3)/1000,1)+(_xlfn.RANK.AVG($O6,($J6,$O6,$T6),1)-2)*10)</f>
        <v>27.5</v>
      </c>
      <c r="W6" s="55">
        <f>IF($T6="","",ROUND(($T6-$T$3)/1000,1)+(_xlfn.RANK.AVG($T6,($J6,$O6,$T6),1)-2)*10)</f>
        <v>-27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6</v>
      </c>
      <c r="AY6" s="30" t="s">
        <v>202</v>
      </c>
      <c r="AZ6" s="40" t="s">
        <v>101</v>
      </c>
      <c r="BA6" s="41" t="s">
        <v>82</v>
      </c>
      <c r="BB6" s="41" t="s">
        <v>104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201</v>
      </c>
      <c r="G7" s="9">
        <v>7700</v>
      </c>
      <c r="H7" s="9">
        <v>1000</v>
      </c>
      <c r="I7" s="48">
        <v>0</v>
      </c>
      <c r="J7" s="21">
        <f t="shared" si="2"/>
        <v>43200</v>
      </c>
      <c r="K7" s="8" t="s">
        <v>200</v>
      </c>
      <c r="L7" s="9">
        <v>-7700</v>
      </c>
      <c r="M7" s="9"/>
      <c r="N7" s="48">
        <v>0</v>
      </c>
      <c r="O7" s="21">
        <f t="shared" si="3"/>
        <v>44800</v>
      </c>
      <c r="P7" s="8"/>
      <c r="Q7" s="9"/>
      <c r="R7" s="9">
        <v>-1000</v>
      </c>
      <c r="S7" s="48"/>
      <c r="T7" s="21">
        <f t="shared" si="4"/>
        <v>17000</v>
      </c>
      <c r="U7" s="53">
        <f>IF($J7="","",ROUND(($J7-$J$3)/1000,1)+(_xlfn.RANK.AVG($J7,($J7,$O7,$T7),1)-2)*10)</f>
        <v>8.1999999999999993</v>
      </c>
      <c r="V7" s="54">
        <f>IF($O7="","",ROUND(($O7-$O$3)/1000,1)+(_xlfn.RANK.AVG($O7,($J7,$O7,$T7),1)-2)*10)</f>
        <v>19.8</v>
      </c>
      <c r="W7" s="55">
        <f>IF($T7="","",ROUND(($T7-$T$3)/1000,1)+(_xlfn.RANK.AVG($T7,($J7,$O7,$T7),1)-2)*10)</f>
        <v>-28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203</v>
      </c>
      <c r="AF7" s="41" t="s">
        <v>208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 t="s">
        <v>200</v>
      </c>
      <c r="G8" s="9">
        <v>-5200</v>
      </c>
      <c r="H8" s="9"/>
      <c r="I8" s="48">
        <v>-1000</v>
      </c>
      <c r="J8" s="21">
        <f t="shared" si="2"/>
        <v>37000</v>
      </c>
      <c r="K8" s="8" t="s">
        <v>201</v>
      </c>
      <c r="L8" s="9">
        <v>5200</v>
      </c>
      <c r="M8" s="9"/>
      <c r="N8" s="48">
        <v>1000</v>
      </c>
      <c r="O8" s="21">
        <f t="shared" si="3"/>
        <v>51000</v>
      </c>
      <c r="P8" s="8"/>
      <c r="Q8" s="9"/>
      <c r="R8" s="9"/>
      <c r="S8" s="48"/>
      <c r="T8" s="21">
        <f t="shared" si="4"/>
        <v>17000</v>
      </c>
      <c r="U8" s="53">
        <f>IF($J8="","",ROUND(($J8-$J$3)/1000,1)+(_xlfn.RANK.AVG($J8,($J8,$O8,$T8),1)-2)*10)</f>
        <v>2</v>
      </c>
      <c r="V8" s="54">
        <f>IF($O8="","",ROUND(($O8-$O$3)/1000,1)+(_xlfn.RANK.AVG($O8,($J8,$O8,$T8),1)-2)*10)</f>
        <v>26</v>
      </c>
      <c r="W8" s="55">
        <f>IF($T8="","",ROUND(($T8-$T$3)/1000,1)+(_xlfn.RANK.AVG($T8,($J8,$O8,$T8),1)-2)*10)</f>
        <v>-28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203</v>
      </c>
      <c r="BA8" s="41" t="s">
        <v>79</v>
      </c>
      <c r="BB8" s="41" t="s">
        <v>208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205</v>
      </c>
      <c r="G9" s="9">
        <v>-1500</v>
      </c>
      <c r="H9" s="9"/>
      <c r="I9" s="48">
        <v>0</v>
      </c>
      <c r="J9" s="21">
        <f t="shared" si="2"/>
        <v>35500</v>
      </c>
      <c r="K9" s="8" t="s">
        <v>204</v>
      </c>
      <c r="L9" s="9">
        <v>3000</v>
      </c>
      <c r="M9" s="9"/>
      <c r="N9" s="48">
        <v>0</v>
      </c>
      <c r="O9" s="21">
        <f t="shared" si="3"/>
        <v>54000</v>
      </c>
      <c r="P9" s="8" t="s">
        <v>205</v>
      </c>
      <c r="Q9" s="9">
        <v>-1500</v>
      </c>
      <c r="R9" s="9"/>
      <c r="S9" s="48">
        <v>0</v>
      </c>
      <c r="T9" s="21">
        <f t="shared" si="4"/>
        <v>15500</v>
      </c>
      <c r="U9" s="53">
        <f>IF($J9="","",ROUND(($J9-$J$3)/1000,1)+(_xlfn.RANK.AVG($J9,($J9,$O9,$T9),1)-2)*10)</f>
        <v>0.5</v>
      </c>
      <c r="V9" s="54">
        <f>IF($O9="","",ROUND(($O9-$O$3)/1000,1)+(_xlfn.RANK.AVG($O9,($J9,$O9,$T9),1)-2)*10)</f>
        <v>29</v>
      </c>
      <c r="W9" s="55">
        <f>IF($T9="","",ROUND(($T9-$T$3)/1000,1)+(_xlfn.RANK.AVG($T9,($J9,$O9,$T9),1)-2)*10)</f>
        <v>-29.5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84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りくと</v>
      </c>
      <c r="F10" s="8" t="s">
        <v>205</v>
      </c>
      <c r="G10" s="9">
        <v>-4500</v>
      </c>
      <c r="H10" s="9"/>
      <c r="I10" s="48">
        <v>-500</v>
      </c>
      <c r="J10" s="21">
        <f t="shared" si="2"/>
        <v>30500</v>
      </c>
      <c r="K10" s="8" t="s">
        <v>205</v>
      </c>
      <c r="L10" s="9">
        <v>-7500</v>
      </c>
      <c r="M10" s="9"/>
      <c r="N10" s="48">
        <v>-500</v>
      </c>
      <c r="O10" s="21">
        <f t="shared" si="3"/>
        <v>46000</v>
      </c>
      <c r="P10" s="8" t="s">
        <v>204</v>
      </c>
      <c r="Q10" s="9">
        <v>12000</v>
      </c>
      <c r="R10" s="9"/>
      <c r="S10" s="48">
        <v>1000</v>
      </c>
      <c r="T10" s="21">
        <f t="shared" si="4"/>
        <v>28500</v>
      </c>
      <c r="U10" s="53">
        <f>IF($J10="","",ROUND(($J10-$J$3)/1000,1)+(_xlfn.RANK.AVG($J10,($J10,$O10,$T10),1)-2)*10)</f>
        <v>-4.5</v>
      </c>
      <c r="V10" s="54">
        <f>IF($O10="","",ROUND(($O10-$O$3)/1000,1)+(_xlfn.RANK.AVG($O10,($J10,$O10,$T10),1)-2)*10)</f>
        <v>21</v>
      </c>
      <c r="W10" s="55">
        <f>IF($T10="","",ROUND(($T10-$T$3)/1000,1)+(_xlfn.RANK.AVG($T10,($J10,$O10,$T10),1)-2)*10)</f>
        <v>-16.5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202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 t="s">
        <v>79</v>
      </c>
      <c r="BZ10" s="41" t="s">
        <v>208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201</v>
      </c>
      <c r="G11" s="9">
        <v>12000</v>
      </c>
      <c r="H11" s="9"/>
      <c r="I11" s="48">
        <v>0</v>
      </c>
      <c r="J11" s="21">
        <f t="shared" si="2"/>
        <v>42500</v>
      </c>
      <c r="K11" s="8"/>
      <c r="L11" s="9"/>
      <c r="M11" s="9"/>
      <c r="N11" s="48"/>
      <c r="O11" s="21">
        <f t="shared" si="3"/>
        <v>46000</v>
      </c>
      <c r="P11" s="8" t="s">
        <v>200</v>
      </c>
      <c r="Q11" s="9">
        <v>-12000</v>
      </c>
      <c r="R11" s="9"/>
      <c r="S11" s="48">
        <v>0</v>
      </c>
      <c r="T11" s="21">
        <f t="shared" si="4"/>
        <v>16500</v>
      </c>
      <c r="U11" s="53">
        <f>IF($J11="","",ROUND(($J11-$J$3)/1000,1)+(_xlfn.RANK.AVG($J11,($J11,$O11,$T11),1)-2)*10)</f>
        <v>7.5</v>
      </c>
      <c r="V11" s="54">
        <f>IF($O11="","",ROUND(($O11-$O$3)/1000,1)+(_xlfn.RANK.AVG($O11,($J11,$O11,$T11),1)-2)*10)</f>
        <v>21</v>
      </c>
      <c r="W11" s="55">
        <f>IF($T11="","",ROUND(($T11-$T$3)/1000,1)+(_xlfn.RANK.AVG($T11,($J11,$O11,$T11),1)-2)*10)</f>
        <v>-28.5</v>
      </c>
      <c r="Y11" s="8"/>
      <c r="Z11" s="34"/>
      <c r="AA11" s="26"/>
      <c r="AB11" s="26">
        <v>1</v>
      </c>
      <c r="AC11" s="26">
        <v>6</v>
      </c>
      <c r="AD11" s="30" t="s">
        <v>202</v>
      </c>
      <c r="AE11" s="40" t="s">
        <v>86</v>
      </c>
      <c r="AF11" s="41" t="s">
        <v>86</v>
      </c>
      <c r="AG11" s="41" t="s">
        <v>86</v>
      </c>
      <c r="AH11" s="41" t="s">
        <v>79</v>
      </c>
      <c r="AI11" s="41" t="s">
        <v>79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02FC0EEA-7CD7-4349-840B-C477AA2CD694}">
      <formula1>"ロン,ツモ,放銃,ツモ支払,流局,チョンボ"</formula1>
    </dataValidation>
    <dataValidation type="list" allowBlank="1" showInputMessage="1" showErrorMessage="1" sqref="E4:E30" xr:uid="{5C891BAD-9AD9-49A3-B091-29E9FF493BA6}">
      <formula1>$U$2:$W$2</formula1>
    </dataValidation>
    <dataValidation type="list" allowBlank="1" showInputMessage="1" sqref="F1:T1" xr:uid="{9945FF8A-C902-4492-861C-E8A3AA094F9E}">
      <formula1>"れんたろう,ともき,だいち,りくと,まっつん,たかの,のり,ただ,ぱぱ,てんちゃん,いちかわ,"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C1C20-76FE-404C-9221-74839FE9DAE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209</v>
      </c>
      <c r="L1" s="78"/>
      <c r="M1" s="78"/>
      <c r="N1" s="79"/>
      <c r="O1" s="80"/>
      <c r="P1" s="77" t="s">
        <v>210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まっつん</v>
      </c>
      <c r="W2" s="16" t="str">
        <f>$P$1</f>
        <v>たかの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200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103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199</v>
      </c>
      <c r="G5" s="9">
        <v>1500</v>
      </c>
      <c r="H5" s="9"/>
      <c r="I5" s="48"/>
      <c r="J5" s="21">
        <f t="shared" ref="J5:J30" si="2">IF(COUNTA($F5,$K5,$P5)&gt;0,J4+SUM(G5:I5),"")</f>
        <v>34500</v>
      </c>
      <c r="K5" s="8" t="s">
        <v>199</v>
      </c>
      <c r="L5" s="9">
        <v>-3000</v>
      </c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1500</v>
      </c>
      <c r="R5" s="9">
        <v>-1000</v>
      </c>
      <c r="S5" s="48"/>
      <c r="T5" s="21">
        <f t="shared" ref="T5:T30" si="4">IF(COUNTA($F5,$K5,$P5)&gt;0,T4+SUM(Q5:S5),"")</f>
        <v>37500</v>
      </c>
      <c r="U5" s="53">
        <f>IF($J5="","",ROUND(($J5-$J$3)/1000,1)+(_xlfn.RANK.AVG($J5,($J5,$O5,$T5),1)-2)*10)</f>
        <v>-0.5</v>
      </c>
      <c r="V5" s="54">
        <f>IF($O5="","",ROUND(($O5-$O$3)/1000,1)+(_xlfn.RANK.AVG($O5,($J5,$O5,$T5),1)-2)*10)</f>
        <v>-13</v>
      </c>
      <c r="W5" s="55">
        <f>IF($T5="","",ROUND(($T5-$T$3)/1000,1)+(_xlfn.RANK.AVG($T5,($J5,$O5,$T5),1)-2)*10)</f>
        <v>12.5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IF($P$1="","",$P$1)</f>
        <v>たかの</v>
      </c>
      <c r="F6" s="8" t="s">
        <v>205</v>
      </c>
      <c r="G6" s="9">
        <v>-1500</v>
      </c>
      <c r="H6" s="9"/>
      <c r="I6" s="48">
        <v>-500</v>
      </c>
      <c r="J6" s="21">
        <f t="shared" si="2"/>
        <v>32500</v>
      </c>
      <c r="K6" s="8" t="s">
        <v>204</v>
      </c>
      <c r="L6" s="9">
        <v>4000</v>
      </c>
      <c r="M6" s="9">
        <v>1000</v>
      </c>
      <c r="N6" s="48">
        <v>1000</v>
      </c>
      <c r="O6" s="21">
        <f t="shared" si="3"/>
        <v>38000</v>
      </c>
      <c r="P6" s="8" t="s">
        <v>205</v>
      </c>
      <c r="Q6" s="9">
        <v>-2500</v>
      </c>
      <c r="R6" s="9"/>
      <c r="S6" s="48">
        <v>-500</v>
      </c>
      <c r="T6" s="21">
        <f t="shared" si="4"/>
        <v>34500</v>
      </c>
      <c r="U6" s="53">
        <f>IF($J6="","",ROUND(($J6-$J$3)/1000,1)+(_xlfn.RANK.AVG($J6,($J6,$O6,$T6),1)-2)*10)</f>
        <v>-12.5</v>
      </c>
      <c r="V6" s="54">
        <f>IF($O6="","",ROUND(($O6-$O$3)/1000,1)+(_xlfn.RANK.AVG($O6,($J6,$O6,$T6),1)-2)*10)</f>
        <v>13</v>
      </c>
      <c r="W6" s="55">
        <f>IF($T6="","",ROUND(($T6-$T$3)/1000,1)+(_xlfn.RANK.AVG($T6,($J6,$O6,$T6),1)-2)*10)</f>
        <v>-0.5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203</v>
      </c>
      <c r="BA6" s="41" t="s">
        <v>82</v>
      </c>
      <c r="BB6" s="41" t="s">
        <v>208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/>
      <c r="G7" s="9"/>
      <c r="H7" s="9"/>
      <c r="I7" s="48"/>
      <c r="J7" s="21">
        <f t="shared" si="2"/>
        <v>32500</v>
      </c>
      <c r="K7" s="8" t="s">
        <v>200</v>
      </c>
      <c r="L7" s="9">
        <v>-3900</v>
      </c>
      <c r="M7" s="9"/>
      <c r="N7" s="48">
        <v>0</v>
      </c>
      <c r="O7" s="21">
        <f t="shared" si="3"/>
        <v>34100</v>
      </c>
      <c r="P7" s="8" t="s">
        <v>201</v>
      </c>
      <c r="Q7" s="9">
        <v>3900</v>
      </c>
      <c r="R7" s="9"/>
      <c r="S7" s="48">
        <v>0</v>
      </c>
      <c r="T7" s="21">
        <f t="shared" si="4"/>
        <v>38400</v>
      </c>
      <c r="U7" s="53">
        <f>IF($J7="","",ROUND(($J7-$J$3)/1000,1)+(_xlfn.RANK.AVG($J7,($J7,$O7,$T7),1)-2)*10)</f>
        <v>-12.5</v>
      </c>
      <c r="V7" s="54">
        <f>IF($O7="","",ROUND(($O7-$O$3)/1000,1)+(_xlfn.RANK.AVG($O7,($J7,$O7,$T7),1)-2)*10)</f>
        <v>-0.9</v>
      </c>
      <c r="W7" s="55">
        <f>IF($T7="","",ROUND(($T7-$T$3)/1000,1)+(_xlfn.RANK.AVG($T7,($J7,$O7,$T7),1)-2)*10)</f>
        <v>13.4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83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/>
      <c r="G8" s="9"/>
      <c r="H8" s="9"/>
      <c r="I8" s="48"/>
      <c r="J8" s="21">
        <f t="shared" si="2"/>
        <v>32500</v>
      </c>
      <c r="K8" s="8" t="s">
        <v>200</v>
      </c>
      <c r="L8" s="9">
        <v>-5200</v>
      </c>
      <c r="M8" s="9"/>
      <c r="N8" s="48">
        <v>0</v>
      </c>
      <c r="O8" s="21">
        <f t="shared" si="3"/>
        <v>28900</v>
      </c>
      <c r="P8" s="8" t="s">
        <v>201</v>
      </c>
      <c r="Q8" s="9">
        <v>5200</v>
      </c>
      <c r="R8" s="9"/>
      <c r="S8" s="48">
        <v>0</v>
      </c>
      <c r="T8" s="21">
        <f t="shared" si="4"/>
        <v>43600</v>
      </c>
      <c r="U8" s="53">
        <f>IF($J8="","",ROUND(($J8-$J$3)/1000,1)+(_xlfn.RANK.AVG($J8,($J8,$O8,$T8),1)-2)*10)</f>
        <v>-2.5</v>
      </c>
      <c r="V8" s="54">
        <f>IF($O8="","",ROUND(($O8-$O$3)/1000,1)+(_xlfn.RANK.AVG($O8,($J8,$O8,$T8),1)-2)*10)</f>
        <v>-16.100000000000001</v>
      </c>
      <c r="W8" s="55">
        <f>IF($T8="","",ROUND(($T8-$T$3)/1000,1)+(_xlfn.RANK.AVG($T8,($J8,$O8,$T8),1)-2)*10)</f>
        <v>18.600000000000001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40</v>
      </c>
      <c r="BU8" s="40" t="s">
        <v>86</v>
      </c>
      <c r="BV8" s="41" t="s">
        <v>86</v>
      </c>
      <c r="BW8" s="41" t="s">
        <v>208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204</v>
      </c>
      <c r="G9" s="9">
        <v>8000</v>
      </c>
      <c r="H9" s="9"/>
      <c r="I9" s="48">
        <v>0</v>
      </c>
      <c r="J9" s="21">
        <f t="shared" si="2"/>
        <v>40500</v>
      </c>
      <c r="K9" s="8" t="s">
        <v>205</v>
      </c>
      <c r="L9" s="9">
        <v>-3000</v>
      </c>
      <c r="M9" s="9"/>
      <c r="N9" s="48">
        <v>0</v>
      </c>
      <c r="O9" s="21">
        <f t="shared" si="3"/>
        <v>25900</v>
      </c>
      <c r="P9" s="8" t="s">
        <v>205</v>
      </c>
      <c r="Q9" s="9">
        <v>-5000</v>
      </c>
      <c r="R9" s="9"/>
      <c r="S9" s="48">
        <v>0</v>
      </c>
      <c r="T9" s="21">
        <f t="shared" si="4"/>
        <v>38600</v>
      </c>
      <c r="U9" s="53">
        <f>IF($J9="","",ROUND(($J9-$J$3)/1000,1)+(_xlfn.RANK.AVG($J9,($J9,$O9,$T9),1)-2)*10)</f>
        <v>15.5</v>
      </c>
      <c r="V9" s="54">
        <f>IF($O9="","",ROUND(($O9-$O$3)/1000,1)+(_xlfn.RANK.AVG($O9,($J9,$O9,$T9),1)-2)*10)</f>
        <v>-19.100000000000001</v>
      </c>
      <c r="W9" s="55">
        <f>IF($T9="","",ROUND(($T9-$T$3)/1000,1)+(_xlfn.RANK.AVG($T9,($J9,$O9,$T9),1)-2)*10)</f>
        <v>3.6</v>
      </c>
      <c r="Y9" s="8"/>
      <c r="Z9" s="34"/>
      <c r="AA9" s="26"/>
      <c r="AB9" s="26"/>
      <c r="AC9" s="26">
        <v>5</v>
      </c>
      <c r="AD9" s="30" t="s">
        <v>202</v>
      </c>
      <c r="AE9" s="40" t="s">
        <v>82</v>
      </c>
      <c r="AF9" s="41" t="s">
        <v>86</v>
      </c>
      <c r="AG9" s="41" t="s">
        <v>86</v>
      </c>
      <c r="AH9" s="41" t="s">
        <v>208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EE994F1-E41B-4886-94AF-94D7BA4A035D}">
      <formula1>"れんたろう,ともき,だいち,りくと,まっつん,たかの,のり,ただ,ぱぱ,てんちゃん,いちかわ,"</formula1>
    </dataValidation>
    <dataValidation type="list" allowBlank="1" showInputMessage="1" showErrorMessage="1" sqref="E4:E30" xr:uid="{E550983E-4D2E-4700-8C18-CF6B92D6A34C}">
      <formula1>$U$2:$W$2</formula1>
    </dataValidation>
    <dataValidation type="list" showInputMessage="1" showErrorMessage="1" sqref="K4:K30 P4:P30 F4:F30" xr:uid="{407D9EFA-94A2-492B-A2AC-A84AAE364CF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B816-ECE9-4C48-BEBA-4E8158F18C35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210</v>
      </c>
      <c r="G1" s="78"/>
      <c r="H1" s="78"/>
      <c r="I1" s="79"/>
      <c r="J1" s="80"/>
      <c r="K1" s="77" t="s">
        <v>209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たかの</v>
      </c>
      <c r="V2" s="76" t="str">
        <f>$K$1</f>
        <v>まっつん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200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201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208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205</v>
      </c>
      <c r="G5" s="9">
        <v>-800</v>
      </c>
      <c r="H5" s="9"/>
      <c r="I5" s="48">
        <v>0</v>
      </c>
      <c r="J5" s="21">
        <f t="shared" ref="J5:J30" si="2">IF(COUNTA($F5,$K5,$P5)&gt;0,J4+SUM(G5:I5),"")</f>
        <v>32200</v>
      </c>
      <c r="K5" s="8" t="s">
        <v>204</v>
      </c>
      <c r="L5" s="9">
        <v>1600</v>
      </c>
      <c r="M5" s="9"/>
      <c r="N5" s="48">
        <v>0</v>
      </c>
      <c r="O5" s="21">
        <f t="shared" ref="O5:O30" si="3">IF(COUNTA($F5,$K5,$P5)&gt;0,O4+SUM(L5:N5),"")</f>
        <v>38600</v>
      </c>
      <c r="P5" s="8" t="s">
        <v>205</v>
      </c>
      <c r="Q5" s="9">
        <v>-800</v>
      </c>
      <c r="R5" s="9"/>
      <c r="S5" s="48">
        <v>0</v>
      </c>
      <c r="T5" s="21">
        <f t="shared" ref="T5:T30" si="4">IF(COUNTA($F5,$K5,$P5)&gt;0,T4+SUM(Q5:S5),"")</f>
        <v>34200</v>
      </c>
      <c r="U5" s="53">
        <f>IF($J5="","",ROUND(($J5-$J$3)/1000,1)+(_xlfn.RANK.AVG($J5,($J5,$O5,$T5),1)-2)*10)</f>
        <v>-12.8</v>
      </c>
      <c r="V5" s="54">
        <f>IF($O5="","",ROUND(($O5-$O$3)/1000,1)+(_xlfn.RANK.AVG($O5,($J5,$O5,$T5),1)-2)*10)</f>
        <v>13.6</v>
      </c>
      <c r="W5" s="55">
        <f>IF($T5="","",ROUND(($T5-$T$3)/1000,1)+(_xlfn.RANK.AVG($T5,($J5,$O5,$T5),1)-2)*10)</f>
        <v>-0.8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30</v>
      </c>
      <c r="AZ5" s="40" t="s">
        <v>82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まっつん</v>
      </c>
      <c r="F6" s="8" t="s">
        <v>200</v>
      </c>
      <c r="G6" s="9">
        <v>-24000</v>
      </c>
      <c r="H6" s="9"/>
      <c r="I6" s="48">
        <v>-1000</v>
      </c>
      <c r="J6" s="21">
        <f t="shared" si="2"/>
        <v>7200</v>
      </c>
      <c r="K6" s="8" t="s">
        <v>201</v>
      </c>
      <c r="L6" s="9">
        <v>24000</v>
      </c>
      <c r="M6" s="9"/>
      <c r="N6" s="48">
        <v>1000</v>
      </c>
      <c r="O6" s="21">
        <f t="shared" si="3"/>
        <v>63600</v>
      </c>
      <c r="P6" s="8"/>
      <c r="Q6" s="9"/>
      <c r="R6" s="9"/>
      <c r="S6" s="48"/>
      <c r="T6" s="21">
        <f t="shared" si="4"/>
        <v>34200</v>
      </c>
      <c r="U6" s="53">
        <f>IF($J6="","",ROUND(($J6-$J$3)/1000,1)+(_xlfn.RANK.AVG($J6,($J6,$O6,$T6),1)-2)*10)</f>
        <v>-37.799999999999997</v>
      </c>
      <c r="V6" s="54">
        <f>IF($O6="","",ROUND(($O6-$O$3)/1000,1)+(_xlfn.RANK.AVG($O6,($J6,$O6,$T6),1)-2)*10)</f>
        <v>38.6</v>
      </c>
      <c r="W6" s="55">
        <f>IF($T6="","",ROUND(($T6-$T$3)/1000,1)+(_xlfn.RANK.AVG($T6,($J6,$O6,$T6),1)-2)*10)</f>
        <v>-0.8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9</v>
      </c>
      <c r="AY6" s="30" t="s">
        <v>202</v>
      </c>
      <c r="AZ6" s="40" t="s">
        <v>106</v>
      </c>
      <c r="BA6" s="41" t="s">
        <v>79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まっつん</v>
      </c>
      <c r="F7" s="8" t="s">
        <v>205</v>
      </c>
      <c r="G7" s="9">
        <v>-1100</v>
      </c>
      <c r="H7" s="9"/>
      <c r="I7" s="48">
        <v>-1000</v>
      </c>
      <c r="J7" s="21">
        <f t="shared" si="2"/>
        <v>5100</v>
      </c>
      <c r="K7" s="8" t="s">
        <v>205</v>
      </c>
      <c r="L7" s="9">
        <v>-1700</v>
      </c>
      <c r="M7" s="9"/>
      <c r="N7" s="48">
        <v>-1000</v>
      </c>
      <c r="O7" s="21">
        <f t="shared" si="3"/>
        <v>60900</v>
      </c>
      <c r="P7" s="8" t="s">
        <v>204</v>
      </c>
      <c r="Q7" s="9">
        <v>2800</v>
      </c>
      <c r="R7" s="9"/>
      <c r="S7" s="48">
        <v>2000</v>
      </c>
      <c r="T7" s="21">
        <f t="shared" si="4"/>
        <v>39000</v>
      </c>
      <c r="U7" s="53">
        <f>IF($J7="","",ROUND(($J7-$J$3)/1000,1)+(_xlfn.RANK.AVG($J7,($J7,$O7,$T7),1)-2)*10)</f>
        <v>-39.9</v>
      </c>
      <c r="V7" s="54">
        <f>IF($O7="","",ROUND(($O7-$O$3)/1000,1)+(_xlfn.RANK.AVG($O7,($J7,$O7,$T7),1)-2)*10)</f>
        <v>35.9</v>
      </c>
      <c r="W7" s="55">
        <f>IF($T7="","",ROUND(($T7-$T$3)/1000,1)+(_xlfn.RANK.AVG($T7,($J7,$O7,$T7),1)-2)*10)</f>
        <v>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20</v>
      </c>
      <c r="BU7" s="40" t="s">
        <v>203</v>
      </c>
      <c r="BV7" s="41" t="s">
        <v>82</v>
      </c>
      <c r="BW7" s="41" t="s">
        <v>83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204</v>
      </c>
      <c r="G8" s="9">
        <v>8000</v>
      </c>
      <c r="H8" s="9"/>
      <c r="I8" s="48">
        <v>0</v>
      </c>
      <c r="J8" s="21">
        <f t="shared" si="2"/>
        <v>13100</v>
      </c>
      <c r="K8" s="8" t="s">
        <v>205</v>
      </c>
      <c r="L8" s="9">
        <v>-3000</v>
      </c>
      <c r="M8" s="9"/>
      <c r="N8" s="48">
        <v>0</v>
      </c>
      <c r="O8" s="21">
        <f t="shared" si="3"/>
        <v>57900</v>
      </c>
      <c r="P8" s="8" t="s">
        <v>205</v>
      </c>
      <c r="Q8" s="9">
        <v>-5000</v>
      </c>
      <c r="R8" s="9"/>
      <c r="S8" s="48">
        <v>0</v>
      </c>
      <c r="T8" s="21">
        <f t="shared" si="4"/>
        <v>34000</v>
      </c>
      <c r="U8" s="53">
        <f>IF($J8="","",ROUND(($J8-$J$3)/1000,1)+(_xlfn.RANK.AVG($J8,($J8,$O8,$T8),1)-2)*10)</f>
        <v>-31.9</v>
      </c>
      <c r="V8" s="54">
        <f>IF($O8="","",ROUND(($O8-$O$3)/1000,1)+(_xlfn.RANK.AVG($O8,($J8,$O8,$T8),1)-2)*10)</f>
        <v>32.9</v>
      </c>
      <c r="W8" s="55">
        <f>IF($T8="","",ROUND(($T8-$T$3)/1000,1)+(_xlfn.RANK.AVG($T8,($J8,$O8,$T8),1)-2)*10)</f>
        <v>-1</v>
      </c>
      <c r="Y8" s="8"/>
      <c r="Z8" s="34"/>
      <c r="AA8" s="26">
        <v>1</v>
      </c>
      <c r="AB8" s="26"/>
      <c r="AC8" s="26">
        <v>5</v>
      </c>
      <c r="AD8" s="30" t="s">
        <v>202</v>
      </c>
      <c r="AE8" s="40" t="s">
        <v>203</v>
      </c>
      <c r="AF8" s="41" t="s">
        <v>82</v>
      </c>
      <c r="AG8" s="41" t="s">
        <v>79</v>
      </c>
      <c r="AH8" s="41" t="s">
        <v>208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たかの</v>
      </c>
      <c r="F9" s="8"/>
      <c r="G9" s="9"/>
      <c r="H9" s="9"/>
      <c r="I9" s="48"/>
      <c r="J9" s="21">
        <f t="shared" si="2"/>
        <v>13100</v>
      </c>
      <c r="K9" s="8" t="s">
        <v>200</v>
      </c>
      <c r="L9" s="9">
        <v>-7700</v>
      </c>
      <c r="M9" s="9"/>
      <c r="N9" s="48">
        <v>0</v>
      </c>
      <c r="O9" s="21">
        <f t="shared" si="3"/>
        <v>50200</v>
      </c>
      <c r="P9" s="8" t="s">
        <v>201</v>
      </c>
      <c r="Q9" s="9">
        <v>7700</v>
      </c>
      <c r="R9" s="9"/>
      <c r="S9" s="48">
        <v>0</v>
      </c>
      <c r="T9" s="21">
        <f t="shared" si="4"/>
        <v>41700</v>
      </c>
      <c r="U9" s="53">
        <f>IF($J9="","",ROUND(($J9-$J$3)/1000,1)+(_xlfn.RANK.AVG($J9,($J9,$O9,$T9),1)-2)*10)</f>
        <v>-31.9</v>
      </c>
      <c r="V9" s="54">
        <f>IF($O9="","",ROUND(($O9-$O$3)/1000,1)+(_xlfn.RANK.AVG($O9,($J9,$O9,$T9),1)-2)*10)</f>
        <v>25.2</v>
      </c>
      <c r="W9" s="55">
        <f>IF($T9="","",ROUND(($T9-$T$3)/1000,1)+(_xlfn.RANK.AVG($T9,($J9,$O9,$T9),1)-2)*10)</f>
        <v>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104</v>
      </c>
      <c r="BV9" s="41" t="s">
        <v>86</v>
      </c>
      <c r="BW9" s="41" t="s">
        <v>208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/>
      <c r="G10" s="9"/>
      <c r="H10" s="9"/>
      <c r="I10" s="48"/>
      <c r="J10" s="21">
        <f t="shared" si="2"/>
        <v>13100</v>
      </c>
      <c r="K10" s="8" t="s">
        <v>201</v>
      </c>
      <c r="L10" s="9">
        <v>11600</v>
      </c>
      <c r="M10" s="9"/>
      <c r="N10" s="48">
        <v>0</v>
      </c>
      <c r="O10" s="21">
        <f t="shared" si="3"/>
        <v>61800</v>
      </c>
      <c r="P10" s="8" t="s">
        <v>200</v>
      </c>
      <c r="Q10" s="9">
        <v>-11600</v>
      </c>
      <c r="R10" s="9"/>
      <c r="S10" s="48">
        <v>0</v>
      </c>
      <c r="T10" s="21">
        <f t="shared" si="4"/>
        <v>30100</v>
      </c>
      <c r="U10" s="53">
        <f>IF($J10="","",ROUND(($J10-$J$3)/1000,1)+(_xlfn.RANK.AVG($J10,($J10,$O10,$T10),1)-2)*10)</f>
        <v>-31.9</v>
      </c>
      <c r="V10" s="54">
        <f>IF($O10="","",ROUND(($O10-$O$3)/1000,1)+(_xlfn.RANK.AVG($O10,($J10,$O10,$T10),1)-2)*10)</f>
        <v>36.799999999999997</v>
      </c>
      <c r="W10" s="55">
        <f>IF($T10="","",ROUND(($T10-$T$3)/1000,1)+(_xlfn.RANK.AVG($T10,($J10,$O10,$T10),1)-2)*10)</f>
        <v>-4.9000000000000004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104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まっつん</v>
      </c>
      <c r="F11" s="8" t="s">
        <v>201</v>
      </c>
      <c r="G11" s="9">
        <v>5200</v>
      </c>
      <c r="H11" s="9">
        <v>1000</v>
      </c>
      <c r="I11" s="48">
        <v>1000</v>
      </c>
      <c r="J11" s="21">
        <f t="shared" si="2"/>
        <v>20300</v>
      </c>
      <c r="K11" s="8"/>
      <c r="L11" s="9"/>
      <c r="M11" s="9"/>
      <c r="N11" s="48"/>
      <c r="O11" s="21">
        <f t="shared" si="3"/>
        <v>61800</v>
      </c>
      <c r="P11" s="8" t="s">
        <v>200</v>
      </c>
      <c r="Q11" s="9">
        <v>-5200</v>
      </c>
      <c r="R11" s="9">
        <v>-1000</v>
      </c>
      <c r="S11" s="48">
        <v>-1000</v>
      </c>
      <c r="T11" s="21">
        <f t="shared" si="4"/>
        <v>22900</v>
      </c>
      <c r="U11" s="53">
        <f>IF($J11="","",ROUND(($J11-$J$3)/1000,1)+(_xlfn.RANK.AVG($J11,($J11,$O11,$T11),1)-2)*10)</f>
        <v>-24.7</v>
      </c>
      <c r="V11" s="54">
        <f>IF($O11="","",ROUND(($O11-$O$3)/1000,1)+(_xlfn.RANK.AVG($O11,($J11,$O11,$T11),1)-2)*10)</f>
        <v>36.799999999999997</v>
      </c>
      <c r="W11" s="55">
        <f>IF($T11="","",ROUND(($T11-$T$3)/1000,1)+(_xlfn.RANK.AVG($T11,($J11,$O11,$T11),1)-2)*10)</f>
        <v>-12.1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203</v>
      </c>
      <c r="AF11" s="41" t="s">
        <v>85</v>
      </c>
      <c r="AG11" s="41" t="s">
        <v>208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200</v>
      </c>
      <c r="G12" s="9">
        <v>-3900</v>
      </c>
      <c r="H12" s="9">
        <v>-1000</v>
      </c>
      <c r="I12" s="48">
        <v>0</v>
      </c>
      <c r="J12" s="21">
        <f t="shared" si="2"/>
        <v>15400</v>
      </c>
      <c r="K12" s="8"/>
      <c r="L12" s="9"/>
      <c r="M12" s="9"/>
      <c r="N12" s="48"/>
      <c r="O12" s="21">
        <f t="shared" si="3"/>
        <v>61800</v>
      </c>
      <c r="P12" s="8" t="s">
        <v>201</v>
      </c>
      <c r="Q12" s="9">
        <v>3900</v>
      </c>
      <c r="R12" s="9">
        <v>1000</v>
      </c>
      <c r="S12" s="48">
        <v>0</v>
      </c>
      <c r="T12" s="21">
        <f t="shared" si="4"/>
        <v>27800</v>
      </c>
      <c r="U12" s="53">
        <f>IF($J12="","",ROUND(($J12-$J$3)/1000,1)+(_xlfn.RANK.AVG($J12,($J12,$O12,$T12),1)-2)*10)</f>
        <v>-29.6</v>
      </c>
      <c r="V12" s="54">
        <f>IF($O12="","",ROUND(($O12-$O$3)/1000,1)+(_xlfn.RANK.AVG($O12,($J12,$O12,$T12),1)-2)*10)</f>
        <v>36.799999999999997</v>
      </c>
      <c r="W12" s="55">
        <f>IF($T12="","",ROUND(($T12-$T$3)/1000,1)+(_xlfn.RANK.AVG($T12,($J12,$O12,$T12),1)-2)*10)</f>
        <v>-7.2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2</v>
      </c>
      <c r="BT12" s="30">
        <v>40</v>
      </c>
      <c r="BU12" s="40" t="s">
        <v>203</v>
      </c>
      <c r="BV12" s="41" t="s">
        <v>208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だいち</v>
      </c>
      <c r="F13" s="8" t="s">
        <v>204</v>
      </c>
      <c r="G13" s="9">
        <v>16000</v>
      </c>
      <c r="H13" s="9"/>
      <c r="I13" s="48">
        <v>1000</v>
      </c>
      <c r="J13" s="21">
        <f t="shared" si="2"/>
        <v>32400</v>
      </c>
      <c r="K13" s="8" t="s">
        <v>205</v>
      </c>
      <c r="L13" s="9">
        <v>-6000</v>
      </c>
      <c r="M13" s="9"/>
      <c r="N13" s="48">
        <v>-500</v>
      </c>
      <c r="O13" s="21">
        <f t="shared" si="3"/>
        <v>55300</v>
      </c>
      <c r="P13" s="8" t="s">
        <v>205</v>
      </c>
      <c r="Q13" s="9">
        <v>-10000</v>
      </c>
      <c r="R13" s="9"/>
      <c r="S13" s="48">
        <v>-500</v>
      </c>
      <c r="T13" s="21">
        <f t="shared" si="4"/>
        <v>17300</v>
      </c>
      <c r="U13" s="53">
        <f>IF($J13="","",ROUND(($J13-$J$3)/1000,1)+(_xlfn.RANK.AVG($J13,($J13,$O13,$T13),1)-2)*10)</f>
        <v>-2.6</v>
      </c>
      <c r="V13" s="54">
        <f>IF($O13="","",ROUND(($O13-$O$3)/1000,1)+(_xlfn.RANK.AVG($O13,($J13,$O13,$T13),1)-2)*10)</f>
        <v>30.3</v>
      </c>
      <c r="W13" s="55">
        <f>IF($T13="","",ROUND(($T13-$T$3)/1000,1)+(_xlfn.RANK.AVG($T13,($J13,$O13,$T13),1)-2)*10)</f>
        <v>-27.7</v>
      </c>
      <c r="Y13" s="8"/>
      <c r="Z13" s="34"/>
      <c r="AA13" s="26"/>
      <c r="AB13" s="26"/>
      <c r="AC13" s="26">
        <v>9</v>
      </c>
      <c r="AD13" s="30" t="s">
        <v>202</v>
      </c>
      <c r="AE13" s="40" t="s">
        <v>82</v>
      </c>
      <c r="AF13" s="41" t="s">
        <v>83</v>
      </c>
      <c r="AG13" s="41" t="s">
        <v>106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たかの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B7D8BFE7-CF71-4A88-9169-10855357CA42}">
      <formula1>"ロン,ツモ,放銃,ツモ支払,流局,チョンボ"</formula1>
    </dataValidation>
    <dataValidation type="list" allowBlank="1" showInputMessage="1" showErrorMessage="1" sqref="E4:E30" xr:uid="{8EA8A678-DE92-46DE-9F21-D33E4AF9CB35}">
      <formula1>$U$2:$W$2</formula1>
    </dataValidation>
    <dataValidation type="list" allowBlank="1" showInputMessage="1" sqref="F1:T1" xr:uid="{B994ED72-3A0D-452E-B296-D97BEFF6FE0A}">
      <formula1>"れんたろう,ともき,だいち,りくと,まっつん,たかの,のり,ただ,ぱぱ,てんちゃん,いちかわ,"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2020-07-28T14:01:43Z</dcterms:modified>
</cp:coreProperties>
</file>