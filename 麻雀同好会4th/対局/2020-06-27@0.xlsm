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EE737CE4-C18B-4F8D-A6A6-1E1C5FED17B8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1" i="21" l="1"/>
  <c r="T11" i="22"/>
  <c r="O11" i="21" l="1"/>
  <c r="O11" i="22"/>
  <c r="J11" i="21" l="1"/>
  <c r="J11" i="22"/>
  <c r="E13" i="22" l="1"/>
  <c r="E12" i="22"/>
  <c r="U11" i="22"/>
  <c r="A11" i="21"/>
  <c r="B11" i="21"/>
  <c r="C11" i="21"/>
  <c r="D11" i="21"/>
  <c r="W11" i="21"/>
  <c r="U11" i="21"/>
  <c r="V11" i="21"/>
  <c r="A12" i="21"/>
  <c r="B12" i="21"/>
  <c r="C12" i="21"/>
  <c r="D12" i="21"/>
  <c r="J12" i="21"/>
  <c r="U12" i="21" s="1"/>
  <c r="O12" i="21"/>
  <c r="V12" i="21" s="1"/>
  <c r="T12" i="21"/>
  <c r="W12" i="21" s="1"/>
  <c r="A13" i="21"/>
  <c r="B13" i="21"/>
  <c r="C13" i="21"/>
  <c r="D13" i="21"/>
  <c r="J13" i="21"/>
  <c r="U13" i="21" s="1"/>
  <c r="O13" i="21"/>
  <c r="V13" i="21" s="1"/>
  <c r="T13" i="21"/>
  <c r="W13" i="21" s="1"/>
  <c r="A14" i="21"/>
  <c r="B14" i="21"/>
  <c r="C14" i="21"/>
  <c r="D14" i="21"/>
  <c r="J14" i="21"/>
  <c r="U14" i="21" s="1"/>
  <c r="O14" i="21"/>
  <c r="V14" i="21" s="1"/>
  <c r="T14" i="21"/>
  <c r="W14" i="21" s="1"/>
  <c r="A15" i="21"/>
  <c r="B15" i="21"/>
  <c r="C15" i="21"/>
  <c r="D15" i="21"/>
  <c r="J15" i="21"/>
  <c r="U15" i="21" s="1"/>
  <c r="O15" i="21"/>
  <c r="V15" i="21" s="1"/>
  <c r="T15" i="21"/>
  <c r="W15" i="21" s="1"/>
  <c r="A16" i="21"/>
  <c r="B16" i="21"/>
  <c r="C16" i="21"/>
  <c r="D16" i="21"/>
  <c r="J16" i="21"/>
  <c r="U16" i="21" s="1"/>
  <c r="O16" i="21"/>
  <c r="V16" i="21" s="1"/>
  <c r="T16" i="21"/>
  <c r="W16" i="21" s="1"/>
  <c r="A17" i="21"/>
  <c r="B17" i="21"/>
  <c r="C17" i="21"/>
  <c r="D17" i="21"/>
  <c r="J17" i="21"/>
  <c r="U17" i="21" s="1"/>
  <c r="O17" i="21"/>
  <c r="T17" i="21"/>
  <c r="W17" i="21" s="1"/>
  <c r="V17" i="21"/>
  <c r="A18" i="21"/>
  <c r="B18" i="21"/>
  <c r="C18" i="21"/>
  <c r="D18" i="21"/>
  <c r="J18" i="21"/>
  <c r="U18" i="21" s="1"/>
  <c r="O18" i="21"/>
  <c r="T18" i="21"/>
  <c r="W18" i="21" s="1"/>
  <c r="V18" i="21"/>
  <c r="A19" i="21"/>
  <c r="B19" i="21"/>
  <c r="C19" i="21"/>
  <c r="D19" i="21"/>
  <c r="J19" i="21"/>
  <c r="U19" i="21" s="1"/>
  <c r="O19" i="21"/>
  <c r="T19" i="21"/>
  <c r="W19" i="21" s="1"/>
  <c r="V19" i="21"/>
  <c r="A20" i="21"/>
  <c r="B20" i="21"/>
  <c r="C20" i="21"/>
  <c r="D20" i="21"/>
  <c r="J20" i="21"/>
  <c r="U20" i="21" s="1"/>
  <c r="O20" i="21"/>
  <c r="V20" i="21" s="1"/>
  <c r="T20" i="21"/>
  <c r="W20" i="21" s="1"/>
  <c r="A21" i="21"/>
  <c r="B21" i="21"/>
  <c r="C21" i="21"/>
  <c r="D21" i="21"/>
  <c r="J21" i="21"/>
  <c r="U21" i="21" s="1"/>
  <c r="O21" i="21"/>
  <c r="T21" i="21"/>
  <c r="V21" i="21"/>
  <c r="W21" i="21"/>
  <c r="A22" i="21"/>
  <c r="B22" i="21"/>
  <c r="C22" i="21"/>
  <c r="D22" i="21"/>
  <c r="J22" i="21"/>
  <c r="U22" i="21" s="1"/>
  <c r="O22" i="21"/>
  <c r="T22" i="21"/>
  <c r="W22" i="21" s="1"/>
  <c r="V22" i="21"/>
  <c r="A23" i="21"/>
  <c r="B23" i="21"/>
  <c r="C23" i="21"/>
  <c r="D23" i="21"/>
  <c r="J23" i="21"/>
  <c r="U23" i="21" s="1"/>
  <c r="O23" i="21"/>
  <c r="V23" i="21" s="1"/>
  <c r="T23" i="21"/>
  <c r="W23" i="21" s="1"/>
  <c r="A24" i="21"/>
  <c r="B24" i="21"/>
  <c r="C24" i="21"/>
  <c r="D24" i="21"/>
  <c r="J24" i="21"/>
  <c r="U24" i="21" s="1"/>
  <c r="O24" i="21"/>
  <c r="V24" i="21" s="1"/>
  <c r="T24" i="21"/>
  <c r="W24" i="21" s="1"/>
  <c r="A25" i="21"/>
  <c r="B25" i="21"/>
  <c r="C25" i="21"/>
  <c r="D25" i="21"/>
  <c r="J25" i="21"/>
  <c r="U25" i="21" s="1"/>
  <c r="O25" i="21"/>
  <c r="V25" i="21" s="1"/>
  <c r="T25" i="21"/>
  <c r="W25" i="21" s="1"/>
  <c r="A26" i="21"/>
  <c r="B26" i="21"/>
  <c r="C26" i="21"/>
  <c r="D26" i="21"/>
  <c r="J26" i="21"/>
  <c r="U26" i="21" s="1"/>
  <c r="O26" i="21"/>
  <c r="V26" i="21" s="1"/>
  <c r="T26" i="21"/>
  <c r="W26" i="21" s="1"/>
  <c r="A27" i="21"/>
  <c r="B27" i="21"/>
  <c r="C27" i="21"/>
  <c r="D27" i="21"/>
  <c r="J27" i="21"/>
  <c r="U27" i="21" s="1"/>
  <c r="O27" i="21"/>
  <c r="T27" i="21"/>
  <c r="W27" i="21" s="1"/>
  <c r="V27" i="21"/>
  <c r="A28" i="21"/>
  <c r="B28" i="21"/>
  <c r="C28" i="21"/>
  <c r="D28" i="21"/>
  <c r="J28" i="21"/>
  <c r="U28" i="21" s="1"/>
  <c r="O28" i="21"/>
  <c r="V28" i="21" s="1"/>
  <c r="T28" i="21"/>
  <c r="W28" i="21" s="1"/>
  <c r="A29" i="21"/>
  <c r="B29" i="21"/>
  <c r="C29" i="21"/>
  <c r="D29" i="21"/>
  <c r="J29" i="21"/>
  <c r="U29" i="21" s="1"/>
  <c r="O29" i="21"/>
  <c r="V29" i="21" s="1"/>
  <c r="T29" i="21"/>
  <c r="W29" i="21" s="1"/>
  <c r="E11" i="22"/>
  <c r="B11" i="22" s="1"/>
  <c r="A11" i="22" s="1"/>
  <c r="D12" i="22"/>
  <c r="D14" i="22"/>
  <c r="D16" i="22"/>
  <c r="D17" i="22"/>
  <c r="D20" i="22"/>
  <c r="D22" i="22"/>
  <c r="D24" i="22"/>
  <c r="D25" i="22"/>
  <c r="D28" i="22"/>
  <c r="E10" i="22"/>
  <c r="E9" i="22"/>
  <c r="E8" i="22"/>
  <c r="E7" i="22"/>
  <c r="E6" i="22"/>
  <c r="E5" i="22"/>
  <c r="T29" i="22"/>
  <c r="W29" i="22" s="1"/>
  <c r="O29" i="22"/>
  <c r="V29" i="22" s="1"/>
  <c r="J29" i="22"/>
  <c r="U29" i="22" s="1"/>
  <c r="T28" i="22"/>
  <c r="W28" i="22" s="1"/>
  <c r="O28" i="22"/>
  <c r="V28" i="22" s="1"/>
  <c r="J28" i="22"/>
  <c r="U28" i="22" s="1"/>
  <c r="T27" i="22"/>
  <c r="W27" i="22" s="1"/>
  <c r="O27" i="22"/>
  <c r="V27" i="22" s="1"/>
  <c r="J27" i="22"/>
  <c r="U27" i="22" s="1"/>
  <c r="T26" i="22"/>
  <c r="W26" i="22" s="1"/>
  <c r="O26" i="22"/>
  <c r="V26" i="22" s="1"/>
  <c r="J26" i="22"/>
  <c r="U26" i="22" s="1"/>
  <c r="T25" i="22"/>
  <c r="W25" i="22" s="1"/>
  <c r="O25" i="22"/>
  <c r="V25" i="22" s="1"/>
  <c r="J25" i="22"/>
  <c r="U25" i="22" s="1"/>
  <c r="T24" i="22"/>
  <c r="W24" i="22" s="1"/>
  <c r="O24" i="22"/>
  <c r="V24" i="22" s="1"/>
  <c r="J24" i="22"/>
  <c r="U24" i="22" s="1"/>
  <c r="T23" i="22"/>
  <c r="W23" i="22" s="1"/>
  <c r="O23" i="22"/>
  <c r="V23" i="22" s="1"/>
  <c r="J23" i="22"/>
  <c r="U23" i="22" s="1"/>
  <c r="T22" i="22"/>
  <c r="W22" i="22" s="1"/>
  <c r="O22" i="22"/>
  <c r="V22" i="22" s="1"/>
  <c r="J22" i="22"/>
  <c r="U22" i="22" s="1"/>
  <c r="T21" i="22"/>
  <c r="W21" i="22" s="1"/>
  <c r="O21" i="22"/>
  <c r="V21" i="22" s="1"/>
  <c r="J21" i="22"/>
  <c r="U21" i="22" s="1"/>
  <c r="T20" i="22"/>
  <c r="W20" i="22" s="1"/>
  <c r="O20" i="22"/>
  <c r="V20" i="22" s="1"/>
  <c r="J20" i="22"/>
  <c r="U20" i="22" s="1"/>
  <c r="T19" i="22"/>
  <c r="W19" i="22" s="1"/>
  <c r="O19" i="22"/>
  <c r="V19" i="22" s="1"/>
  <c r="J19" i="22"/>
  <c r="U19" i="22" s="1"/>
  <c r="T18" i="22"/>
  <c r="W18" i="22" s="1"/>
  <c r="O18" i="22"/>
  <c r="V18" i="22" s="1"/>
  <c r="J18" i="22"/>
  <c r="U18" i="22" s="1"/>
  <c r="T17" i="22"/>
  <c r="W17" i="22" s="1"/>
  <c r="O17" i="22"/>
  <c r="V17" i="22" s="1"/>
  <c r="J17" i="22"/>
  <c r="U17" i="22" s="1"/>
  <c r="T16" i="22"/>
  <c r="W16" i="22" s="1"/>
  <c r="O16" i="22"/>
  <c r="V16" i="22" s="1"/>
  <c r="J16" i="22"/>
  <c r="U16" i="22" s="1"/>
  <c r="T15" i="22"/>
  <c r="W15" i="22" s="1"/>
  <c r="O15" i="22"/>
  <c r="V15" i="22" s="1"/>
  <c r="J15" i="22"/>
  <c r="U15" i="22" s="1"/>
  <c r="T14" i="22"/>
  <c r="W14" i="22" s="1"/>
  <c r="O14" i="22"/>
  <c r="V14" i="22" s="1"/>
  <c r="J14" i="22"/>
  <c r="U14" i="22" s="1"/>
  <c r="T13" i="22"/>
  <c r="W13" i="22" s="1"/>
  <c r="O13" i="22"/>
  <c r="V13" i="22" s="1"/>
  <c r="J13" i="22"/>
  <c r="U13" i="22" s="1"/>
  <c r="T12" i="22"/>
  <c r="O12" i="22"/>
  <c r="J12" i="22"/>
  <c r="W11" i="22"/>
  <c r="V11" i="22"/>
  <c r="D10" i="22"/>
  <c r="D9" i="22"/>
  <c r="C9" i="22"/>
  <c r="D7" i="22"/>
  <c r="D6" i="22"/>
  <c r="C6" i="22"/>
  <c r="T5" i="22"/>
  <c r="T6" i="22" s="1"/>
  <c r="O5" i="22"/>
  <c r="O6" i="22" s="1"/>
  <c r="J5" i="22"/>
  <c r="D5" i="22"/>
  <c r="T4" i="22"/>
  <c r="O4" i="22"/>
  <c r="J4" i="22"/>
  <c r="E4" i="22"/>
  <c r="C5" i="22" s="1"/>
  <c r="W3" i="22"/>
  <c r="V3" i="22"/>
  <c r="U3" i="22"/>
  <c r="W2" i="22"/>
  <c r="V2" i="22"/>
  <c r="U2" i="22"/>
  <c r="BO1" i="22"/>
  <c r="AT1" i="22"/>
  <c r="Y1" i="22"/>
  <c r="W12" i="22" l="1"/>
  <c r="V12" i="22"/>
  <c r="U12" i="22"/>
  <c r="D15" i="22"/>
  <c r="D26" i="22"/>
  <c r="D18" i="22"/>
  <c r="B12" i="22"/>
  <c r="A12" i="22" s="1"/>
  <c r="D23" i="22"/>
  <c r="D29" i="22"/>
  <c r="D21" i="22"/>
  <c r="D13" i="22"/>
  <c r="D27" i="22"/>
  <c r="D19" i="22"/>
  <c r="B13" i="22"/>
  <c r="D11" i="22"/>
  <c r="C11" i="22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10" i="22"/>
  <c r="V4" i="22"/>
  <c r="W4" i="22"/>
  <c r="U4" i="22"/>
  <c r="W5" i="22"/>
  <c r="O7" i="22"/>
  <c r="T7" i="22"/>
  <c r="U5" i="22"/>
  <c r="J6" i="22"/>
  <c r="C7" i="22"/>
  <c r="B5" i="22"/>
  <c r="A5" i="22" s="1"/>
  <c r="V5" i="22"/>
  <c r="C8" i="22"/>
  <c r="D8" i="22"/>
  <c r="E9" i="21"/>
  <c r="D9" i="21" s="1"/>
  <c r="E8" i="21"/>
  <c r="E7" i="21"/>
  <c r="D7" i="21" s="1"/>
  <c r="E6" i="21"/>
  <c r="C6" i="21" s="1"/>
  <c r="E5" i="21"/>
  <c r="D5" i="21" s="1"/>
  <c r="T5" i="21"/>
  <c r="T6" i="21" s="1"/>
  <c r="J5" i="21"/>
  <c r="J6" i="21" s="1"/>
  <c r="T4" i="21"/>
  <c r="O4" i="21"/>
  <c r="O5" i="21" s="1"/>
  <c r="J4" i="21"/>
  <c r="U4" i="21" s="1"/>
  <c r="E4" i="21"/>
  <c r="W3" i="21"/>
  <c r="V3" i="21"/>
  <c r="U3" i="21"/>
  <c r="W2" i="21"/>
  <c r="V2" i="21"/>
  <c r="U2" i="21"/>
  <c r="BO1" i="21"/>
  <c r="AT1" i="21"/>
  <c r="Y1" i="21"/>
  <c r="B14" i="22" l="1"/>
  <c r="A14" i="22" s="1"/>
  <c r="A13" i="22"/>
  <c r="D10" i="21"/>
  <c r="O8" i="22"/>
  <c r="B6" i="22"/>
  <c r="A6" i="22" s="1"/>
  <c r="J7" i="22"/>
  <c r="W7" i="22" s="1"/>
  <c r="U6" i="22"/>
  <c r="V6" i="22"/>
  <c r="W6" i="22"/>
  <c r="T8" i="22"/>
  <c r="B5" i="21"/>
  <c r="A5" i="21" s="1"/>
  <c r="C5" i="21"/>
  <c r="W4" i="21"/>
  <c r="J7" i="21"/>
  <c r="T7" i="21"/>
  <c r="O6" i="21"/>
  <c r="V5" i="21"/>
  <c r="D8" i="21"/>
  <c r="V4" i="21"/>
  <c r="D6" i="21"/>
  <c r="C9" i="21"/>
  <c r="C10" i="21" s="1"/>
  <c r="U5" i="21"/>
  <c r="C7" i="21"/>
  <c r="C8" i="21" s="1"/>
  <c r="W5" i="21"/>
  <c r="B15" i="22" l="1"/>
  <c r="A15" i="22" s="1"/>
  <c r="V7" i="22"/>
  <c r="T9" i="22"/>
  <c r="O9" i="22"/>
  <c r="J8" i="22"/>
  <c r="W8" i="22" s="1"/>
  <c r="U7" i="22"/>
  <c r="B7" i="22"/>
  <c r="A7" i="22" s="1"/>
  <c r="B6" i="21"/>
  <c r="A6" i="21" s="1"/>
  <c r="O7" i="21"/>
  <c r="V6" i="21"/>
  <c r="W6" i="21"/>
  <c r="T8" i="21"/>
  <c r="J8" i="21"/>
  <c r="U7" i="21"/>
  <c r="U6" i="21"/>
  <c r="B16" i="22" l="1"/>
  <c r="O10" i="22"/>
  <c r="T10" i="22"/>
  <c r="B8" i="22"/>
  <c r="J9" i="22"/>
  <c r="W9" i="22" s="1"/>
  <c r="U8" i="22"/>
  <c r="V8" i="22"/>
  <c r="B7" i="21"/>
  <c r="B8" i="21" s="1"/>
  <c r="B9" i="21" s="1"/>
  <c r="B10" i="21" s="1"/>
  <c r="T9" i="21"/>
  <c r="O8" i="21"/>
  <c r="W8" i="21" s="1"/>
  <c r="V7" i="21"/>
  <c r="J9" i="21"/>
  <c r="U8" i="21"/>
  <c r="W7" i="21"/>
  <c r="B17" i="22" l="1"/>
  <c r="A16" i="22"/>
  <c r="V9" i="22"/>
  <c r="B9" i="22"/>
  <c r="J10" i="22"/>
  <c r="U10" i="22" s="1"/>
  <c r="U9" i="22"/>
  <c r="A8" i="22"/>
  <c r="A9" i="22" s="1"/>
  <c r="A7" i="21"/>
  <c r="A8" i="21" s="1"/>
  <c r="T10" i="21"/>
  <c r="J10" i="21"/>
  <c r="O9" i="21"/>
  <c r="W9" i="21" s="1"/>
  <c r="V8" i="21"/>
  <c r="B18" i="22" l="1"/>
  <c r="A17" i="22"/>
  <c r="A18" i="22" s="1"/>
  <c r="V10" i="22"/>
  <c r="W10" i="22"/>
  <c r="B10" i="22"/>
  <c r="A10" i="22" s="1"/>
  <c r="A9" i="21"/>
  <c r="U9" i="21"/>
  <c r="V9" i="21"/>
  <c r="O10" i="21"/>
  <c r="W10" i="21"/>
  <c r="B19" i="22" l="1"/>
  <c r="A10" i="21"/>
  <c r="V10" i="21"/>
  <c r="U10" i="21"/>
  <c r="B20" i="22" l="1"/>
  <c r="A20" i="22" s="1"/>
  <c r="A19" i="22"/>
  <c r="B21" i="22" l="1"/>
  <c r="D13" i="20"/>
  <c r="E12" i="20"/>
  <c r="D12" i="20" s="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T12" i="20"/>
  <c r="O12" i="20"/>
  <c r="J12" i="20"/>
  <c r="T11" i="20"/>
  <c r="O11" i="20"/>
  <c r="J11" i="20"/>
  <c r="D11" i="20"/>
  <c r="C11" i="20"/>
  <c r="B11" i="20"/>
  <c r="A11" i="20"/>
  <c r="D10" i="20"/>
  <c r="C9" i="20"/>
  <c r="D9" i="20"/>
  <c r="D8" i="20"/>
  <c r="C8" i="20"/>
  <c r="J7" i="20"/>
  <c r="J8" i="20" s="1"/>
  <c r="D7" i="20"/>
  <c r="J6" i="20"/>
  <c r="C7" i="20"/>
  <c r="T5" i="20"/>
  <c r="T6" i="20" s="1"/>
  <c r="J5" i="20"/>
  <c r="C5" i="20"/>
  <c r="D5" i="20"/>
  <c r="T4" i="20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B22" i="22" l="1"/>
  <c r="A22" i="22" s="1"/>
  <c r="A21" i="22"/>
  <c r="B13" i="20"/>
  <c r="A13" i="20" s="1"/>
  <c r="C13" i="20"/>
  <c r="V12" i="20"/>
  <c r="W12" i="20"/>
  <c r="U12" i="20"/>
  <c r="B12" i="20"/>
  <c r="A12" i="20" s="1"/>
  <c r="C12" i="20"/>
  <c r="W11" i="20"/>
  <c r="U11" i="20"/>
  <c r="V11" i="20"/>
  <c r="W4" i="20"/>
  <c r="T7" i="20"/>
  <c r="W6" i="20"/>
  <c r="O6" i="20"/>
  <c r="V5" i="20"/>
  <c r="U5" i="20"/>
  <c r="J9" i="20"/>
  <c r="B5" i="20"/>
  <c r="A5" i="20" s="1"/>
  <c r="C10" i="20"/>
  <c r="W5" i="20"/>
  <c r="U4" i="20"/>
  <c r="C6" i="20"/>
  <c r="V4" i="20"/>
  <c r="D6" i="20"/>
  <c r="E4" i="19"/>
  <c r="B23" i="22" l="1"/>
  <c r="A23" i="22" s="1"/>
  <c r="T8" i="20"/>
  <c r="B6" i="20"/>
  <c r="J10" i="20"/>
  <c r="V6" i="20"/>
  <c r="U6" i="20"/>
  <c r="O7" i="20"/>
  <c r="W7" i="20" s="1"/>
  <c r="W3" i="19"/>
  <c r="V3" i="19"/>
  <c r="U3" i="19"/>
  <c r="B24" i="22" l="1"/>
  <c r="A6" i="20"/>
  <c r="B7" i="20"/>
  <c r="T9" i="20"/>
  <c r="O8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25" i="22" l="1"/>
  <c r="A25" i="22" s="1"/>
  <c r="A24" i="22"/>
  <c r="T10" i="20"/>
  <c r="B8" i="20"/>
  <c r="A8" i="20" s="1"/>
  <c r="O9" i="20"/>
  <c r="W9" i="20" s="1"/>
  <c r="V8" i="20"/>
  <c r="U8" i="20"/>
  <c r="W8" i="20"/>
  <c r="A7" i="20"/>
  <c r="U9" i="19"/>
  <c r="V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26" i="22" l="1"/>
  <c r="A26" i="22" s="1"/>
  <c r="O10" i="20"/>
  <c r="V9" i="20"/>
  <c r="U9" i="20"/>
  <c r="B9" i="20"/>
  <c r="W5" i="19"/>
  <c r="V5" i="19"/>
  <c r="U5" i="19"/>
  <c r="B27" i="22" l="1"/>
  <c r="V10" i="20"/>
  <c r="U10" i="20"/>
  <c r="W10" i="20"/>
  <c r="B10" i="20"/>
  <c r="A10" i="20" s="1"/>
  <c r="A9" i="20"/>
  <c r="B28" i="22" l="1"/>
  <c r="A27" i="22"/>
  <c r="B29" i="22" l="1"/>
  <c r="A29" i="22" s="1"/>
  <c r="A28" i="22"/>
</calcChain>
</file>

<file path=xl/sharedStrings.xml><?xml version="1.0" encoding="utf-8"?>
<sst xmlns="http://schemas.openxmlformats.org/spreadsheetml/2006/main" count="853" uniqueCount="212">
  <si>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</si>
  <si>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</si>
  <si>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</si>
  <si>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</si>
  <si>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</si>
  <si>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</si>
  <si>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</si>
  <si>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</si>
  <si>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</si>
  <si>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</si>
  <si>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</si>
  <si>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</si>
  <si>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</si>
  <si>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</si>
  <si>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</si>
  <si>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</si>
  <si>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</si>
  <si>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</si>
  <si>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</si>
  <si>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</si>
  <si>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</si>
  <si>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</si>
  <si>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</si>
  <si>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</si>
  <si>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</si>
  <si>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</si>
  <si>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</si>
  <si>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</si>
  <si>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</si>
  <si>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</si>
  <si>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</si>
  <si>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</si>
  <si>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</si>
  <si>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</si>
  <si>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</si>
  <si>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</si>
  <si>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</si>
  <si>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</si>
  <si>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</si>
  <si>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</si>
  <si>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</si>
  <si>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</si>
  <si>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</si>
  <si>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</si>
  <si>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</si>
  <si>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</si>
  <si>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</si>
  <si>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</si>
  <si>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</si>
  <si>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</si>
  <si>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</si>
  <si>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</si>
  <si>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</si>
  <si>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</si>
  <si>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</si>
  <si>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</si>
  <si>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</si>
  <si>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</si>
  <si>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</si>
  <si>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</si>
  <si>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</si>
  <si>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</si>
  <si>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</si>
  <si>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</si>
  <si>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</si>
  <si>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</si>
  <si>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</si>
  <si>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</si>
  <si>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</si>
  <si>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</si>
  <si>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</si>
  <si>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</si>
  <si>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</si>
  <si>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</si>
  <si>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</si>
  <si>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</si>
  <si>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</si>
  <si>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</si>
  <si>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</si>
  <si>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</si>
  <si>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</si>
  <si>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</si>
  <si>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</si>
  <si>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</si>
  <si>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</si>
  <si>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</si>
  <si>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</si>
  <si>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</si>
  <si>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</si>
  <si>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</si>
  <si>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</si>
  <si>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</si>
  <si>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</si>
  <si>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</si>
  <si>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</si>
  <si>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</si>
  <si>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</si>
  <si>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</si>
  <si>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</si>
  <si>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</si>
  <si>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</si>
  <si>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</si>
  <si>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</si>
  <si>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</si>
  <si>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</si>
  <si>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</si>
  <si>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</si>
  <si>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</si>
  <si>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</si>
  <si>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</si>
  <si>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</si>
  <si>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</si>
  <si>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</si>
  <si>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</si>
  <si>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</si>
  <si>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</si>
  <si>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</si>
  <si>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</si>
  <si>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</si>
  <si>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</si>
  <si>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</si>
  <si>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</si>
  <si>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</si>
  <si>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</si>
  <si>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</si>
  <si>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</si>
  <si>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</si>
  <si>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</si>
  <si>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</si>
  <si>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</si>
  <si>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</si>
  <si>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</si>
  <si>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</si>
  <si>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</si>
  <si>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</si>
  <si>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</si>
  <si>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</si>
  <si>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</si>
  <si>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</si>
  <si>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</si>
  <si>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</si>
  <si>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</si>
  <si>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</si>
  <si>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</si>
  <si>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</si>
  <si>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</si>
  <si>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</si>
  <si>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</si>
  <si>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</si>
  <si>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</si>
  <si>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</si>
  <si>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</si>
  <si>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</si>
  <si>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</si>
  <si>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</si>
  <si>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</si>
  <si>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</si>
  <si>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</si>
  <si>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</si>
  <si>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</si>
  <si>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</si>
  <si>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</si>
  <si>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</si>
  <si>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</si>
  <si>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</si>
  <si>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</si>
  <si>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</si>
  <si>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</si>
  <si>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</si>
  <si>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</si>
  <si>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</si>
  <si>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</si>
  <si>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</si>
  <si>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</si>
  <si>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</si>
  <si>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</si>
  <si>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</si>
  <si>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</si>
  <si>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</si>
  <si>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</si>
  <si>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</si>
  <si>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</si>
  <si>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</si>
  <si>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</si>
  <si>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</si>
  <si>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</si>
  <si>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</si>
  <si>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</si>
  <si>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</si>
  <si>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</si>
  <si>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</si>
  <si>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</si>
  <si>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</si>
  <si>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りくと</t>
    <phoneticPr fontId="1"/>
  </si>
  <si>
    <t>ツモ支払</t>
  </si>
  <si>
    <t>ツモ</t>
  </si>
  <si>
    <t>*</t>
  </si>
  <si>
    <t>52</t>
  </si>
  <si>
    <t>ロン</t>
  </si>
  <si>
    <t>放銃</t>
  </si>
  <si>
    <t>T</t>
  </si>
  <si>
    <t>N</t>
  </si>
  <si>
    <t>流局</t>
    <phoneticPr fontId="1"/>
  </si>
  <si>
    <t>流局</t>
    <phoneticPr fontId="1"/>
  </si>
  <si>
    <t>01</t>
  </si>
  <si>
    <t>02</t>
  </si>
  <si>
    <t>たかの</t>
    <phoneticPr fontId="1"/>
  </si>
  <si>
    <t>51</t>
  </si>
  <si>
    <t>れんたろう</t>
    <phoneticPr fontId="1"/>
  </si>
  <si>
    <t>まっつん</t>
    <phoneticPr fontId="1"/>
  </si>
  <si>
    <t>種類</t>
    <phoneticPr fontId="1"/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</si>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</sst>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191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りくと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194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194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196</v>
      </c>
      <c r="AZ4" s="40" t="s">
        <v>91</v>
      </c>
      <c r="BA4" s="41" t="s">
        <v>82</v>
      </c>
      <c r="BB4" s="41" t="s">
        <v>92</v>
      </c>
      <c r="BC4" s="41" t="s">
        <v>197</v>
      </c>
      <c r="BD4" s="41" t="s">
        <v>80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27500</v>
      </c>
      <c r="K5" s="8" t="s">
        <v>198</v>
      </c>
      <c r="L5" s="9">
        <v>5800</v>
      </c>
      <c r="M5" s="9">
        <v>1000</v>
      </c>
      <c r="N5" s="48">
        <v>0</v>
      </c>
      <c r="O5" s="21">
        <f t="shared" ref="O5:O30" si="3">IF(COUNTA($F5,$K5,$P5)&gt;0,O4+SUM(L5:N5),"")</f>
        <v>53800</v>
      </c>
      <c r="P5" s="8" t="s">
        <v>199</v>
      </c>
      <c r="Q5" s="9">
        <v>-5800</v>
      </c>
      <c r="R5" s="9">
        <v>-1000</v>
      </c>
      <c r="S5" s="48">
        <v>0</v>
      </c>
      <c r="T5" s="21">
        <f t="shared" ref="T5:T30" si="4">IF(COUNTA($F5,$K5,$P5)&gt;0,T4+SUM(Q5:S5),"")</f>
        <v>23700</v>
      </c>
      <c r="U5" s="53">
        <f>IF($J5="","",ROUND(($J5-$J$3)/1000,1)+(_xlfn.RANK.AVG($J5,($J5,$O5,$T5),1)-2)*10)</f>
        <v>-7.5</v>
      </c>
      <c r="V5" s="54">
        <f>IF($O5="","",ROUND(($O5-$O$3)/1000,1)+(_xlfn.RANK.AVG($O5,($J5,$O5,$T5),1)-2)*10)</f>
        <v>28.8</v>
      </c>
      <c r="W5" s="55">
        <f>IF($T5="","",ROUND(($T5-$T$3)/1000,1)+(_xlfn.RANK.AVG($T5,($J5,$O5,$T5),1)-2)*10)</f>
        <v>-21.3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104</v>
      </c>
      <c r="BA5" s="41" t="s">
        <v>86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だいち</v>
      </c>
      <c r="F6" s="8" t="s">
        <v>195</v>
      </c>
      <c r="G6" s="9">
        <v>2100</v>
      </c>
      <c r="H6" s="9"/>
      <c r="I6" s="48">
        <v>1000</v>
      </c>
      <c r="J6" s="21">
        <f t="shared" si="2"/>
        <v>30600</v>
      </c>
      <c r="K6" s="8" t="s">
        <v>194</v>
      </c>
      <c r="L6" s="9">
        <v>-1300</v>
      </c>
      <c r="M6" s="9"/>
      <c r="N6" s="48">
        <v>-500</v>
      </c>
      <c r="O6" s="21">
        <f t="shared" si="3"/>
        <v>52000</v>
      </c>
      <c r="P6" s="8" t="s">
        <v>194</v>
      </c>
      <c r="Q6" s="9">
        <v>-800</v>
      </c>
      <c r="R6" s="9"/>
      <c r="S6" s="48">
        <v>-500</v>
      </c>
      <c r="T6" s="21">
        <f t="shared" si="4"/>
        <v>22400</v>
      </c>
      <c r="U6" s="53">
        <f>IF($J6="","",ROUND(($J6-$J$3)/1000,1)+(_xlfn.RANK.AVG($J6,($J6,$O6,$T6),1)-2)*10)</f>
        <v>-4.4000000000000004</v>
      </c>
      <c r="V6" s="54">
        <f>IF($O6="","",ROUND(($O6-$O$3)/1000,1)+(_xlfn.RANK.AVG($O6,($J6,$O6,$T6),1)-2)*10)</f>
        <v>27</v>
      </c>
      <c r="W6" s="55">
        <f>IF($T6="","",ROUND(($T6-$T$3)/1000,1)+(_xlfn.RANK.AVG($T6,($J6,$O6,$T6),1)-2)*10)</f>
        <v>-22.6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194</v>
      </c>
      <c r="G7" s="9">
        <v>-3000</v>
      </c>
      <c r="H7" s="9"/>
      <c r="I7" s="48">
        <v>0</v>
      </c>
      <c r="J7" s="21">
        <f t="shared" si="2"/>
        <v>27600</v>
      </c>
      <c r="K7" s="8" t="s">
        <v>195</v>
      </c>
      <c r="L7" s="9">
        <v>8000</v>
      </c>
      <c r="M7" s="9"/>
      <c r="N7" s="48">
        <v>0</v>
      </c>
      <c r="O7" s="21">
        <f t="shared" si="3"/>
        <v>60000</v>
      </c>
      <c r="P7" s="8" t="s">
        <v>194</v>
      </c>
      <c r="Q7" s="9">
        <v>-5000</v>
      </c>
      <c r="R7" s="9"/>
      <c r="S7" s="48">
        <v>0</v>
      </c>
      <c r="T7" s="21">
        <f t="shared" si="4"/>
        <v>17400</v>
      </c>
      <c r="U7" s="53">
        <f>IF($J7="","",ROUND(($J7-$J$3)/1000,1)+(_xlfn.RANK.AVG($J7,($J7,$O7,$T7),1)-2)*10)</f>
        <v>-7.4</v>
      </c>
      <c r="V7" s="54">
        <f>IF($O7="","",ROUND(($O7-$O$3)/1000,1)+(_xlfn.RANK.AVG($O7,($J7,$O7,$T7),1)-2)*10)</f>
        <v>35</v>
      </c>
      <c r="W7" s="55">
        <f>IF($T7="","",ROUND(($T7-$T$3)/1000,1)+(_xlfn.RANK.AVG($T7,($J7,$O7,$T7),1)-2)*10)</f>
        <v>-27.6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196</v>
      </c>
      <c r="AZ7" s="40" t="s">
        <v>104</v>
      </c>
      <c r="BA7" s="41" t="s">
        <v>86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ただ</v>
      </c>
      <c r="F8" s="8"/>
      <c r="G8" s="9"/>
      <c r="H8" s="9"/>
      <c r="I8" s="48"/>
      <c r="J8" s="21">
        <f t="shared" si="2"/>
        <v>27600</v>
      </c>
      <c r="K8" s="8" t="s">
        <v>198</v>
      </c>
      <c r="L8" s="9">
        <v>1000</v>
      </c>
      <c r="M8" s="9"/>
      <c r="N8" s="48">
        <v>0</v>
      </c>
      <c r="O8" s="21">
        <f t="shared" si="3"/>
        <v>61000</v>
      </c>
      <c r="P8" s="8" t="s">
        <v>199</v>
      </c>
      <c r="Q8" s="9">
        <v>-1000</v>
      </c>
      <c r="R8" s="9"/>
      <c r="S8" s="48">
        <v>0</v>
      </c>
      <c r="T8" s="21">
        <f t="shared" si="4"/>
        <v>16400</v>
      </c>
      <c r="U8" s="53">
        <f>IF($J8="","",ROUND(($J8-$J$3)/1000,1)+(_xlfn.RANK.AVG($J8,($J8,$O8,$T8),1)-2)*10)</f>
        <v>-7.4</v>
      </c>
      <c r="V8" s="54">
        <f>IF($O8="","",ROUND(($O8-$O$3)/1000,1)+(_xlfn.RANK.AVG($O8,($J8,$O8,$T8),1)-2)*10)</f>
        <v>36</v>
      </c>
      <c r="W8" s="55">
        <f>IF($T8="","",ROUND(($T8-$T$3)/1000,1)+(_xlfn.RANK.AVG($T8,($J8,$O8,$T8),1)-2)*10)</f>
        <v>-28.6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202</v>
      </c>
      <c r="G9" s="9">
        <v>1500</v>
      </c>
      <c r="H9" s="9">
        <v>-1000</v>
      </c>
      <c r="I9" s="48"/>
      <c r="J9" s="21">
        <f t="shared" si="2"/>
        <v>28100</v>
      </c>
      <c r="K9" s="8" t="s">
        <v>202</v>
      </c>
      <c r="L9" s="9">
        <v>-3000</v>
      </c>
      <c r="M9" s="9"/>
      <c r="N9" s="48"/>
      <c r="O9" s="21">
        <f t="shared" si="3"/>
        <v>58000</v>
      </c>
      <c r="P9" s="8" t="s">
        <v>202</v>
      </c>
      <c r="Q9" s="9">
        <v>1500</v>
      </c>
      <c r="R9" s="9"/>
      <c r="S9" s="48"/>
      <c r="T9" s="21">
        <f t="shared" si="4"/>
        <v>17900</v>
      </c>
      <c r="U9" s="53">
        <f>IF($J9="","",ROUND(($J9-$J$3)/1000,1)+(_xlfn.RANK.AVG($J9,($J9,$O9,$T9),1)-2)*10)</f>
        <v>-6.9</v>
      </c>
      <c r="V9" s="54">
        <f>IF($O9="","",ROUND(($O9-$O$3)/1000,1)+(_xlfn.RANK.AVG($O9,($J9,$O9,$T9),1)-2)*10)</f>
        <v>33</v>
      </c>
      <c r="W9" s="55">
        <f>IF($T9="","",ROUND(($T9-$T$3)/1000,1)+(_xlfn.RANK.AVG($T9,($J9,$O9,$T9),1)-2)*10)</f>
        <v>-27.1</v>
      </c>
      <c r="Y9" s="8" t="s">
        <v>200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201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200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1</v>
      </c>
      <c r="E10" s="4" t="str">
        <f>IF($P$1="","",$P$1)</f>
        <v>りくと</v>
      </c>
      <c r="F10" s="8" t="s">
        <v>199</v>
      </c>
      <c r="G10" s="9">
        <v>-1000</v>
      </c>
      <c r="H10" s="9"/>
      <c r="I10" s="48">
        <v>-1000</v>
      </c>
      <c r="J10" s="21">
        <f t="shared" si="2"/>
        <v>26100</v>
      </c>
      <c r="K10" s="8" t="s">
        <v>198</v>
      </c>
      <c r="L10" s="9">
        <v>1000</v>
      </c>
      <c r="M10" s="9">
        <v>1000</v>
      </c>
      <c r="N10" s="48">
        <v>1000</v>
      </c>
      <c r="O10" s="21">
        <f t="shared" si="3"/>
        <v>61000</v>
      </c>
      <c r="P10" s="8"/>
      <c r="Q10" s="9"/>
      <c r="R10" s="9"/>
      <c r="S10" s="48"/>
      <c r="T10" s="21">
        <f t="shared" si="4"/>
        <v>17900</v>
      </c>
      <c r="U10" s="53">
        <f>IF($J10="","",ROUND(($J10-$J$3)/1000,1)+(_xlfn.RANK.AVG($J10,($J10,$O10,$T10),1)-2)*10)</f>
        <v>-8.9</v>
      </c>
      <c r="V10" s="54">
        <f>IF($O10="","",ROUND(($O10-$O$3)/1000,1)+(_xlfn.RANK.AVG($O10,($J10,$O10,$T10),1)-2)*10)</f>
        <v>36</v>
      </c>
      <c r="W10" s="55">
        <f>IF($T10="","",ROUND(($T10-$T$3)/1000,1)+(_xlfn.RANK.AVG($T10,($J10,$O10,$T10),1)-2)*10)</f>
        <v>-27.1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2" priority="5">
      <formula>IF(G4&lt;&gt;"",SUM($G4:$I4,$L4:$N4,$Q4:$S4)-$D4*1000+$D5*1000)</formula>
    </cfRule>
  </conditionalFormatting>
  <conditionalFormatting sqref="F1:G1 I1:L1 S1:T1 N1:Q1">
    <cfRule type="duplicateValues" dxfId="21" priority="4"/>
  </conditionalFormatting>
  <conditionalFormatting sqref="H1">
    <cfRule type="duplicateValues" dxfId="20" priority="3"/>
  </conditionalFormatting>
  <conditionalFormatting sqref="R1">
    <cfRule type="duplicateValues" dxfId="19" priority="2"/>
  </conditionalFormatting>
  <conditionalFormatting sqref="M1">
    <cfRule type="duplicateValues" dxfId="18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AF15197-C01D-46EF-995C-C3873B8A8094}">
      <formula1>"れんたろう,ともき,だいち,りくと,まっつん,たかの,のり,ただ,ぱぱ,Player1,Player2,Player3,"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83868-EF8D-4438-B8E2-9E67E18AAD1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193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191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194</v>
      </c>
      <c r="G4" s="9">
        <v>-3300</v>
      </c>
      <c r="H4" s="9">
        <v>-1000</v>
      </c>
      <c r="I4" s="48">
        <v>0</v>
      </c>
      <c r="J4" s="21">
        <f>IF(COUNTA($F4,$K4,$P4)&gt;0,J3+SUM(G4:I4),"")</f>
        <v>30700</v>
      </c>
      <c r="K4" s="8" t="s">
        <v>194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 t="s">
        <v>195</v>
      </c>
      <c r="Q4" s="9">
        <v>5300</v>
      </c>
      <c r="R4" s="9">
        <v>1000</v>
      </c>
      <c r="S4" s="48">
        <v>0</v>
      </c>
      <c r="T4" s="21">
        <f>IF(COUNTA($F4,$K4,$P4)&gt;0,T3+SUM(Q4:S4),"")</f>
        <v>41300</v>
      </c>
      <c r="U4" s="53">
        <f>IF($J4="","",ROUND(($J4-$J$3)/1000,1)+(_xlfn.RANK.AVG($J4,($J4,$O4,$T4),1)-2)*10)</f>
        <v>-14.3</v>
      </c>
      <c r="V4" s="54">
        <f>IF($O4="","",ROUND(($O4-$O$3)/1000,1)+(_xlfn.RANK.AVG($O4,($J4,$O4,$T4),1)-2)*10)</f>
        <v>-2</v>
      </c>
      <c r="W4" s="55">
        <f>IF($T4="","",ROUND(($T4-$T$3)/1000,1)+(_xlfn.RANK.AVG($T4,($J4,$O4,$T4),1)-2)*10)</f>
        <v>16.3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40</v>
      </c>
      <c r="BU4" s="40" t="s">
        <v>104</v>
      </c>
      <c r="BV4" s="41" t="s">
        <v>86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195</v>
      </c>
      <c r="G5" s="9">
        <v>7700</v>
      </c>
      <c r="H5" s="9"/>
      <c r="I5" s="48">
        <v>0</v>
      </c>
      <c r="J5" s="21">
        <f t="shared" ref="J5:J30" si="2">IF(COUNTA($F5,$K5,$P5)&gt;0,J4+SUM(G5:I5),"")</f>
        <v>38400</v>
      </c>
      <c r="K5" s="8" t="s">
        <v>194</v>
      </c>
      <c r="L5" s="9">
        <v>-4800</v>
      </c>
      <c r="M5" s="9"/>
      <c r="N5" s="48">
        <v>0</v>
      </c>
      <c r="O5" s="21">
        <f t="shared" ref="O5:O30" si="3">IF(COUNTA($F5,$K5,$P5)&gt;0,O4+SUM(L5:N5),"")</f>
        <v>28200</v>
      </c>
      <c r="P5" s="8" t="s">
        <v>194</v>
      </c>
      <c r="Q5" s="9">
        <v>-2900</v>
      </c>
      <c r="R5" s="9"/>
      <c r="S5" s="48">
        <v>0</v>
      </c>
      <c r="T5" s="21">
        <f t="shared" ref="T5:T30" si="4">IF(COUNTA($F5,$K5,$P5)&gt;0,T4+SUM(Q5:S5),"")</f>
        <v>38400</v>
      </c>
      <c r="U5" s="53">
        <f>IF($J5="","",ROUND(($J5-$J$3)/1000,1)+(_xlfn.RANK.AVG($J5,($J5,$O5,$T5),1)-2)*10)</f>
        <v>8.4</v>
      </c>
      <c r="V5" s="54">
        <f>IF($O5="","",ROUND(($O5-$O$3)/1000,1)+(_xlfn.RANK.AVG($O5,($J5,$O5,$T5),1)-2)*10)</f>
        <v>-16.8</v>
      </c>
      <c r="W5" s="55">
        <f>IF($T5="","",ROUND(($T5-$T$3)/1000,1)+(_xlfn.RANK.AVG($T5,($J5,$O5,$T5),1)-2)*10)</f>
        <v>8.4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79</v>
      </c>
      <c r="AG5" s="41" t="s">
        <v>79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198</v>
      </c>
      <c r="G6" s="9">
        <v>7700</v>
      </c>
      <c r="H6" s="9"/>
      <c r="I6" s="48">
        <v>0</v>
      </c>
      <c r="J6" s="21">
        <f t="shared" si="2"/>
        <v>46100</v>
      </c>
      <c r="K6" s="8" t="s">
        <v>199</v>
      </c>
      <c r="L6" s="9">
        <v>-7700</v>
      </c>
      <c r="M6" s="9"/>
      <c r="N6" s="48">
        <v>0</v>
      </c>
      <c r="O6" s="21">
        <f t="shared" si="3"/>
        <v>20500</v>
      </c>
      <c r="P6" s="8"/>
      <c r="Q6" s="9"/>
      <c r="R6" s="9"/>
      <c r="S6" s="48"/>
      <c r="T6" s="21">
        <f t="shared" si="4"/>
        <v>38400</v>
      </c>
      <c r="U6" s="53">
        <f>IF($J6="","",ROUND(($J6-$J$3)/1000,1)+(_xlfn.RANK.AVG($J6,($J6,$O6,$T6),1)-2)*10)</f>
        <v>21.1</v>
      </c>
      <c r="V6" s="54">
        <f>IF($O6="","",ROUND(($O6-$O$3)/1000,1)+(_xlfn.RANK.AVG($O6,($J6,$O6,$T6),1)-2)*10)</f>
        <v>-24.5</v>
      </c>
      <c r="W6" s="55">
        <f>IF($T6="","",ROUND(($T6-$T$3)/1000,1)+(_xlfn.RANK.AVG($T6,($J6,$O6,$T6),1)-2)*10)</f>
        <v>3.4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86</v>
      </c>
      <c r="AF6" s="41" t="s">
        <v>86</v>
      </c>
      <c r="AG6" s="41" t="s">
        <v>197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203</v>
      </c>
      <c r="G7" s="9">
        <v>3000</v>
      </c>
      <c r="H7" s="9"/>
      <c r="I7" s="48"/>
      <c r="J7" s="21">
        <f t="shared" si="2"/>
        <v>49100</v>
      </c>
      <c r="K7" s="8" t="s">
        <v>203</v>
      </c>
      <c r="L7" s="9">
        <v>-1500</v>
      </c>
      <c r="M7" s="9"/>
      <c r="N7" s="48"/>
      <c r="O7" s="21">
        <f t="shared" si="3"/>
        <v>19000</v>
      </c>
      <c r="P7" s="8" t="s">
        <v>203</v>
      </c>
      <c r="Q7" s="9">
        <v>-1500</v>
      </c>
      <c r="R7" s="9"/>
      <c r="S7" s="48"/>
      <c r="T7" s="21">
        <f t="shared" si="4"/>
        <v>36900</v>
      </c>
      <c r="U7" s="53">
        <f>IF($J7="","",ROUND(($J7-$J$3)/1000,1)+(_xlfn.RANK.AVG($J7,($J7,$O7,$T7),1)-2)*10)</f>
        <v>24.1</v>
      </c>
      <c r="V7" s="54">
        <f>IF($O7="","",ROUND(($O7-$O$3)/1000,1)+(_xlfn.RANK.AVG($O7,($J7,$O7,$T7),1)-2)*10)</f>
        <v>-26</v>
      </c>
      <c r="W7" s="55">
        <f>IF($T7="","",ROUND(($T7-$T$3)/1000,1)+(_xlfn.RANK.AVG($T7,($J7,$O7,$T7),1)-2)*10)</f>
        <v>1.9</v>
      </c>
      <c r="Y7" s="8" t="s">
        <v>200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201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りくと</v>
      </c>
      <c r="F8" s="8" t="s">
        <v>194</v>
      </c>
      <c r="G8" s="9">
        <v>-4000</v>
      </c>
      <c r="H8" s="9">
        <v>-1000</v>
      </c>
      <c r="I8" s="48">
        <v>-500</v>
      </c>
      <c r="J8" s="21">
        <f t="shared" si="2"/>
        <v>43600</v>
      </c>
      <c r="K8" s="8" t="s">
        <v>195</v>
      </c>
      <c r="L8" s="9">
        <v>6400</v>
      </c>
      <c r="M8" s="9">
        <v>1000</v>
      </c>
      <c r="N8" s="48">
        <v>1000</v>
      </c>
      <c r="O8" s="21">
        <f t="shared" si="3"/>
        <v>27400</v>
      </c>
      <c r="P8" s="8" t="s">
        <v>194</v>
      </c>
      <c r="Q8" s="9">
        <v>-2400</v>
      </c>
      <c r="R8" s="9"/>
      <c r="S8" s="48">
        <v>-500</v>
      </c>
      <c r="T8" s="21">
        <f t="shared" si="4"/>
        <v>34000</v>
      </c>
      <c r="U8" s="53">
        <f>IF($J8="","",ROUND(($J8-$J$3)/1000,1)+(_xlfn.RANK.AVG($J8,($J8,$O8,$T8),1)-2)*10)</f>
        <v>18.600000000000001</v>
      </c>
      <c r="V8" s="54">
        <f>IF($O8="","",ROUND(($O8-$O$3)/1000,1)+(_xlfn.RANK.AVG($O8,($J8,$O8,$T8),1)-2)*10)</f>
        <v>-17.600000000000001</v>
      </c>
      <c r="W8" s="55">
        <f>IF($T8="","",ROUND(($T8-$T$3)/1000,1)+(_xlfn.RANK.AVG($T8,($J8,$O8,$T8),1)-2)*10)</f>
        <v>-1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50</v>
      </c>
      <c r="AZ8" s="40" t="s">
        <v>82</v>
      </c>
      <c r="BA8" s="41" t="s">
        <v>96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203</v>
      </c>
      <c r="G9" s="9">
        <v>-1500</v>
      </c>
      <c r="H9" s="9"/>
      <c r="I9" s="48"/>
      <c r="J9" s="21">
        <f t="shared" si="2"/>
        <v>42100</v>
      </c>
      <c r="K9" s="8" t="s">
        <v>203</v>
      </c>
      <c r="L9" s="9">
        <v>3000</v>
      </c>
      <c r="M9" s="9"/>
      <c r="N9" s="48"/>
      <c r="O9" s="21">
        <f t="shared" si="3"/>
        <v>30400</v>
      </c>
      <c r="P9" s="8" t="s">
        <v>203</v>
      </c>
      <c r="Q9" s="9">
        <v>-1500</v>
      </c>
      <c r="R9" s="9"/>
      <c r="S9" s="48"/>
      <c r="T9" s="21">
        <f t="shared" si="4"/>
        <v>32500</v>
      </c>
      <c r="U9" s="53">
        <f>IF($J9="","",ROUND(($J9-$J$3)/1000,1)+(_xlfn.RANK.AVG($J9,($J9,$O9,$T9),1)-2)*10)</f>
        <v>17.100000000000001</v>
      </c>
      <c r="V9" s="54">
        <f>IF($O9="","",ROUND(($O9-$O$3)/1000,1)+(_xlfn.RANK.AVG($O9,($J9,$O9,$T9),1)-2)*10)</f>
        <v>-14.6</v>
      </c>
      <c r="W9" s="55">
        <f>IF($T9="","",ROUND(($T9-$T$3)/1000,1)+(_xlfn.RANK.AVG($T9,($J9,$O9,$T9),1)-2)*10)</f>
        <v>-2.5</v>
      </c>
      <c r="Y9" s="8" t="s">
        <v>201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200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194</v>
      </c>
      <c r="G10" s="9">
        <v>-3900</v>
      </c>
      <c r="H10" s="9"/>
      <c r="I10" s="48">
        <v>-500</v>
      </c>
      <c r="J10" s="21">
        <f t="shared" si="2"/>
        <v>37700</v>
      </c>
      <c r="K10" s="8" t="s">
        <v>195</v>
      </c>
      <c r="L10" s="9">
        <v>7800</v>
      </c>
      <c r="M10" s="9"/>
      <c r="N10" s="48">
        <v>1000</v>
      </c>
      <c r="O10" s="21">
        <f t="shared" si="3"/>
        <v>39200</v>
      </c>
      <c r="P10" s="8" t="s">
        <v>194</v>
      </c>
      <c r="Q10" s="9">
        <v>-3900</v>
      </c>
      <c r="R10" s="9"/>
      <c r="S10" s="48">
        <v>-500</v>
      </c>
      <c r="T10" s="21">
        <f t="shared" si="4"/>
        <v>28100</v>
      </c>
      <c r="U10" s="53">
        <f>IF($J10="","",ROUND(($J10-$J$3)/1000,1)+(_xlfn.RANK.AVG($J10,($J10,$O10,$T10),1)-2)*10)</f>
        <v>2.7</v>
      </c>
      <c r="V10" s="54">
        <f>IF($O10="","",ROUND(($O10-$O$3)/1000,1)+(_xlfn.RANK.AVG($O10,($J10,$O10,$T10),1)-2)*10)</f>
        <v>14.2</v>
      </c>
      <c r="W10" s="55">
        <f>IF($T10="","",ROUND(($T10-$T$3)/1000,1)+(_xlfn.RANK.AVG($T10,($J10,$O10,$T10),1)-2)*10)</f>
        <v>-16.899999999999999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4</v>
      </c>
      <c r="AY10" s="30">
        <v>20</v>
      </c>
      <c r="AZ10" s="40" t="s">
        <v>204</v>
      </c>
      <c r="BA10" s="41" t="s">
        <v>82</v>
      </c>
      <c r="BB10" s="41" t="s">
        <v>83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だいち</v>
      </c>
      <c r="F11" s="8" t="s">
        <v>194</v>
      </c>
      <c r="G11" s="9">
        <v>-2900</v>
      </c>
      <c r="H11" s="9"/>
      <c r="I11" s="48">
        <v>-1000</v>
      </c>
      <c r="J11" s="21">
        <f t="shared" si="2"/>
        <v>33800</v>
      </c>
      <c r="K11" s="8" t="s">
        <v>194</v>
      </c>
      <c r="L11" s="9">
        <v>-4800</v>
      </c>
      <c r="M11" s="9"/>
      <c r="N11" s="48">
        <v>-1000</v>
      </c>
      <c r="O11" s="21">
        <f t="shared" si="3"/>
        <v>33400</v>
      </c>
      <c r="P11" s="8" t="s">
        <v>195</v>
      </c>
      <c r="Q11" s="9">
        <v>7700</v>
      </c>
      <c r="R11" s="9"/>
      <c r="S11" s="48">
        <v>2000</v>
      </c>
      <c r="T11" s="21">
        <f t="shared" si="4"/>
        <v>37800</v>
      </c>
      <c r="U11" s="53">
        <f>IF($J11="","",ROUND(($J11-$J$3)/1000,1)+(_xlfn.RANK.AVG($J11,($J11,$O11,$T11),1)-2)*10)</f>
        <v>-1.2</v>
      </c>
      <c r="V11" s="54">
        <f>IF($O11="","",ROUND(($O11-$O$3)/1000,1)+(_xlfn.RANK.AVG($O11,($J11,$O11,$T11),1)-2)*10)</f>
        <v>-11.6</v>
      </c>
      <c r="W11" s="55">
        <f>IF($T11="","",ROUND(($T11-$T$3)/1000,1)+(_xlfn.RANK.AVG($T11,($J11,$O11,$T11),1)-2)*10)</f>
        <v>12.8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4</v>
      </c>
      <c r="BT11" s="30">
        <v>30</v>
      </c>
      <c r="BU11" s="40" t="s">
        <v>82</v>
      </c>
      <c r="BV11" s="41" t="s">
        <v>86</v>
      </c>
      <c r="BW11" s="41" t="s">
        <v>197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ただ</v>
      </c>
      <c r="F12" s="8" t="s">
        <v>194</v>
      </c>
      <c r="G12" s="9">
        <v>-4500</v>
      </c>
      <c r="H12" s="9"/>
      <c r="I12" s="48">
        <v>0</v>
      </c>
      <c r="J12" s="21">
        <f t="shared" si="2"/>
        <v>29300</v>
      </c>
      <c r="K12" s="8" t="s">
        <v>195</v>
      </c>
      <c r="L12" s="9">
        <v>12000</v>
      </c>
      <c r="M12" s="9"/>
      <c r="N12" s="48">
        <v>0</v>
      </c>
      <c r="O12" s="21">
        <f t="shared" si="3"/>
        <v>45400</v>
      </c>
      <c r="P12" s="8" t="s">
        <v>194</v>
      </c>
      <c r="Q12" s="9">
        <v>-7500</v>
      </c>
      <c r="R12" s="9"/>
      <c r="S12" s="48">
        <v>0</v>
      </c>
      <c r="T12" s="21">
        <f t="shared" si="4"/>
        <v>30300</v>
      </c>
      <c r="U12" s="53">
        <f>IF($J12="","",ROUND(($J12-$J$3)/1000,1)+(_xlfn.RANK.AVG($J12,($J12,$O12,$T12),1)-2)*10)</f>
        <v>-15.7</v>
      </c>
      <c r="V12" s="54">
        <f>IF($O12="","",ROUND(($O12-$O$3)/1000,1)+(_xlfn.RANK.AVG($O12,($J12,$O12,$T12),1)-2)*10)</f>
        <v>20.399999999999999</v>
      </c>
      <c r="W12" s="55">
        <f>IF($T12="","",ROUND(($T12-$T$3)/1000,1)+(_xlfn.RANK.AVG($T12,($J12,$O12,$T12),1)-2)*10)</f>
        <v>-4.7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6</v>
      </c>
      <c r="AY12" s="30" t="s">
        <v>196</v>
      </c>
      <c r="AZ12" s="40" t="s">
        <v>204</v>
      </c>
      <c r="BA12" s="41" t="s">
        <v>82</v>
      </c>
      <c r="BB12" s="41" t="s">
        <v>205</v>
      </c>
      <c r="BC12" s="41" t="s">
        <v>79</v>
      </c>
      <c r="BD12" s="41" t="s">
        <v>79</v>
      </c>
      <c r="BE12" s="41" t="s">
        <v>80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7" priority="5">
      <formula>IF(G4&lt;&gt;"",SUM($G4:$I4,$L4:$N4,$Q4:$S4)-$D4*1000+$D5*1000)</formula>
    </cfRule>
  </conditionalFormatting>
  <conditionalFormatting sqref="F1:G1 I1:L1 S1:T1 N1:Q1">
    <cfRule type="duplicateValues" dxfId="16" priority="4"/>
  </conditionalFormatting>
  <conditionalFormatting sqref="H1">
    <cfRule type="duplicateValues" dxfId="15" priority="3"/>
  </conditionalFormatting>
  <conditionalFormatting sqref="R1">
    <cfRule type="duplicateValues" dxfId="14" priority="2"/>
  </conditionalFormatting>
  <conditionalFormatting sqref="M1">
    <cfRule type="duplicateValues" dxfId="13" priority="1"/>
  </conditionalFormatting>
  <dataValidations count="3">
    <dataValidation type="list" allowBlank="1" showInputMessage="1" sqref="F1:T1" xr:uid="{64E20CD9-3E5C-46E2-9212-1265D475347B}">
      <formula1>"れんたろう,ともき,だいち,りくと,まっつん,たかの,のり,ただ,ぱぱ,"</formula1>
    </dataValidation>
    <dataValidation type="list" showInputMessage="1" showErrorMessage="1" sqref="K4:K30 P4:P30 F4:F30" xr:uid="{FCF19742-8718-4BA6-A543-4908B3A2E255}">
      <formula1>"ロン,ツモ,放銃,ツモ支払,流局,チョンボ"</formula1>
    </dataValidation>
    <dataValidation type="list" allowBlank="1" showInputMessage="1" showErrorMessage="1" sqref="E4:E30" xr:uid="{3467FD84-5C9C-475E-BA62-AFB6E3C748C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7ED85-9E5A-496C-A939-CCEEDF065BF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209</v>
      </c>
      <c r="G1" s="78"/>
      <c r="H1" s="78"/>
      <c r="I1" s="79"/>
      <c r="J1" s="80"/>
      <c r="K1" s="77" t="s">
        <v>211</v>
      </c>
      <c r="L1" s="78"/>
      <c r="M1" s="78"/>
      <c r="N1" s="79"/>
      <c r="O1" s="80"/>
      <c r="P1" s="77" t="s">
        <v>206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たかの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210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たかの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3900</v>
      </c>
      <c r="M4" s="9"/>
      <c r="N4" s="48">
        <v>0</v>
      </c>
      <c r="O4" s="21">
        <f>IF(COUNTA($F4,$K4,$P4)&gt;0,O3+SUM(L4:N4),"")</f>
        <v>38900</v>
      </c>
      <c r="P4" s="8" t="s">
        <v>199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13.9</v>
      </c>
      <c r="W4" s="55">
        <f>IF($T4="","",ROUND(($T4-$T$3)/1000,1)+(_xlfn.RANK.AVG($T4,($J4,$O4,$T4),1)-2)*10)</f>
        <v>-13.9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79</v>
      </c>
      <c r="BB4" s="41" t="s">
        <v>197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29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29" si="1">IF($E5="","",IF(OR($F4="流局",$F4="チョンボ"),D4+($H4+$M4+$R4)/-1000,0))</f>
        <v>0</v>
      </c>
      <c r="E5" s="4" t="str">
        <f>IF($K$1="","",$K$1)</f>
        <v>だいち</v>
      </c>
      <c r="F5" s="8" t="s">
        <v>198</v>
      </c>
      <c r="G5" s="9">
        <v>2600</v>
      </c>
      <c r="H5" s="9"/>
      <c r="I5" s="48"/>
      <c r="J5" s="21">
        <f t="shared" ref="J5:J29" si="2">IF(COUNTA($F5,$K5,$P5)&gt;0,J4+SUM(G5:I5),"")</f>
        <v>37600</v>
      </c>
      <c r="K5" s="8" t="s">
        <v>199</v>
      </c>
      <c r="L5" s="9">
        <v>-6500</v>
      </c>
      <c r="M5" s="9"/>
      <c r="N5" s="48">
        <v>0</v>
      </c>
      <c r="O5" s="21">
        <f t="shared" ref="O5:O29" si="3">IF(COUNTA($F5,$K5,$P5)&gt;0,O4+SUM(L5:N5),"")</f>
        <v>32400</v>
      </c>
      <c r="P5" s="8" t="s">
        <v>198</v>
      </c>
      <c r="Q5" s="9">
        <v>3900</v>
      </c>
      <c r="R5" s="9"/>
      <c r="S5" s="48">
        <v>0</v>
      </c>
      <c r="T5" s="21">
        <f t="shared" ref="T5:T29" si="4">IF(COUNTA($F5,$K5,$P5)&gt;0,T4+SUM(Q5:S5),"")</f>
        <v>35000</v>
      </c>
      <c r="U5" s="53">
        <f>IF($J5="","",ROUND(($J5-$J$3)/1000,1)+(_xlfn.RANK.AVG($J5,($J5,$O5,$T5),1)-2)*10)</f>
        <v>12.6</v>
      </c>
      <c r="V5" s="54">
        <f>IF($O5="","",ROUND(($O5-$O$3)/1000,1)+(_xlfn.RANK.AVG($O5,($J5,$O5,$T5),1)-2)*10)</f>
        <v>-12.6</v>
      </c>
      <c r="W5" s="55">
        <f>IF($T5="","",ROUND(($T5-$T$3)/1000,1)+(_xlfn.RANK.AVG($T5,($J5,$O5,$T5),1)-2)*10)</f>
        <v>0</v>
      </c>
      <c r="Y5" s="8"/>
      <c r="Z5" s="34"/>
      <c r="AA5" s="26"/>
      <c r="AB5" s="26"/>
      <c r="AC5" s="26">
        <v>2</v>
      </c>
      <c r="AD5" s="30">
        <v>40</v>
      </c>
      <c r="AE5" s="40" t="s">
        <v>86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83</v>
      </c>
      <c r="BV5" s="41" t="s">
        <v>197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29" si="5">IF($E6="","",IF($E5=$E6,B5,IF(B5=3,1,B5+1)))</f>
        <v>3</v>
      </c>
      <c r="C6" s="18">
        <f t="shared" ref="C6:C29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たかの</v>
      </c>
      <c r="F6" s="8" t="s">
        <v>199</v>
      </c>
      <c r="G6" s="9">
        <v>-6400</v>
      </c>
      <c r="H6" s="9">
        <v>-1000</v>
      </c>
      <c r="I6" s="48">
        <v>0</v>
      </c>
      <c r="J6" s="21">
        <f t="shared" si="2"/>
        <v>30200</v>
      </c>
      <c r="K6" s="8" t="s">
        <v>198</v>
      </c>
      <c r="L6" s="9">
        <v>6400</v>
      </c>
      <c r="M6" s="9">
        <v>1000</v>
      </c>
      <c r="N6" s="48">
        <v>0</v>
      </c>
      <c r="O6" s="21">
        <f t="shared" si="3"/>
        <v>39800</v>
      </c>
      <c r="P6" s="8"/>
      <c r="Q6" s="9"/>
      <c r="R6" s="9"/>
      <c r="S6" s="48"/>
      <c r="T6" s="21">
        <f t="shared" si="4"/>
        <v>35000</v>
      </c>
      <c r="U6" s="53">
        <f>IF($J6="","",ROUND(($J6-$J$3)/1000,1)+(_xlfn.RANK.AVG($J6,($J6,$O6,$T6),1)-2)*10)</f>
        <v>-14.8</v>
      </c>
      <c r="V6" s="54">
        <f>IF($O6="","",ROUND(($O6-$O$3)/1000,1)+(_xlfn.RANK.AVG($O6,($J6,$O6,$T6),1)-2)*10)</f>
        <v>14.8</v>
      </c>
      <c r="W6" s="55">
        <f>IF($T6="","",ROUND(($T6-$T$3)/1000,1)+(_xlfn.RANK.AVG($T6,($J6,$O6,$T6),1)-2)*10)</f>
        <v>0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50</v>
      </c>
      <c r="AZ6" s="40" t="s">
        <v>207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まっつん</v>
      </c>
      <c r="F7" s="8" t="s">
        <v>199</v>
      </c>
      <c r="G7" s="9">
        <v>-3900</v>
      </c>
      <c r="H7" s="9">
        <v>-1000</v>
      </c>
      <c r="I7" s="48">
        <v>0</v>
      </c>
      <c r="J7" s="21">
        <f t="shared" si="2"/>
        <v>25300</v>
      </c>
      <c r="K7" s="8" t="s">
        <v>198</v>
      </c>
      <c r="L7" s="9">
        <v>3900</v>
      </c>
      <c r="M7" s="9">
        <v>1000</v>
      </c>
      <c r="N7" s="48">
        <v>0</v>
      </c>
      <c r="O7" s="21">
        <f t="shared" si="3"/>
        <v>44700</v>
      </c>
      <c r="P7" s="8"/>
      <c r="Q7" s="9"/>
      <c r="R7" s="9"/>
      <c r="S7" s="48"/>
      <c r="T7" s="21">
        <f t="shared" si="4"/>
        <v>35000</v>
      </c>
      <c r="U7" s="53">
        <f>IF($J7="","",ROUND(($J7-$J$3)/1000,1)+(_xlfn.RANK.AVG($J7,($J7,$O7,$T7),1)-2)*10)</f>
        <v>-19.7</v>
      </c>
      <c r="V7" s="54">
        <f>IF($O7="","",ROUND(($O7-$O$3)/1000,1)+(_xlfn.RANK.AVG($O7,($J7,$O7,$T7),1)-2)*10)</f>
        <v>19.7</v>
      </c>
      <c r="W7" s="55">
        <f>IF($T7="","",ROUND(($T7-$T$3)/1000,1)+(_xlfn.RANK.AVG($T7,($J7,$O7,$T7),1)-2)*10)</f>
        <v>0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204</v>
      </c>
      <c r="BA7" s="41" t="s">
        <v>83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198</v>
      </c>
      <c r="G8" s="9">
        <v>5200</v>
      </c>
      <c r="H8" s="9"/>
      <c r="I8" s="48">
        <v>0</v>
      </c>
      <c r="J8" s="21">
        <f t="shared" si="2"/>
        <v>30500</v>
      </c>
      <c r="K8" s="8" t="s">
        <v>199</v>
      </c>
      <c r="L8" s="9">
        <v>-5200</v>
      </c>
      <c r="M8" s="9"/>
      <c r="N8" s="48">
        <v>0</v>
      </c>
      <c r="O8" s="21">
        <f t="shared" si="3"/>
        <v>39500</v>
      </c>
      <c r="P8" s="8"/>
      <c r="Q8" s="9"/>
      <c r="R8" s="9"/>
      <c r="S8" s="48"/>
      <c r="T8" s="21">
        <f t="shared" si="4"/>
        <v>35000</v>
      </c>
      <c r="U8" s="53">
        <f>IF($J8="","",ROUND(($J8-$J$3)/1000,1)+(_xlfn.RANK.AVG($J8,($J8,$O8,$T8),1)-2)*10)</f>
        <v>-14.5</v>
      </c>
      <c r="V8" s="54">
        <f>IF($O8="","",ROUND(($O8-$O$3)/1000,1)+(_xlfn.RANK.AVG($O8,($J8,$O8,$T8),1)-2)*10)</f>
        <v>14.5</v>
      </c>
      <c r="W8" s="55">
        <f>IF($T8="","",ROUND(($T8-$T$3)/1000,1)+(_xlfn.RANK.AVG($T8,($J8,$O8,$T8),1)-2)*10)</f>
        <v>0</v>
      </c>
      <c r="Y8" s="8"/>
      <c r="Z8" s="34"/>
      <c r="AA8" s="26">
        <v>1</v>
      </c>
      <c r="AB8" s="26"/>
      <c r="AC8" s="26">
        <v>3</v>
      </c>
      <c r="AD8" s="30">
        <v>40</v>
      </c>
      <c r="AE8" s="40" t="s">
        <v>204</v>
      </c>
      <c r="AF8" s="41" t="s">
        <v>205</v>
      </c>
      <c r="AG8" s="41" t="s">
        <v>86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たかの</v>
      </c>
      <c r="F9" s="8" t="s">
        <v>203</v>
      </c>
      <c r="G9" s="9">
        <v>-1500</v>
      </c>
      <c r="H9" s="9"/>
      <c r="I9" s="48"/>
      <c r="J9" s="21">
        <f t="shared" si="2"/>
        <v>29000</v>
      </c>
      <c r="K9" s="8" t="s">
        <v>203</v>
      </c>
      <c r="L9" s="9">
        <v>3000</v>
      </c>
      <c r="M9" s="9">
        <v>0</v>
      </c>
      <c r="N9" s="48"/>
      <c r="O9" s="21">
        <f t="shared" si="3"/>
        <v>42500</v>
      </c>
      <c r="P9" s="8" t="s">
        <v>203</v>
      </c>
      <c r="Q9" s="9">
        <v>-1500</v>
      </c>
      <c r="R9" s="9"/>
      <c r="S9" s="48"/>
      <c r="T9" s="21">
        <f t="shared" si="4"/>
        <v>33500</v>
      </c>
      <c r="U9" s="53">
        <f>IF($J9="","",ROUND(($J9-$J$3)/1000,1)+(_xlfn.RANK.AVG($J9,($J9,$O9,$T9),1)-2)*10)</f>
        <v>-16</v>
      </c>
      <c r="V9" s="54">
        <f>IF($O9="","",ROUND(($O9-$O$3)/1000,1)+(_xlfn.RANK.AVG($O9,($J9,$O9,$T9),1)-2)*10)</f>
        <v>17.5</v>
      </c>
      <c r="W9" s="55">
        <f>IF($T9="","",ROUND(($T9-$T$3)/1000,1)+(_xlfn.RANK.AVG($T9,($J9,$O9,$T9),1)-2)*10)</f>
        <v>-1.5</v>
      </c>
      <c r="Y9" s="8" t="s">
        <v>201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200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201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ref="A11" si="7">IF($E11="","",IF(AND(B10=3,B11=1),_xlfn.SWITCH(A10,"東","南","南","西","西","北","北","東"),A10))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4" t="str">
        <f t="shared" si="0"/>
        <v/>
      </c>
      <c r="B29" s="19" t="str">
        <f t="shared" si="5"/>
        <v/>
      </c>
      <c r="C29" s="19" t="str">
        <f t="shared" si="6"/>
        <v/>
      </c>
      <c r="D29" s="19" t="str">
        <f t="shared" si="1"/>
        <v/>
      </c>
      <c r="E29" s="5"/>
      <c r="F29" s="10"/>
      <c r="G29" s="11"/>
      <c r="H29" s="11"/>
      <c r="I29" s="49"/>
      <c r="J29" s="22" t="str">
        <f t="shared" si="2"/>
        <v/>
      </c>
      <c r="K29" s="10"/>
      <c r="L29" s="11"/>
      <c r="M29" s="11"/>
      <c r="N29" s="49"/>
      <c r="O29" s="22" t="str">
        <f t="shared" si="3"/>
        <v/>
      </c>
      <c r="P29" s="10"/>
      <c r="Q29" s="11"/>
      <c r="R29" s="11"/>
      <c r="S29" s="49"/>
      <c r="T29" s="22" t="str">
        <f t="shared" si="4"/>
        <v/>
      </c>
      <c r="U29" s="56" t="str">
        <f>IF($J29="","",ROUND(($J29-$J$3)/1000,1)+(_xlfn.RANK.AVG($J29,($J29,$O29,$T29),1)-2)*10)</f>
        <v/>
      </c>
      <c r="V29" s="57" t="str">
        <f>IF($O29="","",ROUND(($O29-$O$3)/1000,1)+(_xlfn.RANK.AVG($O29,($J29,$O29,$T29),1)-2)*10)</f>
        <v/>
      </c>
      <c r="W29" s="58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9 G12:G29 L4:L9 L12:L29 Q4:Q9 Q12:Q29">
    <cfRule type="expression" dxfId="12" priority="5">
      <formula>IF(G4&lt;&gt;"",SUM($G4:$I4,$L4:$N4,$Q4:$S4)-$D4*1000+$D5*1000)</formula>
    </cfRule>
  </conditionalFormatting>
  <conditionalFormatting sqref="F1:G1 I1:L1 S1:T1 N1:Q1">
    <cfRule type="duplicateValues" dxfId="11" priority="4"/>
  </conditionalFormatting>
  <conditionalFormatting sqref="H1">
    <cfRule type="duplicateValues" dxfId="10" priority="3"/>
  </conditionalFormatting>
  <conditionalFormatting sqref="R1">
    <cfRule type="duplicateValues" dxfId="9" priority="2"/>
  </conditionalFormatting>
  <conditionalFormatting sqref="M1">
    <cfRule type="duplicateValues" dxfId="8" priority="1"/>
  </conditionalFormatting>
  <conditionalFormatting sqref="G10:G11 L10:L11 Q10:Q11">
    <cfRule type="expression" dxfId="7" priority="8">
      <formula>IF(G10&lt;&gt;"",SUM($G10:$I10,$L10:$N10,$Q10:$S10)-$D10*1000+#REF!*1000)</formula>
    </cfRule>
  </conditionalFormatting>
  <dataValidations count="3">
    <dataValidation type="list" allowBlank="1" showInputMessage="1" showErrorMessage="1" sqref="E4:E29" xr:uid="{E8395D2F-C624-41F8-B668-C8B5FB6D343E}">
      <formula1>$U$2:$W$2</formula1>
    </dataValidation>
    <dataValidation type="list" showInputMessage="1" showErrorMessage="1" sqref="K4:K29 P4:P29 F4:F29" xr:uid="{B5BBB9F2-7BB4-436B-BA41-4629B445718F}">
      <formula1>"ロン,ツモ,放銃,ツモ支払,流局,チョンボ"</formula1>
    </dataValidation>
    <dataValidation type="list" allowBlank="1" showInputMessage="1" sqref="F1:T1" xr:uid="{B5423067-8709-43BC-AFEA-C26DB368169F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D7C3-A903-490F-8A52-496CAFFE6B39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206</v>
      </c>
      <c r="G1" s="78"/>
      <c r="H1" s="78"/>
      <c r="I1" s="79"/>
      <c r="J1" s="80"/>
      <c r="K1" s="77" t="s">
        <v>208</v>
      </c>
      <c r="L1" s="78"/>
      <c r="M1" s="78"/>
      <c r="N1" s="79"/>
      <c r="O1" s="80"/>
      <c r="P1" s="77" t="s">
        <v>209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れんたろう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たかの</v>
      </c>
      <c r="V2" s="75" t="str">
        <f>$K$1</f>
        <v>れんたろう</v>
      </c>
      <c r="W2" s="16" t="str">
        <f>$P$1</f>
        <v>まっつん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 t="s">
        <v>194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194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195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-12.5</v>
      </c>
      <c r="V4" s="54">
        <f>IF($O4="","",ROUND(($O4-$O$3)/1000,1)+(_xlfn.RANK.AVG($O4,($J4,$O4,$T4),1)-2)*10)</f>
        <v>-1.5</v>
      </c>
      <c r="W4" s="55">
        <f>IF($T4="","",ROUND(($T4-$T$3)/1000,1)+(_xlfn.RANK.AVG($T4,($J4,$O4,$T4),1)-2)*10)</f>
        <v>14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30</v>
      </c>
      <c r="BU4" s="40" t="s">
        <v>204</v>
      </c>
      <c r="BV4" s="41" t="s">
        <v>82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1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29" si="1">IF($E5="","",IF(OR($F4="流局",$F4="チョンボ"),D4+($H4+$M4+$R4)/-1000,0))</f>
        <v>0</v>
      </c>
      <c r="E5" s="4" t="str">
        <f>IF($K$1="","",$K$1)</f>
        <v>れんたろう</v>
      </c>
      <c r="F5" s="8" t="s">
        <v>195</v>
      </c>
      <c r="G5" s="9">
        <v>1200</v>
      </c>
      <c r="H5" s="9"/>
      <c r="I5" s="48">
        <v>0</v>
      </c>
      <c r="J5" s="21">
        <f t="shared" ref="J5:J29" si="2">IF(COUNTA($F5,$K5,$P5)&gt;0,J4+SUM(G5:I5),"")</f>
        <v>33700</v>
      </c>
      <c r="K5" s="8" t="s">
        <v>194</v>
      </c>
      <c r="L5" s="9">
        <v>-700</v>
      </c>
      <c r="M5" s="9"/>
      <c r="N5" s="48">
        <v>0</v>
      </c>
      <c r="O5" s="21">
        <f t="shared" ref="O5:O29" si="3">IF(COUNTA($F5,$K5,$P5)&gt;0,O4+SUM(L5:N5),"")</f>
        <v>32800</v>
      </c>
      <c r="P5" s="8" t="s">
        <v>194</v>
      </c>
      <c r="Q5" s="9">
        <v>-500</v>
      </c>
      <c r="R5" s="9"/>
      <c r="S5" s="48">
        <v>0</v>
      </c>
      <c r="T5" s="21">
        <f t="shared" ref="T5:T29" si="4">IF(COUNTA($F5,$K5,$P5)&gt;0,T4+SUM(Q5:S5),"")</f>
        <v>38500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-12.2</v>
      </c>
      <c r="W5" s="55">
        <f>IF($T5="","",ROUND(($T5-$T$3)/1000,1)+(_xlfn.RANK.AVG($T5,($J5,$O5,$T5),1)-2)*10)</f>
        <v>13.5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29" si="5">IF($E6="","",IF($E5=$E6,B5,IF(B5=3,1,B5+1)))</f>
        <v>3</v>
      </c>
      <c r="C6" s="18">
        <f t="shared" ref="C6:C29" si="6">IF($E6="","",IF($F5="チョンボ",C5,IF(OR($E5=$E6,$F5="流局"),C5+1,0)))</f>
        <v>0</v>
      </c>
      <c r="D6" s="18">
        <f t="shared" si="1"/>
        <v>0</v>
      </c>
      <c r="E6" s="4" t="str">
        <f>IF($P$1="","",$P$1)</f>
        <v>まっつん</v>
      </c>
      <c r="F6" s="8" t="s">
        <v>202</v>
      </c>
      <c r="G6" s="9">
        <v>1500</v>
      </c>
      <c r="H6" s="9"/>
      <c r="I6" s="48"/>
      <c r="J6" s="21">
        <f t="shared" si="2"/>
        <v>35200</v>
      </c>
      <c r="K6" s="8" t="s">
        <v>202</v>
      </c>
      <c r="L6" s="9">
        <v>-3000</v>
      </c>
      <c r="M6" s="9"/>
      <c r="N6" s="48"/>
      <c r="O6" s="21">
        <f t="shared" si="3"/>
        <v>29800</v>
      </c>
      <c r="P6" s="8" t="s">
        <v>202</v>
      </c>
      <c r="Q6" s="9">
        <v>1500</v>
      </c>
      <c r="R6" s="9"/>
      <c r="S6" s="48"/>
      <c r="T6" s="21">
        <f t="shared" si="4"/>
        <v>40000</v>
      </c>
      <c r="U6" s="53">
        <f>IF($J6="","",ROUND(($J6-$J$3)/1000,1)+(_xlfn.RANK.AVG($J6,($J6,$O6,$T6),1)-2)*10)</f>
        <v>0.2</v>
      </c>
      <c r="V6" s="54">
        <f>IF($O6="","",ROUND(($O6-$O$3)/1000,1)+(_xlfn.RANK.AVG($O6,($J6,$O6,$T6),1)-2)*10)</f>
        <v>-15.2</v>
      </c>
      <c r="W6" s="55">
        <f>IF($T6="","",ROUND(($T6-$T$3)/1000,1)+(_xlfn.RANK.AVG($T6,($J6,$O6,$T6),1)-2)*10)</f>
        <v>15</v>
      </c>
      <c r="Y6" s="8" t="s">
        <v>200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201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200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まっつん</v>
      </c>
      <c r="F7" s="8" t="s">
        <v>199</v>
      </c>
      <c r="G7" s="9">
        <v>-3900</v>
      </c>
      <c r="H7" s="9"/>
      <c r="I7" s="48">
        <v>-1000</v>
      </c>
      <c r="J7" s="21">
        <f t="shared" si="2"/>
        <v>30300</v>
      </c>
      <c r="K7" s="8"/>
      <c r="L7" s="9"/>
      <c r="M7" s="9"/>
      <c r="N7" s="48"/>
      <c r="O7" s="21">
        <f t="shared" si="3"/>
        <v>29800</v>
      </c>
      <c r="P7" s="8" t="s">
        <v>198</v>
      </c>
      <c r="Q7" s="9">
        <v>3900</v>
      </c>
      <c r="R7" s="9"/>
      <c r="S7" s="48">
        <v>1000</v>
      </c>
      <c r="T7" s="21">
        <f t="shared" si="4"/>
        <v>44900</v>
      </c>
      <c r="U7" s="53">
        <f>IF($J7="","",ROUND(($J7-$J$3)/1000,1)+(_xlfn.RANK.AVG($J7,($J7,$O7,$T7),1)-2)*10)</f>
        <v>-4.7</v>
      </c>
      <c r="V7" s="54">
        <f>IF($O7="","",ROUND(($O7-$O$3)/1000,1)+(_xlfn.RANK.AVG($O7,($J7,$O7,$T7),1)-2)*10)</f>
        <v>-15.2</v>
      </c>
      <c r="W7" s="55">
        <f>IF($T7="","",ROUND(($T7-$T$3)/1000,1)+(_xlfn.RANK.AVG($T7,($J7,$O7,$T7),1)-2)*10)</f>
        <v>19.899999999999999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204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まっつん</v>
      </c>
      <c r="F8" s="8" t="s">
        <v>198</v>
      </c>
      <c r="G8" s="9">
        <v>8000</v>
      </c>
      <c r="H8" s="9"/>
      <c r="I8" s="48">
        <v>2000</v>
      </c>
      <c r="J8" s="21">
        <f t="shared" si="2"/>
        <v>40300</v>
      </c>
      <c r="K8" s="8" t="s">
        <v>199</v>
      </c>
      <c r="L8" s="9">
        <v>-8000</v>
      </c>
      <c r="M8" s="9"/>
      <c r="N8" s="48">
        <v>-2000</v>
      </c>
      <c r="O8" s="21">
        <f t="shared" si="3"/>
        <v>19800</v>
      </c>
      <c r="P8" s="8"/>
      <c r="Q8" s="9"/>
      <c r="R8" s="9"/>
      <c r="S8" s="48"/>
      <c r="T8" s="21">
        <f t="shared" si="4"/>
        <v>44900</v>
      </c>
      <c r="U8" s="53">
        <f>IF($J8="","",ROUND(($J8-$J$3)/1000,1)+(_xlfn.RANK.AVG($J8,($J8,$O8,$T8),1)-2)*10)</f>
        <v>5.3</v>
      </c>
      <c r="V8" s="54">
        <f>IF($O8="","",ROUND(($O8-$O$3)/1000,1)+(_xlfn.RANK.AVG($O8,($J8,$O8,$T8),1)-2)*10)</f>
        <v>-25.2</v>
      </c>
      <c r="W8" s="55">
        <f>IF($T8="","",ROUND(($T8-$T$3)/1000,1)+(_xlfn.RANK.AVG($T8,($J8,$O8,$T8),1)-2)*10)</f>
        <v>19.899999999999999</v>
      </c>
      <c r="Y8" s="8"/>
      <c r="Z8" s="34"/>
      <c r="AA8" s="26">
        <v>1</v>
      </c>
      <c r="AB8" s="26"/>
      <c r="AC8" s="26">
        <v>5</v>
      </c>
      <c r="AD8" s="30" t="s">
        <v>196</v>
      </c>
      <c r="AE8" s="40" t="s">
        <v>204</v>
      </c>
      <c r="AF8" s="41" t="s">
        <v>79</v>
      </c>
      <c r="AG8" s="41" t="s">
        <v>80</v>
      </c>
      <c r="AH8" s="41" t="s">
        <v>80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たかの</v>
      </c>
      <c r="F9" s="8" t="s">
        <v>199</v>
      </c>
      <c r="G9" s="9">
        <v>-7700</v>
      </c>
      <c r="H9" s="9"/>
      <c r="I9" s="48">
        <v>0</v>
      </c>
      <c r="J9" s="21">
        <f t="shared" si="2"/>
        <v>32600</v>
      </c>
      <c r="K9" s="8"/>
      <c r="L9" s="9"/>
      <c r="M9" s="9"/>
      <c r="N9" s="48"/>
      <c r="O9" s="21">
        <f t="shared" si="3"/>
        <v>19800</v>
      </c>
      <c r="P9" s="8" t="s">
        <v>198</v>
      </c>
      <c r="Q9" s="9">
        <v>7700</v>
      </c>
      <c r="R9" s="9"/>
      <c r="S9" s="48">
        <v>0</v>
      </c>
      <c r="T9" s="21">
        <f t="shared" si="4"/>
        <v>52600</v>
      </c>
      <c r="U9" s="53">
        <f>IF($J9="","",ROUND(($J9-$J$3)/1000,1)+(_xlfn.RANK.AVG($J9,($J9,$O9,$T9),1)-2)*10)</f>
        <v>-2.4</v>
      </c>
      <c r="V9" s="54">
        <f>IF($O9="","",ROUND(($O9-$O$3)/1000,1)+(_xlfn.RANK.AVG($O9,($J9,$O9,$T9),1)-2)*10)</f>
        <v>-25.2</v>
      </c>
      <c r="W9" s="55">
        <f>IF($T9="","",ROUND(($T9-$T$3)/1000,1)+(_xlfn.RANK.AVG($T9,($J9,$O9,$T9),1)-2)*10)</f>
        <v>27.6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79</v>
      </c>
      <c r="BW9" s="41" t="s">
        <v>79</v>
      </c>
      <c r="BX9" s="41" t="s">
        <v>79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194</v>
      </c>
      <c r="G10" s="9">
        <v>-6000</v>
      </c>
      <c r="H10" s="9"/>
      <c r="I10" s="48">
        <v>0</v>
      </c>
      <c r="J10" s="21">
        <f t="shared" si="2"/>
        <v>26600</v>
      </c>
      <c r="K10" s="8" t="s">
        <v>195</v>
      </c>
      <c r="L10" s="9">
        <v>12000</v>
      </c>
      <c r="M10" s="9"/>
      <c r="N10" s="48">
        <v>0</v>
      </c>
      <c r="O10" s="21">
        <f t="shared" si="3"/>
        <v>31800</v>
      </c>
      <c r="P10" s="8" t="s">
        <v>194</v>
      </c>
      <c r="Q10" s="9">
        <v>-6000</v>
      </c>
      <c r="R10" s="9"/>
      <c r="S10" s="48">
        <v>0</v>
      </c>
      <c r="T10" s="21">
        <f t="shared" si="4"/>
        <v>46600</v>
      </c>
      <c r="U10" s="53">
        <f>IF($J10="","",ROUND(($J10-$J$3)/1000,1)+(_xlfn.RANK.AVG($J10,($J10,$O10,$T10),1)-2)*10)</f>
        <v>-18.399999999999999</v>
      </c>
      <c r="V10" s="54">
        <f>IF($O10="","",ROUND(($O10-$O$3)/1000,1)+(_xlfn.RANK.AVG($O10,($J10,$O10,$T10),1)-2)*10)</f>
        <v>-3.2</v>
      </c>
      <c r="W10" s="55">
        <f>IF($T10="","",ROUND(($T10-$T$3)/1000,1)+(_xlfn.RANK.AVG($T10,($J10,$O10,$T10),1)-2)*10)</f>
        <v>21.6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196</v>
      </c>
      <c r="AZ10" s="40" t="s">
        <v>204</v>
      </c>
      <c r="BA10" s="41" t="s">
        <v>82</v>
      </c>
      <c r="BB10" s="41" t="s">
        <v>197</v>
      </c>
      <c r="BC10" s="41" t="s">
        <v>80</v>
      </c>
      <c r="BD10" s="41" t="s">
        <v>83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ref="A11:A29" si="7">IF($E11="","",IF(AND(B10=3,B11=1),_xlfn.SWITCH(A10,"東","南","南","西","西","北","北","東"),A10))</f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 t="shared" ref="E11" si="8">IF($K$1="","",$K$1)</f>
        <v>れんたろう</v>
      </c>
      <c r="F11" s="8" t="s">
        <v>194</v>
      </c>
      <c r="G11" s="9">
        <v>-12000</v>
      </c>
      <c r="H11" s="9">
        <v>-1000</v>
      </c>
      <c r="I11" s="48">
        <v>-500</v>
      </c>
      <c r="J11" s="21">
        <f t="shared" si="2"/>
        <v>13100</v>
      </c>
      <c r="K11" s="8" t="s">
        <v>194</v>
      </c>
      <c r="L11" s="9">
        <v>-20000</v>
      </c>
      <c r="M11" s="9"/>
      <c r="N11" s="48">
        <v>-500</v>
      </c>
      <c r="O11" s="21">
        <f t="shared" si="3"/>
        <v>11300</v>
      </c>
      <c r="P11" s="8" t="s">
        <v>195</v>
      </c>
      <c r="Q11" s="9">
        <v>32000</v>
      </c>
      <c r="R11" s="9">
        <v>1000</v>
      </c>
      <c r="S11" s="48">
        <v>1000</v>
      </c>
      <c r="T11" s="21">
        <f t="shared" si="4"/>
        <v>80600</v>
      </c>
      <c r="U11" s="53">
        <f>IF($J11="","",ROUND(($J11-$J$3)/1000,1)+(_xlfn.RANK.AVG($J11,($J11,$O11,$T11),1)-2)*10)</f>
        <v>-21.9</v>
      </c>
      <c r="V11" s="54">
        <f>IF($O11="","",ROUND(($O11-$O$3)/1000,1)+(_xlfn.RANK.AVG($O11,($J11,$O11,$T11),1)-2)*10)</f>
        <v>-33.700000000000003</v>
      </c>
      <c r="W11" s="55">
        <f>IF($T11="","",ROUND(($T11-$T$3)/1000,1)+(_xlfn.RANK.AVG($T11,($J11,$O11,$T11),1)-2)*10)</f>
        <v>55.6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13</v>
      </c>
      <c r="BT11" s="30" t="s">
        <v>196</v>
      </c>
      <c r="BU11" s="40" t="s">
        <v>107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7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まっつん</v>
      </c>
      <c r="F12" s="8" t="s">
        <v>194</v>
      </c>
      <c r="G12" s="9">
        <v>-2900</v>
      </c>
      <c r="H12" s="9"/>
      <c r="I12" s="48">
        <v>0</v>
      </c>
      <c r="J12" s="21">
        <f t="shared" si="2"/>
        <v>10200</v>
      </c>
      <c r="K12" s="8" t="s">
        <v>195</v>
      </c>
      <c r="L12" s="9">
        <v>7700</v>
      </c>
      <c r="M12" s="9"/>
      <c r="N12" s="48">
        <v>0</v>
      </c>
      <c r="O12" s="21">
        <f t="shared" si="3"/>
        <v>19000</v>
      </c>
      <c r="P12" s="8" t="s">
        <v>194</v>
      </c>
      <c r="Q12" s="9">
        <v>-4800</v>
      </c>
      <c r="R12" s="9"/>
      <c r="S12" s="48">
        <v>0</v>
      </c>
      <c r="T12" s="21">
        <f t="shared" si="4"/>
        <v>75800</v>
      </c>
      <c r="U12" s="53">
        <f>IF($J12="","",ROUND(($J12-$J$3)/1000,1)+(_xlfn.RANK.AVG($J12,($J12,$O12,$T12),1)-2)*10)</f>
        <v>-34.799999999999997</v>
      </c>
      <c r="V12" s="54">
        <f>IF($O12="","",ROUND(($O12-$O$3)/1000,1)+(_xlfn.RANK.AVG($O12,($J12,$O12,$T12),1)-2)*10)</f>
        <v>-16</v>
      </c>
      <c r="W12" s="55">
        <f>IF($T12="","",ROUND(($T12-$T$3)/1000,1)+(_xlfn.RANK.AVG($T12,($J12,$O12,$T12),1)-2)*10)</f>
        <v>50.8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30</v>
      </c>
      <c r="AZ12" s="40" t="s">
        <v>204</v>
      </c>
      <c r="BA12" s="41" t="s">
        <v>82</v>
      </c>
      <c r="BB12" s="41" t="s">
        <v>84</v>
      </c>
      <c r="BC12" s="41" t="s">
        <v>80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7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たかの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10"/>
      <c r="G29" s="11"/>
      <c r="H29" s="11"/>
      <c r="I29" s="49"/>
      <c r="J29" s="22" t="str">
        <f t="shared" si="2"/>
        <v/>
      </c>
      <c r="K29" s="10"/>
      <c r="L29" s="11"/>
      <c r="M29" s="11"/>
      <c r="N29" s="49"/>
      <c r="O29" s="22" t="str">
        <f t="shared" si="3"/>
        <v/>
      </c>
      <c r="P29" s="10"/>
      <c r="Q29" s="11"/>
      <c r="R29" s="11"/>
      <c r="S29" s="49"/>
      <c r="T29" s="22" t="str">
        <f t="shared" si="4"/>
        <v/>
      </c>
      <c r="U29" s="56" t="str">
        <f>IF($J29="","",ROUND(($J29-$J$3)/1000,1)+(_xlfn.RANK.AVG($J29,($J29,$O29,$T29),1)-2)*10)</f>
        <v/>
      </c>
      <c r="V29" s="57" t="str">
        <f>IF($O29="","",ROUND(($O29-$O$3)/1000,1)+(_xlfn.RANK.AVG($O29,($J29,$O29,$T29),1)-2)*10)</f>
        <v/>
      </c>
      <c r="W29" s="58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9 G12:G29 L4:L9 L12:L29 Q4:Q9 Q12:Q29">
    <cfRule type="expression" dxfId="6" priority="6">
      <formula>IF(G4&lt;&gt;"",SUM($G4:$I4,$L4:$N4,$Q4:$S4)-$D4*1000+$D5*1000)</formula>
    </cfRule>
  </conditionalFormatting>
  <conditionalFormatting sqref="F1:G1 I1:L1 S1:T1 N1:Q1">
    <cfRule type="duplicateValues" dxfId="5" priority="5"/>
  </conditionalFormatting>
  <conditionalFormatting sqref="H1">
    <cfRule type="duplicateValues" dxfId="4" priority="4"/>
  </conditionalFormatting>
  <conditionalFormatting sqref="R1">
    <cfRule type="duplicateValues" dxfId="3" priority="3"/>
  </conditionalFormatting>
  <conditionalFormatting sqref="M1">
    <cfRule type="duplicateValues" dxfId="2" priority="2"/>
  </conditionalFormatting>
  <conditionalFormatting sqref="G10 L10 Q10">
    <cfRule type="expression" dxfId="1" priority="7">
      <formula>IF(G10&lt;&gt;"",SUM($G10:$I10,$L10:$N10,$Q10:$S10)-$D10*1000+#REF!*1000)</formula>
    </cfRule>
  </conditionalFormatting>
  <conditionalFormatting sqref="G11 L11 Q11">
    <cfRule type="expression" dxfId="0" priority="1">
      <formula>IF(G11&lt;&gt;"",SUM($G11:$I11,$L11:$N11,$Q11:$S11)-$D11*1000+#REF!*1000)</formula>
    </cfRule>
  </conditionalFormatting>
  <dataValidations count="3">
    <dataValidation type="list" showInputMessage="1" showErrorMessage="1" sqref="K4:K29 P4:P29 F4:F29" xr:uid="{EBF0BF9F-81EF-401C-8F4B-F805EB1FA05E}">
      <formula1>"ロン,ツモ,放銃,ツモ支払,流局,チョンボ"</formula1>
    </dataValidation>
    <dataValidation type="list" allowBlank="1" showInputMessage="1" showErrorMessage="1" sqref="E4:E29" xr:uid="{EA6FAB36-CCCD-4520-87CA-39B396CF42C1}">
      <formula1>$U$2:$W$2</formula1>
    </dataValidation>
    <dataValidation type="list" allowBlank="1" showInputMessage="1" sqref="F1:T1" xr:uid="{13FA59B3-B5F1-44AB-A13E-ECD05800DF83}">
      <formula1>"れんたろう,ともき,だいち,りくと,まっつん,たかの,のり,ただ,ぱぱ,Player1,Player2,Player3,"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2020-06-28T11:53:02Z</dcterms:modified>
</cp:coreProperties>
</file>