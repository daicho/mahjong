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527E281E-C252-4BE3-9E01-69E0BAF72B25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23" l="1"/>
  <c r="E10" i="23"/>
  <c r="E9" i="23"/>
  <c r="E8" i="23"/>
  <c r="E7" i="23"/>
  <c r="E6" i="23"/>
  <c r="D6" i="23" s="1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D9" i="23"/>
  <c r="D10" i="23" s="1"/>
  <c r="C8" i="23"/>
  <c r="D8" i="23"/>
  <c r="O7" i="23"/>
  <c r="O8" i="23" s="1"/>
  <c r="D7" i="23"/>
  <c r="O6" i="23"/>
  <c r="J6" i="23"/>
  <c r="O5" i="23"/>
  <c r="J5" i="23"/>
  <c r="T4" i="23"/>
  <c r="T5" i="23" s="1"/>
  <c r="O4" i="23"/>
  <c r="J4" i="23"/>
  <c r="E4" i="23"/>
  <c r="W3" i="23"/>
  <c r="V3" i="23"/>
  <c r="U3" i="23"/>
  <c r="W2" i="23"/>
  <c r="V2" i="23"/>
  <c r="U2" i="23"/>
  <c r="BO1" i="23"/>
  <c r="AT1" i="23"/>
  <c r="Y1" i="23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O10" i="22"/>
  <c r="J10" i="22"/>
  <c r="D10" i="22"/>
  <c r="C10" i="22"/>
  <c r="B10" i="22"/>
  <c r="A10" i="22" s="1"/>
  <c r="C9" i="22"/>
  <c r="D9" i="22"/>
  <c r="C7" i="22"/>
  <c r="D7" i="22"/>
  <c r="C6" i="22"/>
  <c r="T5" i="22"/>
  <c r="T6" i="22" s="1"/>
  <c r="J5" i="22"/>
  <c r="J6" i="22" s="1"/>
  <c r="D5" i="22"/>
  <c r="T4" i="22"/>
  <c r="O4" i="22"/>
  <c r="O5" i="22" s="1"/>
  <c r="J4" i="22"/>
  <c r="U4" i="22" s="1"/>
  <c r="E4" i="22"/>
  <c r="C5" i="22" s="1"/>
  <c r="W3" i="22"/>
  <c r="V3" i="22"/>
  <c r="U3" i="22"/>
  <c r="W2" i="22"/>
  <c r="V2" i="22"/>
  <c r="U2" i="22"/>
  <c r="BO1" i="22"/>
  <c r="AT1" i="22"/>
  <c r="Y1" i="22"/>
  <c r="O9" i="23" l="1"/>
  <c r="V5" i="23"/>
  <c r="T6" i="23"/>
  <c r="V6" i="23" s="1"/>
  <c r="W5" i="23"/>
  <c r="U5" i="23"/>
  <c r="B5" i="23"/>
  <c r="C10" i="23"/>
  <c r="C5" i="23"/>
  <c r="D5" i="23"/>
  <c r="J7" i="23"/>
  <c r="C6" i="23"/>
  <c r="C7" i="23" s="1"/>
  <c r="B6" i="23"/>
  <c r="V4" i="23"/>
  <c r="C9" i="23"/>
  <c r="U4" i="23"/>
  <c r="W4" i="23"/>
  <c r="W10" i="22"/>
  <c r="U10" i="22"/>
  <c r="V10" i="22"/>
  <c r="W4" i="22"/>
  <c r="T7" i="22"/>
  <c r="U6" i="22"/>
  <c r="J7" i="22"/>
  <c r="O6" i="22"/>
  <c r="W6" i="22" s="1"/>
  <c r="V5" i="22"/>
  <c r="B5" i="22"/>
  <c r="W5" i="22"/>
  <c r="C8" i="22"/>
  <c r="D8" i="22"/>
  <c r="V4" i="22"/>
  <c r="D6" i="22"/>
  <c r="U5" i="22"/>
  <c r="U6" i="23" l="1"/>
  <c r="J8" i="23"/>
  <c r="O10" i="23"/>
  <c r="B7" i="23"/>
  <c r="T7" i="23"/>
  <c r="U7" i="23" s="1"/>
  <c r="W6" i="23"/>
  <c r="A5" i="23"/>
  <c r="A6" i="23" s="1"/>
  <c r="A7" i="23" s="1"/>
  <c r="T8" i="22"/>
  <c r="A5" i="22"/>
  <c r="B6" i="22"/>
  <c r="O7" i="22"/>
  <c r="W7" i="22" s="1"/>
  <c r="V6" i="22"/>
  <c r="J8" i="22"/>
  <c r="T8" i="23" l="1"/>
  <c r="W7" i="23"/>
  <c r="V7" i="23"/>
  <c r="J9" i="23"/>
  <c r="U8" i="23"/>
  <c r="B8" i="23"/>
  <c r="A8" i="23" s="1"/>
  <c r="B7" i="22"/>
  <c r="A6" i="22"/>
  <c r="J9" i="22"/>
  <c r="O8" i="22"/>
  <c r="W8" i="22" s="1"/>
  <c r="V7" i="22"/>
  <c r="T9" i="22"/>
  <c r="U7" i="22"/>
  <c r="J10" i="23" l="1"/>
  <c r="T9" i="23"/>
  <c r="U9" i="23" s="1"/>
  <c r="W8" i="23"/>
  <c r="B9" i="23"/>
  <c r="A9" i="23" s="1"/>
  <c r="V8" i="23"/>
  <c r="B8" i="22"/>
  <c r="A7" i="22"/>
  <c r="O9" i="22"/>
  <c r="V9" i="22" s="1"/>
  <c r="V8" i="22"/>
  <c r="U9" i="22"/>
  <c r="U8" i="22"/>
  <c r="V9" i="23" l="1"/>
  <c r="B10" i="23"/>
  <c r="A10" i="23" s="1"/>
  <c r="T10" i="23"/>
  <c r="W10" i="23" s="1"/>
  <c r="W9" i="23"/>
  <c r="B9" i="22"/>
  <c r="A8" i="22"/>
  <c r="W9" i="22"/>
  <c r="E9" i="21"/>
  <c r="E8" i="21"/>
  <c r="E7" i="21"/>
  <c r="C7" i="21" s="1"/>
  <c r="E6" i="21"/>
  <c r="E5" i="21"/>
  <c r="D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9" i="21"/>
  <c r="D10" i="21" s="1"/>
  <c r="C9" i="21"/>
  <c r="C10" i="21" s="1"/>
  <c r="T6" i="21"/>
  <c r="T7" i="21" s="1"/>
  <c r="T5" i="21"/>
  <c r="O5" i="21"/>
  <c r="O6" i="21" s="1"/>
  <c r="T4" i="21"/>
  <c r="O4" i="21"/>
  <c r="J4" i="21"/>
  <c r="J5" i="21" s="1"/>
  <c r="E4" i="21"/>
  <c r="W3" i="21"/>
  <c r="V3" i="21"/>
  <c r="U3" i="21"/>
  <c r="W2" i="21"/>
  <c r="V2" i="21"/>
  <c r="U2" i="21"/>
  <c r="BO1" i="21"/>
  <c r="AT1" i="21"/>
  <c r="Y1" i="2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D14" i="20"/>
  <c r="C14" i="20"/>
  <c r="D11" i="20"/>
  <c r="D10" i="20"/>
  <c r="D8" i="20"/>
  <c r="O7" i="20"/>
  <c r="O8" i="20" s="1"/>
  <c r="D7" i="20"/>
  <c r="O6" i="20"/>
  <c r="D6" i="20"/>
  <c r="O5" i="20"/>
  <c r="J5" i="20"/>
  <c r="D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15" i="19"/>
  <c r="E14" i="19"/>
  <c r="E13" i="19"/>
  <c r="E12" i="19"/>
  <c r="E11" i="19"/>
  <c r="E10" i="19"/>
  <c r="E9" i="19"/>
  <c r="E8" i="19"/>
  <c r="E7" i="19"/>
  <c r="E6" i="19"/>
  <c r="E5" i="19"/>
  <c r="U10" i="23" l="1"/>
  <c r="V10" i="23"/>
  <c r="A9" i="22"/>
  <c r="C6" i="21"/>
  <c r="B5" i="21"/>
  <c r="A5" i="21" s="1"/>
  <c r="C5" i="21"/>
  <c r="D6" i="21"/>
  <c r="V4" i="21"/>
  <c r="J6" i="21"/>
  <c r="W6" i="21" s="1"/>
  <c r="U5" i="21"/>
  <c r="W5" i="21"/>
  <c r="O7" i="21"/>
  <c r="T8" i="21"/>
  <c r="W4" i="21"/>
  <c r="V5" i="21"/>
  <c r="D7" i="21"/>
  <c r="C8" i="21"/>
  <c r="D8" i="21"/>
  <c r="U4" i="21"/>
  <c r="U4" i="20"/>
  <c r="O9" i="20"/>
  <c r="V4" i="20"/>
  <c r="W4" i="20"/>
  <c r="T5" i="20"/>
  <c r="V5" i="20" s="1"/>
  <c r="D9" i="20"/>
  <c r="D12" i="20"/>
  <c r="C10" i="20"/>
  <c r="C11" i="20" s="1"/>
  <c r="C12" i="20" s="1"/>
  <c r="C13" i="20" s="1"/>
  <c r="J6" i="20"/>
  <c r="B5" i="20"/>
  <c r="B6" i="20" s="1"/>
  <c r="C5" i="20"/>
  <c r="C6" i="20" s="1"/>
  <c r="C7" i="20" s="1"/>
  <c r="C8" i="20"/>
  <c r="C9" i="20" s="1"/>
  <c r="D13" i="20"/>
  <c r="E4" i="19"/>
  <c r="B6" i="21" l="1"/>
  <c r="B7" i="21" s="1"/>
  <c r="B8" i="21" s="1"/>
  <c r="A6" i="21"/>
  <c r="A7" i="21" s="1"/>
  <c r="T9" i="21"/>
  <c r="J7" i="21"/>
  <c r="U6" i="21"/>
  <c r="V6" i="21"/>
  <c r="O8" i="21"/>
  <c r="V7" i="21"/>
  <c r="A5" i="20"/>
  <c r="B7" i="20"/>
  <c r="A7" i="20" s="1"/>
  <c r="A6" i="20"/>
  <c r="J7" i="20"/>
  <c r="O10" i="20"/>
  <c r="W5" i="20"/>
  <c r="T6" i="20"/>
  <c r="U5" i="20"/>
  <c r="W3" i="19"/>
  <c r="V3" i="19"/>
  <c r="U3" i="19"/>
  <c r="B9" i="21" l="1"/>
  <c r="A8" i="21"/>
  <c r="O9" i="21"/>
  <c r="U7" i="21"/>
  <c r="J8" i="21"/>
  <c r="W7" i="21"/>
  <c r="T7" i="20"/>
  <c r="W6" i="20"/>
  <c r="O11" i="20"/>
  <c r="B8" i="20"/>
  <c r="A8" i="20" s="1"/>
  <c r="U6" i="20"/>
  <c r="J8" i="20"/>
  <c r="U7" i="20"/>
  <c r="V7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O15" i="19"/>
  <c r="J15" i="19"/>
  <c r="U15" i="19" s="1"/>
  <c r="D15" i="19"/>
  <c r="C15" i="19"/>
  <c r="B15" i="19"/>
  <c r="A15" i="19" s="1"/>
  <c r="T14" i="19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A9" i="21" l="1"/>
  <c r="B10" i="21"/>
  <c r="J9" i="21"/>
  <c r="U8" i="21"/>
  <c r="W8" i="21"/>
  <c r="V8" i="21"/>
  <c r="J9" i="20"/>
  <c r="B9" i="20"/>
  <c r="O12" i="20"/>
  <c r="T8" i="20"/>
  <c r="U8" i="20" s="1"/>
  <c r="W7" i="20"/>
  <c r="W15" i="19"/>
  <c r="V15" i="19"/>
  <c r="W14" i="19"/>
  <c r="V13" i="19"/>
  <c r="W13" i="19"/>
  <c r="U13" i="19"/>
  <c r="U12" i="19"/>
  <c r="W11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10" i="21" l="1"/>
  <c r="U9" i="21"/>
  <c r="W9" i="21"/>
  <c r="V9" i="21"/>
  <c r="V8" i="20"/>
  <c r="J10" i="20"/>
  <c r="T9" i="20"/>
  <c r="V9" i="20" s="1"/>
  <c r="W8" i="20"/>
  <c r="O13" i="20"/>
  <c r="B10" i="20"/>
  <c r="A9" i="20"/>
  <c r="W5" i="19"/>
  <c r="V5" i="19"/>
  <c r="U5" i="19"/>
  <c r="U9" i="20" l="1"/>
  <c r="B11" i="20"/>
  <c r="J11" i="20"/>
  <c r="A10" i="20"/>
  <c r="O14" i="20"/>
  <c r="T10" i="20"/>
  <c r="W9" i="20"/>
  <c r="A11" i="20" l="1"/>
  <c r="T11" i="20"/>
  <c r="W10" i="20"/>
  <c r="A12" i="20"/>
  <c r="B12" i="20"/>
  <c r="O15" i="20"/>
  <c r="V10" i="20"/>
  <c r="U10" i="20"/>
  <c r="U11" i="20"/>
  <c r="J12" i="20"/>
  <c r="V11" i="20"/>
  <c r="T12" i="20" l="1"/>
  <c r="V12" i="20" s="1"/>
  <c r="W11" i="20"/>
  <c r="B13" i="20"/>
  <c r="J13" i="20"/>
  <c r="U12" i="20"/>
  <c r="T13" i="20" l="1"/>
  <c r="W12" i="20"/>
  <c r="J14" i="20"/>
  <c r="U13" i="20"/>
  <c r="V13" i="20"/>
  <c r="B14" i="20"/>
  <c r="A14" i="20" s="1"/>
  <c r="A13" i="20"/>
  <c r="B15" i="20" l="1"/>
  <c r="A15" i="20" s="1"/>
  <c r="J15" i="20"/>
  <c r="V14" i="20"/>
  <c r="T14" i="20"/>
  <c r="W13" i="20"/>
  <c r="T15" i="20" l="1"/>
  <c r="W15" i="20" s="1"/>
  <c r="W14" i="20"/>
  <c r="U14" i="20"/>
  <c r="V15" i="20"/>
  <c r="U15" i="20" l="1"/>
</calcChain>
</file>

<file path=xl/sharedStrings.xml><?xml version="1.0" encoding="utf-8"?>
<sst xmlns="http://schemas.openxmlformats.org/spreadsheetml/2006/main" count="954" uniqueCount="214">
  <si>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</si>
  <si>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</si>
  <si>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</si>
  <si>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</si>
  <si>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</si>
  <si>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</si>
  <si>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</si>
  <si>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</si>
  <si>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</si>
  <si>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</si>
  <si>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</si>
  <si>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</si>
  <si>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</si>
  <si>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</si>
  <si>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</si>
  <si>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</si>
  <si>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</si>
  <si>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</si>
  <si>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</si>
  <si>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</si>
  <si>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</si>
  <si>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</si>
  <si>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</si>
  <si>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</si>
  <si>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</si>
  <si>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</si>
  <si>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</si>
  <si>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</si>
  <si>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</si>
  <si>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</si>
  <si>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</si>
  <si>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</si>
  <si>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</si>
  <si>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</si>
  <si>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</si>
  <si>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</si>
  <si>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</si>
  <si>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</si>
  <si>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</si>
  <si>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</si>
  <si>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</si>
  <si>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</si>
  <si>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</si>
  <si>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</si>
  <si>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</si>
  <si>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</si>
  <si>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</si>
  <si>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</si>
  <si>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</si>
  <si>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</si>
  <si>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</si>
  <si>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</si>
  <si>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</si>
  <si>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</si>
  <si>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</si>
  <si>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</si>
  <si>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</si>
  <si>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</si>
  <si>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</si>
  <si>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</si>
  <si>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</si>
  <si>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</si>
  <si>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</si>
  <si>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</si>
  <si>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</si>
  <si>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</si>
  <si>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</si>
  <si>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</si>
  <si>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</si>
  <si>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</si>
  <si>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</si>
  <si>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</si>
  <si>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</si>
  <si>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</si>
  <si>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</si>
  <si>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</si>
  <si>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</si>
  <si>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</si>
  <si>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</si>
  <si>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</si>
  <si>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</si>
  <si>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</si>
  <si>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</si>
  <si>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</si>
  <si>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</si>
  <si>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</si>
  <si>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</si>
  <si>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</si>
  <si>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</si>
  <si>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</si>
  <si>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</si>
  <si>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</si>
  <si>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</si>
  <si>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</si>
  <si>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</si>
  <si>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</si>
  <si>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</si>
  <si>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</si>
  <si>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</si>
  <si>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</si>
  <si>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</si>
  <si>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</si>
  <si>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</si>
  <si>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</si>
  <si>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</si>
  <si>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</si>
  <si>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</si>
  <si>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</si>
  <si>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</si>
  <si>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</si>
  <si>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</si>
  <si>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</si>
  <si>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</si>
  <si>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</si>
  <si>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</si>
  <si>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</si>
  <si>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</si>
  <si>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</si>
  <si>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</si>
  <si>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</si>
  <si>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</si>
  <si>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</si>
  <si>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</si>
  <si>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</si>
  <si>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</si>
  <si>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</si>
  <si>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</si>
  <si>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</si>
  <si>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</si>
  <si>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</si>
  <si>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</si>
  <si>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</si>
  <si>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</si>
  <si>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</si>
  <si>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</si>
  <si>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</si>
  <si>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</si>
  <si>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</si>
  <si>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</si>
  <si>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</si>
  <si>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</si>
  <si>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</si>
  <si>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</si>
  <si>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</si>
  <si>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</si>
  <si>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</si>
  <si>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</si>
  <si>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</si>
  <si>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</si>
  <si>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</si>
  <si>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</si>
  <si>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</si>
  <si>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</si>
  <si>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</si>
  <si>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</si>
  <si>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</si>
  <si>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</si>
  <si>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</si>
  <si>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</si>
  <si>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</si>
  <si>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</si>
  <si>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</si>
  <si>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</si>
  <si>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</si>
  <si>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</si>
  <si>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</si>
  <si>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</si>
  <si>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</si>
  <si>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</si>
  <si>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</si>
  <si>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</si>
  <si>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</si>
  <si>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</si>
  <si>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</si>
  <si>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</si>
  <si>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</si>
  <si>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</si>
  <si>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</si>
  <si>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</si>
  <si>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</si>
  <si>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</si>
  <si>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</si>
  <si>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</si>
  <si>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</si>
  <si>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</si>
  <si>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</si>
  <si>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</si>
  <si>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</si>
  <si>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</si>
  <si>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</si>
  <si>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</si>
  <si>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</si>
  <si>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</si>
  <si>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ともき</t>
    <phoneticPr fontId="1"/>
  </si>
  <si>
    <t>れんたろう</t>
  </si>
  <si>
    <t>れんたろう</t>
    <phoneticPr fontId="1"/>
  </si>
  <si>
    <t>放銃</t>
  </si>
  <si>
    <t>ロン</t>
  </si>
  <si>
    <t>ツモ支払</t>
  </si>
  <si>
    <t>ツモ</t>
  </si>
  <si>
    <t>*</t>
  </si>
  <si>
    <t>01</t>
  </si>
  <si>
    <t>02</t>
  </si>
  <si>
    <t>52</t>
  </si>
  <si>
    <t>T</t>
  </si>
  <si>
    <t>N</t>
  </si>
  <si>
    <t>流局</t>
    <phoneticPr fontId="1"/>
  </si>
  <si>
    <t>まっつん</t>
  </si>
  <si>
    <t>まっつん</t>
    <phoneticPr fontId="1"/>
  </si>
  <si>
    <t>りくと</t>
  </si>
  <si>
    <t>りくと</t>
    <phoneticPr fontId="1"/>
  </si>
  <si>
    <t>流局</t>
    <phoneticPr fontId="1"/>
  </si>
  <si>
    <t>チョンボ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</si>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</sst>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ともき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ともき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 t="s">
        <v>197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-17.7</v>
      </c>
      <c r="W4" s="55">
        <f>IF($T4="","",ROUND(($T4-$T$3)/1000,1)+(_xlfn.RANK.AVG($T4,($J4,$O4,$T4),1)-2)*10)</f>
        <v>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83</v>
      </c>
      <c r="BV4" s="41" t="s">
        <v>85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 t="s">
        <v>198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199</v>
      </c>
      <c r="L5" s="9">
        <v>12000</v>
      </c>
      <c r="M5" s="9"/>
      <c r="N5" s="48">
        <v>0</v>
      </c>
      <c r="O5" s="21">
        <f t="shared" ref="O5:O30" si="3">IF(COUNTA($F5,$K5,$P5)&gt;0,O4+SUM(L5:N5),"")</f>
        <v>39300</v>
      </c>
      <c r="P5" s="8" t="s">
        <v>198</v>
      </c>
      <c r="Q5" s="9">
        <v>-6000</v>
      </c>
      <c r="R5" s="9"/>
      <c r="S5" s="48">
        <v>0</v>
      </c>
      <c r="T5" s="21">
        <f t="shared" ref="T5:T30" si="4">IF(COUNTA($F5,$K5,$P5)&gt;0,T4+SUM(Q5:S5),"")</f>
        <v>36700</v>
      </c>
      <c r="U5" s="53">
        <f>IF($J5="","",ROUND(($J5-$J$3)/1000,1)+(_xlfn.RANK.AVG($J5,($J5,$O5,$T5),1)-2)*10)</f>
        <v>-16</v>
      </c>
      <c r="V5" s="54">
        <f>IF($O5="","",ROUND(($O5-$O$3)/1000,1)+(_xlfn.RANK.AVG($O5,($J5,$O5,$T5),1)-2)*10)</f>
        <v>14.3</v>
      </c>
      <c r="W5" s="55">
        <f>IF($T5="","",ROUND(($T5-$T$3)/1000,1)+(_xlfn.RANK.AVG($T5,($J5,$O5,$T5),1)-2)*10)</f>
        <v>1.7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200</v>
      </c>
      <c r="AZ5" s="40" t="s">
        <v>201</v>
      </c>
      <c r="BA5" s="41" t="s">
        <v>79</v>
      </c>
      <c r="BB5" s="41" t="s">
        <v>79</v>
      </c>
      <c r="BC5" s="41" t="s">
        <v>79</v>
      </c>
      <c r="BD5" s="41" t="s">
        <v>86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ともき</v>
      </c>
      <c r="F6" s="8" t="s">
        <v>198</v>
      </c>
      <c r="G6" s="9">
        <v>-6000</v>
      </c>
      <c r="H6" s="9"/>
      <c r="I6" s="48">
        <v>-500</v>
      </c>
      <c r="J6" s="21">
        <f t="shared" si="2"/>
        <v>22500</v>
      </c>
      <c r="K6" s="8" t="s">
        <v>199</v>
      </c>
      <c r="L6" s="9">
        <v>12000</v>
      </c>
      <c r="M6" s="9"/>
      <c r="N6" s="48">
        <v>1000</v>
      </c>
      <c r="O6" s="21">
        <f t="shared" si="3"/>
        <v>52300</v>
      </c>
      <c r="P6" s="8" t="s">
        <v>198</v>
      </c>
      <c r="Q6" s="9">
        <v>-6000</v>
      </c>
      <c r="R6" s="9"/>
      <c r="S6" s="48">
        <v>-500</v>
      </c>
      <c r="T6" s="21">
        <f t="shared" si="4"/>
        <v>30200</v>
      </c>
      <c r="U6" s="53">
        <f>IF($J6="","",ROUND(($J6-$J$3)/1000,1)+(_xlfn.RANK.AVG($J6,($J6,$O6,$T6),1)-2)*10)</f>
        <v>-22.5</v>
      </c>
      <c r="V6" s="54">
        <f>IF($O6="","",ROUND(($O6-$O$3)/1000,1)+(_xlfn.RANK.AVG($O6,($J6,$O6,$T6),1)-2)*10)</f>
        <v>27.3</v>
      </c>
      <c r="W6" s="55">
        <f>IF($T6="","",ROUND(($T6-$T$3)/1000,1)+(_xlfn.RANK.AVG($T6,($J6,$O6,$T6),1)-2)*10)</f>
        <v>-4.8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200</v>
      </c>
      <c r="AZ6" s="40" t="s">
        <v>201</v>
      </c>
      <c r="BA6" s="41" t="s">
        <v>82</v>
      </c>
      <c r="BB6" s="41" t="s">
        <v>79</v>
      </c>
      <c r="BC6" s="41" t="s">
        <v>79</v>
      </c>
      <c r="BD6" s="41" t="s">
        <v>202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ともき</v>
      </c>
      <c r="F7" s="8"/>
      <c r="G7" s="9"/>
      <c r="H7" s="9"/>
      <c r="I7" s="48"/>
      <c r="J7" s="21">
        <f t="shared" si="2"/>
        <v>22500</v>
      </c>
      <c r="K7" s="8" t="s">
        <v>196</v>
      </c>
      <c r="L7" s="9">
        <v>-12000</v>
      </c>
      <c r="M7" s="9">
        <v>-1000</v>
      </c>
      <c r="N7" s="48">
        <v>-2000</v>
      </c>
      <c r="O7" s="21">
        <f t="shared" si="3"/>
        <v>37300</v>
      </c>
      <c r="P7" s="8" t="s">
        <v>197</v>
      </c>
      <c r="Q7" s="9">
        <v>12000</v>
      </c>
      <c r="R7" s="9">
        <v>1000</v>
      </c>
      <c r="S7" s="48">
        <v>2000</v>
      </c>
      <c r="T7" s="21">
        <f t="shared" si="4"/>
        <v>45200</v>
      </c>
      <c r="U7" s="53">
        <f>IF($J7="","",ROUND(($J7-$J$3)/1000,1)+(_xlfn.RANK.AVG($J7,($J7,$O7,$T7),1)-2)*10)</f>
        <v>-22.5</v>
      </c>
      <c r="V7" s="54">
        <f>IF($O7="","",ROUND(($O7-$O$3)/1000,1)+(_xlfn.RANK.AVG($O7,($J7,$O7,$T7),1)-2)*10)</f>
        <v>2.2999999999999998</v>
      </c>
      <c r="W7" s="55">
        <f>IF($T7="","",ROUND(($T7-$T$3)/1000,1)+(_xlfn.RANK.AVG($T7,($J7,$O7,$T7),1)-2)*10)</f>
        <v>20.2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200</v>
      </c>
      <c r="BU7" s="40" t="s">
        <v>201</v>
      </c>
      <c r="BV7" s="41" t="s">
        <v>202</v>
      </c>
      <c r="BW7" s="41" t="s">
        <v>79</v>
      </c>
      <c r="BX7" s="41" t="s">
        <v>79</v>
      </c>
      <c r="BY7" s="41" t="s">
        <v>79</v>
      </c>
      <c r="BZ7" s="41" t="s">
        <v>203</v>
      </c>
      <c r="CA7" s="41" t="s">
        <v>86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198</v>
      </c>
      <c r="G8" s="9">
        <v>-6000</v>
      </c>
      <c r="H8" s="9"/>
      <c r="I8" s="48">
        <v>0</v>
      </c>
      <c r="J8" s="21">
        <f t="shared" si="2"/>
        <v>16500</v>
      </c>
      <c r="K8" s="8" t="s">
        <v>198</v>
      </c>
      <c r="L8" s="9">
        <v>-6000</v>
      </c>
      <c r="M8" s="9"/>
      <c r="N8" s="48">
        <v>0</v>
      </c>
      <c r="O8" s="21">
        <f t="shared" si="3"/>
        <v>31300</v>
      </c>
      <c r="P8" s="8" t="s">
        <v>199</v>
      </c>
      <c r="Q8" s="9">
        <v>12000</v>
      </c>
      <c r="R8" s="9"/>
      <c r="S8" s="48">
        <v>0</v>
      </c>
      <c r="T8" s="21">
        <f t="shared" si="4"/>
        <v>57200</v>
      </c>
      <c r="U8" s="53">
        <f>IF($J8="","",ROUND(($J8-$J$3)/1000,1)+(_xlfn.RANK.AVG($J8,($J8,$O8,$T8),1)-2)*10)</f>
        <v>-28.5</v>
      </c>
      <c r="V8" s="54">
        <f>IF($O8="","",ROUND(($O8-$O$3)/1000,1)+(_xlfn.RANK.AVG($O8,($J8,$O8,$T8),1)-2)*10)</f>
        <v>-3.7</v>
      </c>
      <c r="W8" s="55">
        <f>IF($T8="","",ROUND(($T8-$T$3)/1000,1)+(_xlfn.RANK.AVG($T8,($J8,$O8,$T8),1)-2)*10)</f>
        <v>32.200000000000003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200</v>
      </c>
      <c r="BU8" s="40" t="s">
        <v>201</v>
      </c>
      <c r="BV8" s="41" t="s">
        <v>82</v>
      </c>
      <c r="BW8" s="41" t="s">
        <v>79</v>
      </c>
      <c r="BX8" s="41" t="s">
        <v>79</v>
      </c>
      <c r="BY8" s="41" t="s">
        <v>203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 t="s">
        <v>197</v>
      </c>
      <c r="G9" s="9">
        <v>5200</v>
      </c>
      <c r="H9" s="9"/>
      <c r="I9" s="48">
        <v>1000</v>
      </c>
      <c r="J9" s="21">
        <f t="shared" si="2"/>
        <v>22700</v>
      </c>
      <c r="K9" s="8" t="s">
        <v>196</v>
      </c>
      <c r="L9" s="9">
        <v>-5200</v>
      </c>
      <c r="M9" s="9"/>
      <c r="N9" s="48">
        <v>-1000</v>
      </c>
      <c r="O9" s="21">
        <f t="shared" si="3"/>
        <v>25100</v>
      </c>
      <c r="P9" s="8"/>
      <c r="Q9" s="9"/>
      <c r="R9" s="9"/>
      <c r="S9" s="48"/>
      <c r="T9" s="21">
        <f t="shared" si="4"/>
        <v>57200</v>
      </c>
      <c r="U9" s="53">
        <f>IF($J9="","",ROUND(($J9-$J$3)/1000,1)+(_xlfn.RANK.AVG($J9,($J9,$O9,$T9),1)-2)*10)</f>
        <v>-22.3</v>
      </c>
      <c r="V9" s="54">
        <f>IF($O9="","",ROUND(($O9-$O$3)/1000,1)+(_xlfn.RANK.AVG($O9,($J9,$O9,$T9),1)-2)*10)</f>
        <v>-9.9</v>
      </c>
      <c r="W9" s="55">
        <f>IF($T9="","",ROUND(($T9-$T$3)/1000,1)+(_xlfn.RANK.AVG($T9,($J9,$O9,$T9),1)-2)*10)</f>
        <v>32.200000000000003</v>
      </c>
      <c r="Y9" s="8"/>
      <c r="Z9" s="34"/>
      <c r="AA9" s="26"/>
      <c r="AB9" s="26"/>
      <c r="AC9" s="26">
        <v>3</v>
      </c>
      <c r="AD9" s="30">
        <v>40</v>
      </c>
      <c r="AE9" s="40" t="s">
        <v>86</v>
      </c>
      <c r="AF9" s="41" t="s">
        <v>93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206</v>
      </c>
      <c r="G10" s="9">
        <v>1500</v>
      </c>
      <c r="H10" s="9"/>
      <c r="I10" s="48"/>
      <c r="J10" s="21">
        <f t="shared" si="2"/>
        <v>24200</v>
      </c>
      <c r="K10" s="8" t="s">
        <v>206</v>
      </c>
      <c r="L10" s="9">
        <v>-3000</v>
      </c>
      <c r="M10" s="9"/>
      <c r="N10" s="48"/>
      <c r="O10" s="21">
        <f t="shared" si="3"/>
        <v>22100</v>
      </c>
      <c r="P10" s="8" t="s">
        <v>206</v>
      </c>
      <c r="Q10" s="9">
        <v>1500</v>
      </c>
      <c r="R10" s="9">
        <v>-1000</v>
      </c>
      <c r="S10" s="48"/>
      <c r="T10" s="21">
        <f t="shared" si="4"/>
        <v>57700</v>
      </c>
      <c r="U10" s="53">
        <f>IF($J10="","",ROUND(($J10-$J$3)/1000,1)+(_xlfn.RANK.AVG($J10,($J10,$O10,$T10),1)-2)*10)</f>
        <v>-10.8</v>
      </c>
      <c r="V10" s="54">
        <f>IF($O10="","",ROUND(($O10-$O$3)/1000,1)+(_xlfn.RANK.AVG($O10,($J10,$O10,$T10),1)-2)*10)</f>
        <v>-22.9</v>
      </c>
      <c r="W10" s="55">
        <f>IF($T10="","",ROUND(($T10-$T$3)/1000,1)+(_xlfn.RANK.AVG($T10,($J10,$O10,$T10),1)-2)*10)</f>
        <v>32.700000000000003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tr">
        <f>IF($F$1="","",$F$1)</f>
        <v>だいち</v>
      </c>
      <c r="F11" s="8" t="s">
        <v>206</v>
      </c>
      <c r="G11" s="9">
        <v>1500</v>
      </c>
      <c r="H11" s="9">
        <v>-1000</v>
      </c>
      <c r="I11" s="48"/>
      <c r="J11" s="21">
        <f t="shared" si="2"/>
        <v>24700</v>
      </c>
      <c r="K11" s="8" t="s">
        <v>206</v>
      </c>
      <c r="L11" s="9">
        <v>-3000</v>
      </c>
      <c r="M11" s="9"/>
      <c r="N11" s="48"/>
      <c r="O11" s="21">
        <f t="shared" si="3"/>
        <v>19100</v>
      </c>
      <c r="P11" s="8" t="s">
        <v>206</v>
      </c>
      <c r="Q11" s="9">
        <v>1500</v>
      </c>
      <c r="R11" s="9"/>
      <c r="S11" s="48"/>
      <c r="T11" s="21">
        <f t="shared" si="4"/>
        <v>59200</v>
      </c>
      <c r="U11" s="53">
        <f>IF($J11="","",ROUND(($J11-$J$3)/1000,1)+(_xlfn.RANK.AVG($J11,($J11,$O11,$T11),1)-2)*10)</f>
        <v>-10.3</v>
      </c>
      <c r="V11" s="54">
        <f>IF($O11="","",ROUND(($O11-$O$3)/1000,1)+(_xlfn.RANK.AVG($O11,($J11,$O11,$T11),1)-2)*10)</f>
        <v>-25.9</v>
      </c>
      <c r="W11" s="55">
        <f>IF($T11="","",ROUND(($T11-$T$3)/1000,1)+(_xlfn.RANK.AVG($T11,($J11,$O11,$T11),1)-2)*10)</f>
        <v>34.200000000000003</v>
      </c>
      <c r="Y11" s="8" t="s">
        <v>204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2</v>
      </c>
      <c r="E12" s="4" t="str">
        <f>IF($F$1="","",$F$1)</f>
        <v>だいち</v>
      </c>
      <c r="F12" s="8" t="s">
        <v>197</v>
      </c>
      <c r="G12" s="9">
        <v>1500</v>
      </c>
      <c r="H12" s="9">
        <v>2000</v>
      </c>
      <c r="I12" s="48">
        <v>2000</v>
      </c>
      <c r="J12" s="21">
        <f t="shared" si="2"/>
        <v>30200</v>
      </c>
      <c r="K12" s="8" t="s">
        <v>196</v>
      </c>
      <c r="L12" s="9">
        <v>-1500</v>
      </c>
      <c r="M12" s="9"/>
      <c r="N12" s="48">
        <v>-2000</v>
      </c>
      <c r="O12" s="21">
        <f t="shared" si="3"/>
        <v>15600</v>
      </c>
      <c r="P12" s="8"/>
      <c r="Q12" s="9"/>
      <c r="R12" s="9"/>
      <c r="S12" s="48"/>
      <c r="T12" s="21">
        <f t="shared" si="4"/>
        <v>59200</v>
      </c>
      <c r="U12" s="53">
        <f>IF($J12="","",ROUND(($J12-$J$3)/1000,1)+(_xlfn.RANK.AVG($J12,($J12,$O12,$T12),1)-2)*10)</f>
        <v>-4.8</v>
      </c>
      <c r="V12" s="54">
        <f>IF($O12="","",ROUND(($O12-$O$3)/1000,1)+(_xlfn.RANK.AVG($O12,($J12,$O12,$T12),1)-2)*10)</f>
        <v>-29.4</v>
      </c>
      <c r="W12" s="55">
        <f>IF($T12="","",ROUND(($T12-$T$3)/1000,1)+(_xlfn.RANK.AVG($T12,($J12,$O12,$T12),1)-2)*10)</f>
        <v>34.200000000000003</v>
      </c>
      <c r="Y12" s="8"/>
      <c r="Z12" s="34"/>
      <c r="AA12" s="26"/>
      <c r="AB12" s="26">
        <v>1</v>
      </c>
      <c r="AC12" s="26">
        <v>1</v>
      </c>
      <c r="AD12" s="30">
        <v>30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3</v>
      </c>
      <c r="D13" s="18">
        <f t="shared" si="1"/>
        <v>0</v>
      </c>
      <c r="E13" s="4" t="str">
        <f>IF($F$1="","",$F$1)</f>
        <v>だいち</v>
      </c>
      <c r="F13" s="8" t="s">
        <v>198</v>
      </c>
      <c r="G13" s="9">
        <v>-1300</v>
      </c>
      <c r="H13" s="9">
        <v>-1000</v>
      </c>
      <c r="I13" s="48">
        <v>-1500</v>
      </c>
      <c r="J13" s="21">
        <f t="shared" si="2"/>
        <v>26400</v>
      </c>
      <c r="K13" s="8" t="s">
        <v>199</v>
      </c>
      <c r="L13" s="9">
        <v>2100</v>
      </c>
      <c r="M13" s="9">
        <v>1000</v>
      </c>
      <c r="N13" s="48">
        <v>3000</v>
      </c>
      <c r="O13" s="21">
        <f t="shared" si="3"/>
        <v>21700</v>
      </c>
      <c r="P13" s="8" t="s">
        <v>198</v>
      </c>
      <c r="Q13" s="9">
        <v>-800</v>
      </c>
      <c r="R13" s="9"/>
      <c r="S13" s="48">
        <v>-1500</v>
      </c>
      <c r="T13" s="21">
        <f t="shared" si="4"/>
        <v>56900</v>
      </c>
      <c r="U13" s="53">
        <f>IF($J13="","",ROUND(($J13-$J$3)/1000,1)+(_xlfn.RANK.AVG($J13,($J13,$O13,$T13),1)-2)*10)</f>
        <v>-8.6</v>
      </c>
      <c r="V13" s="54">
        <f>IF($O13="","",ROUND(($O13-$O$3)/1000,1)+(_xlfn.RANK.AVG($O13,($J13,$O13,$T13),1)-2)*10)</f>
        <v>-23.3</v>
      </c>
      <c r="W13" s="55">
        <f>IF($T13="","",ROUND(($T13-$T$3)/1000,1)+(_xlfn.RANK.AVG($T13,($J13,$O13,$T13),1)-2)*10)</f>
        <v>31.9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2</v>
      </c>
      <c r="AY13" s="30">
        <v>30</v>
      </c>
      <c r="AZ13" s="40" t="s">
        <v>201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ともき</v>
      </c>
      <c r="F14" s="8"/>
      <c r="G14" s="9"/>
      <c r="H14" s="9"/>
      <c r="I14" s="48"/>
      <c r="J14" s="21">
        <f t="shared" si="2"/>
        <v>26400</v>
      </c>
      <c r="K14" s="8" t="s">
        <v>196</v>
      </c>
      <c r="L14" s="9">
        <v>-3900</v>
      </c>
      <c r="M14" s="9"/>
      <c r="N14" s="48">
        <v>0</v>
      </c>
      <c r="O14" s="21">
        <f t="shared" si="3"/>
        <v>17800</v>
      </c>
      <c r="P14" s="8" t="s">
        <v>197</v>
      </c>
      <c r="Q14" s="9">
        <v>3900</v>
      </c>
      <c r="R14" s="9"/>
      <c r="S14" s="48">
        <v>0</v>
      </c>
      <c r="T14" s="21">
        <f t="shared" si="4"/>
        <v>60800</v>
      </c>
      <c r="U14" s="53">
        <f>IF($J14="","",ROUND(($J14-$J$3)/1000,1)+(_xlfn.RANK.AVG($J14,($J14,$O14,$T14),1)-2)*10)</f>
        <v>-8.6</v>
      </c>
      <c r="V14" s="54">
        <f>IF($O14="","",ROUND(($O14-$O$3)/1000,1)+(_xlfn.RANK.AVG($O14,($J14,$O14,$T14),1)-2)*10)</f>
        <v>-27.2</v>
      </c>
      <c r="W14" s="55">
        <f>IF($T14="","",ROUND(($T14-$T$3)/1000,1)+(_xlfn.RANK.AVG($T14,($J14,$O14,$T14),1)-2)*10)</f>
        <v>35.799999999999997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3</v>
      </c>
      <c r="BT14" s="30">
        <v>30</v>
      </c>
      <c r="BU14" s="40" t="s">
        <v>201</v>
      </c>
      <c r="BV14" s="41" t="s">
        <v>83</v>
      </c>
      <c r="BW14" s="41" t="s">
        <v>203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れんたろう</v>
      </c>
      <c r="F15" s="8" t="s">
        <v>197</v>
      </c>
      <c r="G15" s="9">
        <v>12000</v>
      </c>
      <c r="H15" s="9"/>
      <c r="I15" s="48">
        <v>0</v>
      </c>
      <c r="J15" s="21">
        <f t="shared" si="2"/>
        <v>38400</v>
      </c>
      <c r="K15" s="8" t="s">
        <v>196</v>
      </c>
      <c r="L15" s="9">
        <v>-12000</v>
      </c>
      <c r="M15" s="9"/>
      <c r="N15" s="48">
        <v>0</v>
      </c>
      <c r="O15" s="21">
        <f t="shared" si="3"/>
        <v>5800</v>
      </c>
      <c r="P15" s="8"/>
      <c r="Q15" s="9"/>
      <c r="R15" s="9"/>
      <c r="S15" s="48"/>
      <c r="T15" s="21">
        <f t="shared" si="4"/>
        <v>60800</v>
      </c>
      <c r="U15" s="53">
        <f>IF($J15="","",ROUND(($J15-$J$3)/1000,1)+(_xlfn.RANK.AVG($J15,($J15,$O15,$T15),1)-2)*10)</f>
        <v>3.4</v>
      </c>
      <c r="V15" s="54">
        <f>IF($O15="","",ROUND(($O15-$O$3)/1000,1)+(_xlfn.RANK.AVG($O15,($J15,$O15,$T15),1)-2)*10)</f>
        <v>-39.200000000000003</v>
      </c>
      <c r="W15" s="55">
        <f>IF($T15="","",ROUND(($T15-$T$3)/1000,1)+(_xlfn.RANK.AVG($T15,($J15,$O15,$T15),1)-2)*10)</f>
        <v>35.799999999999997</v>
      </c>
      <c r="Y15" s="8"/>
      <c r="Z15" s="34"/>
      <c r="AA15" s="26"/>
      <c r="AB15" s="26">
        <v>1</v>
      </c>
      <c r="AC15" s="26">
        <v>7</v>
      </c>
      <c r="AD15" s="30" t="s">
        <v>200</v>
      </c>
      <c r="AE15" s="40" t="s">
        <v>86</v>
      </c>
      <c r="AF15" s="41" t="s">
        <v>104</v>
      </c>
      <c r="AG15" s="41" t="s">
        <v>79</v>
      </c>
      <c r="AH15" s="41" t="s">
        <v>79</v>
      </c>
      <c r="AI15" s="41" t="s">
        <v>79</v>
      </c>
      <c r="AJ15" s="41" t="s">
        <v>203</v>
      </c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4293558-64CF-4936-B13E-3490940FF25A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B515B-B72C-485F-AF7A-47700D438CA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208</v>
      </c>
      <c r="G1" s="72"/>
      <c r="H1" s="72"/>
      <c r="I1" s="73"/>
      <c r="J1" s="74"/>
      <c r="K1" s="71" t="s">
        <v>210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199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198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201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211</v>
      </c>
      <c r="G5" s="9">
        <v>-1500</v>
      </c>
      <c r="H5" s="9"/>
      <c r="I5" s="48"/>
      <c r="J5" s="21">
        <f t="shared" ref="J5:J30" si="2">IF(COUNTA($F5,$K5,$P5)&gt;0,J4+SUM(G5:I5),"")</f>
        <v>31000</v>
      </c>
      <c r="K5" s="8" t="s">
        <v>211</v>
      </c>
      <c r="L5" s="9">
        <v>-1500</v>
      </c>
      <c r="M5" s="9"/>
      <c r="N5" s="48"/>
      <c r="O5" s="21">
        <f t="shared" ref="O5:O30" si="3">IF(COUNTA($F5,$K5,$P5)&gt;0,O4+SUM(L5:N5),"")</f>
        <v>37500</v>
      </c>
      <c r="P5" s="8" t="s">
        <v>211</v>
      </c>
      <c r="Q5" s="9">
        <v>3000</v>
      </c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-14</v>
      </c>
      <c r="V5" s="54">
        <f>IF($O5="","",ROUND(($O5-$O$3)/1000,1)+(_xlfn.RANK.AVG($O5,($J5,$O5,$T5),1)-2)*10)</f>
        <v>12.5</v>
      </c>
      <c r="W5" s="55">
        <f>IF($T5="","",ROUND(($T5-$T$3)/1000,1)+(_xlfn.RANK.AVG($T5,($J5,$O5,$T5),1)-2)*10)</f>
        <v>1.5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196</v>
      </c>
      <c r="G6" s="9">
        <v>-2600</v>
      </c>
      <c r="H6" s="9"/>
      <c r="I6" s="48">
        <v>-1000</v>
      </c>
      <c r="J6" s="21">
        <f t="shared" si="2"/>
        <v>27400</v>
      </c>
      <c r="K6" s="8" t="s">
        <v>197</v>
      </c>
      <c r="L6" s="9">
        <v>2600</v>
      </c>
      <c r="M6" s="9"/>
      <c r="N6" s="48">
        <v>1000</v>
      </c>
      <c r="O6" s="21">
        <f t="shared" si="3"/>
        <v>41100</v>
      </c>
      <c r="P6" s="8"/>
      <c r="Q6" s="9"/>
      <c r="R6" s="9"/>
      <c r="S6" s="48"/>
      <c r="T6" s="21">
        <f t="shared" si="4"/>
        <v>36500</v>
      </c>
      <c r="U6" s="53">
        <f>IF($J6="","",ROUND(($J6-$J$3)/1000,1)+(_xlfn.RANK.AVG($J6,($J6,$O6,$T6),1)-2)*10)</f>
        <v>-17.600000000000001</v>
      </c>
      <c r="V6" s="54">
        <f>IF($O6="","",ROUND(($O6-$O$3)/1000,1)+(_xlfn.RANK.AVG($O6,($J6,$O6,$T6),1)-2)*10)</f>
        <v>16.100000000000001</v>
      </c>
      <c r="W6" s="55">
        <f>IF($T6="","",ROUND(($T6-$T$3)/1000,1)+(_xlfn.RANK.AVG($T6,($J6,$O6,$T6),1)-2)*10)</f>
        <v>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201</v>
      </c>
      <c r="BA6" s="41" t="s">
        <v>203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198</v>
      </c>
      <c r="G7" s="9">
        <v>-1300</v>
      </c>
      <c r="H7" s="9">
        <v>-1000</v>
      </c>
      <c r="I7" s="48">
        <v>0</v>
      </c>
      <c r="J7" s="21">
        <f t="shared" si="2"/>
        <v>25100</v>
      </c>
      <c r="K7" s="8" t="s">
        <v>199</v>
      </c>
      <c r="L7" s="9">
        <v>2100</v>
      </c>
      <c r="M7" s="9">
        <v>1000</v>
      </c>
      <c r="N7" s="48">
        <v>0</v>
      </c>
      <c r="O7" s="21">
        <f t="shared" si="3"/>
        <v>44200</v>
      </c>
      <c r="P7" s="8" t="s">
        <v>198</v>
      </c>
      <c r="Q7" s="9">
        <v>-800</v>
      </c>
      <c r="R7" s="9"/>
      <c r="S7" s="48">
        <v>0</v>
      </c>
      <c r="T7" s="21">
        <f t="shared" si="4"/>
        <v>35700</v>
      </c>
      <c r="U7" s="53">
        <f>IF($J7="","",ROUND(($J7-$J$3)/1000,1)+(_xlfn.RANK.AVG($J7,($J7,$O7,$T7),1)-2)*10)</f>
        <v>-19.899999999999999</v>
      </c>
      <c r="V7" s="54">
        <f>IF($O7="","",ROUND(($O7-$O$3)/1000,1)+(_xlfn.RANK.AVG($O7,($J7,$O7,$T7),1)-2)*10)</f>
        <v>19.2</v>
      </c>
      <c r="W7" s="55">
        <f>IF($T7="","",ROUND(($T7-$T$3)/1000,1)+(_xlfn.RANK.AVG($T7,($J7,$O7,$T7),1)-2)*10)</f>
        <v>0.7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199</v>
      </c>
      <c r="G8" s="9">
        <v>2800</v>
      </c>
      <c r="H8" s="9"/>
      <c r="I8" s="48">
        <v>0</v>
      </c>
      <c r="J8" s="21">
        <f t="shared" si="2"/>
        <v>27900</v>
      </c>
      <c r="K8" s="8" t="s">
        <v>198</v>
      </c>
      <c r="L8" s="9">
        <v>-1700</v>
      </c>
      <c r="M8" s="9"/>
      <c r="N8" s="48">
        <v>0</v>
      </c>
      <c r="O8" s="21">
        <f t="shared" si="3"/>
        <v>42500</v>
      </c>
      <c r="P8" s="8" t="s">
        <v>198</v>
      </c>
      <c r="Q8" s="9">
        <v>-1100</v>
      </c>
      <c r="R8" s="9"/>
      <c r="S8" s="48">
        <v>0</v>
      </c>
      <c r="T8" s="21">
        <f t="shared" si="4"/>
        <v>34600</v>
      </c>
      <c r="U8" s="53">
        <f>IF($J8="","",ROUND(($J8-$J$3)/1000,1)+(_xlfn.RANK.AVG($J8,($J8,$O8,$T8),1)-2)*10)</f>
        <v>-17.100000000000001</v>
      </c>
      <c r="V8" s="54">
        <f>IF($O8="","",ROUND(($O8-$O$3)/1000,1)+(_xlfn.RANK.AVG($O8,($J8,$O8,$T8),1)-2)*10)</f>
        <v>17.5</v>
      </c>
      <c r="W8" s="55">
        <f>IF($T8="","",ROUND(($T8-$T$3)/1000,1)+(_xlfn.RANK.AVG($T8,($J8,$O8,$T8),1)-2)*10)</f>
        <v>-0.4</v>
      </c>
      <c r="Y8" s="8"/>
      <c r="Z8" s="34"/>
      <c r="AA8" s="26">
        <v>1</v>
      </c>
      <c r="AB8" s="26"/>
      <c r="AC8" s="26">
        <v>3</v>
      </c>
      <c r="AD8" s="30">
        <v>20</v>
      </c>
      <c r="AE8" s="40" t="s">
        <v>201</v>
      </c>
      <c r="AF8" s="41" t="s">
        <v>82</v>
      </c>
      <c r="AG8" s="41" t="s">
        <v>83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198</v>
      </c>
      <c r="G9" s="9">
        <v>-9000</v>
      </c>
      <c r="H9" s="9">
        <v>-1000</v>
      </c>
      <c r="I9" s="48">
        <v>0</v>
      </c>
      <c r="J9" s="21">
        <f t="shared" si="2"/>
        <v>17900</v>
      </c>
      <c r="K9" s="8" t="s">
        <v>198</v>
      </c>
      <c r="L9" s="9">
        <v>-9000</v>
      </c>
      <c r="M9" s="9"/>
      <c r="N9" s="48">
        <v>0</v>
      </c>
      <c r="O9" s="21">
        <f t="shared" si="3"/>
        <v>33500</v>
      </c>
      <c r="P9" s="8" t="s">
        <v>199</v>
      </c>
      <c r="Q9" s="9">
        <v>18000</v>
      </c>
      <c r="R9" s="9">
        <v>1000</v>
      </c>
      <c r="S9" s="48">
        <v>0</v>
      </c>
      <c r="T9" s="21">
        <f t="shared" si="4"/>
        <v>53600</v>
      </c>
      <c r="U9" s="53">
        <f>IF($J9="","",ROUND(($J9-$J$3)/1000,1)+(_xlfn.RANK.AVG($J9,($J9,$O9,$T9),1)-2)*10)</f>
        <v>-27.1</v>
      </c>
      <c r="V9" s="54">
        <f>IF($O9="","",ROUND(($O9-$O$3)/1000,1)+(_xlfn.RANK.AVG($O9,($J9,$O9,$T9),1)-2)*10)</f>
        <v>-1.5</v>
      </c>
      <c r="W9" s="55">
        <f>IF($T9="","",ROUND(($T9-$T$3)/1000,1)+(_xlfn.RANK.AVG($T9,($J9,$O9,$T9),1)-2)*10)</f>
        <v>28.6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200</v>
      </c>
      <c r="BU9" s="40" t="s">
        <v>201</v>
      </c>
      <c r="BV9" s="41" t="s">
        <v>82</v>
      </c>
      <c r="BW9" s="41" t="s">
        <v>202</v>
      </c>
      <c r="BX9" s="41" t="s">
        <v>101</v>
      </c>
      <c r="BY9" s="41" t="s">
        <v>85</v>
      </c>
      <c r="BZ9" s="41" t="s">
        <v>203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03B1F73A-844C-4956-997C-EA2A074342B1}">
      <formula1>"れんたろう,ともき,だいち,りくと,まっつん,たかの,のり,"</formula1>
    </dataValidation>
    <dataValidation type="list" showInputMessage="1" showErrorMessage="1" sqref="K4:K30 P4:P30 F4:F30" xr:uid="{9830F7EE-BE03-44B0-A35D-1AAE7EED6F00}">
      <formula1>"ロン,ツモ,放銃,ツモ支払,流局,チョンボ"</formula1>
    </dataValidation>
    <dataValidation type="list" allowBlank="1" showInputMessage="1" showErrorMessage="1" sqref="E4:E30" xr:uid="{E5D862E4-AF1F-4812-97FD-ECBD33100A8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71AA-C6BF-471B-8782-E7519BB1B8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209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-6400</v>
      </c>
      <c r="M4" s="9"/>
      <c r="N4" s="48">
        <v>0</v>
      </c>
      <c r="O4" s="21">
        <f>IF(COUNTA($F4,$K4,$P4)&gt;0,O3+SUM(L4:N4),"")</f>
        <v>28600</v>
      </c>
      <c r="P4" s="8" t="s">
        <v>197</v>
      </c>
      <c r="Q4" s="9">
        <v>6400</v>
      </c>
      <c r="R4" s="9"/>
      <c r="S4" s="48">
        <v>0</v>
      </c>
      <c r="T4" s="21">
        <f>IF(COUNTA($F4,$K4,$P4)&gt;0,T3+SUM(Q4:S4),"")</f>
        <v>41400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-16.399999999999999</v>
      </c>
      <c r="W4" s="55">
        <f>IF($T4="","",ROUND(($T4-$T$3)/1000,1)+(_xlfn.RANK.AVG($T4,($J4,$O4,$T4),1)-2)*10)</f>
        <v>16.399999999999999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201</v>
      </c>
      <c r="BV4" s="41" t="s">
        <v>202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198</v>
      </c>
      <c r="G5" s="9">
        <v>-3000</v>
      </c>
      <c r="H5" s="9"/>
      <c r="I5" s="48">
        <v>0</v>
      </c>
      <c r="J5" s="21">
        <f t="shared" ref="J5:J30" si="2">IF(COUNTA($F5,$K5,$P5)&gt;0,J4+SUM(G5:I5),"")</f>
        <v>32000</v>
      </c>
      <c r="K5" s="8" t="s">
        <v>198</v>
      </c>
      <c r="L5" s="9">
        <v>-5000</v>
      </c>
      <c r="M5" s="9"/>
      <c r="N5" s="48">
        <v>0</v>
      </c>
      <c r="O5" s="21">
        <f t="shared" ref="O5:O30" si="3">IF(COUNTA($F5,$K5,$P5)&gt;0,O4+SUM(L5:N5),"")</f>
        <v>23600</v>
      </c>
      <c r="P5" s="8" t="s">
        <v>199</v>
      </c>
      <c r="Q5" s="9">
        <v>8000</v>
      </c>
      <c r="R5" s="9"/>
      <c r="S5" s="48">
        <v>0</v>
      </c>
      <c r="T5" s="21">
        <f t="shared" ref="T5:T30" si="4">IF(COUNTA($F5,$K5,$P5)&gt;0,T4+SUM(Q5:S5),"")</f>
        <v>49400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-21.4</v>
      </c>
      <c r="W5" s="55">
        <f>IF($T5="","",ROUND(($T5-$T$3)/1000,1)+(_xlfn.RANK.AVG($T5,($J5,$O5,$T5),1)-2)*10)</f>
        <v>24.4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200</v>
      </c>
      <c r="BU5" s="40" t="s">
        <v>201</v>
      </c>
      <c r="BV5" s="41" t="s">
        <v>82</v>
      </c>
      <c r="BW5" s="41" t="s">
        <v>85</v>
      </c>
      <c r="BX5" s="41" t="s">
        <v>79</v>
      </c>
      <c r="BY5" s="41" t="s">
        <v>203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32000</v>
      </c>
      <c r="K6" s="8" t="s">
        <v>197</v>
      </c>
      <c r="L6" s="9">
        <v>8000</v>
      </c>
      <c r="M6" s="9">
        <v>1000</v>
      </c>
      <c r="N6" s="48">
        <v>0</v>
      </c>
      <c r="O6" s="21">
        <f t="shared" si="3"/>
        <v>32600</v>
      </c>
      <c r="P6" s="8" t="s">
        <v>196</v>
      </c>
      <c r="Q6" s="9">
        <v>-8000</v>
      </c>
      <c r="R6" s="9">
        <v>-1000</v>
      </c>
      <c r="S6" s="48">
        <v>0</v>
      </c>
      <c r="T6" s="21">
        <f t="shared" si="4"/>
        <v>40400</v>
      </c>
      <c r="U6" s="53">
        <f>IF($J6="","",ROUND(($J6-$J$3)/1000,1)+(_xlfn.RANK.AVG($J6,($J6,$O6,$T6),1)-2)*10)</f>
        <v>-13</v>
      </c>
      <c r="V6" s="54">
        <f>IF($O6="","",ROUND(($O6-$O$3)/1000,1)+(_xlfn.RANK.AVG($O6,($J6,$O6,$T6),1)-2)*10)</f>
        <v>-2.4</v>
      </c>
      <c r="W6" s="55">
        <f>IF($T6="","",ROUND(($T6-$T$3)/1000,1)+(_xlfn.RANK.AVG($T6,($J6,$O6,$T6),1)-2)*10)</f>
        <v>15.4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200</v>
      </c>
      <c r="AZ6" s="40" t="s">
        <v>86</v>
      </c>
      <c r="BA6" s="41" t="s">
        <v>79</v>
      </c>
      <c r="BB6" s="41" t="s">
        <v>79</v>
      </c>
      <c r="BC6" s="41" t="s">
        <v>79</v>
      </c>
      <c r="BD6" s="41" t="s">
        <v>203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/>
      <c r="G7" s="9"/>
      <c r="H7" s="9">
        <v>-2000</v>
      </c>
      <c r="I7" s="48"/>
      <c r="J7" s="21">
        <f t="shared" si="2"/>
        <v>30000</v>
      </c>
      <c r="K7" s="8" t="s">
        <v>196</v>
      </c>
      <c r="L7" s="9">
        <v>-5200</v>
      </c>
      <c r="M7" s="9">
        <v>-1000</v>
      </c>
      <c r="N7" s="48">
        <v>0</v>
      </c>
      <c r="O7" s="21">
        <f t="shared" si="3"/>
        <v>26400</v>
      </c>
      <c r="P7" s="8" t="s">
        <v>197</v>
      </c>
      <c r="Q7" s="9">
        <v>5200</v>
      </c>
      <c r="R7" s="9">
        <v>3000</v>
      </c>
      <c r="S7" s="48">
        <v>0</v>
      </c>
      <c r="T7" s="21">
        <f t="shared" si="4"/>
        <v>48600</v>
      </c>
      <c r="U7" s="53">
        <f>IF($J7="","",ROUND(($J7-$J$3)/1000,1)+(_xlfn.RANK.AVG($J7,($J7,$O7,$T7),1)-2)*10)</f>
        <v>-5</v>
      </c>
      <c r="V7" s="54">
        <f>IF($O7="","",ROUND(($O7-$O$3)/1000,1)+(_xlfn.RANK.AVG($O7,($J7,$O7,$T7),1)-2)*10)</f>
        <v>-18.600000000000001</v>
      </c>
      <c r="W7" s="55">
        <f>IF($T7="","",ROUND(($T7-$T$3)/1000,1)+(_xlfn.RANK.AVG($T7,($J7,$O7,$T7),1)-2)*10)</f>
        <v>23.6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201</v>
      </c>
      <c r="BV7" s="41" t="s">
        <v>80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 t="s">
        <v>198</v>
      </c>
      <c r="G8" s="9">
        <v>-4500</v>
      </c>
      <c r="H8" s="9"/>
      <c r="I8" s="48">
        <v>0</v>
      </c>
      <c r="J8" s="21">
        <f t="shared" si="2"/>
        <v>25500</v>
      </c>
      <c r="K8" s="8" t="s">
        <v>198</v>
      </c>
      <c r="L8" s="9">
        <v>-7500</v>
      </c>
      <c r="M8" s="9"/>
      <c r="N8" s="48">
        <v>0</v>
      </c>
      <c r="O8" s="21">
        <f t="shared" si="3"/>
        <v>18900</v>
      </c>
      <c r="P8" s="8" t="s">
        <v>199</v>
      </c>
      <c r="Q8" s="9">
        <v>12000</v>
      </c>
      <c r="R8" s="9"/>
      <c r="S8" s="48">
        <v>0</v>
      </c>
      <c r="T8" s="21">
        <f t="shared" si="4"/>
        <v>60600</v>
      </c>
      <c r="U8" s="53">
        <f>IF($J8="","",ROUND(($J8-$J$3)/1000,1)+(_xlfn.RANK.AVG($J8,($J8,$O8,$T8),1)-2)*10)</f>
        <v>-9.5</v>
      </c>
      <c r="V8" s="54">
        <f>IF($O8="","",ROUND(($O8-$O$3)/1000,1)+(_xlfn.RANK.AVG($O8,($J8,$O8,$T8),1)-2)*10)</f>
        <v>-26.1</v>
      </c>
      <c r="W8" s="55">
        <f>IF($T8="","",ROUND(($T8-$T$3)/1000,1)+(_xlfn.RANK.AVG($T8,($J8,$O8,$T8),1)-2)*10)</f>
        <v>35.6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200</v>
      </c>
      <c r="BU8" s="40" t="s">
        <v>201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80</v>
      </c>
      <c r="CA8" s="41" t="s">
        <v>80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212</v>
      </c>
      <c r="G9" s="9">
        <v>3000</v>
      </c>
      <c r="H9" s="9">
        <v>-1000</v>
      </c>
      <c r="I9" s="48"/>
      <c r="J9" s="21">
        <f t="shared" si="2"/>
        <v>27500</v>
      </c>
      <c r="K9" s="8" t="s">
        <v>212</v>
      </c>
      <c r="L9" s="9">
        <v>-8000</v>
      </c>
      <c r="M9" s="9"/>
      <c r="N9" s="48"/>
      <c r="O9" s="21">
        <f t="shared" si="3"/>
        <v>10900</v>
      </c>
      <c r="P9" s="8" t="s">
        <v>212</v>
      </c>
      <c r="Q9" s="9">
        <v>5000</v>
      </c>
      <c r="R9" s="9">
        <v>1000</v>
      </c>
      <c r="S9" s="48"/>
      <c r="T9" s="21">
        <f t="shared" si="4"/>
        <v>66600</v>
      </c>
      <c r="U9" s="53">
        <f>IF($J9="","",ROUND(($J9-$J$3)/1000,1)+(_xlfn.RANK.AVG($J9,($J9,$O9,$T9),1)-2)*10)</f>
        <v>-7.5</v>
      </c>
      <c r="V9" s="54">
        <f>IF($O9="","",ROUND(($O9-$O$3)/1000,1)+(_xlfn.RANK.AVG($O9,($J9,$O9,$T9),1)-2)*10)</f>
        <v>-34.1</v>
      </c>
      <c r="W9" s="55">
        <f>IF($T9="","",ROUND(($T9-$T$3)/1000,1)+(_xlfn.RANK.AVG($T9,($J9,$O9,$T9),1)-2)*10)</f>
        <v>41.6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>
        <v>1</v>
      </c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0A658078-8A7A-4C49-87BB-F57422F9C14D}">
      <formula1>$U$2:$W$2</formula1>
    </dataValidation>
    <dataValidation type="list" showInputMessage="1" showErrorMessage="1" sqref="K4:K30 P4:P30 F4:F30" xr:uid="{05A9421C-DE95-4A82-AB26-BCE7CD819826}">
      <formula1>"ロン,ツモ,放銃,ツモ支払,流局,チョンボ"</formula1>
    </dataValidation>
    <dataValidation type="list" allowBlank="1" showInputMessage="1" sqref="F1:T1" xr:uid="{541842C7-7BE5-4CAD-9A70-3F25F94E03AB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DF8FD-09E6-4DCB-A274-2468400CA0FD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209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196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 t="s">
        <v>197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-15.2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40</v>
      </c>
      <c r="AZ4" s="40" t="s">
        <v>85</v>
      </c>
      <c r="BA4" s="41" t="s">
        <v>96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2600</v>
      </c>
      <c r="H5" s="9"/>
      <c r="I5" s="48">
        <v>0</v>
      </c>
      <c r="J5" s="21">
        <f t="shared" ref="J5:J30" si="2">IF(COUNTA($F5,$K5,$P5)&gt;0,J4+SUM(G5:I5),"")</f>
        <v>32400</v>
      </c>
      <c r="K5" s="8" t="s">
        <v>196</v>
      </c>
      <c r="L5" s="9">
        <v>-2600</v>
      </c>
      <c r="M5" s="9"/>
      <c r="N5" s="48">
        <v>0</v>
      </c>
      <c r="O5" s="21">
        <f t="shared" ref="O5:O30" si="3">IF(COUNTA($F5,$K5,$P5)&gt;0,O4+SUM(L5:N5),"")</f>
        <v>37600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-12.6</v>
      </c>
      <c r="V5" s="54">
        <f>IF($O5="","",ROUND(($O5-$O$3)/1000,1)+(_xlfn.RANK.AVG($O5,($J5,$O5,$T5),1)-2)*10)</f>
        <v>12.6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2</v>
      </c>
      <c r="AD5" s="30">
        <v>40</v>
      </c>
      <c r="AE5" s="40" t="s">
        <v>84</v>
      </c>
      <c r="AF5" s="41" t="s">
        <v>203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>
        <v>-2000</v>
      </c>
      <c r="I6" s="48"/>
      <c r="J6" s="21">
        <f t="shared" si="2"/>
        <v>30400</v>
      </c>
      <c r="K6" s="8" t="s">
        <v>196</v>
      </c>
      <c r="L6" s="9">
        <v>-12000</v>
      </c>
      <c r="M6" s="9">
        <v>-1000</v>
      </c>
      <c r="N6" s="48">
        <v>0</v>
      </c>
      <c r="O6" s="21">
        <f t="shared" si="3"/>
        <v>24600</v>
      </c>
      <c r="P6" s="8" t="s">
        <v>197</v>
      </c>
      <c r="Q6" s="9">
        <v>12000</v>
      </c>
      <c r="R6" s="9">
        <v>3000</v>
      </c>
      <c r="S6" s="48">
        <v>0</v>
      </c>
      <c r="T6" s="21">
        <f t="shared" si="4"/>
        <v>50000</v>
      </c>
      <c r="U6" s="53">
        <f>IF($J6="","",ROUND(($J6-$J$3)/1000,1)+(_xlfn.RANK.AVG($J6,($J6,$O6,$T6),1)-2)*10)</f>
        <v>-4.5999999999999996</v>
      </c>
      <c r="V6" s="54">
        <f>IF($O6="","",ROUND(($O6-$O$3)/1000,1)+(_xlfn.RANK.AVG($O6,($J6,$O6,$T6),1)-2)*10)</f>
        <v>-20.399999999999999</v>
      </c>
      <c r="W6" s="55">
        <f>IF($T6="","",ROUND(($T6-$T$3)/1000,1)+(_xlfn.RANK.AVG($T6,($J6,$O6,$T6),1)-2)*10)</f>
        <v>25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200</v>
      </c>
      <c r="BU6" s="40" t="s">
        <v>201</v>
      </c>
      <c r="BV6" s="41" t="s">
        <v>101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30400</v>
      </c>
      <c r="K7" s="8" t="s">
        <v>197</v>
      </c>
      <c r="L7" s="9">
        <v>5200</v>
      </c>
      <c r="M7" s="9">
        <v>1000</v>
      </c>
      <c r="N7" s="48">
        <v>1000</v>
      </c>
      <c r="O7" s="21">
        <f t="shared" si="3"/>
        <v>31800</v>
      </c>
      <c r="P7" s="8" t="s">
        <v>196</v>
      </c>
      <c r="Q7" s="9">
        <v>-5200</v>
      </c>
      <c r="R7" s="9">
        <v>-1000</v>
      </c>
      <c r="S7" s="48">
        <v>-1000</v>
      </c>
      <c r="T7" s="21">
        <f t="shared" si="4"/>
        <v>42800</v>
      </c>
      <c r="U7" s="53">
        <f>IF($J7="","",ROUND(($J7-$J$3)/1000,1)+(_xlfn.RANK.AVG($J7,($J7,$O7,$T7),1)-2)*10)</f>
        <v>-14.6</v>
      </c>
      <c r="V7" s="54">
        <f>IF($O7="","",ROUND(($O7-$O$3)/1000,1)+(_xlfn.RANK.AVG($O7,($J7,$O7,$T7),1)-2)*10)</f>
        <v>-3.2</v>
      </c>
      <c r="W7" s="55">
        <f>IF($T7="","",ROUND(($T7-$T$3)/1000,1)+(_xlfn.RANK.AVG($T7,($J7,$O7,$T7),1)-2)*10)</f>
        <v>17.8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201</v>
      </c>
      <c r="BA7" s="41" t="s">
        <v>86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/>
      <c r="G8" s="9"/>
      <c r="H8" s="9"/>
      <c r="I8" s="48"/>
      <c r="J8" s="21">
        <f t="shared" si="2"/>
        <v>30400</v>
      </c>
      <c r="K8" s="8" t="s">
        <v>197</v>
      </c>
      <c r="L8" s="9">
        <v>8000</v>
      </c>
      <c r="M8" s="9">
        <v>1000</v>
      </c>
      <c r="N8" s="48">
        <v>0</v>
      </c>
      <c r="O8" s="21">
        <f t="shared" si="3"/>
        <v>40800</v>
      </c>
      <c r="P8" s="8" t="s">
        <v>196</v>
      </c>
      <c r="Q8" s="9">
        <v>-8000</v>
      </c>
      <c r="R8" s="9">
        <v>-1000</v>
      </c>
      <c r="S8" s="48">
        <v>0</v>
      </c>
      <c r="T8" s="21">
        <f t="shared" si="4"/>
        <v>33800</v>
      </c>
      <c r="U8" s="53">
        <f>IF($J8="","",ROUND(($J8-$J$3)/1000,1)+(_xlfn.RANK.AVG($J8,($J8,$O8,$T8),1)-2)*10)</f>
        <v>-14.6</v>
      </c>
      <c r="V8" s="54">
        <f>IF($O8="","",ROUND(($O8-$O$3)/1000,1)+(_xlfn.RANK.AVG($O8,($J8,$O8,$T8),1)-2)*10)</f>
        <v>15.8</v>
      </c>
      <c r="W8" s="55">
        <f>IF($T8="","",ROUND(($T8-$T$3)/1000,1)+(_xlfn.RANK.AVG($T8,($J8,$O8,$T8),1)-2)*10)</f>
        <v>-1.2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40</v>
      </c>
      <c r="AZ8" s="40" t="s">
        <v>86</v>
      </c>
      <c r="BA8" s="41" t="s">
        <v>86</v>
      </c>
      <c r="BB8" s="41" t="s">
        <v>86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211</v>
      </c>
      <c r="G9" s="9">
        <v>0</v>
      </c>
      <c r="H9" s="9"/>
      <c r="I9" s="48"/>
      <c r="J9" s="21">
        <f t="shared" si="2"/>
        <v>30400</v>
      </c>
      <c r="K9" s="8" t="s">
        <v>211</v>
      </c>
      <c r="L9" s="9">
        <v>0</v>
      </c>
      <c r="M9" s="9"/>
      <c r="N9" s="48"/>
      <c r="O9" s="21">
        <f t="shared" si="3"/>
        <v>40800</v>
      </c>
      <c r="P9" s="8" t="s">
        <v>211</v>
      </c>
      <c r="Q9" s="9">
        <v>0</v>
      </c>
      <c r="R9" s="9"/>
      <c r="S9" s="48"/>
      <c r="T9" s="21">
        <f t="shared" si="4"/>
        <v>33800</v>
      </c>
      <c r="U9" s="53">
        <f>IF($J9="","",ROUND(($J9-$J$3)/1000,1)+(_xlfn.RANK.AVG($J9,($J9,$O9,$T9),1)-2)*10)</f>
        <v>-14.6</v>
      </c>
      <c r="V9" s="54">
        <f>IF($O9="","",ROUND(($O9-$O$3)/1000,1)+(_xlfn.RANK.AVG($O9,($J9,$O9,$T9),1)-2)*10)</f>
        <v>15.8</v>
      </c>
      <c r="W9" s="55">
        <f>IF($T9="","",ROUND(($T9-$T$3)/1000,1)+(_xlfn.RANK.AVG($T9,($J9,$O9,$T9),1)-2)*10)</f>
        <v>-1.2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だいち</v>
      </c>
      <c r="F10" s="8" t="s">
        <v>198</v>
      </c>
      <c r="G10" s="9">
        <v>-5800</v>
      </c>
      <c r="H10" s="9"/>
      <c r="I10" s="48">
        <v>-500</v>
      </c>
      <c r="J10" s="21">
        <f t="shared" si="2"/>
        <v>24100</v>
      </c>
      <c r="K10" s="8" t="s">
        <v>198</v>
      </c>
      <c r="L10" s="9">
        <v>-5800</v>
      </c>
      <c r="M10" s="9"/>
      <c r="N10" s="48">
        <v>-500</v>
      </c>
      <c r="O10" s="21">
        <f t="shared" si="3"/>
        <v>34500</v>
      </c>
      <c r="P10" s="8" t="s">
        <v>199</v>
      </c>
      <c r="Q10" s="9">
        <v>11600</v>
      </c>
      <c r="R10" s="9"/>
      <c r="S10" s="48">
        <v>1000</v>
      </c>
      <c r="T10" s="21">
        <f t="shared" si="4"/>
        <v>46400</v>
      </c>
      <c r="U10" s="53">
        <f>IF($J10="","",ROUND(($J10-$J$3)/1000,1)+(_xlfn.RANK.AVG($J10,($J10,$O10,$T10),1)-2)*10)</f>
        <v>-20.9</v>
      </c>
      <c r="V10" s="54">
        <f>IF($O10="","",ROUND(($O10-$O$3)/1000,1)+(_xlfn.RANK.AVG($O10,($J10,$O10,$T10),1)-2)*10)</f>
        <v>-0.5</v>
      </c>
      <c r="W10" s="55">
        <f>IF($T10="","",ROUND(($T10-$T$3)/1000,1)+(_xlfn.RANK.AVG($T10,($J10,$O10,$T10),1)-2)*10)</f>
        <v>21.4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213</v>
      </c>
      <c r="BV10" s="41" t="s">
        <v>82</v>
      </c>
      <c r="BW10" s="41" t="s">
        <v>202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632BC0AD-D2CF-468B-A5C3-E335BB0CB4BC}">
      <formula1>"れんたろう,ともき,だいち,りくと,まっつん,たかの,のり,"</formula1>
    </dataValidation>
    <dataValidation type="list" showInputMessage="1" showErrorMessage="1" sqref="K4:K30 P4:P30 F4:F30" xr:uid="{D8AEDA02-5F83-4F99-97AF-381947B7D0E0}">
      <formula1>"ロン,ツモ,放銃,ツモ支払,流局,チョンボ"</formula1>
    </dataValidation>
    <dataValidation type="list" allowBlank="1" showInputMessage="1" showErrorMessage="1" sqref="E4:E30" xr:uid="{88BD6314-4EB0-4AF6-BD9F-D55E422FBA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EAA0-E2EA-4044-A869-CA5C71B33FC1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196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200</v>
      </c>
      <c r="AZ4" s="40" t="s">
        <v>201</v>
      </c>
      <c r="BA4" s="41" t="s">
        <v>86</v>
      </c>
      <c r="BB4" s="41" t="s">
        <v>104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197</v>
      </c>
      <c r="G5" s="9">
        <v>5200</v>
      </c>
      <c r="H5" s="9"/>
      <c r="I5" s="48">
        <v>0</v>
      </c>
      <c r="J5" s="21">
        <f t="shared" ref="J5:J30" si="2">IF(COUNTA($F5,$K5,$P5)&gt;0,J4+SUM(G5:I5),"")</f>
        <v>40200</v>
      </c>
      <c r="K5" s="8" t="s">
        <v>196</v>
      </c>
      <c r="L5" s="9">
        <v>-5200</v>
      </c>
      <c r="M5" s="9"/>
      <c r="N5" s="48">
        <v>0</v>
      </c>
      <c r="O5" s="21">
        <f t="shared" ref="O5:O30" si="3">IF(COUNTA($F5,$K5,$P5)&gt;0,O4+SUM(L5:N5),"")</f>
        <v>42800</v>
      </c>
      <c r="P5" s="8"/>
      <c r="Q5" s="9"/>
      <c r="R5" s="9"/>
      <c r="S5" s="48"/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5.2</v>
      </c>
      <c r="V5" s="54">
        <f>IF($O5="","",ROUND(($O5-$O$3)/1000,1)+(_xlfn.RANK.AVG($O5,($J5,$O5,$T5),1)-2)*10)</f>
        <v>17.8</v>
      </c>
      <c r="W5" s="55">
        <f>IF($T5="","",ROUND(($T5-$T$3)/1000,1)+(_xlfn.RANK.AVG($T5,($J5,$O5,$T5),1)-2)*10)</f>
        <v>-23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201</v>
      </c>
      <c r="AF5" s="41" t="s">
        <v>80</v>
      </c>
      <c r="AG5" s="41" t="s">
        <v>202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196</v>
      </c>
      <c r="G6" s="9">
        <v>-7700</v>
      </c>
      <c r="H6" s="9"/>
      <c r="I6" s="48">
        <v>0</v>
      </c>
      <c r="J6" s="21">
        <f t="shared" si="2"/>
        <v>32500</v>
      </c>
      <c r="K6" s="8" t="s">
        <v>197</v>
      </c>
      <c r="L6" s="9">
        <v>7700</v>
      </c>
      <c r="M6" s="9"/>
      <c r="N6" s="48">
        <v>0</v>
      </c>
      <c r="O6" s="21">
        <f t="shared" si="3"/>
        <v>50500</v>
      </c>
      <c r="P6" s="8"/>
      <c r="Q6" s="9"/>
      <c r="R6" s="9"/>
      <c r="S6" s="48"/>
      <c r="T6" s="21">
        <f t="shared" si="4"/>
        <v>22000</v>
      </c>
      <c r="U6" s="53">
        <f>IF($J6="","",ROUND(($J6-$J$3)/1000,1)+(_xlfn.RANK.AVG($J6,($J6,$O6,$T6),1)-2)*10)</f>
        <v>-2.5</v>
      </c>
      <c r="V6" s="54">
        <f>IF($O6="","",ROUND(($O6-$O$3)/1000,1)+(_xlfn.RANK.AVG($O6,($J6,$O6,$T6),1)-2)*10)</f>
        <v>25.5</v>
      </c>
      <c r="W6" s="55">
        <f>IF($T6="","",ROUND(($T6-$T$3)/1000,1)+(_xlfn.RANK.AVG($T6,($J6,$O6,$T6),1)-2)*10)</f>
        <v>-23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201</v>
      </c>
      <c r="BA6" s="41" t="s">
        <v>83</v>
      </c>
      <c r="BB6" s="41" t="s">
        <v>203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198</v>
      </c>
      <c r="G7" s="9">
        <v>-2500</v>
      </c>
      <c r="H7" s="9"/>
      <c r="I7" s="48">
        <v>0</v>
      </c>
      <c r="J7" s="21">
        <f t="shared" si="2"/>
        <v>30000</v>
      </c>
      <c r="K7" s="8" t="s">
        <v>199</v>
      </c>
      <c r="L7" s="9">
        <v>4000</v>
      </c>
      <c r="M7" s="9"/>
      <c r="N7" s="48">
        <v>0</v>
      </c>
      <c r="O7" s="21">
        <f t="shared" si="3"/>
        <v>54500</v>
      </c>
      <c r="P7" s="8" t="s">
        <v>198</v>
      </c>
      <c r="Q7" s="9">
        <v>-1500</v>
      </c>
      <c r="R7" s="9"/>
      <c r="S7" s="48">
        <v>0</v>
      </c>
      <c r="T7" s="21">
        <f t="shared" si="4"/>
        <v>20500</v>
      </c>
      <c r="U7" s="53">
        <f>IF($J7="","",ROUND(($J7-$J$3)/1000,1)+(_xlfn.RANK.AVG($J7,($J7,$O7,$T7),1)-2)*10)</f>
        <v>-5</v>
      </c>
      <c r="V7" s="54">
        <f>IF($O7="","",ROUND(($O7-$O$3)/1000,1)+(_xlfn.RANK.AVG($O7,($J7,$O7,$T7),1)-2)*10)</f>
        <v>29.5</v>
      </c>
      <c r="W7" s="55">
        <f>IF($T7="","",ROUND(($T7-$T$3)/1000,1)+(_xlfn.RANK.AVG($T7,($J7,$O7,$T7),1)-2)*10)</f>
        <v>-24.5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201</v>
      </c>
      <c r="BA7" s="41" t="s">
        <v>82</v>
      </c>
      <c r="BB7" s="41" t="s">
        <v>202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211</v>
      </c>
      <c r="G8" s="9">
        <v>1500</v>
      </c>
      <c r="H8" s="9"/>
      <c r="I8" s="48"/>
      <c r="J8" s="21">
        <f t="shared" si="2"/>
        <v>31500</v>
      </c>
      <c r="K8" s="8" t="s">
        <v>211</v>
      </c>
      <c r="L8" s="9">
        <v>1500</v>
      </c>
      <c r="M8" s="9">
        <v>-1000</v>
      </c>
      <c r="N8" s="48"/>
      <c r="O8" s="21">
        <f t="shared" si="3"/>
        <v>55000</v>
      </c>
      <c r="P8" s="8" t="s">
        <v>211</v>
      </c>
      <c r="Q8" s="9">
        <v>-3000</v>
      </c>
      <c r="R8" s="9"/>
      <c r="S8" s="48"/>
      <c r="T8" s="21">
        <f t="shared" si="4"/>
        <v>17500</v>
      </c>
      <c r="U8" s="53">
        <f>IF($J8="","",ROUND(($J8-$J$3)/1000,1)+(_xlfn.RANK.AVG($J8,($J8,$O8,$T8),1)-2)*10)</f>
        <v>-3.5</v>
      </c>
      <c r="V8" s="54">
        <f>IF($O8="","",ROUND(($O8-$O$3)/1000,1)+(_xlfn.RANK.AVG($O8,($J8,$O8,$T8),1)-2)*10)</f>
        <v>30</v>
      </c>
      <c r="W8" s="55">
        <f>IF($T8="","",ROUND(($T8-$T$3)/1000,1)+(_xlfn.RANK.AVG($T8,($J8,$O8,$T8),1)-2)*10)</f>
        <v>-27.5</v>
      </c>
      <c r="Y8" s="8" t="s">
        <v>204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まっつん</v>
      </c>
      <c r="F9" s="8" t="s">
        <v>211</v>
      </c>
      <c r="G9" s="9">
        <v>-1500</v>
      </c>
      <c r="H9" s="9"/>
      <c r="I9" s="48"/>
      <c r="J9" s="21">
        <f t="shared" si="2"/>
        <v>30000</v>
      </c>
      <c r="K9" s="8" t="s">
        <v>211</v>
      </c>
      <c r="L9" s="9">
        <v>-1500</v>
      </c>
      <c r="M9" s="9"/>
      <c r="N9" s="48"/>
      <c r="O9" s="21">
        <f t="shared" si="3"/>
        <v>53500</v>
      </c>
      <c r="P9" s="8" t="s">
        <v>211</v>
      </c>
      <c r="Q9" s="9">
        <v>3000</v>
      </c>
      <c r="R9" s="9">
        <v>-1000</v>
      </c>
      <c r="S9" s="48"/>
      <c r="T9" s="21">
        <f t="shared" si="4"/>
        <v>19500</v>
      </c>
      <c r="U9" s="53">
        <f>IF($J9="","",ROUND(($J9-$J$3)/1000,1)+(_xlfn.RANK.AVG($J9,($J9,$O9,$T9),1)-2)*10)</f>
        <v>-5</v>
      </c>
      <c r="V9" s="54">
        <f>IF($O9="","",ROUND(($O9-$O$3)/1000,1)+(_xlfn.RANK.AVG($O9,($J9,$O9,$T9),1)-2)*10)</f>
        <v>28.5</v>
      </c>
      <c r="W9" s="55">
        <f>IF($T9="","",ROUND(($T9-$T$3)/1000,1)+(_xlfn.RANK.AVG($T9,($J9,$O9,$T9),1)-2)*10)</f>
        <v>-25.5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2</v>
      </c>
      <c r="D10" s="18">
        <f t="shared" si="1"/>
        <v>2</v>
      </c>
      <c r="E10" s="4" t="str">
        <f>IF($P$1="","",$P$1)</f>
        <v>りくと</v>
      </c>
      <c r="F10" s="8" t="s">
        <v>199</v>
      </c>
      <c r="G10" s="9">
        <v>4000</v>
      </c>
      <c r="H10" s="9">
        <v>3000</v>
      </c>
      <c r="I10" s="48">
        <v>2000</v>
      </c>
      <c r="J10" s="21">
        <f t="shared" si="2"/>
        <v>39000</v>
      </c>
      <c r="K10" s="8" t="s">
        <v>198</v>
      </c>
      <c r="L10" s="9">
        <v>-1500</v>
      </c>
      <c r="M10" s="9"/>
      <c r="N10" s="48">
        <v>-1000</v>
      </c>
      <c r="O10" s="21">
        <f t="shared" si="3"/>
        <v>51000</v>
      </c>
      <c r="P10" s="8" t="s">
        <v>198</v>
      </c>
      <c r="Q10" s="9">
        <v>-2500</v>
      </c>
      <c r="R10" s="9">
        <v>-1000</v>
      </c>
      <c r="S10" s="48">
        <v>-1000</v>
      </c>
      <c r="T10" s="21">
        <f t="shared" si="4"/>
        <v>15000</v>
      </c>
      <c r="U10" s="53">
        <f>IF($J10="","",ROUND(($J10-$J$3)/1000,1)+(_xlfn.RANK.AVG($J10,($J10,$O10,$T10),1)-2)*10)</f>
        <v>4</v>
      </c>
      <c r="V10" s="54">
        <f>IF($O10="","",ROUND(($O10-$O$3)/1000,1)+(_xlfn.RANK.AVG($O10,($J10,$O10,$T10),1)-2)*10)</f>
        <v>26</v>
      </c>
      <c r="W10" s="55">
        <f>IF($T10="","",ROUND(($T10-$T$3)/1000,1)+(_xlfn.RANK.AVG($T10,($J10,$O10,$T10),1)-2)*10)</f>
        <v>-30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203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904D839-5CA7-4EA5-B763-4E2A628CDB66}">
      <formula1>$U$2:$W$2</formula1>
    </dataValidation>
    <dataValidation type="list" showInputMessage="1" showErrorMessage="1" sqref="K4:K30 P4:P30 F4:F30" xr:uid="{2D1D38F4-9578-42F5-892D-C416702B4D5D}">
      <formula1>"ロン,ツモ,放銃,ツモ支払,流局,チョンボ"</formula1>
    </dataValidation>
    <dataValidation type="list" allowBlank="1" showInputMessage="1" sqref="F1:T1" xr:uid="{4513D3A9-3BFE-4345-90F9-897392094EFF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2020-04-05T08:31:11Z</dcterms:modified>
</cp:coreProperties>
</file>