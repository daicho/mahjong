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9193D54C-4BDF-48E3-82CC-A973C07B7F44}" xr6:coauthVersionLast="44" xr6:coauthVersionMax="44" xr10:uidLastSave="{00000000-0000-0000-0000-000000000000}"/>
  <bookViews>
    <workbookView xWindow="-108" yWindow="-108" windowWidth="23256" windowHeight="12720" activeTab="7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役一覧" sheetId="15" state="hidden" r:id="rId9"/>
    <sheet name="点数表(親ロン)" sheetId="4" state="hidden" r:id="rId10"/>
    <sheet name="点数表(親ツモ)" sheetId="9" state="hidden" r:id="rId11"/>
    <sheet name="点数表(子→親)" sheetId="7" state="hidden" r:id="rId12"/>
    <sheet name="点数表(子ロン)" sheetId="3" state="hidden" r:id="rId13"/>
    <sheet name="点数表(子ツモ)" sheetId="10" state="hidden" r:id="rId14"/>
    <sheet name="点数表(子→子)" sheetId="5" state="hidden" r:id="rId15"/>
    <sheet name="点数表(親→子)" sheetId="6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4" i="26" l="1"/>
  <c r="E13" i="26"/>
  <c r="E12" i="26"/>
  <c r="E11" i="26"/>
  <c r="E10" i="26"/>
  <c r="E9" i="26"/>
  <c r="E8" i="26"/>
  <c r="E7" i="26"/>
  <c r="E6" i="26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 s="1"/>
  <c r="T13" i="26"/>
  <c r="O13" i="26"/>
  <c r="J13" i="26"/>
  <c r="U13" i="26" s="1"/>
  <c r="D13" i="26"/>
  <c r="C13" i="26"/>
  <c r="B13" i="26"/>
  <c r="A13" i="26" s="1"/>
  <c r="T12" i="26"/>
  <c r="O12" i="26"/>
  <c r="J12" i="26"/>
  <c r="D12" i="26"/>
  <c r="C12" i="26"/>
  <c r="B12" i="26"/>
  <c r="A12" i="26" s="1"/>
  <c r="C10" i="26"/>
  <c r="D10" i="26"/>
  <c r="D9" i="26"/>
  <c r="C9" i="26"/>
  <c r="D7" i="26"/>
  <c r="T6" i="26"/>
  <c r="T7" i="26" s="1"/>
  <c r="C6" i="26"/>
  <c r="D6" i="26"/>
  <c r="T5" i="26"/>
  <c r="O5" i="26"/>
  <c r="O6" i="26" s="1"/>
  <c r="D5" i="26"/>
  <c r="C5" i="26"/>
  <c r="T4" i="26"/>
  <c r="O4" i="26"/>
  <c r="J4" i="26"/>
  <c r="E4" i="26"/>
  <c r="B5" i="26" s="1"/>
  <c r="W3" i="26"/>
  <c r="V3" i="26"/>
  <c r="U3" i="26"/>
  <c r="W2" i="26"/>
  <c r="V2" i="26"/>
  <c r="U2" i="26"/>
  <c r="BO1" i="26"/>
  <c r="AT1" i="26"/>
  <c r="Y1" i="26"/>
  <c r="E11" i="25"/>
  <c r="E10" i="25"/>
  <c r="E9" i="25"/>
  <c r="E8" i="25"/>
  <c r="E7" i="25"/>
  <c r="E6" i="25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C13" i="25"/>
  <c r="D13" i="25"/>
  <c r="D12" i="25"/>
  <c r="C12" i="25"/>
  <c r="D9" i="25"/>
  <c r="D8" i="25"/>
  <c r="C8" i="25"/>
  <c r="J7" i="25"/>
  <c r="J8" i="25" s="1"/>
  <c r="D7" i="25"/>
  <c r="J6" i="25"/>
  <c r="C6" i="25"/>
  <c r="T5" i="25"/>
  <c r="T6" i="25" s="1"/>
  <c r="J5" i="25"/>
  <c r="C5" i="25"/>
  <c r="D5" i="25"/>
  <c r="T4" i="25"/>
  <c r="O4" i="25"/>
  <c r="J4" i="25"/>
  <c r="E4" i="25"/>
  <c r="W3" i="25"/>
  <c r="V3" i="25"/>
  <c r="U3" i="25"/>
  <c r="W2" i="25"/>
  <c r="V2" i="25"/>
  <c r="U2" i="25"/>
  <c r="BO1" i="25"/>
  <c r="AT1" i="25"/>
  <c r="Y1" i="25"/>
  <c r="E14" i="24"/>
  <c r="E13" i="24"/>
  <c r="E12" i="24"/>
  <c r="E11" i="24"/>
  <c r="E10" i="24"/>
  <c r="C10" i="24" s="1"/>
  <c r="E9" i="24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 s="1"/>
  <c r="T14" i="24"/>
  <c r="W14" i="24" s="1"/>
  <c r="O14" i="24"/>
  <c r="V14" i="24" s="1"/>
  <c r="J14" i="24"/>
  <c r="D14" i="24"/>
  <c r="C14" i="24"/>
  <c r="B14" i="24"/>
  <c r="A14" i="24" s="1"/>
  <c r="D13" i="24"/>
  <c r="D9" i="24"/>
  <c r="D8" i="24"/>
  <c r="T6" i="24"/>
  <c r="T7" i="24" s="1"/>
  <c r="B6" i="24"/>
  <c r="D6" i="24"/>
  <c r="T5" i="24"/>
  <c r="O5" i="24"/>
  <c r="O6" i="24" s="1"/>
  <c r="D5" i="24"/>
  <c r="C5" i="24"/>
  <c r="T4" i="24"/>
  <c r="O4" i="24"/>
  <c r="J4" i="24"/>
  <c r="E4" i="24"/>
  <c r="B5" i="24" s="1"/>
  <c r="A5" i="24" s="1"/>
  <c r="W3" i="24"/>
  <c r="V3" i="24"/>
  <c r="U3" i="24"/>
  <c r="W2" i="24"/>
  <c r="V2" i="24"/>
  <c r="U2" i="24"/>
  <c r="BO1" i="24"/>
  <c r="AT1" i="24"/>
  <c r="Y1" i="24"/>
  <c r="V13" i="26" l="1"/>
  <c r="W13" i="26"/>
  <c r="W12" i="26"/>
  <c r="V12" i="26"/>
  <c r="U12" i="26"/>
  <c r="V4" i="26"/>
  <c r="W4" i="26"/>
  <c r="O7" i="26"/>
  <c r="T8" i="26"/>
  <c r="A5" i="26"/>
  <c r="C8" i="26"/>
  <c r="B6" i="26"/>
  <c r="A6" i="26" s="1"/>
  <c r="D8" i="26"/>
  <c r="C11" i="26"/>
  <c r="U4" i="26"/>
  <c r="J5" i="26"/>
  <c r="D11" i="26"/>
  <c r="C7" i="26"/>
  <c r="V5" i="26"/>
  <c r="W4" i="25"/>
  <c r="T7" i="25"/>
  <c r="J9" i="25"/>
  <c r="U4" i="25"/>
  <c r="C14" i="25"/>
  <c r="V4" i="25"/>
  <c r="O5" i="25"/>
  <c r="D6" i="25"/>
  <c r="C9" i="25"/>
  <c r="C10" i="25" s="1"/>
  <c r="C11" i="25" s="1"/>
  <c r="D14" i="25"/>
  <c r="B5" i="25"/>
  <c r="A5" i="25" s="1"/>
  <c r="C7" i="25"/>
  <c r="D10" i="25"/>
  <c r="D11" i="25" s="1"/>
  <c r="B6" i="25"/>
  <c r="U14" i="24"/>
  <c r="D10" i="24"/>
  <c r="V4" i="24"/>
  <c r="W4" i="24"/>
  <c r="A6" i="24"/>
  <c r="O7" i="24"/>
  <c r="C11" i="24"/>
  <c r="C12" i="24" s="1"/>
  <c r="C13" i="24" s="1"/>
  <c r="T8" i="24"/>
  <c r="C8" i="24"/>
  <c r="C9" i="24" s="1"/>
  <c r="U4" i="24"/>
  <c r="J5" i="24"/>
  <c r="C6" i="24"/>
  <c r="C7" i="24" s="1"/>
  <c r="D11" i="24"/>
  <c r="B7" i="24"/>
  <c r="D12" i="24"/>
  <c r="V5" i="24"/>
  <c r="D7" i="24"/>
  <c r="B7" i="26" l="1"/>
  <c r="J6" i="26"/>
  <c r="U5" i="26"/>
  <c r="W5" i="26"/>
  <c r="T9" i="26"/>
  <c r="O8" i="26"/>
  <c r="T8" i="25"/>
  <c r="A6" i="25"/>
  <c r="J10" i="25"/>
  <c r="U5" i="25"/>
  <c r="O6" i="25"/>
  <c r="V5" i="25"/>
  <c r="W5" i="25"/>
  <c r="B7" i="25"/>
  <c r="B8" i="24"/>
  <c r="A7" i="24"/>
  <c r="T9" i="24"/>
  <c r="W5" i="24"/>
  <c r="J6" i="24"/>
  <c r="U5" i="24"/>
  <c r="O8" i="24"/>
  <c r="B8" i="26" l="1"/>
  <c r="A7" i="26"/>
  <c r="O9" i="26"/>
  <c r="T10" i="26"/>
  <c r="J7" i="26"/>
  <c r="U6" i="26"/>
  <c r="V6" i="26"/>
  <c r="W6" i="26"/>
  <c r="T9" i="25"/>
  <c r="O7" i="25"/>
  <c r="V6" i="25"/>
  <c r="U6" i="25"/>
  <c r="W6" i="25"/>
  <c r="B8" i="25"/>
  <c r="A8" i="25" s="1"/>
  <c r="A7" i="25"/>
  <c r="J11" i="25"/>
  <c r="B9" i="24"/>
  <c r="O9" i="24"/>
  <c r="A8" i="24"/>
  <c r="U6" i="24"/>
  <c r="J7" i="24"/>
  <c r="V6" i="24"/>
  <c r="W6" i="24"/>
  <c r="T10" i="24"/>
  <c r="A8" i="26" l="1"/>
  <c r="B9" i="26"/>
  <c r="J8" i="26"/>
  <c r="U7" i="26"/>
  <c r="W7" i="26"/>
  <c r="V7" i="26"/>
  <c r="T11" i="26"/>
  <c r="O10" i="26"/>
  <c r="B9" i="25"/>
  <c r="A9" i="25" s="1"/>
  <c r="O8" i="25"/>
  <c r="V7" i="25"/>
  <c r="U7" i="25"/>
  <c r="W7" i="25"/>
  <c r="J12" i="25"/>
  <c r="T10" i="25"/>
  <c r="B10" i="24"/>
  <c r="A9" i="24"/>
  <c r="J8" i="24"/>
  <c r="U7" i="24"/>
  <c r="W7" i="24"/>
  <c r="V7" i="24"/>
  <c r="O10" i="24"/>
  <c r="T11" i="24"/>
  <c r="J9" i="26" l="1"/>
  <c r="U8" i="26"/>
  <c r="W8" i="26"/>
  <c r="V8" i="26"/>
  <c r="B10" i="26"/>
  <c r="A10" i="26" s="1"/>
  <c r="O11" i="26"/>
  <c r="A9" i="26"/>
  <c r="T11" i="25"/>
  <c r="J13" i="25"/>
  <c r="O9" i="25"/>
  <c r="V8" i="25"/>
  <c r="U8" i="25"/>
  <c r="W8" i="25"/>
  <c r="B10" i="25"/>
  <c r="A10" i="25" s="1"/>
  <c r="B11" i="24"/>
  <c r="A10" i="24"/>
  <c r="O11" i="24"/>
  <c r="T12" i="24"/>
  <c r="J9" i="24"/>
  <c r="U8" i="24"/>
  <c r="W8" i="24"/>
  <c r="V8" i="24"/>
  <c r="J10" i="26" l="1"/>
  <c r="U9" i="26"/>
  <c r="W9" i="26"/>
  <c r="V9" i="26"/>
  <c r="B11" i="26"/>
  <c r="A11" i="26" s="1"/>
  <c r="O10" i="25"/>
  <c r="V9" i="25"/>
  <c r="U9" i="25"/>
  <c r="W9" i="25"/>
  <c r="J14" i="25"/>
  <c r="B11" i="25"/>
  <c r="A11" i="25" s="1"/>
  <c r="T12" i="25"/>
  <c r="A11" i="24"/>
  <c r="B12" i="24"/>
  <c r="J10" i="24"/>
  <c r="U9" i="24"/>
  <c r="W9" i="24"/>
  <c r="V9" i="24"/>
  <c r="T13" i="24"/>
  <c r="O12" i="24"/>
  <c r="J11" i="26" l="1"/>
  <c r="U10" i="26"/>
  <c r="W10" i="26"/>
  <c r="V10" i="26"/>
  <c r="O11" i="25"/>
  <c r="V10" i="25"/>
  <c r="U10" i="25"/>
  <c r="W10" i="25"/>
  <c r="B12" i="25"/>
  <c r="A12" i="25" s="1"/>
  <c r="T13" i="25"/>
  <c r="B13" i="24"/>
  <c r="A13" i="24" s="1"/>
  <c r="O13" i="24"/>
  <c r="A12" i="24"/>
  <c r="J11" i="24"/>
  <c r="U10" i="24"/>
  <c r="W10" i="24"/>
  <c r="V10" i="24"/>
  <c r="U11" i="26" l="1"/>
  <c r="W11" i="26"/>
  <c r="V11" i="26"/>
  <c r="T14" i="25"/>
  <c r="B13" i="25"/>
  <c r="A13" i="25" s="1"/>
  <c r="V11" i="25"/>
  <c r="O12" i="25"/>
  <c r="U11" i="25"/>
  <c r="W11" i="25"/>
  <c r="U11" i="24"/>
  <c r="J12" i="24"/>
  <c r="W11" i="24"/>
  <c r="V11" i="24"/>
  <c r="O13" i="25" l="1"/>
  <c r="V12" i="25"/>
  <c r="U12" i="25"/>
  <c r="W12" i="25"/>
  <c r="B14" i="25"/>
  <c r="A14" i="25" s="1"/>
  <c r="J13" i="24"/>
  <c r="U12" i="24"/>
  <c r="W12" i="24"/>
  <c r="V12" i="24"/>
  <c r="O14" i="25" l="1"/>
  <c r="V13" i="25"/>
  <c r="U13" i="25"/>
  <c r="W13" i="25"/>
  <c r="U13" i="24"/>
  <c r="W13" i="24"/>
  <c r="V13" i="24"/>
  <c r="V14" i="25" l="1"/>
  <c r="U14" i="25"/>
  <c r="W14" i="25"/>
  <c r="E13" i="23"/>
  <c r="E12" i="23"/>
  <c r="E11" i="23"/>
  <c r="E10" i="23"/>
  <c r="E9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 s="1"/>
  <c r="D13" i="23"/>
  <c r="D12" i="23"/>
  <c r="C10" i="23"/>
  <c r="D10" i="23"/>
  <c r="D9" i="23"/>
  <c r="C9" i="23"/>
  <c r="D8" i="23"/>
  <c r="T6" i="23"/>
  <c r="T7" i="23" s="1"/>
  <c r="C6" i="23"/>
  <c r="D6" i="23"/>
  <c r="T5" i="23"/>
  <c r="O5" i="23"/>
  <c r="O6" i="23" s="1"/>
  <c r="B5" i="23"/>
  <c r="D5" i="23"/>
  <c r="C5" i="23"/>
  <c r="T4" i="23"/>
  <c r="O4" i="23"/>
  <c r="J4" i="23"/>
  <c r="E4" i="23"/>
  <c r="W3" i="23"/>
  <c r="V3" i="23"/>
  <c r="U3" i="23"/>
  <c r="W2" i="23"/>
  <c r="V2" i="23"/>
  <c r="U2" i="23"/>
  <c r="BO1" i="23"/>
  <c r="AT1" i="23"/>
  <c r="Y1" i="23"/>
  <c r="E13" i="22"/>
  <c r="E12" i="22"/>
  <c r="E11" i="22"/>
  <c r="E10" i="22"/>
  <c r="D10" i="22" s="1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 s="1"/>
  <c r="T13" i="22"/>
  <c r="O13" i="22"/>
  <c r="V13" i="22" s="1"/>
  <c r="J13" i="22"/>
  <c r="D13" i="22"/>
  <c r="C13" i="22"/>
  <c r="B13" i="22"/>
  <c r="A13" i="22"/>
  <c r="D12" i="22"/>
  <c r="C11" i="22"/>
  <c r="D11" i="22"/>
  <c r="C10" i="22"/>
  <c r="D9" i="22"/>
  <c r="T7" i="22"/>
  <c r="T8" i="22" s="1"/>
  <c r="C7" i="22"/>
  <c r="D7" i="22"/>
  <c r="T6" i="22"/>
  <c r="O6" i="22"/>
  <c r="O7" i="22" s="1"/>
  <c r="D6" i="22"/>
  <c r="C6" i="22"/>
  <c r="T5" i="22"/>
  <c r="O5" i="22"/>
  <c r="J5" i="22"/>
  <c r="D5" i="22"/>
  <c r="T4" i="22"/>
  <c r="O4" i="22"/>
  <c r="J4" i="22"/>
  <c r="E4" i="22"/>
  <c r="C5" i="22" s="1"/>
  <c r="W3" i="22"/>
  <c r="V3" i="22"/>
  <c r="U3" i="22"/>
  <c r="W2" i="22"/>
  <c r="V2" i="22"/>
  <c r="U2" i="22"/>
  <c r="BO1" i="22"/>
  <c r="AT1" i="22"/>
  <c r="Y1" i="22"/>
  <c r="E12" i="21"/>
  <c r="D12" i="21" s="1"/>
  <c r="E11" i="21"/>
  <c r="E10" i="21"/>
  <c r="D10" i="21" s="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J12" i="21"/>
  <c r="C12" i="21"/>
  <c r="T11" i="21"/>
  <c r="O11" i="21"/>
  <c r="J11" i="21"/>
  <c r="D11" i="21"/>
  <c r="C11" i="21"/>
  <c r="B11" i="21"/>
  <c r="A11" i="21" s="1"/>
  <c r="C9" i="21"/>
  <c r="D9" i="21"/>
  <c r="D8" i="21"/>
  <c r="C8" i="21"/>
  <c r="J7" i="21"/>
  <c r="J8" i="21" s="1"/>
  <c r="D7" i="21"/>
  <c r="J6" i="21"/>
  <c r="D6" i="21"/>
  <c r="T5" i="21"/>
  <c r="T6" i="21" s="1"/>
  <c r="J5" i="21"/>
  <c r="D5" i="21"/>
  <c r="T4" i="21"/>
  <c r="O4" i="21"/>
  <c r="O5" i="21" s="1"/>
  <c r="J4" i="21"/>
  <c r="E4" i="21"/>
  <c r="C5" i="21" s="1"/>
  <c r="W3" i="21"/>
  <c r="V3" i="21"/>
  <c r="U3" i="21"/>
  <c r="W2" i="21"/>
  <c r="V2" i="21"/>
  <c r="U2" i="21"/>
  <c r="BO1" i="21"/>
  <c r="AT1" i="21"/>
  <c r="Y1" i="21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 s="1"/>
  <c r="D9" i="20"/>
  <c r="D10" i="20" s="1"/>
  <c r="C9" i="20"/>
  <c r="C10" i="20" s="1"/>
  <c r="D7" i="20"/>
  <c r="D6" i="20"/>
  <c r="J5" i="20"/>
  <c r="J6" i="20" s="1"/>
  <c r="D5" i="20"/>
  <c r="T4" i="20"/>
  <c r="T5" i="20" s="1"/>
  <c r="O4" i="20"/>
  <c r="J4" i="20"/>
  <c r="E4" i="20"/>
  <c r="B5" i="20" s="1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V4" i="23" l="1"/>
  <c r="W4" i="23"/>
  <c r="T8" i="23"/>
  <c r="A5" i="23"/>
  <c r="O7" i="23"/>
  <c r="C8" i="23"/>
  <c r="B6" i="23"/>
  <c r="C11" i="23"/>
  <c r="U4" i="23"/>
  <c r="J5" i="23"/>
  <c r="D11" i="23"/>
  <c r="B7" i="23"/>
  <c r="B8" i="23" s="1"/>
  <c r="C12" i="23"/>
  <c r="C13" i="23" s="1"/>
  <c r="C7" i="23"/>
  <c r="D7" i="23"/>
  <c r="W13" i="22"/>
  <c r="U13" i="22"/>
  <c r="U4" i="22"/>
  <c r="V4" i="22"/>
  <c r="V5" i="22"/>
  <c r="W4" i="22"/>
  <c r="T9" i="22"/>
  <c r="B6" i="22"/>
  <c r="B7" i="22" s="1"/>
  <c r="O8" i="22"/>
  <c r="B5" i="22"/>
  <c r="A5" i="22" s="1"/>
  <c r="W5" i="22"/>
  <c r="C8" i="22"/>
  <c r="D8" i="22"/>
  <c r="C9" i="22"/>
  <c r="C12" i="22"/>
  <c r="U5" i="22"/>
  <c r="J6" i="22"/>
  <c r="V12" i="21"/>
  <c r="U12" i="21"/>
  <c r="B12" i="21"/>
  <c r="A12" i="21" s="1"/>
  <c r="U11" i="21"/>
  <c r="V11" i="21"/>
  <c r="W11" i="21"/>
  <c r="W4" i="21"/>
  <c r="T7" i="21"/>
  <c r="W6" i="21"/>
  <c r="O6" i="21"/>
  <c r="V5" i="21"/>
  <c r="U5" i="21"/>
  <c r="J9" i="21"/>
  <c r="C7" i="21"/>
  <c r="B5" i="21"/>
  <c r="C10" i="21"/>
  <c r="W5" i="21"/>
  <c r="B6" i="21"/>
  <c r="B7" i="21" s="1"/>
  <c r="U4" i="21"/>
  <c r="C6" i="21"/>
  <c r="V4" i="21"/>
  <c r="U4" i="20"/>
  <c r="V4" i="20"/>
  <c r="T6" i="20"/>
  <c r="A5" i="20"/>
  <c r="J7" i="20"/>
  <c r="C5" i="20"/>
  <c r="C6" i="20" s="1"/>
  <c r="C7" i="20" s="1"/>
  <c r="C8" i="20" s="1"/>
  <c r="B6" i="20"/>
  <c r="A6" i="20" s="1"/>
  <c r="D8" i="20"/>
  <c r="O5" i="20"/>
  <c r="W5" i="20" s="1"/>
  <c r="W4" i="20"/>
  <c r="B7" i="20"/>
  <c r="E5" i="19"/>
  <c r="A7" i="23" l="1"/>
  <c r="A6" i="23"/>
  <c r="B9" i="23"/>
  <c r="A9" i="23" s="1"/>
  <c r="O8" i="23"/>
  <c r="T9" i="23"/>
  <c r="W5" i="23"/>
  <c r="U5" i="23"/>
  <c r="J6" i="23"/>
  <c r="A8" i="23"/>
  <c r="V5" i="23"/>
  <c r="B8" i="22"/>
  <c r="W6" i="22"/>
  <c r="J7" i="22"/>
  <c r="U6" i="22"/>
  <c r="V6" i="22"/>
  <c r="A6" i="22"/>
  <c r="A7" i="22" s="1"/>
  <c r="A8" i="22" s="1"/>
  <c r="O9" i="22"/>
  <c r="T10" i="22"/>
  <c r="B8" i="21"/>
  <c r="A8" i="21" s="1"/>
  <c r="T8" i="21"/>
  <c r="J10" i="21"/>
  <c r="A6" i="21"/>
  <c r="A7" i="21" s="1"/>
  <c r="A5" i="21"/>
  <c r="U6" i="21"/>
  <c r="O7" i="21"/>
  <c r="V6" i="21"/>
  <c r="A7" i="20"/>
  <c r="T7" i="20"/>
  <c r="B8" i="20"/>
  <c r="V5" i="20"/>
  <c r="O6" i="20"/>
  <c r="W6" i="20" s="1"/>
  <c r="J8" i="20"/>
  <c r="U5" i="20"/>
  <c r="E4" i="19"/>
  <c r="J7" i="23" l="1"/>
  <c r="U6" i="23"/>
  <c r="V6" i="23"/>
  <c r="W6" i="23"/>
  <c r="B10" i="23"/>
  <c r="A10" i="23" s="1"/>
  <c r="T10" i="23"/>
  <c r="O9" i="23"/>
  <c r="O10" i="22"/>
  <c r="U7" i="22"/>
  <c r="J8" i="22"/>
  <c r="V7" i="22"/>
  <c r="W7" i="22"/>
  <c r="T11" i="22"/>
  <c r="B9" i="22"/>
  <c r="O8" i="21"/>
  <c r="V7" i="21"/>
  <c r="U7" i="21"/>
  <c r="W7" i="21"/>
  <c r="T9" i="21"/>
  <c r="W8" i="21"/>
  <c r="B9" i="21"/>
  <c r="A8" i="20"/>
  <c r="J9" i="20"/>
  <c r="O7" i="20"/>
  <c r="V6" i="20"/>
  <c r="U6" i="20"/>
  <c r="B9" i="20"/>
  <c r="A9" i="20" s="1"/>
  <c r="T8" i="20"/>
  <c r="W7" i="20"/>
  <c r="W3" i="19"/>
  <c r="V3" i="19"/>
  <c r="U3" i="19"/>
  <c r="O10" i="23" l="1"/>
  <c r="J8" i="23"/>
  <c r="U7" i="23"/>
  <c r="W7" i="23"/>
  <c r="V7" i="23"/>
  <c r="T11" i="23"/>
  <c r="B11" i="23"/>
  <c r="A11" i="23" s="1"/>
  <c r="A10" i="22"/>
  <c r="B10" i="22"/>
  <c r="T12" i="22"/>
  <c r="U8" i="22"/>
  <c r="J9" i="22"/>
  <c r="W8" i="22"/>
  <c r="V8" i="22"/>
  <c r="O11" i="22"/>
  <c r="A9" i="22"/>
  <c r="B10" i="21"/>
  <c r="A10" i="21"/>
  <c r="O9" i="21"/>
  <c r="V8" i="21"/>
  <c r="U8" i="21"/>
  <c r="A9" i="21"/>
  <c r="T10" i="21"/>
  <c r="J10" i="20"/>
  <c r="T9" i="20"/>
  <c r="B10" i="20"/>
  <c r="A10" i="20" s="1"/>
  <c r="O8" i="20"/>
  <c r="V7" i="20"/>
  <c r="U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12" i="23" l="1"/>
  <c r="A12" i="23" s="1"/>
  <c r="O11" i="23"/>
  <c r="T12" i="23"/>
  <c r="J9" i="23"/>
  <c r="U8" i="23"/>
  <c r="W8" i="23"/>
  <c r="V8" i="23"/>
  <c r="J10" i="22"/>
  <c r="U9" i="22"/>
  <c r="W9" i="22"/>
  <c r="V9" i="22"/>
  <c r="O12" i="22"/>
  <c r="B11" i="22"/>
  <c r="A11" i="22" s="1"/>
  <c r="O10" i="21"/>
  <c r="V9" i="21"/>
  <c r="U9" i="21"/>
  <c r="W9" i="21"/>
  <c r="W10" i="21"/>
  <c r="T10" i="20"/>
  <c r="O9" i="20"/>
  <c r="W9" i="20" s="1"/>
  <c r="V8" i="20"/>
  <c r="U8" i="20"/>
  <c r="W8" i="20"/>
  <c r="U10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9" i="23" l="1"/>
  <c r="J10" i="23"/>
  <c r="W9" i="23"/>
  <c r="V9" i="23"/>
  <c r="B13" i="23"/>
  <c r="A13" i="23" s="1"/>
  <c r="T13" i="23"/>
  <c r="O12" i="23"/>
  <c r="J11" i="22"/>
  <c r="U10" i="22"/>
  <c r="W10" i="22"/>
  <c r="V10" i="22"/>
  <c r="B12" i="22"/>
  <c r="A12" i="22" s="1"/>
  <c r="V10" i="21"/>
  <c r="U10" i="21"/>
  <c r="O10" i="20"/>
  <c r="V9" i="20"/>
  <c r="U9" i="20"/>
  <c r="W5" i="19"/>
  <c r="V5" i="19"/>
  <c r="U5" i="19"/>
  <c r="J11" i="23" l="1"/>
  <c r="U10" i="23"/>
  <c r="W10" i="23"/>
  <c r="V10" i="23"/>
  <c r="O13" i="23"/>
  <c r="J12" i="22"/>
  <c r="U11" i="22"/>
  <c r="W11" i="22"/>
  <c r="V11" i="22"/>
  <c r="V10" i="20"/>
  <c r="U10" i="20"/>
  <c r="W10" i="20"/>
  <c r="U11" i="23" l="1"/>
  <c r="J12" i="23"/>
  <c r="W11" i="23"/>
  <c r="V11" i="23"/>
  <c r="U12" i="22"/>
  <c r="W12" i="22"/>
  <c r="V12" i="22"/>
  <c r="J13" i="23" l="1"/>
  <c r="U12" i="23"/>
  <c r="W12" i="23"/>
  <c r="V12" i="23"/>
  <c r="U13" i="23" l="1"/>
  <c r="W13" i="23"/>
  <c r="V13" i="23"/>
</calcChain>
</file>

<file path=xl/sharedStrings.xml><?xml version="1.0" encoding="utf-8"?>
<sst xmlns="http://schemas.openxmlformats.org/spreadsheetml/2006/main" count="1310" uniqueCount="209">
  <si>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</si>
  <si>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</si>
  <si>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</si>
  <si>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</si>
  <si>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</si>
  <si>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</si>
  <si>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</si>
  <si>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</si>
  <si>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</si>
  <si>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</si>
  <si>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</si>
  <si>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</si>
  <si>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</si>
  <si>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</si>
  <si>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</si>
  <si>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</si>
  <si>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</si>
  <si>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</si>
  <si>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</si>
  <si>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</si>
  <si>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</si>
  <si>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</si>
  <si>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</si>
  <si>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</si>
  <si>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</si>
  <si>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</si>
  <si>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</si>
  <si>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</si>
  <si>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</si>
  <si>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</si>
  <si>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</si>
  <si>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</si>
  <si>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</si>
  <si>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</si>
  <si>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</si>
  <si>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</si>
  <si>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</si>
  <si>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</si>
  <si>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</si>
  <si>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</si>
  <si>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</si>
  <si>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</si>
  <si>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</si>
  <si>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</si>
  <si>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</si>
  <si>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</si>
  <si>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</si>
  <si>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</si>
  <si>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</si>
  <si>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</si>
  <si>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</si>
  <si>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</si>
  <si>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</si>
  <si>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</si>
  <si>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</si>
  <si>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</si>
  <si>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</si>
  <si>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</si>
  <si>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</si>
  <si>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</si>
  <si>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</si>
  <si>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</si>
  <si>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</si>
  <si>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</si>
  <si>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</si>
  <si>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</si>
  <si>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</si>
  <si>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</si>
  <si>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</si>
  <si>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</si>
  <si>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</si>
  <si>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</si>
  <si>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</si>
  <si>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</si>
  <si>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</si>
  <si>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</si>
  <si>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</si>
  <si>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</si>
  <si>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</si>
  <si>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</si>
  <si>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</si>
  <si>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</si>
  <si>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</si>
  <si>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</si>
  <si>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</si>
  <si>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</si>
  <si>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</si>
  <si>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</si>
  <si>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</si>
  <si>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</si>
  <si>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</si>
  <si>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</si>
  <si>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</si>
  <si>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</si>
  <si>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</si>
  <si>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</si>
  <si>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</si>
  <si>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</si>
  <si>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</si>
  <si>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</si>
  <si>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</si>
  <si>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</si>
  <si>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</si>
  <si>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</si>
  <si>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</si>
  <si>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</si>
  <si>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</si>
  <si>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</si>
  <si>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</si>
  <si>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</si>
  <si>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</si>
  <si>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</si>
  <si>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</si>
  <si>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</si>
  <si>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</si>
  <si>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</si>
  <si>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</si>
  <si>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</si>
  <si>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</si>
  <si>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</si>
  <si>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</si>
  <si>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</si>
  <si>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</si>
  <si>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</si>
  <si>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</si>
  <si>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</si>
  <si>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</si>
  <si>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</si>
  <si>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</si>
  <si>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</si>
  <si>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</si>
  <si>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</si>
  <si>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</si>
  <si>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</si>
  <si>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</si>
  <si>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</si>
  <si>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</si>
  <si>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</si>
  <si>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</si>
  <si>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</si>
  <si>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</si>
  <si>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</si>
  <si>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</si>
  <si>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</si>
  <si>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</si>
  <si>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</si>
  <si>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</si>
  <si>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</si>
  <si>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</si>
  <si>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</si>
  <si>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</si>
  <si>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</si>
  <si>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</si>
  <si>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</si>
  <si>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</si>
  <si>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</si>
  <si>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</si>
  <si>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</si>
  <si>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</si>
  <si>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</si>
  <si>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</si>
  <si>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</si>
  <si>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</si>
  <si>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</si>
  <si>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</si>
  <si>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</si>
  <si>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</si>
  <si>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</si>
  <si>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</si>
  <si>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</si>
  <si>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</si>
  <si>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</si>
  <si>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</si>
  <si>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</si>
  <si>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</si>
  <si>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</si>
  <si>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</si>
  <si>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</si>
  <si>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</si>
  <si>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</si>
  <si>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</si>
  <si>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</si>
  <si>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</si>
  <si>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</si>
  <si>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</si>
  <si>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</si>
  <si>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</si>
  <si>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</si>
  <si>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</si>
  <si>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</si>
  <si>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</si>
  <si>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</si>
  <si>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だいち</t>
    <phoneticPr fontId="1"/>
  </si>
  <si>
    <t>れんたろう</t>
    <phoneticPr fontId="1"/>
  </si>
  <si>
    <t>N</t>
  </si>
  <si>
    <t>T</t>
  </si>
  <si>
    <t>流局</t>
    <phoneticPr fontId="1"/>
  </si>
  <si>
    <t>ツモ支払</t>
  </si>
  <si>
    <t>ツモ</t>
  </si>
  <si>
    <t>*</t>
  </si>
  <si>
    <t>52</t>
  </si>
  <si>
    <t>01</t>
  </si>
  <si>
    <t>ロン</t>
  </si>
  <si>
    <t>放銃</t>
  </si>
  <si>
    <t>流局</t>
    <phoneticPr fontId="1"/>
  </si>
  <si>
    <t>まっつん</t>
    <phoneticPr fontId="1"/>
  </si>
  <si>
    <t>のり</t>
    <phoneticPr fontId="1"/>
  </si>
  <si>
    <t>02</t>
  </si>
  <si>
    <t>たかの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</si>
</sst>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4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196</v>
      </c>
      <c r="G4" s="9">
        <v>-3000</v>
      </c>
      <c r="H4" s="9"/>
      <c r="I4" s="48"/>
      <c r="J4" s="21">
        <f>IF(COUNTA($F4,$K4,$P4)&gt;0,J3+SUM(G4:I4),"")</f>
        <v>32000</v>
      </c>
      <c r="K4" s="8" t="s">
        <v>196</v>
      </c>
      <c r="L4" s="9">
        <v>1500</v>
      </c>
      <c r="M4" s="9"/>
      <c r="N4" s="48"/>
      <c r="O4" s="21">
        <f>IF(COUNTA($F4,$K4,$P4)&gt;0,O3+SUM(L4:N4),"")</f>
        <v>36500</v>
      </c>
      <c r="P4" s="8" t="s">
        <v>196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6.5</v>
      </c>
      <c r="W4" s="55">
        <f>IF($T4="","",ROUND(($T4-$T$3)/1000,1)+(_xlfn.RANK.AVG($T4,($J4,$O4,$T4),1)-2)*10)</f>
        <v>6.5</v>
      </c>
      <c r="Y4" s="8" t="s">
        <v>194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197</v>
      </c>
      <c r="G5" s="9">
        <v>-12000</v>
      </c>
      <c r="H5" s="9"/>
      <c r="I5" s="48">
        <v>-500</v>
      </c>
      <c r="J5" s="21">
        <f t="shared" ref="J5:J30" si="2">IF(COUNTA($F5,$K5,$P5)&gt;0,J4+SUM(G5:I5),"")</f>
        <v>19500</v>
      </c>
      <c r="K5" s="8" t="s">
        <v>198</v>
      </c>
      <c r="L5" s="9">
        <v>24000</v>
      </c>
      <c r="M5" s="9"/>
      <c r="N5" s="48">
        <v>1000</v>
      </c>
      <c r="O5" s="21">
        <f t="shared" ref="O5:O30" si="3">IF(COUNTA($F5,$K5,$P5)&gt;0,O4+SUM(L5:N5),"")</f>
        <v>61500</v>
      </c>
      <c r="P5" s="8" t="s">
        <v>197</v>
      </c>
      <c r="Q5" s="9">
        <v>-12000</v>
      </c>
      <c r="R5" s="9"/>
      <c r="S5" s="48">
        <v>-500</v>
      </c>
      <c r="T5" s="21">
        <f t="shared" ref="T5:T30" si="4">IF(COUNTA($F5,$K5,$P5)&gt;0,T4+SUM(Q5:S5),"")</f>
        <v>24000</v>
      </c>
      <c r="U5" s="53">
        <f>IF($J5="","",ROUND(($J5-$J$3)/1000,1)+(_xlfn.RANK.AVG($J5,($J5,$O5,$T5),1)-2)*10)</f>
        <v>-25.5</v>
      </c>
      <c r="V5" s="54">
        <f>IF($O5="","",ROUND(($O5-$O$3)/1000,1)+(_xlfn.RANK.AVG($O5,($J5,$O5,$T5),1)-2)*10)</f>
        <v>36.5</v>
      </c>
      <c r="W5" s="55">
        <f>IF($T5="","",ROUND(($T5-$T$3)/1000,1)+(_xlfn.RANK.AVG($T5,($J5,$O5,$T5),1)-2)*10)</f>
        <v>-11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10</v>
      </c>
      <c r="AY5" s="30" t="s">
        <v>199</v>
      </c>
      <c r="AZ5" s="40" t="s">
        <v>82</v>
      </c>
      <c r="BA5" s="41" t="s">
        <v>106</v>
      </c>
      <c r="BB5" s="41" t="s">
        <v>84</v>
      </c>
      <c r="BC5" s="41" t="s">
        <v>83</v>
      </c>
      <c r="BD5" s="41" t="s">
        <v>200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IF($K$1="","",$K$1)</f>
        <v>だいち</v>
      </c>
      <c r="F6" s="8" t="s">
        <v>197</v>
      </c>
      <c r="G6" s="9">
        <v>-9000</v>
      </c>
      <c r="H6" s="9"/>
      <c r="I6" s="48">
        <v>-1000</v>
      </c>
      <c r="J6" s="21">
        <f t="shared" si="2"/>
        <v>9500</v>
      </c>
      <c r="K6" s="8" t="s">
        <v>198</v>
      </c>
      <c r="L6" s="9">
        <v>18000</v>
      </c>
      <c r="M6" s="9"/>
      <c r="N6" s="48">
        <v>2000</v>
      </c>
      <c r="O6" s="21">
        <f t="shared" si="3"/>
        <v>81500</v>
      </c>
      <c r="P6" s="8" t="s">
        <v>197</v>
      </c>
      <c r="Q6" s="9">
        <v>-9000</v>
      </c>
      <c r="R6" s="9"/>
      <c r="S6" s="48">
        <v>-1000</v>
      </c>
      <c r="T6" s="21">
        <f t="shared" si="4"/>
        <v>14000</v>
      </c>
      <c r="U6" s="53">
        <f>IF($J6="","",ROUND(($J6-$J$3)/1000,1)+(_xlfn.RANK.AVG($J6,($J6,$O6,$T6),1)-2)*10)</f>
        <v>-35.5</v>
      </c>
      <c r="V6" s="54">
        <f>IF($O6="","",ROUND(($O6-$O$3)/1000,1)+(_xlfn.RANK.AVG($O6,($J6,$O6,$T6),1)-2)*10)</f>
        <v>56.5</v>
      </c>
      <c r="W6" s="55">
        <f>IF($T6="","",ROUND(($T6-$T$3)/1000,1)+(_xlfn.RANK.AVG($T6,($J6,$O6,$T6),1)-2)*10)</f>
        <v>-21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199</v>
      </c>
      <c r="AZ6" s="40" t="s">
        <v>201</v>
      </c>
      <c r="BA6" s="41" t="s">
        <v>82</v>
      </c>
      <c r="BB6" s="41" t="s">
        <v>83</v>
      </c>
      <c r="BC6" s="41" t="s">
        <v>79</v>
      </c>
      <c r="BD6" s="41" t="s">
        <v>80</v>
      </c>
      <c r="BE6" s="41" t="s">
        <v>200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tr">
        <f>IF($K$1="","",$K$1)</f>
        <v>だいち</v>
      </c>
      <c r="F7" s="8" t="s">
        <v>196</v>
      </c>
      <c r="G7" s="9">
        <v>3000</v>
      </c>
      <c r="H7" s="9">
        <v>-1000</v>
      </c>
      <c r="I7" s="48"/>
      <c r="J7" s="21">
        <f t="shared" si="2"/>
        <v>11500</v>
      </c>
      <c r="K7" s="8" t="s">
        <v>196</v>
      </c>
      <c r="L7" s="9">
        <v>-1500</v>
      </c>
      <c r="M7" s="9"/>
      <c r="N7" s="48"/>
      <c r="O7" s="21">
        <f t="shared" si="3"/>
        <v>80000</v>
      </c>
      <c r="P7" s="8" t="s">
        <v>196</v>
      </c>
      <c r="Q7" s="9">
        <v>-1500</v>
      </c>
      <c r="R7" s="9"/>
      <c r="S7" s="48"/>
      <c r="T7" s="21">
        <f t="shared" si="4"/>
        <v>12500</v>
      </c>
      <c r="U7" s="53">
        <f>IF($J7="","",ROUND(($J7-$J$3)/1000,1)+(_xlfn.RANK.AVG($J7,($J7,$O7,$T7),1)-2)*10)</f>
        <v>-33.5</v>
      </c>
      <c r="V7" s="54">
        <f>IF($O7="","",ROUND(($O7-$O$3)/1000,1)+(_xlfn.RANK.AVG($O7,($J7,$O7,$T7),1)-2)*10)</f>
        <v>55</v>
      </c>
      <c r="W7" s="55">
        <f>IF($T7="","",ROUND(($T7-$T$3)/1000,1)+(_xlfn.RANK.AVG($T7,($J7,$O7,$T7),1)-2)*10)</f>
        <v>-22.5</v>
      </c>
      <c r="Y7" s="8" t="s">
        <v>195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194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194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4</v>
      </c>
      <c r="D8" s="18">
        <f t="shared" si="1"/>
        <v>1</v>
      </c>
      <c r="E8" s="4" t="str">
        <f>IF($P$1="","",$P$1)</f>
        <v>れんたろう</v>
      </c>
      <c r="F8" s="8" t="s">
        <v>202</v>
      </c>
      <c r="G8" s="9">
        <v>2600</v>
      </c>
      <c r="H8" s="9">
        <v>1000</v>
      </c>
      <c r="I8" s="48">
        <v>4000</v>
      </c>
      <c r="J8" s="21">
        <f t="shared" si="2"/>
        <v>19100</v>
      </c>
      <c r="K8" s="8"/>
      <c r="L8" s="9"/>
      <c r="M8" s="9"/>
      <c r="N8" s="48"/>
      <c r="O8" s="21">
        <f t="shared" si="3"/>
        <v>80000</v>
      </c>
      <c r="P8" s="8" t="s">
        <v>203</v>
      </c>
      <c r="Q8" s="9">
        <v>-2600</v>
      </c>
      <c r="R8" s="9"/>
      <c r="S8" s="48">
        <v>-4000</v>
      </c>
      <c r="T8" s="21">
        <f t="shared" si="4"/>
        <v>5900</v>
      </c>
      <c r="U8" s="53">
        <f>IF($J8="","",ROUND(($J8-$J$3)/1000,1)+(_xlfn.RANK.AVG($J8,($J8,$O8,$T8),1)-2)*10)</f>
        <v>-15.9</v>
      </c>
      <c r="V8" s="54">
        <f>IF($O8="","",ROUND(($O8-$O$3)/1000,1)+(_xlfn.RANK.AVG($O8,($J8,$O8,$T8),1)-2)*10)</f>
        <v>55</v>
      </c>
      <c r="W8" s="55">
        <f>IF($T8="","",ROUND(($T8-$T$3)/1000,1)+(_xlfn.RANK.AVG($T8,($J8,$O8,$T8),1)-2)*10)</f>
        <v>-39.1</v>
      </c>
      <c r="Y8" s="8"/>
      <c r="Z8" s="34"/>
      <c r="AA8" s="26"/>
      <c r="AB8" s="26">
        <v>1</v>
      </c>
      <c r="AC8" s="26">
        <v>2</v>
      </c>
      <c r="AD8" s="30">
        <v>40</v>
      </c>
      <c r="AE8" s="40" t="s">
        <v>98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ただ</v>
      </c>
      <c r="F9" s="8" t="s">
        <v>196</v>
      </c>
      <c r="G9" s="9">
        <v>-1500</v>
      </c>
      <c r="H9" s="9"/>
      <c r="I9" s="48"/>
      <c r="J9" s="21">
        <f t="shared" si="2"/>
        <v>17600</v>
      </c>
      <c r="K9" s="8" t="s">
        <v>196</v>
      </c>
      <c r="L9" s="9">
        <v>-1500</v>
      </c>
      <c r="M9" s="9"/>
      <c r="N9" s="48"/>
      <c r="O9" s="21">
        <f t="shared" si="3"/>
        <v>78500</v>
      </c>
      <c r="P9" s="8" t="s">
        <v>196</v>
      </c>
      <c r="Q9" s="9">
        <v>3000</v>
      </c>
      <c r="R9" s="9"/>
      <c r="S9" s="48"/>
      <c r="T9" s="21">
        <f t="shared" si="4"/>
        <v>8900</v>
      </c>
      <c r="U9" s="53">
        <f>IF($J9="","",ROUND(($J9-$J$3)/1000,1)+(_xlfn.RANK.AVG($J9,($J9,$O9,$T9),1)-2)*10)</f>
        <v>-17.399999999999999</v>
      </c>
      <c r="V9" s="54">
        <f>IF($O9="","",ROUND(($O9-$O$3)/1000,1)+(_xlfn.RANK.AVG($O9,($J9,$O9,$T9),1)-2)*10)</f>
        <v>53.5</v>
      </c>
      <c r="W9" s="55">
        <f>IF($T9="","",ROUND(($T9-$T$3)/1000,1)+(_xlfn.RANK.AVG($T9,($J9,$O9,$T9),1)-2)*10)</f>
        <v>-36.1</v>
      </c>
      <c r="Y9" s="8" t="s">
        <v>194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194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195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だいち</v>
      </c>
      <c r="F10" s="8" t="s">
        <v>198</v>
      </c>
      <c r="G10" s="9">
        <v>24000</v>
      </c>
      <c r="H10" s="9">
        <v>1000</v>
      </c>
      <c r="I10" s="48">
        <v>1000</v>
      </c>
      <c r="J10" s="21">
        <f t="shared" si="2"/>
        <v>43600</v>
      </c>
      <c r="K10" s="8" t="s">
        <v>197</v>
      </c>
      <c r="L10" s="9">
        <v>-15000</v>
      </c>
      <c r="M10" s="9"/>
      <c r="N10" s="48">
        <v>-500</v>
      </c>
      <c r="O10" s="21">
        <f t="shared" si="3"/>
        <v>63000</v>
      </c>
      <c r="P10" s="8" t="s">
        <v>197</v>
      </c>
      <c r="Q10" s="9">
        <v>-9000</v>
      </c>
      <c r="R10" s="9">
        <v>-1000</v>
      </c>
      <c r="S10" s="48">
        <v>-500</v>
      </c>
      <c r="T10" s="21">
        <f t="shared" si="4"/>
        <v>-1600</v>
      </c>
      <c r="U10" s="53">
        <f>IF($J10="","",ROUND(($J10-$J$3)/1000,1)+(_xlfn.RANK.AVG($J10,($J10,$O10,$T10),1)-2)*10)</f>
        <v>8.6</v>
      </c>
      <c r="V10" s="54">
        <f>IF($O10="","",ROUND(($O10-$O$3)/1000,1)+(_xlfn.RANK.AVG($O10,($J10,$O10,$T10),1)-2)*10)</f>
        <v>38</v>
      </c>
      <c r="W10" s="55">
        <f>IF($T10="","",ROUND(($T10-$T$3)/1000,1)+(_xlfn.RANK.AVG($T10,($J10,$O10,$T10),1)-2)*10)</f>
        <v>-46.6</v>
      </c>
      <c r="Y10" s="8"/>
      <c r="Z10" s="34"/>
      <c r="AA10" s="26">
        <v>1</v>
      </c>
      <c r="AB10" s="26"/>
      <c r="AC10" s="26">
        <v>11</v>
      </c>
      <c r="AD10" s="30" t="s">
        <v>199</v>
      </c>
      <c r="AE10" s="40" t="s">
        <v>201</v>
      </c>
      <c r="AF10" s="41" t="s">
        <v>82</v>
      </c>
      <c r="AG10" s="41" t="s">
        <v>79</v>
      </c>
      <c r="AH10" s="41" t="s">
        <v>79</v>
      </c>
      <c r="AI10" s="41" t="s">
        <v>79</v>
      </c>
      <c r="AJ10" s="41" t="s">
        <v>79</v>
      </c>
      <c r="AK10" s="41" t="s">
        <v>104</v>
      </c>
      <c r="AL10" s="41" t="s">
        <v>86</v>
      </c>
      <c r="AM10" s="41" t="s">
        <v>86</v>
      </c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E9507F5-1B53-4D18-AAA6-C31BACAAD38E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61A9E-3320-4C91-A05C-15D31EFA2D64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197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197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198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201</v>
      </c>
      <c r="BV4" s="41" t="s">
        <v>82</v>
      </c>
      <c r="BW4" s="41" t="s">
        <v>85</v>
      </c>
      <c r="BX4" s="41" t="s">
        <v>84</v>
      </c>
      <c r="BY4" s="41" t="s">
        <v>200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203</v>
      </c>
      <c r="G5" s="9">
        <v>-24000</v>
      </c>
      <c r="H5" s="9"/>
      <c r="I5" s="48">
        <v>0</v>
      </c>
      <c r="J5" s="21">
        <f t="shared" ref="J5:J30" si="2">IF(COUNTA($F5,$K5,$P5)&gt;0,J4+SUM(G5:I5),"")</f>
        <v>6000</v>
      </c>
      <c r="K5" s="8" t="s">
        <v>202</v>
      </c>
      <c r="L5" s="9">
        <v>24000</v>
      </c>
      <c r="M5" s="9"/>
      <c r="N5" s="48">
        <v>0</v>
      </c>
      <c r="O5" s="21">
        <f t="shared" ref="O5:O30" si="3">IF(COUNTA($F5,$K5,$P5)&gt;0,O4+SUM(L5:N5),"")</f>
        <v>56000</v>
      </c>
      <c r="P5" s="8"/>
      <c r="Q5" s="9"/>
      <c r="R5" s="9"/>
      <c r="S5" s="48"/>
      <c r="T5" s="21">
        <f t="shared" ref="T5:T30" si="4">IF(COUNTA($F5,$K5,$P5)&gt;0,T4+SUM(Q5:S5),"")</f>
        <v>43000</v>
      </c>
      <c r="U5" s="53">
        <f>IF($J5="","",ROUND(($J5-$J$3)/1000,1)+(_xlfn.RANK.AVG($J5,($J5,$O5,$T5),1)-2)*10)</f>
        <v>-39</v>
      </c>
      <c r="V5" s="54">
        <f>IF($O5="","",ROUND(($O5-$O$3)/1000,1)+(_xlfn.RANK.AVG($O5,($J5,$O5,$T5),1)-2)*10)</f>
        <v>31</v>
      </c>
      <c r="W5" s="55">
        <f>IF($T5="","",ROUND(($T5-$T$3)/1000,1)+(_xlfn.RANK.AVG($T5,($J5,$O5,$T5),1)-2)*10)</f>
        <v>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8</v>
      </c>
      <c r="AY5" s="30" t="s">
        <v>199</v>
      </c>
      <c r="AZ5" s="40" t="s">
        <v>104</v>
      </c>
      <c r="BA5" s="41" t="s">
        <v>92</v>
      </c>
      <c r="BB5" s="41" t="s">
        <v>84</v>
      </c>
      <c r="BC5" s="41" t="s">
        <v>79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ただ</v>
      </c>
      <c r="F6" s="8"/>
      <c r="G6" s="9"/>
      <c r="H6" s="9">
        <v>-1000</v>
      </c>
      <c r="I6" s="48"/>
      <c r="J6" s="21">
        <f t="shared" si="2"/>
        <v>5000</v>
      </c>
      <c r="K6" s="8" t="s">
        <v>203</v>
      </c>
      <c r="L6" s="9">
        <v>-12000</v>
      </c>
      <c r="M6" s="9"/>
      <c r="N6" s="48">
        <v>-1000</v>
      </c>
      <c r="O6" s="21">
        <f t="shared" si="3"/>
        <v>43000</v>
      </c>
      <c r="P6" s="8" t="s">
        <v>202</v>
      </c>
      <c r="Q6" s="9">
        <v>12000</v>
      </c>
      <c r="R6" s="9">
        <v>1000</v>
      </c>
      <c r="S6" s="48">
        <v>1000</v>
      </c>
      <c r="T6" s="21">
        <f t="shared" si="4"/>
        <v>57000</v>
      </c>
      <c r="U6" s="53">
        <f>IF($J6="","",ROUND(($J6-$J$3)/1000,1)+(_xlfn.RANK.AVG($J6,($J6,$O6,$T6),1)-2)*10)</f>
        <v>-40</v>
      </c>
      <c r="V6" s="54">
        <f>IF($O6="","",ROUND(($O6-$O$3)/1000,1)+(_xlfn.RANK.AVG($O6,($J6,$O6,$T6),1)-2)*10)</f>
        <v>8</v>
      </c>
      <c r="W6" s="55">
        <f>IF($T6="","",ROUND(($T6-$T$3)/1000,1)+(_xlfn.RANK.AVG($T6,($J6,$O6,$T6),1)-2)*10)</f>
        <v>32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7</v>
      </c>
      <c r="BT6" s="30" t="s">
        <v>199</v>
      </c>
      <c r="BU6" s="40" t="s">
        <v>104</v>
      </c>
      <c r="BV6" s="41" t="s">
        <v>86</v>
      </c>
      <c r="BW6" s="41" t="s">
        <v>200</v>
      </c>
      <c r="BX6" s="41" t="s">
        <v>79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197</v>
      </c>
      <c r="G7" s="9">
        <v>-800</v>
      </c>
      <c r="H7" s="9"/>
      <c r="I7" s="48">
        <v>0</v>
      </c>
      <c r="J7" s="21">
        <f t="shared" si="2"/>
        <v>4200</v>
      </c>
      <c r="K7" s="8" t="s">
        <v>198</v>
      </c>
      <c r="L7" s="9">
        <v>2100</v>
      </c>
      <c r="M7" s="9"/>
      <c r="N7" s="48">
        <v>0</v>
      </c>
      <c r="O7" s="21">
        <f t="shared" si="3"/>
        <v>45100</v>
      </c>
      <c r="P7" s="8" t="s">
        <v>197</v>
      </c>
      <c r="Q7" s="9">
        <v>-1300</v>
      </c>
      <c r="R7" s="9"/>
      <c r="S7" s="48">
        <v>0</v>
      </c>
      <c r="T7" s="21">
        <f t="shared" si="4"/>
        <v>55700</v>
      </c>
      <c r="U7" s="53">
        <f>IF($J7="","",ROUND(($J7-$J$3)/1000,1)+(_xlfn.RANK.AVG($J7,($J7,$O7,$T7),1)-2)*10)</f>
        <v>-40.799999999999997</v>
      </c>
      <c r="V7" s="54">
        <f>IF($O7="","",ROUND(($O7-$O$3)/1000,1)+(_xlfn.RANK.AVG($O7,($J7,$O7,$T7),1)-2)*10)</f>
        <v>10.1</v>
      </c>
      <c r="W7" s="55">
        <f>IF($T7="","",ROUND(($T7-$T$3)/1000,1)+(_xlfn.RANK.AVG($T7,($J7,$O7,$T7),1)-2)*10)</f>
        <v>30.7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30</v>
      </c>
      <c r="AZ7" s="40" t="s">
        <v>201</v>
      </c>
      <c r="BA7" s="41" t="s">
        <v>82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/>
      <c r="G8" s="9"/>
      <c r="H8" s="9"/>
      <c r="I8" s="48"/>
      <c r="J8" s="21">
        <f t="shared" si="2"/>
        <v>4200</v>
      </c>
      <c r="K8" s="8" t="s">
        <v>202</v>
      </c>
      <c r="L8" s="9">
        <v>1000</v>
      </c>
      <c r="M8" s="9"/>
      <c r="N8" s="48">
        <v>0</v>
      </c>
      <c r="O8" s="21">
        <f t="shared" si="3"/>
        <v>46100</v>
      </c>
      <c r="P8" s="8" t="s">
        <v>203</v>
      </c>
      <c r="Q8" s="9">
        <v>-1000</v>
      </c>
      <c r="R8" s="9"/>
      <c r="S8" s="48">
        <v>0</v>
      </c>
      <c r="T8" s="21">
        <f t="shared" si="4"/>
        <v>54700</v>
      </c>
      <c r="U8" s="53">
        <f>IF($J8="","",ROUND(($J8-$J$3)/1000,1)+(_xlfn.RANK.AVG($J8,($J8,$O8,$T8),1)-2)*10)</f>
        <v>-40.799999999999997</v>
      </c>
      <c r="V8" s="54">
        <f>IF($O8="","",ROUND(($O8-$O$3)/1000,1)+(_xlfn.RANK.AVG($O8,($J8,$O8,$T8),1)-2)*10)</f>
        <v>11.1</v>
      </c>
      <c r="W8" s="55">
        <f>IF($T8="","",ROUND(($T8-$T$3)/1000,1)+(_xlfn.RANK.AVG($T8,($J8,$O8,$T8),1)-2)*10)</f>
        <v>29.7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1</v>
      </c>
      <c r="AY8" s="30">
        <v>30</v>
      </c>
      <c r="AZ8" s="40" t="s">
        <v>83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204</v>
      </c>
      <c r="G9" s="9">
        <v>0</v>
      </c>
      <c r="H9" s="9"/>
      <c r="I9" s="48"/>
      <c r="J9" s="21">
        <f t="shared" si="2"/>
        <v>4200</v>
      </c>
      <c r="K9" s="8" t="s">
        <v>204</v>
      </c>
      <c r="L9" s="9">
        <v>0</v>
      </c>
      <c r="M9" s="9"/>
      <c r="N9" s="48"/>
      <c r="O9" s="21">
        <f t="shared" si="3"/>
        <v>46100</v>
      </c>
      <c r="P9" s="8" t="s">
        <v>204</v>
      </c>
      <c r="Q9" s="9">
        <v>0</v>
      </c>
      <c r="R9" s="9"/>
      <c r="S9" s="48"/>
      <c r="T9" s="21">
        <f t="shared" si="4"/>
        <v>54700</v>
      </c>
      <c r="U9" s="53">
        <f>IF($J9="","",ROUND(($J9-$J$3)/1000,1)+(_xlfn.RANK.AVG($J9,($J9,$O9,$T9),1)-2)*10)</f>
        <v>-40.799999999999997</v>
      </c>
      <c r="V9" s="54">
        <f>IF($O9="","",ROUND(($O9-$O$3)/1000,1)+(_xlfn.RANK.AVG($O9,($J9,$O9,$T9),1)-2)*10)</f>
        <v>11.1</v>
      </c>
      <c r="W9" s="55">
        <f>IF($T9="","",ROUND(($T9-$T$3)/1000,1)+(_xlfn.RANK.AVG($T9,($J9,$O9,$T9),1)-2)*10)</f>
        <v>29.7</v>
      </c>
      <c r="Y9" s="8" t="s">
        <v>194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194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194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IF($P$1="","",$P$1)</f>
        <v>れんたろう</v>
      </c>
      <c r="F10" s="8"/>
      <c r="G10" s="9"/>
      <c r="H10" s="9"/>
      <c r="I10" s="48"/>
      <c r="J10" s="21">
        <f t="shared" si="2"/>
        <v>4200</v>
      </c>
      <c r="K10" s="8" t="s">
        <v>203</v>
      </c>
      <c r="L10" s="9">
        <v>-2900</v>
      </c>
      <c r="M10" s="9"/>
      <c r="N10" s="48">
        <v>-1000</v>
      </c>
      <c r="O10" s="21">
        <f t="shared" si="3"/>
        <v>42200</v>
      </c>
      <c r="P10" s="8" t="s">
        <v>202</v>
      </c>
      <c r="Q10" s="9">
        <v>2900</v>
      </c>
      <c r="R10" s="9"/>
      <c r="S10" s="48">
        <v>1000</v>
      </c>
      <c r="T10" s="21">
        <f t="shared" si="4"/>
        <v>58600</v>
      </c>
      <c r="U10" s="53">
        <f>IF($J10="","",ROUND(($J10-$J$3)/1000,1)+(_xlfn.RANK.AVG($J10,($J10,$O10,$T10),1)-2)*10)</f>
        <v>-40.799999999999997</v>
      </c>
      <c r="V10" s="54">
        <f>IF($O10="","",ROUND(($O10-$O$3)/1000,1)+(_xlfn.RANK.AVG($O10,($J10,$O10,$T10),1)-2)*10)</f>
        <v>7.2</v>
      </c>
      <c r="W10" s="55">
        <f>IF($T10="","",ROUND(($T10-$T$3)/1000,1)+(_xlfn.RANK.AVG($T10,($J10,$O10,$T10),1)-2)*10)</f>
        <v>33.6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30</v>
      </c>
      <c r="BU10" s="40" t="s">
        <v>86</v>
      </c>
      <c r="BV10" s="41" t="s">
        <v>93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D066F458-DC1B-46C6-87C7-A7F3E6BC2824}">
      <formula1>"れんたろう,ともき,だいち,りくと,まっつん,たかの,のり,ただ,ぱぱ,"</formula1>
    </dataValidation>
    <dataValidation type="list" showInputMessage="1" showErrorMessage="1" sqref="K4:K30 P4:P30 F4:F30" xr:uid="{0E4EF88B-35CE-4A37-B364-58FAF0BD8BFE}">
      <formula1>"ロン,ツモ,放銃,ツモ支払,流局,チョンボ"</formula1>
    </dataValidation>
    <dataValidation type="list" allowBlank="1" showInputMessage="1" showErrorMessage="1" sqref="E4:E30" xr:uid="{9D6FCF95-8C5A-49B7-95D3-F8FFEAABF0C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9ED-0AD5-4D29-B545-FEB5B6116A1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ただ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203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 t="s">
        <v>202</v>
      </c>
      <c r="Q4" s="9">
        <v>3900</v>
      </c>
      <c r="R4" s="9">
        <v>1000</v>
      </c>
      <c r="S4" s="48">
        <v>0</v>
      </c>
      <c r="T4" s="21">
        <f>IF(COUNTA($F4,$K4,$P4)&gt;0,T3+SUM(Q4:S4),"")</f>
        <v>39900</v>
      </c>
      <c r="U4" s="53">
        <f>IF($J4="","",ROUND(($J4-$J$3)/1000,1)+(_xlfn.RANK.AVG($J4,($J4,$O4,$T4),1)-2)*10)</f>
        <v>-1</v>
      </c>
      <c r="V4" s="54">
        <f>IF($O4="","",ROUND(($O4-$O$3)/1000,1)+(_xlfn.RANK.AVG($O4,($J4,$O4,$T4),1)-2)*10)</f>
        <v>-13.9</v>
      </c>
      <c r="W4" s="55">
        <f>IF($T4="","",ROUND(($T4-$T$3)/1000,1)+(_xlfn.RANK.AVG($T4,($J4,$O4,$T4),1)-2)*10)</f>
        <v>14.9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79</v>
      </c>
      <c r="BV4" s="41" t="s">
        <v>200</v>
      </c>
      <c r="BW4" s="41" t="s">
        <v>86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203</v>
      </c>
      <c r="G5" s="9">
        <v>-5200</v>
      </c>
      <c r="H5" s="9"/>
      <c r="I5" s="48">
        <v>0</v>
      </c>
      <c r="J5" s="21">
        <f t="shared" ref="J5:J30" si="2">IF(COUNTA($F5,$K5,$P5)&gt;0,J4+SUM(G5:I5),"")</f>
        <v>28800</v>
      </c>
      <c r="K5" s="8"/>
      <c r="L5" s="9"/>
      <c r="M5" s="9"/>
      <c r="N5" s="48"/>
      <c r="O5" s="21">
        <f t="shared" ref="O5:O30" si="3">IF(COUNTA($F5,$K5,$P5)&gt;0,O4+SUM(L5:N5),"")</f>
        <v>31100</v>
      </c>
      <c r="P5" s="8" t="s">
        <v>202</v>
      </c>
      <c r="Q5" s="9">
        <v>5200</v>
      </c>
      <c r="R5" s="9"/>
      <c r="S5" s="48">
        <v>0</v>
      </c>
      <c r="T5" s="21">
        <f t="shared" ref="T5:T30" si="4">IF(COUNTA($F5,$K5,$P5)&gt;0,T4+SUM(Q5:S5),"")</f>
        <v>45100</v>
      </c>
      <c r="U5" s="53">
        <f>IF($J5="","",ROUND(($J5-$J$3)/1000,1)+(_xlfn.RANK.AVG($J5,($J5,$O5,$T5),1)-2)*10)</f>
        <v>-16.2</v>
      </c>
      <c r="V5" s="54">
        <f>IF($O5="","",ROUND(($O5-$O$3)/1000,1)+(_xlfn.RANK.AVG($O5,($J5,$O5,$T5),1)-2)*10)</f>
        <v>-3.9</v>
      </c>
      <c r="W5" s="55">
        <f>IF($T5="","",ROUND(($T5-$T$3)/1000,1)+(_xlfn.RANK.AVG($T5,($J5,$O5,$T5),1)-2)*10)</f>
        <v>20.100000000000001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40</v>
      </c>
      <c r="BU5" s="40" t="s">
        <v>201</v>
      </c>
      <c r="BV5" s="41" t="s">
        <v>86</v>
      </c>
      <c r="BW5" s="41" t="s">
        <v>84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 t="s">
        <v>203</v>
      </c>
      <c r="G6" s="9">
        <v>-12000</v>
      </c>
      <c r="H6" s="9"/>
      <c r="I6" s="48">
        <v>0</v>
      </c>
      <c r="J6" s="21">
        <f t="shared" si="2"/>
        <v>16800</v>
      </c>
      <c r="K6" s="8"/>
      <c r="L6" s="9"/>
      <c r="M6" s="9">
        <v>-1000</v>
      </c>
      <c r="N6" s="48"/>
      <c r="O6" s="21">
        <f t="shared" si="3"/>
        <v>30100</v>
      </c>
      <c r="P6" s="8" t="s">
        <v>202</v>
      </c>
      <c r="Q6" s="9">
        <v>12000</v>
      </c>
      <c r="R6" s="9">
        <v>1000</v>
      </c>
      <c r="S6" s="48">
        <v>0</v>
      </c>
      <c r="T6" s="21">
        <f t="shared" si="4"/>
        <v>58100</v>
      </c>
      <c r="U6" s="53">
        <f>IF($J6="","",ROUND(($J6-$J$3)/1000,1)+(_xlfn.RANK.AVG($J6,($J6,$O6,$T6),1)-2)*10)</f>
        <v>-28.2</v>
      </c>
      <c r="V6" s="54">
        <f>IF($O6="","",ROUND(($O6-$O$3)/1000,1)+(_xlfn.RANK.AVG($O6,($J6,$O6,$T6),1)-2)*10)</f>
        <v>-4.9000000000000004</v>
      </c>
      <c r="W6" s="55">
        <f>IF($T6="","",ROUND(($T6-$T$3)/1000,1)+(_xlfn.RANK.AVG($T6,($J6,$O6,$T6),1)-2)*10)</f>
        <v>33.1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199</v>
      </c>
      <c r="BU6" s="40" t="s">
        <v>201</v>
      </c>
      <c r="BV6" s="41" t="s">
        <v>101</v>
      </c>
      <c r="BW6" s="41" t="s">
        <v>79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れんたろう</v>
      </c>
      <c r="F7" s="8" t="s">
        <v>204</v>
      </c>
      <c r="G7" s="9">
        <v>1500</v>
      </c>
      <c r="H7" s="9">
        <v>-1000</v>
      </c>
      <c r="I7" s="48"/>
      <c r="J7" s="21">
        <f t="shared" si="2"/>
        <v>17300</v>
      </c>
      <c r="K7" s="8" t="s">
        <v>204</v>
      </c>
      <c r="L7" s="9">
        <v>-3000</v>
      </c>
      <c r="M7" s="9"/>
      <c r="N7" s="48"/>
      <c r="O7" s="21">
        <f t="shared" si="3"/>
        <v>27100</v>
      </c>
      <c r="P7" s="8" t="s">
        <v>204</v>
      </c>
      <c r="Q7" s="9">
        <v>1500</v>
      </c>
      <c r="R7" s="9">
        <v>-1000</v>
      </c>
      <c r="S7" s="48"/>
      <c r="T7" s="21">
        <f t="shared" si="4"/>
        <v>58600</v>
      </c>
      <c r="U7" s="53">
        <f>IF($J7="","",ROUND(($J7-$J$3)/1000,1)+(_xlfn.RANK.AVG($J7,($J7,$O7,$T7),1)-2)*10)</f>
        <v>-27.7</v>
      </c>
      <c r="V7" s="54">
        <f>IF($O7="","",ROUND(($O7-$O$3)/1000,1)+(_xlfn.RANK.AVG($O7,($J7,$O7,$T7),1)-2)*10)</f>
        <v>-7.9</v>
      </c>
      <c r="W7" s="55">
        <f>IF($T7="","",ROUND(($T7-$T$3)/1000,1)+(_xlfn.RANK.AVG($T7,($J7,$O7,$T7),1)-2)*10)</f>
        <v>33.6</v>
      </c>
      <c r="Y7" s="8" t="s">
        <v>195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194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195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2</v>
      </c>
      <c r="E8" s="4" t="str">
        <f>IF($P$1="","",$P$1)</f>
        <v>れんたろう</v>
      </c>
      <c r="F8" s="8" t="s">
        <v>202</v>
      </c>
      <c r="G8" s="9">
        <v>1300</v>
      </c>
      <c r="H8" s="9">
        <v>2000</v>
      </c>
      <c r="I8" s="48">
        <v>2000</v>
      </c>
      <c r="J8" s="21">
        <f t="shared" si="2"/>
        <v>22600</v>
      </c>
      <c r="K8" s="8" t="s">
        <v>203</v>
      </c>
      <c r="L8" s="9">
        <v>-1300</v>
      </c>
      <c r="M8" s="9"/>
      <c r="N8" s="48">
        <v>-2000</v>
      </c>
      <c r="O8" s="21">
        <f t="shared" si="3"/>
        <v>23800</v>
      </c>
      <c r="P8" s="8"/>
      <c r="Q8" s="9"/>
      <c r="R8" s="9"/>
      <c r="S8" s="48"/>
      <c r="T8" s="21">
        <f t="shared" si="4"/>
        <v>58600</v>
      </c>
      <c r="U8" s="53">
        <f>IF($J8="","",ROUND(($J8-$J$3)/1000,1)+(_xlfn.RANK.AVG($J8,($J8,$O8,$T8),1)-2)*10)</f>
        <v>-22.4</v>
      </c>
      <c r="V8" s="54">
        <f>IF($O8="","",ROUND(($O8-$O$3)/1000,1)+(_xlfn.RANK.AVG($O8,($J8,$O8,$T8),1)-2)*10)</f>
        <v>-11.2</v>
      </c>
      <c r="W8" s="55">
        <f>IF($T8="","",ROUND(($T8-$T$3)/1000,1)+(_xlfn.RANK.AVG($T8,($J8,$O8,$T8),1)-2)*10)</f>
        <v>33.6</v>
      </c>
      <c r="Y8" s="8"/>
      <c r="Z8" s="34"/>
      <c r="AA8" s="26">
        <v>1</v>
      </c>
      <c r="AB8" s="26"/>
      <c r="AC8" s="26">
        <v>1</v>
      </c>
      <c r="AD8" s="30">
        <v>40</v>
      </c>
      <c r="AE8" s="40" t="s">
        <v>201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まっつん</v>
      </c>
      <c r="F9" s="8" t="s">
        <v>197</v>
      </c>
      <c r="G9" s="9">
        <v>-20000</v>
      </c>
      <c r="H9" s="9"/>
      <c r="I9" s="48">
        <v>0</v>
      </c>
      <c r="J9" s="21">
        <f t="shared" si="2"/>
        <v>2600</v>
      </c>
      <c r="K9" s="8" t="s">
        <v>197</v>
      </c>
      <c r="L9" s="9">
        <v>-12000</v>
      </c>
      <c r="M9" s="9"/>
      <c r="N9" s="48">
        <v>0</v>
      </c>
      <c r="O9" s="21">
        <f t="shared" si="3"/>
        <v>11800</v>
      </c>
      <c r="P9" s="8" t="s">
        <v>198</v>
      </c>
      <c r="Q9" s="9">
        <v>32000</v>
      </c>
      <c r="R9" s="9"/>
      <c r="S9" s="48">
        <v>0</v>
      </c>
      <c r="T9" s="21">
        <f t="shared" si="4"/>
        <v>90600</v>
      </c>
      <c r="U9" s="53">
        <f>IF($J9="","",ROUND(($J9-$J$3)/1000,1)+(_xlfn.RANK.AVG($J9,($J9,$O9,$T9),1)-2)*10)</f>
        <v>-42.4</v>
      </c>
      <c r="V9" s="54">
        <f>IF($O9="","",ROUND(($O9-$O$3)/1000,1)+(_xlfn.RANK.AVG($O9,($J9,$O9,$T9),1)-2)*10)</f>
        <v>-23.2</v>
      </c>
      <c r="W9" s="55">
        <f>IF($T9="","",ROUND(($T9-$T$3)/1000,1)+(_xlfn.RANK.AVG($T9,($J9,$O9,$T9),1)-2)*10)</f>
        <v>65.599999999999994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13</v>
      </c>
      <c r="BT9" s="30" t="s">
        <v>199</v>
      </c>
      <c r="BU9" s="40" t="s">
        <v>112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/>
      <c r="G10" s="9"/>
      <c r="H10" s="9"/>
      <c r="I10" s="48"/>
      <c r="J10" s="21">
        <f t="shared" si="2"/>
        <v>2600</v>
      </c>
      <c r="K10" s="8" t="s">
        <v>202</v>
      </c>
      <c r="L10" s="9">
        <v>2000</v>
      </c>
      <c r="M10" s="9">
        <v>1000</v>
      </c>
      <c r="N10" s="48">
        <v>0</v>
      </c>
      <c r="O10" s="21">
        <f t="shared" si="3"/>
        <v>14800</v>
      </c>
      <c r="P10" s="8" t="s">
        <v>203</v>
      </c>
      <c r="Q10" s="9">
        <v>-2000</v>
      </c>
      <c r="R10" s="9">
        <v>-1000</v>
      </c>
      <c r="S10" s="48">
        <v>0</v>
      </c>
      <c r="T10" s="21">
        <f t="shared" si="4"/>
        <v>87600</v>
      </c>
      <c r="U10" s="53">
        <f>IF($J10="","",ROUND(($J10-$J$3)/1000,1)+(_xlfn.RANK.AVG($J10,($J10,$O10,$T10),1)-2)*10)</f>
        <v>-42.4</v>
      </c>
      <c r="V10" s="54">
        <f>IF($O10="","",ROUND(($O10-$O$3)/1000,1)+(_xlfn.RANK.AVG($O10,($J10,$O10,$T10),1)-2)*10)</f>
        <v>-20.2</v>
      </c>
      <c r="W10" s="55">
        <f>IF($T10="","",ROUND(($T10-$T$3)/1000,1)+(_xlfn.RANK.AVG($T10,($J10,$O10,$T10),1)-2)*10)</f>
        <v>62.6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1</v>
      </c>
      <c r="AY10" s="30">
        <v>40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ただ</v>
      </c>
      <c r="F11" s="8" t="s">
        <v>202</v>
      </c>
      <c r="G11" s="9">
        <v>8000</v>
      </c>
      <c r="H11" s="9"/>
      <c r="I11" s="48">
        <v>1000</v>
      </c>
      <c r="J11" s="21">
        <f t="shared" si="2"/>
        <v>11600</v>
      </c>
      <c r="K11" s="8"/>
      <c r="L11" s="9"/>
      <c r="M11" s="9"/>
      <c r="N11" s="48"/>
      <c r="O11" s="21">
        <f t="shared" si="3"/>
        <v>14800</v>
      </c>
      <c r="P11" s="8" t="s">
        <v>203</v>
      </c>
      <c r="Q11" s="9">
        <v>-8000</v>
      </c>
      <c r="R11" s="9"/>
      <c r="S11" s="48">
        <v>-1000</v>
      </c>
      <c r="T11" s="21">
        <f t="shared" si="4"/>
        <v>78600</v>
      </c>
      <c r="U11" s="53">
        <f>IF($J11="","",ROUND(($J11-$J$3)/1000,1)+(_xlfn.RANK.AVG($J11,($J11,$O11,$T11),1)-2)*10)</f>
        <v>-33.4</v>
      </c>
      <c r="V11" s="54">
        <f>IF($O11="","",ROUND(($O11-$O$3)/1000,1)+(_xlfn.RANK.AVG($O11,($J11,$O11,$T11),1)-2)*10)</f>
        <v>-20.2</v>
      </c>
      <c r="W11" s="55">
        <f>IF($T11="","",ROUND(($T11-$T$3)/1000,1)+(_xlfn.RANK.AVG($T11,($J11,$O11,$T11),1)-2)*10)</f>
        <v>53.6</v>
      </c>
      <c r="Y11" s="8"/>
      <c r="Z11" s="34"/>
      <c r="AA11" s="26">
        <v>1</v>
      </c>
      <c r="AB11" s="26"/>
      <c r="AC11" s="26">
        <v>5</v>
      </c>
      <c r="AD11" s="30" t="s">
        <v>199</v>
      </c>
      <c r="AE11" s="40" t="s">
        <v>201</v>
      </c>
      <c r="AF11" s="41" t="s">
        <v>86</v>
      </c>
      <c r="AG11" s="41" t="s">
        <v>79</v>
      </c>
      <c r="AH11" s="41" t="s">
        <v>80</v>
      </c>
      <c r="AI11" s="41" t="s">
        <v>200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れんたろう</v>
      </c>
      <c r="F12" s="8"/>
      <c r="G12" s="9"/>
      <c r="H12" s="9"/>
      <c r="I12" s="48"/>
      <c r="J12" s="21">
        <f t="shared" si="2"/>
        <v>11600</v>
      </c>
      <c r="K12" s="8" t="s">
        <v>202</v>
      </c>
      <c r="L12" s="9">
        <v>12000</v>
      </c>
      <c r="M12" s="9"/>
      <c r="N12" s="48">
        <v>0</v>
      </c>
      <c r="O12" s="21">
        <f t="shared" si="3"/>
        <v>26800</v>
      </c>
      <c r="P12" s="8" t="s">
        <v>203</v>
      </c>
      <c r="Q12" s="9">
        <v>-12000</v>
      </c>
      <c r="R12" s="9"/>
      <c r="S12" s="48">
        <v>0</v>
      </c>
      <c r="T12" s="21">
        <f t="shared" si="4"/>
        <v>66600</v>
      </c>
      <c r="U12" s="53">
        <f>IF($J12="","",ROUND(($J12-$J$3)/1000,1)+(_xlfn.RANK.AVG($J12,($J12,$O12,$T12),1)-2)*10)</f>
        <v>-33.4</v>
      </c>
      <c r="V12" s="54">
        <f>IF($O12="","",ROUND(($O12-$O$3)/1000,1)+(_xlfn.RANK.AVG($O12,($J12,$O12,$T12),1)-2)*10)</f>
        <v>-8.1999999999999993</v>
      </c>
      <c r="W12" s="55">
        <f>IF($T12="","",ROUND(($T12-$T$3)/1000,1)+(_xlfn.RANK.AVG($T12,($J12,$O12,$T12),1)-2)*10)</f>
        <v>41.6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6</v>
      </c>
      <c r="AY12" s="30" t="s">
        <v>199</v>
      </c>
      <c r="AZ12" s="40" t="s">
        <v>98</v>
      </c>
      <c r="BA12" s="41" t="s">
        <v>86</v>
      </c>
      <c r="BB12" s="41" t="s">
        <v>79</v>
      </c>
      <c r="BC12" s="41" t="s">
        <v>79</v>
      </c>
      <c r="BD12" s="41" t="s">
        <v>79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46737B00-1B94-4A56-8A5F-663A6B7698C5}">
      <formula1>$U$2:$W$2</formula1>
    </dataValidation>
    <dataValidation type="list" showInputMessage="1" showErrorMessage="1" sqref="K4:K30 P4:P30 F4:F30" xr:uid="{26899543-C3C8-41D6-84E6-ED8299374AA0}">
      <formula1>"ロン,ツモ,放銃,ツモ支払,流局,チョンボ"</formula1>
    </dataValidation>
    <dataValidation type="list" allowBlank="1" showInputMessage="1" sqref="F1:T1" xr:uid="{F52B3B8C-36C4-418A-AE9B-E0D76BE2F78A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877EE-8178-46EB-8705-747CCB33560F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のり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れんたろう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のり</v>
      </c>
      <c r="F4" s="8" t="s">
        <v>202</v>
      </c>
      <c r="G4" s="9">
        <v>7700</v>
      </c>
      <c r="H4" s="9"/>
      <c r="I4" s="48">
        <v>0</v>
      </c>
      <c r="J4" s="21">
        <f>IF(COUNTA($F4,$K4,$P4)&gt;0,J3+SUM(G4:I4),"")</f>
        <v>42700</v>
      </c>
      <c r="K4" s="8"/>
      <c r="L4" s="9"/>
      <c r="M4" s="9"/>
      <c r="N4" s="48"/>
      <c r="O4" s="21">
        <f>IF(COUNTA($F4,$K4,$P4)&gt;0,O3+SUM(L4:N4),"")</f>
        <v>35000</v>
      </c>
      <c r="P4" s="8" t="s">
        <v>203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IF($J4="","",ROUND(($J4-$J$3)/1000,1)+(_xlfn.RANK.AVG($J4,($J4,$O4,$T4),1)-2)*10)</f>
        <v>17.7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-17.7</v>
      </c>
      <c r="Y4" s="8"/>
      <c r="Z4" s="34"/>
      <c r="AA4" s="26"/>
      <c r="AB4" s="26">
        <v>1</v>
      </c>
      <c r="AC4" s="26">
        <v>3</v>
      </c>
      <c r="AD4" s="30">
        <v>40</v>
      </c>
      <c r="AE4" s="40" t="s">
        <v>104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のり</v>
      </c>
      <c r="F5" s="8" t="s">
        <v>197</v>
      </c>
      <c r="G5" s="9">
        <v>-5000</v>
      </c>
      <c r="H5" s="9"/>
      <c r="I5" s="48">
        <v>-500</v>
      </c>
      <c r="J5" s="21">
        <f t="shared" ref="J5:J30" si="2">IF(COUNTA($F5,$K5,$P5)&gt;0,J4+SUM(G5:I5),"")</f>
        <v>37200</v>
      </c>
      <c r="K5" s="8" t="s">
        <v>197</v>
      </c>
      <c r="L5" s="9">
        <v>-3000</v>
      </c>
      <c r="M5" s="9">
        <v>-1000</v>
      </c>
      <c r="N5" s="48">
        <v>-500</v>
      </c>
      <c r="O5" s="21">
        <f t="shared" ref="O5:O30" si="3">IF(COUNTA($F5,$K5,$P5)&gt;0,O4+SUM(L5:N5),"")</f>
        <v>30500</v>
      </c>
      <c r="P5" s="8" t="s">
        <v>198</v>
      </c>
      <c r="Q5" s="9">
        <v>8000</v>
      </c>
      <c r="R5" s="9">
        <v>1000</v>
      </c>
      <c r="S5" s="48">
        <v>1000</v>
      </c>
      <c r="T5" s="21">
        <f t="shared" ref="T5:T30" si="4">IF(COUNTA($F5,$K5,$P5)&gt;0,T4+SUM(Q5:S5),"")</f>
        <v>37300</v>
      </c>
      <c r="U5" s="53">
        <f>IF($J5="","",ROUND(($J5-$J$3)/1000,1)+(_xlfn.RANK.AVG($J5,($J5,$O5,$T5),1)-2)*10)</f>
        <v>2.2000000000000002</v>
      </c>
      <c r="V5" s="54">
        <f>IF($O5="","",ROUND(($O5-$O$3)/1000,1)+(_xlfn.RANK.AVG($O5,($J5,$O5,$T5),1)-2)*10)</f>
        <v>-14.5</v>
      </c>
      <c r="W5" s="55">
        <f>IF($T5="","",ROUND(($T5-$T$3)/1000,1)+(_xlfn.RANK.AVG($T5,($J5,$O5,$T5),1)-2)*10)</f>
        <v>12.3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199</v>
      </c>
      <c r="BU5" s="40" t="s">
        <v>86</v>
      </c>
      <c r="BV5" s="41" t="s">
        <v>86</v>
      </c>
      <c r="BW5" s="41" t="s">
        <v>86</v>
      </c>
      <c r="BX5" s="41" t="s">
        <v>98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れんたろう</v>
      </c>
      <c r="F6" s="8" t="s">
        <v>197</v>
      </c>
      <c r="G6" s="9">
        <v>-500</v>
      </c>
      <c r="H6" s="9"/>
      <c r="I6" s="48">
        <v>0</v>
      </c>
      <c r="J6" s="21">
        <f t="shared" si="2"/>
        <v>36700</v>
      </c>
      <c r="K6" s="8" t="s">
        <v>197</v>
      </c>
      <c r="L6" s="9">
        <v>-700</v>
      </c>
      <c r="M6" s="9"/>
      <c r="N6" s="48">
        <v>0</v>
      </c>
      <c r="O6" s="21">
        <f t="shared" si="3"/>
        <v>29800</v>
      </c>
      <c r="P6" s="8" t="s">
        <v>198</v>
      </c>
      <c r="Q6" s="9">
        <v>1200</v>
      </c>
      <c r="R6" s="9"/>
      <c r="S6" s="48">
        <v>0</v>
      </c>
      <c r="T6" s="21">
        <f t="shared" si="4"/>
        <v>38500</v>
      </c>
      <c r="U6" s="53">
        <f>IF($J6="","",ROUND(($J6-$J$3)/1000,1)+(_xlfn.RANK.AVG($J6,($J6,$O6,$T6),1)-2)*10)</f>
        <v>1.7</v>
      </c>
      <c r="V6" s="54">
        <f>IF($O6="","",ROUND(($O6-$O$3)/1000,1)+(_xlfn.RANK.AVG($O6,($J6,$O6,$T6),1)-2)*10)</f>
        <v>-15.2</v>
      </c>
      <c r="W6" s="55">
        <f>IF($T6="","",ROUND(($T6-$T$3)/1000,1)+(_xlfn.RANK.AVG($T6,($J6,$O6,$T6),1)-2)*10)</f>
        <v>13.5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1</v>
      </c>
      <c r="BT6" s="30">
        <v>30</v>
      </c>
      <c r="BU6" s="40" t="s">
        <v>82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まっつん</v>
      </c>
      <c r="F7" s="8" t="s">
        <v>197</v>
      </c>
      <c r="G7" s="9">
        <v>-4500</v>
      </c>
      <c r="H7" s="9"/>
      <c r="I7" s="48">
        <v>0</v>
      </c>
      <c r="J7" s="21">
        <f t="shared" si="2"/>
        <v>32200</v>
      </c>
      <c r="K7" s="8" t="s">
        <v>198</v>
      </c>
      <c r="L7" s="9">
        <v>12000</v>
      </c>
      <c r="M7" s="9"/>
      <c r="N7" s="48">
        <v>0</v>
      </c>
      <c r="O7" s="21">
        <f t="shared" si="3"/>
        <v>41800</v>
      </c>
      <c r="P7" s="8" t="s">
        <v>197</v>
      </c>
      <c r="Q7" s="9">
        <v>-7500</v>
      </c>
      <c r="R7" s="9"/>
      <c r="S7" s="48">
        <v>0</v>
      </c>
      <c r="T7" s="21">
        <f t="shared" si="4"/>
        <v>31000</v>
      </c>
      <c r="U7" s="53">
        <f>IF($J7="","",ROUND(($J7-$J$3)/1000,1)+(_xlfn.RANK.AVG($J7,($J7,$O7,$T7),1)-2)*10)</f>
        <v>-2.8</v>
      </c>
      <c r="V7" s="54">
        <f>IF($O7="","",ROUND(($O7-$O$3)/1000,1)+(_xlfn.RANK.AVG($O7,($J7,$O7,$T7),1)-2)*10)</f>
        <v>16.8</v>
      </c>
      <c r="W7" s="55">
        <f>IF($T7="","",ROUND(($T7-$T$3)/1000,1)+(_xlfn.RANK.AVG($T7,($J7,$O7,$T7),1)-2)*10)</f>
        <v>-14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6</v>
      </c>
      <c r="AY7" s="30" t="s">
        <v>199</v>
      </c>
      <c r="AZ7" s="40" t="s">
        <v>86</v>
      </c>
      <c r="BA7" s="41" t="s">
        <v>104</v>
      </c>
      <c r="BB7" s="41" t="s">
        <v>200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のり</v>
      </c>
      <c r="F8" s="8" t="s">
        <v>197</v>
      </c>
      <c r="G8" s="9">
        <v>-7500</v>
      </c>
      <c r="H8" s="9"/>
      <c r="I8" s="48">
        <v>0</v>
      </c>
      <c r="J8" s="21">
        <f t="shared" si="2"/>
        <v>24700</v>
      </c>
      <c r="K8" s="8" t="s">
        <v>198</v>
      </c>
      <c r="L8" s="9">
        <v>12000</v>
      </c>
      <c r="M8" s="9"/>
      <c r="N8" s="48">
        <v>0</v>
      </c>
      <c r="O8" s="21">
        <f t="shared" si="3"/>
        <v>53800</v>
      </c>
      <c r="P8" s="8" t="s">
        <v>197</v>
      </c>
      <c r="Q8" s="9">
        <v>-4500</v>
      </c>
      <c r="R8" s="9"/>
      <c r="S8" s="48">
        <v>0</v>
      </c>
      <c r="T8" s="21">
        <f t="shared" si="4"/>
        <v>26500</v>
      </c>
      <c r="U8" s="53">
        <f>IF($J8="","",ROUND(($J8-$J$3)/1000,1)+(_xlfn.RANK.AVG($J8,($J8,$O8,$T8),1)-2)*10)</f>
        <v>-20.3</v>
      </c>
      <c r="V8" s="54">
        <f>IF($O8="","",ROUND(($O8-$O$3)/1000,1)+(_xlfn.RANK.AVG($O8,($J8,$O8,$T8),1)-2)*10)</f>
        <v>28.8</v>
      </c>
      <c r="W8" s="55">
        <f>IF($T8="","",ROUND(($T8-$T$3)/1000,1)+(_xlfn.RANK.AVG($T8,($J8,$O8,$T8),1)-2)*10)</f>
        <v>-8.5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199</v>
      </c>
      <c r="AZ8" s="40" t="s">
        <v>201</v>
      </c>
      <c r="BA8" s="41" t="s">
        <v>82</v>
      </c>
      <c r="BB8" s="41" t="s">
        <v>83</v>
      </c>
      <c r="BC8" s="41" t="s">
        <v>200</v>
      </c>
      <c r="BD8" s="41" t="s">
        <v>200</v>
      </c>
      <c r="BE8" s="41" t="s">
        <v>79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れんたろう</v>
      </c>
      <c r="F9" s="8" t="s">
        <v>197</v>
      </c>
      <c r="G9" s="9">
        <v>-5800</v>
      </c>
      <c r="H9" s="9"/>
      <c r="I9" s="48">
        <v>0</v>
      </c>
      <c r="J9" s="21">
        <f t="shared" si="2"/>
        <v>18900</v>
      </c>
      <c r="K9" s="8" t="s">
        <v>198</v>
      </c>
      <c r="L9" s="9">
        <v>11600</v>
      </c>
      <c r="M9" s="9"/>
      <c r="N9" s="48">
        <v>0</v>
      </c>
      <c r="O9" s="21">
        <f t="shared" si="3"/>
        <v>65400</v>
      </c>
      <c r="P9" s="8" t="s">
        <v>197</v>
      </c>
      <c r="Q9" s="9">
        <v>-5800</v>
      </c>
      <c r="R9" s="9"/>
      <c r="S9" s="48">
        <v>0</v>
      </c>
      <c r="T9" s="21">
        <f t="shared" si="4"/>
        <v>20700</v>
      </c>
      <c r="U9" s="53">
        <f>IF($J9="","",ROUND(($J9-$J$3)/1000,1)+(_xlfn.RANK.AVG($J9,($J9,$O9,$T9),1)-2)*10)</f>
        <v>-26.1</v>
      </c>
      <c r="V9" s="54">
        <f>IF($O9="","",ROUND(($O9-$O$3)/1000,1)+(_xlfn.RANK.AVG($O9,($J9,$O9,$T9),1)-2)*10)</f>
        <v>40.4</v>
      </c>
      <c r="W9" s="55">
        <f>IF($T9="","",ROUND(($T9-$T$3)/1000,1)+(_xlfn.RANK.AVG($T9,($J9,$O9,$T9),1)-2)*10)</f>
        <v>-14.3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201</v>
      </c>
      <c r="BA9" s="41" t="s">
        <v>82</v>
      </c>
      <c r="BB9" s="41" t="s">
        <v>200</v>
      </c>
      <c r="BC9" s="41" t="s">
        <v>200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れんたろう</v>
      </c>
      <c r="F10" s="8" t="s">
        <v>197</v>
      </c>
      <c r="G10" s="9">
        <v>-5800</v>
      </c>
      <c r="H10" s="9">
        <v>-1000</v>
      </c>
      <c r="I10" s="48">
        <v>-500</v>
      </c>
      <c r="J10" s="21">
        <f t="shared" si="2"/>
        <v>11600</v>
      </c>
      <c r="K10" s="8" t="s">
        <v>198</v>
      </c>
      <c r="L10" s="9">
        <v>11600</v>
      </c>
      <c r="M10" s="9">
        <v>1000</v>
      </c>
      <c r="N10" s="48">
        <v>1000</v>
      </c>
      <c r="O10" s="21">
        <f t="shared" si="3"/>
        <v>79000</v>
      </c>
      <c r="P10" s="8" t="s">
        <v>197</v>
      </c>
      <c r="Q10" s="9">
        <v>-5800</v>
      </c>
      <c r="R10" s="9"/>
      <c r="S10" s="48">
        <v>-500</v>
      </c>
      <c r="T10" s="21">
        <f t="shared" si="4"/>
        <v>14400</v>
      </c>
      <c r="U10" s="53">
        <f>IF($J10="","",ROUND(($J10-$J$3)/1000,1)+(_xlfn.RANK.AVG($J10,($J10,$O10,$T10),1)-2)*10)</f>
        <v>-33.4</v>
      </c>
      <c r="V10" s="54">
        <f>IF($O10="","",ROUND(($O10-$O$3)/1000,1)+(_xlfn.RANK.AVG($O10,($J10,$O10,$T10),1)-2)*10)</f>
        <v>54</v>
      </c>
      <c r="W10" s="55">
        <f>IF($T10="","",ROUND(($T10-$T$3)/1000,1)+(_xlfn.RANK.AVG($T10,($J10,$O10,$T10),1)-2)*10)</f>
        <v>-20.6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30</v>
      </c>
      <c r="AZ10" s="40" t="s">
        <v>79</v>
      </c>
      <c r="BA10" s="41" t="s">
        <v>86</v>
      </c>
      <c r="BB10" s="41" t="s">
        <v>104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tr">
        <f>IF($K$1="","",$K$1)</f>
        <v>れんたろう</v>
      </c>
      <c r="F11" s="8" t="s">
        <v>197</v>
      </c>
      <c r="G11" s="9">
        <v>-1500</v>
      </c>
      <c r="H11" s="9"/>
      <c r="I11" s="48">
        <v>-1000</v>
      </c>
      <c r="J11" s="21">
        <f t="shared" si="2"/>
        <v>9100</v>
      </c>
      <c r="K11" s="8" t="s">
        <v>198</v>
      </c>
      <c r="L11" s="9">
        <v>3000</v>
      </c>
      <c r="M11" s="9"/>
      <c r="N11" s="48">
        <v>2000</v>
      </c>
      <c r="O11" s="21">
        <f t="shared" si="3"/>
        <v>84000</v>
      </c>
      <c r="P11" s="8" t="s">
        <v>197</v>
      </c>
      <c r="Q11" s="9">
        <v>-1500</v>
      </c>
      <c r="R11" s="9"/>
      <c r="S11" s="48">
        <v>-1000</v>
      </c>
      <c r="T11" s="21">
        <f t="shared" si="4"/>
        <v>11900</v>
      </c>
      <c r="U11" s="53">
        <f>IF($J11="","",ROUND(($J11-$J$3)/1000,1)+(_xlfn.RANK.AVG($J11,($J11,$O11,$T11),1)-2)*10)</f>
        <v>-35.9</v>
      </c>
      <c r="V11" s="54">
        <f>IF($O11="","",ROUND(($O11-$O$3)/1000,1)+(_xlfn.RANK.AVG($O11,($J11,$O11,$T11),1)-2)*10)</f>
        <v>59</v>
      </c>
      <c r="W11" s="55">
        <f>IF($T11="","",ROUND(($T11-$T$3)/1000,1)+(_xlfn.RANK.AVG($T11,($J11,$O11,$T11),1)-2)*10)</f>
        <v>-23.1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30</v>
      </c>
      <c r="AZ11" s="40" t="s">
        <v>86</v>
      </c>
      <c r="BA11" s="41" t="s">
        <v>200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tr">
        <f>IF($K$1="","",$K$1)</f>
        <v>れんたろう</v>
      </c>
      <c r="F12" s="8" t="s">
        <v>197</v>
      </c>
      <c r="G12" s="9">
        <v>-6000</v>
      </c>
      <c r="H12" s="9"/>
      <c r="I12" s="48">
        <v>-1500</v>
      </c>
      <c r="J12" s="21">
        <f t="shared" si="2"/>
        <v>1600</v>
      </c>
      <c r="K12" s="8" t="s">
        <v>198</v>
      </c>
      <c r="L12" s="9">
        <v>12000</v>
      </c>
      <c r="M12" s="9"/>
      <c r="N12" s="48">
        <v>3000</v>
      </c>
      <c r="O12" s="21">
        <f t="shared" si="3"/>
        <v>99000</v>
      </c>
      <c r="P12" s="8" t="s">
        <v>197</v>
      </c>
      <c r="Q12" s="9">
        <v>-6000</v>
      </c>
      <c r="R12" s="9"/>
      <c r="S12" s="48">
        <v>-1500</v>
      </c>
      <c r="T12" s="21">
        <f t="shared" si="4"/>
        <v>4400</v>
      </c>
      <c r="U12" s="53">
        <f>IF($J12="","",ROUND(($J12-$J$3)/1000,1)+(_xlfn.RANK.AVG($J12,($J12,$O12,$T12),1)-2)*10)</f>
        <v>-43.4</v>
      </c>
      <c r="V12" s="54">
        <f>IF($O12="","",ROUND(($O12-$O$3)/1000,1)+(_xlfn.RANK.AVG($O12,($J12,$O12,$T12),1)-2)*10)</f>
        <v>74</v>
      </c>
      <c r="W12" s="55">
        <f>IF($T12="","",ROUND(($T12-$T$3)/1000,1)+(_xlfn.RANK.AVG($T12,($J12,$O12,$T12),1)-2)*10)</f>
        <v>-30.6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5</v>
      </c>
      <c r="AY12" s="30" t="s">
        <v>199</v>
      </c>
      <c r="AZ12" s="40" t="s">
        <v>201</v>
      </c>
      <c r="BA12" s="41" t="s">
        <v>82</v>
      </c>
      <c r="BB12" s="41" t="s">
        <v>96</v>
      </c>
      <c r="BC12" s="41" t="s">
        <v>86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4</v>
      </c>
      <c r="D13" s="18">
        <f t="shared" si="1"/>
        <v>0</v>
      </c>
      <c r="E13" s="4" t="str">
        <f>IF($K$1="","",$K$1)</f>
        <v>れんたろう</v>
      </c>
      <c r="F13" s="8"/>
      <c r="G13" s="9"/>
      <c r="H13" s="9"/>
      <c r="I13" s="48"/>
      <c r="J13" s="21">
        <f t="shared" si="2"/>
        <v>1600</v>
      </c>
      <c r="K13" s="8" t="s">
        <v>202</v>
      </c>
      <c r="L13" s="9">
        <v>12000</v>
      </c>
      <c r="M13" s="9">
        <v>1000</v>
      </c>
      <c r="N13" s="48">
        <v>4000</v>
      </c>
      <c r="O13" s="21">
        <f t="shared" si="3"/>
        <v>116000</v>
      </c>
      <c r="P13" s="8" t="s">
        <v>203</v>
      </c>
      <c r="Q13" s="9">
        <v>-12000</v>
      </c>
      <c r="R13" s="9">
        <v>-1000</v>
      </c>
      <c r="S13" s="48">
        <v>-4000</v>
      </c>
      <c r="T13" s="21">
        <f t="shared" si="4"/>
        <v>-12600</v>
      </c>
      <c r="U13" s="53">
        <f>IF($J13="","",ROUND(($J13-$J$3)/1000,1)+(_xlfn.RANK.AVG($J13,($J13,$O13,$T13),1)-2)*10)</f>
        <v>-33.4</v>
      </c>
      <c r="V13" s="54">
        <f>IF($O13="","",ROUND(($O13-$O$3)/1000,1)+(_xlfn.RANK.AVG($O13,($J13,$O13,$T13),1)-2)*10)</f>
        <v>91</v>
      </c>
      <c r="W13" s="55">
        <f>IF($T13="","",ROUND(($T13-$T$3)/1000,1)+(_xlfn.RANK.AVG($T13,($J13,$O13,$T13),1)-2)*10)</f>
        <v>-57.6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5</v>
      </c>
      <c r="AY13" s="30" t="s">
        <v>199</v>
      </c>
      <c r="AZ13" s="40" t="s">
        <v>104</v>
      </c>
      <c r="BA13" s="41" t="s">
        <v>79</v>
      </c>
      <c r="BB13" s="41" t="s">
        <v>79</v>
      </c>
      <c r="BC13" s="41" t="s">
        <v>79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AD1670FC-D3DC-4E70-9D40-747AB862A43D}">
      <formula1>"れんたろう,ともき,だいち,りくと,まっつん,たかの,のり,ただ,ぱぱ,"</formula1>
    </dataValidation>
    <dataValidation type="list" showInputMessage="1" showErrorMessage="1" sqref="K4:K30 P4:P30 F4:F30" xr:uid="{589B5C3D-4627-4538-B1B7-1144B605A20F}">
      <formula1>"ロン,ツモ,放銃,ツモ支払,流局,チョンボ"</formula1>
    </dataValidation>
    <dataValidation type="list" allowBlank="1" showInputMessage="1" showErrorMessage="1" sqref="E4:E30" xr:uid="{7301430F-DE1E-4605-94E8-9F0D6F449A3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08E68-32EA-4694-A6BF-3FA371D41350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206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のり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のり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203</v>
      </c>
      <c r="G4" s="9">
        <v>-5200</v>
      </c>
      <c r="H4" s="9"/>
      <c r="I4" s="48">
        <v>0</v>
      </c>
      <c r="J4" s="21">
        <f>IF(COUNTA($F4,$K4,$P4)&gt;0,J3+SUM(G4:I4),"")</f>
        <v>29800</v>
      </c>
      <c r="K4" s="8"/>
      <c r="L4" s="9"/>
      <c r="M4" s="9"/>
      <c r="N4" s="48"/>
      <c r="O4" s="21">
        <f>IF(COUNTA($F4,$K4,$P4)&gt;0,O3+SUM(L4:N4),"")</f>
        <v>35000</v>
      </c>
      <c r="P4" s="8" t="s">
        <v>202</v>
      </c>
      <c r="Q4" s="9">
        <v>5200</v>
      </c>
      <c r="R4" s="9"/>
      <c r="S4" s="48">
        <v>0</v>
      </c>
      <c r="T4" s="21">
        <f>IF(COUNTA($F4,$K4,$P4)&gt;0,T3+SUM(Q4:S4),"")</f>
        <v>40200</v>
      </c>
      <c r="U4" s="53">
        <f>IF($J4="","",ROUND(($J4-$J$3)/1000,1)+(_xlfn.RANK.AVG($J4,($J4,$O4,$T4),1)-2)*10)</f>
        <v>-15.2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15.2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40</v>
      </c>
      <c r="BU4" s="40" t="s">
        <v>201</v>
      </c>
      <c r="BV4" s="41" t="s">
        <v>207</v>
      </c>
      <c r="BW4" s="41" t="s">
        <v>80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のり</v>
      </c>
      <c r="F5" s="8" t="s">
        <v>197</v>
      </c>
      <c r="G5" s="9">
        <v>-1500</v>
      </c>
      <c r="H5" s="9"/>
      <c r="I5" s="48">
        <v>0</v>
      </c>
      <c r="J5" s="21">
        <f t="shared" ref="J5:J30" si="2">IF(COUNTA($F5,$K5,$P5)&gt;0,J4+SUM(G5:I5),"")</f>
        <v>28300</v>
      </c>
      <c r="K5" s="8" t="s">
        <v>198</v>
      </c>
      <c r="L5" s="9">
        <v>3000</v>
      </c>
      <c r="M5" s="9"/>
      <c r="N5" s="48">
        <v>0</v>
      </c>
      <c r="O5" s="21">
        <f t="shared" ref="O5:O30" si="3">IF(COUNTA($F5,$K5,$P5)&gt;0,O4+SUM(L5:N5),"")</f>
        <v>38000</v>
      </c>
      <c r="P5" s="8" t="s">
        <v>197</v>
      </c>
      <c r="Q5" s="9">
        <v>-1500</v>
      </c>
      <c r="R5" s="9"/>
      <c r="S5" s="48">
        <v>0</v>
      </c>
      <c r="T5" s="21">
        <f t="shared" ref="T5:T30" si="4">IF(COUNTA($F5,$K5,$P5)&gt;0,T4+SUM(Q5:S5),"")</f>
        <v>38700</v>
      </c>
      <c r="U5" s="53">
        <f>IF($J5="","",ROUND(($J5-$J$3)/1000,1)+(_xlfn.RANK.AVG($J5,($J5,$O5,$T5),1)-2)*10)</f>
        <v>-16.7</v>
      </c>
      <c r="V5" s="54">
        <f>IF($O5="","",ROUND(($O5-$O$3)/1000,1)+(_xlfn.RANK.AVG($O5,($J5,$O5,$T5),1)-2)*10)</f>
        <v>3</v>
      </c>
      <c r="W5" s="55">
        <f>IF($T5="","",ROUND(($T5-$T$3)/1000,1)+(_xlfn.RANK.AVG($T5,($J5,$O5,$T5),1)-2)*10)</f>
        <v>13.7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30</v>
      </c>
      <c r="AZ5" s="40" t="s">
        <v>201</v>
      </c>
      <c r="BA5" s="41" t="s">
        <v>82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のり</v>
      </c>
      <c r="F6" s="8" t="s">
        <v>204</v>
      </c>
      <c r="G6" s="9">
        <v>3000</v>
      </c>
      <c r="H6" s="9">
        <v>-1000</v>
      </c>
      <c r="I6" s="48"/>
      <c r="J6" s="21">
        <f t="shared" si="2"/>
        <v>30300</v>
      </c>
      <c r="K6" s="8" t="s">
        <v>204</v>
      </c>
      <c r="L6" s="9">
        <v>-1500</v>
      </c>
      <c r="M6" s="9"/>
      <c r="N6" s="48"/>
      <c r="O6" s="21">
        <f t="shared" si="3"/>
        <v>36500</v>
      </c>
      <c r="P6" s="8" t="s">
        <v>204</v>
      </c>
      <c r="Q6" s="9">
        <v>-1500</v>
      </c>
      <c r="R6" s="9"/>
      <c r="S6" s="48"/>
      <c r="T6" s="21">
        <f t="shared" si="4"/>
        <v>37200</v>
      </c>
      <c r="U6" s="53">
        <f>IF($J6="","",ROUND(($J6-$J$3)/1000,1)+(_xlfn.RANK.AVG($J6,($J6,$O6,$T6),1)-2)*10)</f>
        <v>-14.7</v>
      </c>
      <c r="V6" s="54">
        <f>IF($O6="","",ROUND(($O6-$O$3)/1000,1)+(_xlfn.RANK.AVG($O6,($J6,$O6,$T6),1)-2)*10)</f>
        <v>1.5</v>
      </c>
      <c r="W6" s="55">
        <f>IF($T6="","",ROUND(($T6-$T$3)/1000,1)+(_xlfn.RANK.AVG($T6,($J6,$O6,$T6),1)-2)*10)</f>
        <v>12.2</v>
      </c>
      <c r="Y6" s="8" t="s">
        <v>195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194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194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1</v>
      </c>
      <c r="E7" s="4" t="str">
        <f>IF($P$1="","",$P$1)</f>
        <v>まっつん</v>
      </c>
      <c r="F7" s="8" t="s">
        <v>198</v>
      </c>
      <c r="G7" s="9">
        <v>8000</v>
      </c>
      <c r="H7" s="9">
        <v>1000</v>
      </c>
      <c r="I7" s="48">
        <v>2000</v>
      </c>
      <c r="J7" s="21">
        <f t="shared" si="2"/>
        <v>41300</v>
      </c>
      <c r="K7" s="8" t="s">
        <v>197</v>
      </c>
      <c r="L7" s="9">
        <v>-3000</v>
      </c>
      <c r="M7" s="9"/>
      <c r="N7" s="48">
        <v>-1000</v>
      </c>
      <c r="O7" s="21">
        <f t="shared" si="3"/>
        <v>32500</v>
      </c>
      <c r="P7" s="8" t="s">
        <v>197</v>
      </c>
      <c r="Q7" s="9">
        <v>-5000</v>
      </c>
      <c r="R7" s="9"/>
      <c r="S7" s="48">
        <v>-1000</v>
      </c>
      <c r="T7" s="21">
        <f t="shared" si="4"/>
        <v>31200</v>
      </c>
      <c r="U7" s="53">
        <f>IF($J7="","",ROUND(($J7-$J$3)/1000,1)+(_xlfn.RANK.AVG($J7,($J7,$O7,$T7),1)-2)*10)</f>
        <v>16.3</v>
      </c>
      <c r="V7" s="54">
        <f>IF($O7="","",ROUND(($O7-$O$3)/1000,1)+(_xlfn.RANK.AVG($O7,($J7,$O7,$T7),1)-2)*10)</f>
        <v>-2.5</v>
      </c>
      <c r="W7" s="55">
        <f>IF($T7="","",ROUND(($T7-$T$3)/1000,1)+(_xlfn.RANK.AVG($T7,($J7,$O7,$T7),1)-2)*10)</f>
        <v>-13.8</v>
      </c>
      <c r="Y7" s="8"/>
      <c r="Z7" s="34"/>
      <c r="AA7" s="26">
        <v>1</v>
      </c>
      <c r="AB7" s="26"/>
      <c r="AC7" s="26">
        <v>5</v>
      </c>
      <c r="AD7" s="30" t="s">
        <v>199</v>
      </c>
      <c r="AE7" s="40" t="s">
        <v>201</v>
      </c>
      <c r="AF7" s="41" t="s">
        <v>82</v>
      </c>
      <c r="AG7" s="41" t="s">
        <v>92</v>
      </c>
      <c r="AH7" s="41" t="s">
        <v>200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 t="s">
        <v>198</v>
      </c>
      <c r="G8" s="9">
        <v>18000</v>
      </c>
      <c r="H8" s="9"/>
      <c r="I8" s="48">
        <v>0</v>
      </c>
      <c r="J8" s="21">
        <f t="shared" si="2"/>
        <v>59300</v>
      </c>
      <c r="K8" s="8" t="s">
        <v>197</v>
      </c>
      <c r="L8" s="9">
        <v>-9000</v>
      </c>
      <c r="M8" s="9"/>
      <c r="N8" s="48">
        <v>0</v>
      </c>
      <c r="O8" s="21">
        <f t="shared" si="3"/>
        <v>23500</v>
      </c>
      <c r="P8" s="8" t="s">
        <v>197</v>
      </c>
      <c r="Q8" s="9">
        <v>-9000</v>
      </c>
      <c r="R8" s="9"/>
      <c r="S8" s="48">
        <v>0</v>
      </c>
      <c r="T8" s="21">
        <f t="shared" si="4"/>
        <v>22200</v>
      </c>
      <c r="U8" s="53">
        <f>IF($J8="","",ROUND(($J8-$J$3)/1000,1)+(_xlfn.RANK.AVG($J8,($J8,$O8,$T8),1)-2)*10)</f>
        <v>34.299999999999997</v>
      </c>
      <c r="V8" s="54">
        <f>IF($O8="","",ROUND(($O8-$O$3)/1000,1)+(_xlfn.RANK.AVG($O8,($J8,$O8,$T8),1)-2)*10)</f>
        <v>-11.5</v>
      </c>
      <c r="W8" s="55">
        <f>IF($T8="","",ROUND(($T8-$T$3)/1000,1)+(_xlfn.RANK.AVG($T8,($J8,$O8,$T8),1)-2)*10)</f>
        <v>-22.8</v>
      </c>
      <c r="Y8" s="8"/>
      <c r="Z8" s="34"/>
      <c r="AA8" s="26"/>
      <c r="AB8" s="26"/>
      <c r="AC8" s="26">
        <v>6</v>
      </c>
      <c r="AD8" s="30" t="s">
        <v>199</v>
      </c>
      <c r="AE8" s="40" t="s">
        <v>201</v>
      </c>
      <c r="AF8" s="41" t="s">
        <v>101</v>
      </c>
      <c r="AG8" s="41" t="s">
        <v>79</v>
      </c>
      <c r="AH8" s="41" t="s">
        <v>79</v>
      </c>
      <c r="AI8" s="41" t="s">
        <v>200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れんたろう</v>
      </c>
      <c r="F9" s="8"/>
      <c r="G9" s="9"/>
      <c r="H9" s="9"/>
      <c r="I9" s="48"/>
      <c r="J9" s="21">
        <f t="shared" si="2"/>
        <v>59300</v>
      </c>
      <c r="K9" s="8" t="s">
        <v>203</v>
      </c>
      <c r="L9" s="9">
        <v>-3900</v>
      </c>
      <c r="M9" s="9"/>
      <c r="N9" s="48">
        <v>-1000</v>
      </c>
      <c r="O9" s="21">
        <f t="shared" si="3"/>
        <v>18600</v>
      </c>
      <c r="P9" s="8" t="s">
        <v>202</v>
      </c>
      <c r="Q9" s="9">
        <v>3900</v>
      </c>
      <c r="R9" s="9"/>
      <c r="S9" s="48">
        <v>1000</v>
      </c>
      <c r="T9" s="21">
        <f t="shared" si="4"/>
        <v>27100</v>
      </c>
      <c r="U9" s="53">
        <f>IF($J9="","",ROUND(($J9-$J$3)/1000,1)+(_xlfn.RANK.AVG($J9,($J9,$O9,$T9),1)-2)*10)</f>
        <v>34.299999999999997</v>
      </c>
      <c r="V9" s="54">
        <f>IF($O9="","",ROUND(($O9-$O$3)/1000,1)+(_xlfn.RANK.AVG($O9,($J9,$O9,$T9),1)-2)*10)</f>
        <v>-26.4</v>
      </c>
      <c r="W9" s="55">
        <f>IF($T9="","",ROUND(($T9-$T$3)/1000,1)+(_xlfn.RANK.AVG($T9,($J9,$O9,$T9),1)-2)*10)</f>
        <v>-7.9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3</v>
      </c>
      <c r="BT9" s="30">
        <v>30</v>
      </c>
      <c r="BU9" s="40" t="s">
        <v>104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のり</v>
      </c>
      <c r="F10" s="8" t="s">
        <v>203</v>
      </c>
      <c r="G10" s="9">
        <v>-7700</v>
      </c>
      <c r="H10" s="9"/>
      <c r="I10" s="48">
        <v>0</v>
      </c>
      <c r="J10" s="21">
        <f t="shared" si="2"/>
        <v>51600</v>
      </c>
      <c r="K10" s="8" t="s">
        <v>202</v>
      </c>
      <c r="L10" s="9">
        <v>7700</v>
      </c>
      <c r="M10" s="9"/>
      <c r="N10" s="48">
        <v>0</v>
      </c>
      <c r="O10" s="21">
        <f t="shared" si="3"/>
        <v>26300</v>
      </c>
      <c r="P10" s="8"/>
      <c r="Q10" s="9"/>
      <c r="R10" s="9"/>
      <c r="S10" s="48"/>
      <c r="T10" s="21">
        <f t="shared" si="4"/>
        <v>27100</v>
      </c>
      <c r="U10" s="53">
        <f>IF($J10="","",ROUND(($J10-$J$3)/1000,1)+(_xlfn.RANK.AVG($J10,($J10,$O10,$T10),1)-2)*10)</f>
        <v>26.6</v>
      </c>
      <c r="V10" s="54">
        <f>IF($O10="","",ROUND(($O10-$O$3)/1000,1)+(_xlfn.RANK.AVG($O10,($J10,$O10,$T10),1)-2)*10)</f>
        <v>-18.7</v>
      </c>
      <c r="W10" s="55">
        <f>IF($T10="","",ROUND(($T10-$T$3)/1000,1)+(_xlfn.RANK.AVG($T10,($J10,$O10,$T10),1)-2)*10)</f>
        <v>-7.9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40</v>
      </c>
      <c r="AZ10" s="40" t="s">
        <v>201</v>
      </c>
      <c r="BA10" s="41" t="s">
        <v>86</v>
      </c>
      <c r="BB10" s="41" t="s">
        <v>80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のり</v>
      </c>
      <c r="F11" s="8" t="s">
        <v>197</v>
      </c>
      <c r="G11" s="9">
        <v>-6000</v>
      </c>
      <c r="H11" s="9">
        <v>-1000</v>
      </c>
      <c r="I11" s="48">
        <v>-500</v>
      </c>
      <c r="J11" s="21">
        <f t="shared" si="2"/>
        <v>44100</v>
      </c>
      <c r="K11" s="8" t="s">
        <v>198</v>
      </c>
      <c r="L11" s="9">
        <v>12000</v>
      </c>
      <c r="M11" s="9">
        <v>1000</v>
      </c>
      <c r="N11" s="48">
        <v>1000</v>
      </c>
      <c r="O11" s="21">
        <f t="shared" si="3"/>
        <v>40300</v>
      </c>
      <c r="P11" s="8" t="s">
        <v>197</v>
      </c>
      <c r="Q11" s="9">
        <v>-6000</v>
      </c>
      <c r="R11" s="9"/>
      <c r="S11" s="48">
        <v>-500</v>
      </c>
      <c r="T11" s="21">
        <f t="shared" si="4"/>
        <v>20600</v>
      </c>
      <c r="U11" s="53">
        <f>IF($J11="","",ROUND(($J11-$J$3)/1000,1)+(_xlfn.RANK.AVG($J11,($J11,$O11,$T11),1)-2)*10)</f>
        <v>19.100000000000001</v>
      </c>
      <c r="V11" s="54">
        <f>IF($O11="","",ROUND(($O11-$O$3)/1000,1)+(_xlfn.RANK.AVG($O11,($J11,$O11,$T11),1)-2)*10)</f>
        <v>5.3</v>
      </c>
      <c r="W11" s="55">
        <f>IF($T11="","",ROUND(($T11-$T$3)/1000,1)+(_xlfn.RANK.AVG($T11,($J11,$O11,$T11),1)-2)*10)</f>
        <v>-24.4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199</v>
      </c>
      <c r="AZ11" s="40" t="s">
        <v>201</v>
      </c>
      <c r="BA11" s="41" t="s">
        <v>82</v>
      </c>
      <c r="BB11" s="41" t="s">
        <v>79</v>
      </c>
      <c r="BC11" s="41" t="s">
        <v>200</v>
      </c>
      <c r="BD11" s="41" t="s">
        <v>87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tr">
        <f>IF($K$1="","",$K$1)</f>
        <v>のり</v>
      </c>
      <c r="F12" s="8" t="s">
        <v>197</v>
      </c>
      <c r="G12" s="9">
        <v>-12000</v>
      </c>
      <c r="H12" s="9"/>
      <c r="I12" s="48">
        <v>-1000</v>
      </c>
      <c r="J12" s="21">
        <f t="shared" si="2"/>
        <v>31100</v>
      </c>
      <c r="K12" s="8" t="s">
        <v>198</v>
      </c>
      <c r="L12" s="9">
        <v>24000</v>
      </c>
      <c r="M12" s="9"/>
      <c r="N12" s="48">
        <v>2000</v>
      </c>
      <c r="O12" s="21">
        <f t="shared" si="3"/>
        <v>66300</v>
      </c>
      <c r="P12" s="8" t="s">
        <v>197</v>
      </c>
      <c r="Q12" s="9">
        <v>-12000</v>
      </c>
      <c r="R12" s="9"/>
      <c r="S12" s="48">
        <v>-1000</v>
      </c>
      <c r="T12" s="21">
        <f t="shared" si="4"/>
        <v>7600</v>
      </c>
      <c r="U12" s="53">
        <f>IF($J12="","",ROUND(($J12-$J$3)/1000,1)+(_xlfn.RANK.AVG($J12,($J12,$O12,$T12),1)-2)*10)</f>
        <v>-3.9</v>
      </c>
      <c r="V12" s="54">
        <f>IF($O12="","",ROUND(($O12-$O$3)/1000,1)+(_xlfn.RANK.AVG($O12,($J12,$O12,$T12),1)-2)*10)</f>
        <v>41.3</v>
      </c>
      <c r="W12" s="55">
        <f>IF($T12="","",ROUND(($T12-$T$3)/1000,1)+(_xlfn.RANK.AVG($T12,($J12,$O12,$T12),1)-2)*10)</f>
        <v>-37.4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9</v>
      </c>
      <c r="AY12" s="30" t="s">
        <v>199</v>
      </c>
      <c r="AZ12" s="40" t="s">
        <v>91</v>
      </c>
      <c r="BA12" s="41" t="s">
        <v>82</v>
      </c>
      <c r="BB12" s="41" t="s">
        <v>79</v>
      </c>
      <c r="BC12" s="41" t="s">
        <v>79</v>
      </c>
      <c r="BD12" s="41" t="s">
        <v>79</v>
      </c>
      <c r="BE12" s="41" t="s">
        <v>200</v>
      </c>
      <c r="BF12" s="41" t="s">
        <v>101</v>
      </c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3</v>
      </c>
      <c r="D13" s="18">
        <f t="shared" si="1"/>
        <v>0</v>
      </c>
      <c r="E13" s="4" t="str">
        <f>IF($K$1="","",$K$1)</f>
        <v>のり</v>
      </c>
      <c r="F13" s="8" t="s">
        <v>202</v>
      </c>
      <c r="G13" s="9">
        <v>7700</v>
      </c>
      <c r="H13" s="9"/>
      <c r="I13" s="48">
        <v>3000</v>
      </c>
      <c r="J13" s="21">
        <f t="shared" si="2"/>
        <v>41800</v>
      </c>
      <c r="K13" s="8"/>
      <c r="L13" s="9"/>
      <c r="M13" s="9"/>
      <c r="N13" s="48"/>
      <c r="O13" s="21">
        <f t="shared" si="3"/>
        <v>66300</v>
      </c>
      <c r="P13" s="8" t="s">
        <v>203</v>
      </c>
      <c r="Q13" s="9">
        <v>-7700</v>
      </c>
      <c r="R13" s="9"/>
      <c r="S13" s="48">
        <v>-3000</v>
      </c>
      <c r="T13" s="21">
        <f t="shared" si="4"/>
        <v>-3100</v>
      </c>
      <c r="U13" s="53">
        <f>IF($J13="","",ROUND(($J13-$J$3)/1000,1)+(_xlfn.RANK.AVG($J13,($J13,$O13,$T13),1)-2)*10)</f>
        <v>6.8</v>
      </c>
      <c r="V13" s="54">
        <f>IF($O13="","",ROUND(($O13-$O$3)/1000,1)+(_xlfn.RANK.AVG($O13,($J13,$O13,$T13),1)-2)*10)</f>
        <v>41.3</v>
      </c>
      <c r="W13" s="55">
        <f>IF($T13="","",ROUND(($T13-$T$3)/1000,1)+(_xlfn.RANK.AVG($T13,($J13,$O13,$T13),1)-2)*10)</f>
        <v>-48.1</v>
      </c>
      <c r="Y13" s="8"/>
      <c r="Z13" s="34"/>
      <c r="AA13" s="26">
        <v>1</v>
      </c>
      <c r="AB13" s="26"/>
      <c r="AC13" s="26">
        <v>4</v>
      </c>
      <c r="AD13" s="30">
        <v>30</v>
      </c>
      <c r="AE13" s="40" t="s">
        <v>201</v>
      </c>
      <c r="AF13" s="41" t="s">
        <v>83</v>
      </c>
      <c r="AG13" s="41" t="s">
        <v>80</v>
      </c>
      <c r="AH13" s="41" t="s">
        <v>79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9060A14D-FB84-4510-81F3-7C026C75FFF1}">
      <formula1>$U$2:$W$2</formula1>
    </dataValidation>
    <dataValidation type="list" showInputMessage="1" showErrorMessage="1" sqref="K4:K30 P4:P30 F4:F30" xr:uid="{49E84F00-1F19-4ACC-9B06-DBBD4426D434}">
      <formula1>"ロン,ツモ,放銃,ツモ支払,流局,チョンボ"</formula1>
    </dataValidation>
    <dataValidation type="list" allowBlank="1" showInputMessage="1" sqref="F1:T1" xr:uid="{48958960-CC21-437A-89B3-319A2D243F30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FDAE2-AA0D-4976-8E7B-A0FD94A213F4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205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のり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まっつん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のり</v>
      </c>
      <c r="F4" s="8" t="s">
        <v>198</v>
      </c>
      <c r="G4" s="9">
        <v>11600</v>
      </c>
      <c r="H4" s="9">
        <v>1000</v>
      </c>
      <c r="I4" s="48">
        <v>0</v>
      </c>
      <c r="J4" s="21">
        <f>IF(COUNTA($F4,$K4,$P4)&gt;0,J3+SUM(G4:I4),"")</f>
        <v>47600</v>
      </c>
      <c r="K4" s="8" t="s">
        <v>197</v>
      </c>
      <c r="L4" s="9">
        <v>-5800</v>
      </c>
      <c r="M4" s="9">
        <v>-1000</v>
      </c>
      <c r="N4" s="48">
        <v>0</v>
      </c>
      <c r="O4" s="21">
        <f>IF(COUNTA($F4,$K4,$P4)&gt;0,O3+SUM(L4:N4),"")</f>
        <v>28200</v>
      </c>
      <c r="P4" s="8" t="s">
        <v>197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IF($J4="","",ROUND(($J4-$J$3)/1000,1)+(_xlfn.RANK.AVG($J4,($J4,$O4,$T4),1)-2)*10)</f>
        <v>22.6</v>
      </c>
      <c r="V4" s="54">
        <f>IF($O4="","",ROUND(($O4-$O$3)/1000,1)+(_xlfn.RANK.AVG($O4,($J4,$O4,$T4),1)-2)*10)</f>
        <v>-16.8</v>
      </c>
      <c r="W4" s="55">
        <f>IF($T4="","",ROUND(($T4-$T$3)/1000,1)+(_xlfn.RANK.AVG($T4,($J4,$O4,$T4),1)-2)*10)</f>
        <v>-5.8</v>
      </c>
      <c r="Y4" s="8"/>
      <c r="Z4" s="34"/>
      <c r="AA4" s="26"/>
      <c r="AB4" s="26">
        <v>1</v>
      </c>
      <c r="AC4" s="26">
        <v>4</v>
      </c>
      <c r="AD4" s="30">
        <v>30</v>
      </c>
      <c r="AE4" s="40" t="s">
        <v>85</v>
      </c>
      <c r="AF4" s="41" t="s">
        <v>200</v>
      </c>
      <c r="AG4" s="41" t="s">
        <v>200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のり</v>
      </c>
      <c r="F5" s="8" t="s">
        <v>202</v>
      </c>
      <c r="G5" s="9">
        <v>12000</v>
      </c>
      <c r="H5" s="9"/>
      <c r="I5" s="48">
        <v>1000</v>
      </c>
      <c r="J5" s="21">
        <f t="shared" ref="J5:J30" si="2">IF(COUNTA($F5,$K5,$P5)&gt;0,J4+SUM(G5:I5),"")</f>
        <v>60600</v>
      </c>
      <c r="K5" s="8" t="s">
        <v>203</v>
      </c>
      <c r="L5" s="9">
        <v>-12000</v>
      </c>
      <c r="M5" s="9"/>
      <c r="N5" s="48">
        <v>-1000</v>
      </c>
      <c r="O5" s="21">
        <f t="shared" ref="O5:O30" si="3">IF(COUNTA($F5,$K5,$P5)&gt;0,O4+SUM(L5:N5),"")</f>
        <v>15200</v>
      </c>
      <c r="P5" s="8"/>
      <c r="Q5" s="9"/>
      <c r="R5" s="9"/>
      <c r="S5" s="48"/>
      <c r="T5" s="21">
        <f t="shared" ref="T5:T30" si="4">IF(COUNTA($F5,$K5,$P5)&gt;0,T4+SUM(Q5:S5),"")</f>
        <v>29200</v>
      </c>
      <c r="U5" s="53">
        <f>IF($J5="","",ROUND(($J5-$J$3)/1000,1)+(_xlfn.RANK.AVG($J5,($J5,$O5,$T5),1)-2)*10)</f>
        <v>35.6</v>
      </c>
      <c r="V5" s="54">
        <f>IF($O5="","",ROUND(($O5-$O$3)/1000,1)+(_xlfn.RANK.AVG($O5,($J5,$O5,$T5),1)-2)*10)</f>
        <v>-29.8</v>
      </c>
      <c r="W5" s="55">
        <f>IF($T5="","",ROUND(($T5-$T$3)/1000,1)+(_xlfn.RANK.AVG($T5,($J5,$O5,$T5),1)-2)*10)</f>
        <v>-5.8</v>
      </c>
      <c r="Y5" s="8"/>
      <c r="Z5" s="34"/>
      <c r="AA5" s="26">
        <v>1</v>
      </c>
      <c r="AB5" s="26"/>
      <c r="AC5" s="26">
        <v>4</v>
      </c>
      <c r="AD5" s="30">
        <v>40</v>
      </c>
      <c r="AE5" s="40" t="s">
        <v>201</v>
      </c>
      <c r="AF5" s="41" t="s">
        <v>86</v>
      </c>
      <c r="AG5" s="41" t="s">
        <v>200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のり</v>
      </c>
      <c r="F6" s="8" t="s">
        <v>202</v>
      </c>
      <c r="G6" s="9">
        <v>3900</v>
      </c>
      <c r="H6" s="9"/>
      <c r="I6" s="48">
        <v>2000</v>
      </c>
      <c r="J6" s="21">
        <f t="shared" si="2"/>
        <v>66500</v>
      </c>
      <c r="K6" s="8" t="s">
        <v>203</v>
      </c>
      <c r="L6" s="9">
        <v>-3900</v>
      </c>
      <c r="M6" s="9"/>
      <c r="N6" s="48">
        <v>-2000</v>
      </c>
      <c r="O6" s="21">
        <f t="shared" si="3"/>
        <v>9300</v>
      </c>
      <c r="P6" s="8"/>
      <c r="Q6" s="9"/>
      <c r="R6" s="9"/>
      <c r="S6" s="48"/>
      <c r="T6" s="21">
        <f t="shared" si="4"/>
        <v>29200</v>
      </c>
      <c r="U6" s="53">
        <f>IF($J6="","",ROUND(($J6-$J$3)/1000,1)+(_xlfn.RANK.AVG($J6,($J6,$O6,$T6),1)-2)*10)</f>
        <v>41.5</v>
      </c>
      <c r="V6" s="54">
        <f>IF($O6="","",ROUND(($O6-$O$3)/1000,1)+(_xlfn.RANK.AVG($O6,($J6,$O6,$T6),1)-2)*10)</f>
        <v>-35.700000000000003</v>
      </c>
      <c r="W6" s="55">
        <f>IF($T6="","",ROUND(($T6-$T$3)/1000,1)+(_xlfn.RANK.AVG($T6,($J6,$O6,$T6),1)-2)*10)</f>
        <v>-5.8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201</v>
      </c>
      <c r="AF6" s="41" t="s">
        <v>86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のり</v>
      </c>
      <c r="F7" s="8"/>
      <c r="G7" s="9"/>
      <c r="H7" s="9"/>
      <c r="I7" s="48"/>
      <c r="J7" s="21">
        <f t="shared" si="2"/>
        <v>66500</v>
      </c>
      <c r="K7" s="8" t="s">
        <v>202</v>
      </c>
      <c r="L7" s="9">
        <v>8000</v>
      </c>
      <c r="M7" s="9"/>
      <c r="N7" s="48">
        <v>3000</v>
      </c>
      <c r="O7" s="21">
        <f t="shared" si="3"/>
        <v>20300</v>
      </c>
      <c r="P7" s="8" t="s">
        <v>203</v>
      </c>
      <c r="Q7" s="9">
        <v>-8000</v>
      </c>
      <c r="R7" s="9"/>
      <c r="S7" s="48">
        <v>-3000</v>
      </c>
      <c r="T7" s="21">
        <f t="shared" si="4"/>
        <v>18200</v>
      </c>
      <c r="U7" s="53">
        <f>IF($J7="","",ROUND(($J7-$J$3)/1000,1)+(_xlfn.RANK.AVG($J7,($J7,$O7,$T7),1)-2)*10)</f>
        <v>41.5</v>
      </c>
      <c r="V7" s="54">
        <f>IF($O7="","",ROUND(($O7-$O$3)/1000,1)+(_xlfn.RANK.AVG($O7,($J7,$O7,$T7),1)-2)*10)</f>
        <v>-14.7</v>
      </c>
      <c r="W7" s="55">
        <f>IF($T7="","",ROUND(($T7-$T$3)/1000,1)+(_xlfn.RANK.AVG($T7,($J7,$O7,$T7),1)-2)*10)</f>
        <v>-26.8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199</v>
      </c>
      <c r="AZ7" s="40" t="s">
        <v>201</v>
      </c>
      <c r="BA7" s="41" t="s">
        <v>86</v>
      </c>
      <c r="BB7" s="41" t="s">
        <v>79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まっつん</v>
      </c>
      <c r="F8" s="8" t="s">
        <v>198</v>
      </c>
      <c r="G8" s="9">
        <v>2100</v>
      </c>
      <c r="H8" s="9"/>
      <c r="I8" s="48">
        <v>0</v>
      </c>
      <c r="J8" s="21">
        <f t="shared" si="2"/>
        <v>68600</v>
      </c>
      <c r="K8" s="8" t="s">
        <v>197</v>
      </c>
      <c r="L8" s="9">
        <v>-1300</v>
      </c>
      <c r="M8" s="9"/>
      <c r="N8" s="48">
        <v>0</v>
      </c>
      <c r="O8" s="21">
        <f t="shared" si="3"/>
        <v>19000</v>
      </c>
      <c r="P8" s="8" t="s">
        <v>197</v>
      </c>
      <c r="Q8" s="9">
        <v>-800</v>
      </c>
      <c r="R8" s="9"/>
      <c r="S8" s="48">
        <v>0</v>
      </c>
      <c r="T8" s="21">
        <f t="shared" si="4"/>
        <v>17400</v>
      </c>
      <c r="U8" s="53">
        <f>IF($J8="","",ROUND(($J8-$J$3)/1000,1)+(_xlfn.RANK.AVG($J8,($J8,$O8,$T8),1)-2)*10)</f>
        <v>43.6</v>
      </c>
      <c r="V8" s="54">
        <f>IF($O8="","",ROUND(($O8-$O$3)/1000,1)+(_xlfn.RANK.AVG($O8,($J8,$O8,$T8),1)-2)*10)</f>
        <v>-16</v>
      </c>
      <c r="W8" s="55">
        <f>IF($T8="","",ROUND(($T8-$T$3)/1000,1)+(_xlfn.RANK.AVG($T8,($J8,$O8,$T8),1)-2)*10)</f>
        <v>-27.6</v>
      </c>
      <c r="Y8" s="8"/>
      <c r="Z8" s="34"/>
      <c r="AA8" s="26">
        <v>1</v>
      </c>
      <c r="AB8" s="26"/>
      <c r="AC8" s="26">
        <v>2</v>
      </c>
      <c r="AD8" s="30">
        <v>30</v>
      </c>
      <c r="AE8" s="40" t="s">
        <v>201</v>
      </c>
      <c r="AF8" s="41" t="s">
        <v>82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れんたろう</v>
      </c>
      <c r="F9" s="8" t="s">
        <v>197</v>
      </c>
      <c r="G9" s="9">
        <v>-1500</v>
      </c>
      <c r="H9" s="9"/>
      <c r="I9" s="48">
        <v>0</v>
      </c>
      <c r="J9" s="21">
        <f t="shared" si="2"/>
        <v>67100</v>
      </c>
      <c r="K9" s="8" t="s">
        <v>197</v>
      </c>
      <c r="L9" s="9">
        <v>-1500</v>
      </c>
      <c r="M9" s="9"/>
      <c r="N9" s="48">
        <v>0</v>
      </c>
      <c r="O9" s="21">
        <f t="shared" si="3"/>
        <v>17500</v>
      </c>
      <c r="P9" s="8" t="s">
        <v>198</v>
      </c>
      <c r="Q9" s="9">
        <v>3000</v>
      </c>
      <c r="R9" s="9"/>
      <c r="S9" s="48">
        <v>0</v>
      </c>
      <c r="T9" s="21">
        <f t="shared" si="4"/>
        <v>20400</v>
      </c>
      <c r="U9" s="53">
        <f>IF($J9="","",ROUND(($J9-$J$3)/1000,1)+(_xlfn.RANK.AVG($J9,($J9,$O9,$T9),1)-2)*10)</f>
        <v>42.1</v>
      </c>
      <c r="V9" s="54">
        <f>IF($O9="","",ROUND(($O9-$O$3)/1000,1)+(_xlfn.RANK.AVG($O9,($J9,$O9,$T9),1)-2)*10)</f>
        <v>-27.5</v>
      </c>
      <c r="W9" s="55">
        <f>IF($T9="","",ROUND(($T9-$T$3)/1000,1)+(_xlfn.RANK.AVG($T9,($J9,$O9,$T9),1)-2)*10)</f>
        <v>-14.6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IF($P$1="","",$P$1)</f>
        <v>れんたろう</v>
      </c>
      <c r="F10" s="8" t="s">
        <v>204</v>
      </c>
      <c r="G10" s="9">
        <v>-3000</v>
      </c>
      <c r="H10" s="9"/>
      <c r="I10" s="48"/>
      <c r="J10" s="21">
        <f t="shared" si="2"/>
        <v>64100</v>
      </c>
      <c r="K10" s="8" t="s">
        <v>204</v>
      </c>
      <c r="L10" s="9">
        <v>1500</v>
      </c>
      <c r="M10" s="9">
        <v>-1000</v>
      </c>
      <c r="N10" s="48"/>
      <c r="O10" s="21">
        <f t="shared" si="3"/>
        <v>18000</v>
      </c>
      <c r="P10" s="8" t="s">
        <v>204</v>
      </c>
      <c r="Q10" s="9">
        <v>1500</v>
      </c>
      <c r="R10" s="9"/>
      <c r="S10" s="48"/>
      <c r="T10" s="21">
        <f t="shared" si="4"/>
        <v>21900</v>
      </c>
      <c r="U10" s="53">
        <f>IF($J10="","",ROUND(($J10-$J$3)/1000,1)+(_xlfn.RANK.AVG($J10,($J10,$O10,$T10),1)-2)*10)</f>
        <v>39.1</v>
      </c>
      <c r="V10" s="54">
        <f>IF($O10="","",ROUND(($O10-$O$3)/1000,1)+(_xlfn.RANK.AVG($O10,($J10,$O10,$T10),1)-2)*10)</f>
        <v>-27</v>
      </c>
      <c r="W10" s="55">
        <f>IF($T10="","",ROUND(($T10-$T$3)/1000,1)+(_xlfn.RANK.AVG($T10,($J10,$O10,$T10),1)-2)*10)</f>
        <v>-13.1</v>
      </c>
      <c r="Y10" s="8" t="s">
        <v>194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195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195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2</v>
      </c>
      <c r="D11" s="18">
        <f t="shared" si="1"/>
        <v>1</v>
      </c>
      <c r="E11" s="4" t="str">
        <f>IF($P$1="","",$P$1)</f>
        <v>れんたろう</v>
      </c>
      <c r="F11" s="8" t="s">
        <v>198</v>
      </c>
      <c r="G11" s="9">
        <v>12000</v>
      </c>
      <c r="H11" s="9">
        <v>2000</v>
      </c>
      <c r="I11" s="48">
        <v>2000</v>
      </c>
      <c r="J11" s="21">
        <f t="shared" si="2"/>
        <v>80100</v>
      </c>
      <c r="K11" s="8" t="s">
        <v>197</v>
      </c>
      <c r="L11" s="9">
        <v>-4500</v>
      </c>
      <c r="M11" s="9"/>
      <c r="N11" s="48">
        <v>-1000</v>
      </c>
      <c r="O11" s="21">
        <f t="shared" si="3"/>
        <v>12500</v>
      </c>
      <c r="P11" s="8" t="s">
        <v>197</v>
      </c>
      <c r="Q11" s="9">
        <v>-7500</v>
      </c>
      <c r="R11" s="9">
        <v>-1000</v>
      </c>
      <c r="S11" s="48">
        <v>-1000</v>
      </c>
      <c r="T11" s="21">
        <f t="shared" si="4"/>
        <v>12400</v>
      </c>
      <c r="U11" s="53">
        <f>IF($J11="","",ROUND(($J11-$J$3)/1000,1)+(_xlfn.RANK.AVG($J11,($J11,$O11,$T11),1)-2)*10)</f>
        <v>55.1</v>
      </c>
      <c r="V11" s="54">
        <f>IF($O11="","",ROUND(($O11-$O$3)/1000,1)+(_xlfn.RANK.AVG($O11,($J11,$O11,$T11),1)-2)*10)</f>
        <v>-22.5</v>
      </c>
      <c r="W11" s="55">
        <f>IF($T11="","",ROUND(($T11-$T$3)/1000,1)+(_xlfn.RANK.AVG($T11,($J11,$O11,$T11),1)-2)*10)</f>
        <v>-32.6</v>
      </c>
      <c r="Y11" s="8"/>
      <c r="Z11" s="34"/>
      <c r="AA11" s="26">
        <v>1</v>
      </c>
      <c r="AB11" s="26"/>
      <c r="AC11" s="26">
        <v>6</v>
      </c>
      <c r="AD11" s="30" t="s">
        <v>199</v>
      </c>
      <c r="AE11" s="40" t="s">
        <v>201</v>
      </c>
      <c r="AF11" s="41" t="s">
        <v>82</v>
      </c>
      <c r="AG11" s="41" t="s">
        <v>207</v>
      </c>
      <c r="AH11" s="41" t="s">
        <v>79</v>
      </c>
      <c r="AI11" s="41" t="s">
        <v>80</v>
      </c>
      <c r="AJ11" s="41" t="s">
        <v>85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のり</v>
      </c>
      <c r="F12" s="8" t="s">
        <v>197</v>
      </c>
      <c r="G12" s="9">
        <v>-1300</v>
      </c>
      <c r="H12" s="9"/>
      <c r="I12" s="48">
        <v>0</v>
      </c>
      <c r="J12" s="21">
        <f t="shared" si="2"/>
        <v>78800</v>
      </c>
      <c r="K12" s="8" t="s">
        <v>198</v>
      </c>
      <c r="L12" s="9">
        <v>2100</v>
      </c>
      <c r="M12" s="9"/>
      <c r="N12" s="48">
        <v>0</v>
      </c>
      <c r="O12" s="21">
        <f t="shared" si="3"/>
        <v>14600</v>
      </c>
      <c r="P12" s="8" t="s">
        <v>197</v>
      </c>
      <c r="Q12" s="9">
        <v>-800</v>
      </c>
      <c r="R12" s="9"/>
      <c r="S12" s="48">
        <v>0</v>
      </c>
      <c r="T12" s="21">
        <f t="shared" si="4"/>
        <v>11600</v>
      </c>
      <c r="U12" s="53">
        <f>IF($J12="","",ROUND(($J12-$J$3)/1000,1)+(_xlfn.RANK.AVG($J12,($J12,$O12,$T12),1)-2)*10)</f>
        <v>53.8</v>
      </c>
      <c r="V12" s="54">
        <f>IF($O12="","",ROUND(($O12-$O$3)/1000,1)+(_xlfn.RANK.AVG($O12,($J12,$O12,$T12),1)-2)*10)</f>
        <v>-20.399999999999999</v>
      </c>
      <c r="W12" s="55">
        <f>IF($T12="","",ROUND(($T12-$T$3)/1000,1)+(_xlfn.RANK.AVG($T12,($J12,$O12,$T12),1)-2)*10)</f>
        <v>-33.4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2</v>
      </c>
      <c r="AY12" s="30">
        <v>30</v>
      </c>
      <c r="AZ12" s="40" t="s">
        <v>82</v>
      </c>
      <c r="BA12" s="41" t="s">
        <v>79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まっつん</v>
      </c>
      <c r="F13" s="8" t="s">
        <v>197</v>
      </c>
      <c r="G13" s="9">
        <v>-800</v>
      </c>
      <c r="H13" s="9">
        <v>-1000</v>
      </c>
      <c r="I13" s="48">
        <v>0</v>
      </c>
      <c r="J13" s="21">
        <f t="shared" si="2"/>
        <v>77000</v>
      </c>
      <c r="K13" s="8" t="s">
        <v>197</v>
      </c>
      <c r="L13" s="9">
        <v>-1300</v>
      </c>
      <c r="M13" s="9">
        <v>-1000</v>
      </c>
      <c r="N13" s="48">
        <v>0</v>
      </c>
      <c r="O13" s="21">
        <f t="shared" si="3"/>
        <v>12300</v>
      </c>
      <c r="P13" s="8" t="s">
        <v>198</v>
      </c>
      <c r="Q13" s="9">
        <v>2100</v>
      </c>
      <c r="R13" s="9">
        <v>2000</v>
      </c>
      <c r="S13" s="48">
        <v>0</v>
      </c>
      <c r="T13" s="21">
        <f t="shared" si="4"/>
        <v>15700</v>
      </c>
      <c r="U13" s="53">
        <f>IF($J13="","",ROUND(($J13-$J$3)/1000,1)+(_xlfn.RANK.AVG($J13,($J13,$O13,$T13),1)-2)*10)</f>
        <v>52</v>
      </c>
      <c r="V13" s="54">
        <f>IF($O13="","",ROUND(($O13-$O$3)/1000,1)+(_xlfn.RANK.AVG($O13,($J13,$O13,$T13),1)-2)*10)</f>
        <v>-32.700000000000003</v>
      </c>
      <c r="W13" s="55">
        <f>IF($T13="","",ROUND(($T13-$T$3)/1000,1)+(_xlfn.RANK.AVG($T13,($J13,$O13,$T13),1)-2)*10)</f>
        <v>-19.3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2</v>
      </c>
      <c r="BT13" s="30">
        <v>30</v>
      </c>
      <c r="BU13" s="40" t="s">
        <v>86</v>
      </c>
      <c r="BV13" s="41" t="s">
        <v>86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IF($P$1="","",$P$1)</f>
        <v>れんたろう</v>
      </c>
      <c r="F14" s="8" t="s">
        <v>198</v>
      </c>
      <c r="G14" s="9">
        <v>12000</v>
      </c>
      <c r="H14" s="9"/>
      <c r="I14" s="48">
        <v>0</v>
      </c>
      <c r="J14" s="21">
        <f t="shared" si="2"/>
        <v>89000</v>
      </c>
      <c r="K14" s="8" t="s">
        <v>197</v>
      </c>
      <c r="L14" s="9">
        <v>-4500</v>
      </c>
      <c r="M14" s="9"/>
      <c r="N14" s="48">
        <v>0</v>
      </c>
      <c r="O14" s="21">
        <f t="shared" si="3"/>
        <v>7800</v>
      </c>
      <c r="P14" s="8" t="s">
        <v>197</v>
      </c>
      <c r="Q14" s="9">
        <v>-7500</v>
      </c>
      <c r="R14" s="9"/>
      <c r="S14" s="48">
        <v>0</v>
      </c>
      <c r="T14" s="21">
        <f t="shared" si="4"/>
        <v>8200</v>
      </c>
      <c r="U14" s="53">
        <f>IF($J14="","",ROUND(($J14-$J$3)/1000,1)+(_xlfn.RANK.AVG($J14,($J14,$O14,$T14),1)-2)*10)</f>
        <v>64</v>
      </c>
      <c r="V14" s="54">
        <f>IF($O14="","",ROUND(($O14-$O$3)/1000,1)+(_xlfn.RANK.AVG($O14,($J14,$O14,$T14),1)-2)*10)</f>
        <v>-37.200000000000003</v>
      </c>
      <c r="W14" s="55">
        <f>IF($T14="","",ROUND(($T14-$T$3)/1000,1)+(_xlfn.RANK.AVG($T14,($J14,$O14,$T14),1)-2)*10)</f>
        <v>-26.8</v>
      </c>
      <c r="Y14" s="8"/>
      <c r="Z14" s="34"/>
      <c r="AA14" s="26">
        <v>1</v>
      </c>
      <c r="AB14" s="26"/>
      <c r="AC14" s="26">
        <v>6</v>
      </c>
      <c r="AD14" s="30" t="s">
        <v>199</v>
      </c>
      <c r="AE14" s="40" t="s">
        <v>201</v>
      </c>
      <c r="AF14" s="41" t="s">
        <v>82</v>
      </c>
      <c r="AG14" s="41" t="s">
        <v>79</v>
      </c>
      <c r="AH14" s="41" t="s">
        <v>79</v>
      </c>
      <c r="AI14" s="41" t="s">
        <v>80</v>
      </c>
      <c r="AJ14" s="41" t="s">
        <v>80</v>
      </c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58EEB45A-EBB9-4043-9DB9-CFBA974B5DBE}">
      <formula1>"ロン,ツモ,放銃,ツモ支払,流局,チョンボ"</formula1>
    </dataValidation>
    <dataValidation type="list" allowBlank="1" showInputMessage="1" showErrorMessage="1" sqref="E4:E30" xr:uid="{90420256-D2F8-4CD0-ADEE-5E27E0C88A70}">
      <formula1>$U$2:$W$2</formula1>
    </dataValidation>
    <dataValidation type="list" allowBlank="1" showInputMessage="1" sqref="F1:T1" xr:uid="{3A03D1D0-5C1E-42B9-BBA0-5A8C7F7B9DB4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70CA-D9FE-4A93-84DE-A82B03C8E77C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208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たかの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203</v>
      </c>
      <c r="G4" s="9">
        <v>-5200</v>
      </c>
      <c r="H4" s="9"/>
      <c r="I4" s="48">
        <v>0</v>
      </c>
      <c r="J4" s="21">
        <f>IF(COUNTA($F4,$K4,$P4)&gt;0,J3+SUM(G4:I4),"")</f>
        <v>29800</v>
      </c>
      <c r="K4" s="8"/>
      <c r="L4" s="9"/>
      <c r="M4" s="9"/>
      <c r="N4" s="48"/>
      <c r="O4" s="21">
        <f>IF(COUNTA($F4,$K4,$P4)&gt;0,O3+SUM(L4:N4),"")</f>
        <v>35000</v>
      </c>
      <c r="P4" s="8" t="s">
        <v>202</v>
      </c>
      <c r="Q4" s="9">
        <v>5200</v>
      </c>
      <c r="R4" s="9"/>
      <c r="S4" s="48">
        <v>0</v>
      </c>
      <c r="T4" s="21">
        <f>IF(COUNTA($F4,$K4,$P4)&gt;0,T3+SUM(Q4:S4),"")</f>
        <v>40200</v>
      </c>
      <c r="U4" s="53">
        <f>IF($J4="","",ROUND(($J4-$J$3)/1000,1)+(_xlfn.RANK.AVG($J4,($J4,$O4,$T4),1)-2)*10)</f>
        <v>-15.2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15.2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40</v>
      </c>
      <c r="BU4" s="40" t="s">
        <v>201</v>
      </c>
      <c r="BV4" s="41" t="s">
        <v>86</v>
      </c>
      <c r="BW4" s="41" t="s">
        <v>80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204</v>
      </c>
      <c r="G5" s="9">
        <v>0</v>
      </c>
      <c r="H5" s="9"/>
      <c r="I5" s="48"/>
      <c r="J5" s="21">
        <f t="shared" ref="J5:J30" si="2">IF(COUNTA($F5,$K5,$P5)&gt;0,J4+SUM(G5:I5),"")</f>
        <v>29800</v>
      </c>
      <c r="K5" s="8" t="s">
        <v>204</v>
      </c>
      <c r="L5" s="9">
        <v>0</v>
      </c>
      <c r="M5" s="9"/>
      <c r="N5" s="48"/>
      <c r="O5" s="21">
        <f t="shared" ref="O5:O30" si="3">IF(COUNTA($F5,$K5,$P5)&gt;0,O4+SUM(L5:N5),"")</f>
        <v>35000</v>
      </c>
      <c r="P5" s="8" t="s">
        <v>204</v>
      </c>
      <c r="Q5" s="9">
        <v>0</v>
      </c>
      <c r="R5" s="9"/>
      <c r="S5" s="48"/>
      <c r="T5" s="21">
        <f t="shared" ref="T5:T30" si="4">IF(COUNTA($F5,$K5,$P5)&gt;0,T4+SUM(Q5:S5),"")</f>
        <v>40200</v>
      </c>
      <c r="U5" s="53">
        <f>IF($J5="","",ROUND(($J5-$J$3)/1000,1)+(_xlfn.RANK.AVG($J5,($J5,$O5,$T5),1)-2)*10)</f>
        <v>-15.2</v>
      </c>
      <c r="V5" s="54">
        <f>IF($O5="","",ROUND(($O5-$O$3)/1000,1)+(_xlfn.RANK.AVG($O5,($J5,$O5,$T5),1)-2)*10)</f>
        <v>0</v>
      </c>
      <c r="W5" s="55">
        <f>IF($T5="","",ROUND(($T5-$T$3)/1000,1)+(_xlfn.RANK.AVG($T5,($J5,$O5,$T5),1)-2)*10)</f>
        <v>15.2</v>
      </c>
      <c r="Y5" s="8" t="s">
        <v>195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195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195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たかの</v>
      </c>
      <c r="F6" s="8"/>
      <c r="G6" s="9"/>
      <c r="H6" s="9"/>
      <c r="I6" s="48"/>
      <c r="J6" s="21">
        <f t="shared" si="2"/>
        <v>29800</v>
      </c>
      <c r="K6" s="8" t="s">
        <v>203</v>
      </c>
      <c r="L6" s="9">
        <v>-2000</v>
      </c>
      <c r="M6" s="9"/>
      <c r="N6" s="48">
        <v>-1000</v>
      </c>
      <c r="O6" s="21">
        <f t="shared" si="3"/>
        <v>32000</v>
      </c>
      <c r="P6" s="8" t="s">
        <v>202</v>
      </c>
      <c r="Q6" s="9">
        <v>2000</v>
      </c>
      <c r="R6" s="9"/>
      <c r="S6" s="48">
        <v>1000</v>
      </c>
      <c r="T6" s="21">
        <f t="shared" si="4"/>
        <v>43200</v>
      </c>
      <c r="U6" s="53">
        <f>IF($J6="","",ROUND(($J6-$J$3)/1000,1)+(_xlfn.RANK.AVG($J6,($J6,$O6,$T6),1)-2)*10)</f>
        <v>-15.2</v>
      </c>
      <c r="V6" s="54">
        <f>IF($O6="","",ROUND(($O6-$O$3)/1000,1)+(_xlfn.RANK.AVG($O6,($J6,$O6,$T6),1)-2)*10)</f>
        <v>-3</v>
      </c>
      <c r="W6" s="55">
        <f>IF($T6="","",ROUND(($T6-$T$3)/1000,1)+(_xlfn.RANK.AVG($T6,($J6,$O6,$T6),1)-2)*10)</f>
        <v>18.2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30</v>
      </c>
      <c r="BU6" s="40" t="s">
        <v>201</v>
      </c>
      <c r="BV6" s="41" t="s">
        <v>83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まっつん</v>
      </c>
      <c r="F7" s="8" t="s">
        <v>203</v>
      </c>
      <c r="G7" s="9">
        <v>-2000</v>
      </c>
      <c r="H7" s="9"/>
      <c r="I7" s="48">
        <v>0</v>
      </c>
      <c r="J7" s="21">
        <f t="shared" si="2"/>
        <v>27800</v>
      </c>
      <c r="K7" s="8" t="s">
        <v>202</v>
      </c>
      <c r="L7" s="9">
        <v>2000</v>
      </c>
      <c r="M7" s="9"/>
      <c r="N7" s="48">
        <v>0</v>
      </c>
      <c r="O7" s="21">
        <f t="shared" si="3"/>
        <v>34000</v>
      </c>
      <c r="P7" s="8"/>
      <c r="Q7" s="9"/>
      <c r="R7" s="9"/>
      <c r="S7" s="48"/>
      <c r="T7" s="21">
        <f t="shared" si="4"/>
        <v>43200</v>
      </c>
      <c r="U7" s="53">
        <f>IF($J7="","",ROUND(($J7-$J$3)/1000,1)+(_xlfn.RANK.AVG($J7,($J7,$O7,$T7),1)-2)*10)</f>
        <v>-17.2</v>
      </c>
      <c r="V7" s="54">
        <f>IF($O7="","",ROUND(($O7-$O$3)/1000,1)+(_xlfn.RANK.AVG($O7,($J7,$O7,$T7),1)-2)*10)</f>
        <v>-1</v>
      </c>
      <c r="W7" s="55">
        <f>IF($T7="","",ROUND(($T7-$T$3)/1000,1)+(_xlfn.RANK.AVG($T7,($J7,$O7,$T7),1)-2)*10)</f>
        <v>18.2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30</v>
      </c>
      <c r="AZ7" s="40" t="s">
        <v>83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197</v>
      </c>
      <c r="G8" s="9">
        <v>-5000</v>
      </c>
      <c r="H8" s="9"/>
      <c r="I8" s="48">
        <v>0</v>
      </c>
      <c r="J8" s="21">
        <f t="shared" si="2"/>
        <v>22800</v>
      </c>
      <c r="K8" s="8" t="s">
        <v>198</v>
      </c>
      <c r="L8" s="9">
        <v>8000</v>
      </c>
      <c r="M8" s="9"/>
      <c r="N8" s="48">
        <v>0</v>
      </c>
      <c r="O8" s="21">
        <f t="shared" si="3"/>
        <v>42000</v>
      </c>
      <c r="P8" s="8" t="s">
        <v>197</v>
      </c>
      <c r="Q8" s="9">
        <v>-3000</v>
      </c>
      <c r="R8" s="9"/>
      <c r="S8" s="48">
        <v>0</v>
      </c>
      <c r="T8" s="21">
        <f t="shared" si="4"/>
        <v>40200</v>
      </c>
      <c r="U8" s="53">
        <f>IF($J8="","",ROUND(($J8-$J$3)/1000,1)+(_xlfn.RANK.AVG($J8,($J8,$O8,$T8),1)-2)*10)</f>
        <v>-22.2</v>
      </c>
      <c r="V8" s="54">
        <f>IF($O8="","",ROUND(($O8-$O$3)/1000,1)+(_xlfn.RANK.AVG($O8,($J8,$O8,$T8),1)-2)*10)</f>
        <v>17</v>
      </c>
      <c r="W8" s="55">
        <f>IF($T8="","",ROUND(($T8-$T$3)/1000,1)+(_xlfn.RANK.AVG($T8,($J8,$O8,$T8),1)-2)*10)</f>
        <v>5.2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5</v>
      </c>
      <c r="AY8" s="30" t="s">
        <v>199</v>
      </c>
      <c r="AZ8" s="40" t="s">
        <v>98</v>
      </c>
      <c r="BA8" s="41" t="s">
        <v>86</v>
      </c>
      <c r="BB8" s="41" t="s">
        <v>86</v>
      </c>
      <c r="BC8" s="41" t="s">
        <v>86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たかの</v>
      </c>
      <c r="F9" s="8" t="s">
        <v>197</v>
      </c>
      <c r="G9" s="9">
        <v>-1100</v>
      </c>
      <c r="H9" s="9"/>
      <c r="I9" s="48">
        <v>0</v>
      </c>
      <c r="J9" s="21">
        <f t="shared" si="2"/>
        <v>21700</v>
      </c>
      <c r="K9" s="8" t="s">
        <v>198</v>
      </c>
      <c r="L9" s="9">
        <v>2200</v>
      </c>
      <c r="M9" s="9"/>
      <c r="N9" s="48">
        <v>0</v>
      </c>
      <c r="O9" s="21">
        <f t="shared" si="3"/>
        <v>44200</v>
      </c>
      <c r="P9" s="8" t="s">
        <v>197</v>
      </c>
      <c r="Q9" s="9">
        <v>-1100</v>
      </c>
      <c r="R9" s="9"/>
      <c r="S9" s="48">
        <v>0</v>
      </c>
      <c r="T9" s="21">
        <f t="shared" si="4"/>
        <v>39100</v>
      </c>
      <c r="U9" s="53">
        <f>IF($J9="","",ROUND(($J9-$J$3)/1000,1)+(_xlfn.RANK.AVG($J9,($J9,$O9,$T9),1)-2)*10)</f>
        <v>-23.3</v>
      </c>
      <c r="V9" s="54">
        <f>IF($O9="","",ROUND(($O9-$O$3)/1000,1)+(_xlfn.RANK.AVG($O9,($J9,$O9,$T9),1)-2)*10)</f>
        <v>19.2</v>
      </c>
      <c r="W9" s="55">
        <f>IF($T9="","",ROUND(($T9-$T$3)/1000,1)+(_xlfn.RANK.AVG($T9,($J9,$O9,$T9),1)-2)*10)</f>
        <v>4.0999999999999996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1</v>
      </c>
      <c r="AY9" s="30">
        <v>40</v>
      </c>
      <c r="AZ9" s="40" t="s">
        <v>82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たかの</v>
      </c>
      <c r="F10" s="8" t="s">
        <v>204</v>
      </c>
      <c r="G10" s="9">
        <v>0</v>
      </c>
      <c r="H10" s="9"/>
      <c r="I10" s="48"/>
      <c r="J10" s="21">
        <f t="shared" si="2"/>
        <v>21700</v>
      </c>
      <c r="K10" s="8" t="s">
        <v>204</v>
      </c>
      <c r="L10" s="9">
        <v>0</v>
      </c>
      <c r="M10" s="9"/>
      <c r="N10" s="48"/>
      <c r="O10" s="21">
        <f t="shared" si="3"/>
        <v>44200</v>
      </c>
      <c r="P10" s="8" t="s">
        <v>204</v>
      </c>
      <c r="Q10" s="9">
        <v>0</v>
      </c>
      <c r="R10" s="9"/>
      <c r="S10" s="48"/>
      <c r="T10" s="21">
        <f t="shared" si="4"/>
        <v>39100</v>
      </c>
      <c r="U10" s="53">
        <f>IF($J10="","",ROUND(($J10-$J$3)/1000,1)+(_xlfn.RANK.AVG($J10,($J10,$O10,$T10),1)-2)*10)</f>
        <v>-23.3</v>
      </c>
      <c r="V10" s="54">
        <f>IF($O10="","",ROUND(($O10-$O$3)/1000,1)+(_xlfn.RANK.AVG($O10,($J10,$O10,$T10),1)-2)*10)</f>
        <v>19.2</v>
      </c>
      <c r="W10" s="55">
        <f>IF($T10="","",ROUND(($T10-$T$3)/1000,1)+(_xlfn.RANK.AVG($T10,($J10,$O10,$T10),1)-2)*10)</f>
        <v>4.0999999999999996</v>
      </c>
      <c r="Y10" s="8" t="s">
        <v>194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194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194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tr">
        <f>IF($P$1="","",$P$1)</f>
        <v>まっつん</v>
      </c>
      <c r="F11" s="8" t="s">
        <v>197</v>
      </c>
      <c r="G11" s="9">
        <v>-1500</v>
      </c>
      <c r="H11" s="9"/>
      <c r="I11" s="48">
        <v>-1000</v>
      </c>
      <c r="J11" s="21">
        <f t="shared" si="2"/>
        <v>19200</v>
      </c>
      <c r="K11" s="8" t="s">
        <v>197</v>
      </c>
      <c r="L11" s="9">
        <v>-1500</v>
      </c>
      <c r="M11" s="9"/>
      <c r="N11" s="48">
        <v>-1000</v>
      </c>
      <c r="O11" s="21">
        <f t="shared" si="3"/>
        <v>41700</v>
      </c>
      <c r="P11" s="8" t="s">
        <v>198</v>
      </c>
      <c r="Q11" s="9">
        <v>3000</v>
      </c>
      <c r="R11" s="9"/>
      <c r="S11" s="48">
        <v>2000</v>
      </c>
      <c r="T11" s="21">
        <f t="shared" si="4"/>
        <v>44100</v>
      </c>
      <c r="U11" s="53">
        <f>IF($J11="","",ROUND(($J11-$J$3)/1000,1)+(_xlfn.RANK.AVG($J11,($J11,$O11,$T11),1)-2)*10)</f>
        <v>-25.8</v>
      </c>
      <c r="V11" s="54">
        <f>IF($O11="","",ROUND(($O11-$O$3)/1000,1)+(_xlfn.RANK.AVG($O11,($J11,$O11,$T11),1)-2)*10)</f>
        <v>6.7</v>
      </c>
      <c r="W11" s="55">
        <f>IF($T11="","",ROUND(($T11-$T$3)/1000,1)+(_xlfn.RANK.AVG($T11,($J11,$O11,$T11),1)-2)*10)</f>
        <v>19.100000000000001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86</v>
      </c>
      <c r="BV11" s="41" t="s">
        <v>200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E48C42CB-2F3E-4125-8292-E69414FDA55F}">
      <formula1>"れんたろう,ともき,だいち,りくと,まっつん,たかの,のり,ただ,ぱぱ,"</formula1>
    </dataValidation>
    <dataValidation type="list" allowBlank="1" showInputMessage="1" showErrorMessage="1" sqref="E4:E30" xr:uid="{61DCCD96-EA96-41F3-8D6E-D72800153487}">
      <formula1>$U$2:$W$2</formula1>
    </dataValidation>
    <dataValidation type="list" showInputMessage="1" showErrorMessage="1" sqref="K4:K30 P4:P30 F4:F30" xr:uid="{636CCC5E-71C3-4628-9DD3-7ACFEA55DFB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AE810-F7BD-4705-91EA-34E16C182CAC}">
  <sheetPr codeName="Sheet17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208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たかの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198</v>
      </c>
      <c r="G4" s="9">
        <v>6000</v>
      </c>
      <c r="H4" s="9"/>
      <c r="I4" s="48">
        <v>0</v>
      </c>
      <c r="J4" s="21">
        <f>IF(COUNTA($F4,$K4,$P4)&gt;0,J3+SUM(G4:I4),"")</f>
        <v>41000</v>
      </c>
      <c r="K4" s="8" t="s">
        <v>197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197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16</v>
      </c>
      <c r="V4" s="54">
        <f>IF($O4="","",ROUND(($O4-$O$3)/1000,1)+(_xlfn.RANK.AVG($O4,($J4,$O4,$T4),1)-2)*10)</f>
        <v>-8</v>
      </c>
      <c r="W4" s="55">
        <f>IF($T4="","",ROUND(($T4-$T$3)/1000,1)+(_xlfn.RANK.AVG($T4,($J4,$O4,$T4),1)-2)*10)</f>
        <v>-8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201</v>
      </c>
      <c r="AF4" s="41" t="s">
        <v>82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198</v>
      </c>
      <c r="G5" s="9">
        <v>7800</v>
      </c>
      <c r="H5" s="9"/>
      <c r="I5" s="48">
        <v>1000</v>
      </c>
      <c r="J5" s="21">
        <f t="shared" ref="J5:J30" si="2">IF(COUNTA($F5,$K5,$P5)&gt;0,J4+SUM(G5:I5),"")</f>
        <v>49800</v>
      </c>
      <c r="K5" s="8" t="s">
        <v>197</v>
      </c>
      <c r="L5" s="9">
        <v>-3900</v>
      </c>
      <c r="M5" s="9"/>
      <c r="N5" s="48">
        <v>-500</v>
      </c>
      <c r="O5" s="21">
        <f t="shared" ref="O5:O30" si="3">IF(COUNTA($F5,$K5,$P5)&gt;0,O4+SUM(L5:N5),"")</f>
        <v>27600</v>
      </c>
      <c r="P5" s="8" t="s">
        <v>197</v>
      </c>
      <c r="Q5" s="9">
        <v>-3900</v>
      </c>
      <c r="R5" s="9"/>
      <c r="S5" s="48">
        <v>-500</v>
      </c>
      <c r="T5" s="21">
        <f t="shared" ref="T5:T30" si="4">IF(COUNTA($F5,$K5,$P5)&gt;0,T4+SUM(Q5:S5),"")</f>
        <v>27600</v>
      </c>
      <c r="U5" s="53">
        <f>IF($J5="","",ROUND(($J5-$J$3)/1000,1)+(_xlfn.RANK.AVG($J5,($J5,$O5,$T5),1)-2)*10)</f>
        <v>24.8</v>
      </c>
      <c r="V5" s="54">
        <f>IF($O5="","",ROUND(($O5-$O$3)/1000,1)+(_xlfn.RANK.AVG($O5,($J5,$O5,$T5),1)-2)*10)</f>
        <v>-12.4</v>
      </c>
      <c r="W5" s="55">
        <f>IF($T5="","",ROUND(($T5-$T$3)/1000,1)+(_xlfn.RANK.AVG($T5,($J5,$O5,$T5),1)-2)*10)</f>
        <v>-12.4</v>
      </c>
      <c r="Y5" s="8"/>
      <c r="Z5" s="34"/>
      <c r="AA5" s="26">
        <v>1</v>
      </c>
      <c r="AB5" s="26"/>
      <c r="AC5" s="26">
        <v>4</v>
      </c>
      <c r="AD5" s="30">
        <v>20</v>
      </c>
      <c r="AE5" s="40" t="s">
        <v>201</v>
      </c>
      <c r="AF5" s="41" t="s">
        <v>82</v>
      </c>
      <c r="AG5" s="41" t="s">
        <v>83</v>
      </c>
      <c r="AH5" s="41" t="s">
        <v>200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197</v>
      </c>
      <c r="G6" s="9">
        <v>-700</v>
      </c>
      <c r="H6" s="9"/>
      <c r="I6" s="48">
        <v>-1000</v>
      </c>
      <c r="J6" s="21">
        <f t="shared" si="2"/>
        <v>48100</v>
      </c>
      <c r="K6" s="8" t="s">
        <v>198</v>
      </c>
      <c r="L6" s="9">
        <v>1200</v>
      </c>
      <c r="M6" s="9"/>
      <c r="N6" s="48">
        <v>2000</v>
      </c>
      <c r="O6" s="21">
        <f t="shared" si="3"/>
        <v>30800</v>
      </c>
      <c r="P6" s="8" t="s">
        <v>197</v>
      </c>
      <c r="Q6" s="9">
        <v>-500</v>
      </c>
      <c r="R6" s="9"/>
      <c r="S6" s="48">
        <v>-1000</v>
      </c>
      <c r="T6" s="21">
        <f t="shared" si="4"/>
        <v>26100</v>
      </c>
      <c r="U6" s="53">
        <f>IF($J6="","",ROUND(($J6-$J$3)/1000,1)+(_xlfn.RANK.AVG($J6,($J6,$O6,$T6),1)-2)*10)</f>
        <v>23.1</v>
      </c>
      <c r="V6" s="54">
        <f>IF($O6="","",ROUND(($O6-$O$3)/1000,1)+(_xlfn.RANK.AVG($O6,($J6,$O6,$T6),1)-2)*10)</f>
        <v>-4.2</v>
      </c>
      <c r="W6" s="55">
        <f>IF($T6="","",ROUND(($T6-$T$3)/1000,1)+(_xlfn.RANK.AVG($T6,($J6,$O6,$T6),1)-2)*10)</f>
        <v>-18.899999999999999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1</v>
      </c>
      <c r="AY6" s="30">
        <v>30</v>
      </c>
      <c r="AZ6" s="40" t="s">
        <v>82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たかの</v>
      </c>
      <c r="F7" s="8"/>
      <c r="G7" s="9"/>
      <c r="H7" s="9"/>
      <c r="I7" s="48"/>
      <c r="J7" s="21">
        <f t="shared" si="2"/>
        <v>48100</v>
      </c>
      <c r="K7" s="8" t="s">
        <v>203</v>
      </c>
      <c r="L7" s="9">
        <v>-2600</v>
      </c>
      <c r="M7" s="9"/>
      <c r="N7" s="48">
        <v>0</v>
      </c>
      <c r="O7" s="21">
        <f t="shared" si="3"/>
        <v>28200</v>
      </c>
      <c r="P7" s="8" t="s">
        <v>202</v>
      </c>
      <c r="Q7" s="9">
        <v>2600</v>
      </c>
      <c r="R7" s="9"/>
      <c r="S7" s="48">
        <v>0</v>
      </c>
      <c r="T7" s="21">
        <f t="shared" si="4"/>
        <v>28700</v>
      </c>
      <c r="U7" s="53">
        <f>IF($J7="","",ROUND(($J7-$J$3)/1000,1)+(_xlfn.RANK.AVG($J7,($J7,$O7,$T7),1)-2)*10)</f>
        <v>23.1</v>
      </c>
      <c r="V7" s="54">
        <f>IF($O7="","",ROUND(($O7-$O$3)/1000,1)+(_xlfn.RANK.AVG($O7,($J7,$O7,$T7),1)-2)*10)</f>
        <v>-16.8</v>
      </c>
      <c r="W7" s="55">
        <f>IF($T7="","",ROUND(($T7-$T$3)/1000,1)+(_xlfn.RANK.AVG($T7,($J7,$O7,$T7),1)-2)*10)</f>
        <v>-6.3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201</v>
      </c>
      <c r="BV7" s="41" t="s">
        <v>86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まっつん</v>
      </c>
      <c r="F8" s="8"/>
      <c r="G8" s="9"/>
      <c r="H8" s="9">
        <v>-1000</v>
      </c>
      <c r="I8" s="48"/>
      <c r="J8" s="21">
        <f t="shared" si="2"/>
        <v>47100</v>
      </c>
      <c r="K8" s="8" t="s">
        <v>203</v>
      </c>
      <c r="L8" s="9">
        <v>-5800</v>
      </c>
      <c r="M8" s="9"/>
      <c r="N8" s="48">
        <v>0</v>
      </c>
      <c r="O8" s="21">
        <f t="shared" si="3"/>
        <v>22400</v>
      </c>
      <c r="P8" s="8" t="s">
        <v>202</v>
      </c>
      <c r="Q8" s="9">
        <v>5800</v>
      </c>
      <c r="R8" s="9">
        <v>1000</v>
      </c>
      <c r="S8" s="48">
        <v>0</v>
      </c>
      <c r="T8" s="21">
        <f t="shared" si="4"/>
        <v>35500</v>
      </c>
      <c r="U8" s="53">
        <f>IF($J8="","",ROUND(($J8-$J$3)/1000,1)+(_xlfn.RANK.AVG($J8,($J8,$O8,$T8),1)-2)*10)</f>
        <v>22.1</v>
      </c>
      <c r="V8" s="54">
        <f>IF($O8="","",ROUND(($O8-$O$3)/1000,1)+(_xlfn.RANK.AVG($O8,($J8,$O8,$T8),1)-2)*10)</f>
        <v>-22.6</v>
      </c>
      <c r="W8" s="55">
        <f>IF($T8="","",ROUND(($T8-$T$3)/1000,1)+(_xlfn.RANK.AVG($T8,($J8,$O8,$T8),1)-2)*10)</f>
        <v>0.5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30</v>
      </c>
      <c r="BU8" s="40" t="s">
        <v>201</v>
      </c>
      <c r="BV8" s="41" t="s">
        <v>83</v>
      </c>
      <c r="BW8" s="41" t="s">
        <v>80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まっつん</v>
      </c>
      <c r="F9" s="8" t="s">
        <v>202</v>
      </c>
      <c r="G9" s="9">
        <v>8000</v>
      </c>
      <c r="H9" s="9"/>
      <c r="I9" s="48">
        <v>1000</v>
      </c>
      <c r="J9" s="21">
        <f t="shared" si="2"/>
        <v>56100</v>
      </c>
      <c r="K9" s="8" t="s">
        <v>203</v>
      </c>
      <c r="L9" s="9">
        <v>-8000</v>
      </c>
      <c r="M9" s="9"/>
      <c r="N9" s="48">
        <v>-1000</v>
      </c>
      <c r="O9" s="21">
        <f t="shared" si="3"/>
        <v>13400</v>
      </c>
      <c r="P9" s="8"/>
      <c r="Q9" s="9"/>
      <c r="R9" s="9"/>
      <c r="S9" s="48"/>
      <c r="T9" s="21">
        <f t="shared" si="4"/>
        <v>35500</v>
      </c>
      <c r="U9" s="53">
        <f>IF($J9="","",ROUND(($J9-$J$3)/1000,1)+(_xlfn.RANK.AVG($J9,($J9,$O9,$T9),1)-2)*10)</f>
        <v>31.1</v>
      </c>
      <c r="V9" s="54">
        <f>IF($O9="","",ROUND(($O9-$O$3)/1000,1)+(_xlfn.RANK.AVG($O9,($J9,$O9,$T9),1)-2)*10)</f>
        <v>-31.6</v>
      </c>
      <c r="W9" s="55">
        <f>IF($T9="","",ROUND(($T9-$T$3)/1000,1)+(_xlfn.RANK.AVG($T9,($J9,$O9,$T9),1)-2)*10)</f>
        <v>0.5</v>
      </c>
      <c r="Y9" s="8"/>
      <c r="Z9" s="34"/>
      <c r="AA9" s="26"/>
      <c r="AB9" s="26">
        <v>1</v>
      </c>
      <c r="AC9" s="26">
        <v>5</v>
      </c>
      <c r="AD9" s="30" t="s">
        <v>199</v>
      </c>
      <c r="AE9" s="40" t="s">
        <v>104</v>
      </c>
      <c r="AF9" s="41" t="s">
        <v>79</v>
      </c>
      <c r="AG9" s="41" t="s">
        <v>79</v>
      </c>
      <c r="AH9" s="41" t="s">
        <v>200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 t="s">
        <v>197</v>
      </c>
      <c r="G10" s="9">
        <v>-7500</v>
      </c>
      <c r="H10" s="9"/>
      <c r="I10" s="48">
        <v>0</v>
      </c>
      <c r="J10" s="21">
        <f t="shared" si="2"/>
        <v>48600</v>
      </c>
      <c r="K10" s="8" t="s">
        <v>197</v>
      </c>
      <c r="L10" s="9">
        <v>-4500</v>
      </c>
      <c r="M10" s="9">
        <v>-1000</v>
      </c>
      <c r="N10" s="48">
        <v>0</v>
      </c>
      <c r="O10" s="21">
        <f t="shared" si="3"/>
        <v>7900</v>
      </c>
      <c r="P10" s="8" t="s">
        <v>198</v>
      </c>
      <c r="Q10" s="9">
        <v>12000</v>
      </c>
      <c r="R10" s="9">
        <v>1000</v>
      </c>
      <c r="S10" s="48">
        <v>0</v>
      </c>
      <c r="T10" s="21">
        <f t="shared" si="4"/>
        <v>48500</v>
      </c>
      <c r="U10" s="53">
        <f>IF($J10="","",ROUND(($J10-$J$3)/1000,1)+(_xlfn.RANK.AVG($J10,($J10,$O10,$T10),1)-2)*10)</f>
        <v>23.6</v>
      </c>
      <c r="V10" s="54">
        <f>IF($O10="","",ROUND(($O10-$O$3)/1000,1)+(_xlfn.RANK.AVG($O10,($J10,$O10,$T10),1)-2)*10)</f>
        <v>-37.1</v>
      </c>
      <c r="W10" s="55">
        <f>IF($T10="","",ROUND(($T10-$T$3)/1000,1)+(_xlfn.RANK.AVG($T10,($J10,$O10,$T10),1)-2)*10)</f>
        <v>13.5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199</v>
      </c>
      <c r="BU10" s="40" t="s">
        <v>201</v>
      </c>
      <c r="BV10" s="41" t="s">
        <v>82</v>
      </c>
      <c r="BW10" s="41" t="s">
        <v>83</v>
      </c>
      <c r="BX10" s="41" t="s">
        <v>79</v>
      </c>
      <c r="BY10" s="41" t="s">
        <v>80</v>
      </c>
      <c r="BZ10" s="41" t="s">
        <v>200</v>
      </c>
      <c r="CA10" s="41" t="s">
        <v>207</v>
      </c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たかの</v>
      </c>
      <c r="F11" s="8" t="s">
        <v>203</v>
      </c>
      <c r="G11" s="9">
        <v>-2900</v>
      </c>
      <c r="H11" s="9"/>
      <c r="I11" s="48">
        <v>0</v>
      </c>
      <c r="J11" s="21">
        <f t="shared" si="2"/>
        <v>45700</v>
      </c>
      <c r="K11" s="8" t="s">
        <v>202</v>
      </c>
      <c r="L11" s="9">
        <v>2900</v>
      </c>
      <c r="M11" s="9"/>
      <c r="N11" s="48">
        <v>0</v>
      </c>
      <c r="O11" s="21">
        <f t="shared" si="3"/>
        <v>10800</v>
      </c>
      <c r="P11" s="8"/>
      <c r="Q11" s="9"/>
      <c r="R11" s="9"/>
      <c r="S11" s="48"/>
      <c r="T11" s="21">
        <f t="shared" si="4"/>
        <v>48500</v>
      </c>
      <c r="U11" s="53">
        <f>IF($J11="","",ROUND(($J11-$J$3)/1000,1)+(_xlfn.RANK.AVG($J11,($J11,$O11,$T11),1)-2)*10)</f>
        <v>10.7</v>
      </c>
      <c r="V11" s="54">
        <f>IF($O11="","",ROUND(($O11-$O$3)/1000,1)+(_xlfn.RANK.AVG($O11,($J11,$O11,$T11),1)-2)*10)</f>
        <v>-34.200000000000003</v>
      </c>
      <c r="W11" s="55">
        <f>IF($T11="","",ROUND(($T11-$T$3)/1000,1)+(_xlfn.RANK.AVG($T11,($J11,$O11,$T11),1)-2)*10)</f>
        <v>23.5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30</v>
      </c>
      <c r="AZ11" s="40" t="s">
        <v>86</v>
      </c>
      <c r="BA11" s="41" t="s">
        <v>200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IF($K$1="","",$K$1)</f>
        <v>たかの</v>
      </c>
      <c r="F12" s="8" t="s">
        <v>197</v>
      </c>
      <c r="G12" s="9">
        <v>-6000</v>
      </c>
      <c r="H12" s="9">
        <v>-1000</v>
      </c>
      <c r="I12" s="48">
        <v>-500</v>
      </c>
      <c r="J12" s="21">
        <f t="shared" si="2"/>
        <v>38200</v>
      </c>
      <c r="K12" s="8" t="s">
        <v>197</v>
      </c>
      <c r="L12" s="9">
        <v>-10000</v>
      </c>
      <c r="M12" s="9"/>
      <c r="N12" s="48">
        <v>-500</v>
      </c>
      <c r="O12" s="21">
        <f t="shared" si="3"/>
        <v>300</v>
      </c>
      <c r="P12" s="8" t="s">
        <v>198</v>
      </c>
      <c r="Q12" s="9">
        <v>16000</v>
      </c>
      <c r="R12" s="9">
        <v>1000</v>
      </c>
      <c r="S12" s="48">
        <v>1000</v>
      </c>
      <c r="T12" s="21">
        <f t="shared" si="4"/>
        <v>66500</v>
      </c>
      <c r="U12" s="53">
        <f>IF($J12="","",ROUND(($J12-$J$3)/1000,1)+(_xlfn.RANK.AVG($J12,($J12,$O12,$T12),1)-2)*10)</f>
        <v>3.2</v>
      </c>
      <c r="V12" s="54">
        <f>IF($O12="","",ROUND(($O12-$O$3)/1000,1)+(_xlfn.RANK.AVG($O12,($J12,$O12,$T12),1)-2)*10)</f>
        <v>-44.7</v>
      </c>
      <c r="W12" s="55">
        <f>IF($T12="","",ROUND(($T12-$T$3)/1000,1)+(_xlfn.RANK.AVG($T12,($J12,$O12,$T12),1)-2)*10)</f>
        <v>41.5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8</v>
      </c>
      <c r="BT12" s="30" t="s">
        <v>199</v>
      </c>
      <c r="BU12" s="40" t="s">
        <v>82</v>
      </c>
      <c r="BV12" s="41" t="s">
        <v>101</v>
      </c>
      <c r="BW12" s="41" t="s">
        <v>85</v>
      </c>
      <c r="BX12" s="41" t="s">
        <v>79</v>
      </c>
      <c r="BY12" s="41" t="s">
        <v>79</v>
      </c>
      <c r="BZ12" s="41" t="s">
        <v>200</v>
      </c>
      <c r="CA12" s="41" t="s">
        <v>200</v>
      </c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まっつん</v>
      </c>
      <c r="F13" s="8"/>
      <c r="G13" s="9"/>
      <c r="H13" s="9"/>
      <c r="I13" s="48"/>
      <c r="J13" s="21">
        <f t="shared" si="2"/>
        <v>38200</v>
      </c>
      <c r="K13" s="8" t="s">
        <v>203</v>
      </c>
      <c r="L13" s="9">
        <v>-2900</v>
      </c>
      <c r="M13" s="9"/>
      <c r="N13" s="48">
        <v>0</v>
      </c>
      <c r="O13" s="21">
        <f t="shared" si="3"/>
        <v>-2600</v>
      </c>
      <c r="P13" s="8" t="s">
        <v>202</v>
      </c>
      <c r="Q13" s="9">
        <v>2900</v>
      </c>
      <c r="R13" s="9"/>
      <c r="S13" s="48">
        <v>0</v>
      </c>
      <c r="T13" s="21">
        <f t="shared" si="4"/>
        <v>69400</v>
      </c>
      <c r="U13" s="53">
        <f>IF($J13="","",ROUND(($J13-$J$3)/1000,1)+(_xlfn.RANK.AVG($J13,($J13,$O13,$T13),1)-2)*10)</f>
        <v>3.2</v>
      </c>
      <c r="V13" s="54">
        <f>IF($O13="","",ROUND(($O13-$O$3)/1000,1)+(_xlfn.RANK.AVG($O13,($J13,$O13,$T13),1)-2)*10)</f>
        <v>-47.6</v>
      </c>
      <c r="W13" s="55">
        <f>IF($T13="","",ROUND(($T13-$T$3)/1000,1)+(_xlfn.RANK.AVG($T13,($J13,$O13,$T13),1)-2)*10)</f>
        <v>44.4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2</v>
      </c>
      <c r="BT13" s="30">
        <v>30</v>
      </c>
      <c r="BU13" s="40" t="s">
        <v>85</v>
      </c>
      <c r="BV13" s="41" t="s">
        <v>200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tr">
        <f>IF($P$1="","",$P$1)</f>
        <v>まっつん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34479EB8-B1C1-4CFA-8DC9-610978B984FD}">
      <formula1>"ロン,ツモ,放銃,ツモ支払,流局,チョンボ"</formula1>
    </dataValidation>
    <dataValidation type="list" allowBlank="1" showInputMessage="1" showErrorMessage="1" sqref="E4:E30" xr:uid="{19DB2C44-2E78-4FDA-A474-2DA5BE2231F6}">
      <formula1>$U$2:$W$2</formula1>
    </dataValidation>
    <dataValidation type="list" allowBlank="1" showInputMessage="1" sqref="F1:T1" xr:uid="{78315092-9C4F-42F9-A854-45F07308189D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2020-06-06T14:15:52Z</dcterms:modified>
</cp:coreProperties>
</file>