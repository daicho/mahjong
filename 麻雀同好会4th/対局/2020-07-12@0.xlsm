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730FAC28-6519-4EA4-A7BD-EB12E06894C6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0" l="1"/>
  <c r="C10" i="20" s="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9" i="20"/>
  <c r="D9" i="20"/>
  <c r="D8" i="20"/>
  <c r="D7" i="20"/>
  <c r="D6" i="20"/>
  <c r="J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B10" i="20" l="1"/>
  <c r="A10" i="20" s="1"/>
  <c r="W4" i="20"/>
  <c r="O6" i="20"/>
  <c r="T5" i="20"/>
  <c r="C7" i="20"/>
  <c r="B5" i="20"/>
  <c r="C5" i="20"/>
  <c r="J6" i="20"/>
  <c r="C8" i="20"/>
  <c r="U4" i="20"/>
  <c r="C6" i="20"/>
  <c r="V4" i="20"/>
  <c r="E4" i="19"/>
  <c r="A5" i="20" l="1"/>
  <c r="O7" i="20"/>
  <c r="B6" i="20"/>
  <c r="A6" i="20" s="1"/>
  <c r="T6" i="20"/>
  <c r="W5" i="20"/>
  <c r="J7" i="20"/>
  <c r="U6" i="20"/>
  <c r="U5" i="20"/>
  <c r="V5" i="20"/>
  <c r="W3" i="19"/>
  <c r="V3" i="19"/>
  <c r="U3" i="19"/>
  <c r="J8" i="20" l="1"/>
  <c r="T7" i="20"/>
  <c r="U7" i="20" s="1"/>
  <c r="W6" i="20"/>
  <c r="V6" i="20"/>
  <c r="B7" i="20"/>
  <c r="A7" i="20" s="1"/>
  <c r="O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7" i="20" l="1"/>
  <c r="O9" i="20"/>
  <c r="J9" i="20"/>
  <c r="B8" i="20"/>
  <c r="A8" i="20" s="1"/>
  <c r="W7" i="20"/>
  <c r="T8" i="20"/>
  <c r="V8" i="20" s="1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0" l="1"/>
  <c r="T9" i="20"/>
  <c r="W8" i="20"/>
  <c r="B9" i="20"/>
  <c r="A9" i="20" s="1"/>
  <c r="W5" i="19"/>
  <c r="V5" i="19"/>
  <c r="U5" i="19"/>
  <c r="W9" i="20" l="1"/>
  <c r="U9" i="20"/>
  <c r="V9" i="20"/>
</calcChain>
</file>

<file path=xl/sharedStrings.xml><?xml version="1.0" encoding="utf-8"?>
<sst xmlns="http://schemas.openxmlformats.org/spreadsheetml/2006/main" count="656" uniqueCount="204">
  <si>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</si>
  <si>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</si>
  <si>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</si>
  <si>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</si>
  <si>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</si>
  <si>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</si>
  <si>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</si>
  <si>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</si>
  <si>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</si>
  <si>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</si>
  <si>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</si>
  <si>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</si>
  <si>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</si>
  <si>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</si>
  <si>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</si>
  <si>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</si>
  <si>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</si>
  <si>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</si>
  <si>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</si>
  <si>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</si>
  <si>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</si>
  <si>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</si>
  <si>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</si>
  <si>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</si>
  <si>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</si>
  <si>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</si>
  <si>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</si>
  <si>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</si>
  <si>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</si>
  <si>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</si>
  <si>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</si>
  <si>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</si>
  <si>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</si>
  <si>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</si>
  <si>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</si>
  <si>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</si>
  <si>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</si>
  <si>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</si>
  <si>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</si>
  <si>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</si>
  <si>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</si>
  <si>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</si>
  <si>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</si>
  <si>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</si>
  <si>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</si>
  <si>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</si>
  <si>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</si>
  <si>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</si>
  <si>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</si>
  <si>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</si>
  <si>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</si>
  <si>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</si>
  <si>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</si>
  <si>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</si>
  <si>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</si>
  <si>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</si>
  <si>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</si>
  <si>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</si>
  <si>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</si>
  <si>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</si>
  <si>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</si>
  <si>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</si>
  <si>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</si>
  <si>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</si>
  <si>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</si>
  <si>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</si>
  <si>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</si>
  <si>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</si>
  <si>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</si>
  <si>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</si>
  <si>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</si>
  <si>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</si>
  <si>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</si>
  <si>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</si>
  <si>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</si>
  <si>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</si>
  <si>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</si>
  <si>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</si>
  <si>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</si>
  <si>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</si>
  <si>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</si>
  <si>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</si>
  <si>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</si>
  <si>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</si>
  <si>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</si>
  <si>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</si>
  <si>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</si>
  <si>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</si>
  <si>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</si>
  <si>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</si>
  <si>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</si>
  <si>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</si>
  <si>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</si>
  <si>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</si>
  <si>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</si>
  <si>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</si>
  <si>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</si>
  <si>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</si>
  <si>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</si>
  <si>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</si>
  <si>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</si>
  <si>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</si>
  <si>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</si>
  <si>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</si>
  <si>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</si>
  <si>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</si>
  <si>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</si>
  <si>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</si>
  <si>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</si>
  <si>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</si>
  <si>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</si>
  <si>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</si>
  <si>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</si>
  <si>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</si>
  <si>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</si>
  <si>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</si>
  <si>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</si>
  <si>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</si>
  <si>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</si>
  <si>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</si>
  <si>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</si>
  <si>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</si>
  <si>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</si>
  <si>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</si>
  <si>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</si>
  <si>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</si>
  <si>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</si>
  <si>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</si>
  <si>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</si>
  <si>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</si>
  <si>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</si>
  <si>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</si>
  <si>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</si>
  <si>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</si>
  <si>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</si>
  <si>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</si>
  <si>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</si>
  <si>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</si>
  <si>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</si>
  <si>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</si>
  <si>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</si>
  <si>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</si>
  <si>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</si>
  <si>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</si>
  <si>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</si>
  <si>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</si>
  <si>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</si>
  <si>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</si>
  <si>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</si>
  <si>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</si>
  <si>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</si>
  <si>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</si>
  <si>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</si>
  <si>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</si>
  <si>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</si>
  <si>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</si>
  <si>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</si>
  <si>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</si>
  <si>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</si>
  <si>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</si>
  <si>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</si>
  <si>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</si>
  <si>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</si>
  <si>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</si>
  <si>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</si>
  <si>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</si>
  <si>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</si>
  <si>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</si>
  <si>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</si>
  <si>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</si>
  <si>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</si>
  <si>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</si>
  <si>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</si>
  <si>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</si>
  <si>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</si>
  <si>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</si>
  <si>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</si>
  <si>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</si>
  <si>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</si>
  <si>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</si>
  <si>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</si>
  <si>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</si>
  <si>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</si>
  <si>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</si>
  <si>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</si>
  <si>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</si>
  <si>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</si>
  <si>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</si>
  <si>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</si>
  <si>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</si>
  <si>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</si>
  <si>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</si>
  <si>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ただ</t>
    <phoneticPr fontId="1"/>
  </si>
  <si>
    <t>だいち</t>
    <phoneticPr fontId="1"/>
  </si>
  <si>
    <t>ツモ支払</t>
  </si>
  <si>
    <t>ツモ</t>
  </si>
  <si>
    <t>*</t>
  </si>
  <si>
    <t>52</t>
  </si>
  <si>
    <t>ロン</t>
  </si>
  <si>
    <t>放銃</t>
  </si>
  <si>
    <t>01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</si>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</sst>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196</v>
      </c>
      <c r="BU4" s="40" t="s">
        <v>92</v>
      </c>
      <c r="BV4" s="41" t="s">
        <v>197</v>
      </c>
      <c r="BW4" s="41" t="s">
        <v>82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-800</v>
      </c>
      <c r="H5" s="9"/>
      <c r="I5" s="48">
        <v>0</v>
      </c>
      <c r="J5" s="21">
        <f t="shared" ref="J5:J30" si="2">IF(COUNTA($F5,$K5,$P5)&gt;0,J4+SUM(G5:I5),"")</f>
        <v>29200</v>
      </c>
      <c r="K5" s="8" t="s">
        <v>194</v>
      </c>
      <c r="L5" s="9">
        <v>-1300</v>
      </c>
      <c r="M5" s="9"/>
      <c r="N5" s="48">
        <v>0</v>
      </c>
      <c r="O5" s="21">
        <f t="shared" ref="O5:O30" si="3">IF(COUNTA($F5,$K5,$P5)&gt;0,O4+SUM(L5:N5),"")</f>
        <v>30700</v>
      </c>
      <c r="P5" s="8" t="s">
        <v>195</v>
      </c>
      <c r="Q5" s="9">
        <v>2100</v>
      </c>
      <c r="R5" s="9"/>
      <c r="S5" s="48">
        <v>0</v>
      </c>
      <c r="T5" s="21">
        <f t="shared" ref="T5:T30" si="4">IF(COUNTA($F5,$K5,$P5)&gt;0,T4+SUM(Q5:S5),"")</f>
        <v>45100</v>
      </c>
      <c r="U5" s="53">
        <f>IF($J5="","",ROUND(($J5-$J$3)/1000,1)+(_xlfn.RANK.AVG($J5,($J5,$O5,$T5),1)-2)*10)</f>
        <v>-15.8</v>
      </c>
      <c r="V5" s="54">
        <f>IF($O5="","",ROUND(($O5-$O$3)/1000,1)+(_xlfn.RANK.AVG($O5,($J5,$O5,$T5),1)-2)*10)</f>
        <v>-4.3</v>
      </c>
      <c r="W5" s="55">
        <f>IF($T5="","",ROUND(($T5-$T$3)/1000,1)+(_xlfn.RANK.AVG($T5,($J5,$O5,$T5),1)-2)*10)</f>
        <v>20.100000000000001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86</v>
      </c>
      <c r="BV5" s="41" t="s">
        <v>82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29200</v>
      </c>
      <c r="K6" s="8" t="s">
        <v>198</v>
      </c>
      <c r="L6" s="9">
        <v>12000</v>
      </c>
      <c r="M6" s="9">
        <v>1000</v>
      </c>
      <c r="N6" s="48">
        <v>0</v>
      </c>
      <c r="O6" s="21">
        <f t="shared" si="3"/>
        <v>43700</v>
      </c>
      <c r="P6" s="8" t="s">
        <v>199</v>
      </c>
      <c r="Q6" s="9">
        <v>-12000</v>
      </c>
      <c r="R6" s="9">
        <v>-1000</v>
      </c>
      <c r="S6" s="48">
        <v>0</v>
      </c>
      <c r="T6" s="21">
        <f t="shared" si="4"/>
        <v>32100</v>
      </c>
      <c r="U6" s="53">
        <f>IF($J6="","",ROUND(($J6-$J$3)/1000,1)+(_xlfn.RANK.AVG($J6,($J6,$O6,$T6),1)-2)*10)</f>
        <v>-15.8</v>
      </c>
      <c r="V6" s="54">
        <f>IF($O6="","",ROUND(($O6-$O$3)/1000,1)+(_xlfn.RANK.AVG($O6,($J6,$O6,$T6),1)-2)*10)</f>
        <v>18.7</v>
      </c>
      <c r="W6" s="55">
        <f>IF($T6="","",ROUND(($T6-$T$3)/1000,1)+(_xlfn.RANK.AVG($T6,($J6,$O6,$T6),1)-2)*10)</f>
        <v>-2.9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196</v>
      </c>
      <c r="AZ6" s="40" t="s">
        <v>200</v>
      </c>
      <c r="BA6" s="41" t="s">
        <v>82</v>
      </c>
      <c r="BB6" s="41" t="s">
        <v>80</v>
      </c>
      <c r="BC6" s="41" t="s">
        <v>84</v>
      </c>
      <c r="BD6" s="41" t="s">
        <v>80</v>
      </c>
      <c r="BE6" s="41" t="s">
        <v>197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199</v>
      </c>
      <c r="G7" s="9">
        <v>-5200</v>
      </c>
      <c r="H7" s="9"/>
      <c r="I7" s="48">
        <v>0</v>
      </c>
      <c r="J7" s="21">
        <f t="shared" si="2"/>
        <v>24000</v>
      </c>
      <c r="K7" s="8" t="s">
        <v>198</v>
      </c>
      <c r="L7" s="9">
        <v>5200</v>
      </c>
      <c r="M7" s="9"/>
      <c r="N7" s="48">
        <v>0</v>
      </c>
      <c r="O7" s="21">
        <f t="shared" si="3"/>
        <v>48900</v>
      </c>
      <c r="P7" s="8"/>
      <c r="Q7" s="9"/>
      <c r="R7" s="9"/>
      <c r="S7" s="48"/>
      <c r="T7" s="21">
        <f t="shared" si="4"/>
        <v>32100</v>
      </c>
      <c r="U7" s="53">
        <f>IF($J7="","",ROUND(($J7-$J$3)/1000,1)+(_xlfn.RANK.AVG($J7,($J7,$O7,$T7),1)-2)*10)</f>
        <v>-21</v>
      </c>
      <c r="V7" s="54">
        <f>IF($O7="","",ROUND(($O7-$O$3)/1000,1)+(_xlfn.RANK.AVG($O7,($J7,$O7,$T7),1)-2)*10)</f>
        <v>23.9</v>
      </c>
      <c r="W7" s="55">
        <f>IF($T7="","",ROUND(($T7-$T$3)/1000,1)+(_xlfn.RANK.AVG($T7,($J7,$O7,$T7),1)-2)*10)</f>
        <v>-2.9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40</v>
      </c>
      <c r="AZ7" s="40" t="s">
        <v>92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195</v>
      </c>
      <c r="G8" s="9">
        <v>6400</v>
      </c>
      <c r="H8" s="9"/>
      <c r="I8" s="48">
        <v>0</v>
      </c>
      <c r="J8" s="21">
        <f t="shared" si="2"/>
        <v>30400</v>
      </c>
      <c r="K8" s="8" t="s">
        <v>194</v>
      </c>
      <c r="L8" s="9">
        <v>-4000</v>
      </c>
      <c r="M8" s="9"/>
      <c r="N8" s="48">
        <v>0</v>
      </c>
      <c r="O8" s="21">
        <f t="shared" si="3"/>
        <v>44900</v>
      </c>
      <c r="P8" s="8" t="s">
        <v>194</v>
      </c>
      <c r="Q8" s="9">
        <v>-2400</v>
      </c>
      <c r="R8" s="9"/>
      <c r="S8" s="48">
        <v>0</v>
      </c>
      <c r="T8" s="21">
        <f t="shared" si="4"/>
        <v>29700</v>
      </c>
      <c r="U8" s="53">
        <f>IF($J8="","",ROUND(($J8-$J$3)/1000,1)+(_xlfn.RANK.AVG($J8,($J8,$O8,$T8),1)-2)*10)</f>
        <v>-4.5999999999999996</v>
      </c>
      <c r="V8" s="54">
        <f>IF($O8="","",ROUND(($O8-$O$3)/1000,1)+(_xlfn.RANK.AVG($O8,($J8,$O8,$T8),1)-2)*10)</f>
        <v>19.899999999999999</v>
      </c>
      <c r="W8" s="55">
        <f>IF($T8="","",ROUND(($T8-$T$3)/1000,1)+(_xlfn.RANK.AVG($T8,($J8,$O8,$T8),1)-2)*10)</f>
        <v>-15.3</v>
      </c>
      <c r="Y8" s="8"/>
      <c r="Z8" s="34"/>
      <c r="AA8" s="26">
        <v>1</v>
      </c>
      <c r="AB8" s="26"/>
      <c r="AC8" s="26">
        <v>4</v>
      </c>
      <c r="AD8" s="30">
        <v>25</v>
      </c>
      <c r="AE8" s="40" t="s">
        <v>200</v>
      </c>
      <c r="AF8" s="41" t="s">
        <v>82</v>
      </c>
      <c r="AG8" s="41" t="s">
        <v>101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194</v>
      </c>
      <c r="G9" s="9">
        <v>-5800</v>
      </c>
      <c r="H9" s="9"/>
      <c r="I9" s="48">
        <v>0</v>
      </c>
      <c r="J9" s="21">
        <f t="shared" si="2"/>
        <v>24600</v>
      </c>
      <c r="K9" s="8" t="s">
        <v>194</v>
      </c>
      <c r="L9" s="9">
        <v>-5800</v>
      </c>
      <c r="M9" s="9"/>
      <c r="N9" s="48">
        <v>0</v>
      </c>
      <c r="O9" s="21">
        <f t="shared" si="3"/>
        <v>39100</v>
      </c>
      <c r="P9" s="8" t="s">
        <v>195</v>
      </c>
      <c r="Q9" s="9">
        <v>11600</v>
      </c>
      <c r="R9" s="9"/>
      <c r="S9" s="48">
        <v>0</v>
      </c>
      <c r="T9" s="21">
        <f t="shared" si="4"/>
        <v>41300</v>
      </c>
      <c r="U9" s="53">
        <f>IF($J9="","",ROUND(($J9-$J$3)/1000,1)+(_xlfn.RANK.AVG($J9,($J9,$O9,$T9),1)-2)*10)</f>
        <v>-20.399999999999999</v>
      </c>
      <c r="V9" s="54">
        <f>IF($O9="","",ROUND(($O9-$O$3)/1000,1)+(_xlfn.RANK.AVG($O9,($J9,$O9,$T9),1)-2)*10)</f>
        <v>4.0999999999999996</v>
      </c>
      <c r="W9" s="55">
        <f>IF($T9="","",ROUND(($T9-$T$3)/1000,1)+(_xlfn.RANK.AVG($T9,($J9,$O9,$T9),1)-2)*10)</f>
        <v>16.3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200</v>
      </c>
      <c r="BV9" s="41" t="s">
        <v>82</v>
      </c>
      <c r="BW9" s="41" t="s">
        <v>80</v>
      </c>
      <c r="BX9" s="41" t="s">
        <v>197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16BA183-FB77-4555-A6E6-16B6812E0AA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62EC7-B69F-487E-B19C-6CF1AB31DF8A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-2000</v>
      </c>
      <c r="H4" s="9">
        <v>-1000</v>
      </c>
      <c r="I4" s="48">
        <v>0</v>
      </c>
      <c r="J4" s="21">
        <f>IF(COUNTA($F4,$K4,$P4)&gt;0,J3+SUM(G4:I4),"")</f>
        <v>32000</v>
      </c>
      <c r="K4" s="8" t="s">
        <v>195</v>
      </c>
      <c r="L4" s="9">
        <v>3200</v>
      </c>
      <c r="M4" s="9">
        <v>1000</v>
      </c>
      <c r="N4" s="48">
        <v>0</v>
      </c>
      <c r="O4" s="21">
        <f>IF(COUNTA($F4,$K4,$P4)&gt;0,O3+SUM(L4:N4),"")</f>
        <v>39200</v>
      </c>
      <c r="P4" s="8" t="s">
        <v>194</v>
      </c>
      <c r="Q4" s="9">
        <v>-1200</v>
      </c>
      <c r="R4" s="9"/>
      <c r="S4" s="48">
        <v>0</v>
      </c>
      <c r="T4" s="21">
        <f>IF(COUNTA($F4,$K4,$P4)&gt;0,T3+SUM(Q4:S4),"")</f>
        <v>33800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14.2</v>
      </c>
      <c r="W4" s="55">
        <f>IF($T4="","",ROUND(($T4-$T$3)/1000,1)+(_xlfn.RANK.AVG($T4,($J4,$O4,$T4),1)-2)*10)</f>
        <v>-1.2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25</v>
      </c>
      <c r="AZ4" s="40" t="s">
        <v>82</v>
      </c>
      <c r="BA4" s="41" t="s">
        <v>101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-5200</v>
      </c>
      <c r="H5" s="9"/>
      <c r="I5" s="48">
        <v>0</v>
      </c>
      <c r="J5" s="21">
        <f t="shared" ref="J5:J30" si="2">IF(COUNTA($F5,$K5,$P5)&gt;0,J4+SUM(G5:I5),"")</f>
        <v>26800</v>
      </c>
      <c r="K5" s="8"/>
      <c r="L5" s="9"/>
      <c r="M5" s="9"/>
      <c r="N5" s="48"/>
      <c r="O5" s="21">
        <f t="shared" ref="O5:O30" si="3">IF(COUNTA($F5,$K5,$P5)&gt;0,O4+SUM(L5:N5),"")</f>
        <v>39200</v>
      </c>
      <c r="P5" s="8" t="s">
        <v>198</v>
      </c>
      <c r="Q5" s="9">
        <v>5200</v>
      </c>
      <c r="R5" s="9"/>
      <c r="S5" s="48">
        <v>0</v>
      </c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-18.2</v>
      </c>
      <c r="V5" s="54">
        <f>IF($O5="","",ROUND(($O5-$O$3)/1000,1)+(_xlfn.RANK.AVG($O5,($J5,$O5,$T5),1)-2)*10)</f>
        <v>14.2</v>
      </c>
      <c r="W5" s="55">
        <f>IF($T5="","",ROUND(($T5-$T$3)/1000,1)+(_xlfn.RANK.AVG($T5,($J5,$O5,$T5),1)-2)*10)</f>
        <v>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200</v>
      </c>
      <c r="BV5" s="41" t="s">
        <v>86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203</v>
      </c>
      <c r="G6" s="9">
        <v>3000</v>
      </c>
      <c r="H6" s="9">
        <v>-1000</v>
      </c>
      <c r="I6" s="48"/>
      <c r="J6" s="21">
        <f t="shared" si="2"/>
        <v>28800</v>
      </c>
      <c r="K6" s="8" t="s">
        <v>203</v>
      </c>
      <c r="L6" s="9">
        <v>-1500</v>
      </c>
      <c r="M6" s="9"/>
      <c r="N6" s="48"/>
      <c r="O6" s="21">
        <f t="shared" si="3"/>
        <v>37700</v>
      </c>
      <c r="P6" s="8" t="s">
        <v>203</v>
      </c>
      <c r="Q6" s="9">
        <v>-1500</v>
      </c>
      <c r="R6" s="9"/>
      <c r="S6" s="48"/>
      <c r="T6" s="21">
        <f t="shared" si="4"/>
        <v>37500</v>
      </c>
      <c r="U6" s="53">
        <f>IF($J6="","",ROUND(($J6-$J$3)/1000,1)+(_xlfn.RANK.AVG($J6,($J6,$O6,$T6),1)-2)*10)</f>
        <v>-16.2</v>
      </c>
      <c r="V6" s="54">
        <f>IF($O6="","",ROUND(($O6-$O$3)/1000,1)+(_xlfn.RANK.AVG($O6,($J6,$O6,$T6),1)-2)*10)</f>
        <v>12.7</v>
      </c>
      <c r="W6" s="55">
        <f>IF($T6="","",ROUND(($T6-$T$3)/1000,1)+(_xlfn.RANK.AVG($T6,($J6,$O6,$T6),1)-2)*10)</f>
        <v>2.5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tr">
        <f>IF($F$1="","",$F$1)</f>
        <v>れんたろう</v>
      </c>
      <c r="F7" s="8" t="s">
        <v>194</v>
      </c>
      <c r="G7" s="9">
        <v>-2500</v>
      </c>
      <c r="H7" s="9">
        <v>-1000</v>
      </c>
      <c r="I7" s="48">
        <v>-500</v>
      </c>
      <c r="J7" s="21">
        <f t="shared" si="2"/>
        <v>24800</v>
      </c>
      <c r="K7" s="8" t="s">
        <v>194</v>
      </c>
      <c r="L7" s="9">
        <v>-1500</v>
      </c>
      <c r="M7" s="9"/>
      <c r="N7" s="48">
        <v>-500</v>
      </c>
      <c r="O7" s="21">
        <f t="shared" si="3"/>
        <v>35700</v>
      </c>
      <c r="P7" s="8" t="s">
        <v>195</v>
      </c>
      <c r="Q7" s="9">
        <v>4000</v>
      </c>
      <c r="R7" s="9">
        <v>2000</v>
      </c>
      <c r="S7" s="48">
        <v>1000</v>
      </c>
      <c r="T7" s="21">
        <f t="shared" si="4"/>
        <v>44500</v>
      </c>
      <c r="U7" s="53">
        <f>IF($J7="","",ROUND(($J7-$J$3)/1000,1)+(_xlfn.RANK.AVG($J7,($J7,$O7,$T7),1)-2)*10)</f>
        <v>-20.2</v>
      </c>
      <c r="V7" s="54">
        <f>IF($O7="","",ROUND(($O7-$O$3)/1000,1)+(_xlfn.RANK.AVG($O7,($J7,$O7,$T7),1)-2)*10)</f>
        <v>0.7</v>
      </c>
      <c r="W7" s="55">
        <f>IF($T7="","",ROUND(($T7-$T$3)/1000,1)+(_xlfn.RANK.AVG($T7,($J7,$O7,$T7),1)-2)*10)</f>
        <v>19.5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104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195</v>
      </c>
      <c r="G8" s="9">
        <v>24000</v>
      </c>
      <c r="H8" s="9"/>
      <c r="I8" s="48">
        <v>0</v>
      </c>
      <c r="J8" s="21">
        <f t="shared" si="2"/>
        <v>48800</v>
      </c>
      <c r="K8" s="8" t="s">
        <v>194</v>
      </c>
      <c r="L8" s="9">
        <v>-15000</v>
      </c>
      <c r="M8" s="9"/>
      <c r="N8" s="48">
        <v>0</v>
      </c>
      <c r="O8" s="21">
        <f t="shared" si="3"/>
        <v>20700</v>
      </c>
      <c r="P8" s="8" t="s">
        <v>194</v>
      </c>
      <c r="Q8" s="9">
        <v>-9000</v>
      </c>
      <c r="R8" s="9"/>
      <c r="S8" s="48">
        <v>0</v>
      </c>
      <c r="T8" s="21">
        <f t="shared" si="4"/>
        <v>35500</v>
      </c>
      <c r="U8" s="53">
        <f>IF($J8="","",ROUND(($J8-$J$3)/1000,1)+(_xlfn.RANK.AVG($J8,($J8,$O8,$T8),1)-2)*10)</f>
        <v>23.8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0.5</v>
      </c>
      <c r="Y8" s="8"/>
      <c r="Z8" s="34"/>
      <c r="AA8" s="26"/>
      <c r="AB8" s="26"/>
      <c r="AC8" s="26">
        <v>12</v>
      </c>
      <c r="AD8" s="30" t="s">
        <v>196</v>
      </c>
      <c r="AE8" s="40" t="s">
        <v>106</v>
      </c>
      <c r="AF8" s="41" t="s">
        <v>79</v>
      </c>
      <c r="AG8" s="41" t="s">
        <v>79</v>
      </c>
      <c r="AH8" s="41" t="s">
        <v>79</v>
      </c>
      <c r="AI8" s="41" t="s">
        <v>82</v>
      </c>
      <c r="AJ8" s="41" t="s">
        <v>96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194</v>
      </c>
      <c r="G9" s="9">
        <v>-9000</v>
      </c>
      <c r="H9" s="9"/>
      <c r="I9" s="48">
        <v>0</v>
      </c>
      <c r="J9" s="21">
        <f t="shared" si="2"/>
        <v>39800</v>
      </c>
      <c r="K9" s="8" t="s">
        <v>194</v>
      </c>
      <c r="L9" s="9">
        <v>-9000</v>
      </c>
      <c r="M9" s="9"/>
      <c r="N9" s="48">
        <v>0</v>
      </c>
      <c r="O9" s="21">
        <f t="shared" si="3"/>
        <v>11700</v>
      </c>
      <c r="P9" s="8" t="s">
        <v>195</v>
      </c>
      <c r="Q9" s="9">
        <v>18000</v>
      </c>
      <c r="R9" s="9"/>
      <c r="S9" s="48">
        <v>0</v>
      </c>
      <c r="T9" s="21">
        <f t="shared" si="4"/>
        <v>53500</v>
      </c>
      <c r="U9" s="53">
        <f>IF($J9="","",ROUND(($J9-$J$3)/1000,1)+(_xlfn.RANK.AVG($J9,($J9,$O9,$T9),1)-2)*10)</f>
        <v>4.8</v>
      </c>
      <c r="V9" s="54">
        <f>IF($O9="","",ROUND(($O9-$O$3)/1000,1)+(_xlfn.RANK.AVG($O9,($J9,$O9,$T9),1)-2)*10)</f>
        <v>-33.299999999999997</v>
      </c>
      <c r="W9" s="55">
        <f>IF($T9="","",ROUND(($T9-$T$3)/1000,1)+(_xlfn.RANK.AVG($T9,($J9,$O9,$T9),1)-2)*10)</f>
        <v>28.5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196</v>
      </c>
      <c r="BU9" s="40" t="s">
        <v>200</v>
      </c>
      <c r="BV9" s="41" t="s">
        <v>82</v>
      </c>
      <c r="BW9" s="41" t="s">
        <v>79</v>
      </c>
      <c r="BX9" s="41" t="s">
        <v>79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ただ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AEBD1551-3E1E-4F10-A5CF-FE24D50DFCA4}">
      <formula1>"れんたろう,ともき,だいち,りくと,まっつん,たかの,のり,ただ,ぱぱ,"</formula1>
    </dataValidation>
    <dataValidation type="list" showInputMessage="1" showErrorMessage="1" sqref="K4:K30 P4:P30 F4:F30" xr:uid="{B41EF627-7396-4B6A-BE06-90DCC0BF6E2F}">
      <formula1>"ロン,ツモ,放銃,ツモ支払,流局,チョンボ"</formula1>
    </dataValidation>
    <dataValidation type="list" allowBlank="1" showInputMessage="1" showErrorMessage="1" sqref="E4:E30" xr:uid="{1FCD12BD-910C-40D1-9F2B-4CE85CB4DF1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2020-07-12T09:02:09Z</dcterms:modified>
</cp:coreProperties>
</file>