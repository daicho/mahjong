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A7F7C5D2-DBB7-48E9-A96F-D4E84F6730B3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21" l="1"/>
  <c r="E15" i="21"/>
  <c r="E14" i="21"/>
  <c r="E13" i="21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U15" i="21" s="1"/>
  <c r="D15" i="21"/>
  <c r="C15" i="21"/>
  <c r="B15" i="21"/>
  <c r="A15" i="21" s="1"/>
  <c r="T14" i="21"/>
  <c r="O14" i="21"/>
  <c r="J14" i="21"/>
  <c r="U14" i="21" s="1"/>
  <c r="D14" i="21"/>
  <c r="C14" i="21"/>
  <c r="B14" i="21"/>
  <c r="A14" i="21" s="1"/>
  <c r="T13" i="21"/>
  <c r="O13" i="21"/>
  <c r="J13" i="21"/>
  <c r="U13" i="21" s="1"/>
  <c r="D13" i="21"/>
  <c r="C13" i="21"/>
  <c r="B13" i="21"/>
  <c r="A13" i="21" s="1"/>
  <c r="T12" i="21"/>
  <c r="W12" i="21" s="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D10" i="21"/>
  <c r="D9" i="21"/>
  <c r="B6" i="21"/>
  <c r="D6" i="21"/>
  <c r="D7" i="21" s="1"/>
  <c r="D5" i="21"/>
  <c r="C5" i="21"/>
  <c r="C6" i="21" s="1"/>
  <c r="T4" i="21"/>
  <c r="T5" i="21" s="1"/>
  <c r="O4" i="21"/>
  <c r="O5" i="21" s="1"/>
  <c r="J4" i="21"/>
  <c r="J5" i="21" s="1"/>
  <c r="E4" i="21"/>
  <c r="B5" i="21" s="1"/>
  <c r="W3" i="21"/>
  <c r="V3" i="21"/>
  <c r="U3" i="21"/>
  <c r="W2" i="21"/>
  <c r="V2" i="21"/>
  <c r="U2" i="21"/>
  <c r="BO1" i="21"/>
  <c r="AT1" i="21"/>
  <c r="Y1" i="21"/>
  <c r="V15" i="21" l="1"/>
  <c r="W15" i="21"/>
  <c r="V14" i="21"/>
  <c r="W14" i="21"/>
  <c r="V13" i="21"/>
  <c r="W13" i="21"/>
  <c r="U12" i="21"/>
  <c r="V11" i="21"/>
  <c r="W11" i="21"/>
  <c r="T6" i="21"/>
  <c r="W5" i="21"/>
  <c r="J6" i="21"/>
  <c r="U5" i="21"/>
  <c r="A5" i="21"/>
  <c r="A6" i="21"/>
  <c r="O6" i="21"/>
  <c r="V5" i="21"/>
  <c r="C8" i="21"/>
  <c r="C9" i="21" s="1"/>
  <c r="C10" i="21" s="1"/>
  <c r="D8" i="21"/>
  <c r="U4" i="21"/>
  <c r="V4" i="21"/>
  <c r="W4" i="21"/>
  <c r="B7" i="21"/>
  <c r="C7" i="21"/>
  <c r="J7" i="21" l="1"/>
  <c r="U6" i="21"/>
  <c r="W6" i="21"/>
  <c r="T7" i="21"/>
  <c r="A7" i="21"/>
  <c r="O7" i="21"/>
  <c r="V6" i="21"/>
  <c r="B8" i="21"/>
  <c r="J8" i="21" l="1"/>
  <c r="U7" i="21"/>
  <c r="O8" i="21"/>
  <c r="V7" i="21"/>
  <c r="T8" i="21"/>
  <c r="W7" i="21"/>
  <c r="B9" i="21"/>
  <c r="A8" i="21"/>
  <c r="T9" i="21" l="1"/>
  <c r="W8" i="21"/>
  <c r="J9" i="21"/>
  <c r="U8" i="21"/>
  <c r="B10" i="21"/>
  <c r="A10" i="21" s="1"/>
  <c r="O9" i="21"/>
  <c r="V8" i="21"/>
  <c r="A9" i="21"/>
  <c r="J10" i="21" l="1"/>
  <c r="U9" i="21"/>
  <c r="O10" i="21"/>
  <c r="V9" i="21"/>
  <c r="T10" i="21"/>
  <c r="W10" i="21" s="1"/>
  <c r="W9" i="21"/>
  <c r="V10" i="21" l="1"/>
  <c r="U10" i="21"/>
  <c r="E10" i="20" l="1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2" i="20"/>
  <c r="D11" i="20"/>
  <c r="C9" i="20"/>
  <c r="C8" i="20"/>
  <c r="D6" i="20"/>
  <c r="O5" i="20"/>
  <c r="O6" i="20" s="1"/>
  <c r="T4" i="20"/>
  <c r="T5" i="20" s="1"/>
  <c r="O4" i="20"/>
  <c r="J4" i="20"/>
  <c r="J5" i="20" s="1"/>
  <c r="E4" i="20"/>
  <c r="W3" i="20"/>
  <c r="V3" i="20"/>
  <c r="U3" i="20"/>
  <c r="W2" i="20"/>
  <c r="V2" i="20"/>
  <c r="U2" i="20"/>
  <c r="BO1" i="20"/>
  <c r="AT1" i="20"/>
  <c r="Y1" i="20"/>
  <c r="E14" i="19"/>
  <c r="E13" i="19"/>
  <c r="E12" i="19"/>
  <c r="E11" i="19"/>
  <c r="E10" i="19"/>
  <c r="E9" i="19"/>
  <c r="E8" i="19"/>
  <c r="E7" i="19"/>
  <c r="E6" i="19"/>
  <c r="E5" i="19"/>
  <c r="V4" i="20" l="1"/>
  <c r="J6" i="20"/>
  <c r="U5" i="20"/>
  <c r="T6" i="20"/>
  <c r="W5" i="20"/>
  <c r="O7" i="20"/>
  <c r="V6" i="20"/>
  <c r="W4" i="20"/>
  <c r="D9" i="20"/>
  <c r="D10" i="20" s="1"/>
  <c r="C12" i="20"/>
  <c r="B5" i="20"/>
  <c r="A5" i="20" s="1"/>
  <c r="V5" i="20"/>
  <c r="D7" i="20"/>
  <c r="C10" i="20"/>
  <c r="C13" i="20"/>
  <c r="C14" i="20" s="1"/>
  <c r="C5" i="20"/>
  <c r="C6" i="20" s="1"/>
  <c r="C7" i="20" s="1"/>
  <c r="D5" i="20"/>
  <c r="D13" i="20"/>
  <c r="D14" i="20" s="1"/>
  <c r="C11" i="20"/>
  <c r="U4" i="20"/>
  <c r="E4" i="19"/>
  <c r="O8" i="20" l="1"/>
  <c r="T7" i="20"/>
  <c r="W6" i="20"/>
  <c r="B6" i="20"/>
  <c r="J7" i="20"/>
  <c r="U6" i="20"/>
  <c r="W3" i="19"/>
  <c r="V3" i="19"/>
  <c r="U3" i="19"/>
  <c r="V7" i="20" l="1"/>
  <c r="A6" i="20"/>
  <c r="B7" i="20"/>
  <c r="J8" i="20"/>
  <c r="U7" i="20"/>
  <c r="W7" i="20"/>
  <c r="T8" i="20"/>
  <c r="O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0" l="1"/>
  <c r="T9" i="20"/>
  <c r="W8" i="20"/>
  <c r="J9" i="20"/>
  <c r="U8" i="20"/>
  <c r="O10" i="20"/>
  <c r="B8" i="20"/>
  <c r="A7" i="20"/>
  <c r="V14" i="19"/>
  <c r="W14" i="19"/>
  <c r="U14" i="19"/>
  <c r="U13" i="19"/>
  <c r="V13" i="19"/>
  <c r="W13" i="19"/>
  <c r="U12" i="19"/>
  <c r="V11" i="19"/>
  <c r="U11" i="19"/>
  <c r="W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0" l="1"/>
  <c r="B9" i="20"/>
  <c r="O11" i="20"/>
  <c r="A8" i="20"/>
  <c r="U9" i="20"/>
  <c r="J10" i="20"/>
  <c r="W9" i="20"/>
  <c r="T10" i="20"/>
  <c r="W5" i="19"/>
  <c r="V5" i="19"/>
  <c r="U5" i="19"/>
  <c r="V10" i="20" l="1"/>
  <c r="O12" i="20"/>
  <c r="V11" i="20"/>
  <c r="B10" i="20"/>
  <c r="J11" i="20"/>
  <c r="U10" i="20"/>
  <c r="T11" i="20"/>
  <c r="W10" i="20"/>
  <c r="A9" i="20"/>
  <c r="O13" i="20" l="1"/>
  <c r="V12" i="20"/>
  <c r="W11" i="20"/>
  <c r="T12" i="20"/>
  <c r="J12" i="20"/>
  <c r="U11" i="20"/>
  <c r="B11" i="20"/>
  <c r="A10" i="20"/>
  <c r="A12" i="20" l="1"/>
  <c r="B12" i="20"/>
  <c r="O14" i="20"/>
  <c r="A11" i="20"/>
  <c r="J13" i="20"/>
  <c r="V13" i="20" s="1"/>
  <c r="U12" i="20"/>
  <c r="T13" i="20"/>
  <c r="W12" i="20"/>
  <c r="T14" i="20" l="1"/>
  <c r="W14" i="20" s="1"/>
  <c r="W13" i="20"/>
  <c r="U13" i="20"/>
  <c r="J14" i="20"/>
  <c r="B13" i="20"/>
  <c r="U14" i="20" l="1"/>
  <c r="B14" i="20"/>
  <c r="A14" i="20" s="1"/>
  <c r="A13" i="20"/>
  <c r="V14" i="20"/>
</calcChain>
</file>

<file path=xl/sharedStrings.xml><?xml version="1.0" encoding="utf-8"?>
<sst xmlns="http://schemas.openxmlformats.org/spreadsheetml/2006/main" count="813" uniqueCount="208">
  <si>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</si>
  <si>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</si>
  <si>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</si>
  <si>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</si>
  <si>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</si>
  <si>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</si>
  <si>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</si>
  <si>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</si>
  <si>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</si>
  <si>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</si>
  <si>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</si>
  <si>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</si>
  <si>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</si>
  <si>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</si>
  <si>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</si>
  <si>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</si>
  <si>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</si>
  <si>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</si>
  <si>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</si>
  <si>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</si>
  <si>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</si>
  <si>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</si>
  <si>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</si>
  <si>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</si>
  <si>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</si>
  <si>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</si>
  <si>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</si>
  <si>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</si>
  <si>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</si>
  <si>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</si>
  <si>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</si>
  <si>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</si>
  <si>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</si>
  <si>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</si>
  <si>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</si>
  <si>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</si>
  <si>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</si>
  <si>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</si>
  <si>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</si>
  <si>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</si>
  <si>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</si>
  <si>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</si>
  <si>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</si>
  <si>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</si>
  <si>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</si>
  <si>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</si>
  <si>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</si>
  <si>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</si>
  <si>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</si>
  <si>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</si>
  <si>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</si>
  <si>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</si>
  <si>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</si>
  <si>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</si>
  <si>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</si>
  <si>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</si>
  <si>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</si>
  <si>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</si>
  <si>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</si>
  <si>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</si>
  <si>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</si>
  <si>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</si>
  <si>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</si>
  <si>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</si>
  <si>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</si>
  <si>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</si>
  <si>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</si>
  <si>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</si>
  <si>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</si>
  <si>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</si>
  <si>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</si>
  <si>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</si>
  <si>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</si>
  <si>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</si>
  <si>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</si>
  <si>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</si>
  <si>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</si>
  <si>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</si>
  <si>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</si>
  <si>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</si>
  <si>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</si>
  <si>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</si>
  <si>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</si>
  <si>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</si>
  <si>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</si>
  <si>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</si>
  <si>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</si>
  <si>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</si>
  <si>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</si>
  <si>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</si>
  <si>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</si>
  <si>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</si>
  <si>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</si>
  <si>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</si>
  <si>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</si>
  <si>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</si>
  <si>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</si>
  <si>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</si>
  <si>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</si>
  <si>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</si>
  <si>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</si>
  <si>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</si>
  <si>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</si>
  <si>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</si>
  <si>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</si>
  <si>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</si>
  <si>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</si>
  <si>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</si>
  <si>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</si>
  <si>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</si>
  <si>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</si>
  <si>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</si>
  <si>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</si>
  <si>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</si>
  <si>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</si>
  <si>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</si>
  <si>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</si>
  <si>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</si>
  <si>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</si>
  <si>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</si>
  <si>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</si>
  <si>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</si>
  <si>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</si>
  <si>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</si>
  <si>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</si>
  <si>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</si>
  <si>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</si>
  <si>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</si>
  <si>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</si>
  <si>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</si>
  <si>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</si>
  <si>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</si>
  <si>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</si>
  <si>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</si>
  <si>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</si>
  <si>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</si>
  <si>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</si>
  <si>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</si>
  <si>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</si>
  <si>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</si>
  <si>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</si>
  <si>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</si>
  <si>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</si>
  <si>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</si>
  <si>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</si>
  <si>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</si>
  <si>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</si>
  <si>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</si>
  <si>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</si>
  <si>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</si>
  <si>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</si>
  <si>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</si>
  <si>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</si>
  <si>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</si>
  <si>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</si>
  <si>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</si>
  <si>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</si>
  <si>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</si>
  <si>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</si>
  <si>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</si>
  <si>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</si>
  <si>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</si>
  <si>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</si>
  <si>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</si>
  <si>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</si>
  <si>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</si>
  <si>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</si>
  <si>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</si>
  <si>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</si>
  <si>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</si>
  <si>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</si>
  <si>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</si>
  <si>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</si>
  <si>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</si>
  <si>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</si>
  <si>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</si>
  <si>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</si>
  <si>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</si>
  <si>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</si>
  <si>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</si>
  <si>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</si>
  <si>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</si>
  <si>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</si>
  <si>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</si>
  <si>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</si>
  <si>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</si>
  <si>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</si>
  <si>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</si>
  <si>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</si>
  <si>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</si>
  <si>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</si>
  <si>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</si>
  <si>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まっつん</t>
    <phoneticPr fontId="1"/>
  </si>
  <si>
    <t>だいち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</si>
  <si>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</si>
  <si>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</si>
  <si>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</si>
  <si>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</si>
  <si>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</si>
  <si>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</si>
  <si>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</si>
  <si>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02</t>
  </si>
  <si>
    <t>T</t>
  </si>
  <si>
    <t>N</t>
  </si>
  <si>
    <t>流局</t>
    <phoneticPr fontId="1"/>
  </si>
  <si>
    <t>りくと</t>
    <phoneticPr fontId="1"/>
  </si>
  <si>
    <t>ただ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</si>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</sst>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194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-5.5</v>
      </c>
      <c r="W4" s="55">
        <f>IF($T4="","",ROUND(($T4-$T$3)/1000,1)+(_xlfn.RANK.AVG($T4,($J4,$O4,$T4),1)-2)*10)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83</v>
      </c>
      <c r="BW4" s="41" t="s">
        <v>82</v>
      </c>
      <c r="BX4" s="41" t="s">
        <v>84</v>
      </c>
      <c r="BY4" s="41" t="s">
        <v>198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194</v>
      </c>
      <c r="G5" s="9">
        <v>-6000</v>
      </c>
      <c r="H5" s="9"/>
      <c r="I5" s="48">
        <v>0</v>
      </c>
      <c r="J5" s="21">
        <f t="shared" ref="J5:J30" si="2">IF(COUNTA($F5,$K5,$P5)&gt;0,J4+SUM(G5:I5),"")</f>
        <v>21500</v>
      </c>
      <c r="K5" s="8" t="s">
        <v>195</v>
      </c>
      <c r="L5" s="9">
        <v>12000</v>
      </c>
      <c r="M5" s="9"/>
      <c r="N5" s="48">
        <v>0</v>
      </c>
      <c r="O5" s="21">
        <f t="shared" ref="O5:O30" si="3">IF(COUNTA($F5,$K5,$P5)&gt;0,O4+SUM(L5:N5),"")</f>
        <v>41500</v>
      </c>
      <c r="P5" s="8" t="s">
        <v>194</v>
      </c>
      <c r="Q5" s="9">
        <v>-6000</v>
      </c>
      <c r="R5" s="9"/>
      <c r="S5" s="48">
        <v>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-23.5</v>
      </c>
      <c r="V5" s="54">
        <f>IF($O5="","",ROUND(($O5-$O$3)/1000,1)+(_xlfn.RANK.AVG($O5,($J5,$O5,$T5),1)-2)*10)</f>
        <v>6.5</v>
      </c>
      <c r="W5" s="55">
        <f>IF($T5="","",ROUND(($T5-$T$3)/1000,1)+(_xlfn.RANK.AVG($T5,($J5,$O5,$T5),1)-2)*10)</f>
        <v>17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40</v>
      </c>
      <c r="AZ5" s="40" t="s">
        <v>104</v>
      </c>
      <c r="BA5" s="41" t="s">
        <v>86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 t="s">
        <v>199</v>
      </c>
      <c r="G6" s="9">
        <v>-12000</v>
      </c>
      <c r="H6" s="9"/>
      <c r="I6" s="48">
        <v>-1000</v>
      </c>
      <c r="J6" s="21">
        <f t="shared" si="2"/>
        <v>8500</v>
      </c>
      <c r="K6" s="8" t="s">
        <v>200</v>
      </c>
      <c r="L6" s="9">
        <v>12000</v>
      </c>
      <c r="M6" s="9"/>
      <c r="N6" s="48">
        <v>1000</v>
      </c>
      <c r="O6" s="21">
        <f t="shared" si="3"/>
        <v>54500</v>
      </c>
      <c r="P6" s="8"/>
      <c r="Q6" s="9"/>
      <c r="R6" s="9"/>
      <c r="S6" s="48"/>
      <c r="T6" s="21">
        <f t="shared" si="4"/>
        <v>42000</v>
      </c>
      <c r="U6" s="53">
        <f>IF($J6="","",ROUND(($J6-$J$3)/1000,1)+(_xlfn.RANK.AVG($J6,($J6,$O6,$T6),1)-2)*10)</f>
        <v>-36.5</v>
      </c>
      <c r="V6" s="54">
        <f>IF($O6="","",ROUND(($O6-$O$3)/1000,1)+(_xlfn.RANK.AVG($O6,($J6,$O6,$T6),1)-2)*10)</f>
        <v>29.5</v>
      </c>
      <c r="W6" s="55">
        <f>IF($T6="","",ROUND(($T6-$T$3)/1000,1)+(_xlfn.RANK.AVG($T6,($J6,$O6,$T6),1)-2)*10)</f>
        <v>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196</v>
      </c>
      <c r="AZ6" s="40" t="s">
        <v>197</v>
      </c>
      <c r="BA6" s="41" t="s">
        <v>201</v>
      </c>
      <c r="BB6" s="41" t="s">
        <v>79</v>
      </c>
      <c r="BC6" s="41" t="s">
        <v>80</v>
      </c>
      <c r="BD6" s="41" t="s">
        <v>198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まっつん</v>
      </c>
      <c r="F7" s="8" t="s">
        <v>195</v>
      </c>
      <c r="G7" s="9">
        <v>1200</v>
      </c>
      <c r="H7" s="9"/>
      <c r="I7" s="48">
        <v>2000</v>
      </c>
      <c r="J7" s="21">
        <f t="shared" si="2"/>
        <v>11700</v>
      </c>
      <c r="K7" s="8" t="s">
        <v>194</v>
      </c>
      <c r="L7" s="9">
        <v>-700</v>
      </c>
      <c r="M7" s="9"/>
      <c r="N7" s="48">
        <v>-1000</v>
      </c>
      <c r="O7" s="21">
        <f t="shared" si="3"/>
        <v>52800</v>
      </c>
      <c r="P7" s="8" t="s">
        <v>194</v>
      </c>
      <c r="Q7" s="9">
        <v>-500</v>
      </c>
      <c r="R7" s="9"/>
      <c r="S7" s="48">
        <v>-1000</v>
      </c>
      <c r="T7" s="21">
        <f t="shared" si="4"/>
        <v>40500</v>
      </c>
      <c r="U7" s="53">
        <f>IF($J7="","",ROUND(($J7-$J$3)/1000,1)+(_xlfn.RANK.AVG($J7,($J7,$O7,$T7),1)-2)*10)</f>
        <v>-33.299999999999997</v>
      </c>
      <c r="V7" s="54">
        <f>IF($O7="","",ROUND(($O7-$O$3)/1000,1)+(_xlfn.RANK.AVG($O7,($J7,$O7,$T7),1)-2)*10)</f>
        <v>27.8</v>
      </c>
      <c r="W7" s="55">
        <f>IF($T7="","",ROUND(($T7-$T$3)/1000,1)+(_xlfn.RANK.AVG($T7,($J7,$O7,$T7),1)-2)*10)</f>
        <v>5.5</v>
      </c>
      <c r="Y7" s="8"/>
      <c r="Z7" s="34"/>
      <c r="AA7" s="26"/>
      <c r="AB7" s="26">
        <v>1</v>
      </c>
      <c r="AC7" s="26">
        <v>1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194</v>
      </c>
      <c r="G8" s="9">
        <v>-1500</v>
      </c>
      <c r="H8" s="9"/>
      <c r="I8" s="48">
        <v>0</v>
      </c>
      <c r="J8" s="21">
        <f t="shared" si="2"/>
        <v>10200</v>
      </c>
      <c r="K8" s="8" t="s">
        <v>195</v>
      </c>
      <c r="L8" s="9">
        <v>4000</v>
      </c>
      <c r="M8" s="9"/>
      <c r="N8" s="48">
        <v>0</v>
      </c>
      <c r="O8" s="21">
        <f t="shared" si="3"/>
        <v>56800</v>
      </c>
      <c r="P8" s="8" t="s">
        <v>194</v>
      </c>
      <c r="Q8" s="9">
        <v>-2500</v>
      </c>
      <c r="R8" s="9"/>
      <c r="S8" s="48">
        <v>0</v>
      </c>
      <c r="T8" s="21">
        <f t="shared" si="4"/>
        <v>38000</v>
      </c>
      <c r="U8" s="53">
        <f>IF($J8="","",ROUND(($J8-$J$3)/1000,1)+(_xlfn.RANK.AVG($J8,($J8,$O8,$T8),1)-2)*10)</f>
        <v>-34.799999999999997</v>
      </c>
      <c r="V8" s="54">
        <f>IF($O8="","",ROUND(($O8-$O$3)/1000,1)+(_xlfn.RANK.AVG($O8,($J8,$O8,$T8),1)-2)*10)</f>
        <v>31.8</v>
      </c>
      <c r="W8" s="55">
        <f>IF($T8="","",ROUND(($T8-$T$3)/1000,1)+(_xlfn.RANK.AVG($T8,($J8,$O8,$T8),1)-2)*10)</f>
        <v>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86</v>
      </c>
      <c r="BB8" s="41" t="s">
        <v>198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204</v>
      </c>
      <c r="G9" s="9">
        <v>3000</v>
      </c>
      <c r="H9" s="9">
        <v>-1000</v>
      </c>
      <c r="I9" s="48"/>
      <c r="J9" s="21">
        <f t="shared" si="2"/>
        <v>12200</v>
      </c>
      <c r="K9" s="8" t="s">
        <v>204</v>
      </c>
      <c r="L9" s="9">
        <v>-1500</v>
      </c>
      <c r="M9" s="9"/>
      <c r="N9" s="48"/>
      <c r="O9" s="21">
        <f t="shared" si="3"/>
        <v>55300</v>
      </c>
      <c r="P9" s="8" t="s">
        <v>204</v>
      </c>
      <c r="Q9" s="9">
        <v>-1500</v>
      </c>
      <c r="R9" s="9"/>
      <c r="S9" s="48"/>
      <c r="T9" s="21">
        <f t="shared" si="4"/>
        <v>36500</v>
      </c>
      <c r="U9" s="53">
        <f>IF($J9="","",ROUND(($J9-$J$3)/1000,1)+(_xlfn.RANK.AVG($J9,($J9,$O9,$T9),1)-2)*10)</f>
        <v>-32.799999999999997</v>
      </c>
      <c r="V9" s="54">
        <f>IF($O9="","",ROUND(($O9-$O$3)/1000,1)+(_xlfn.RANK.AVG($O9,($J9,$O9,$T9),1)-2)*10)</f>
        <v>30.3</v>
      </c>
      <c r="W9" s="55">
        <f>IF($T9="","",ROUND(($T9-$T$3)/1000,1)+(_xlfn.RANK.AVG($T9,($J9,$O9,$T9),1)-2)*10)</f>
        <v>1.5</v>
      </c>
      <c r="Y9" s="8" t="s">
        <v>202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れんたろう</v>
      </c>
      <c r="F10" s="8" t="s">
        <v>195</v>
      </c>
      <c r="G10" s="9">
        <v>3000</v>
      </c>
      <c r="H10" s="9">
        <v>1000</v>
      </c>
      <c r="I10" s="48">
        <v>1000</v>
      </c>
      <c r="J10" s="21">
        <f t="shared" si="2"/>
        <v>17200</v>
      </c>
      <c r="K10" s="8" t="s">
        <v>194</v>
      </c>
      <c r="L10" s="9">
        <v>-1500</v>
      </c>
      <c r="M10" s="9"/>
      <c r="N10" s="48">
        <v>-500</v>
      </c>
      <c r="O10" s="21">
        <f t="shared" si="3"/>
        <v>53300</v>
      </c>
      <c r="P10" s="8" t="s">
        <v>194</v>
      </c>
      <c r="Q10" s="9">
        <v>-1500</v>
      </c>
      <c r="R10" s="9"/>
      <c r="S10" s="48">
        <v>-500</v>
      </c>
      <c r="T10" s="21">
        <f t="shared" si="4"/>
        <v>34500</v>
      </c>
      <c r="U10" s="53">
        <f>IF($J10="","",ROUND(($J10-$J$3)/1000,1)+(_xlfn.RANK.AVG($J10,($J10,$O10,$T10),1)-2)*10)</f>
        <v>-27.8</v>
      </c>
      <c r="V10" s="54">
        <f>IF($O10="","",ROUND(($O10-$O$3)/1000,1)+(_xlfn.RANK.AVG($O10,($J10,$O10,$T10),1)-2)*10)</f>
        <v>28.3</v>
      </c>
      <c r="W10" s="55">
        <f>IF($T10="","",ROUND(($T10-$T$3)/1000,1)+(_xlfn.RANK.AVG($T10,($J10,$O10,$T10),1)-2)*10)</f>
        <v>-0.5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198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れんたろう</v>
      </c>
      <c r="F11" s="8" t="s">
        <v>194</v>
      </c>
      <c r="G11" s="9">
        <v>-700</v>
      </c>
      <c r="H11" s="9"/>
      <c r="I11" s="48">
        <v>-1000</v>
      </c>
      <c r="J11" s="21">
        <f t="shared" si="2"/>
        <v>15500</v>
      </c>
      <c r="K11" s="8" t="s">
        <v>194</v>
      </c>
      <c r="L11" s="9">
        <v>-500</v>
      </c>
      <c r="M11" s="9"/>
      <c r="N11" s="48">
        <v>-1000</v>
      </c>
      <c r="O11" s="21">
        <f t="shared" si="3"/>
        <v>51800</v>
      </c>
      <c r="P11" s="8" t="s">
        <v>195</v>
      </c>
      <c r="Q11" s="9">
        <v>1200</v>
      </c>
      <c r="R11" s="9"/>
      <c r="S11" s="48">
        <v>2000</v>
      </c>
      <c r="T11" s="21">
        <f t="shared" si="4"/>
        <v>37700</v>
      </c>
      <c r="U11" s="53">
        <f>IF($J11="","",ROUND(($J11-$J$3)/1000,1)+(_xlfn.RANK.AVG($J11,($J11,$O11,$T11),1)-2)*10)</f>
        <v>-29.5</v>
      </c>
      <c r="V11" s="54">
        <f>IF($O11="","",ROUND(($O11-$O$3)/1000,1)+(_xlfn.RANK.AVG($O11,($J11,$O11,$T11),1)-2)*10)</f>
        <v>26.8</v>
      </c>
      <c r="W11" s="55">
        <f>IF($T11="","",ROUND(($T11-$T$3)/1000,1)+(_xlfn.RANK.AVG($T11,($J11,$O11,$T11),1)-2)*10)</f>
        <v>2.7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204</v>
      </c>
      <c r="G12" s="9">
        <v>1500</v>
      </c>
      <c r="H12" s="9">
        <v>-2000</v>
      </c>
      <c r="I12" s="48"/>
      <c r="J12" s="21">
        <f t="shared" si="2"/>
        <v>15000</v>
      </c>
      <c r="K12" s="8" t="s">
        <v>204</v>
      </c>
      <c r="L12" s="9">
        <v>1500</v>
      </c>
      <c r="M12" s="9">
        <v>-1000</v>
      </c>
      <c r="N12" s="48"/>
      <c r="O12" s="21">
        <f t="shared" si="3"/>
        <v>52300</v>
      </c>
      <c r="P12" s="8" t="s">
        <v>204</v>
      </c>
      <c r="Q12" s="9">
        <v>-3000</v>
      </c>
      <c r="R12" s="9"/>
      <c r="S12" s="48"/>
      <c r="T12" s="21">
        <f t="shared" si="4"/>
        <v>34700</v>
      </c>
      <c r="U12" s="53">
        <f>IF($J12="","",ROUND(($J12-$J$3)/1000,1)+(_xlfn.RANK.AVG($J12,($J12,$O12,$T12),1)-2)*10)</f>
        <v>-30</v>
      </c>
      <c r="V12" s="54">
        <f>IF($O12="","",ROUND(($O12-$O$3)/1000,1)+(_xlfn.RANK.AVG($O12,($J12,$O12,$T12),1)-2)*10)</f>
        <v>27.3</v>
      </c>
      <c r="W12" s="55">
        <f>IF($T12="","",ROUND(($T12-$T$3)/1000,1)+(_xlfn.RANK.AVG($T12,($J12,$O12,$T12),1)-2)*10)</f>
        <v>-0.3</v>
      </c>
      <c r="Y12" s="8" t="s">
        <v>202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3</v>
      </c>
      <c r="E13" s="4" t="str">
        <f>IF($K$1="","",$K$1)</f>
        <v>まっつん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17000</v>
      </c>
      <c r="K13" s="8" t="s">
        <v>204</v>
      </c>
      <c r="L13" s="9">
        <v>-1500</v>
      </c>
      <c r="M13" s="9"/>
      <c r="N13" s="48"/>
      <c r="O13" s="21">
        <f t="shared" si="3"/>
        <v>50800</v>
      </c>
      <c r="P13" s="8" t="s">
        <v>204</v>
      </c>
      <c r="Q13" s="9">
        <v>-1500</v>
      </c>
      <c r="R13" s="9"/>
      <c r="S13" s="48"/>
      <c r="T13" s="21">
        <f t="shared" si="4"/>
        <v>33200</v>
      </c>
      <c r="U13" s="53">
        <f>IF($J13="","",ROUND(($J13-$J$3)/1000,1)+(_xlfn.RANK.AVG($J13,($J13,$O13,$T13),1)-2)*10)</f>
        <v>-28</v>
      </c>
      <c r="V13" s="54">
        <f>IF($O13="","",ROUND(($O13-$O$3)/1000,1)+(_xlfn.RANK.AVG($O13,($J13,$O13,$T13),1)-2)*10)</f>
        <v>25.8</v>
      </c>
      <c r="W13" s="55">
        <f>IF($T13="","",ROUND(($T13-$T$3)/1000,1)+(_xlfn.RANK.AVG($T13,($J13,$O13,$T13),1)-2)*10)</f>
        <v>-1.8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4</v>
      </c>
      <c r="E14" s="4" t="str">
        <f>IF($P$1="","",$P$1)</f>
        <v>だいち</v>
      </c>
      <c r="F14" s="8" t="s">
        <v>194</v>
      </c>
      <c r="G14" s="9">
        <v>-800</v>
      </c>
      <c r="H14" s="9"/>
      <c r="I14" s="48">
        <v>-1000</v>
      </c>
      <c r="J14" s="21">
        <f t="shared" si="2"/>
        <v>15200</v>
      </c>
      <c r="K14" s="8" t="s">
        <v>195</v>
      </c>
      <c r="L14" s="9">
        <v>2100</v>
      </c>
      <c r="M14" s="9">
        <v>4000</v>
      </c>
      <c r="N14" s="48">
        <v>2000</v>
      </c>
      <c r="O14" s="21">
        <f t="shared" si="3"/>
        <v>58900</v>
      </c>
      <c r="P14" s="8" t="s">
        <v>194</v>
      </c>
      <c r="Q14" s="9">
        <v>-1300</v>
      </c>
      <c r="R14" s="9"/>
      <c r="S14" s="48">
        <v>-1000</v>
      </c>
      <c r="T14" s="21">
        <f t="shared" si="4"/>
        <v>30900</v>
      </c>
      <c r="U14" s="53">
        <f>IF($J14="","",ROUND(($J14-$J$3)/1000,1)+(_xlfn.RANK.AVG($J14,($J14,$O14,$T14),1)-2)*10)</f>
        <v>-29.8</v>
      </c>
      <c r="V14" s="54">
        <f>IF($O14="","",ROUND(($O14-$O$3)/1000,1)+(_xlfn.RANK.AVG($O14,($J14,$O14,$T14),1)-2)*10)</f>
        <v>33.9</v>
      </c>
      <c r="W14" s="55">
        <f>IF($T14="","",ROUND(($T14-$T$3)/1000,1)+(_xlfn.RANK.AVG($T14,($J14,$O14,$T14),1)-2)*10)</f>
        <v>-4.0999999999999996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30</v>
      </c>
      <c r="AZ14" s="40" t="s">
        <v>82</v>
      </c>
      <c r="BA14" s="41" t="s">
        <v>79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8739B07-D476-4136-8CD0-3BDB872C1E41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4ABD0-1050-4AB5-AEFD-9D21D002DDD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194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194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196</v>
      </c>
      <c r="AE4" s="40" t="s">
        <v>197</v>
      </c>
      <c r="AF4" s="41" t="s">
        <v>82</v>
      </c>
      <c r="AG4" s="41" t="s">
        <v>201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18000</v>
      </c>
      <c r="H5" s="9"/>
      <c r="I5" s="48">
        <v>1000</v>
      </c>
      <c r="J5" s="21">
        <f t="shared" ref="J5:J30" si="2">IF(COUNTA($F5,$K5,$P5)&gt;0,J4+SUM(G5:I5),"")</f>
        <v>66000</v>
      </c>
      <c r="K5" s="8" t="s">
        <v>199</v>
      </c>
      <c r="L5" s="9">
        <v>-18000</v>
      </c>
      <c r="M5" s="9"/>
      <c r="N5" s="48">
        <v>-1000</v>
      </c>
      <c r="O5" s="21">
        <f t="shared" ref="O5:O30" si="3">IF(COUNTA($F5,$K5,$P5)&gt;0,O4+SUM(L5:N5),"")</f>
        <v>10000</v>
      </c>
      <c r="P5" s="8"/>
      <c r="Q5" s="9"/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41</v>
      </c>
      <c r="V5" s="54">
        <f>IF($O5="","",ROUND(($O5-$O$3)/1000,1)+(_xlfn.RANK.AVG($O5,($J5,$O5,$T5),1)-2)*10)</f>
        <v>-35</v>
      </c>
      <c r="W5" s="55">
        <f>IF($T5="","",ROUND(($T5-$T$3)/1000,1)+(_xlfn.RANK.AVG($T5,($J5,$O5,$T5),1)-2)*10)</f>
        <v>-6</v>
      </c>
      <c r="Y5" s="8"/>
      <c r="Z5" s="34"/>
      <c r="AA5" s="26">
        <v>1</v>
      </c>
      <c r="AB5" s="26"/>
      <c r="AC5" s="26">
        <v>7</v>
      </c>
      <c r="AD5" s="30" t="s">
        <v>196</v>
      </c>
      <c r="AE5" s="40" t="s">
        <v>197</v>
      </c>
      <c r="AF5" s="41" t="s">
        <v>86</v>
      </c>
      <c r="AG5" s="41" t="s">
        <v>86</v>
      </c>
      <c r="AH5" s="41" t="s">
        <v>79</v>
      </c>
      <c r="AI5" s="41" t="s">
        <v>79</v>
      </c>
      <c r="AJ5" s="41" t="s">
        <v>79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194</v>
      </c>
      <c r="G6" s="9">
        <v>-2500</v>
      </c>
      <c r="H6" s="9"/>
      <c r="I6" s="48">
        <v>-1000</v>
      </c>
      <c r="J6" s="21">
        <f t="shared" si="2"/>
        <v>62500</v>
      </c>
      <c r="K6" s="8" t="s">
        <v>195</v>
      </c>
      <c r="L6" s="9">
        <v>4000</v>
      </c>
      <c r="M6" s="9"/>
      <c r="N6" s="48">
        <v>2000</v>
      </c>
      <c r="O6" s="21">
        <f t="shared" si="3"/>
        <v>16000</v>
      </c>
      <c r="P6" s="8" t="s">
        <v>194</v>
      </c>
      <c r="Q6" s="9">
        <v>-1500</v>
      </c>
      <c r="R6" s="9"/>
      <c r="S6" s="48">
        <v>-1000</v>
      </c>
      <c r="T6" s="21">
        <f t="shared" si="4"/>
        <v>26500</v>
      </c>
      <c r="U6" s="53">
        <f>IF($J6="","",ROUND(($J6-$J$3)/1000,1)+(_xlfn.RANK.AVG($J6,($J6,$O6,$T6),1)-2)*10)</f>
        <v>37.5</v>
      </c>
      <c r="V6" s="54">
        <f>IF($O6="","",ROUND(($O6-$O$3)/1000,1)+(_xlfn.RANK.AVG($O6,($J6,$O6,$T6),1)-2)*10)</f>
        <v>-29</v>
      </c>
      <c r="W6" s="55">
        <f>IF($T6="","",ROUND(($T6-$T$3)/1000,1)+(_xlfn.RANK.AVG($T6,($J6,$O6,$T6),1)-2)*10)</f>
        <v>-8.5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197</v>
      </c>
      <c r="BA6" s="41" t="s">
        <v>82</v>
      </c>
      <c r="BB6" s="41" t="s">
        <v>198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194</v>
      </c>
      <c r="G7" s="9">
        <v>-4500</v>
      </c>
      <c r="H7" s="9"/>
      <c r="I7" s="48">
        <v>0</v>
      </c>
      <c r="J7" s="21">
        <f t="shared" si="2"/>
        <v>58000</v>
      </c>
      <c r="K7" s="8" t="s">
        <v>194</v>
      </c>
      <c r="L7" s="9">
        <v>-7500</v>
      </c>
      <c r="M7" s="9"/>
      <c r="N7" s="48">
        <v>0</v>
      </c>
      <c r="O7" s="21">
        <f t="shared" si="3"/>
        <v>8500</v>
      </c>
      <c r="P7" s="8" t="s">
        <v>195</v>
      </c>
      <c r="Q7" s="9">
        <v>12000</v>
      </c>
      <c r="R7" s="9"/>
      <c r="S7" s="48">
        <v>0</v>
      </c>
      <c r="T7" s="21">
        <f t="shared" si="4"/>
        <v>38500</v>
      </c>
      <c r="U7" s="53">
        <f>IF($J7="","",ROUND(($J7-$J$3)/1000,1)+(_xlfn.RANK.AVG($J7,($J7,$O7,$T7),1)-2)*10)</f>
        <v>33</v>
      </c>
      <c r="V7" s="54">
        <f>IF($O7="","",ROUND(($O7-$O$3)/1000,1)+(_xlfn.RANK.AVG($O7,($J7,$O7,$T7),1)-2)*10)</f>
        <v>-36.5</v>
      </c>
      <c r="W7" s="55">
        <f>IF($T7="","",ROUND(($T7-$T$3)/1000,1)+(_xlfn.RANK.AVG($T7,($J7,$O7,$T7),1)-2)*10)</f>
        <v>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196</v>
      </c>
      <c r="BU7" s="40" t="s">
        <v>197</v>
      </c>
      <c r="BV7" s="41" t="s">
        <v>82</v>
      </c>
      <c r="BW7" s="41" t="s">
        <v>201</v>
      </c>
      <c r="BX7" s="41" t="s">
        <v>83</v>
      </c>
      <c r="BY7" s="41" t="s">
        <v>85</v>
      </c>
      <c r="BZ7" s="41" t="s">
        <v>84</v>
      </c>
      <c r="CA7" s="41" t="s">
        <v>79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りくと</v>
      </c>
      <c r="F8" s="8"/>
      <c r="G8" s="9"/>
      <c r="H8" s="9">
        <v>-2000</v>
      </c>
      <c r="I8" s="48"/>
      <c r="J8" s="21">
        <f t="shared" si="2"/>
        <v>56000</v>
      </c>
      <c r="K8" s="8" t="s">
        <v>199</v>
      </c>
      <c r="L8" s="9">
        <v>-2000</v>
      </c>
      <c r="M8" s="9">
        <v>-1000</v>
      </c>
      <c r="N8" s="48">
        <v>0</v>
      </c>
      <c r="O8" s="21">
        <f t="shared" si="3"/>
        <v>5500</v>
      </c>
      <c r="P8" s="8" t="s">
        <v>200</v>
      </c>
      <c r="Q8" s="9">
        <v>2000</v>
      </c>
      <c r="R8" s="9">
        <v>3000</v>
      </c>
      <c r="S8" s="48">
        <v>0</v>
      </c>
      <c r="T8" s="21">
        <f t="shared" si="4"/>
        <v>43500</v>
      </c>
      <c r="U8" s="53">
        <f>IF($J8="","",ROUND(($J8-$J$3)/1000,1)+(_xlfn.RANK.AVG($J8,($J8,$O8,$T8),1)-2)*10)</f>
        <v>31</v>
      </c>
      <c r="V8" s="54">
        <f>IF($O8="","",ROUND(($O8-$O$3)/1000,1)+(_xlfn.RANK.AVG($O8,($J8,$O8,$T8),1)-2)*10)</f>
        <v>-39.5</v>
      </c>
      <c r="W8" s="55">
        <f>IF($T8="","",ROUND(($T8-$T$3)/1000,1)+(_xlfn.RANK.AVG($T8,($J8,$O8,$T8),1)-2)*10)</f>
        <v>8.5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</v>
      </c>
      <c r="BT8" s="30">
        <v>40</v>
      </c>
      <c r="BU8" s="40" t="s">
        <v>197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りくと</v>
      </c>
      <c r="F9" s="8" t="s">
        <v>194</v>
      </c>
      <c r="G9" s="9">
        <v>-3000</v>
      </c>
      <c r="H9" s="9"/>
      <c r="I9" s="48">
        <v>-500</v>
      </c>
      <c r="J9" s="21">
        <f t="shared" si="2"/>
        <v>52500</v>
      </c>
      <c r="K9" s="8" t="s">
        <v>194</v>
      </c>
      <c r="L9" s="9">
        <v>-3000</v>
      </c>
      <c r="M9" s="9">
        <v>-1000</v>
      </c>
      <c r="N9" s="48">
        <v>-500</v>
      </c>
      <c r="O9" s="21">
        <f t="shared" si="3"/>
        <v>1000</v>
      </c>
      <c r="P9" s="8" t="s">
        <v>195</v>
      </c>
      <c r="Q9" s="9">
        <v>6000</v>
      </c>
      <c r="R9" s="9">
        <v>1000</v>
      </c>
      <c r="S9" s="48">
        <v>1000</v>
      </c>
      <c r="T9" s="21">
        <f t="shared" si="4"/>
        <v>51500</v>
      </c>
      <c r="U9" s="53">
        <f>IF($J9="","",ROUND(($J9-$J$3)/1000,1)+(_xlfn.RANK.AVG($J9,($J9,$O9,$T9),1)-2)*10)</f>
        <v>27.5</v>
      </c>
      <c r="V9" s="54">
        <f>IF($O9="","",ROUND(($O9-$O$3)/1000,1)+(_xlfn.RANK.AVG($O9,($J9,$O9,$T9),1)-2)*10)</f>
        <v>-44</v>
      </c>
      <c r="W9" s="55">
        <f>IF($T9="","",ROUND(($T9-$T$3)/1000,1)+(_xlfn.RANK.AVG($T9,($J9,$O9,$T9),1)-2)*10)</f>
        <v>16.5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197</v>
      </c>
      <c r="BV9" s="41" t="s">
        <v>198</v>
      </c>
      <c r="BW9" s="41" t="s">
        <v>85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りくと</v>
      </c>
      <c r="F10" s="8" t="s">
        <v>194</v>
      </c>
      <c r="G10" s="9">
        <v>-3000</v>
      </c>
      <c r="H10" s="9"/>
      <c r="I10" s="48">
        <v>-1000</v>
      </c>
      <c r="J10" s="21">
        <f t="shared" si="2"/>
        <v>48500</v>
      </c>
      <c r="K10" s="8" t="s">
        <v>194</v>
      </c>
      <c r="L10" s="9">
        <v>-3000</v>
      </c>
      <c r="M10" s="9"/>
      <c r="N10" s="48">
        <v>-1000</v>
      </c>
      <c r="O10" s="21">
        <f t="shared" si="3"/>
        <v>-3000</v>
      </c>
      <c r="P10" s="8" t="s">
        <v>195</v>
      </c>
      <c r="Q10" s="9">
        <v>6000</v>
      </c>
      <c r="R10" s="9"/>
      <c r="S10" s="48">
        <v>2000</v>
      </c>
      <c r="T10" s="21">
        <f t="shared" si="4"/>
        <v>59500</v>
      </c>
      <c r="U10" s="53">
        <f>IF($J10="","",ROUND(($J10-$J$3)/1000,1)+(_xlfn.RANK.AVG($J10,($J10,$O10,$T10),1)-2)*10)</f>
        <v>13.5</v>
      </c>
      <c r="V10" s="54">
        <f>IF($O10="","",ROUND(($O10-$O$3)/1000,1)+(_xlfn.RANK.AVG($O10,($J10,$O10,$T10),1)-2)*10)</f>
        <v>-48</v>
      </c>
      <c r="W10" s="55">
        <f>IF($T10="","",ROUND(($T10-$T$3)/1000,1)+(_xlfn.RANK.AVG($T10,($J10,$O10,$T10),1)-2)*10)</f>
        <v>34.5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104</v>
      </c>
      <c r="BV10" s="41" t="s">
        <v>198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C327E00-9643-4AF7-B0BF-BD028B868497}">
      <formula1>"れんたろう,ともき,だいち,りくと,まっつん,たかの,のり,ただ,ぱぱ,"</formula1>
    </dataValidation>
    <dataValidation type="list" showInputMessage="1" showErrorMessage="1" sqref="K4:K30 P4:P30 F4:F30" xr:uid="{F550A921-3FDC-49FF-B364-4B8D0F42730D}">
      <formula1>"ロン,ツモ,放銃,ツモ支払,流局,チョンボ"</formula1>
    </dataValidation>
    <dataValidation type="list" allowBlank="1" showInputMessage="1" showErrorMessage="1" sqref="E4:E30" xr:uid="{CD370545-A604-4356-A907-01878D3A2F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80E24-55C9-465F-B675-E3EEC578DB2E}">
  <sheetPr codeName="Sheet12">
    <pageSetUpPr fitToPage="1"/>
  </sheetPr>
  <dimension ref="A1:CI30"/>
  <sheetViews>
    <sheetView tabSelected="1" zoomScaleNormal="100" workbookViewId="0">
      <selection activeCell="R5" sqref="R5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-7500</v>
      </c>
      <c r="H4" s="9">
        <v>-2000</v>
      </c>
      <c r="I4" s="48">
        <v>0</v>
      </c>
      <c r="J4" s="21">
        <f>IF(COUNTA($F4,$K4,$P4)&gt;0,J3+SUM(G4:I4),"")</f>
        <v>25500</v>
      </c>
      <c r="K4" s="8" t="s">
        <v>194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195</v>
      </c>
      <c r="Q4" s="9">
        <v>12000</v>
      </c>
      <c r="R4" s="9">
        <v>2000</v>
      </c>
      <c r="S4" s="48">
        <v>0</v>
      </c>
      <c r="T4" s="21">
        <f>IF(COUNTA($F4,$K4,$P4)&gt;0,T3+SUM(Q4:S4),"")</f>
        <v>49000</v>
      </c>
      <c r="U4" s="53">
        <f>IF($J4="","",ROUND(($J4-$J$3)/1000,1)+(_xlfn.RANK.AVG($J4,($J4,$O4,$T4),1)-2)*10)</f>
        <v>-19.5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24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82</v>
      </c>
      <c r="BW4" s="41" t="s">
        <v>92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-3000</v>
      </c>
      <c r="H5" s="9"/>
      <c r="I5" s="48">
        <v>0</v>
      </c>
      <c r="J5" s="21">
        <f t="shared" ref="J5:J30" si="2">IF(COUNTA($F5,$K5,$P5)&gt;0,J4+SUM(G5:I5),"")</f>
        <v>22500</v>
      </c>
      <c r="K5" s="8" t="s">
        <v>195</v>
      </c>
      <c r="L5" s="9">
        <v>6000</v>
      </c>
      <c r="M5" s="9"/>
      <c r="N5" s="48">
        <v>0</v>
      </c>
      <c r="O5" s="21">
        <f t="shared" ref="O5:O30" si="3">IF(COUNTA($F5,$K5,$P5)&gt;0,O4+SUM(L5:N5),"")</f>
        <v>36500</v>
      </c>
      <c r="P5" s="8" t="s">
        <v>194</v>
      </c>
      <c r="Q5" s="9">
        <v>-3000</v>
      </c>
      <c r="R5" s="9"/>
      <c r="S5" s="48">
        <v>0</v>
      </c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198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207</v>
      </c>
      <c r="G6" s="9">
        <v>-1500</v>
      </c>
      <c r="H6" s="9"/>
      <c r="I6" s="48"/>
      <c r="J6" s="21">
        <f t="shared" si="2"/>
        <v>21000</v>
      </c>
      <c r="K6" s="8" t="s">
        <v>207</v>
      </c>
      <c r="L6" s="9">
        <v>3000</v>
      </c>
      <c r="M6" s="9"/>
      <c r="N6" s="48"/>
      <c r="O6" s="21">
        <f t="shared" si="3"/>
        <v>39500</v>
      </c>
      <c r="P6" s="8" t="s">
        <v>207</v>
      </c>
      <c r="Q6" s="9">
        <v>-1500</v>
      </c>
      <c r="R6" s="9"/>
      <c r="S6" s="48"/>
      <c r="T6" s="21">
        <f t="shared" si="4"/>
        <v>44500</v>
      </c>
      <c r="U6" s="53">
        <f>IF($J6="","",ROUND(($J6-$J$3)/1000,1)+(_xlfn.RANK.AVG($J6,($J6,$O6,$T6),1)-2)*10)</f>
        <v>-24</v>
      </c>
      <c r="V6" s="54">
        <f>IF($O6="","",ROUND(($O6-$O$3)/1000,1)+(_xlfn.RANK.AVG($O6,($J6,$O6,$T6),1)-2)*10)</f>
        <v>4.5</v>
      </c>
      <c r="W6" s="55">
        <f>IF($T6="","",ROUND(($T6-$T$3)/1000,1)+(_xlfn.RANK.AVG($T6,($J6,$O6,$T6),1)-2)*10)</f>
        <v>19.5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ただ</v>
      </c>
      <c r="F7" s="8" t="s">
        <v>194</v>
      </c>
      <c r="G7" s="9">
        <v>-2000</v>
      </c>
      <c r="H7" s="9"/>
      <c r="I7" s="48">
        <v>-1000</v>
      </c>
      <c r="J7" s="21">
        <f t="shared" si="2"/>
        <v>18000</v>
      </c>
      <c r="K7" s="8" t="s">
        <v>194</v>
      </c>
      <c r="L7" s="9">
        <v>-3300</v>
      </c>
      <c r="M7" s="9"/>
      <c r="N7" s="48">
        <v>-1000</v>
      </c>
      <c r="O7" s="21">
        <f t="shared" si="3"/>
        <v>35200</v>
      </c>
      <c r="P7" s="8" t="s">
        <v>195</v>
      </c>
      <c r="Q7" s="9">
        <v>5300</v>
      </c>
      <c r="R7" s="9"/>
      <c r="S7" s="48">
        <v>2000</v>
      </c>
      <c r="T7" s="21">
        <f t="shared" si="4"/>
        <v>51800</v>
      </c>
      <c r="U7" s="53">
        <f>IF($J7="","",ROUND(($J7-$J$3)/1000,1)+(_xlfn.RANK.AVG($J7,($J7,$O7,$T7),1)-2)*10)</f>
        <v>-27</v>
      </c>
      <c r="V7" s="54">
        <f>IF($O7="","",ROUND(($O7-$O$3)/1000,1)+(_xlfn.RANK.AVG($O7,($J7,$O7,$T7),1)-2)*10)</f>
        <v>0.2</v>
      </c>
      <c r="W7" s="55">
        <f>IF($T7="","",ROUND(($T7-$T$3)/1000,1)+(_xlfn.RANK.AVG($T7,($J7,$O7,$T7),1)-2)*10)</f>
        <v>26.8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197</v>
      </c>
      <c r="BV7" s="41" t="s">
        <v>82</v>
      </c>
      <c r="BW7" s="41" t="s">
        <v>83</v>
      </c>
      <c r="BX7" s="41" t="s">
        <v>84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18000</v>
      </c>
      <c r="K8" s="8" t="s">
        <v>199</v>
      </c>
      <c r="L8" s="9">
        <v>-7700</v>
      </c>
      <c r="M8" s="9"/>
      <c r="N8" s="48">
        <v>0</v>
      </c>
      <c r="O8" s="21">
        <f t="shared" si="3"/>
        <v>27500</v>
      </c>
      <c r="P8" s="8" t="s">
        <v>200</v>
      </c>
      <c r="Q8" s="9">
        <v>7700</v>
      </c>
      <c r="R8" s="9"/>
      <c r="S8" s="48">
        <v>0</v>
      </c>
      <c r="T8" s="21">
        <f t="shared" si="4"/>
        <v>59500</v>
      </c>
      <c r="U8" s="53">
        <f>IF($J8="","",ROUND(($J8-$J$3)/1000,1)+(_xlfn.RANK.AVG($J8,($J8,$O8,$T8),1)-2)*10)</f>
        <v>-27</v>
      </c>
      <c r="V8" s="54">
        <f>IF($O8="","",ROUND(($O8-$O$3)/1000,1)+(_xlfn.RANK.AVG($O8,($J8,$O8,$T8),1)-2)*10)</f>
        <v>-7.5</v>
      </c>
      <c r="W8" s="55">
        <f>IF($T8="","",ROUND(($T8-$T$3)/1000,1)+(_xlfn.RANK.AVG($T8,($J8,$O8,$T8),1)-2)*10)</f>
        <v>34.5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197</v>
      </c>
      <c r="BV8" s="41" t="s">
        <v>84</v>
      </c>
      <c r="BW8" s="41" t="s">
        <v>198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18000</v>
      </c>
      <c r="K9" s="8" t="s">
        <v>199</v>
      </c>
      <c r="L9" s="9">
        <v>-2000</v>
      </c>
      <c r="M9" s="9"/>
      <c r="N9" s="48">
        <v>-1000</v>
      </c>
      <c r="O9" s="21">
        <f t="shared" si="3"/>
        <v>24500</v>
      </c>
      <c r="P9" s="8" t="s">
        <v>200</v>
      </c>
      <c r="Q9" s="9">
        <v>2000</v>
      </c>
      <c r="R9" s="9"/>
      <c r="S9" s="48">
        <v>1000</v>
      </c>
      <c r="T9" s="21">
        <f t="shared" si="4"/>
        <v>62500</v>
      </c>
      <c r="U9" s="53">
        <f>IF($J9="","",ROUND(($J9-$J$3)/1000,1)+(_xlfn.RANK.AVG($J9,($J9,$O9,$T9),1)-2)*10)</f>
        <v>-27</v>
      </c>
      <c r="V9" s="54">
        <f>IF($O9="","",ROUND(($O9-$O$3)/1000,1)+(_xlfn.RANK.AVG($O9,($J9,$O9,$T9),1)-2)*10)</f>
        <v>-10.5</v>
      </c>
      <c r="W9" s="55">
        <f>IF($T9="","",ROUND(($T9-$T$3)/1000,1)+(_xlfn.RANK.AVG($T9,($J9,$O9,$T9),1)-2)*10)</f>
        <v>37.5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</v>
      </c>
      <c r="BT9" s="30">
        <v>40</v>
      </c>
      <c r="BU9" s="40" t="s">
        <v>197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れんたろう</v>
      </c>
      <c r="F10" s="8" t="s">
        <v>194</v>
      </c>
      <c r="G10" s="9">
        <v>-3000</v>
      </c>
      <c r="H10" s="9"/>
      <c r="I10" s="48">
        <v>-1000</v>
      </c>
      <c r="J10" s="21">
        <f t="shared" si="2"/>
        <v>14000</v>
      </c>
      <c r="K10" s="8" t="s">
        <v>194</v>
      </c>
      <c r="L10" s="9">
        <v>-3000</v>
      </c>
      <c r="M10" s="9"/>
      <c r="N10" s="48">
        <v>-1000</v>
      </c>
      <c r="O10" s="21">
        <f t="shared" si="3"/>
        <v>20500</v>
      </c>
      <c r="P10" s="8" t="s">
        <v>195</v>
      </c>
      <c r="Q10" s="9">
        <v>6000</v>
      </c>
      <c r="R10" s="9"/>
      <c r="S10" s="48">
        <v>2000</v>
      </c>
      <c r="T10" s="21">
        <f t="shared" si="4"/>
        <v>70500</v>
      </c>
      <c r="U10" s="53">
        <f>IF($J10="","",ROUND(($J10-$J$3)/1000,1)+(_xlfn.RANK.AVG($J10,($J10,$O10,$T10),1)-2)*10)</f>
        <v>-31</v>
      </c>
      <c r="V10" s="54">
        <f>IF($O10="","",ROUND(($O10-$O$3)/1000,1)+(_xlfn.RANK.AVG($O10,($J10,$O10,$T10),1)-2)*10)</f>
        <v>-14.5</v>
      </c>
      <c r="W10" s="55">
        <f>IF($T10="","",ROUND(($T10-$T$3)/1000,1)+(_xlfn.RANK.AVG($T10,($J10,$O10,$T10),1)-2)*10)</f>
        <v>45.5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30</v>
      </c>
      <c r="BU10" s="40" t="s">
        <v>82</v>
      </c>
      <c r="BV10" s="41" t="s">
        <v>85</v>
      </c>
      <c r="BW10" s="41" t="s">
        <v>198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3</v>
      </c>
      <c r="D11" s="18">
        <f t="shared" si="1"/>
        <v>0</v>
      </c>
      <c r="E11" s="4" t="str">
        <f>IF($P$1="","",$P$1)</f>
        <v>れんたろう</v>
      </c>
      <c r="F11" s="8" t="s">
        <v>194</v>
      </c>
      <c r="G11" s="9">
        <v>-3900</v>
      </c>
      <c r="H11" s="9">
        <v>-1000</v>
      </c>
      <c r="I11" s="48">
        <v>-1500</v>
      </c>
      <c r="J11" s="21">
        <f t="shared" si="2"/>
        <v>7600</v>
      </c>
      <c r="K11" s="8" t="s">
        <v>194</v>
      </c>
      <c r="L11" s="9">
        <v>-3900</v>
      </c>
      <c r="M11" s="9"/>
      <c r="N11" s="48">
        <v>-1500</v>
      </c>
      <c r="O11" s="21">
        <f t="shared" si="3"/>
        <v>15100</v>
      </c>
      <c r="P11" s="8" t="s">
        <v>195</v>
      </c>
      <c r="Q11" s="9">
        <v>7800</v>
      </c>
      <c r="R11" s="9">
        <v>1000</v>
      </c>
      <c r="S11" s="48">
        <v>3000</v>
      </c>
      <c r="T11" s="21">
        <f t="shared" si="4"/>
        <v>82300</v>
      </c>
      <c r="U11" s="53">
        <f>IF($J11="","",ROUND(($J11-$J$3)/1000,1)+(_xlfn.RANK.AVG($J11,($J11,$O11,$T11),1)-2)*10)</f>
        <v>-37.4</v>
      </c>
      <c r="V11" s="54">
        <f>IF($O11="","",ROUND(($O11-$O$3)/1000,1)+(_xlfn.RANK.AVG($O11,($J11,$O11,$T11),1)-2)*10)</f>
        <v>-19.899999999999999</v>
      </c>
      <c r="W11" s="55">
        <f>IF($T11="","",ROUND(($T11-$T$3)/1000,1)+(_xlfn.RANK.AVG($T11,($J11,$O11,$T11),1)-2)*10)</f>
        <v>57.3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20</v>
      </c>
      <c r="BU11" s="40" t="s">
        <v>197</v>
      </c>
      <c r="BV11" s="41" t="s">
        <v>82</v>
      </c>
      <c r="BW11" s="41" t="s">
        <v>83</v>
      </c>
      <c r="BX11" s="41" t="s">
        <v>198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4</v>
      </c>
      <c r="D12" s="18">
        <f t="shared" si="1"/>
        <v>0</v>
      </c>
      <c r="E12" s="4" t="str">
        <f>IF($P$1="","",$P$1)</f>
        <v>れんたろう</v>
      </c>
      <c r="F12" s="8" t="s">
        <v>194</v>
      </c>
      <c r="G12" s="9">
        <v>-4500</v>
      </c>
      <c r="H12" s="9"/>
      <c r="I12" s="48">
        <v>-2000</v>
      </c>
      <c r="J12" s="21">
        <f t="shared" si="2"/>
        <v>1100</v>
      </c>
      <c r="K12" s="8" t="s">
        <v>195</v>
      </c>
      <c r="L12" s="9">
        <v>12000</v>
      </c>
      <c r="M12" s="9"/>
      <c r="N12" s="48">
        <v>4000</v>
      </c>
      <c r="O12" s="21">
        <f t="shared" si="3"/>
        <v>31100</v>
      </c>
      <c r="P12" s="8" t="s">
        <v>194</v>
      </c>
      <c r="Q12" s="9">
        <v>-7500</v>
      </c>
      <c r="R12" s="9"/>
      <c r="S12" s="48">
        <v>-2000</v>
      </c>
      <c r="T12" s="21">
        <f t="shared" si="4"/>
        <v>72800</v>
      </c>
      <c r="U12" s="53">
        <f>IF($J12="","",ROUND(($J12-$J$3)/1000,1)+(_xlfn.RANK.AVG($J12,($J12,$O12,$T12),1)-2)*10)</f>
        <v>-43.9</v>
      </c>
      <c r="V12" s="54">
        <f>IF($O12="","",ROUND(($O12-$O$3)/1000,1)+(_xlfn.RANK.AVG($O12,($J12,$O12,$T12),1)-2)*10)</f>
        <v>-3.9</v>
      </c>
      <c r="W12" s="55">
        <f>IF($T12="","",ROUND(($T12-$T$3)/1000,1)+(_xlfn.RANK.AVG($T12,($J12,$O12,$T12),1)-2)*10)</f>
        <v>47.8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6</v>
      </c>
      <c r="AY12" s="30" t="s">
        <v>196</v>
      </c>
      <c r="AZ12" s="40" t="s">
        <v>197</v>
      </c>
      <c r="BA12" s="41" t="s">
        <v>83</v>
      </c>
      <c r="BB12" s="41" t="s">
        <v>198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だいち</v>
      </c>
      <c r="F13" s="8" t="s">
        <v>195</v>
      </c>
      <c r="G13" s="9">
        <v>6000</v>
      </c>
      <c r="H13" s="9"/>
      <c r="I13" s="48">
        <v>0</v>
      </c>
      <c r="J13" s="21">
        <f t="shared" si="2"/>
        <v>7100</v>
      </c>
      <c r="K13" s="8" t="s">
        <v>194</v>
      </c>
      <c r="L13" s="9">
        <v>-3000</v>
      </c>
      <c r="M13" s="9"/>
      <c r="N13" s="48">
        <v>0</v>
      </c>
      <c r="O13" s="21">
        <f t="shared" si="3"/>
        <v>28100</v>
      </c>
      <c r="P13" s="8" t="s">
        <v>194</v>
      </c>
      <c r="Q13" s="9">
        <v>-3000</v>
      </c>
      <c r="R13" s="9"/>
      <c r="S13" s="48">
        <v>0</v>
      </c>
      <c r="T13" s="21">
        <f t="shared" si="4"/>
        <v>69800</v>
      </c>
      <c r="U13" s="53">
        <f>IF($J13="","",ROUND(($J13-$J$3)/1000,1)+(_xlfn.RANK.AVG($J13,($J13,$O13,$T13),1)-2)*10)</f>
        <v>-37.9</v>
      </c>
      <c r="V13" s="54">
        <f>IF($O13="","",ROUND(($O13-$O$3)/1000,1)+(_xlfn.RANK.AVG($O13,($J13,$O13,$T13),1)-2)*10)</f>
        <v>-6.9</v>
      </c>
      <c r="W13" s="55">
        <f>IF($T13="","",ROUND(($T13-$T$3)/1000,1)+(_xlfn.RANK.AVG($T13,($J13,$O13,$T13),1)-2)*10)</f>
        <v>44.8</v>
      </c>
      <c r="Y13" s="8"/>
      <c r="Z13" s="34"/>
      <c r="AA13" s="26">
        <v>1</v>
      </c>
      <c r="AB13" s="26"/>
      <c r="AC13" s="26">
        <v>3</v>
      </c>
      <c r="AD13" s="30">
        <v>30</v>
      </c>
      <c r="AE13" s="40" t="s">
        <v>197</v>
      </c>
      <c r="AF13" s="41" t="s">
        <v>82</v>
      </c>
      <c r="AG13" s="41" t="s">
        <v>80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tr">
        <f>IF($F$1="","",$F$1)</f>
        <v>だいち</v>
      </c>
      <c r="F14" s="8"/>
      <c r="G14" s="9"/>
      <c r="H14" s="9">
        <v>-1000</v>
      </c>
      <c r="I14" s="48"/>
      <c r="J14" s="21">
        <f t="shared" si="2"/>
        <v>6100</v>
      </c>
      <c r="K14" s="8" t="s">
        <v>200</v>
      </c>
      <c r="L14" s="9">
        <v>7700</v>
      </c>
      <c r="M14" s="9">
        <v>1000</v>
      </c>
      <c r="N14" s="48">
        <v>1000</v>
      </c>
      <c r="O14" s="21">
        <f t="shared" si="3"/>
        <v>37800</v>
      </c>
      <c r="P14" s="8" t="s">
        <v>199</v>
      </c>
      <c r="Q14" s="9">
        <v>-7700</v>
      </c>
      <c r="R14" s="9"/>
      <c r="S14" s="48">
        <v>-1000</v>
      </c>
      <c r="T14" s="21">
        <f t="shared" si="4"/>
        <v>61100</v>
      </c>
      <c r="U14" s="53">
        <f>IF($J14="","",ROUND(($J14-$J$3)/1000,1)+(_xlfn.RANK.AVG($J14,($J14,$O14,$T14),1)-2)*10)</f>
        <v>-38.9</v>
      </c>
      <c r="V14" s="54">
        <f>IF($O14="","",ROUND(($O14-$O$3)/1000,1)+(_xlfn.RANK.AVG($O14,($J14,$O14,$T14),1)-2)*10)</f>
        <v>2.8</v>
      </c>
      <c r="W14" s="55">
        <f>IF($T14="","",ROUND(($T14-$T$3)/1000,1)+(_xlfn.RANK.AVG($T14,($J14,$O14,$T14),1)-2)*10)</f>
        <v>36.1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86</v>
      </c>
      <c r="BA14" s="41" t="s">
        <v>79</v>
      </c>
      <c r="BB14" s="41" t="s">
        <v>79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tr">
        <f>IF($K$1="","",$K$1)</f>
        <v>ただ</v>
      </c>
      <c r="F15" s="8" t="s">
        <v>199</v>
      </c>
      <c r="G15" s="9">
        <v>-6400</v>
      </c>
      <c r="H15" s="9">
        <v>-1000</v>
      </c>
      <c r="I15" s="48">
        <v>0</v>
      </c>
      <c r="J15" s="21">
        <f t="shared" si="2"/>
        <v>-1300</v>
      </c>
      <c r="K15" s="8"/>
      <c r="L15" s="9"/>
      <c r="M15" s="9"/>
      <c r="N15" s="48"/>
      <c r="O15" s="21">
        <f t="shared" si="3"/>
        <v>37800</v>
      </c>
      <c r="P15" s="8" t="s">
        <v>200</v>
      </c>
      <c r="Q15" s="9">
        <v>6400</v>
      </c>
      <c r="R15" s="9">
        <v>1000</v>
      </c>
      <c r="S15" s="48">
        <v>0</v>
      </c>
      <c r="T15" s="21">
        <f t="shared" si="4"/>
        <v>68500</v>
      </c>
      <c r="U15" s="53">
        <f>IF($J15="","",ROUND(($J15-$J$3)/1000,1)+(_xlfn.RANK.AVG($J15,($J15,$O15,$T15),1)-2)*10)</f>
        <v>-46.3</v>
      </c>
      <c r="V15" s="54">
        <f>IF($O15="","",ROUND(($O15-$O$3)/1000,1)+(_xlfn.RANK.AVG($O15,($J15,$O15,$T15),1)-2)*10)</f>
        <v>2.8</v>
      </c>
      <c r="W15" s="55">
        <f>IF($T15="","",ROUND(($T15-$T$3)/1000,1)+(_xlfn.RANK.AVG($T15,($J15,$O15,$T15),1)-2)*10)</f>
        <v>43.5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4</v>
      </c>
      <c r="BT15" s="30">
        <v>25</v>
      </c>
      <c r="BU15" s="40" t="s">
        <v>101</v>
      </c>
      <c r="BV15" s="41" t="s">
        <v>79</v>
      </c>
      <c r="BW15" s="41" t="s">
        <v>79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れんたろう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A8DD300-9F30-4551-872F-AAB7DC8A442C}">
      <formula1>$U$2:$W$2</formula1>
    </dataValidation>
    <dataValidation type="list" showInputMessage="1" showErrorMessage="1" sqref="K4:K30 P4:P30 F4:F30" xr:uid="{FA3CB8A0-0399-4E47-83AA-99AFD25B2E20}">
      <formula1>"ロン,ツモ,放銃,ツモ支払,流局,チョンボ"</formula1>
    </dataValidation>
    <dataValidation type="list" allowBlank="1" showInputMessage="1" sqref="F1:T1" xr:uid="{E46D8B5E-5239-45B1-A8E0-AF1DE52DFBF2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2020-06-24T16:28:40Z</dcterms:modified>
</cp:coreProperties>
</file>