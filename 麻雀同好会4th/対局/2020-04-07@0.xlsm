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359CB7A2-DF2A-49E1-8BC7-5AE2C1F4D1D8}" xr6:coauthVersionLast="44" xr6:coauthVersionMax="44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3" l="1"/>
  <c r="E9" i="23"/>
  <c r="E8" i="23" l="1"/>
  <c r="D8" i="23" s="1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 s="1"/>
  <c r="D9" i="23"/>
  <c r="C9" i="23"/>
  <c r="C6" i="23"/>
  <c r="D6" i="23"/>
  <c r="O5" i="23"/>
  <c r="O6" i="23" s="1"/>
  <c r="C5" i="23"/>
  <c r="T4" i="23"/>
  <c r="T5" i="23" s="1"/>
  <c r="O4" i="23"/>
  <c r="V4" i="23" s="1"/>
  <c r="J4" i="23"/>
  <c r="J5" i="23" s="1"/>
  <c r="E4" i="23"/>
  <c r="W3" i="23"/>
  <c r="V3" i="23"/>
  <c r="U3" i="23"/>
  <c r="W2" i="23"/>
  <c r="V2" i="23"/>
  <c r="U2" i="23"/>
  <c r="BO1" i="23"/>
  <c r="AT1" i="23"/>
  <c r="Y1" i="23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C13" i="22"/>
  <c r="D13" i="22"/>
  <c r="D12" i="22"/>
  <c r="C12" i="22"/>
  <c r="D11" i="22"/>
  <c r="C11" i="22"/>
  <c r="D9" i="22"/>
  <c r="T5" i="22"/>
  <c r="T6" i="22" s="1"/>
  <c r="C5" i="22"/>
  <c r="D5" i="22"/>
  <c r="T4" i="22"/>
  <c r="O4" i="22"/>
  <c r="J4" i="22"/>
  <c r="J5" i="22" s="1"/>
  <c r="E4" i="22"/>
  <c r="W3" i="22"/>
  <c r="V3" i="22"/>
  <c r="U3" i="22"/>
  <c r="W2" i="22"/>
  <c r="V2" i="22"/>
  <c r="U2" i="22"/>
  <c r="BO1" i="22"/>
  <c r="AT1" i="22"/>
  <c r="Y1" i="22"/>
  <c r="J6" i="23" l="1"/>
  <c r="U5" i="23"/>
  <c r="B7" i="23"/>
  <c r="W5" i="23"/>
  <c r="T6" i="23"/>
  <c r="B6" i="23"/>
  <c r="O7" i="23"/>
  <c r="V6" i="23"/>
  <c r="C7" i="23"/>
  <c r="B5" i="23"/>
  <c r="A5" i="23" s="1"/>
  <c r="V5" i="23"/>
  <c r="D7" i="23"/>
  <c r="D5" i="23"/>
  <c r="C8" i="23"/>
  <c r="U4" i="23"/>
  <c r="W4" i="23"/>
  <c r="W4" i="22"/>
  <c r="C14" i="22"/>
  <c r="J6" i="22"/>
  <c r="T7" i="22"/>
  <c r="C6" i="22"/>
  <c r="V4" i="22"/>
  <c r="O5" i="22"/>
  <c r="W5" i="22" s="1"/>
  <c r="D6" i="22"/>
  <c r="D14" i="22"/>
  <c r="B7" i="22"/>
  <c r="B8" i="22" s="1"/>
  <c r="C7" i="22"/>
  <c r="C8" i="22" s="1"/>
  <c r="C9" i="22" s="1"/>
  <c r="B5" i="22"/>
  <c r="D7" i="22"/>
  <c r="D8" i="22" s="1"/>
  <c r="C10" i="22"/>
  <c r="A5" i="22"/>
  <c r="D10" i="22"/>
  <c r="B6" i="22"/>
  <c r="U4" i="22"/>
  <c r="A15" i="21"/>
  <c r="E14" i="21"/>
  <c r="C14" i="21" s="1"/>
  <c r="E13" i="21"/>
  <c r="E12" i="21"/>
  <c r="E11" i="21"/>
  <c r="E10" i="21"/>
  <c r="C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C15" i="21"/>
  <c r="B15" i="21"/>
  <c r="T14" i="21"/>
  <c r="O14" i="21"/>
  <c r="J14" i="21"/>
  <c r="U14" i="21" s="1"/>
  <c r="D14" i="21"/>
  <c r="T13" i="21"/>
  <c r="O13" i="21"/>
  <c r="V13" i="21" s="1"/>
  <c r="J13" i="21"/>
  <c r="D13" i="21"/>
  <c r="C13" i="21"/>
  <c r="B13" i="21"/>
  <c r="A13" i="21"/>
  <c r="T12" i="2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T10" i="21"/>
  <c r="O10" i="21"/>
  <c r="J10" i="21"/>
  <c r="U10" i="21" s="1"/>
  <c r="D7" i="21"/>
  <c r="C7" i="21"/>
  <c r="T5" i="21"/>
  <c r="T6" i="21" s="1"/>
  <c r="J5" i="21"/>
  <c r="J6" i="21" s="1"/>
  <c r="C5" i="21"/>
  <c r="D5" i="21"/>
  <c r="T4" i="21"/>
  <c r="O4" i="21"/>
  <c r="O5" i="21" s="1"/>
  <c r="J4" i="21"/>
  <c r="E4" i="21"/>
  <c r="B5" i="21" s="1"/>
  <c r="A5" i="21" s="1"/>
  <c r="W3" i="21"/>
  <c r="V3" i="21"/>
  <c r="U3" i="21"/>
  <c r="W2" i="21"/>
  <c r="V2" i="21"/>
  <c r="U2" i="21"/>
  <c r="BO1" i="21"/>
  <c r="AT1" i="21"/>
  <c r="Y1" i="2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8" i="20"/>
  <c r="O7" i="20"/>
  <c r="O8" i="20" s="1"/>
  <c r="D7" i="20"/>
  <c r="C7" i="20"/>
  <c r="O6" i="20"/>
  <c r="J6" i="20"/>
  <c r="J7" i="20" s="1"/>
  <c r="D6" i="20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B8" i="23" l="1"/>
  <c r="J7" i="23"/>
  <c r="V7" i="23" s="1"/>
  <c r="U6" i="23"/>
  <c r="O8" i="23"/>
  <c r="T7" i="23"/>
  <c r="W6" i="23"/>
  <c r="A6" i="23"/>
  <c r="A7" i="23" s="1"/>
  <c r="U5" i="22"/>
  <c r="B9" i="22"/>
  <c r="A6" i="22"/>
  <c r="A7" i="22" s="1"/>
  <c r="A8" i="22" s="1"/>
  <c r="O6" i="22"/>
  <c r="V5" i="22"/>
  <c r="T8" i="22"/>
  <c r="J7" i="22"/>
  <c r="D15" i="21"/>
  <c r="V14" i="21"/>
  <c r="W14" i="21"/>
  <c r="B14" i="21"/>
  <c r="A14" i="21" s="1"/>
  <c r="W13" i="21"/>
  <c r="U13" i="21"/>
  <c r="W12" i="21"/>
  <c r="U12" i="21"/>
  <c r="V11" i="21"/>
  <c r="W11" i="21"/>
  <c r="V10" i="21"/>
  <c r="W10" i="21"/>
  <c r="B10" i="21"/>
  <c r="A10" i="21" s="1"/>
  <c r="D10" i="21"/>
  <c r="U4" i="21"/>
  <c r="W4" i="21"/>
  <c r="J7" i="21"/>
  <c r="O6" i="21"/>
  <c r="W6" i="21" s="1"/>
  <c r="V5" i="21"/>
  <c r="C9" i="21"/>
  <c r="T7" i="21"/>
  <c r="W5" i="21"/>
  <c r="B7" i="21"/>
  <c r="C8" i="21"/>
  <c r="B6" i="21"/>
  <c r="A6" i="21" s="1"/>
  <c r="D8" i="21"/>
  <c r="D9" i="21" s="1"/>
  <c r="C6" i="21"/>
  <c r="V4" i="21"/>
  <c r="D6" i="21"/>
  <c r="U5" i="21"/>
  <c r="V5" i="20"/>
  <c r="J8" i="20"/>
  <c r="T6" i="20"/>
  <c r="U5" i="20"/>
  <c r="W5" i="20"/>
  <c r="O9" i="20"/>
  <c r="B5" i="20"/>
  <c r="A5" i="20" s="1"/>
  <c r="C10" i="20"/>
  <c r="C5" i="20"/>
  <c r="D5" i="20"/>
  <c r="U6" i="20"/>
  <c r="C8" i="20"/>
  <c r="C9" i="20" s="1"/>
  <c r="U4" i="20"/>
  <c r="C6" i="20"/>
  <c r="B6" i="20"/>
  <c r="V4" i="20"/>
  <c r="W4" i="20"/>
  <c r="D9" i="20"/>
  <c r="E4" i="19"/>
  <c r="B9" i="23" l="1"/>
  <c r="A8" i="23"/>
  <c r="T8" i="23"/>
  <c r="W7" i="23"/>
  <c r="O9" i="23"/>
  <c r="U7" i="23"/>
  <c r="J8" i="23"/>
  <c r="A9" i="22"/>
  <c r="O7" i="22"/>
  <c r="W7" i="22" s="1"/>
  <c r="V6" i="22"/>
  <c r="U6" i="22"/>
  <c r="W6" i="22"/>
  <c r="T9" i="22"/>
  <c r="J8" i="22"/>
  <c r="B10" i="22"/>
  <c r="A10" i="22" s="1"/>
  <c r="A7" i="21"/>
  <c r="B8" i="21"/>
  <c r="A8" i="21" s="1"/>
  <c r="O7" i="21"/>
  <c r="V6" i="21"/>
  <c r="J8" i="21"/>
  <c r="U6" i="21"/>
  <c r="T8" i="21"/>
  <c r="A6" i="20"/>
  <c r="B7" i="20"/>
  <c r="J9" i="20"/>
  <c r="T7" i="20"/>
  <c r="W6" i="20"/>
  <c r="V6" i="20"/>
  <c r="O10" i="20"/>
  <c r="W3" i="19"/>
  <c r="V3" i="19"/>
  <c r="U3" i="19"/>
  <c r="A9" i="23" l="1"/>
  <c r="J9" i="23"/>
  <c r="U8" i="23"/>
  <c r="V8" i="23"/>
  <c r="T9" i="23"/>
  <c r="W8" i="23"/>
  <c r="U7" i="22"/>
  <c r="J9" i="22"/>
  <c r="O8" i="22"/>
  <c r="U8" i="22" s="1"/>
  <c r="V7" i="22"/>
  <c r="T10" i="22"/>
  <c r="B11" i="22"/>
  <c r="J9" i="21"/>
  <c r="V7" i="21"/>
  <c r="O8" i="21"/>
  <c r="B9" i="21"/>
  <c r="A9" i="21" s="1"/>
  <c r="W7" i="21"/>
  <c r="T9" i="21"/>
  <c r="U7" i="21"/>
  <c r="B8" i="20"/>
  <c r="A8" i="20"/>
  <c r="A7" i="20"/>
  <c r="O11" i="20"/>
  <c r="J10" i="20"/>
  <c r="T8" i="20"/>
  <c r="W7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9" i="23" l="1"/>
  <c r="V9" i="23"/>
  <c r="U9" i="23"/>
  <c r="J10" i="22"/>
  <c r="W9" i="22"/>
  <c r="T11" i="22"/>
  <c r="O9" i="22"/>
  <c r="U9" i="22" s="1"/>
  <c r="V8" i="22"/>
  <c r="W8" i="22"/>
  <c r="B12" i="22"/>
  <c r="A12" i="22" s="1"/>
  <c r="A11" i="22"/>
  <c r="O9" i="21"/>
  <c r="V9" i="21" s="1"/>
  <c r="V8" i="21"/>
  <c r="U8" i="21"/>
  <c r="W8" i="21"/>
  <c r="B9" i="20"/>
  <c r="T9" i="20"/>
  <c r="W8" i="20"/>
  <c r="V8" i="20"/>
  <c r="U8" i="20"/>
  <c r="J11" i="20"/>
  <c r="V11" i="19"/>
  <c r="U11" i="19"/>
  <c r="W11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10" i="22" l="1"/>
  <c r="J11" i="22"/>
  <c r="B13" i="22"/>
  <c r="O10" i="22"/>
  <c r="V9" i="22"/>
  <c r="W10" i="22"/>
  <c r="T12" i="22"/>
  <c r="U9" i="21"/>
  <c r="W9" i="21"/>
  <c r="W9" i="20"/>
  <c r="T10" i="20"/>
  <c r="V9" i="20"/>
  <c r="U9" i="20"/>
  <c r="B10" i="20"/>
  <c r="A9" i="20"/>
  <c r="W5" i="19"/>
  <c r="V5" i="19"/>
  <c r="U5" i="19"/>
  <c r="J12" i="22" l="1"/>
  <c r="U11" i="22"/>
  <c r="W11" i="22"/>
  <c r="T13" i="22"/>
  <c r="B14" i="22"/>
  <c r="A14" i="22" s="1"/>
  <c r="O11" i="22"/>
  <c r="V10" i="22"/>
  <c r="A13" i="22"/>
  <c r="T11" i="20"/>
  <c r="W10" i="20"/>
  <c r="V10" i="20"/>
  <c r="U10" i="20"/>
  <c r="B11" i="20"/>
  <c r="A11" i="20" s="1"/>
  <c r="A10" i="20"/>
  <c r="J13" i="22" l="1"/>
  <c r="U12" i="22"/>
  <c r="V11" i="22"/>
  <c r="O12" i="22"/>
  <c r="T14" i="22"/>
  <c r="W12" i="22"/>
  <c r="W11" i="20"/>
  <c r="V11" i="20"/>
  <c r="U11" i="20"/>
  <c r="U13" i="22" l="1"/>
  <c r="J14" i="22"/>
  <c r="O13" i="22"/>
  <c r="V12" i="22"/>
  <c r="U14" i="22" l="1"/>
  <c r="O14" i="22"/>
  <c r="V13" i="22"/>
  <c r="W13" i="22"/>
  <c r="V14" i="22" l="1"/>
  <c r="W14" i="22"/>
</calcChain>
</file>

<file path=xl/sharedStrings.xml><?xml version="1.0" encoding="utf-8"?>
<sst xmlns="http://schemas.openxmlformats.org/spreadsheetml/2006/main" count="947" uniqueCount="206">
  <si>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</si>
  <si>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</si>
  <si>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</si>
  <si>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</si>
  <si>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</si>
  <si>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</si>
  <si>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</si>
  <si>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</si>
  <si>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</si>
  <si>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</si>
  <si>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</si>
  <si>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</si>
  <si>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</si>
  <si>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</si>
  <si>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</si>
  <si>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</si>
  <si>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</si>
  <si>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</si>
  <si>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</si>
  <si>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</si>
  <si>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</si>
  <si>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</si>
  <si>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</si>
  <si>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</si>
  <si>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</si>
  <si>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</si>
  <si>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</si>
  <si>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</si>
  <si>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</si>
  <si>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</si>
  <si>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</si>
  <si>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</si>
  <si>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</si>
  <si>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</si>
  <si>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</si>
  <si>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</si>
  <si>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</si>
  <si>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</si>
  <si>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</si>
  <si>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</si>
  <si>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</si>
  <si>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</si>
  <si>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</si>
  <si>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</si>
  <si>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</si>
  <si>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</si>
  <si>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</si>
  <si>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</si>
  <si>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</si>
  <si>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</si>
  <si>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</si>
  <si>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</si>
  <si>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</si>
  <si>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</si>
  <si>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</si>
  <si>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</si>
  <si>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</si>
  <si>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</si>
  <si>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</si>
  <si>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</si>
  <si>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</si>
  <si>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</si>
  <si>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</si>
  <si>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</si>
  <si>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</si>
  <si>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</si>
  <si>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</si>
  <si>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</si>
  <si>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</si>
  <si>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</si>
  <si>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</si>
  <si>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</si>
  <si>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</si>
  <si>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</si>
  <si>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</si>
  <si>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</si>
  <si>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</si>
  <si>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</si>
  <si>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</si>
  <si>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</si>
  <si>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</si>
  <si>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</si>
  <si>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</si>
  <si>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</si>
  <si>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</si>
  <si>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</si>
  <si>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</si>
  <si>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</si>
  <si>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</si>
  <si>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</si>
  <si>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</si>
  <si>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</si>
  <si>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</si>
  <si>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</si>
  <si>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</si>
  <si>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</si>
  <si>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</si>
  <si>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</si>
  <si>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</si>
  <si>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</si>
  <si>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</si>
  <si>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</si>
  <si>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</si>
  <si>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</si>
  <si>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</si>
  <si>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</si>
  <si>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</si>
  <si>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</si>
  <si>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</si>
  <si>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</si>
  <si>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</si>
  <si>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</si>
  <si>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</si>
  <si>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</si>
  <si>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</si>
  <si>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</si>
  <si>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</si>
  <si>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</si>
  <si>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</si>
  <si>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</si>
  <si>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</si>
  <si>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</si>
  <si>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</si>
  <si>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</si>
  <si>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</si>
  <si>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</si>
  <si>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</si>
  <si>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</si>
  <si>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</si>
  <si>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</si>
  <si>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</si>
  <si>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</si>
  <si>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</si>
  <si>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</si>
  <si>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</si>
  <si>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</si>
  <si>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</si>
  <si>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</si>
  <si>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</si>
  <si>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</si>
  <si>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</si>
  <si>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</si>
  <si>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</si>
  <si>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</si>
  <si>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</si>
  <si>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</si>
  <si>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</si>
  <si>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</si>
  <si>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</si>
  <si>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</si>
  <si>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</si>
  <si>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</si>
  <si>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</si>
  <si>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</si>
  <si>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</si>
  <si>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</si>
  <si>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</si>
  <si>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</si>
  <si>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</si>
  <si>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</si>
  <si>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</si>
  <si>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</si>
  <si>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</si>
  <si>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</si>
  <si>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</si>
  <si>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</si>
  <si>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</si>
  <si>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</si>
  <si>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</si>
  <si>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</si>
  <si>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</si>
  <si>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</si>
  <si>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</si>
  <si>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</si>
  <si>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</si>
  <si>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</si>
  <si>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</si>
  <si>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</si>
  <si>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</si>
  <si>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</si>
  <si>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</si>
  <si>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</si>
  <si>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</si>
  <si>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</si>
  <si>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</si>
  <si>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</si>
  <si>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</si>
  <si>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</si>
  <si>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</si>
  <si>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</si>
  <si>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</si>
  <si>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</si>
  <si>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まっつん</t>
    <phoneticPr fontId="1"/>
  </si>
  <si>
    <t>ただ</t>
    <phoneticPr fontId="1"/>
  </si>
  <si>
    <t>放銃</t>
  </si>
  <si>
    <t>ロン</t>
  </si>
  <si>
    <t>01</t>
  </si>
  <si>
    <t>ツモ</t>
  </si>
  <si>
    <t>ツモ支払</t>
  </si>
  <si>
    <t>*</t>
  </si>
  <si>
    <t>52</t>
  </si>
  <si>
    <t>02</t>
  </si>
  <si>
    <t>T</t>
  </si>
  <si>
    <t>N</t>
  </si>
  <si>
    <t>流局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</si>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</sst>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1300</v>
      </c>
      <c r="R4" s="9"/>
      <c r="S4" s="48">
        <v>0</v>
      </c>
      <c r="T4" s="21">
        <f>IF(COUNTA($F4,$K4,$P4)&gt;0,T3+SUM(Q4:S4),"")</f>
        <v>36300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196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195</v>
      </c>
      <c r="G5" s="9">
        <v>2600</v>
      </c>
      <c r="H5" s="9"/>
      <c r="I5" s="48">
        <v>0</v>
      </c>
      <c r="J5" s="21">
        <f t="shared" ref="J5:J30" si="2">IF(COUNTA($F5,$K5,$P5)&gt;0,J4+SUM(G5:I5),"")</f>
        <v>36300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194</v>
      </c>
      <c r="Q5" s="9">
        <v>-2600</v>
      </c>
      <c r="R5" s="9"/>
      <c r="S5" s="48">
        <v>0</v>
      </c>
      <c r="T5" s="21">
        <f t="shared" ref="T5:T30" si="4">IF(COUNTA($F5,$K5,$P5)&gt;0,T4+SUM(Q5:S5),"")</f>
        <v>33700</v>
      </c>
      <c r="U5" s="53">
        <f>IF($J5="","",ROUND(($J5-$J$3)/1000,1)+(_xlfn.RANK.AVG($J5,($J5,$O5,$T5),1)-2)*10)</f>
        <v>11.3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-11.3</v>
      </c>
      <c r="Y5" s="8"/>
      <c r="Z5" s="34"/>
      <c r="AA5" s="26"/>
      <c r="AB5" s="26"/>
      <c r="AC5" s="26">
        <v>2</v>
      </c>
      <c r="AD5" s="30">
        <v>40</v>
      </c>
      <c r="AE5" s="40" t="s">
        <v>92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8000</v>
      </c>
      <c r="H6" s="9"/>
      <c r="I6" s="48">
        <v>0</v>
      </c>
      <c r="J6" s="21">
        <f t="shared" si="2"/>
        <v>44300</v>
      </c>
      <c r="K6" s="8" t="s">
        <v>198</v>
      </c>
      <c r="L6" s="9">
        <v>-3000</v>
      </c>
      <c r="M6" s="9"/>
      <c r="N6" s="48">
        <v>0</v>
      </c>
      <c r="O6" s="21">
        <f t="shared" si="3"/>
        <v>32000</v>
      </c>
      <c r="P6" s="8" t="s">
        <v>198</v>
      </c>
      <c r="Q6" s="9">
        <v>-5000</v>
      </c>
      <c r="R6" s="9"/>
      <c r="S6" s="48">
        <v>0</v>
      </c>
      <c r="T6" s="21">
        <f t="shared" si="4"/>
        <v>28700</v>
      </c>
      <c r="U6" s="53">
        <f>IF($J6="","",ROUND(($J6-$J$3)/1000,1)+(_xlfn.RANK.AVG($J6,($J6,$O6,$T6),1)-2)*10)</f>
        <v>19.3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-16.3</v>
      </c>
      <c r="Y6" s="8"/>
      <c r="Z6" s="34"/>
      <c r="AA6" s="26"/>
      <c r="AB6" s="26"/>
      <c r="AC6" s="26">
        <v>5</v>
      </c>
      <c r="AD6" s="30" t="s">
        <v>199</v>
      </c>
      <c r="AE6" s="40" t="s">
        <v>82</v>
      </c>
      <c r="AF6" s="41" t="s">
        <v>79</v>
      </c>
      <c r="AG6" s="41" t="s">
        <v>79</v>
      </c>
      <c r="AH6" s="41" t="s">
        <v>200</v>
      </c>
      <c r="AI6" s="41" t="s">
        <v>86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195</v>
      </c>
      <c r="G7" s="9">
        <v>11600</v>
      </c>
      <c r="H7" s="9"/>
      <c r="I7" s="48">
        <v>0</v>
      </c>
      <c r="J7" s="21">
        <f t="shared" si="2"/>
        <v>55900</v>
      </c>
      <c r="K7" s="8" t="s">
        <v>194</v>
      </c>
      <c r="L7" s="9">
        <v>-11600</v>
      </c>
      <c r="M7" s="9"/>
      <c r="N7" s="48">
        <v>0</v>
      </c>
      <c r="O7" s="21">
        <f t="shared" si="3"/>
        <v>20400</v>
      </c>
      <c r="P7" s="8"/>
      <c r="Q7" s="9"/>
      <c r="R7" s="9"/>
      <c r="S7" s="48"/>
      <c r="T7" s="21">
        <f t="shared" si="4"/>
        <v>28700</v>
      </c>
      <c r="U7" s="53">
        <f>IF($J7="","",ROUND(($J7-$J$3)/1000,1)+(_xlfn.RANK.AVG($J7,($J7,$O7,$T7),1)-2)*10)</f>
        <v>30.9</v>
      </c>
      <c r="V7" s="54">
        <f>IF($O7="","",ROUND(($O7-$O$3)/1000,1)+(_xlfn.RANK.AVG($O7,($J7,$O7,$T7),1)-2)*10)</f>
        <v>-24.6</v>
      </c>
      <c r="W7" s="55">
        <f>IF($T7="","",ROUND(($T7-$T$3)/1000,1)+(_xlfn.RANK.AVG($T7,($J7,$O7,$T7),1)-2)*10)</f>
        <v>-6.3</v>
      </c>
      <c r="Y7" s="8"/>
      <c r="Z7" s="34"/>
      <c r="AA7" s="26"/>
      <c r="AB7" s="26"/>
      <c r="AC7" s="26">
        <v>4</v>
      </c>
      <c r="AD7" s="30">
        <v>30</v>
      </c>
      <c r="AE7" s="40" t="s">
        <v>83</v>
      </c>
      <c r="AF7" s="41" t="s">
        <v>92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24000</v>
      </c>
      <c r="H8" s="9">
        <v>1000</v>
      </c>
      <c r="I8" s="48">
        <v>1000</v>
      </c>
      <c r="J8" s="21">
        <f t="shared" si="2"/>
        <v>81900</v>
      </c>
      <c r="K8" s="8" t="s">
        <v>198</v>
      </c>
      <c r="L8" s="9">
        <v>-12000</v>
      </c>
      <c r="M8" s="9">
        <v>-1000</v>
      </c>
      <c r="N8" s="48">
        <v>-500</v>
      </c>
      <c r="O8" s="21">
        <f t="shared" si="3"/>
        <v>6900</v>
      </c>
      <c r="P8" s="8" t="s">
        <v>198</v>
      </c>
      <c r="Q8" s="9">
        <v>-12000</v>
      </c>
      <c r="R8" s="9"/>
      <c r="S8" s="48">
        <v>-500</v>
      </c>
      <c r="T8" s="21">
        <f t="shared" si="4"/>
        <v>16200</v>
      </c>
      <c r="U8" s="53">
        <f>IF($J8="","",ROUND(($J8-$J$3)/1000,1)+(_xlfn.RANK.AVG($J8,($J8,$O8,$T8),1)-2)*10)</f>
        <v>56.9</v>
      </c>
      <c r="V8" s="54">
        <f>IF($O8="","",ROUND(($O8-$O$3)/1000,1)+(_xlfn.RANK.AVG($O8,($J8,$O8,$T8),1)-2)*10)</f>
        <v>-38.1</v>
      </c>
      <c r="W8" s="55">
        <f>IF($T8="","",ROUND(($T8-$T$3)/1000,1)+(_xlfn.RANK.AVG($T8,($J8,$O8,$T8),1)-2)*10)</f>
        <v>-18.8</v>
      </c>
      <c r="Y8" s="8"/>
      <c r="Z8" s="34"/>
      <c r="AA8" s="26">
        <v>1</v>
      </c>
      <c r="AB8" s="26"/>
      <c r="AC8" s="26">
        <v>8</v>
      </c>
      <c r="AD8" s="30" t="s">
        <v>199</v>
      </c>
      <c r="AE8" s="40" t="s">
        <v>196</v>
      </c>
      <c r="AF8" s="41" t="s">
        <v>82</v>
      </c>
      <c r="AG8" s="41" t="s">
        <v>201</v>
      </c>
      <c r="AH8" s="41" t="s">
        <v>85</v>
      </c>
      <c r="AI8" s="41" t="s">
        <v>84</v>
      </c>
      <c r="AJ8" s="41" t="s">
        <v>79</v>
      </c>
      <c r="AK8" s="41" t="s">
        <v>79</v>
      </c>
      <c r="AL8" s="41" t="s">
        <v>79</v>
      </c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 t="s">
        <v>194</v>
      </c>
      <c r="G9" s="9">
        <v>-2600</v>
      </c>
      <c r="H9" s="9"/>
      <c r="I9" s="48">
        <v>-2000</v>
      </c>
      <c r="J9" s="21">
        <f t="shared" si="2"/>
        <v>77300</v>
      </c>
      <c r="K9" s="8" t="s">
        <v>195</v>
      </c>
      <c r="L9" s="9">
        <v>2600</v>
      </c>
      <c r="M9" s="9"/>
      <c r="N9" s="48">
        <v>2000</v>
      </c>
      <c r="O9" s="21">
        <f t="shared" si="3"/>
        <v>11500</v>
      </c>
      <c r="P9" s="8"/>
      <c r="Q9" s="9"/>
      <c r="R9" s="9"/>
      <c r="S9" s="48"/>
      <c r="T9" s="21">
        <f t="shared" si="4"/>
        <v>16200</v>
      </c>
      <c r="U9" s="53">
        <f>IF($J9="","",ROUND(($J9-$J$3)/1000,1)+(_xlfn.RANK.AVG($J9,($J9,$O9,$T9),1)-2)*10)</f>
        <v>52.3</v>
      </c>
      <c r="V9" s="54">
        <f>IF($O9="","",ROUND(($O9-$O$3)/1000,1)+(_xlfn.RANK.AVG($O9,($J9,$O9,$T9),1)-2)*10)</f>
        <v>-33.5</v>
      </c>
      <c r="W9" s="55">
        <f>IF($T9="","",ROUND(($T9-$T$3)/1000,1)+(_xlfn.RANK.AVG($T9,($J9,$O9,$T9),1)-2)*10)</f>
        <v>-18.8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196</v>
      </c>
      <c r="BA9" s="41" t="s">
        <v>200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195</v>
      </c>
      <c r="G10" s="9">
        <v>12000</v>
      </c>
      <c r="H10" s="9"/>
      <c r="I10" s="48">
        <v>0</v>
      </c>
      <c r="J10" s="21">
        <f t="shared" si="2"/>
        <v>89300</v>
      </c>
      <c r="K10" s="8"/>
      <c r="L10" s="9"/>
      <c r="M10" s="9"/>
      <c r="N10" s="48"/>
      <c r="O10" s="21">
        <f t="shared" si="3"/>
        <v>11500</v>
      </c>
      <c r="P10" s="8" t="s">
        <v>194</v>
      </c>
      <c r="Q10" s="9">
        <v>-12000</v>
      </c>
      <c r="R10" s="9"/>
      <c r="S10" s="48">
        <v>0</v>
      </c>
      <c r="T10" s="21">
        <f t="shared" si="4"/>
        <v>4200</v>
      </c>
      <c r="U10" s="53">
        <f>IF($J10="","",ROUND(($J10-$J$3)/1000,1)+(_xlfn.RANK.AVG($J10,($J10,$O10,$T10),1)-2)*10)</f>
        <v>64.3</v>
      </c>
      <c r="V10" s="54">
        <f>IF($O10="","",ROUND(($O10-$O$3)/1000,1)+(_xlfn.RANK.AVG($O10,($J10,$O10,$T10),1)-2)*10)</f>
        <v>-23.5</v>
      </c>
      <c r="W10" s="55">
        <f>IF($T10="","",ROUND(($T10-$T$3)/1000,1)+(_xlfn.RANK.AVG($T10,($J10,$O10,$T10),1)-2)*10)</f>
        <v>-40.799999999999997</v>
      </c>
      <c r="Y10" s="8"/>
      <c r="Z10" s="34"/>
      <c r="AA10" s="26">
        <v>1</v>
      </c>
      <c r="AB10" s="26"/>
      <c r="AC10" s="26">
        <v>7</v>
      </c>
      <c r="AD10" s="30" t="s">
        <v>199</v>
      </c>
      <c r="AE10" s="40" t="s">
        <v>196</v>
      </c>
      <c r="AF10" s="41" t="s">
        <v>200</v>
      </c>
      <c r="AG10" s="41" t="s">
        <v>79</v>
      </c>
      <c r="AH10" s="41" t="s">
        <v>79</v>
      </c>
      <c r="AI10" s="41" t="s">
        <v>79</v>
      </c>
      <c r="AJ10" s="41" t="s">
        <v>79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195</v>
      </c>
      <c r="G11" s="9">
        <v>3900</v>
      </c>
      <c r="H11" s="9"/>
      <c r="I11" s="48">
        <v>0</v>
      </c>
      <c r="J11" s="21">
        <f t="shared" si="2"/>
        <v>93200</v>
      </c>
      <c r="K11" s="8"/>
      <c r="L11" s="9"/>
      <c r="M11" s="9"/>
      <c r="N11" s="48"/>
      <c r="O11" s="21">
        <f t="shared" si="3"/>
        <v>11500</v>
      </c>
      <c r="P11" s="8" t="s">
        <v>194</v>
      </c>
      <c r="Q11" s="9">
        <v>-3900</v>
      </c>
      <c r="R11" s="9"/>
      <c r="S11" s="48">
        <v>0</v>
      </c>
      <c r="T11" s="21">
        <f t="shared" si="4"/>
        <v>300</v>
      </c>
      <c r="U11" s="53">
        <f>IF($J11="","",ROUND(($J11-$J$3)/1000,1)+(_xlfn.RANK.AVG($J11,($J11,$O11,$T11),1)-2)*10)</f>
        <v>68.2</v>
      </c>
      <c r="V11" s="54">
        <f>IF($O11="","",ROUND(($O11-$O$3)/1000,1)+(_xlfn.RANK.AVG($O11,($J11,$O11,$T11),1)-2)*10)</f>
        <v>-23.5</v>
      </c>
      <c r="W11" s="55">
        <f>IF($T11="","",ROUND(($T11-$T$3)/1000,1)+(_xlfn.RANK.AVG($T11,($J11,$O11,$T11),1)-2)*10)</f>
        <v>-44.7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67711D2-2E86-45E5-A3E3-6D101A5FAB3F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7061-10D2-4A7C-93C0-39BF9AD9847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199</v>
      </c>
      <c r="AZ4" s="40" t="s">
        <v>86</v>
      </c>
      <c r="BA4" s="41" t="s">
        <v>86</v>
      </c>
      <c r="BB4" s="41" t="s">
        <v>104</v>
      </c>
      <c r="BC4" s="41" t="s">
        <v>200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-1500</v>
      </c>
      <c r="H5" s="9"/>
      <c r="I5" s="48">
        <v>0</v>
      </c>
      <c r="J5" s="21">
        <f t="shared" ref="J5:J30" si="2">IF(COUNTA($F5,$K5,$P5)&gt;0,J4+SUM(G5:I5),"")</f>
        <v>33500</v>
      </c>
      <c r="K5" s="8" t="s">
        <v>198</v>
      </c>
      <c r="L5" s="9">
        <v>-2500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197</v>
      </c>
      <c r="Q5" s="9">
        <v>4000</v>
      </c>
      <c r="R5" s="9"/>
      <c r="S5" s="48">
        <v>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60</v>
      </c>
      <c r="BU5" s="40" t="s">
        <v>86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197</v>
      </c>
      <c r="G6" s="9">
        <v>12000</v>
      </c>
      <c r="H6" s="9"/>
      <c r="I6" s="48">
        <v>0</v>
      </c>
      <c r="J6" s="21">
        <f t="shared" si="2"/>
        <v>45500</v>
      </c>
      <c r="K6" s="8" t="s">
        <v>198</v>
      </c>
      <c r="L6" s="9">
        <v>-4500</v>
      </c>
      <c r="M6" s="9"/>
      <c r="N6" s="48">
        <v>0</v>
      </c>
      <c r="O6" s="21">
        <f t="shared" si="3"/>
        <v>40000</v>
      </c>
      <c r="P6" s="8" t="s">
        <v>198</v>
      </c>
      <c r="Q6" s="9">
        <v>-7500</v>
      </c>
      <c r="R6" s="9"/>
      <c r="S6" s="48">
        <v>0</v>
      </c>
      <c r="T6" s="21">
        <f t="shared" si="4"/>
        <v>19500</v>
      </c>
      <c r="U6" s="53">
        <f>IF($J6="","",ROUND(($J6-$J$3)/1000,1)+(_xlfn.RANK.AVG($J6,($J6,$O6,$T6),1)-2)*10)</f>
        <v>20.5</v>
      </c>
      <c r="V6" s="54">
        <f>IF($O6="","",ROUND(($O6-$O$3)/1000,1)+(_xlfn.RANK.AVG($O6,($J6,$O6,$T6),1)-2)*10)</f>
        <v>5</v>
      </c>
      <c r="W6" s="55">
        <f>IF($T6="","",ROUND(($T6-$T$3)/1000,1)+(_xlfn.RANK.AVG($T6,($J6,$O6,$T6),1)-2)*10)</f>
        <v>-25.5</v>
      </c>
      <c r="Y6" s="8"/>
      <c r="Z6" s="34"/>
      <c r="AA6" s="26"/>
      <c r="AB6" s="26"/>
      <c r="AC6" s="26">
        <v>6</v>
      </c>
      <c r="AD6" s="30" t="s">
        <v>199</v>
      </c>
      <c r="AE6" s="40" t="s">
        <v>82</v>
      </c>
      <c r="AF6" s="41" t="s">
        <v>86</v>
      </c>
      <c r="AG6" s="41" t="s">
        <v>200</v>
      </c>
      <c r="AH6" s="41" t="s">
        <v>104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198</v>
      </c>
      <c r="G7" s="9">
        <v>-3300</v>
      </c>
      <c r="H7" s="9"/>
      <c r="I7" s="48">
        <v>0</v>
      </c>
      <c r="J7" s="21">
        <f t="shared" si="2"/>
        <v>42200</v>
      </c>
      <c r="K7" s="8" t="s">
        <v>197</v>
      </c>
      <c r="L7" s="9">
        <v>5300</v>
      </c>
      <c r="M7" s="9"/>
      <c r="N7" s="48">
        <v>0</v>
      </c>
      <c r="O7" s="21">
        <f t="shared" si="3"/>
        <v>45300</v>
      </c>
      <c r="P7" s="8" t="s">
        <v>198</v>
      </c>
      <c r="Q7" s="9">
        <v>-2000</v>
      </c>
      <c r="R7" s="9"/>
      <c r="S7" s="48">
        <v>0</v>
      </c>
      <c r="T7" s="21">
        <f t="shared" si="4"/>
        <v>17500</v>
      </c>
      <c r="U7" s="53">
        <f>IF($J7="","",ROUND(($J7-$J$3)/1000,1)+(_xlfn.RANK.AVG($J7,($J7,$O7,$T7),1)-2)*10)</f>
        <v>7.2</v>
      </c>
      <c r="V7" s="54">
        <f>IF($O7="","",ROUND(($O7-$O$3)/1000,1)+(_xlfn.RANK.AVG($O7,($J7,$O7,$T7),1)-2)*10)</f>
        <v>20.3</v>
      </c>
      <c r="W7" s="55">
        <f>IF($T7="","",ROUND(($T7-$T$3)/1000,1)+(_xlfn.RANK.AVG($T7,($J7,$O7,$T7),1)-2)*10)</f>
        <v>-27.5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196</v>
      </c>
      <c r="BA7" s="41" t="s">
        <v>83</v>
      </c>
      <c r="BB7" s="41" t="s">
        <v>82</v>
      </c>
      <c r="BC7" s="41" t="s">
        <v>200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204</v>
      </c>
      <c r="G8" s="9">
        <v>1500</v>
      </c>
      <c r="H8" s="9">
        <v>-1000</v>
      </c>
      <c r="I8" s="48"/>
      <c r="J8" s="21">
        <f t="shared" si="2"/>
        <v>42700</v>
      </c>
      <c r="K8" s="8" t="s">
        <v>204</v>
      </c>
      <c r="L8" s="9">
        <v>-3000</v>
      </c>
      <c r="M8" s="9"/>
      <c r="N8" s="48"/>
      <c r="O8" s="21">
        <f t="shared" si="3"/>
        <v>42300</v>
      </c>
      <c r="P8" s="8" t="s">
        <v>204</v>
      </c>
      <c r="Q8" s="9">
        <v>1500</v>
      </c>
      <c r="R8" s="9"/>
      <c r="S8" s="48"/>
      <c r="T8" s="21">
        <f t="shared" si="4"/>
        <v>19000</v>
      </c>
      <c r="U8" s="53">
        <f>IF($J8="","",ROUND(($J8-$J$3)/1000,1)+(_xlfn.RANK.AVG($J8,($J8,$O8,$T8),1)-2)*10)</f>
        <v>17.7</v>
      </c>
      <c r="V8" s="54">
        <f>IF($O8="","",ROUND(($O8-$O$3)/1000,1)+(_xlfn.RANK.AVG($O8,($J8,$O8,$T8),1)-2)*10)</f>
        <v>7.3</v>
      </c>
      <c r="W8" s="55">
        <f>IF($T8="","",ROUND(($T8-$T$3)/1000,1)+(_xlfn.RANK.AVG($T8,($J8,$O8,$T8),1)-2)*10)</f>
        <v>-26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ただ</v>
      </c>
      <c r="F9" s="8" t="s">
        <v>194</v>
      </c>
      <c r="G9" s="9">
        <v>-7700</v>
      </c>
      <c r="H9" s="9"/>
      <c r="I9" s="48">
        <v>-1000</v>
      </c>
      <c r="J9" s="21">
        <f t="shared" si="2"/>
        <v>34000</v>
      </c>
      <c r="K9" s="8" t="s">
        <v>195</v>
      </c>
      <c r="L9" s="9">
        <v>7700</v>
      </c>
      <c r="M9" s="9">
        <v>2000</v>
      </c>
      <c r="N9" s="48">
        <v>1000</v>
      </c>
      <c r="O9" s="21">
        <f t="shared" si="3"/>
        <v>53000</v>
      </c>
      <c r="P9" s="8"/>
      <c r="Q9" s="9"/>
      <c r="R9" s="9">
        <v>-1000</v>
      </c>
      <c r="S9" s="48"/>
      <c r="T9" s="21">
        <f t="shared" si="4"/>
        <v>18000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28</v>
      </c>
      <c r="W9" s="55">
        <f>IF($T9="","",ROUND(($T9-$T$3)/1000,1)+(_xlfn.RANK.AVG($T9,($J9,$O9,$T9),1)-2)*10)</f>
        <v>-27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104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FA3315A6-39A7-4E87-92AD-371FEE1D472B}">
      <formula1>"れんたろう,ともき,だいち,りくと,まっつん,たかの,のり,"</formula1>
    </dataValidation>
    <dataValidation type="list" showInputMessage="1" showErrorMessage="1" sqref="K4:K30 P4:P30 F4:F30" xr:uid="{888E0E17-5BAC-4B73-9373-BC485BF70B6E}">
      <formula1>"ロン,ツモ,放銃,ツモ支払,流局,チョンボ"</formula1>
    </dataValidation>
    <dataValidation type="list" allowBlank="1" showInputMessage="1" showErrorMessage="1" sqref="E4:E30" xr:uid="{CCB2F709-4AA7-4366-8081-9FC19717992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B06A9-0A22-473E-AB13-0B1B9EF96DF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195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 t="s">
        <v>194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-12.9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2</v>
      </c>
      <c r="AD4" s="30">
        <v>30</v>
      </c>
      <c r="AE4" s="40" t="s">
        <v>83</v>
      </c>
      <c r="AF4" s="41" t="s">
        <v>85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195</v>
      </c>
      <c r="G5" s="9">
        <v>2000</v>
      </c>
      <c r="H5" s="9"/>
      <c r="I5" s="48">
        <v>1000</v>
      </c>
      <c r="J5" s="21">
        <f t="shared" ref="J5:J30" si="2">IF(COUNTA($F5,$K5,$P5)&gt;0,J4+SUM(G5:I5),"")</f>
        <v>40900</v>
      </c>
      <c r="K5" s="8" t="s">
        <v>194</v>
      </c>
      <c r="L5" s="9">
        <v>-2000</v>
      </c>
      <c r="M5" s="9"/>
      <c r="N5" s="48">
        <v>-1000</v>
      </c>
      <c r="O5" s="21">
        <f t="shared" ref="O5:O30" si="3">IF(COUNTA($F5,$K5,$P5)&gt;0,O4+SUM(L5:N5),"")</f>
        <v>29100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15.9</v>
      </c>
      <c r="V5" s="54">
        <f>IF($O5="","",ROUND(($O5-$O$3)/1000,1)+(_xlfn.RANK.AVG($O5,($J5,$O5,$T5),1)-2)*10)</f>
        <v>-15.9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1</v>
      </c>
      <c r="AD5" s="30">
        <v>40</v>
      </c>
      <c r="AE5" s="40" t="s">
        <v>84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204</v>
      </c>
      <c r="G6" s="9">
        <v>1500</v>
      </c>
      <c r="H6" s="9"/>
      <c r="I6" s="48"/>
      <c r="J6" s="21">
        <f t="shared" si="2"/>
        <v>42400</v>
      </c>
      <c r="K6" s="8" t="s">
        <v>204</v>
      </c>
      <c r="L6" s="9">
        <v>-3000</v>
      </c>
      <c r="M6" s="9">
        <v>1000</v>
      </c>
      <c r="N6" s="48"/>
      <c r="O6" s="21">
        <f t="shared" si="3"/>
        <v>27100</v>
      </c>
      <c r="P6" s="8" t="s">
        <v>204</v>
      </c>
      <c r="Q6" s="9">
        <v>1500</v>
      </c>
      <c r="R6" s="9">
        <v>-1000</v>
      </c>
      <c r="S6" s="48"/>
      <c r="T6" s="21">
        <f t="shared" si="4"/>
        <v>35500</v>
      </c>
      <c r="U6" s="53">
        <f>IF($J6="","",ROUND(($J6-$J$3)/1000,1)+(_xlfn.RANK.AVG($J6,($J6,$O6,$T6),1)-2)*10)</f>
        <v>17.399999999999999</v>
      </c>
      <c r="V6" s="54">
        <f>IF($O6="","",ROUND(($O6-$O$3)/1000,1)+(_xlfn.RANK.AVG($O6,($J6,$O6,$T6),1)-2)*10)</f>
        <v>-17.899999999999999</v>
      </c>
      <c r="W6" s="55">
        <f>IF($T6="","",ROUND(($T6-$T$3)/1000,1)+(_xlfn.RANK.AVG($T6,($J6,$O6,$T6),1)-2)*10)</f>
        <v>0.5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204</v>
      </c>
      <c r="G7" s="9">
        <v>-1500</v>
      </c>
      <c r="H7" s="9"/>
      <c r="I7" s="48"/>
      <c r="J7" s="21">
        <f t="shared" si="2"/>
        <v>40900</v>
      </c>
      <c r="K7" s="8" t="s">
        <v>204</v>
      </c>
      <c r="L7" s="9">
        <v>-1500</v>
      </c>
      <c r="M7" s="9"/>
      <c r="N7" s="48"/>
      <c r="O7" s="21">
        <f t="shared" si="3"/>
        <v>25600</v>
      </c>
      <c r="P7" s="8" t="s">
        <v>204</v>
      </c>
      <c r="Q7" s="9">
        <v>3000</v>
      </c>
      <c r="R7" s="9"/>
      <c r="S7" s="48"/>
      <c r="T7" s="21">
        <f t="shared" si="4"/>
        <v>38500</v>
      </c>
      <c r="U7" s="53">
        <f>IF($J7="","",ROUND(($J7-$J$3)/1000,1)+(_xlfn.RANK.AVG($J7,($J7,$O7,$T7),1)-2)*10)</f>
        <v>15.9</v>
      </c>
      <c r="V7" s="54">
        <f>IF($O7="","",ROUND(($O7-$O$3)/1000,1)+(_xlfn.RANK.AVG($O7,($J7,$O7,$T7),1)-2)*10)</f>
        <v>-19.399999999999999</v>
      </c>
      <c r="W7" s="55">
        <f>IF($T7="","",ROUND(($T7-$T$3)/1000,1)+(_xlfn.RANK.AVG($T7,($J7,$O7,$T7),1)-2)*10)</f>
        <v>3.5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まっつん</v>
      </c>
      <c r="F8" s="8" t="s">
        <v>194</v>
      </c>
      <c r="G8" s="9">
        <v>-3900</v>
      </c>
      <c r="H8" s="9"/>
      <c r="I8" s="48">
        <v>-4000</v>
      </c>
      <c r="J8" s="21">
        <f t="shared" si="2"/>
        <v>33000</v>
      </c>
      <c r="K8" s="8" t="s">
        <v>195</v>
      </c>
      <c r="L8" s="9">
        <v>3900</v>
      </c>
      <c r="M8" s="9"/>
      <c r="N8" s="48">
        <v>4000</v>
      </c>
      <c r="O8" s="21">
        <f t="shared" si="3"/>
        <v>33500</v>
      </c>
      <c r="P8" s="8"/>
      <c r="Q8" s="9"/>
      <c r="R8" s="9"/>
      <c r="S8" s="48"/>
      <c r="T8" s="21">
        <f t="shared" si="4"/>
        <v>38500</v>
      </c>
      <c r="U8" s="53">
        <f>IF($J8="","",ROUND(($J8-$J$3)/1000,1)+(_xlfn.RANK.AVG($J8,($J8,$O8,$T8),1)-2)*10)</f>
        <v>-12</v>
      </c>
      <c r="V8" s="54">
        <f>IF($O8="","",ROUND(($O8-$O$3)/1000,1)+(_xlfn.RANK.AVG($O8,($J8,$O8,$T8),1)-2)*10)</f>
        <v>-1.5</v>
      </c>
      <c r="W8" s="55">
        <f>IF($T8="","",ROUND(($T8-$T$3)/1000,1)+(_xlfn.RANK.AVG($T8,($J8,$O8,$T8),1)-2)*10)</f>
        <v>13.5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86</v>
      </c>
      <c r="BA8" s="41" t="s">
        <v>93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0</v>
      </c>
      <c r="E9" s="4" t="str">
        <f>IF($K$1="","",$K$1)</f>
        <v>まっつん</v>
      </c>
      <c r="F9" s="8" t="s">
        <v>198</v>
      </c>
      <c r="G9" s="9">
        <v>-3000</v>
      </c>
      <c r="H9" s="9"/>
      <c r="I9" s="48">
        <v>-2500</v>
      </c>
      <c r="J9" s="21">
        <f t="shared" si="2"/>
        <v>27500</v>
      </c>
      <c r="K9" s="8" t="s">
        <v>198</v>
      </c>
      <c r="L9" s="9">
        <v>-5000</v>
      </c>
      <c r="M9" s="9"/>
      <c r="N9" s="48">
        <v>-2500</v>
      </c>
      <c r="O9" s="21">
        <f t="shared" si="3"/>
        <v>26000</v>
      </c>
      <c r="P9" s="8" t="s">
        <v>197</v>
      </c>
      <c r="Q9" s="9">
        <v>8000</v>
      </c>
      <c r="R9" s="9"/>
      <c r="S9" s="48">
        <v>5000</v>
      </c>
      <c r="T9" s="21">
        <f t="shared" si="4"/>
        <v>51500</v>
      </c>
      <c r="U9" s="53">
        <f>IF($J9="","",ROUND(($J9-$J$3)/1000,1)+(_xlfn.RANK.AVG($J9,($J9,$O9,$T9),1)-2)*10)</f>
        <v>-7.5</v>
      </c>
      <c r="V9" s="54">
        <f>IF($O9="","",ROUND(($O9-$O$3)/1000,1)+(_xlfn.RANK.AVG($O9,($J9,$O9,$T9),1)-2)*10)</f>
        <v>-19</v>
      </c>
      <c r="W9" s="55">
        <f>IF($T9="","",ROUND(($T9-$T$3)/1000,1)+(_xlfn.RANK.AVG($T9,($J9,$O9,$T9),1)-2)*10)</f>
        <v>26.5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93</v>
      </c>
      <c r="BV9" s="41" t="s">
        <v>84</v>
      </c>
      <c r="BW9" s="41" t="s">
        <v>82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7700</v>
      </c>
      <c r="H10" s="9"/>
      <c r="I10" s="48">
        <v>0</v>
      </c>
      <c r="J10" s="21">
        <f t="shared" si="2"/>
        <v>35200</v>
      </c>
      <c r="K10" s="8" t="s">
        <v>198</v>
      </c>
      <c r="L10" s="9">
        <v>-2900</v>
      </c>
      <c r="M10" s="9"/>
      <c r="N10" s="48">
        <v>0</v>
      </c>
      <c r="O10" s="21">
        <f t="shared" si="3"/>
        <v>23100</v>
      </c>
      <c r="P10" s="8" t="s">
        <v>198</v>
      </c>
      <c r="Q10" s="9">
        <v>-4800</v>
      </c>
      <c r="R10" s="9"/>
      <c r="S10" s="48">
        <v>0</v>
      </c>
      <c r="T10" s="21">
        <f t="shared" si="4"/>
        <v>46700</v>
      </c>
      <c r="U10" s="53">
        <f>IF($J10="","",ROUND(($J10-$J$3)/1000,1)+(_xlfn.RANK.AVG($J10,($J10,$O10,$T10),1)-2)*10)</f>
        <v>0.2</v>
      </c>
      <c r="V10" s="54">
        <f>IF($O10="","",ROUND(($O10-$O$3)/1000,1)+(_xlfn.RANK.AVG($O10,($J10,$O10,$T10),1)-2)*10)</f>
        <v>-21.9</v>
      </c>
      <c r="W10" s="55">
        <f>IF($T10="","",ROUND(($T10-$T$3)/1000,1)+(_xlfn.RANK.AVG($T10,($J10,$O10,$T10),1)-2)*10)</f>
        <v>21.7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82</v>
      </c>
      <c r="AF10" s="41" t="s">
        <v>196</v>
      </c>
      <c r="AG10" s="41" t="s">
        <v>79</v>
      </c>
      <c r="AH10" s="41" t="s">
        <v>200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/>
      <c r="G11" s="9"/>
      <c r="H11" s="9"/>
      <c r="I11" s="48"/>
      <c r="J11" s="21">
        <f t="shared" si="2"/>
        <v>35200</v>
      </c>
      <c r="K11" s="8" t="s">
        <v>194</v>
      </c>
      <c r="L11" s="9">
        <v>-8000</v>
      </c>
      <c r="M11" s="9"/>
      <c r="N11" s="48">
        <v>0</v>
      </c>
      <c r="O11" s="21">
        <f t="shared" si="3"/>
        <v>15100</v>
      </c>
      <c r="P11" s="8" t="s">
        <v>195</v>
      </c>
      <c r="Q11" s="9">
        <v>8000</v>
      </c>
      <c r="R11" s="9"/>
      <c r="S11" s="48">
        <v>0</v>
      </c>
      <c r="T11" s="21">
        <f t="shared" si="4"/>
        <v>54700</v>
      </c>
      <c r="U11" s="53">
        <f>IF($J11="","",ROUND(($J11-$J$3)/1000,1)+(_xlfn.RANK.AVG($J11,($J11,$O11,$T11),1)-2)*10)</f>
        <v>0.2</v>
      </c>
      <c r="V11" s="54">
        <f>IF($O11="","",ROUND(($O11-$O$3)/1000,1)+(_xlfn.RANK.AVG($O11,($J11,$O11,$T11),1)-2)*10)</f>
        <v>-29.9</v>
      </c>
      <c r="W11" s="55">
        <f>IF($T11="","",ROUND(($T11-$T$3)/1000,1)+(_xlfn.RANK.AVG($T11,($J11,$O11,$T11),1)-2)*10)</f>
        <v>29.7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199</v>
      </c>
      <c r="BU11" s="40" t="s">
        <v>104</v>
      </c>
      <c r="BV11" s="41" t="s">
        <v>101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まっつん</v>
      </c>
      <c r="F12" s="8" t="s">
        <v>204</v>
      </c>
      <c r="G12" s="9">
        <v>1500</v>
      </c>
      <c r="H12" s="9"/>
      <c r="I12" s="48"/>
      <c r="J12" s="21">
        <f t="shared" si="2"/>
        <v>36700</v>
      </c>
      <c r="K12" s="8" t="s">
        <v>204</v>
      </c>
      <c r="L12" s="9">
        <v>1500</v>
      </c>
      <c r="M12" s="9"/>
      <c r="N12" s="48"/>
      <c r="O12" s="21">
        <f t="shared" si="3"/>
        <v>16600</v>
      </c>
      <c r="P12" s="8" t="s">
        <v>204</v>
      </c>
      <c r="Q12" s="9">
        <v>-3000</v>
      </c>
      <c r="R12" s="9"/>
      <c r="S12" s="48"/>
      <c r="T12" s="21">
        <f t="shared" si="4"/>
        <v>51700</v>
      </c>
      <c r="U12" s="53">
        <f>IF($J12="","",ROUND(($J12-$J$3)/1000,1)+(_xlfn.RANK.AVG($J12,($J12,$O12,$T12),1)-2)*10)</f>
        <v>1.7</v>
      </c>
      <c r="V12" s="54">
        <f>IF($O12="","",ROUND(($O12-$O$3)/1000,1)+(_xlfn.RANK.AVG($O12,($J12,$O12,$T12),1)-2)*10)</f>
        <v>-28.4</v>
      </c>
      <c r="W12" s="55">
        <f>IF($T12="","",ROUND(($T12-$T$3)/1000,1)+(_xlfn.RANK.AVG($T12,($J12,$O12,$T12),1)-2)*10)</f>
        <v>26.7</v>
      </c>
      <c r="Y12" s="8" t="s">
        <v>202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IF($K$1="","",$K$1)</f>
        <v>まっつん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38700</v>
      </c>
      <c r="K13" s="8" t="s">
        <v>204</v>
      </c>
      <c r="L13" s="9">
        <v>-1500</v>
      </c>
      <c r="M13" s="9"/>
      <c r="N13" s="48"/>
      <c r="O13" s="21">
        <f t="shared" si="3"/>
        <v>15100</v>
      </c>
      <c r="P13" s="8" t="s">
        <v>204</v>
      </c>
      <c r="Q13" s="9">
        <v>-1500</v>
      </c>
      <c r="R13" s="9"/>
      <c r="S13" s="48"/>
      <c r="T13" s="21">
        <f t="shared" si="4"/>
        <v>50200</v>
      </c>
      <c r="U13" s="53">
        <f>IF($J13="","",ROUND(($J13-$J$3)/1000,1)+(_xlfn.RANK.AVG($J13,($J13,$O13,$T13),1)-2)*10)</f>
        <v>3.7</v>
      </c>
      <c r="V13" s="54">
        <f>IF($O13="","",ROUND(($O13-$O$3)/1000,1)+(_xlfn.RANK.AVG($O13,($J13,$O13,$T13),1)-2)*10)</f>
        <v>-29.9</v>
      </c>
      <c r="W13" s="55">
        <f>IF($T13="","",ROUND(($T13-$T$3)/1000,1)+(_xlfn.RANK.AVG($T13,($J13,$O13,$T13),1)-2)*10)</f>
        <v>25.2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1</v>
      </c>
      <c r="E14" s="4" t="str">
        <f>IF($P$1="","",$P$1)</f>
        <v>だいち</v>
      </c>
      <c r="F14" s="8" t="s">
        <v>194</v>
      </c>
      <c r="G14" s="9">
        <v>-24000</v>
      </c>
      <c r="H14" s="9"/>
      <c r="I14" s="48">
        <v>-2000</v>
      </c>
      <c r="J14" s="21">
        <f t="shared" si="2"/>
        <v>12700</v>
      </c>
      <c r="K14" s="8"/>
      <c r="L14" s="9"/>
      <c r="M14" s="9"/>
      <c r="N14" s="48"/>
      <c r="O14" s="21">
        <f t="shared" si="3"/>
        <v>15100</v>
      </c>
      <c r="P14" s="8" t="s">
        <v>195</v>
      </c>
      <c r="Q14" s="9">
        <v>24000</v>
      </c>
      <c r="R14" s="9">
        <v>1000</v>
      </c>
      <c r="S14" s="48">
        <v>2000</v>
      </c>
      <c r="T14" s="21">
        <f t="shared" si="4"/>
        <v>77200</v>
      </c>
      <c r="U14" s="53">
        <f>IF($J14="","",ROUND(($J14-$J$3)/1000,1)+(_xlfn.RANK.AVG($J14,($J14,$O14,$T14),1)-2)*10)</f>
        <v>-32.299999999999997</v>
      </c>
      <c r="V14" s="54">
        <f>IF($O14="","",ROUND(($O14-$O$3)/1000,1)+(_xlfn.RANK.AVG($O14,($J14,$O14,$T14),1)-2)*10)</f>
        <v>-19.899999999999999</v>
      </c>
      <c r="W14" s="55">
        <f>IF($T14="","",ROUND(($T14-$T$3)/1000,1)+(_xlfn.RANK.AVG($T14,($J14,$O14,$T14),1)-2)*10)</f>
        <v>52.2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10</v>
      </c>
      <c r="BT14" s="30" t="s">
        <v>199</v>
      </c>
      <c r="BU14" s="40" t="s">
        <v>106</v>
      </c>
      <c r="BV14" s="41" t="s">
        <v>200</v>
      </c>
      <c r="BW14" s="41" t="s">
        <v>102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4D70BA2A-9A5A-49FB-93BA-6456378CFB07}">
      <formula1>$U$2:$W$2</formula1>
    </dataValidation>
    <dataValidation type="list" showInputMessage="1" showErrorMessage="1" sqref="K4:K30 P4:P30 F4:F30" xr:uid="{C2AD7330-C046-473C-9D22-C74E69E60C0A}">
      <formula1>"ロン,ツモ,放銃,ツモ支払,流局,チョンボ"</formula1>
    </dataValidation>
    <dataValidation type="list" allowBlank="1" showInputMessage="1" sqref="F1:T1" xr:uid="{20217961-AEC1-4C9F-B7F8-BF7F94081971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0C734-D966-4585-A56A-D86F9A3FB81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198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82</v>
      </c>
      <c r="BW4" s="41" t="s">
        <v>85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8000</v>
      </c>
      <c r="H5" s="9"/>
      <c r="I5" s="48">
        <v>0</v>
      </c>
      <c r="J5" s="21">
        <f t="shared" ref="J5:J30" si="2">IF(COUNTA($F5,$K5,$P5)&gt;0,J4+SUM(G5:I5),"")</f>
        <v>40500</v>
      </c>
      <c r="K5" s="8" t="s">
        <v>194</v>
      </c>
      <c r="L5" s="9">
        <v>-8000</v>
      </c>
      <c r="M5" s="9"/>
      <c r="N5" s="48">
        <v>0</v>
      </c>
      <c r="O5" s="21">
        <f t="shared" ref="O5:O30" si="3">IF(COUNTA($F5,$K5,$P5)&gt;0,O4+SUM(L5:N5),"")</f>
        <v>25500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15.5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4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101</v>
      </c>
      <c r="AF5" s="41" t="s">
        <v>79</v>
      </c>
      <c r="AG5" s="41" t="s">
        <v>79</v>
      </c>
      <c r="AH5" s="41" t="s">
        <v>196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198</v>
      </c>
      <c r="G6" s="9">
        <v>-2000</v>
      </c>
      <c r="H6" s="9">
        <v>-1000</v>
      </c>
      <c r="I6" s="48">
        <v>0</v>
      </c>
      <c r="J6" s="21">
        <f t="shared" si="2"/>
        <v>37500</v>
      </c>
      <c r="K6" s="8" t="s">
        <v>197</v>
      </c>
      <c r="L6" s="9">
        <v>5300</v>
      </c>
      <c r="M6" s="9">
        <v>1000</v>
      </c>
      <c r="N6" s="48">
        <v>0</v>
      </c>
      <c r="O6" s="21">
        <f t="shared" si="3"/>
        <v>31800</v>
      </c>
      <c r="P6" s="8" t="s">
        <v>198</v>
      </c>
      <c r="Q6" s="9">
        <v>-3300</v>
      </c>
      <c r="R6" s="9"/>
      <c r="S6" s="48">
        <v>0</v>
      </c>
      <c r="T6" s="21">
        <f t="shared" si="4"/>
        <v>35700</v>
      </c>
      <c r="U6" s="53">
        <f>IF($J6="","",ROUND(($J6-$J$3)/1000,1)+(_xlfn.RANK.AVG($J6,($J6,$O6,$T6),1)-2)*10)</f>
        <v>12.5</v>
      </c>
      <c r="V6" s="54">
        <f>IF($O6="","",ROUND(($O6-$O$3)/1000,1)+(_xlfn.RANK.AVG($O6,($J6,$O6,$T6),1)-2)*10)</f>
        <v>-13.2</v>
      </c>
      <c r="W6" s="55">
        <f>IF($T6="","",ROUND(($T6-$T$3)/1000,1)+(_xlfn.RANK.AVG($T6,($J6,$O6,$T6),1)-2)*10)</f>
        <v>0.7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20</v>
      </c>
      <c r="AZ6" s="40" t="s">
        <v>196</v>
      </c>
      <c r="BA6" s="41" t="s">
        <v>83</v>
      </c>
      <c r="BB6" s="41" t="s">
        <v>82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-5000</v>
      </c>
      <c r="H7" s="9">
        <v>-1000</v>
      </c>
      <c r="I7" s="48">
        <v>0</v>
      </c>
      <c r="J7" s="21">
        <f t="shared" si="2"/>
        <v>31500</v>
      </c>
      <c r="K7" s="8" t="s">
        <v>197</v>
      </c>
      <c r="L7" s="9">
        <v>8000</v>
      </c>
      <c r="M7" s="9">
        <v>2000</v>
      </c>
      <c r="N7" s="48">
        <v>0</v>
      </c>
      <c r="O7" s="21">
        <f t="shared" si="3"/>
        <v>41800</v>
      </c>
      <c r="P7" s="8" t="s">
        <v>198</v>
      </c>
      <c r="Q7" s="9">
        <v>-3000</v>
      </c>
      <c r="R7" s="9">
        <v>-1000</v>
      </c>
      <c r="S7" s="48">
        <v>0</v>
      </c>
      <c r="T7" s="21">
        <f t="shared" si="4"/>
        <v>31700</v>
      </c>
      <c r="U7" s="53">
        <f>IF($J7="","",ROUND(($J7-$J$3)/1000,1)+(_xlfn.RANK.AVG($J7,($J7,$O7,$T7),1)-2)*10)</f>
        <v>-13.5</v>
      </c>
      <c r="V7" s="54">
        <f>IF($O7="","",ROUND(($O7-$O$3)/1000,1)+(_xlfn.RANK.AVG($O7,($J7,$O7,$T7),1)-2)*10)</f>
        <v>16.8</v>
      </c>
      <c r="W7" s="55">
        <f>IF($T7="","",ROUND(($T7-$T$3)/1000,1)+(_xlfn.RANK.AVG($T7,($J7,$O7,$T7),1)-2)*10)</f>
        <v>-3.3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82</v>
      </c>
      <c r="BA7" s="41" t="s">
        <v>83</v>
      </c>
      <c r="BB7" s="41" t="s">
        <v>200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197</v>
      </c>
      <c r="G8" s="9">
        <v>12000</v>
      </c>
      <c r="H8" s="9"/>
      <c r="I8" s="48">
        <v>0</v>
      </c>
      <c r="J8" s="21">
        <f t="shared" si="2"/>
        <v>43500</v>
      </c>
      <c r="K8" s="8" t="s">
        <v>198</v>
      </c>
      <c r="L8" s="9">
        <v>-7500</v>
      </c>
      <c r="M8" s="9"/>
      <c r="N8" s="48">
        <v>0</v>
      </c>
      <c r="O8" s="21">
        <f t="shared" si="3"/>
        <v>34300</v>
      </c>
      <c r="P8" s="8" t="s">
        <v>198</v>
      </c>
      <c r="Q8" s="9">
        <v>-4500</v>
      </c>
      <c r="R8" s="9"/>
      <c r="S8" s="48">
        <v>0</v>
      </c>
      <c r="T8" s="21">
        <f t="shared" si="4"/>
        <v>27200</v>
      </c>
      <c r="U8" s="53">
        <f>IF($J8="","",ROUND(($J8-$J$3)/1000,1)+(_xlfn.RANK.AVG($J8,($J8,$O8,$T8),1)-2)*10)</f>
        <v>18.5</v>
      </c>
      <c r="V8" s="54">
        <f>IF($O8="","",ROUND(($O8-$O$3)/1000,1)+(_xlfn.RANK.AVG($O8,($J8,$O8,$T8),1)-2)*10)</f>
        <v>-0.7</v>
      </c>
      <c r="W8" s="55">
        <f>IF($T8="","",ROUND(($T8-$T$3)/1000,1)+(_xlfn.RANK.AVG($T8,($J8,$O8,$T8),1)-2)*10)</f>
        <v>-17.8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196</v>
      </c>
      <c r="AF8" s="41" t="s">
        <v>82</v>
      </c>
      <c r="AG8" s="41" t="s">
        <v>80</v>
      </c>
      <c r="AH8" s="41" t="s">
        <v>80</v>
      </c>
      <c r="AI8" s="41" t="s">
        <v>80</v>
      </c>
      <c r="AJ8" s="41" t="s">
        <v>200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まっつん</v>
      </c>
      <c r="F9" s="8" t="s">
        <v>195</v>
      </c>
      <c r="G9" s="9">
        <v>24000</v>
      </c>
      <c r="H9" s="9">
        <v>1000</v>
      </c>
      <c r="I9" s="48">
        <v>0</v>
      </c>
      <c r="J9" s="21">
        <f t="shared" si="2"/>
        <v>68500</v>
      </c>
      <c r="K9" s="8" t="s">
        <v>194</v>
      </c>
      <c r="L9" s="9">
        <v>-24000</v>
      </c>
      <c r="M9" s="9">
        <v>-1000</v>
      </c>
      <c r="N9" s="48">
        <v>0</v>
      </c>
      <c r="O9" s="21">
        <f t="shared" si="3"/>
        <v>9300</v>
      </c>
      <c r="P9" s="8"/>
      <c r="Q9" s="9"/>
      <c r="R9" s="9"/>
      <c r="S9" s="48"/>
      <c r="T9" s="21">
        <f t="shared" si="4"/>
        <v>27200</v>
      </c>
      <c r="U9" s="53">
        <f>IF($J9="","",ROUND(($J9-$J$3)/1000,1)+(_xlfn.RANK.AVG($J9,($J9,$O9,$T9),1)-2)*10)</f>
        <v>43.5</v>
      </c>
      <c r="V9" s="54">
        <f>IF($O9="","",ROUND(($O9-$O$3)/1000,1)+(_xlfn.RANK.AVG($O9,($J9,$O9,$T9),1)-2)*10)</f>
        <v>-35.700000000000003</v>
      </c>
      <c r="W9" s="55">
        <f>IF($T9="","",ROUND(($T9-$T$3)/1000,1)+(_xlfn.RANK.AVG($T9,($J9,$O9,$T9),1)-2)*10)</f>
        <v>-7.8</v>
      </c>
      <c r="Y9" s="8"/>
      <c r="Z9" s="34"/>
      <c r="AA9" s="26">
        <v>1</v>
      </c>
      <c r="AB9" s="26"/>
      <c r="AC9" s="26">
        <v>12</v>
      </c>
      <c r="AD9" s="30" t="s">
        <v>199</v>
      </c>
      <c r="AE9" s="40" t="s">
        <v>196</v>
      </c>
      <c r="AF9" s="41" t="s">
        <v>106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0D7F1EEF-F9B5-4139-A9AF-0257F2C9368D}">
      <formula1>"れんたろう,ともき,だいち,りくと,まっつん,たかの,のり,"</formula1>
    </dataValidation>
    <dataValidation type="list" showInputMessage="1" showErrorMessage="1" sqref="K4:K30 P4:P30 F4:F30" xr:uid="{9EC53FF3-8207-40E4-B17C-93FE154B5390}">
      <formula1>"ロン,ツモ,放銃,ツモ支払,流局,チョンボ"</formula1>
    </dataValidation>
    <dataValidation type="list" allowBlank="1" showInputMessage="1" showErrorMessage="1" sqref="E4:E30" xr:uid="{07A6C221-BDD1-48D8-ABA3-81278C93F09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55713-06AE-40A8-BD0B-1A9B0910E71F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194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79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194</v>
      </c>
      <c r="L5" s="9">
        <v>-7700</v>
      </c>
      <c r="M5" s="9"/>
      <c r="N5" s="48">
        <v>0</v>
      </c>
      <c r="O5" s="21">
        <f t="shared" ref="O5:O30" si="3">IF(COUNTA($F5,$K5,$P5)&gt;0,O4+SUM(L5:N5),"")</f>
        <v>32500</v>
      </c>
      <c r="P5" s="8" t="s">
        <v>195</v>
      </c>
      <c r="Q5" s="9">
        <v>7700</v>
      </c>
      <c r="R5" s="9"/>
      <c r="S5" s="48">
        <v>0</v>
      </c>
      <c r="T5" s="21">
        <f t="shared" ref="T5:T30" si="4">IF(COUNTA($F5,$K5,$P5)&gt;0,T4+SUM(Q5:S5),"")</f>
        <v>37500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-12.5</v>
      </c>
      <c r="W5" s="55">
        <f>IF($T5="","",ROUND(($T5-$T$3)/1000,1)+(_xlfn.RANK.AVG($T5,($J5,$O5,$T5),1)-2)*10)</f>
        <v>12.5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200</v>
      </c>
      <c r="BV5" s="41" t="s">
        <v>86</v>
      </c>
      <c r="BW5" s="41" t="s">
        <v>104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204</v>
      </c>
      <c r="G6" s="9">
        <v>-1500</v>
      </c>
      <c r="H6" s="9"/>
      <c r="I6" s="48"/>
      <c r="J6" s="21">
        <f t="shared" si="2"/>
        <v>33500</v>
      </c>
      <c r="K6" s="8" t="s">
        <v>204</v>
      </c>
      <c r="L6" s="9">
        <v>-1500</v>
      </c>
      <c r="M6" s="9"/>
      <c r="N6" s="48"/>
      <c r="O6" s="21">
        <f t="shared" si="3"/>
        <v>31000</v>
      </c>
      <c r="P6" s="8" t="s">
        <v>204</v>
      </c>
      <c r="Q6" s="9">
        <v>3000</v>
      </c>
      <c r="R6" s="9">
        <v>-1000</v>
      </c>
      <c r="S6" s="48"/>
      <c r="T6" s="21">
        <f t="shared" si="4"/>
        <v>39500</v>
      </c>
      <c r="U6" s="53">
        <f>IF($J6="","",ROUND(($J6-$J$3)/1000,1)+(_xlfn.RANK.AVG($J6,($J6,$O6,$T6),1)-2)*10)</f>
        <v>-1.5</v>
      </c>
      <c r="V6" s="54">
        <f>IF($O6="","",ROUND(($O6-$O$3)/1000,1)+(_xlfn.RANK.AVG($O6,($J6,$O6,$T6),1)-2)*10)</f>
        <v>-14</v>
      </c>
      <c r="W6" s="55">
        <f>IF($T6="","",ROUND(($T6-$T$3)/1000,1)+(_xlfn.RANK.AVG($T6,($J6,$O6,$T6),1)-2)*10)</f>
        <v>14.5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れんたろう</v>
      </c>
      <c r="F7" s="8" t="s">
        <v>194</v>
      </c>
      <c r="G7" s="9">
        <v>-1300</v>
      </c>
      <c r="H7" s="9"/>
      <c r="I7" s="48">
        <v>-1000</v>
      </c>
      <c r="J7" s="21">
        <f t="shared" si="2"/>
        <v>31200</v>
      </c>
      <c r="K7" s="8" t="s">
        <v>195</v>
      </c>
      <c r="L7" s="9">
        <v>1300</v>
      </c>
      <c r="M7" s="9">
        <v>1000</v>
      </c>
      <c r="N7" s="48">
        <v>1000</v>
      </c>
      <c r="O7" s="21">
        <f t="shared" si="3"/>
        <v>34300</v>
      </c>
      <c r="P7" s="8"/>
      <c r="Q7" s="9"/>
      <c r="R7" s="9"/>
      <c r="S7" s="48"/>
      <c r="T7" s="21">
        <f t="shared" si="4"/>
        <v>39500</v>
      </c>
      <c r="U7" s="53">
        <f>IF($J7="","",ROUND(($J7-$J$3)/1000,1)+(_xlfn.RANK.AVG($J7,($J7,$O7,$T7),1)-2)*10)</f>
        <v>-13.8</v>
      </c>
      <c r="V7" s="54">
        <f>IF($O7="","",ROUND(($O7-$O$3)/1000,1)+(_xlfn.RANK.AVG($O7,($J7,$O7,$T7),1)-2)*10)</f>
        <v>-0.7</v>
      </c>
      <c r="W7" s="55">
        <f>IF($T7="","",ROUND(($T7-$T$3)/1000,1)+(_xlfn.RANK.AVG($T7,($J7,$O7,$T7),1)-2)*10)</f>
        <v>14.5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198</v>
      </c>
      <c r="G8" s="9">
        <v>-20000</v>
      </c>
      <c r="H8" s="9">
        <v>-1000</v>
      </c>
      <c r="I8" s="48">
        <v>0</v>
      </c>
      <c r="J8" s="21">
        <f t="shared" si="2"/>
        <v>10200</v>
      </c>
      <c r="K8" s="8" t="s">
        <v>197</v>
      </c>
      <c r="L8" s="9">
        <v>32000</v>
      </c>
      <c r="M8" s="9">
        <v>1000</v>
      </c>
      <c r="N8" s="48">
        <v>0</v>
      </c>
      <c r="O8" s="21">
        <f t="shared" si="3"/>
        <v>67300</v>
      </c>
      <c r="P8" s="8" t="s">
        <v>198</v>
      </c>
      <c r="Q8" s="9">
        <v>-12000</v>
      </c>
      <c r="R8" s="9"/>
      <c r="S8" s="48">
        <v>0</v>
      </c>
      <c r="T8" s="21">
        <f t="shared" si="4"/>
        <v>27500</v>
      </c>
      <c r="U8" s="53">
        <f>IF($J8="","",ROUND(($J8-$J$3)/1000,1)+(_xlfn.RANK.AVG($J8,($J8,$O8,$T8),1)-2)*10)</f>
        <v>-34.799999999999997</v>
      </c>
      <c r="V8" s="54">
        <f>IF($O8="","",ROUND(($O8-$O$3)/1000,1)+(_xlfn.RANK.AVG($O8,($J8,$O8,$T8),1)-2)*10)</f>
        <v>42.3</v>
      </c>
      <c r="W8" s="55">
        <f>IF($T8="","",ROUND(($T8-$T$3)/1000,1)+(_xlfn.RANK.AVG($T8,($J8,$O8,$T8),1)-2)*10)</f>
        <v>-7.5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13</v>
      </c>
      <c r="AY8" s="30" t="s">
        <v>199</v>
      </c>
      <c r="AZ8" s="40" t="s">
        <v>108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-18000</v>
      </c>
      <c r="H9" s="9"/>
      <c r="I9" s="48">
        <v>0</v>
      </c>
      <c r="J9" s="21">
        <f t="shared" si="2"/>
        <v>-7800</v>
      </c>
      <c r="K9" s="8" t="s">
        <v>195</v>
      </c>
      <c r="L9" s="9">
        <v>18000</v>
      </c>
      <c r="M9" s="9"/>
      <c r="N9" s="48">
        <v>0</v>
      </c>
      <c r="O9" s="21">
        <f t="shared" si="3"/>
        <v>85300</v>
      </c>
      <c r="P9" s="8"/>
      <c r="Q9" s="9"/>
      <c r="R9" s="9"/>
      <c r="S9" s="48"/>
      <c r="T9" s="21">
        <f t="shared" si="4"/>
        <v>27500</v>
      </c>
      <c r="U9" s="53">
        <f>IF($J9="","",ROUND(($J9-$J$3)/1000,1)+(_xlfn.RANK.AVG($J9,($J9,$O9,$T9),1)-2)*10)</f>
        <v>-52.8</v>
      </c>
      <c r="V9" s="54">
        <f>IF($O9="","",ROUND(($O9-$O$3)/1000,1)+(_xlfn.RANK.AVG($O9,($J9,$O9,$T9),1)-2)*10)</f>
        <v>60.3</v>
      </c>
      <c r="W9" s="55">
        <f>IF($T9="","",ROUND(($T9-$T$3)/1000,1)+(_xlfn.RANK.AVG($T9,($J9,$O9,$T9),1)-2)*10)</f>
        <v>-7.5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199</v>
      </c>
      <c r="AZ9" s="40" t="s">
        <v>196</v>
      </c>
      <c r="BA9" s="41" t="s">
        <v>86</v>
      </c>
      <c r="BB9" s="41" t="s">
        <v>79</v>
      </c>
      <c r="BC9" s="41" t="s">
        <v>80</v>
      </c>
      <c r="BD9" s="41" t="s">
        <v>80</v>
      </c>
      <c r="BE9" s="41" t="s">
        <v>80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DFA62344-86F1-44AF-82C8-DB5A404ADD90}">
      <formula1>$U$2:$W$2</formula1>
    </dataValidation>
    <dataValidation type="list" showInputMessage="1" showErrorMessage="1" sqref="K4:K30 P4:P30 F4:F30" xr:uid="{5BC35534-50A0-459F-A124-9C25ACAC88B1}">
      <formula1>"ロン,ツモ,放銃,ツモ支払,流局,チョンボ"</formula1>
    </dataValidation>
    <dataValidation type="list" allowBlank="1" showInputMessage="1" sqref="F1:T1" xr:uid="{76DA841E-77DC-4B03-8E30-DC99E4F3B385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2020-04-07T08:37:36Z</dcterms:modified>
</cp:coreProperties>
</file>