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3861D5A-4C4E-4C4D-8630-106372F4EBD0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9" l="1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C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<sst xmlns="http://schemas.openxmlformats.org/spreadsheetml/2006/main" count="559" uniqueCount="201">
  <si>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</si>
  <si>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</si>
  <si>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</si>
  <si>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</si>
  <si>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</si>
  <si>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</si>
  <si>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</si>
  <si>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</si>
  <si>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</si>
  <si>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</si>
  <si>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</si>
  <si>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</si>
  <si>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</si>
  <si>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</si>
  <si>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</si>
  <si>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</si>
  <si>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</si>
  <si>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</si>
  <si>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</si>
  <si>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</si>
  <si>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</si>
  <si>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</si>
  <si>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</si>
  <si>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</si>
  <si>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</si>
  <si>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</si>
  <si>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</si>
  <si>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</si>
  <si>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</si>
  <si>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</si>
  <si>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</si>
  <si>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</si>
  <si>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</si>
  <si>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</si>
  <si>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</si>
  <si>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</si>
  <si>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</si>
  <si>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</si>
  <si>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</si>
  <si>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</si>
  <si>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</si>
  <si>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</si>
  <si>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</si>
  <si>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</si>
  <si>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</si>
  <si>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</si>
  <si>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</si>
  <si>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</si>
  <si>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</si>
  <si>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</si>
  <si>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</si>
  <si>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</si>
  <si>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</si>
  <si>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</si>
  <si>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</si>
  <si>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</si>
  <si>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</si>
  <si>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</si>
  <si>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</si>
  <si>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</si>
  <si>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</si>
  <si>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</si>
  <si>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</si>
  <si>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</si>
  <si>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</si>
  <si>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</si>
  <si>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</si>
  <si>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</si>
  <si>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</si>
  <si>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</si>
  <si>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</si>
  <si>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</si>
  <si>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</si>
  <si>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</si>
  <si>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</si>
  <si>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</si>
  <si>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</si>
  <si>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</si>
  <si>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</si>
  <si>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</si>
  <si>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</si>
  <si>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</si>
  <si>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</si>
  <si>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</si>
  <si>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</si>
  <si>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</si>
  <si>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</si>
  <si>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</si>
  <si>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</si>
  <si>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</si>
  <si>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</si>
  <si>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</si>
  <si>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</si>
  <si>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</si>
  <si>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</si>
  <si>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</si>
  <si>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</si>
  <si>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</si>
  <si>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</si>
  <si>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</si>
  <si>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</si>
  <si>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</si>
  <si>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</si>
  <si>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</si>
  <si>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</si>
  <si>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</si>
  <si>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</si>
  <si>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</si>
  <si>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</si>
  <si>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</si>
  <si>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</si>
  <si>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</si>
  <si>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</si>
  <si>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</si>
  <si>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</si>
  <si>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</si>
  <si>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</si>
  <si>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</si>
  <si>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</si>
  <si>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</si>
  <si>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</si>
  <si>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</si>
  <si>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</si>
  <si>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</si>
  <si>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</si>
  <si>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</si>
  <si>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</si>
  <si>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</si>
  <si>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</si>
  <si>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</si>
  <si>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</si>
  <si>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</si>
  <si>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</si>
  <si>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</si>
  <si>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</si>
  <si>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</si>
  <si>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</si>
  <si>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</si>
  <si>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</si>
  <si>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</si>
  <si>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</si>
  <si>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</si>
  <si>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</si>
  <si>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</si>
  <si>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</si>
  <si>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</si>
  <si>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</si>
  <si>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</si>
  <si>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</si>
  <si>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</si>
  <si>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</si>
  <si>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</si>
  <si>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</si>
  <si>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</si>
  <si>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</si>
  <si>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</si>
  <si>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</si>
  <si>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</si>
  <si>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</si>
  <si>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</si>
  <si>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</si>
  <si>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</si>
  <si>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</si>
  <si>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</si>
  <si>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</si>
  <si>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</si>
  <si>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</si>
  <si>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</si>
  <si>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</si>
  <si>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</si>
  <si>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</si>
  <si>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</si>
  <si>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</si>
  <si>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</si>
  <si>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</si>
  <si>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</si>
  <si>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</si>
  <si>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</si>
  <si>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</si>
  <si>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</si>
  <si>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</si>
  <si>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</si>
  <si>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</si>
  <si>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</si>
  <si>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</si>
  <si>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</si>
  <si>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</si>
  <si>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</si>
  <si>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</si>
  <si>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</si>
  <si>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</si>
  <si>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</si>
  <si>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ただ</t>
    <phoneticPr fontId="1"/>
  </si>
  <si>
    <t>れんたろう</t>
    <phoneticPr fontId="1"/>
  </si>
  <si>
    <t>ツモ</t>
  </si>
  <si>
    <t>ツモ支払</t>
  </si>
  <si>
    <t>*</t>
  </si>
  <si>
    <t>01</t>
  </si>
  <si>
    <t>放銃</t>
  </si>
  <si>
    <t>ロン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</si>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</sst>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ただ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れんたろう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35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-23</v>
      </c>
      <c r="Y4" s="8"/>
      <c r="Z4" s="34"/>
      <c r="AA4" s="26">
        <v>1</v>
      </c>
      <c r="AB4" s="26"/>
      <c r="AC4" s="26">
        <v>10</v>
      </c>
      <c r="AD4" s="30" t="s">
        <v>196</v>
      </c>
      <c r="AE4" s="40" t="s">
        <v>197</v>
      </c>
      <c r="AF4" s="41" t="s">
        <v>82</v>
      </c>
      <c r="AG4" s="41" t="s">
        <v>104</v>
      </c>
      <c r="AH4" s="41" t="s">
        <v>96</v>
      </c>
      <c r="AI4" s="41" t="s">
        <v>86</v>
      </c>
      <c r="AJ4" s="41" t="s">
        <v>86</v>
      </c>
      <c r="AK4" s="41" t="s">
        <v>86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60000</v>
      </c>
      <c r="K5" s="8" t="s">
        <v>198</v>
      </c>
      <c r="L5" s="9">
        <v>-7700</v>
      </c>
      <c r="M5" s="9"/>
      <c r="N5" s="48">
        <v>-1000</v>
      </c>
      <c r="O5" s="21">
        <f t="shared" ref="O5:O30" si="3">IF(COUNTA($F5,$K5,$P5)&gt;0,O4+SUM(L5:N5),"")</f>
        <v>14300</v>
      </c>
      <c r="P5" s="8" t="s">
        <v>199</v>
      </c>
      <c r="Q5" s="9">
        <v>7700</v>
      </c>
      <c r="R5" s="9"/>
      <c r="S5" s="48">
        <v>1000</v>
      </c>
      <c r="T5" s="21">
        <f t="shared" ref="T5:T30" si="4">IF(COUNTA($F5,$K5,$P5)&gt;0,T4+SUM(Q5:S5),"")</f>
        <v>30700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-30.7</v>
      </c>
      <c r="W5" s="55">
        <f>IF($T5="","",ROUND(($T5-$T$3)/1000,1)+(_xlfn.RANK.AVG($T5,($J5,$O5,$T5),1)-2)*10)</f>
        <v>-4.3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197</v>
      </c>
      <c r="BV5" s="41" t="s">
        <v>200</v>
      </c>
      <c r="BW5" s="41" t="s">
        <v>83</v>
      </c>
      <c r="BX5" s="41" t="s">
        <v>84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195</v>
      </c>
      <c r="G6" s="9">
        <v>-5800</v>
      </c>
      <c r="H6" s="9"/>
      <c r="I6" s="48">
        <v>0</v>
      </c>
      <c r="J6" s="21">
        <f t="shared" si="2"/>
        <v>54200</v>
      </c>
      <c r="K6" s="8" t="s">
        <v>194</v>
      </c>
      <c r="L6" s="9">
        <v>11600</v>
      </c>
      <c r="M6" s="9">
        <v>1000</v>
      </c>
      <c r="N6" s="48">
        <v>0</v>
      </c>
      <c r="O6" s="21">
        <f t="shared" si="3"/>
        <v>26900</v>
      </c>
      <c r="P6" s="8" t="s">
        <v>195</v>
      </c>
      <c r="Q6" s="9">
        <v>-5800</v>
      </c>
      <c r="R6" s="9">
        <v>-1000</v>
      </c>
      <c r="S6" s="48">
        <v>0</v>
      </c>
      <c r="T6" s="21">
        <f t="shared" si="4"/>
        <v>23900</v>
      </c>
      <c r="U6" s="53">
        <f>IF($J6="","",ROUND(($J6-$J$3)/1000,1)+(_xlfn.RANK.AVG($J6,($J6,$O6,$T6),1)-2)*10)</f>
        <v>29.2</v>
      </c>
      <c r="V6" s="54">
        <f>IF($O6="","",ROUND(($O6-$O$3)/1000,1)+(_xlfn.RANK.AVG($O6,($J6,$O6,$T6),1)-2)*10)</f>
        <v>-8.1</v>
      </c>
      <c r="W6" s="55">
        <f>IF($T6="","",ROUND(($T6-$T$3)/1000,1)+(_xlfn.RANK.AVG($T6,($J6,$O6,$T6),1)-2)*10)</f>
        <v>-21.1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197</v>
      </c>
      <c r="BA6" s="41" t="s">
        <v>82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195</v>
      </c>
      <c r="G7" s="9">
        <v>-24000</v>
      </c>
      <c r="H7" s="9">
        <v>-1000</v>
      </c>
      <c r="I7" s="48">
        <v>-500</v>
      </c>
      <c r="J7" s="21">
        <f t="shared" si="2"/>
        <v>28700</v>
      </c>
      <c r="K7" s="8" t="s">
        <v>194</v>
      </c>
      <c r="L7" s="9">
        <v>48000</v>
      </c>
      <c r="M7" s="9">
        <v>1000</v>
      </c>
      <c r="N7" s="48">
        <v>1000</v>
      </c>
      <c r="O7" s="21">
        <f t="shared" si="3"/>
        <v>76900</v>
      </c>
      <c r="P7" s="8" t="s">
        <v>195</v>
      </c>
      <c r="Q7" s="9">
        <v>-24000</v>
      </c>
      <c r="R7" s="9"/>
      <c r="S7" s="48">
        <v>-500</v>
      </c>
      <c r="T7" s="21">
        <f t="shared" si="4"/>
        <v>-600</v>
      </c>
      <c r="U7" s="53">
        <f>IF($J7="","",ROUND(($J7-$J$3)/1000,1)+(_xlfn.RANK.AVG($J7,($J7,$O7,$T7),1)-2)*10)</f>
        <v>-6.3</v>
      </c>
      <c r="V7" s="54">
        <f>IF($O7="","",ROUND(($O7-$O$3)/1000,1)+(_xlfn.RANK.AVG($O7,($J7,$O7,$T7),1)-2)*10)</f>
        <v>51.9</v>
      </c>
      <c r="W7" s="55">
        <f>IF($T7="","",ROUND(($T7-$T$3)/1000,1)+(_xlfn.RANK.AVG($T7,($J7,$O7,$T7),1)-2)*10)</f>
        <v>-45.6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13</v>
      </c>
      <c r="AY7" s="30" t="s">
        <v>196</v>
      </c>
      <c r="AZ7" s="40" t="s">
        <v>107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68BD479-1763-42B4-92A4-2419D6F458B3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2020-06-17T16:20:22Z</dcterms:modified>
</cp:coreProperties>
</file>