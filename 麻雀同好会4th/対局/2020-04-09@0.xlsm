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1B592E47-1340-48D7-99A1-08F7C44D4187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23" l="1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/>
  <c r="T9" i="23"/>
  <c r="W9" i="23" s="1"/>
  <c r="O9" i="23"/>
  <c r="V9" i="23" s="1"/>
  <c r="J9" i="23"/>
  <c r="U9" i="23" s="1"/>
  <c r="D9" i="23"/>
  <c r="C9" i="23"/>
  <c r="B9" i="23"/>
  <c r="A9" i="23"/>
  <c r="T8" i="23"/>
  <c r="W8" i="23" s="1"/>
  <c r="O8" i="23"/>
  <c r="V8" i="23" s="1"/>
  <c r="J8" i="23"/>
  <c r="U8" i="23" s="1"/>
  <c r="D8" i="23"/>
  <c r="C8" i="23"/>
  <c r="B8" i="23"/>
  <c r="A8" i="23" s="1"/>
  <c r="D7" i="23"/>
  <c r="T6" i="23"/>
  <c r="T7" i="23" s="1"/>
  <c r="C6" i="23"/>
  <c r="D6" i="23"/>
  <c r="T5" i="23"/>
  <c r="O5" i="23"/>
  <c r="O6" i="23" s="1"/>
  <c r="D5" i="23"/>
  <c r="C5" i="23"/>
  <c r="T4" i="23"/>
  <c r="O4" i="23"/>
  <c r="J4" i="23"/>
  <c r="J5" i="23" s="1"/>
  <c r="E4" i="23"/>
  <c r="B5" i="23" s="1"/>
  <c r="A5" i="23" s="1"/>
  <c r="W3" i="23"/>
  <c r="V3" i="23"/>
  <c r="U3" i="23"/>
  <c r="W2" i="23"/>
  <c r="V2" i="23"/>
  <c r="U2" i="23"/>
  <c r="BO1" i="23"/>
  <c r="AT1" i="23"/>
  <c r="Y1" i="23"/>
  <c r="V4" i="23" l="1"/>
  <c r="O7" i="23"/>
  <c r="W5" i="23"/>
  <c r="J6" i="23"/>
  <c r="W6" i="23" s="1"/>
  <c r="U5" i="23"/>
  <c r="W4" i="23"/>
  <c r="C7" i="23"/>
  <c r="V5" i="23"/>
  <c r="B6" i="23"/>
  <c r="B7" i="23" s="1"/>
  <c r="U4" i="23"/>
  <c r="V6" i="23" l="1"/>
  <c r="A6" i="23"/>
  <c r="U6" i="23"/>
  <c r="J7" i="23"/>
  <c r="A7" i="23"/>
  <c r="U7" i="23" l="1"/>
  <c r="W7" i="23"/>
  <c r="V7" i="23"/>
  <c r="E7" i="22" l="1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D9" i="22"/>
  <c r="C9" i="22"/>
  <c r="C7" i="22"/>
  <c r="T6" i="22"/>
  <c r="T7" i="22" s="1"/>
  <c r="C6" i="22"/>
  <c r="D6" i="22"/>
  <c r="T5" i="22"/>
  <c r="O5" i="22"/>
  <c r="O6" i="22" s="1"/>
  <c r="D5" i="22"/>
  <c r="C5" i="22"/>
  <c r="T4" i="22"/>
  <c r="O4" i="22"/>
  <c r="J4" i="22"/>
  <c r="J5" i="22" s="1"/>
  <c r="E4" i="22"/>
  <c r="B5" i="22" s="1"/>
  <c r="A5" i="22" s="1"/>
  <c r="W3" i="22"/>
  <c r="V3" i="22"/>
  <c r="U3" i="22"/>
  <c r="W2" i="22"/>
  <c r="V2" i="22"/>
  <c r="U2" i="22"/>
  <c r="BO1" i="22"/>
  <c r="AT1" i="22"/>
  <c r="Y1" i="22"/>
  <c r="D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9" i="21"/>
  <c r="C9" i="21"/>
  <c r="D8" i="21"/>
  <c r="C8" i="21"/>
  <c r="D7" i="21"/>
  <c r="C5" i="21"/>
  <c r="D5" i="21"/>
  <c r="D6" i="21" s="1"/>
  <c r="T4" i="21"/>
  <c r="T5" i="21" s="1"/>
  <c r="O4" i="21"/>
  <c r="O5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D12" i="20"/>
  <c r="E11" i="20"/>
  <c r="E10" i="20"/>
  <c r="E9" i="20"/>
  <c r="D9" i="20" s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T11" i="20"/>
  <c r="O11" i="20"/>
  <c r="J11" i="20"/>
  <c r="D11" i="20"/>
  <c r="C11" i="20"/>
  <c r="B11" i="20"/>
  <c r="A11" i="20" s="1"/>
  <c r="T10" i="20"/>
  <c r="O10" i="20"/>
  <c r="V10" i="20" s="1"/>
  <c r="J10" i="20"/>
  <c r="U10" i="20" s="1"/>
  <c r="D10" i="20"/>
  <c r="C10" i="20"/>
  <c r="B10" i="20"/>
  <c r="A10" i="20" s="1"/>
  <c r="T9" i="20"/>
  <c r="O9" i="20"/>
  <c r="J9" i="20"/>
  <c r="U9" i="20" s="1"/>
  <c r="C9" i="20"/>
  <c r="T8" i="20"/>
  <c r="O8" i="20"/>
  <c r="J8" i="20"/>
  <c r="U8" i="20" s="1"/>
  <c r="D8" i="20"/>
  <c r="C8" i="20"/>
  <c r="B8" i="20"/>
  <c r="A8" i="20" s="1"/>
  <c r="D6" i="20"/>
  <c r="T5" i="20"/>
  <c r="T6" i="20" s="1"/>
  <c r="C5" i="20"/>
  <c r="D5" i="20"/>
  <c r="T4" i="20"/>
  <c r="W4" i="20" s="1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7" i="19"/>
  <c r="E6" i="19"/>
  <c r="E5" i="19"/>
  <c r="V4" i="22" l="1"/>
  <c r="O7" i="22"/>
  <c r="J6" i="22"/>
  <c r="V6" i="22" s="1"/>
  <c r="U5" i="22"/>
  <c r="W5" i="22"/>
  <c r="T8" i="22"/>
  <c r="W4" i="22"/>
  <c r="B7" i="22"/>
  <c r="V5" i="22"/>
  <c r="D7" i="22"/>
  <c r="B6" i="22"/>
  <c r="A6" i="22" s="1"/>
  <c r="D8" i="22"/>
  <c r="C8" i="22"/>
  <c r="U4" i="22"/>
  <c r="W6" i="22"/>
  <c r="T6" i="21"/>
  <c r="W5" i="21"/>
  <c r="O6" i="21"/>
  <c r="V5" i="21"/>
  <c r="J6" i="21"/>
  <c r="U5" i="21"/>
  <c r="U4" i="21"/>
  <c r="C6" i="21"/>
  <c r="C7" i="21" s="1"/>
  <c r="D11" i="21"/>
  <c r="V4" i="21"/>
  <c r="W4" i="21"/>
  <c r="B5" i="21"/>
  <c r="A5" i="21" s="1"/>
  <c r="C10" i="21"/>
  <c r="C11" i="21" s="1"/>
  <c r="B12" i="20"/>
  <c r="A12" i="20" s="1"/>
  <c r="C12" i="20"/>
  <c r="V11" i="20"/>
  <c r="U11" i="20"/>
  <c r="W11" i="20"/>
  <c r="W10" i="20"/>
  <c r="V9" i="20"/>
  <c r="W9" i="20"/>
  <c r="B9" i="20"/>
  <c r="A9" i="20" s="1"/>
  <c r="V8" i="20"/>
  <c r="W8" i="20"/>
  <c r="O6" i="20"/>
  <c r="V5" i="20"/>
  <c r="T7" i="20"/>
  <c r="U5" i="20"/>
  <c r="J6" i="20"/>
  <c r="B5" i="20"/>
  <c r="A5" i="20" s="1"/>
  <c r="D7" i="20"/>
  <c r="W5" i="20"/>
  <c r="C7" i="20"/>
  <c r="U4" i="20"/>
  <c r="C6" i="20"/>
  <c r="V4" i="20"/>
  <c r="E4" i="19"/>
  <c r="B8" i="22" l="1"/>
  <c r="O8" i="22"/>
  <c r="T9" i="22"/>
  <c r="A7" i="22"/>
  <c r="J7" i="22"/>
  <c r="U6" i="22"/>
  <c r="T7" i="21"/>
  <c r="W6" i="21"/>
  <c r="J7" i="21"/>
  <c r="U6" i="21"/>
  <c r="O7" i="21"/>
  <c r="V6" i="21"/>
  <c r="B6" i="21"/>
  <c r="B6" i="20"/>
  <c r="A6" i="20" s="1"/>
  <c r="J7" i="20"/>
  <c r="U6" i="20"/>
  <c r="W6" i="20"/>
  <c r="O7" i="20"/>
  <c r="V7" i="20" s="1"/>
  <c r="V6" i="20"/>
  <c r="W3" i="19"/>
  <c r="V3" i="19"/>
  <c r="U3" i="19"/>
  <c r="O9" i="22" l="1"/>
  <c r="A9" i="22"/>
  <c r="B9" i="22"/>
  <c r="A8" i="22"/>
  <c r="U7" i="22"/>
  <c r="J8" i="22"/>
  <c r="V8" i="22" s="1"/>
  <c r="W7" i="22"/>
  <c r="V7" i="22"/>
  <c r="O8" i="21"/>
  <c r="V7" i="21"/>
  <c r="B7" i="21"/>
  <c r="A7" i="21" s="1"/>
  <c r="J8" i="21"/>
  <c r="U7" i="21"/>
  <c r="T8" i="21"/>
  <c r="W7" i="21"/>
  <c r="A6" i="21"/>
  <c r="W7" i="20"/>
  <c r="B7" i="20"/>
  <c r="A7" i="20" s="1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J9" i="22" l="1"/>
  <c r="V9" i="22" s="1"/>
  <c r="U8" i="22"/>
  <c r="W8" i="22"/>
  <c r="U8" i="21"/>
  <c r="J9" i="21"/>
  <c r="O9" i="21"/>
  <c r="V8" i="21"/>
  <c r="B8" i="21"/>
  <c r="T9" i="21"/>
  <c r="W8" i="21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2" l="1"/>
  <c r="W9" i="22"/>
  <c r="O10" i="21"/>
  <c r="V9" i="21"/>
  <c r="J10" i="21"/>
  <c r="U9" i="21"/>
  <c r="T10" i="21"/>
  <c r="W9" i="21"/>
  <c r="B9" i="21"/>
  <c r="A8" i="21"/>
  <c r="W5" i="19"/>
  <c r="V5" i="19"/>
  <c r="U5" i="19"/>
  <c r="O11" i="21" l="1"/>
  <c r="V11" i="21" s="1"/>
  <c r="V10" i="21"/>
  <c r="B10" i="21"/>
  <c r="A10" i="21" s="1"/>
  <c r="A9" i="21"/>
  <c r="W10" i="21"/>
  <c r="T11" i="21"/>
  <c r="J11" i="21"/>
  <c r="U10" i="21"/>
  <c r="U11" i="21" l="1"/>
  <c r="B11" i="21"/>
  <c r="A11" i="21" s="1"/>
  <c r="W11" i="21"/>
</calcChain>
</file>

<file path=xl/sharedStrings.xml><?xml version="1.0" encoding="utf-8"?>
<sst xmlns="http://schemas.openxmlformats.org/spreadsheetml/2006/main" count="870" uniqueCount="211">
  <si>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</si>
  <si>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</si>
  <si>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</si>
  <si>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</si>
  <si>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</si>
  <si>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</si>
  <si>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</si>
  <si>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</si>
  <si>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</si>
  <si>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</si>
  <si>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</si>
  <si>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</si>
  <si>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</si>
  <si>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</si>
  <si>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</si>
  <si>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</si>
  <si>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</si>
  <si>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</si>
  <si>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</si>
  <si>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</si>
  <si>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</si>
  <si>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</si>
  <si>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</si>
  <si>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</si>
  <si>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</si>
  <si>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</si>
  <si>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</si>
  <si>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</si>
  <si>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</si>
  <si>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</si>
  <si>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</si>
  <si>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</si>
  <si>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</si>
  <si>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</si>
  <si>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</si>
  <si>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</si>
  <si>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</si>
  <si>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</si>
  <si>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</si>
  <si>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</si>
  <si>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</si>
  <si>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</si>
  <si>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</si>
  <si>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</si>
  <si>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</si>
  <si>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</si>
  <si>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</si>
  <si>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</si>
  <si>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</si>
  <si>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</si>
  <si>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</si>
  <si>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</si>
  <si>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</si>
  <si>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</si>
  <si>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</si>
  <si>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</si>
  <si>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</si>
  <si>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</si>
  <si>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</si>
  <si>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</si>
  <si>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</si>
  <si>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</si>
  <si>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</si>
  <si>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</si>
  <si>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</si>
  <si>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</si>
  <si>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</si>
  <si>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</si>
  <si>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</si>
  <si>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</si>
  <si>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</si>
  <si>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</si>
  <si>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</si>
  <si>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</si>
  <si>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</si>
  <si>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</si>
  <si>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</si>
  <si>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</si>
  <si>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</si>
  <si>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</si>
  <si>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</si>
  <si>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</si>
  <si>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</si>
  <si>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</si>
  <si>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</si>
  <si>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</si>
  <si>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</si>
  <si>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</si>
  <si>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</si>
  <si>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</si>
  <si>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</si>
  <si>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</si>
  <si>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</si>
  <si>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</si>
  <si>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</si>
  <si>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</si>
  <si>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</si>
  <si>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</si>
  <si>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</si>
  <si>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</si>
  <si>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</si>
  <si>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</si>
  <si>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</si>
  <si>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</si>
  <si>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</si>
  <si>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</si>
  <si>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</si>
  <si>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</si>
  <si>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</si>
  <si>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</si>
  <si>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</si>
  <si>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</si>
  <si>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</si>
  <si>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</si>
  <si>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</si>
  <si>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</si>
  <si>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</si>
  <si>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</si>
  <si>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</si>
  <si>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</si>
  <si>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</si>
  <si>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</si>
  <si>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</si>
  <si>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</si>
  <si>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</si>
  <si>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</si>
  <si>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</si>
  <si>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</si>
  <si>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</si>
  <si>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</si>
  <si>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</si>
  <si>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</si>
  <si>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</si>
  <si>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</si>
  <si>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</si>
  <si>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</si>
  <si>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</si>
  <si>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</si>
  <si>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</si>
  <si>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</si>
  <si>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</si>
  <si>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</si>
  <si>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</si>
  <si>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</si>
  <si>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</si>
  <si>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</si>
  <si>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</si>
  <si>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</si>
  <si>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</si>
  <si>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</si>
  <si>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</si>
  <si>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</si>
  <si>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</si>
  <si>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</si>
  <si>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</si>
  <si>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</si>
  <si>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</si>
  <si>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</si>
  <si>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</si>
  <si>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</si>
  <si>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</si>
  <si>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</si>
  <si>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</si>
  <si>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</si>
  <si>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</si>
  <si>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</si>
  <si>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</si>
  <si>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</si>
  <si>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</si>
  <si>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</si>
  <si>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</si>
  <si>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</si>
  <si>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</si>
  <si>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</si>
  <si>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</si>
  <si>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</si>
  <si>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</si>
  <si>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</si>
  <si>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</si>
  <si>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</si>
  <si>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</si>
  <si>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</si>
  <si>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</si>
  <si>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</si>
  <si>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</si>
  <si>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</si>
  <si>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</si>
  <si>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</si>
  <si>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</si>
  <si>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</si>
  <si>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</si>
  <si>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</si>
  <si>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</si>
  <si>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ともき</t>
  </si>
  <si>
    <t>ともき</t>
    <phoneticPr fontId="1"/>
  </si>
  <si>
    <t>まっつん</t>
  </si>
  <si>
    <t>まっつん</t>
    <phoneticPr fontId="1"/>
  </si>
  <si>
    <t>ツモ支払</t>
  </si>
  <si>
    <t>ツモ</t>
  </si>
  <si>
    <t>*</t>
  </si>
  <si>
    <t>52</t>
  </si>
  <si>
    <t>放銃</t>
  </si>
  <si>
    <t>ロン</t>
  </si>
  <si>
    <t>01</t>
  </si>
  <si>
    <t>02</t>
  </si>
  <si>
    <t>N</t>
  </si>
  <si>
    <t>流局</t>
    <phoneticPr fontId="1"/>
  </si>
  <si>
    <t>T</t>
  </si>
  <si>
    <t>だいち</t>
  </si>
  <si>
    <t>りくと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</si>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</sst>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ともき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ともき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197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199</v>
      </c>
      <c r="AZ4" s="40" t="s">
        <v>86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200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 t="s">
        <v>201</v>
      </c>
      <c r="G5" s="9">
        <v>-8000</v>
      </c>
      <c r="H5" s="9"/>
      <c r="I5" s="48">
        <v>0</v>
      </c>
      <c r="J5" s="21">
        <f t="shared" ref="J5:J30" si="2">IF(COUNTA($F5,$K5,$P5)&gt;0,J4+SUM(G5:I5),"")</f>
        <v>19500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202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-25.5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3.5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199</v>
      </c>
      <c r="BU5" s="40" t="s">
        <v>203</v>
      </c>
      <c r="BV5" s="41" t="s">
        <v>204</v>
      </c>
      <c r="BW5" s="41" t="s">
        <v>86</v>
      </c>
      <c r="BX5" s="41" t="s">
        <v>93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201</v>
      </c>
      <c r="G6" s="9">
        <v>-12000</v>
      </c>
      <c r="H6" s="9"/>
      <c r="I6" s="48">
        <v>0</v>
      </c>
      <c r="J6" s="21">
        <f t="shared" si="2"/>
        <v>7500</v>
      </c>
      <c r="K6" s="8" t="s">
        <v>202</v>
      </c>
      <c r="L6" s="9">
        <v>12000</v>
      </c>
      <c r="M6" s="9"/>
      <c r="N6" s="48">
        <v>0</v>
      </c>
      <c r="O6" s="21">
        <f t="shared" si="3"/>
        <v>59000</v>
      </c>
      <c r="P6" s="8"/>
      <c r="Q6" s="9"/>
      <c r="R6" s="9"/>
      <c r="S6" s="48"/>
      <c r="T6" s="21">
        <f t="shared" si="4"/>
        <v>38500</v>
      </c>
      <c r="U6" s="53">
        <f>IF($J6="","",ROUND(($J6-$J$3)/1000,1)+(_xlfn.RANK.AVG($J6,($J6,$O6,$T6),1)-2)*10)</f>
        <v>-37.5</v>
      </c>
      <c r="V6" s="54">
        <f>IF($O6="","",ROUND(($O6-$O$3)/1000,1)+(_xlfn.RANK.AVG($O6,($J6,$O6,$T6),1)-2)*10)</f>
        <v>34</v>
      </c>
      <c r="W6" s="55">
        <f>IF($T6="","",ROUND(($T6-$T$3)/1000,1)+(_xlfn.RANK.AVG($T6,($J6,$O6,$T6),1)-2)*10)</f>
        <v>3.5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199</v>
      </c>
      <c r="AZ6" s="40" t="s">
        <v>203</v>
      </c>
      <c r="BA6" s="41" t="s">
        <v>86</v>
      </c>
      <c r="BB6" s="41" t="s">
        <v>86</v>
      </c>
      <c r="BC6" s="41" t="s">
        <v>79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たかの</v>
      </c>
      <c r="F7" s="8" t="s">
        <v>201</v>
      </c>
      <c r="G7" s="9">
        <v>-7700</v>
      </c>
      <c r="H7" s="9"/>
      <c r="I7" s="48">
        <v>0</v>
      </c>
      <c r="J7" s="21">
        <f t="shared" si="2"/>
        <v>-200</v>
      </c>
      <c r="K7" s="8" t="s">
        <v>202</v>
      </c>
      <c r="L7" s="9">
        <v>7700</v>
      </c>
      <c r="M7" s="9"/>
      <c r="N7" s="48">
        <v>0</v>
      </c>
      <c r="O7" s="21">
        <f t="shared" si="3"/>
        <v>66700</v>
      </c>
      <c r="P7" s="8"/>
      <c r="Q7" s="9"/>
      <c r="R7" s="9"/>
      <c r="S7" s="48"/>
      <c r="T7" s="21">
        <f t="shared" si="4"/>
        <v>38500</v>
      </c>
      <c r="U7" s="53">
        <f>IF($J7="","",ROUND(($J7-$J$3)/1000,1)+(_xlfn.RANK.AVG($J7,($J7,$O7,$T7),1)-2)*10)</f>
        <v>-45.2</v>
      </c>
      <c r="V7" s="54">
        <f>IF($O7="","",ROUND(($O7-$O$3)/1000,1)+(_xlfn.RANK.AVG($O7,($J7,$O7,$T7),1)-2)*10)</f>
        <v>41.7</v>
      </c>
      <c r="W7" s="55">
        <f>IF($T7="","",ROUND(($T7-$T$3)/1000,1)+(_xlfn.RANK.AVG($T7,($J7,$O7,$T7),1)-2)*10)</f>
        <v>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104</v>
      </c>
      <c r="BA7" s="41" t="s">
        <v>86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22EAEFF-5AF6-4610-BDF4-7E64933BADE2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77148-5FA6-4E01-B342-F1FD53FD360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ともき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ともき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197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197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198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92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206</v>
      </c>
      <c r="G5" s="9">
        <v>0</v>
      </c>
      <c r="H5" s="9"/>
      <c r="I5" s="48"/>
      <c r="J5" s="21">
        <f t="shared" ref="J5:J30" si="2">IF(COUNTA($F5,$K5,$P5)&gt;0,J4+SUM(G5:I5),"")</f>
        <v>32500</v>
      </c>
      <c r="K5" s="8" t="s">
        <v>206</v>
      </c>
      <c r="L5" s="9">
        <v>0</v>
      </c>
      <c r="M5" s="9"/>
      <c r="N5" s="48"/>
      <c r="O5" s="21">
        <f t="shared" ref="O5:O30" si="3">IF(COUNTA($F5,$K5,$P5)&gt;0,O4+SUM(L5:N5),"")</f>
        <v>33500</v>
      </c>
      <c r="P5" s="8" t="s">
        <v>206</v>
      </c>
      <c r="Q5" s="9">
        <v>0</v>
      </c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-12.5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14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まっつん</v>
      </c>
      <c r="F6" s="8" t="s">
        <v>197</v>
      </c>
      <c r="G6" s="9">
        <v>-5800</v>
      </c>
      <c r="H6" s="9"/>
      <c r="I6" s="48">
        <v>-500</v>
      </c>
      <c r="J6" s="21">
        <f t="shared" si="2"/>
        <v>26200</v>
      </c>
      <c r="K6" s="8" t="s">
        <v>197</v>
      </c>
      <c r="L6" s="9">
        <v>-5800</v>
      </c>
      <c r="M6" s="9"/>
      <c r="N6" s="48">
        <v>-500</v>
      </c>
      <c r="O6" s="21">
        <f t="shared" si="3"/>
        <v>27200</v>
      </c>
      <c r="P6" s="8" t="s">
        <v>198</v>
      </c>
      <c r="Q6" s="9">
        <v>11600</v>
      </c>
      <c r="R6" s="9"/>
      <c r="S6" s="48">
        <v>1000</v>
      </c>
      <c r="T6" s="21">
        <f t="shared" si="4"/>
        <v>51600</v>
      </c>
      <c r="U6" s="53">
        <f>IF($J6="","",ROUND(($J6-$J$3)/1000,1)+(_xlfn.RANK.AVG($J6,($J6,$O6,$T6),1)-2)*10)</f>
        <v>-18.8</v>
      </c>
      <c r="V6" s="54">
        <f>IF($O6="","",ROUND(($O6-$O$3)/1000,1)+(_xlfn.RANK.AVG($O6,($J6,$O6,$T6),1)-2)*10)</f>
        <v>-7.8</v>
      </c>
      <c r="W6" s="55">
        <f>IF($T6="","",ROUND(($T6-$T$3)/1000,1)+(_xlfn.RANK.AVG($T6,($J6,$O6,$T6),1)-2)*10)</f>
        <v>26.6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203</v>
      </c>
      <c r="BV6" s="41" t="s">
        <v>82</v>
      </c>
      <c r="BW6" s="41" t="s">
        <v>79</v>
      </c>
      <c r="BX6" s="41" t="s">
        <v>200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IF($P$1="","",$P$1)</f>
        <v>まっつん</v>
      </c>
      <c r="F7" s="8" t="s">
        <v>198</v>
      </c>
      <c r="G7" s="9">
        <v>8000</v>
      </c>
      <c r="H7" s="9"/>
      <c r="I7" s="48">
        <v>2000</v>
      </c>
      <c r="J7" s="21">
        <f t="shared" si="2"/>
        <v>36200</v>
      </c>
      <c r="K7" s="8" t="s">
        <v>197</v>
      </c>
      <c r="L7" s="9">
        <v>-3000</v>
      </c>
      <c r="M7" s="9"/>
      <c r="N7" s="48">
        <v>-1000</v>
      </c>
      <c r="O7" s="21">
        <f t="shared" si="3"/>
        <v>23200</v>
      </c>
      <c r="P7" s="8" t="s">
        <v>197</v>
      </c>
      <c r="Q7" s="9">
        <v>-5000</v>
      </c>
      <c r="R7" s="9"/>
      <c r="S7" s="48">
        <v>-1000</v>
      </c>
      <c r="T7" s="21">
        <f t="shared" si="4"/>
        <v>45600</v>
      </c>
      <c r="U7" s="53">
        <f>IF($J7="","",ROUND(($J7-$J$3)/1000,1)+(_xlfn.RANK.AVG($J7,($J7,$O7,$T7),1)-2)*10)</f>
        <v>1.2</v>
      </c>
      <c r="V7" s="54">
        <f>IF($O7="","",ROUND(($O7-$O$3)/1000,1)+(_xlfn.RANK.AVG($O7,($J7,$O7,$T7),1)-2)*10)</f>
        <v>-21.8</v>
      </c>
      <c r="W7" s="55">
        <f>IF($T7="","",ROUND(($T7-$T$3)/1000,1)+(_xlfn.RANK.AVG($T7,($J7,$O7,$T7),1)-2)*10)</f>
        <v>20.6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203</v>
      </c>
      <c r="AF7" s="41" t="s">
        <v>82</v>
      </c>
      <c r="AG7" s="41" t="s">
        <v>86</v>
      </c>
      <c r="AH7" s="41" t="s">
        <v>200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ともき</v>
      </c>
      <c r="F8" s="8" t="s">
        <v>201</v>
      </c>
      <c r="G8" s="9">
        <v>-8000</v>
      </c>
      <c r="H8" s="9"/>
      <c r="I8" s="48">
        <v>0</v>
      </c>
      <c r="J8" s="21">
        <f t="shared" si="2"/>
        <v>28200</v>
      </c>
      <c r="K8" s="8"/>
      <c r="L8" s="9"/>
      <c r="M8" s="9"/>
      <c r="N8" s="48"/>
      <c r="O8" s="21">
        <f t="shared" si="3"/>
        <v>23200</v>
      </c>
      <c r="P8" s="8" t="s">
        <v>202</v>
      </c>
      <c r="Q8" s="9">
        <v>8000</v>
      </c>
      <c r="R8" s="9"/>
      <c r="S8" s="48">
        <v>0</v>
      </c>
      <c r="T8" s="21">
        <f t="shared" si="4"/>
        <v>53600</v>
      </c>
      <c r="U8" s="53">
        <f>IF($J8="","",ROUND(($J8-$J$3)/1000,1)+(_xlfn.RANK.AVG($J8,($J8,$O8,$T8),1)-2)*10)</f>
        <v>-6.8</v>
      </c>
      <c r="V8" s="54">
        <f>IF($O8="","",ROUND(($O8-$O$3)/1000,1)+(_xlfn.RANK.AVG($O8,($J8,$O8,$T8),1)-2)*10)</f>
        <v>-21.8</v>
      </c>
      <c r="W8" s="55">
        <f>IF($T8="","",ROUND(($T8-$T$3)/1000,1)+(_xlfn.RANK.AVG($T8,($J8,$O8,$T8),1)-2)*10)</f>
        <v>28.6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70</v>
      </c>
      <c r="BU8" s="40" t="s">
        <v>86</v>
      </c>
      <c r="BV8" s="41" t="s">
        <v>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/>
      <c r="G9" s="9"/>
      <c r="H9" s="9"/>
      <c r="I9" s="48"/>
      <c r="J9" s="21">
        <f t="shared" si="2"/>
        <v>28200</v>
      </c>
      <c r="K9" s="8" t="s">
        <v>202</v>
      </c>
      <c r="L9" s="9">
        <v>1500</v>
      </c>
      <c r="M9" s="9"/>
      <c r="N9" s="48">
        <v>0</v>
      </c>
      <c r="O9" s="21">
        <f t="shared" si="3"/>
        <v>24700</v>
      </c>
      <c r="P9" s="8" t="s">
        <v>201</v>
      </c>
      <c r="Q9" s="9">
        <v>-1500</v>
      </c>
      <c r="R9" s="9"/>
      <c r="S9" s="48">
        <v>0</v>
      </c>
      <c r="T9" s="21">
        <f t="shared" si="4"/>
        <v>52100</v>
      </c>
      <c r="U9" s="53">
        <f>IF($J9="","",ROUND(($J9-$J$3)/1000,1)+(_xlfn.RANK.AVG($J9,($J9,$O9,$T9),1)-2)*10)</f>
        <v>-6.8</v>
      </c>
      <c r="V9" s="54">
        <f>IF($O9="","",ROUND(($O9-$O$3)/1000,1)+(_xlfn.RANK.AVG($O9,($J9,$O9,$T9),1)-2)*10)</f>
        <v>-20.3</v>
      </c>
      <c r="W9" s="55">
        <f>IF($T9="","",ROUND(($T9-$T$3)/1000,1)+(_xlfn.RANK.AVG($T9,($J9,$O9,$T9),1)-2)*10)</f>
        <v>27.1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30</v>
      </c>
      <c r="AZ9" s="40" t="s">
        <v>92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206</v>
      </c>
      <c r="G10" s="9">
        <v>1500</v>
      </c>
      <c r="H10" s="9">
        <v>-1000</v>
      </c>
      <c r="I10" s="48"/>
      <c r="J10" s="21">
        <f t="shared" si="2"/>
        <v>28700</v>
      </c>
      <c r="K10" s="8" t="s">
        <v>206</v>
      </c>
      <c r="L10" s="9">
        <v>-3000</v>
      </c>
      <c r="M10" s="9"/>
      <c r="N10" s="48"/>
      <c r="O10" s="21">
        <f t="shared" si="3"/>
        <v>21700</v>
      </c>
      <c r="P10" s="8" t="s">
        <v>206</v>
      </c>
      <c r="Q10" s="9">
        <v>1500</v>
      </c>
      <c r="R10" s="9"/>
      <c r="S10" s="48"/>
      <c r="T10" s="21">
        <f t="shared" si="4"/>
        <v>53600</v>
      </c>
      <c r="U10" s="53">
        <f>IF($J10="","",ROUND(($J10-$J$3)/1000,1)+(_xlfn.RANK.AVG($J10,($J10,$O10,$T10),1)-2)*10)</f>
        <v>-6.3</v>
      </c>
      <c r="V10" s="54">
        <f>IF($O10="","",ROUND(($O10-$O$3)/1000,1)+(_xlfn.RANK.AVG($O10,($J10,$O10,$T10),1)-2)*10)</f>
        <v>-23.3</v>
      </c>
      <c r="W10" s="55">
        <f>IF($T10="","",ROUND(($T10-$T$3)/1000,1)+(_xlfn.RANK.AVG($T10,($J10,$O10,$T10),1)-2)*10)</f>
        <v>28.6</v>
      </c>
      <c r="Y10" s="8" t="s">
        <v>207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tr">
        <f>IF($P$1="","",$P$1)</f>
        <v>まっつん</v>
      </c>
      <c r="F11" s="8" t="s">
        <v>201</v>
      </c>
      <c r="G11" s="9">
        <v>-2400</v>
      </c>
      <c r="H11" s="9"/>
      <c r="I11" s="48">
        <v>-2000</v>
      </c>
      <c r="J11" s="21">
        <f t="shared" si="2"/>
        <v>24300</v>
      </c>
      <c r="K11" s="8"/>
      <c r="L11" s="9"/>
      <c r="M11" s="9"/>
      <c r="N11" s="48"/>
      <c r="O11" s="21">
        <f t="shared" si="3"/>
        <v>21700</v>
      </c>
      <c r="P11" s="8" t="s">
        <v>202</v>
      </c>
      <c r="Q11" s="9">
        <v>2400</v>
      </c>
      <c r="R11" s="9">
        <v>1000</v>
      </c>
      <c r="S11" s="48">
        <v>2000</v>
      </c>
      <c r="T11" s="21">
        <f t="shared" si="4"/>
        <v>59000</v>
      </c>
      <c r="U11" s="53">
        <f>IF($J11="","",ROUND(($J11-$J$3)/1000,1)+(_xlfn.RANK.AVG($J11,($J11,$O11,$T11),1)-2)*10)</f>
        <v>-10.7</v>
      </c>
      <c r="V11" s="54">
        <f>IF($O11="","",ROUND(($O11-$O$3)/1000,1)+(_xlfn.RANK.AVG($O11,($J11,$O11,$T11),1)-2)*10)</f>
        <v>-23.3</v>
      </c>
      <c r="W11" s="55">
        <f>IF($T11="","",ROUND(($T11-$T$3)/1000,1)+(_xlfn.RANK.AVG($T11,($J11,$O11,$T11),1)-2)*10)</f>
        <v>34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25</v>
      </c>
      <c r="BU11" s="40" t="s">
        <v>101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D79F1316-1824-4A95-B803-1940D18C27DE}">
      <formula1>"れんたろう,ともき,だいち,りくと,まっつん,たかの,のり,ただ,"</formula1>
    </dataValidation>
    <dataValidation type="list" showInputMessage="1" showErrorMessage="1" sqref="K4:K30 P4:P30 F4:F30" xr:uid="{24886A88-5BDF-478F-ABAA-8C6A9E60062F}">
      <formula1>"ロン,ツモ,放銃,ツモ支払,流局,チョンボ"</formula1>
    </dataValidation>
    <dataValidation type="list" allowBlank="1" showInputMessage="1" showErrorMessage="1" sqref="E4:E30" xr:uid="{F0A21528-19D2-4F5D-BE8F-9B6A80692B3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C48E-F7BF-405B-AF66-9279AF1B6BA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208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197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197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198</v>
      </c>
      <c r="Q4" s="9">
        <v>2800</v>
      </c>
      <c r="R4" s="9"/>
      <c r="S4" s="48">
        <v>0</v>
      </c>
      <c r="T4" s="21">
        <f>IF(COUNTA($F4,$K4,$P4)&gt;0,T3+SUM(Q4:S4),"")</f>
        <v>37800</v>
      </c>
      <c r="U4" s="53">
        <f>IF($J4="","",ROUND(($J4-$J$3)/1000,1)+(_xlfn.RANK.AVG($J4,($J4,$O4,$T4),1)-2)*10)</f>
        <v>-11.7</v>
      </c>
      <c r="V4" s="54">
        <f>IF($O4="","",ROUND(($O4-$O$3)/1000,1)+(_xlfn.RANK.AVG($O4,($J4,$O4,$T4),1)-2)*10)</f>
        <v>-1.1000000000000001</v>
      </c>
      <c r="W4" s="55">
        <f>IF($T4="","",ROUND(($T4-$T$3)/1000,1)+(_xlfn.RANK.AVG($T4,($J4,$O4,$T4),1)-2)*10)</f>
        <v>12.8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20</v>
      </c>
      <c r="BU4" s="40" t="s">
        <v>203</v>
      </c>
      <c r="BV4" s="41" t="s">
        <v>82</v>
      </c>
      <c r="BW4" s="41" t="s">
        <v>83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198</v>
      </c>
      <c r="G5" s="9">
        <v>8000</v>
      </c>
      <c r="H5" s="9"/>
      <c r="I5" s="48">
        <v>0</v>
      </c>
      <c r="J5" s="21">
        <f t="shared" ref="J5:J30" si="2">IF(COUNTA($F5,$K5,$P5)&gt;0,J4+SUM(G5:I5),"")</f>
        <v>41300</v>
      </c>
      <c r="K5" s="8" t="s">
        <v>197</v>
      </c>
      <c r="L5" s="9">
        <v>-5000</v>
      </c>
      <c r="M5" s="9"/>
      <c r="N5" s="48">
        <v>0</v>
      </c>
      <c r="O5" s="21">
        <f t="shared" ref="O5:O30" si="3">IF(COUNTA($F5,$K5,$P5)&gt;0,O4+SUM(L5:N5),"")</f>
        <v>28900</v>
      </c>
      <c r="P5" s="8" t="s">
        <v>197</v>
      </c>
      <c r="Q5" s="9">
        <v>-3000</v>
      </c>
      <c r="R5" s="9"/>
      <c r="S5" s="48">
        <v>0</v>
      </c>
      <c r="T5" s="21">
        <f t="shared" ref="T5:T30" si="4">IF(COUNTA($F5,$K5,$P5)&gt;0,T4+SUM(Q5:S5),"")</f>
        <v>34800</v>
      </c>
      <c r="U5" s="53">
        <f>IF($J5="","",ROUND(($J5-$J$3)/1000,1)+(_xlfn.RANK.AVG($J5,($J5,$O5,$T5),1)-2)*10)</f>
        <v>16.3</v>
      </c>
      <c r="V5" s="54">
        <f>IF($O5="","",ROUND(($O5-$O$3)/1000,1)+(_xlfn.RANK.AVG($O5,($J5,$O5,$T5),1)-2)*10)</f>
        <v>-16.100000000000001</v>
      </c>
      <c r="W5" s="55">
        <f>IF($T5="","",ROUND(($T5-$T$3)/1000,1)+(_xlfn.RANK.AVG($T5,($J5,$O5,$T5),1)-2)*10)</f>
        <v>-0.2</v>
      </c>
      <c r="Y5" s="8"/>
      <c r="Z5" s="34"/>
      <c r="AA5" s="26"/>
      <c r="AB5" s="26">
        <v>1</v>
      </c>
      <c r="AC5" s="26">
        <v>5</v>
      </c>
      <c r="AD5" s="30" t="s">
        <v>199</v>
      </c>
      <c r="AE5" s="40" t="s">
        <v>86</v>
      </c>
      <c r="AF5" s="41" t="s">
        <v>104</v>
      </c>
      <c r="AG5" s="41" t="s">
        <v>98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197</v>
      </c>
      <c r="G6" s="9">
        <v>-1100</v>
      </c>
      <c r="H6" s="9"/>
      <c r="I6" s="48">
        <v>0</v>
      </c>
      <c r="J6" s="21">
        <f t="shared" si="2"/>
        <v>40200</v>
      </c>
      <c r="K6" s="8" t="s">
        <v>198</v>
      </c>
      <c r="L6" s="9">
        <v>2800</v>
      </c>
      <c r="M6" s="9">
        <v>1000</v>
      </c>
      <c r="N6" s="48">
        <v>0</v>
      </c>
      <c r="O6" s="21">
        <f t="shared" si="3"/>
        <v>32700</v>
      </c>
      <c r="P6" s="8" t="s">
        <v>197</v>
      </c>
      <c r="Q6" s="9">
        <v>-1700</v>
      </c>
      <c r="R6" s="9">
        <v>-1000</v>
      </c>
      <c r="S6" s="48">
        <v>0</v>
      </c>
      <c r="T6" s="21">
        <f t="shared" si="4"/>
        <v>32100</v>
      </c>
      <c r="U6" s="53">
        <f>IF($J6="","",ROUND(($J6-$J$3)/1000,1)+(_xlfn.RANK.AVG($J6,($J6,$O6,$T6),1)-2)*10)</f>
        <v>15.2</v>
      </c>
      <c r="V6" s="54">
        <f>IF($O6="","",ROUND(($O6-$O$3)/1000,1)+(_xlfn.RANK.AVG($O6,($J6,$O6,$T6),1)-2)*10)</f>
        <v>-2.2999999999999998</v>
      </c>
      <c r="W6" s="55">
        <f>IF($T6="","",ROUND(($T6-$T$3)/1000,1)+(_xlfn.RANK.AVG($T6,($J6,$O6,$T6),1)-2)*10)</f>
        <v>-12.9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20</v>
      </c>
      <c r="AZ6" s="40" t="s">
        <v>203</v>
      </c>
      <c r="BA6" s="41" t="s">
        <v>82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197</v>
      </c>
      <c r="G7" s="9">
        <v>-3300</v>
      </c>
      <c r="H7" s="9"/>
      <c r="I7" s="48">
        <v>0</v>
      </c>
      <c r="J7" s="21">
        <f t="shared" si="2"/>
        <v>36900</v>
      </c>
      <c r="K7" s="8" t="s">
        <v>198</v>
      </c>
      <c r="L7" s="9">
        <v>5300</v>
      </c>
      <c r="M7" s="9"/>
      <c r="N7" s="48">
        <v>0</v>
      </c>
      <c r="O7" s="21">
        <f t="shared" si="3"/>
        <v>38000</v>
      </c>
      <c r="P7" s="8" t="s">
        <v>197</v>
      </c>
      <c r="Q7" s="9">
        <v>-2000</v>
      </c>
      <c r="R7" s="9"/>
      <c r="S7" s="48">
        <v>0</v>
      </c>
      <c r="T7" s="21">
        <f t="shared" si="4"/>
        <v>30100</v>
      </c>
      <c r="U7" s="53">
        <f>IF($J7="","",ROUND(($J7-$J$3)/1000,1)+(_xlfn.RANK.AVG($J7,($J7,$O7,$T7),1)-2)*10)</f>
        <v>1.9</v>
      </c>
      <c r="V7" s="54">
        <f>IF($O7="","",ROUND(($O7-$O$3)/1000,1)+(_xlfn.RANK.AVG($O7,($J7,$O7,$T7),1)-2)*10)</f>
        <v>13</v>
      </c>
      <c r="W7" s="55">
        <f>IF($T7="","",ROUND(($T7-$T$3)/1000,1)+(_xlfn.RANK.AVG($T7,($J7,$O7,$T7),1)-2)*10)</f>
        <v>-14.9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20</v>
      </c>
      <c r="AZ7" s="40" t="s">
        <v>82</v>
      </c>
      <c r="BA7" s="41" t="s">
        <v>83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201</v>
      </c>
      <c r="G8" s="9">
        <v>-2000</v>
      </c>
      <c r="H8" s="9"/>
      <c r="I8" s="48">
        <v>0</v>
      </c>
      <c r="J8" s="21">
        <f t="shared" si="2"/>
        <v>34900</v>
      </c>
      <c r="K8" s="8"/>
      <c r="L8" s="9"/>
      <c r="M8" s="9"/>
      <c r="N8" s="48"/>
      <c r="O8" s="21">
        <f t="shared" si="3"/>
        <v>38000</v>
      </c>
      <c r="P8" s="8" t="s">
        <v>202</v>
      </c>
      <c r="Q8" s="9">
        <v>2000</v>
      </c>
      <c r="R8" s="9"/>
      <c r="S8" s="48">
        <v>0</v>
      </c>
      <c r="T8" s="21">
        <f t="shared" si="4"/>
        <v>32100</v>
      </c>
      <c r="U8" s="53">
        <f>IF($J8="","",ROUND(($J8-$J$3)/1000,1)+(_xlfn.RANK.AVG($J8,($J8,$O8,$T8),1)-2)*10)</f>
        <v>-0.1</v>
      </c>
      <c r="V8" s="54">
        <f>IF($O8="","",ROUND(($O8-$O$3)/1000,1)+(_xlfn.RANK.AVG($O8,($J8,$O8,$T8),1)-2)*10)</f>
        <v>13</v>
      </c>
      <c r="W8" s="55">
        <f>IF($T8="","",ROUND(($T8-$T$3)/1000,1)+(_xlfn.RANK.AVG($T8,($J8,$O8,$T8),1)-2)*10)</f>
        <v>-12.9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79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りくと</v>
      </c>
      <c r="F9" s="8" t="s">
        <v>197</v>
      </c>
      <c r="G9" s="9">
        <v>-800</v>
      </c>
      <c r="H9" s="9"/>
      <c r="I9" s="48">
        <v>0</v>
      </c>
      <c r="J9" s="21">
        <f t="shared" si="2"/>
        <v>34100</v>
      </c>
      <c r="K9" s="8" t="s">
        <v>198</v>
      </c>
      <c r="L9" s="9">
        <v>2100</v>
      </c>
      <c r="M9" s="9">
        <v>1000</v>
      </c>
      <c r="N9" s="48">
        <v>0</v>
      </c>
      <c r="O9" s="21">
        <f t="shared" si="3"/>
        <v>41100</v>
      </c>
      <c r="P9" s="8" t="s">
        <v>197</v>
      </c>
      <c r="Q9" s="9">
        <v>-1300</v>
      </c>
      <c r="R9" s="9">
        <v>-1000</v>
      </c>
      <c r="S9" s="48">
        <v>0</v>
      </c>
      <c r="T9" s="21">
        <f t="shared" si="4"/>
        <v>29800</v>
      </c>
      <c r="U9" s="53">
        <f>IF($J9="","",ROUND(($J9-$J$3)/1000,1)+(_xlfn.RANK.AVG($J9,($J9,$O9,$T9),1)-2)*10)</f>
        <v>-0.9</v>
      </c>
      <c r="V9" s="54">
        <f>IF($O9="","",ROUND(($O9-$O$3)/1000,1)+(_xlfn.RANK.AVG($O9,($J9,$O9,$T9),1)-2)*10)</f>
        <v>16.100000000000001</v>
      </c>
      <c r="W9" s="55">
        <f>IF($T9="","",ROUND(($T9-$T$3)/1000,1)+(_xlfn.RANK.AVG($T9,($J9,$O9,$T9),1)-2)*10)</f>
        <v>-15.2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200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30B1AA3-588E-48F4-B43B-BD9CA2D656A2}">
      <formula1>$U$2:$W$2</formula1>
    </dataValidation>
    <dataValidation type="list" showInputMessage="1" showErrorMessage="1" sqref="K4:K30 P4:P30 F4:F30" xr:uid="{8027A282-1FB3-4C6E-B7AE-236ECBB13652}">
      <formula1>"ロン,ツモ,放銃,ツモ支払,流局,チョンボ"</formula1>
    </dataValidation>
    <dataValidation type="list" allowBlank="1" showInputMessage="1" sqref="F1:T1" xr:uid="{C8E14626-8E0E-4A09-B25C-AF9F2812FEF5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736A7-8407-4202-AD32-658C938946A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209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りくと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210</v>
      </c>
      <c r="BV4" s="41" t="s">
        <v>82</v>
      </c>
      <c r="BW4" s="41" t="s">
        <v>83</v>
      </c>
      <c r="BX4" s="41" t="s">
        <v>200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198</v>
      </c>
      <c r="G5" s="9">
        <v>7700</v>
      </c>
      <c r="H5" s="9"/>
      <c r="I5" s="48">
        <v>0</v>
      </c>
      <c r="J5" s="21">
        <f t="shared" ref="J5:J30" si="2">IF(COUNTA($F5,$K5,$P5)&gt;0,J4+SUM(G5:I5),"")</f>
        <v>37700</v>
      </c>
      <c r="K5" s="8" t="s">
        <v>197</v>
      </c>
      <c r="L5" s="9">
        <v>-4800</v>
      </c>
      <c r="M5" s="9"/>
      <c r="N5" s="48">
        <v>0</v>
      </c>
      <c r="O5" s="21">
        <f t="shared" ref="O5:O30" si="3">IF(COUNTA($F5,$K5,$P5)&gt;0,O4+SUM(L5:N5),"")</f>
        <v>27200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40100</v>
      </c>
      <c r="U5" s="53">
        <f>IF($J5="","",ROUND(($J5-$J$3)/1000,1)+(_xlfn.RANK.AVG($J5,($J5,$O5,$T5),1)-2)*10)</f>
        <v>2.7</v>
      </c>
      <c r="V5" s="54">
        <f>IF($O5="","",ROUND(($O5-$O$3)/1000,1)+(_xlfn.RANK.AVG($O5,($J5,$O5,$T5),1)-2)*10)</f>
        <v>-17.8</v>
      </c>
      <c r="W5" s="55">
        <f>IF($T5="","",ROUND(($T5-$T$3)/1000,1)+(_xlfn.RANK.AVG($T5,($J5,$O5,$T5),1)-2)*10)</f>
        <v>15.1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79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-24000</v>
      </c>
      <c r="H6" s="9"/>
      <c r="I6" s="48">
        <v>0</v>
      </c>
      <c r="J6" s="21">
        <f t="shared" si="2"/>
        <v>13700</v>
      </c>
      <c r="K6" s="8" t="s">
        <v>197</v>
      </c>
      <c r="L6" s="9">
        <v>-24000</v>
      </c>
      <c r="M6" s="9"/>
      <c r="N6" s="48">
        <v>0</v>
      </c>
      <c r="O6" s="21">
        <f t="shared" si="3"/>
        <v>3200</v>
      </c>
      <c r="P6" s="8" t="s">
        <v>198</v>
      </c>
      <c r="Q6" s="9">
        <v>48000</v>
      </c>
      <c r="R6" s="9"/>
      <c r="S6" s="48">
        <v>0</v>
      </c>
      <c r="T6" s="21">
        <f t="shared" si="4"/>
        <v>88100</v>
      </c>
      <c r="U6" s="53">
        <f>IF($J6="","",ROUND(($J6-$J$3)/1000,1)+(_xlfn.RANK.AVG($J6,($J6,$O6,$T6),1)-2)*10)</f>
        <v>-21.3</v>
      </c>
      <c r="V6" s="54">
        <f>IF($O6="","",ROUND(($O6-$O$3)/1000,1)+(_xlfn.RANK.AVG($O6,($J6,$O6,$T6),1)-2)*10)</f>
        <v>-41.8</v>
      </c>
      <c r="W6" s="55">
        <f>IF($T6="","",ROUND(($T6-$T$3)/1000,1)+(_xlfn.RANK.AVG($T6,($J6,$O6,$T6),1)-2)*10)</f>
        <v>63.1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13</v>
      </c>
      <c r="BT6" s="30" t="s">
        <v>199</v>
      </c>
      <c r="BU6" s="40" t="s">
        <v>108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198</v>
      </c>
      <c r="G7" s="9">
        <v>7700</v>
      </c>
      <c r="H7" s="9"/>
      <c r="I7" s="48">
        <v>1000</v>
      </c>
      <c r="J7" s="21">
        <f t="shared" si="2"/>
        <v>22400</v>
      </c>
      <c r="K7" s="8" t="s">
        <v>197</v>
      </c>
      <c r="L7" s="9">
        <v>-2900</v>
      </c>
      <c r="M7" s="9"/>
      <c r="N7" s="48">
        <v>-500</v>
      </c>
      <c r="O7" s="21">
        <f t="shared" si="3"/>
        <v>-200</v>
      </c>
      <c r="P7" s="8" t="s">
        <v>197</v>
      </c>
      <c r="Q7" s="9">
        <v>-4800</v>
      </c>
      <c r="R7" s="9"/>
      <c r="S7" s="48">
        <v>-500</v>
      </c>
      <c r="T7" s="21">
        <f t="shared" si="4"/>
        <v>82800</v>
      </c>
      <c r="U7" s="53">
        <f>IF($J7="","",ROUND(($J7-$J$3)/1000,1)+(_xlfn.RANK.AVG($J7,($J7,$O7,$T7),1)-2)*10)</f>
        <v>-12.6</v>
      </c>
      <c r="V7" s="54">
        <f>IF($O7="","",ROUND(($O7-$O$3)/1000,1)+(_xlfn.RANK.AVG($O7,($J7,$O7,$T7),1)-2)*10)</f>
        <v>-45.2</v>
      </c>
      <c r="W7" s="55">
        <f>IF($T7="","",ROUND(($T7-$T$3)/1000,1)+(_xlfn.RANK.AVG($T7,($J7,$O7,$T7),1)-2)*10)</f>
        <v>57.8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86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10C84DA-B7E2-459E-8377-0767B5F3B3E8}">
      <formula1>"れんたろう,ともき,だいち,りくと,まっつん,たかの,のり,ただ,"</formula1>
    </dataValidation>
    <dataValidation type="list" showInputMessage="1" showErrorMessage="1" sqref="K4:K30 P4:P30 F4:F30" xr:uid="{F2CF4D2F-9B9C-4C84-995C-036AC909BB7C}">
      <formula1>"ロン,ツモ,放銃,ツモ支払,流局,チョンボ"</formula1>
    </dataValidation>
    <dataValidation type="list" allowBlank="1" showInputMessage="1" showErrorMessage="1" sqref="E4:E30" xr:uid="{3A0CCFC5-A943-40DE-8791-A036419E07D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5A7D4-8338-4776-B658-FC390D0EF1DE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195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たかの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197</v>
      </c>
      <c r="G4" s="9">
        <v>-4000</v>
      </c>
      <c r="H4" s="9"/>
      <c r="I4" s="48">
        <v>0</v>
      </c>
      <c r="J4" s="21">
        <f>IF(COUNTA($F4,$K4,$P4)&gt;0,J3+SUM(G4:I4),"")</f>
        <v>31000</v>
      </c>
      <c r="K4" s="8" t="s">
        <v>198</v>
      </c>
      <c r="L4" s="9">
        <v>6400</v>
      </c>
      <c r="M4" s="9"/>
      <c r="N4" s="48">
        <v>0</v>
      </c>
      <c r="O4" s="21">
        <f>IF(COUNTA($F4,$K4,$P4)&gt;0,O3+SUM(L4:N4),"")</f>
        <v>41400</v>
      </c>
      <c r="P4" s="8" t="s">
        <v>197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16.399999999999999</v>
      </c>
      <c r="W4" s="55">
        <f>IF($T4="","",ROUND(($T4-$T$3)/1000,1)+(_xlfn.RANK.AVG($T4,($J4,$O4,$T4),1)-2)*10)</f>
        <v>-2.4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50</v>
      </c>
      <c r="AZ4" s="40" t="s">
        <v>86</v>
      </c>
      <c r="BA4" s="41" t="s">
        <v>89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2">IF(COUNTA($F5,$K5,$P5)&gt;0,J4+SUM(G5:I5),"")</f>
        <v>31000</v>
      </c>
      <c r="K5" s="8" t="s">
        <v>202</v>
      </c>
      <c r="L5" s="9">
        <v>11600</v>
      </c>
      <c r="M5" s="9"/>
      <c r="N5" s="48">
        <v>0</v>
      </c>
      <c r="O5" s="21">
        <f t="shared" ref="O5:O30" si="3">IF(COUNTA($F5,$K5,$P5)&gt;0,O4+SUM(L5:N5),"")</f>
        <v>53000</v>
      </c>
      <c r="P5" s="8" t="s">
        <v>201</v>
      </c>
      <c r="Q5" s="9">
        <v>-11600</v>
      </c>
      <c r="R5" s="9"/>
      <c r="S5" s="48">
        <v>0</v>
      </c>
      <c r="T5" s="21">
        <f t="shared" ref="T5:T30" si="4">IF(COUNTA($F5,$K5,$P5)&gt;0,T4+SUM(Q5:S5),"")</f>
        <v>21000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28</v>
      </c>
      <c r="W5" s="55">
        <f>IF($T5="","",ROUND(($T5-$T$3)/1000,1)+(_xlfn.RANK.AVG($T5,($J5,$O5,$T5),1)-2)*10)</f>
        <v>-24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104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たかの</v>
      </c>
      <c r="F6" s="8"/>
      <c r="G6" s="9"/>
      <c r="H6" s="9"/>
      <c r="I6" s="48"/>
      <c r="J6" s="21">
        <f t="shared" si="2"/>
        <v>31000</v>
      </c>
      <c r="K6" s="8" t="s">
        <v>202</v>
      </c>
      <c r="L6" s="9">
        <v>11600</v>
      </c>
      <c r="M6" s="9">
        <v>1000</v>
      </c>
      <c r="N6" s="48">
        <v>1000</v>
      </c>
      <c r="O6" s="21">
        <f t="shared" si="3"/>
        <v>66600</v>
      </c>
      <c r="P6" s="8" t="s">
        <v>201</v>
      </c>
      <c r="Q6" s="9">
        <v>-11600</v>
      </c>
      <c r="R6" s="9">
        <v>-1000</v>
      </c>
      <c r="S6" s="48">
        <v>-1000</v>
      </c>
      <c r="T6" s="21">
        <f t="shared" si="4"/>
        <v>7400</v>
      </c>
      <c r="U6" s="53">
        <f>IF($J6="","",ROUND(($J6-$J$3)/1000,1)+(_xlfn.RANK.AVG($J6,($J6,$O6,$T6),1)-2)*10)</f>
        <v>-4</v>
      </c>
      <c r="V6" s="54">
        <f>IF($O6="","",ROUND(($O6-$O$3)/1000,1)+(_xlfn.RANK.AVG($O6,($J6,$O6,$T6),1)-2)*10)</f>
        <v>41.6</v>
      </c>
      <c r="W6" s="55">
        <f>IF($T6="","",ROUND(($T6-$T$3)/1000,1)+(_xlfn.RANK.AVG($T6,($J6,$O6,$T6),1)-2)*10)</f>
        <v>-37.6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203</v>
      </c>
      <c r="BA6" s="41" t="s">
        <v>83</v>
      </c>
      <c r="BB6" s="41" t="s">
        <v>200</v>
      </c>
      <c r="BC6" s="41" t="s">
        <v>200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たかの</v>
      </c>
      <c r="F7" s="8"/>
      <c r="G7" s="9"/>
      <c r="H7" s="9"/>
      <c r="I7" s="48"/>
      <c r="J7" s="21">
        <f t="shared" si="2"/>
        <v>31000</v>
      </c>
      <c r="K7" s="8" t="s">
        <v>202</v>
      </c>
      <c r="L7" s="9">
        <v>7700</v>
      </c>
      <c r="M7" s="9"/>
      <c r="N7" s="48">
        <v>2000</v>
      </c>
      <c r="O7" s="21">
        <f t="shared" si="3"/>
        <v>76300</v>
      </c>
      <c r="P7" s="8" t="s">
        <v>201</v>
      </c>
      <c r="Q7" s="9">
        <v>-7700</v>
      </c>
      <c r="R7" s="9"/>
      <c r="S7" s="48">
        <v>-2000</v>
      </c>
      <c r="T7" s="21">
        <f t="shared" si="4"/>
        <v>-2300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51.3</v>
      </c>
      <c r="W7" s="55">
        <f>IF($T7="","",ROUND(($T7-$T$3)/1000,1)+(_xlfn.RANK.AVG($T7,($J7,$O7,$T7),1)-2)*10)</f>
        <v>-47.3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203</v>
      </c>
      <c r="BA7" s="41" t="s">
        <v>86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たかの</v>
      </c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2736E3D-72EA-4B01-9FF5-16585E930DCC}">
      <formula1>$U$2:$W$2</formula1>
    </dataValidation>
    <dataValidation type="list" showInputMessage="1" showErrorMessage="1" sqref="K4:K30 P4:P30 F4:F30" xr:uid="{5FE0BD14-C7E0-46B1-AF3C-DCB44EA08522}">
      <formula1>"ロン,ツモ,放銃,ツモ支払,流局,チョンボ"</formula1>
    </dataValidation>
    <dataValidation type="list" allowBlank="1" showInputMessage="1" sqref="F1:T1" xr:uid="{3051097D-6064-4BF5-9989-67B658C237D2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2020-04-09T10:10:10Z</dcterms:modified>
</cp:coreProperties>
</file>