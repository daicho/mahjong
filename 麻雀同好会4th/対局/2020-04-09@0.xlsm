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対局\"/>
    </mc:Choice>
  </mc:AlternateContent>
  <xr:revisionPtr revIDLastSave="0" documentId="13_ncr:1_{1290521F-E884-4202-AA0C-52C503F65C0D}" xr6:coauthVersionLast="44" xr6:coauthVersionMax="44" xr10:uidLastSave="{00000000-0000-0000-0000-000000000000}"/>
  <bookViews>
    <workbookView xWindow="-108" yWindow="-108" windowWidth="23256" windowHeight="12720" activeTab="7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Sheet6" sheetId="24" r:id="rId6"/>
    <sheet name="Sheet7" sheetId="25" r:id="rId7"/>
    <sheet name="Sheet8" sheetId="26" r:id="rId8"/>
    <sheet name="役一覧" sheetId="15" state="hidden" r:id="rId9"/>
    <sheet name="点数表(親ロン)" sheetId="4" state="hidden" r:id="rId10"/>
    <sheet name="点数表(親ツモ)" sheetId="9" state="hidden" r:id="rId11"/>
    <sheet name="点数表(子→親)" sheetId="7" state="hidden" r:id="rId12"/>
    <sheet name="点数表(子ロン)" sheetId="3" state="hidden" r:id="rId13"/>
    <sheet name="点数表(子ツモ)" sheetId="10" state="hidden" r:id="rId14"/>
    <sheet name="点数表(子→子)" sheetId="5" state="hidden" r:id="rId15"/>
    <sheet name="点数表(親→子)" sheetId="6" state="hidden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2" i="26" l="1"/>
  <c r="D12" i="26" s="1"/>
  <c r="E11" i="26"/>
  <c r="E10" i="26"/>
  <c r="E9" i="26"/>
  <c r="C9" i="26" s="1"/>
  <c r="E8" i="26"/>
  <c r="D8" i="26" s="1"/>
  <c r="E7" i="26"/>
  <c r="E6" i="26"/>
  <c r="D6" i="26" s="1"/>
  <c r="E5" i="26"/>
  <c r="T30" i="26"/>
  <c r="W30" i="26" s="1"/>
  <c r="O30" i="26"/>
  <c r="V30" i="26" s="1"/>
  <c r="J30" i="26"/>
  <c r="U30" i="26" s="1"/>
  <c r="D30" i="26"/>
  <c r="C30" i="26"/>
  <c r="B30" i="26"/>
  <c r="A30" i="26"/>
  <c r="T29" i="26"/>
  <c r="W29" i="26" s="1"/>
  <c r="O29" i="26"/>
  <c r="V29" i="26" s="1"/>
  <c r="J29" i="26"/>
  <c r="U29" i="26" s="1"/>
  <c r="D29" i="26"/>
  <c r="C29" i="26"/>
  <c r="B29" i="26"/>
  <c r="A29" i="26"/>
  <c r="T28" i="26"/>
  <c r="W28" i="26" s="1"/>
  <c r="O28" i="26"/>
  <c r="V28" i="26" s="1"/>
  <c r="J28" i="26"/>
  <c r="U28" i="26" s="1"/>
  <c r="D28" i="26"/>
  <c r="C28" i="26"/>
  <c r="B28" i="26"/>
  <c r="A28" i="26"/>
  <c r="T27" i="26"/>
  <c r="W27" i="26" s="1"/>
  <c r="O27" i="26"/>
  <c r="V27" i="26" s="1"/>
  <c r="J27" i="26"/>
  <c r="U27" i="26" s="1"/>
  <c r="D27" i="26"/>
  <c r="C27" i="26"/>
  <c r="B27" i="26"/>
  <c r="A27" i="26"/>
  <c r="T26" i="26"/>
  <c r="W26" i="26" s="1"/>
  <c r="O26" i="26"/>
  <c r="V26" i="26" s="1"/>
  <c r="J26" i="26"/>
  <c r="U26" i="26" s="1"/>
  <c r="D26" i="26"/>
  <c r="C26" i="26"/>
  <c r="B26" i="26"/>
  <c r="A26" i="26"/>
  <c r="T25" i="26"/>
  <c r="W25" i="26" s="1"/>
  <c r="O25" i="26"/>
  <c r="V25" i="26" s="1"/>
  <c r="J25" i="26"/>
  <c r="U25" i="26" s="1"/>
  <c r="D25" i="26"/>
  <c r="C25" i="26"/>
  <c r="B25" i="26"/>
  <c r="A25" i="26"/>
  <c r="T24" i="26"/>
  <c r="W24" i="26" s="1"/>
  <c r="O24" i="26"/>
  <c r="V24" i="26" s="1"/>
  <c r="J24" i="26"/>
  <c r="U24" i="26" s="1"/>
  <c r="D24" i="26"/>
  <c r="C24" i="26"/>
  <c r="B24" i="26"/>
  <c r="A24" i="26"/>
  <c r="T23" i="26"/>
  <c r="W23" i="26" s="1"/>
  <c r="O23" i="26"/>
  <c r="V23" i="26" s="1"/>
  <c r="J23" i="26"/>
  <c r="U23" i="26" s="1"/>
  <c r="D23" i="26"/>
  <c r="C23" i="26"/>
  <c r="B23" i="26"/>
  <c r="A23" i="26"/>
  <c r="T22" i="26"/>
  <c r="W22" i="26" s="1"/>
  <c r="O22" i="26"/>
  <c r="V22" i="26" s="1"/>
  <c r="J22" i="26"/>
  <c r="U22" i="26" s="1"/>
  <c r="D22" i="26"/>
  <c r="C22" i="26"/>
  <c r="B22" i="26"/>
  <c r="A22" i="26"/>
  <c r="T21" i="26"/>
  <c r="W21" i="26" s="1"/>
  <c r="O21" i="26"/>
  <c r="V21" i="26" s="1"/>
  <c r="J21" i="26"/>
  <c r="U21" i="26" s="1"/>
  <c r="D21" i="26"/>
  <c r="C21" i="26"/>
  <c r="B21" i="26"/>
  <c r="A21" i="26"/>
  <c r="T20" i="26"/>
  <c r="W20" i="26" s="1"/>
  <c r="O20" i="26"/>
  <c r="V20" i="26" s="1"/>
  <c r="J20" i="26"/>
  <c r="U20" i="26" s="1"/>
  <c r="D20" i="26"/>
  <c r="C20" i="26"/>
  <c r="B20" i="26"/>
  <c r="A20" i="26"/>
  <c r="T19" i="26"/>
  <c r="W19" i="26" s="1"/>
  <c r="O19" i="26"/>
  <c r="V19" i="26" s="1"/>
  <c r="J19" i="26"/>
  <c r="U19" i="26" s="1"/>
  <c r="D19" i="26"/>
  <c r="C19" i="26"/>
  <c r="B19" i="26"/>
  <c r="A19" i="26"/>
  <c r="T18" i="26"/>
  <c r="W18" i="26" s="1"/>
  <c r="O18" i="26"/>
  <c r="V18" i="26" s="1"/>
  <c r="J18" i="26"/>
  <c r="U18" i="26" s="1"/>
  <c r="D18" i="26"/>
  <c r="C18" i="26"/>
  <c r="B18" i="26"/>
  <c r="A18" i="26"/>
  <c r="T17" i="26"/>
  <c r="W17" i="26" s="1"/>
  <c r="O17" i="26"/>
  <c r="V17" i="26" s="1"/>
  <c r="J17" i="26"/>
  <c r="U17" i="26" s="1"/>
  <c r="D17" i="26"/>
  <c r="C17" i="26"/>
  <c r="B17" i="26"/>
  <c r="A17" i="26"/>
  <c r="T16" i="26"/>
  <c r="W16" i="26" s="1"/>
  <c r="O16" i="26"/>
  <c r="V16" i="26" s="1"/>
  <c r="J16" i="26"/>
  <c r="U16" i="26" s="1"/>
  <c r="D16" i="26"/>
  <c r="C16" i="26"/>
  <c r="B16" i="26"/>
  <c r="A16" i="26"/>
  <c r="T15" i="26"/>
  <c r="W15" i="26" s="1"/>
  <c r="O15" i="26"/>
  <c r="V15" i="26" s="1"/>
  <c r="J15" i="26"/>
  <c r="U15" i="26" s="1"/>
  <c r="D15" i="26"/>
  <c r="C15" i="26"/>
  <c r="B15" i="26"/>
  <c r="A15" i="26"/>
  <c r="T14" i="26"/>
  <c r="W14" i="26" s="1"/>
  <c r="O14" i="26"/>
  <c r="V14" i="26" s="1"/>
  <c r="J14" i="26"/>
  <c r="U14" i="26" s="1"/>
  <c r="D14" i="26"/>
  <c r="C14" i="26"/>
  <c r="B14" i="26"/>
  <c r="A14" i="26"/>
  <c r="T13" i="26"/>
  <c r="W13" i="26" s="1"/>
  <c r="O13" i="26"/>
  <c r="V13" i="26" s="1"/>
  <c r="J13" i="26"/>
  <c r="U13" i="26" s="1"/>
  <c r="D13" i="26"/>
  <c r="C13" i="26"/>
  <c r="B13" i="26"/>
  <c r="A13" i="26"/>
  <c r="T12" i="26"/>
  <c r="W12" i="26" s="1"/>
  <c r="O12" i="26"/>
  <c r="V12" i="26" s="1"/>
  <c r="J12" i="26"/>
  <c r="U12" i="26" s="1"/>
  <c r="B12" i="26"/>
  <c r="T11" i="26"/>
  <c r="O11" i="26"/>
  <c r="J11" i="26"/>
  <c r="D11" i="26"/>
  <c r="C11" i="26"/>
  <c r="B11" i="26"/>
  <c r="A11" i="26"/>
  <c r="T10" i="26"/>
  <c r="W10" i="26" s="1"/>
  <c r="O10" i="26"/>
  <c r="J10" i="26"/>
  <c r="D10" i="26"/>
  <c r="C10" i="26"/>
  <c r="B10" i="26"/>
  <c r="A10" i="26" s="1"/>
  <c r="T9" i="26"/>
  <c r="O9" i="26"/>
  <c r="J9" i="26"/>
  <c r="T8" i="26"/>
  <c r="O8" i="26"/>
  <c r="J8" i="26"/>
  <c r="U8" i="26" s="1"/>
  <c r="D7" i="26"/>
  <c r="T5" i="26"/>
  <c r="T6" i="26" s="1"/>
  <c r="J5" i="26"/>
  <c r="J6" i="26" s="1"/>
  <c r="D5" i="26"/>
  <c r="T4" i="26"/>
  <c r="O4" i="26"/>
  <c r="V4" i="26" s="1"/>
  <c r="J4" i="26"/>
  <c r="E4" i="26"/>
  <c r="C5" i="26" s="1"/>
  <c r="C6" i="26" s="1"/>
  <c r="W3" i="26"/>
  <c r="V3" i="26"/>
  <c r="U3" i="26"/>
  <c r="W2" i="26"/>
  <c r="V2" i="26"/>
  <c r="U2" i="26"/>
  <c r="BO1" i="26"/>
  <c r="AT1" i="26"/>
  <c r="Y1" i="26"/>
  <c r="D8" i="25"/>
  <c r="E7" i="25"/>
  <c r="E6" i="25"/>
  <c r="C6" i="25" s="1"/>
  <c r="E5" i="25"/>
  <c r="T30" i="25"/>
  <c r="W30" i="25" s="1"/>
  <c r="O30" i="25"/>
  <c r="V30" i="25" s="1"/>
  <c r="J30" i="25"/>
  <c r="U30" i="25" s="1"/>
  <c r="D30" i="25"/>
  <c r="C30" i="25"/>
  <c r="B30" i="25"/>
  <c r="A30" i="25"/>
  <c r="T29" i="25"/>
  <c r="W29" i="25" s="1"/>
  <c r="O29" i="25"/>
  <c r="V29" i="25" s="1"/>
  <c r="J29" i="25"/>
  <c r="U29" i="25" s="1"/>
  <c r="D29" i="25"/>
  <c r="C29" i="25"/>
  <c r="B29" i="25"/>
  <c r="A29" i="25"/>
  <c r="T28" i="25"/>
  <c r="W28" i="25" s="1"/>
  <c r="O28" i="25"/>
  <c r="V28" i="25" s="1"/>
  <c r="J28" i="25"/>
  <c r="U28" i="25" s="1"/>
  <c r="D28" i="25"/>
  <c r="C28" i="25"/>
  <c r="B28" i="25"/>
  <c r="A28" i="25"/>
  <c r="T27" i="25"/>
  <c r="W27" i="25" s="1"/>
  <c r="O27" i="25"/>
  <c r="V27" i="25" s="1"/>
  <c r="J27" i="25"/>
  <c r="U27" i="25" s="1"/>
  <c r="D27" i="25"/>
  <c r="C27" i="25"/>
  <c r="B27" i="25"/>
  <c r="A27" i="25"/>
  <c r="T26" i="25"/>
  <c r="W26" i="25" s="1"/>
  <c r="O26" i="25"/>
  <c r="V26" i="25" s="1"/>
  <c r="J26" i="25"/>
  <c r="U26" i="25" s="1"/>
  <c r="D26" i="25"/>
  <c r="C26" i="25"/>
  <c r="B26" i="25"/>
  <c r="A26" i="25"/>
  <c r="T25" i="25"/>
  <c r="W25" i="25" s="1"/>
  <c r="O25" i="25"/>
  <c r="V25" i="25" s="1"/>
  <c r="J25" i="25"/>
  <c r="U25" i="25" s="1"/>
  <c r="D25" i="25"/>
  <c r="C25" i="25"/>
  <c r="B25" i="25"/>
  <c r="A25" i="25"/>
  <c r="T24" i="25"/>
  <c r="W24" i="25" s="1"/>
  <c r="O24" i="25"/>
  <c r="V24" i="25" s="1"/>
  <c r="J24" i="25"/>
  <c r="U24" i="25" s="1"/>
  <c r="D24" i="25"/>
  <c r="C24" i="25"/>
  <c r="B24" i="25"/>
  <c r="A24" i="25"/>
  <c r="T23" i="25"/>
  <c r="W23" i="25" s="1"/>
  <c r="O23" i="25"/>
  <c r="V23" i="25" s="1"/>
  <c r="J23" i="25"/>
  <c r="U23" i="25" s="1"/>
  <c r="D23" i="25"/>
  <c r="C23" i="25"/>
  <c r="B23" i="25"/>
  <c r="A23" i="25"/>
  <c r="T22" i="25"/>
  <c r="W22" i="25" s="1"/>
  <c r="O22" i="25"/>
  <c r="V22" i="25" s="1"/>
  <c r="J22" i="25"/>
  <c r="U22" i="25" s="1"/>
  <c r="D22" i="25"/>
  <c r="C22" i="25"/>
  <c r="B22" i="25"/>
  <c r="A22" i="25"/>
  <c r="T21" i="25"/>
  <c r="W21" i="25" s="1"/>
  <c r="O21" i="25"/>
  <c r="V21" i="25" s="1"/>
  <c r="J21" i="25"/>
  <c r="U21" i="25" s="1"/>
  <c r="D21" i="25"/>
  <c r="C21" i="25"/>
  <c r="B21" i="25"/>
  <c r="A21" i="25"/>
  <c r="T20" i="25"/>
  <c r="W20" i="25" s="1"/>
  <c r="O20" i="25"/>
  <c r="V20" i="25" s="1"/>
  <c r="J20" i="25"/>
  <c r="U20" i="25" s="1"/>
  <c r="D20" i="25"/>
  <c r="C20" i="25"/>
  <c r="B20" i="25"/>
  <c r="A20" i="25"/>
  <c r="T19" i="25"/>
  <c r="W19" i="25" s="1"/>
  <c r="O19" i="25"/>
  <c r="V19" i="25" s="1"/>
  <c r="J19" i="25"/>
  <c r="U19" i="25" s="1"/>
  <c r="D19" i="25"/>
  <c r="C19" i="25"/>
  <c r="B19" i="25"/>
  <c r="A19" i="25"/>
  <c r="T18" i="25"/>
  <c r="W18" i="25" s="1"/>
  <c r="O18" i="25"/>
  <c r="V18" i="25" s="1"/>
  <c r="J18" i="25"/>
  <c r="U18" i="25" s="1"/>
  <c r="D18" i="25"/>
  <c r="C18" i="25"/>
  <c r="B18" i="25"/>
  <c r="A18" i="25"/>
  <c r="T17" i="25"/>
  <c r="W17" i="25" s="1"/>
  <c r="O17" i="25"/>
  <c r="V17" i="25" s="1"/>
  <c r="J17" i="25"/>
  <c r="U17" i="25" s="1"/>
  <c r="D17" i="25"/>
  <c r="C17" i="25"/>
  <c r="B17" i="25"/>
  <c r="A17" i="25"/>
  <c r="T16" i="25"/>
  <c r="W16" i="25" s="1"/>
  <c r="O16" i="25"/>
  <c r="V16" i="25" s="1"/>
  <c r="J16" i="25"/>
  <c r="U16" i="25" s="1"/>
  <c r="D16" i="25"/>
  <c r="C16" i="25"/>
  <c r="B16" i="25"/>
  <c r="A16" i="25"/>
  <c r="T15" i="25"/>
  <c r="W15" i="25" s="1"/>
  <c r="O15" i="25"/>
  <c r="V15" i="25" s="1"/>
  <c r="J15" i="25"/>
  <c r="U15" i="25" s="1"/>
  <c r="D15" i="25"/>
  <c r="C15" i="25"/>
  <c r="B15" i="25"/>
  <c r="A15" i="25"/>
  <c r="T14" i="25"/>
  <c r="W14" i="25" s="1"/>
  <c r="O14" i="25"/>
  <c r="V14" i="25" s="1"/>
  <c r="J14" i="25"/>
  <c r="U14" i="25" s="1"/>
  <c r="D14" i="25"/>
  <c r="C14" i="25"/>
  <c r="B14" i="25"/>
  <c r="A14" i="25"/>
  <c r="T13" i="25"/>
  <c r="W13" i="25" s="1"/>
  <c r="O13" i="25"/>
  <c r="V13" i="25" s="1"/>
  <c r="J13" i="25"/>
  <c r="U13" i="25" s="1"/>
  <c r="D13" i="25"/>
  <c r="C13" i="25"/>
  <c r="B13" i="25"/>
  <c r="A13" i="25"/>
  <c r="D12" i="25"/>
  <c r="C12" i="25"/>
  <c r="C10" i="25"/>
  <c r="D10" i="25"/>
  <c r="D9" i="25"/>
  <c r="T6" i="25"/>
  <c r="T7" i="25" s="1"/>
  <c r="D6" i="25"/>
  <c r="T5" i="25"/>
  <c r="O5" i="25"/>
  <c r="O6" i="25" s="1"/>
  <c r="B5" i="25"/>
  <c r="A5" i="25" s="1"/>
  <c r="D5" i="25"/>
  <c r="C5" i="25"/>
  <c r="T4" i="25"/>
  <c r="O4" i="25"/>
  <c r="J4" i="25"/>
  <c r="W4" i="25" s="1"/>
  <c r="E4" i="25"/>
  <c r="W3" i="25"/>
  <c r="V3" i="25"/>
  <c r="U3" i="25"/>
  <c r="W2" i="25"/>
  <c r="V2" i="25"/>
  <c r="U2" i="25"/>
  <c r="BO1" i="25"/>
  <c r="AT1" i="25"/>
  <c r="Y1" i="25"/>
  <c r="D13" i="24"/>
  <c r="E12" i="24"/>
  <c r="C12" i="24" s="1"/>
  <c r="E11" i="24"/>
  <c r="E10" i="24"/>
  <c r="D10" i="24" s="1"/>
  <c r="E9" i="24"/>
  <c r="E8" i="24"/>
  <c r="E7" i="24"/>
  <c r="E6" i="24"/>
  <c r="E5" i="24"/>
  <c r="T30" i="24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D15" i="24"/>
  <c r="C15" i="24"/>
  <c r="B15" i="24"/>
  <c r="A15" i="24"/>
  <c r="T14" i="24"/>
  <c r="W14" i="24" s="1"/>
  <c r="O14" i="24"/>
  <c r="V14" i="24" s="1"/>
  <c r="J14" i="24"/>
  <c r="U14" i="24" s="1"/>
  <c r="D14" i="24"/>
  <c r="C14" i="24"/>
  <c r="B14" i="24"/>
  <c r="A14" i="24"/>
  <c r="T13" i="24"/>
  <c r="W13" i="24" s="1"/>
  <c r="O13" i="24"/>
  <c r="V13" i="24" s="1"/>
  <c r="J13" i="24"/>
  <c r="U13" i="24" s="1"/>
  <c r="B13" i="24"/>
  <c r="T12" i="24"/>
  <c r="O12" i="24"/>
  <c r="J12" i="24"/>
  <c r="D12" i="24"/>
  <c r="T11" i="24"/>
  <c r="O11" i="24"/>
  <c r="J11" i="24"/>
  <c r="D11" i="24"/>
  <c r="C11" i="24"/>
  <c r="B11" i="24"/>
  <c r="A11" i="24" s="1"/>
  <c r="T10" i="24"/>
  <c r="O10" i="24"/>
  <c r="V10" i="24" s="1"/>
  <c r="J10" i="24"/>
  <c r="T9" i="24"/>
  <c r="O9" i="24"/>
  <c r="J9" i="24"/>
  <c r="D9" i="24"/>
  <c r="C9" i="24"/>
  <c r="B9" i="24"/>
  <c r="A9" i="24"/>
  <c r="T8" i="24"/>
  <c r="W8" i="24" s="1"/>
  <c r="O8" i="24"/>
  <c r="V8" i="24" s="1"/>
  <c r="J8" i="24"/>
  <c r="D8" i="24"/>
  <c r="C8" i="24"/>
  <c r="B8" i="24"/>
  <c r="A8" i="24" s="1"/>
  <c r="T6" i="24"/>
  <c r="T7" i="24" s="1"/>
  <c r="D6" i="24"/>
  <c r="T5" i="24"/>
  <c r="D5" i="24"/>
  <c r="C5" i="24"/>
  <c r="T4" i="24"/>
  <c r="O4" i="24"/>
  <c r="O5" i="24" s="1"/>
  <c r="J4" i="24"/>
  <c r="J5" i="24" s="1"/>
  <c r="E4" i="24"/>
  <c r="B5" i="24" s="1"/>
  <c r="W3" i="24"/>
  <c r="V3" i="24"/>
  <c r="U3" i="24"/>
  <c r="W2" i="24"/>
  <c r="V2" i="24"/>
  <c r="U2" i="24"/>
  <c r="BO1" i="24"/>
  <c r="AT1" i="24"/>
  <c r="Y1" i="24"/>
  <c r="A12" i="26" l="1"/>
  <c r="C12" i="26"/>
  <c r="W11" i="26"/>
  <c r="U11" i="26"/>
  <c r="V11" i="26"/>
  <c r="U10" i="26"/>
  <c r="V10" i="26"/>
  <c r="W9" i="26"/>
  <c r="U9" i="26"/>
  <c r="V9" i="26"/>
  <c r="B9" i="26"/>
  <c r="A9" i="26" s="1"/>
  <c r="D9" i="26"/>
  <c r="V8" i="26"/>
  <c r="W8" i="26"/>
  <c r="A8" i="26"/>
  <c r="B8" i="26"/>
  <c r="C8" i="26"/>
  <c r="U4" i="26"/>
  <c r="J7" i="26"/>
  <c r="T7" i="26"/>
  <c r="C7" i="26"/>
  <c r="B6" i="26"/>
  <c r="O5" i="26"/>
  <c r="W5" i="26" s="1"/>
  <c r="W4" i="26"/>
  <c r="U5" i="26"/>
  <c r="B5" i="26"/>
  <c r="V4" i="25"/>
  <c r="T8" i="25"/>
  <c r="O7" i="25"/>
  <c r="C8" i="25"/>
  <c r="C9" i="25" s="1"/>
  <c r="C11" i="25"/>
  <c r="B6" i="25"/>
  <c r="B7" i="25" s="1"/>
  <c r="U4" i="25"/>
  <c r="J5" i="25"/>
  <c r="D11" i="25"/>
  <c r="C7" i="25"/>
  <c r="V5" i="25"/>
  <c r="D7" i="25"/>
  <c r="A13" i="24"/>
  <c r="C13" i="24"/>
  <c r="W12" i="24"/>
  <c r="V12" i="24"/>
  <c r="U12" i="24"/>
  <c r="B12" i="24"/>
  <c r="A12" i="24" s="1"/>
  <c r="W11" i="24"/>
  <c r="U11" i="24"/>
  <c r="V11" i="24"/>
  <c r="U10" i="24"/>
  <c r="W10" i="24"/>
  <c r="C10" i="24"/>
  <c r="B10" i="24"/>
  <c r="A10" i="24" s="1"/>
  <c r="U9" i="24"/>
  <c r="W9" i="24"/>
  <c r="V9" i="24"/>
  <c r="U8" i="24"/>
  <c r="O6" i="24"/>
  <c r="V5" i="24"/>
  <c r="A5" i="24"/>
  <c r="W5" i="24"/>
  <c r="J6" i="24"/>
  <c r="U5" i="24"/>
  <c r="W4" i="24"/>
  <c r="C7" i="24"/>
  <c r="D7" i="24"/>
  <c r="B6" i="24"/>
  <c r="U4" i="24"/>
  <c r="C6" i="24"/>
  <c r="V4" i="24"/>
  <c r="E8" i="23"/>
  <c r="E7" i="23"/>
  <c r="E6" i="23"/>
  <c r="E5" i="23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T12" i="23"/>
  <c r="W12" i="23" s="1"/>
  <c r="O12" i="23"/>
  <c r="V12" i="23" s="1"/>
  <c r="J12" i="23"/>
  <c r="U12" i="23" s="1"/>
  <c r="D12" i="23"/>
  <c r="C12" i="23"/>
  <c r="B12" i="23"/>
  <c r="A12" i="23"/>
  <c r="T11" i="23"/>
  <c r="W11" i="23" s="1"/>
  <c r="O11" i="23"/>
  <c r="V11" i="23" s="1"/>
  <c r="J11" i="23"/>
  <c r="U11" i="23" s="1"/>
  <c r="D11" i="23"/>
  <c r="C11" i="23"/>
  <c r="B11" i="23"/>
  <c r="A11" i="23"/>
  <c r="T10" i="23"/>
  <c r="W10" i="23" s="1"/>
  <c r="O10" i="23"/>
  <c r="V10" i="23" s="1"/>
  <c r="J10" i="23"/>
  <c r="U10" i="23" s="1"/>
  <c r="D10" i="23"/>
  <c r="C10" i="23"/>
  <c r="B10" i="23"/>
  <c r="A10" i="23"/>
  <c r="T9" i="23"/>
  <c r="W9" i="23" s="1"/>
  <c r="O9" i="23"/>
  <c r="V9" i="23" s="1"/>
  <c r="J9" i="23"/>
  <c r="U9" i="23" s="1"/>
  <c r="D9" i="23"/>
  <c r="C9" i="23"/>
  <c r="B9" i="23"/>
  <c r="A9" i="23"/>
  <c r="T8" i="23"/>
  <c r="W8" i="23" s="1"/>
  <c r="O8" i="23"/>
  <c r="V8" i="23" s="1"/>
  <c r="J8" i="23"/>
  <c r="U8" i="23" s="1"/>
  <c r="D8" i="23"/>
  <c r="C8" i="23"/>
  <c r="B8" i="23"/>
  <c r="A8" i="23" s="1"/>
  <c r="D7" i="23"/>
  <c r="T6" i="23"/>
  <c r="T7" i="23" s="1"/>
  <c r="C6" i="23"/>
  <c r="D6" i="23"/>
  <c r="T5" i="23"/>
  <c r="O5" i="23"/>
  <c r="O6" i="23" s="1"/>
  <c r="D5" i="23"/>
  <c r="C5" i="23"/>
  <c r="T4" i="23"/>
  <c r="O4" i="23"/>
  <c r="J4" i="23"/>
  <c r="J5" i="23" s="1"/>
  <c r="E4" i="23"/>
  <c r="B5" i="23" s="1"/>
  <c r="A5" i="23" s="1"/>
  <c r="W3" i="23"/>
  <c r="V3" i="23"/>
  <c r="U3" i="23"/>
  <c r="W2" i="23"/>
  <c r="V2" i="23"/>
  <c r="U2" i="23"/>
  <c r="BO1" i="23"/>
  <c r="AT1" i="23"/>
  <c r="Y1" i="23"/>
  <c r="O6" i="26" l="1"/>
  <c r="V5" i="26"/>
  <c r="B7" i="26"/>
  <c r="A5" i="26"/>
  <c r="A6" i="26" s="1"/>
  <c r="B8" i="25"/>
  <c r="J6" i="25"/>
  <c r="U5" i="25"/>
  <c r="W5" i="25"/>
  <c r="A6" i="25"/>
  <c r="A7" i="25" s="1"/>
  <c r="O8" i="25"/>
  <c r="T9" i="25"/>
  <c r="U6" i="24"/>
  <c r="J7" i="24"/>
  <c r="A6" i="24"/>
  <c r="O7" i="24"/>
  <c r="V6" i="24"/>
  <c r="B7" i="24"/>
  <c r="A7" i="24" s="1"/>
  <c r="W6" i="24"/>
  <c r="V4" i="23"/>
  <c r="O7" i="23"/>
  <c r="W5" i="23"/>
  <c r="J6" i="23"/>
  <c r="W6" i="23" s="1"/>
  <c r="U5" i="23"/>
  <c r="W4" i="23"/>
  <c r="C7" i="23"/>
  <c r="V5" i="23"/>
  <c r="B6" i="23"/>
  <c r="B7" i="23" s="1"/>
  <c r="U4" i="23"/>
  <c r="A7" i="26" l="1"/>
  <c r="O7" i="26"/>
  <c r="V6" i="26"/>
  <c r="U6" i="26"/>
  <c r="W6" i="26"/>
  <c r="A8" i="25"/>
  <c r="A9" i="25" s="1"/>
  <c r="T10" i="25"/>
  <c r="O9" i="25"/>
  <c r="J7" i="25"/>
  <c r="U6" i="25"/>
  <c r="W6" i="25"/>
  <c r="V6" i="25"/>
  <c r="B9" i="25"/>
  <c r="V7" i="24"/>
  <c r="U7" i="24"/>
  <c r="W7" i="24"/>
  <c r="V6" i="23"/>
  <c r="A6" i="23"/>
  <c r="U6" i="23"/>
  <c r="J7" i="23"/>
  <c r="A7" i="23"/>
  <c r="V7" i="26" l="1"/>
  <c r="U7" i="26"/>
  <c r="W7" i="26"/>
  <c r="J8" i="25"/>
  <c r="U7" i="25"/>
  <c r="W7" i="25"/>
  <c r="V7" i="25"/>
  <c r="O10" i="25"/>
  <c r="B10" i="25"/>
  <c r="T11" i="25"/>
  <c r="U7" i="23"/>
  <c r="W7" i="23"/>
  <c r="V7" i="23"/>
  <c r="B11" i="25" l="1"/>
  <c r="A11" i="25"/>
  <c r="A10" i="25"/>
  <c r="O11" i="25"/>
  <c r="T12" i="25"/>
  <c r="J9" i="25"/>
  <c r="U8" i="25"/>
  <c r="W8" i="25"/>
  <c r="V8" i="25"/>
  <c r="E7" i="22"/>
  <c r="E6" i="22"/>
  <c r="E5" i="22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/>
  <c r="T11" i="22"/>
  <c r="W11" i="22" s="1"/>
  <c r="O11" i="22"/>
  <c r="V11" i="22" s="1"/>
  <c r="J11" i="22"/>
  <c r="U11" i="22" s="1"/>
  <c r="D11" i="22"/>
  <c r="C11" i="22"/>
  <c r="B11" i="22"/>
  <c r="A11" i="22"/>
  <c r="T10" i="22"/>
  <c r="W10" i="22" s="1"/>
  <c r="O10" i="22"/>
  <c r="V10" i="22" s="1"/>
  <c r="J10" i="22"/>
  <c r="U10" i="22" s="1"/>
  <c r="D10" i="22"/>
  <c r="C10" i="22"/>
  <c r="B10" i="22"/>
  <c r="A10" i="22"/>
  <c r="D9" i="22"/>
  <c r="C9" i="22"/>
  <c r="C7" i="22"/>
  <c r="T6" i="22"/>
  <c r="T7" i="22" s="1"/>
  <c r="C6" i="22"/>
  <c r="D6" i="22"/>
  <c r="T5" i="22"/>
  <c r="O5" i="22"/>
  <c r="O6" i="22" s="1"/>
  <c r="D5" i="22"/>
  <c r="C5" i="22"/>
  <c r="T4" i="22"/>
  <c r="O4" i="22"/>
  <c r="J4" i="22"/>
  <c r="J5" i="22" s="1"/>
  <c r="E4" i="22"/>
  <c r="B5" i="22" s="1"/>
  <c r="A5" i="22" s="1"/>
  <c r="W3" i="22"/>
  <c r="V3" i="22"/>
  <c r="U3" i="22"/>
  <c r="W2" i="22"/>
  <c r="V2" i="22"/>
  <c r="U2" i="22"/>
  <c r="BO1" i="22"/>
  <c r="AT1" i="22"/>
  <c r="Y1" i="22"/>
  <c r="D10" i="21"/>
  <c r="E9" i="21"/>
  <c r="E8" i="21"/>
  <c r="E7" i="21"/>
  <c r="E6" i="2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D9" i="21"/>
  <c r="C9" i="21"/>
  <c r="D8" i="21"/>
  <c r="C8" i="21"/>
  <c r="D7" i="21"/>
  <c r="C5" i="21"/>
  <c r="D5" i="21"/>
  <c r="D6" i="21" s="1"/>
  <c r="T4" i="21"/>
  <c r="T5" i="21" s="1"/>
  <c r="O4" i="21"/>
  <c r="O5" i="21" s="1"/>
  <c r="J4" i="21"/>
  <c r="J5" i="21" s="1"/>
  <c r="E4" i="21"/>
  <c r="W3" i="21"/>
  <c r="V3" i="21"/>
  <c r="U3" i="21"/>
  <c r="W2" i="21"/>
  <c r="V2" i="21"/>
  <c r="U2" i="21"/>
  <c r="BO1" i="21"/>
  <c r="AT1" i="21"/>
  <c r="Y1" i="21"/>
  <c r="D12" i="20"/>
  <c r="E11" i="20"/>
  <c r="E10" i="20"/>
  <c r="E9" i="20"/>
  <c r="D9" i="20" s="1"/>
  <c r="E8" i="20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T11" i="20"/>
  <c r="O11" i="20"/>
  <c r="J11" i="20"/>
  <c r="D11" i="20"/>
  <c r="C11" i="20"/>
  <c r="B11" i="20"/>
  <c r="A11" i="20" s="1"/>
  <c r="T10" i="20"/>
  <c r="O10" i="20"/>
  <c r="V10" i="20" s="1"/>
  <c r="J10" i="20"/>
  <c r="U10" i="20" s="1"/>
  <c r="D10" i="20"/>
  <c r="C10" i="20"/>
  <c r="B10" i="20"/>
  <c r="A10" i="20" s="1"/>
  <c r="T9" i="20"/>
  <c r="O9" i="20"/>
  <c r="J9" i="20"/>
  <c r="U9" i="20" s="1"/>
  <c r="C9" i="20"/>
  <c r="T8" i="20"/>
  <c r="O8" i="20"/>
  <c r="J8" i="20"/>
  <c r="U8" i="20" s="1"/>
  <c r="D8" i="20"/>
  <c r="C8" i="20"/>
  <c r="B8" i="20"/>
  <c r="A8" i="20" s="1"/>
  <c r="D6" i="20"/>
  <c r="T5" i="20"/>
  <c r="T6" i="20" s="1"/>
  <c r="C5" i="20"/>
  <c r="D5" i="20"/>
  <c r="T4" i="20"/>
  <c r="W4" i="20" s="1"/>
  <c r="O4" i="20"/>
  <c r="O5" i="20" s="1"/>
  <c r="J4" i="20"/>
  <c r="J5" i="20" s="1"/>
  <c r="E4" i="20"/>
  <c r="W3" i="20"/>
  <c r="V3" i="20"/>
  <c r="U3" i="20"/>
  <c r="W2" i="20"/>
  <c r="V2" i="20"/>
  <c r="U2" i="20"/>
  <c r="BO1" i="20"/>
  <c r="AT1" i="20"/>
  <c r="Y1" i="20"/>
  <c r="E7" i="19"/>
  <c r="E6" i="19"/>
  <c r="E5" i="19"/>
  <c r="B12" i="25" l="1"/>
  <c r="A12" i="25" s="1"/>
  <c r="U9" i="25"/>
  <c r="J10" i="25"/>
  <c r="W9" i="25"/>
  <c r="V9" i="25"/>
  <c r="O12" i="25"/>
  <c r="V4" i="22"/>
  <c r="O7" i="22"/>
  <c r="J6" i="22"/>
  <c r="V6" i="22" s="1"/>
  <c r="U5" i="22"/>
  <c r="W5" i="22"/>
  <c r="T8" i="22"/>
  <c r="W4" i="22"/>
  <c r="B7" i="22"/>
  <c r="V5" i="22"/>
  <c r="D7" i="22"/>
  <c r="B6" i="22"/>
  <c r="A6" i="22" s="1"/>
  <c r="D8" i="22"/>
  <c r="C8" i="22"/>
  <c r="U4" i="22"/>
  <c r="W6" i="22"/>
  <c r="T6" i="21"/>
  <c r="W5" i="21"/>
  <c r="O6" i="21"/>
  <c r="V5" i="21"/>
  <c r="J6" i="21"/>
  <c r="U5" i="21"/>
  <c r="U4" i="21"/>
  <c r="C6" i="21"/>
  <c r="C7" i="21" s="1"/>
  <c r="D11" i="21"/>
  <c r="V4" i="21"/>
  <c r="W4" i="21"/>
  <c r="B5" i="21"/>
  <c r="A5" i="21" s="1"/>
  <c r="C10" i="21"/>
  <c r="C11" i="21" s="1"/>
  <c r="B12" i="20"/>
  <c r="A12" i="20" s="1"/>
  <c r="C12" i="20"/>
  <c r="V11" i="20"/>
  <c r="U11" i="20"/>
  <c r="W11" i="20"/>
  <c r="W10" i="20"/>
  <c r="V9" i="20"/>
  <c r="W9" i="20"/>
  <c r="B9" i="20"/>
  <c r="A9" i="20" s="1"/>
  <c r="V8" i="20"/>
  <c r="W8" i="20"/>
  <c r="O6" i="20"/>
  <c r="V5" i="20"/>
  <c r="T7" i="20"/>
  <c r="U5" i="20"/>
  <c r="J6" i="20"/>
  <c r="B5" i="20"/>
  <c r="A5" i="20" s="1"/>
  <c r="D7" i="20"/>
  <c r="W5" i="20"/>
  <c r="C7" i="20"/>
  <c r="U4" i="20"/>
  <c r="C6" i="20"/>
  <c r="V4" i="20"/>
  <c r="E4" i="19"/>
  <c r="J11" i="25" l="1"/>
  <c r="U10" i="25"/>
  <c r="W10" i="25"/>
  <c r="V10" i="25"/>
  <c r="B8" i="22"/>
  <c r="O8" i="22"/>
  <c r="T9" i="22"/>
  <c r="A7" i="22"/>
  <c r="J7" i="22"/>
  <c r="U6" i="22"/>
  <c r="T7" i="21"/>
  <c r="W6" i="21"/>
  <c r="J7" i="21"/>
  <c r="U6" i="21"/>
  <c r="O7" i="21"/>
  <c r="V6" i="21"/>
  <c r="B6" i="21"/>
  <c r="B6" i="20"/>
  <c r="A6" i="20" s="1"/>
  <c r="J7" i="20"/>
  <c r="U6" i="20"/>
  <c r="W6" i="20"/>
  <c r="O7" i="20"/>
  <c r="V7" i="20" s="1"/>
  <c r="V6" i="20"/>
  <c r="W3" i="19"/>
  <c r="V3" i="19"/>
  <c r="U3" i="19"/>
  <c r="J12" i="25" l="1"/>
  <c r="U11" i="25"/>
  <c r="W11" i="25"/>
  <c r="V11" i="25"/>
  <c r="O9" i="22"/>
  <c r="A9" i="22"/>
  <c r="B9" i="22"/>
  <c r="A8" i="22"/>
  <c r="U7" i="22"/>
  <c r="J8" i="22"/>
  <c r="V8" i="22" s="1"/>
  <c r="W7" i="22"/>
  <c r="V7" i="22"/>
  <c r="O8" i="21"/>
  <c r="V7" i="21"/>
  <c r="B7" i="21"/>
  <c r="A7" i="21" s="1"/>
  <c r="J8" i="21"/>
  <c r="U7" i="21"/>
  <c r="T8" i="21"/>
  <c r="W7" i="21"/>
  <c r="A6" i="21"/>
  <c r="W7" i="20"/>
  <c r="B7" i="20"/>
  <c r="A7" i="20" s="1"/>
  <c r="U7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V9" i="19" s="1"/>
  <c r="J9" i="19"/>
  <c r="U9" i="19" s="1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U12" i="25" l="1"/>
  <c r="W12" i="25"/>
  <c r="V12" i="25"/>
  <c r="J9" i="22"/>
  <c r="V9" i="22" s="1"/>
  <c r="U8" i="22"/>
  <c r="W8" i="22"/>
  <c r="U8" i="21"/>
  <c r="J9" i="21"/>
  <c r="O9" i="21"/>
  <c r="V8" i="21"/>
  <c r="B8" i="21"/>
  <c r="T9" i="21"/>
  <c r="W8" i="21"/>
  <c r="U6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U9" i="22" l="1"/>
  <c r="W9" i="22"/>
  <c r="O10" i="21"/>
  <c r="V9" i="21"/>
  <c r="J10" i="21"/>
  <c r="U9" i="21"/>
  <c r="T10" i="21"/>
  <c r="W9" i="21"/>
  <c r="B9" i="21"/>
  <c r="A8" i="21"/>
  <c r="W5" i="19"/>
  <c r="V5" i="19"/>
  <c r="U5" i="19"/>
  <c r="O11" i="21" l="1"/>
  <c r="V11" i="21" s="1"/>
  <c r="V10" i="21"/>
  <c r="B10" i="21"/>
  <c r="A10" i="21" s="1"/>
  <c r="A9" i="21"/>
  <c r="W10" i="21"/>
  <c r="T11" i="21"/>
  <c r="J11" i="21"/>
  <c r="U10" i="21"/>
  <c r="U11" i="21" l="1"/>
  <c r="B11" i="21"/>
  <c r="A11" i="21" s="1"/>
  <c r="W11" i="21"/>
</calcChain>
</file>

<file path=xl/sharedStrings.xml><?xml version="1.0" encoding="utf-8"?>
<sst xmlns="http://schemas.openxmlformats.org/spreadsheetml/2006/main" count="1155" uniqueCount="214">
  <si>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</si>
  <si>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</si>
  <si>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</si>
  <si>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</si>
  <si>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</si>
  <si>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</si>
  <si>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</si>
  <si>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</si>
  <si>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</si>
  <si>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</si>
  <si>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</si>
  <si>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</si>
  <si>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</si>
  <si>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</si>
  <si>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</si>
  <si>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</si>
  <si>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</si>
  <si>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</si>
  <si>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</si>
  <si>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</si>
  <si>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</si>
  <si>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</si>
  <si>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</si>
  <si>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</si>
  <si>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</si>
  <si>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</si>
  <si>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</si>
  <si>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</si>
  <si>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</si>
  <si>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</si>
  <si>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</si>
  <si>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</si>
  <si>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</si>
  <si>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</si>
  <si>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</si>
  <si>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</si>
  <si>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</si>
  <si>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</si>
  <si>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</si>
  <si>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</si>
  <si>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</si>
  <si>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</si>
  <si>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</si>
  <si>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</si>
  <si>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</si>
  <si>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</si>
  <si>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</si>
  <si>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</si>
  <si>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</si>
  <si>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</si>
  <si>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</si>
  <si>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</si>
  <si>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</si>
  <si>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</si>
  <si>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</si>
  <si>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</si>
  <si>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</si>
  <si>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</si>
  <si>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</si>
  <si>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</si>
  <si>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</si>
  <si>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</si>
  <si>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</si>
  <si>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</si>
  <si>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</si>
  <si>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</si>
  <si>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</si>
  <si>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</si>
  <si>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</si>
  <si>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</si>
  <si>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</si>
  <si>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</si>
  <si>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</si>
  <si>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</si>
  <si>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</si>
  <si>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</si>
  <si>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</si>
  <si>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</si>
  <si>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</si>
  <si>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</si>
  <si>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</si>
  <si>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</si>
  <si>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</si>
  <si>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</si>
  <si>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</si>
  <si>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</si>
  <si>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</si>
  <si>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</si>
  <si>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</si>
  <si>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</si>
  <si>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</si>
  <si>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</si>
  <si>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</si>
  <si>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</si>
  <si>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</si>
  <si>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</si>
  <si>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</si>
  <si>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</si>
  <si>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</si>
  <si>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</si>
  <si>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</si>
  <si>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</si>
  <si>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</si>
  <si>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</si>
  <si>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</si>
  <si>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</si>
  <si>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</si>
  <si>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</si>
  <si>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</si>
  <si>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</si>
  <si>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</si>
  <si>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</si>
  <si>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</si>
  <si>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</si>
  <si>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</si>
  <si>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</si>
  <si>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</si>
  <si>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</si>
  <si>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</si>
  <si>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</si>
  <si>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</si>
  <si>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</si>
  <si>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</si>
  <si>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</si>
  <si>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</si>
  <si>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</si>
  <si>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</si>
  <si>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</si>
  <si>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</si>
  <si>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</si>
  <si>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</si>
  <si>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</si>
  <si>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</si>
  <si>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</si>
  <si>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</si>
  <si>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</si>
  <si>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</si>
  <si>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</si>
  <si>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</si>
  <si>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</si>
  <si>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</si>
  <si>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</si>
  <si>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</si>
  <si>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</si>
  <si>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</si>
  <si>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</si>
  <si>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</si>
  <si>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</si>
  <si>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</si>
  <si>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</si>
  <si>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</si>
  <si>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</si>
  <si>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</si>
  <si>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</si>
  <si>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</si>
  <si>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</si>
  <si>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</si>
  <si>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</si>
  <si>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</si>
  <si>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</si>
  <si>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</si>
  <si>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</si>
  <si>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</si>
  <si>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</si>
  <si>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</si>
  <si>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</si>
  <si>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</si>
  <si>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</si>
  <si>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</si>
  <si>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</si>
  <si>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</si>
  <si>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</si>
  <si>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</si>
  <si>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</si>
  <si>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</si>
  <si>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</si>
  <si>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</si>
  <si>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</si>
  <si>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</si>
  <si>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</si>
  <si>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</si>
  <si>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</si>
  <si>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</si>
  <si>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</si>
  <si>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</si>
  <si>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</si>
  <si>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</si>
  <si>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</si>
  <si>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</si>
  <si>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</si>
  <si>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</si>
  <si>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たかの</t>
  </si>
  <si>
    <t>たかの</t>
    <phoneticPr fontId="1"/>
  </si>
  <si>
    <t>ともき</t>
  </si>
  <si>
    <t>ともき</t>
    <phoneticPr fontId="1"/>
  </si>
  <si>
    <t>まっつん</t>
  </si>
  <si>
    <t>まっつん</t>
    <phoneticPr fontId="1"/>
  </si>
  <si>
    <t>ツモ支払</t>
  </si>
  <si>
    <t>ツモ</t>
  </si>
  <si>
    <t>*</t>
  </si>
  <si>
    <t>52</t>
  </si>
  <si>
    <t>放銃</t>
  </si>
  <si>
    <t>ロン</t>
  </si>
  <si>
    <t>01</t>
  </si>
  <si>
    <t>02</t>
  </si>
  <si>
    <t>N</t>
  </si>
  <si>
    <t>流局</t>
    <phoneticPr fontId="1"/>
  </si>
  <si>
    <t>T</t>
  </si>
  <si>
    <t>だいち</t>
  </si>
  <si>
    <t>りくと</t>
  </si>
  <si>
    <t>51</t>
  </si>
  <si>
    <t>ただ</t>
    <phoneticPr fontId="1"/>
  </si>
  <si>
    <t>りくと</t>
    <phoneticPr fontId="1"/>
  </si>
  <si>
    <t>だいち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</si>
</sst>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4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192</v>
      </c>
      <c r="G1" s="79"/>
      <c r="H1" s="79"/>
      <c r="I1" s="80"/>
      <c r="J1" s="81"/>
      <c r="K1" s="78" t="s">
        <v>194</v>
      </c>
      <c r="L1" s="79"/>
      <c r="M1" s="79"/>
      <c r="N1" s="80"/>
      <c r="O1" s="81"/>
      <c r="P1" s="78" t="s">
        <v>196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たかの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ともき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まっつん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5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たかの</v>
      </c>
      <c r="V2" s="64" t="str">
        <f>$K$1</f>
        <v>ともき</v>
      </c>
      <c r="W2" s="16" t="str">
        <f>$P$1</f>
        <v>まっつん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たかの</v>
      </c>
      <c r="F4" s="8" t="s">
        <v>197</v>
      </c>
      <c r="G4" s="9">
        <v>-7500</v>
      </c>
      <c r="H4" s="9"/>
      <c r="I4" s="48">
        <v>0</v>
      </c>
      <c r="J4" s="21">
        <f>IF(COUNTA($F4,$K4,$P4)&gt;0,J3+SUM(G4:I4),"")</f>
        <v>27500</v>
      </c>
      <c r="K4" s="8" t="s">
        <v>198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197</v>
      </c>
      <c r="Q4" s="9">
        <v>-4500</v>
      </c>
      <c r="R4" s="9"/>
      <c r="S4" s="48">
        <v>0</v>
      </c>
      <c r="T4" s="21">
        <f>IF(COUNTA($F4,$K4,$P4)&gt;0,T3+SUM(Q4:S4),"")</f>
        <v>30500</v>
      </c>
      <c r="U4" s="53">
        <f>IF($J4="","",ROUND(($J4-$J$3)/1000,1)+(_xlfn.RANK.AVG($J4,($J4,$O4,$T4),1)-2)*10)</f>
        <v>-17.5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-4.5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6</v>
      </c>
      <c r="AY4" s="30" t="s">
        <v>199</v>
      </c>
      <c r="AZ4" s="40" t="s">
        <v>86</v>
      </c>
      <c r="BA4" s="41" t="s">
        <v>86</v>
      </c>
      <c r="BB4" s="41" t="s">
        <v>79</v>
      </c>
      <c r="BC4" s="41" t="s">
        <v>79</v>
      </c>
      <c r="BD4" s="41" t="s">
        <v>79</v>
      </c>
      <c r="BE4" s="41" t="s">
        <v>200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ともき</v>
      </c>
      <c r="F5" s="8" t="s">
        <v>201</v>
      </c>
      <c r="G5" s="9">
        <v>-8000</v>
      </c>
      <c r="H5" s="9"/>
      <c r="I5" s="48">
        <v>0</v>
      </c>
      <c r="J5" s="21">
        <f t="shared" ref="J5:J30" si="2">IF(COUNTA($F5,$K5,$P5)&gt;0,J4+SUM(G5:I5),"")</f>
        <v>19500</v>
      </c>
      <c r="K5" s="8"/>
      <c r="L5" s="9"/>
      <c r="M5" s="9"/>
      <c r="N5" s="48"/>
      <c r="O5" s="21">
        <f t="shared" ref="O5:O30" si="3">IF(COUNTA($F5,$K5,$P5)&gt;0,O4+SUM(L5:N5),"")</f>
        <v>47000</v>
      </c>
      <c r="P5" s="8" t="s">
        <v>202</v>
      </c>
      <c r="Q5" s="9">
        <v>8000</v>
      </c>
      <c r="R5" s="9"/>
      <c r="S5" s="48">
        <v>0</v>
      </c>
      <c r="T5" s="21">
        <f t="shared" ref="T5:T30" si="4">IF(COUNTA($F5,$K5,$P5)&gt;0,T4+SUM(Q5:S5),"")</f>
        <v>38500</v>
      </c>
      <c r="U5" s="53">
        <f>IF($J5="","",ROUND(($J5-$J$3)/1000,1)+(_xlfn.RANK.AVG($J5,($J5,$O5,$T5),1)-2)*10)</f>
        <v>-25.5</v>
      </c>
      <c r="V5" s="54">
        <f>IF($O5="","",ROUND(($O5-$O$3)/1000,1)+(_xlfn.RANK.AVG($O5,($J5,$O5,$T5),1)-2)*10)</f>
        <v>22</v>
      </c>
      <c r="W5" s="55">
        <f>IF($T5="","",ROUND(($T5-$T$3)/1000,1)+(_xlfn.RANK.AVG($T5,($J5,$O5,$T5),1)-2)*10)</f>
        <v>3.5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5</v>
      </c>
      <c r="BT5" s="30" t="s">
        <v>199</v>
      </c>
      <c r="BU5" s="40" t="s">
        <v>203</v>
      </c>
      <c r="BV5" s="41" t="s">
        <v>204</v>
      </c>
      <c r="BW5" s="41" t="s">
        <v>86</v>
      </c>
      <c r="BX5" s="41" t="s">
        <v>93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まっつん</v>
      </c>
      <c r="F6" s="8" t="s">
        <v>201</v>
      </c>
      <c r="G6" s="9">
        <v>-12000</v>
      </c>
      <c r="H6" s="9"/>
      <c r="I6" s="48">
        <v>0</v>
      </c>
      <c r="J6" s="21">
        <f t="shared" si="2"/>
        <v>7500</v>
      </c>
      <c r="K6" s="8" t="s">
        <v>202</v>
      </c>
      <c r="L6" s="9">
        <v>12000</v>
      </c>
      <c r="M6" s="9"/>
      <c r="N6" s="48">
        <v>0</v>
      </c>
      <c r="O6" s="21">
        <f t="shared" si="3"/>
        <v>59000</v>
      </c>
      <c r="P6" s="8"/>
      <c r="Q6" s="9"/>
      <c r="R6" s="9"/>
      <c r="S6" s="48"/>
      <c r="T6" s="21">
        <f t="shared" si="4"/>
        <v>38500</v>
      </c>
      <c r="U6" s="53">
        <f>IF($J6="","",ROUND(($J6-$J$3)/1000,1)+(_xlfn.RANK.AVG($J6,($J6,$O6,$T6),1)-2)*10)</f>
        <v>-37.5</v>
      </c>
      <c r="V6" s="54">
        <f>IF($O6="","",ROUND(($O6-$O$3)/1000,1)+(_xlfn.RANK.AVG($O6,($J6,$O6,$T6),1)-2)*10)</f>
        <v>34</v>
      </c>
      <c r="W6" s="55">
        <f>IF($T6="","",ROUND(($T6-$T$3)/1000,1)+(_xlfn.RANK.AVG($T6,($J6,$O6,$T6),1)-2)*10)</f>
        <v>3.5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6</v>
      </c>
      <c r="AY6" s="30" t="s">
        <v>199</v>
      </c>
      <c r="AZ6" s="40" t="s">
        <v>203</v>
      </c>
      <c r="BA6" s="41" t="s">
        <v>86</v>
      </c>
      <c r="BB6" s="41" t="s">
        <v>86</v>
      </c>
      <c r="BC6" s="41" t="s">
        <v>79</v>
      </c>
      <c r="BD6" s="41" t="s">
        <v>79</v>
      </c>
      <c r="BE6" s="41" t="s">
        <v>79</v>
      </c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たかの</v>
      </c>
      <c r="F7" s="8" t="s">
        <v>201</v>
      </c>
      <c r="G7" s="9">
        <v>-7700</v>
      </c>
      <c r="H7" s="9"/>
      <c r="I7" s="48">
        <v>0</v>
      </c>
      <c r="J7" s="21">
        <f t="shared" si="2"/>
        <v>-200</v>
      </c>
      <c r="K7" s="8" t="s">
        <v>202</v>
      </c>
      <c r="L7" s="9">
        <v>7700</v>
      </c>
      <c r="M7" s="9"/>
      <c r="N7" s="48">
        <v>0</v>
      </c>
      <c r="O7" s="21">
        <f t="shared" si="3"/>
        <v>66700</v>
      </c>
      <c r="P7" s="8"/>
      <c r="Q7" s="9"/>
      <c r="R7" s="9"/>
      <c r="S7" s="48"/>
      <c r="T7" s="21">
        <f t="shared" si="4"/>
        <v>38500</v>
      </c>
      <c r="U7" s="53">
        <f>IF($J7="","",ROUND(($J7-$J$3)/1000,1)+(_xlfn.RANK.AVG($J7,($J7,$O7,$T7),1)-2)*10)</f>
        <v>-45.2</v>
      </c>
      <c r="V7" s="54">
        <f>IF($O7="","",ROUND(($O7-$O$3)/1000,1)+(_xlfn.RANK.AVG($O7,($J7,$O7,$T7),1)-2)*10)</f>
        <v>41.7</v>
      </c>
      <c r="W7" s="55">
        <f>IF($T7="","",ROUND(($T7-$T$3)/1000,1)+(_xlfn.RANK.AVG($T7,($J7,$O7,$T7),1)-2)*10)</f>
        <v>3.5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4</v>
      </c>
      <c r="AY7" s="30">
        <v>30</v>
      </c>
      <c r="AZ7" s="40" t="s">
        <v>104</v>
      </c>
      <c r="BA7" s="41" t="s">
        <v>86</v>
      </c>
      <c r="BB7" s="41" t="s">
        <v>200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39" priority="5">
      <formula>IF(G4&lt;&gt;"",SUM($G4:$I4,$L4:$N4,$Q4:$S4)-$D4*1000+$D5*1000)</formula>
    </cfRule>
  </conditionalFormatting>
  <conditionalFormatting sqref="F1:G1 I1:L1 S1:T1 N1:Q1">
    <cfRule type="duplicateValues" dxfId="38" priority="4"/>
  </conditionalFormatting>
  <conditionalFormatting sqref="H1">
    <cfRule type="duplicateValues" dxfId="37" priority="3"/>
  </conditionalFormatting>
  <conditionalFormatting sqref="R1">
    <cfRule type="duplicateValues" dxfId="36" priority="2"/>
  </conditionalFormatting>
  <conditionalFormatting sqref="M1">
    <cfRule type="duplicateValues" dxfId="3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7C54C28C-ECEE-4BAD-94BA-9F65611036CE}">
      <formula1>"れんたろう,ともき,だいち,りくと,まっつん,たかの,のり,ただ,"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77148-5FA6-4E01-B342-F1FD53FD3600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193</v>
      </c>
      <c r="G1" s="79"/>
      <c r="H1" s="79"/>
      <c r="I1" s="80"/>
      <c r="J1" s="81"/>
      <c r="K1" s="78" t="s">
        <v>191</v>
      </c>
      <c r="L1" s="79"/>
      <c r="M1" s="79"/>
      <c r="N1" s="80"/>
      <c r="O1" s="81"/>
      <c r="P1" s="78" t="s">
        <v>196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ともき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たかの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まっつん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5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ともき</v>
      </c>
      <c r="V2" s="70" t="str">
        <f>$K$1</f>
        <v>たかの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ともき</v>
      </c>
      <c r="F4" s="8" t="s">
        <v>197</v>
      </c>
      <c r="G4" s="9">
        <v>-2500</v>
      </c>
      <c r="H4" s="9"/>
      <c r="I4" s="48">
        <v>0</v>
      </c>
      <c r="J4" s="21">
        <f>IF(COUNTA($F4,$K4,$P4)&gt;0,J3+SUM(G4:I4),"")</f>
        <v>32500</v>
      </c>
      <c r="K4" s="8" t="s">
        <v>197</v>
      </c>
      <c r="L4" s="9">
        <v>-1500</v>
      </c>
      <c r="M4" s="9"/>
      <c r="N4" s="48">
        <v>0</v>
      </c>
      <c r="O4" s="21">
        <f>IF(COUNTA($F4,$K4,$P4)&gt;0,O3+SUM(L4:N4),"")</f>
        <v>33500</v>
      </c>
      <c r="P4" s="8" t="s">
        <v>198</v>
      </c>
      <c r="Q4" s="9">
        <v>4000</v>
      </c>
      <c r="R4" s="9"/>
      <c r="S4" s="48">
        <v>0</v>
      </c>
      <c r="T4" s="21">
        <f>IF(COUNTA($F4,$K4,$P4)&gt;0,T3+SUM(Q4:S4),"")</f>
        <v>39000</v>
      </c>
      <c r="U4" s="53">
        <f>IF($J4="","",ROUND(($J4-$J$3)/1000,1)+(_xlfn.RANK.AVG($J4,($J4,$O4,$T4),1)-2)*10)</f>
        <v>-12.5</v>
      </c>
      <c r="V4" s="54">
        <f>IF($O4="","",ROUND(($O4-$O$3)/1000,1)+(_xlfn.RANK.AVG($O4,($J4,$O4,$T4),1)-2)*10)</f>
        <v>-1.5</v>
      </c>
      <c r="W4" s="55">
        <f>IF($T4="","",ROUND(($T4-$T$3)/1000,1)+(_xlfn.RANK.AVG($T4,($J4,$O4,$T4),1)-2)*10)</f>
        <v>14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3</v>
      </c>
      <c r="BT4" s="30">
        <v>30</v>
      </c>
      <c r="BU4" s="40" t="s">
        <v>82</v>
      </c>
      <c r="BV4" s="41" t="s">
        <v>92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たかの</v>
      </c>
      <c r="F5" s="8" t="s">
        <v>206</v>
      </c>
      <c r="G5" s="9">
        <v>0</v>
      </c>
      <c r="H5" s="9"/>
      <c r="I5" s="48"/>
      <c r="J5" s="21">
        <f t="shared" ref="J5:J30" si="2">IF(COUNTA($F5,$K5,$P5)&gt;0,J4+SUM(G5:I5),"")</f>
        <v>32500</v>
      </c>
      <c r="K5" s="8" t="s">
        <v>206</v>
      </c>
      <c r="L5" s="9">
        <v>0</v>
      </c>
      <c r="M5" s="9"/>
      <c r="N5" s="48"/>
      <c r="O5" s="21">
        <f t="shared" ref="O5:O30" si="3">IF(COUNTA($F5,$K5,$P5)&gt;0,O4+SUM(L5:N5),"")</f>
        <v>33500</v>
      </c>
      <c r="P5" s="8" t="s">
        <v>206</v>
      </c>
      <c r="Q5" s="9">
        <v>0</v>
      </c>
      <c r="R5" s="9"/>
      <c r="S5" s="48"/>
      <c r="T5" s="21">
        <f t="shared" ref="T5:T30" si="4">IF(COUNTA($F5,$K5,$P5)&gt;0,T4+SUM(Q5:S5),"")</f>
        <v>39000</v>
      </c>
      <c r="U5" s="53">
        <f>IF($J5="","",ROUND(($J5-$J$3)/1000,1)+(_xlfn.RANK.AVG($J5,($J5,$O5,$T5),1)-2)*10)</f>
        <v>-12.5</v>
      </c>
      <c r="V5" s="54">
        <f>IF($O5="","",ROUND(($O5-$O$3)/1000,1)+(_xlfn.RANK.AVG($O5,($J5,$O5,$T5),1)-2)*10)</f>
        <v>-1.5</v>
      </c>
      <c r="W5" s="55">
        <f>IF($T5="","",ROUND(($T5-$T$3)/1000,1)+(_xlfn.RANK.AVG($T5,($J5,$O5,$T5),1)-2)*10)</f>
        <v>14</v>
      </c>
      <c r="Y5" s="8" t="s">
        <v>205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205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205</v>
      </c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IF($P$1="","",$P$1)</f>
        <v>まっつん</v>
      </c>
      <c r="F6" s="8" t="s">
        <v>197</v>
      </c>
      <c r="G6" s="9">
        <v>-5800</v>
      </c>
      <c r="H6" s="9"/>
      <c r="I6" s="48">
        <v>-500</v>
      </c>
      <c r="J6" s="21">
        <f t="shared" si="2"/>
        <v>26200</v>
      </c>
      <c r="K6" s="8" t="s">
        <v>197</v>
      </c>
      <c r="L6" s="9">
        <v>-5800</v>
      </c>
      <c r="M6" s="9"/>
      <c r="N6" s="48">
        <v>-500</v>
      </c>
      <c r="O6" s="21">
        <f t="shared" si="3"/>
        <v>27200</v>
      </c>
      <c r="P6" s="8" t="s">
        <v>198</v>
      </c>
      <c r="Q6" s="9">
        <v>11600</v>
      </c>
      <c r="R6" s="9"/>
      <c r="S6" s="48">
        <v>1000</v>
      </c>
      <c r="T6" s="21">
        <f t="shared" si="4"/>
        <v>51600</v>
      </c>
      <c r="U6" s="53">
        <f>IF($J6="","",ROUND(($J6-$J$3)/1000,1)+(_xlfn.RANK.AVG($J6,($J6,$O6,$T6),1)-2)*10)</f>
        <v>-18.8</v>
      </c>
      <c r="V6" s="54">
        <f>IF($O6="","",ROUND(($O6-$O$3)/1000,1)+(_xlfn.RANK.AVG($O6,($J6,$O6,$T6),1)-2)*10)</f>
        <v>-7.8</v>
      </c>
      <c r="W6" s="55">
        <f>IF($T6="","",ROUND(($T6-$T$3)/1000,1)+(_xlfn.RANK.AVG($T6,($J6,$O6,$T6),1)-2)*10)</f>
        <v>26.6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4</v>
      </c>
      <c r="BT6" s="30">
        <v>30</v>
      </c>
      <c r="BU6" s="40" t="s">
        <v>203</v>
      </c>
      <c r="BV6" s="41" t="s">
        <v>82</v>
      </c>
      <c r="BW6" s="41" t="s">
        <v>79</v>
      </c>
      <c r="BX6" s="41" t="s">
        <v>200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2</v>
      </c>
      <c r="D7" s="18">
        <f t="shared" si="1"/>
        <v>0</v>
      </c>
      <c r="E7" s="4" t="str">
        <f>IF($P$1="","",$P$1)</f>
        <v>まっつん</v>
      </c>
      <c r="F7" s="8" t="s">
        <v>198</v>
      </c>
      <c r="G7" s="9">
        <v>8000</v>
      </c>
      <c r="H7" s="9"/>
      <c r="I7" s="48">
        <v>2000</v>
      </c>
      <c r="J7" s="21">
        <f t="shared" si="2"/>
        <v>36200</v>
      </c>
      <c r="K7" s="8" t="s">
        <v>197</v>
      </c>
      <c r="L7" s="9">
        <v>-3000</v>
      </c>
      <c r="M7" s="9"/>
      <c r="N7" s="48">
        <v>-1000</v>
      </c>
      <c r="O7" s="21">
        <f t="shared" si="3"/>
        <v>23200</v>
      </c>
      <c r="P7" s="8" t="s">
        <v>197</v>
      </c>
      <c r="Q7" s="9">
        <v>-5000</v>
      </c>
      <c r="R7" s="9"/>
      <c r="S7" s="48">
        <v>-1000</v>
      </c>
      <c r="T7" s="21">
        <f t="shared" si="4"/>
        <v>45600</v>
      </c>
      <c r="U7" s="53">
        <f>IF($J7="","",ROUND(($J7-$J$3)/1000,1)+(_xlfn.RANK.AVG($J7,($J7,$O7,$T7),1)-2)*10)</f>
        <v>1.2</v>
      </c>
      <c r="V7" s="54">
        <f>IF($O7="","",ROUND(($O7-$O$3)/1000,1)+(_xlfn.RANK.AVG($O7,($J7,$O7,$T7),1)-2)*10)</f>
        <v>-21.8</v>
      </c>
      <c r="W7" s="55">
        <f>IF($T7="","",ROUND(($T7-$T$3)/1000,1)+(_xlfn.RANK.AVG($T7,($J7,$O7,$T7),1)-2)*10)</f>
        <v>20.6</v>
      </c>
      <c r="Y7" s="8"/>
      <c r="Z7" s="34"/>
      <c r="AA7" s="26">
        <v>1</v>
      </c>
      <c r="AB7" s="26"/>
      <c r="AC7" s="26">
        <v>4</v>
      </c>
      <c r="AD7" s="30">
        <v>40</v>
      </c>
      <c r="AE7" s="40" t="s">
        <v>203</v>
      </c>
      <c r="AF7" s="41" t="s">
        <v>82</v>
      </c>
      <c r="AG7" s="41" t="s">
        <v>86</v>
      </c>
      <c r="AH7" s="41" t="s">
        <v>200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ともき</v>
      </c>
      <c r="F8" s="8" t="s">
        <v>201</v>
      </c>
      <c r="G8" s="9">
        <v>-8000</v>
      </c>
      <c r="H8" s="9"/>
      <c r="I8" s="48">
        <v>0</v>
      </c>
      <c r="J8" s="21">
        <f t="shared" si="2"/>
        <v>28200</v>
      </c>
      <c r="K8" s="8"/>
      <c r="L8" s="9"/>
      <c r="M8" s="9"/>
      <c r="N8" s="48"/>
      <c r="O8" s="21">
        <f t="shared" si="3"/>
        <v>23200</v>
      </c>
      <c r="P8" s="8" t="s">
        <v>202</v>
      </c>
      <c r="Q8" s="9">
        <v>8000</v>
      </c>
      <c r="R8" s="9"/>
      <c r="S8" s="48">
        <v>0</v>
      </c>
      <c r="T8" s="21">
        <f t="shared" si="4"/>
        <v>53600</v>
      </c>
      <c r="U8" s="53">
        <f>IF($J8="","",ROUND(($J8-$J$3)/1000,1)+(_xlfn.RANK.AVG($J8,($J8,$O8,$T8),1)-2)*10)</f>
        <v>-6.8</v>
      </c>
      <c r="V8" s="54">
        <f>IF($O8="","",ROUND(($O8-$O$3)/1000,1)+(_xlfn.RANK.AVG($O8,($J8,$O8,$T8),1)-2)*10)</f>
        <v>-21.8</v>
      </c>
      <c r="W8" s="55">
        <f>IF($T8="","",ROUND(($T8-$T$3)/1000,1)+(_xlfn.RANK.AVG($T8,($J8,$O8,$T8),1)-2)*10)</f>
        <v>28.6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3</v>
      </c>
      <c r="BT8" s="30">
        <v>70</v>
      </c>
      <c r="BU8" s="40" t="s">
        <v>86</v>
      </c>
      <c r="BV8" s="41" t="s">
        <v>98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たかの</v>
      </c>
      <c r="F9" s="8"/>
      <c r="G9" s="9"/>
      <c r="H9" s="9"/>
      <c r="I9" s="48"/>
      <c r="J9" s="21">
        <f t="shared" si="2"/>
        <v>28200</v>
      </c>
      <c r="K9" s="8" t="s">
        <v>202</v>
      </c>
      <c r="L9" s="9">
        <v>1500</v>
      </c>
      <c r="M9" s="9"/>
      <c r="N9" s="48">
        <v>0</v>
      </c>
      <c r="O9" s="21">
        <f t="shared" si="3"/>
        <v>24700</v>
      </c>
      <c r="P9" s="8" t="s">
        <v>201</v>
      </c>
      <c r="Q9" s="9">
        <v>-1500</v>
      </c>
      <c r="R9" s="9"/>
      <c r="S9" s="48">
        <v>0</v>
      </c>
      <c r="T9" s="21">
        <f t="shared" si="4"/>
        <v>52100</v>
      </c>
      <c r="U9" s="53">
        <f>IF($J9="","",ROUND(($J9-$J$3)/1000,1)+(_xlfn.RANK.AVG($J9,($J9,$O9,$T9),1)-2)*10)</f>
        <v>-6.8</v>
      </c>
      <c r="V9" s="54">
        <f>IF($O9="","",ROUND(($O9-$O$3)/1000,1)+(_xlfn.RANK.AVG($O9,($J9,$O9,$T9),1)-2)*10)</f>
        <v>-20.3</v>
      </c>
      <c r="W9" s="55">
        <f>IF($T9="","",ROUND(($T9-$T$3)/1000,1)+(_xlfn.RANK.AVG($T9,($J9,$O9,$T9),1)-2)*10)</f>
        <v>27.1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1</v>
      </c>
      <c r="AY9" s="30">
        <v>30</v>
      </c>
      <c r="AZ9" s="40" t="s">
        <v>92</v>
      </c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tr">
        <f>IF($K$1="","",$K$1)</f>
        <v>たかの</v>
      </c>
      <c r="F10" s="8" t="s">
        <v>206</v>
      </c>
      <c r="G10" s="9">
        <v>1500</v>
      </c>
      <c r="H10" s="9">
        <v>-1000</v>
      </c>
      <c r="I10" s="48"/>
      <c r="J10" s="21">
        <f t="shared" si="2"/>
        <v>28700</v>
      </c>
      <c r="K10" s="8" t="s">
        <v>206</v>
      </c>
      <c r="L10" s="9">
        <v>-3000</v>
      </c>
      <c r="M10" s="9"/>
      <c r="N10" s="48"/>
      <c r="O10" s="21">
        <f t="shared" si="3"/>
        <v>21700</v>
      </c>
      <c r="P10" s="8" t="s">
        <v>206</v>
      </c>
      <c r="Q10" s="9">
        <v>1500</v>
      </c>
      <c r="R10" s="9"/>
      <c r="S10" s="48"/>
      <c r="T10" s="21">
        <f t="shared" si="4"/>
        <v>53600</v>
      </c>
      <c r="U10" s="53">
        <f>IF($J10="","",ROUND(($J10-$J$3)/1000,1)+(_xlfn.RANK.AVG($J10,($J10,$O10,$T10),1)-2)*10)</f>
        <v>-6.3</v>
      </c>
      <c r="V10" s="54">
        <f>IF($O10="","",ROUND(($O10-$O$3)/1000,1)+(_xlfn.RANK.AVG($O10,($J10,$O10,$T10),1)-2)*10)</f>
        <v>-23.3</v>
      </c>
      <c r="W10" s="55">
        <f>IF($T10="","",ROUND(($T10-$T$3)/1000,1)+(_xlfn.RANK.AVG($T10,($J10,$O10,$T10),1)-2)*10)</f>
        <v>28.6</v>
      </c>
      <c r="Y10" s="8" t="s">
        <v>207</v>
      </c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205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207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2</v>
      </c>
      <c r="D11" s="18">
        <f t="shared" si="1"/>
        <v>1</v>
      </c>
      <c r="E11" s="4" t="str">
        <f>IF($P$1="","",$P$1)</f>
        <v>まっつん</v>
      </c>
      <c r="F11" s="8" t="s">
        <v>201</v>
      </c>
      <c r="G11" s="9">
        <v>-2400</v>
      </c>
      <c r="H11" s="9"/>
      <c r="I11" s="48">
        <v>-2000</v>
      </c>
      <c r="J11" s="21">
        <f t="shared" si="2"/>
        <v>24300</v>
      </c>
      <c r="K11" s="8"/>
      <c r="L11" s="9"/>
      <c r="M11" s="9"/>
      <c r="N11" s="48"/>
      <c r="O11" s="21">
        <f t="shared" si="3"/>
        <v>21700</v>
      </c>
      <c r="P11" s="8" t="s">
        <v>202</v>
      </c>
      <c r="Q11" s="9">
        <v>2400</v>
      </c>
      <c r="R11" s="9">
        <v>1000</v>
      </c>
      <c r="S11" s="48">
        <v>2000</v>
      </c>
      <c r="T11" s="21">
        <f t="shared" si="4"/>
        <v>59000</v>
      </c>
      <c r="U11" s="53">
        <f>IF($J11="","",ROUND(($J11-$J$3)/1000,1)+(_xlfn.RANK.AVG($J11,($J11,$O11,$T11),1)-2)*10)</f>
        <v>-10.7</v>
      </c>
      <c r="V11" s="54">
        <f>IF($O11="","",ROUND(($O11-$O$3)/1000,1)+(_xlfn.RANK.AVG($O11,($J11,$O11,$T11),1)-2)*10)</f>
        <v>-23.3</v>
      </c>
      <c r="W11" s="55">
        <f>IF($T11="","",ROUND(($T11-$T$3)/1000,1)+(_xlfn.RANK.AVG($T11,($J11,$O11,$T11),1)-2)*10)</f>
        <v>34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2</v>
      </c>
      <c r="BT11" s="30">
        <v>25</v>
      </c>
      <c r="BU11" s="40" t="s">
        <v>101</v>
      </c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3">
    <dataValidation type="list" allowBlank="1" showInputMessage="1" sqref="F1:T1" xr:uid="{D79F1316-1824-4A95-B803-1940D18C27DE}">
      <formula1>"れんたろう,ともき,だいち,りくと,まっつん,たかの,のり,ただ,"</formula1>
    </dataValidation>
    <dataValidation type="list" showInputMessage="1" showErrorMessage="1" sqref="K4:K30 P4:P30 F4:F30" xr:uid="{24886A88-5BDF-478F-ABAA-8C6A9E60062F}">
      <formula1>"ロン,ツモ,放銃,ツモ支払,流局,チョンボ"</formula1>
    </dataValidation>
    <dataValidation type="list" allowBlank="1" showInputMessage="1" showErrorMessage="1" sqref="E4:E30" xr:uid="{F0A21528-19D2-4F5D-BE8F-9B6A80692B32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CC48E-F7BF-405B-AF66-9279AF1B6BAF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208</v>
      </c>
      <c r="G1" s="79"/>
      <c r="H1" s="79"/>
      <c r="I1" s="80"/>
      <c r="J1" s="81"/>
      <c r="K1" s="78" t="s">
        <v>191</v>
      </c>
      <c r="L1" s="79"/>
      <c r="M1" s="79"/>
      <c r="N1" s="80"/>
      <c r="O1" s="81"/>
      <c r="P1" s="78" t="s">
        <v>209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だいち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たかの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りくと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5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たかの</v>
      </c>
      <c r="W2" s="16" t="str">
        <f>$P$1</f>
        <v>りくと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197</v>
      </c>
      <c r="G4" s="9">
        <v>-1700</v>
      </c>
      <c r="H4" s="9"/>
      <c r="I4" s="48">
        <v>0</v>
      </c>
      <c r="J4" s="21">
        <f>IF(COUNTA($F4,$K4,$P4)&gt;0,J3+SUM(G4:I4),"")</f>
        <v>33300</v>
      </c>
      <c r="K4" s="8" t="s">
        <v>197</v>
      </c>
      <c r="L4" s="9">
        <v>-1100</v>
      </c>
      <c r="M4" s="9"/>
      <c r="N4" s="48">
        <v>0</v>
      </c>
      <c r="O4" s="21">
        <f>IF(COUNTA($F4,$K4,$P4)&gt;0,O3+SUM(L4:N4),"")</f>
        <v>33900</v>
      </c>
      <c r="P4" s="8" t="s">
        <v>198</v>
      </c>
      <c r="Q4" s="9">
        <v>2800</v>
      </c>
      <c r="R4" s="9"/>
      <c r="S4" s="48">
        <v>0</v>
      </c>
      <c r="T4" s="21">
        <f>IF(COUNTA($F4,$K4,$P4)&gt;0,T3+SUM(Q4:S4),"")</f>
        <v>37800</v>
      </c>
      <c r="U4" s="53">
        <f>IF($J4="","",ROUND(($J4-$J$3)/1000,1)+(_xlfn.RANK.AVG($J4,($J4,$O4,$T4),1)-2)*10)</f>
        <v>-11.7</v>
      </c>
      <c r="V4" s="54">
        <f>IF($O4="","",ROUND(($O4-$O$3)/1000,1)+(_xlfn.RANK.AVG($O4,($J4,$O4,$T4),1)-2)*10)</f>
        <v>-1.1000000000000001</v>
      </c>
      <c r="W4" s="55">
        <f>IF($T4="","",ROUND(($T4-$T$3)/1000,1)+(_xlfn.RANK.AVG($T4,($J4,$O4,$T4),1)-2)*10)</f>
        <v>12.8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3</v>
      </c>
      <c r="BT4" s="30">
        <v>20</v>
      </c>
      <c r="BU4" s="40" t="s">
        <v>203</v>
      </c>
      <c r="BV4" s="41" t="s">
        <v>82</v>
      </c>
      <c r="BW4" s="41" t="s">
        <v>83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たかの</v>
      </c>
      <c r="F5" s="8" t="s">
        <v>198</v>
      </c>
      <c r="G5" s="9">
        <v>8000</v>
      </c>
      <c r="H5" s="9"/>
      <c r="I5" s="48">
        <v>0</v>
      </c>
      <c r="J5" s="21">
        <f t="shared" ref="J5:J30" si="2">IF(COUNTA($F5,$K5,$P5)&gt;0,J4+SUM(G5:I5),"")</f>
        <v>41300</v>
      </c>
      <c r="K5" s="8" t="s">
        <v>197</v>
      </c>
      <c r="L5" s="9">
        <v>-5000</v>
      </c>
      <c r="M5" s="9"/>
      <c r="N5" s="48">
        <v>0</v>
      </c>
      <c r="O5" s="21">
        <f t="shared" ref="O5:O30" si="3">IF(COUNTA($F5,$K5,$P5)&gt;0,O4+SUM(L5:N5),"")</f>
        <v>28900</v>
      </c>
      <c r="P5" s="8" t="s">
        <v>197</v>
      </c>
      <c r="Q5" s="9">
        <v>-3000</v>
      </c>
      <c r="R5" s="9"/>
      <c r="S5" s="48">
        <v>0</v>
      </c>
      <c r="T5" s="21">
        <f t="shared" ref="T5:T30" si="4">IF(COUNTA($F5,$K5,$P5)&gt;0,T4+SUM(Q5:S5),"")</f>
        <v>34800</v>
      </c>
      <c r="U5" s="53">
        <f>IF($J5="","",ROUND(($J5-$J$3)/1000,1)+(_xlfn.RANK.AVG($J5,($J5,$O5,$T5),1)-2)*10)</f>
        <v>16.3</v>
      </c>
      <c r="V5" s="54">
        <f>IF($O5="","",ROUND(($O5-$O$3)/1000,1)+(_xlfn.RANK.AVG($O5,($J5,$O5,$T5),1)-2)*10)</f>
        <v>-16.100000000000001</v>
      </c>
      <c r="W5" s="55">
        <f>IF($T5="","",ROUND(($T5-$T$3)/1000,1)+(_xlfn.RANK.AVG($T5,($J5,$O5,$T5),1)-2)*10)</f>
        <v>-0.2</v>
      </c>
      <c r="Y5" s="8"/>
      <c r="Z5" s="34"/>
      <c r="AA5" s="26"/>
      <c r="AB5" s="26">
        <v>1</v>
      </c>
      <c r="AC5" s="26">
        <v>5</v>
      </c>
      <c r="AD5" s="30" t="s">
        <v>199</v>
      </c>
      <c r="AE5" s="40" t="s">
        <v>86</v>
      </c>
      <c r="AF5" s="41" t="s">
        <v>104</v>
      </c>
      <c r="AG5" s="41" t="s">
        <v>98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りくと</v>
      </c>
      <c r="F6" s="8" t="s">
        <v>197</v>
      </c>
      <c r="G6" s="9">
        <v>-1100</v>
      </c>
      <c r="H6" s="9"/>
      <c r="I6" s="48">
        <v>0</v>
      </c>
      <c r="J6" s="21">
        <f t="shared" si="2"/>
        <v>40200</v>
      </c>
      <c r="K6" s="8" t="s">
        <v>198</v>
      </c>
      <c r="L6" s="9">
        <v>2800</v>
      </c>
      <c r="M6" s="9">
        <v>1000</v>
      </c>
      <c r="N6" s="48">
        <v>0</v>
      </c>
      <c r="O6" s="21">
        <f t="shared" si="3"/>
        <v>32700</v>
      </c>
      <c r="P6" s="8" t="s">
        <v>197</v>
      </c>
      <c r="Q6" s="9">
        <v>-1700</v>
      </c>
      <c r="R6" s="9">
        <v>-1000</v>
      </c>
      <c r="S6" s="48">
        <v>0</v>
      </c>
      <c r="T6" s="21">
        <f t="shared" si="4"/>
        <v>32100</v>
      </c>
      <c r="U6" s="53">
        <f>IF($J6="","",ROUND(($J6-$J$3)/1000,1)+(_xlfn.RANK.AVG($J6,($J6,$O6,$T6),1)-2)*10)</f>
        <v>15.2</v>
      </c>
      <c r="V6" s="54">
        <f>IF($O6="","",ROUND(($O6-$O$3)/1000,1)+(_xlfn.RANK.AVG($O6,($J6,$O6,$T6),1)-2)*10)</f>
        <v>-2.2999999999999998</v>
      </c>
      <c r="W6" s="55">
        <f>IF($T6="","",ROUND(($T6-$T$3)/1000,1)+(_xlfn.RANK.AVG($T6,($J6,$O6,$T6),1)-2)*10)</f>
        <v>-12.9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3</v>
      </c>
      <c r="AY6" s="30">
        <v>20</v>
      </c>
      <c r="AZ6" s="40" t="s">
        <v>203</v>
      </c>
      <c r="BA6" s="41" t="s">
        <v>82</v>
      </c>
      <c r="BB6" s="41" t="s">
        <v>83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だいち</v>
      </c>
      <c r="F7" s="8" t="s">
        <v>197</v>
      </c>
      <c r="G7" s="9">
        <v>-3300</v>
      </c>
      <c r="H7" s="9"/>
      <c r="I7" s="48">
        <v>0</v>
      </c>
      <c r="J7" s="21">
        <f t="shared" si="2"/>
        <v>36900</v>
      </c>
      <c r="K7" s="8" t="s">
        <v>198</v>
      </c>
      <c r="L7" s="9">
        <v>5300</v>
      </c>
      <c r="M7" s="9"/>
      <c r="N7" s="48">
        <v>0</v>
      </c>
      <c r="O7" s="21">
        <f t="shared" si="3"/>
        <v>38000</v>
      </c>
      <c r="P7" s="8" t="s">
        <v>197</v>
      </c>
      <c r="Q7" s="9">
        <v>-2000</v>
      </c>
      <c r="R7" s="9"/>
      <c r="S7" s="48">
        <v>0</v>
      </c>
      <c r="T7" s="21">
        <f t="shared" si="4"/>
        <v>30100</v>
      </c>
      <c r="U7" s="53">
        <f>IF($J7="","",ROUND(($J7-$J$3)/1000,1)+(_xlfn.RANK.AVG($J7,($J7,$O7,$T7),1)-2)*10)</f>
        <v>1.9</v>
      </c>
      <c r="V7" s="54">
        <f>IF($O7="","",ROUND(($O7-$O$3)/1000,1)+(_xlfn.RANK.AVG($O7,($J7,$O7,$T7),1)-2)*10)</f>
        <v>13</v>
      </c>
      <c r="W7" s="55">
        <f>IF($T7="","",ROUND(($T7-$T$3)/1000,1)+(_xlfn.RANK.AVG($T7,($J7,$O7,$T7),1)-2)*10)</f>
        <v>-14.9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4</v>
      </c>
      <c r="AY7" s="30">
        <v>20</v>
      </c>
      <c r="AZ7" s="40" t="s">
        <v>82</v>
      </c>
      <c r="BA7" s="41" t="s">
        <v>83</v>
      </c>
      <c r="BB7" s="41" t="s">
        <v>79</v>
      </c>
      <c r="BC7" s="41" t="s">
        <v>79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たかの</v>
      </c>
      <c r="F8" s="8" t="s">
        <v>201</v>
      </c>
      <c r="G8" s="9">
        <v>-2000</v>
      </c>
      <c r="H8" s="9"/>
      <c r="I8" s="48">
        <v>0</v>
      </c>
      <c r="J8" s="21">
        <f t="shared" si="2"/>
        <v>34900</v>
      </c>
      <c r="K8" s="8"/>
      <c r="L8" s="9"/>
      <c r="M8" s="9"/>
      <c r="N8" s="48"/>
      <c r="O8" s="21">
        <f t="shared" si="3"/>
        <v>38000</v>
      </c>
      <c r="P8" s="8" t="s">
        <v>202</v>
      </c>
      <c r="Q8" s="9">
        <v>2000</v>
      </c>
      <c r="R8" s="9"/>
      <c r="S8" s="48">
        <v>0</v>
      </c>
      <c r="T8" s="21">
        <f t="shared" si="4"/>
        <v>32100</v>
      </c>
      <c r="U8" s="53">
        <f>IF($J8="","",ROUND(($J8-$J$3)/1000,1)+(_xlfn.RANK.AVG($J8,($J8,$O8,$T8),1)-2)*10)</f>
        <v>-0.1</v>
      </c>
      <c r="V8" s="54">
        <f>IF($O8="","",ROUND(($O8-$O$3)/1000,1)+(_xlfn.RANK.AVG($O8,($J8,$O8,$T8),1)-2)*10)</f>
        <v>13</v>
      </c>
      <c r="W8" s="55">
        <f>IF($T8="","",ROUND(($T8-$T$3)/1000,1)+(_xlfn.RANK.AVG($T8,($J8,$O8,$T8),1)-2)*10)</f>
        <v>-12.9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2</v>
      </c>
      <c r="BT8" s="30">
        <v>30</v>
      </c>
      <c r="BU8" s="40" t="s">
        <v>79</v>
      </c>
      <c r="BV8" s="41" t="s">
        <v>86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りくと</v>
      </c>
      <c r="F9" s="8" t="s">
        <v>197</v>
      </c>
      <c r="G9" s="9">
        <v>-800</v>
      </c>
      <c r="H9" s="9"/>
      <c r="I9" s="48">
        <v>0</v>
      </c>
      <c r="J9" s="21">
        <f t="shared" si="2"/>
        <v>34100</v>
      </c>
      <c r="K9" s="8" t="s">
        <v>198</v>
      </c>
      <c r="L9" s="9">
        <v>2100</v>
      </c>
      <c r="M9" s="9">
        <v>1000</v>
      </c>
      <c r="N9" s="48">
        <v>0</v>
      </c>
      <c r="O9" s="21">
        <f t="shared" si="3"/>
        <v>41100</v>
      </c>
      <c r="P9" s="8" t="s">
        <v>197</v>
      </c>
      <c r="Q9" s="9">
        <v>-1300</v>
      </c>
      <c r="R9" s="9">
        <v>-1000</v>
      </c>
      <c r="S9" s="48">
        <v>0</v>
      </c>
      <c r="T9" s="21">
        <f t="shared" si="4"/>
        <v>29800</v>
      </c>
      <c r="U9" s="53">
        <f>IF($J9="","",ROUND(($J9-$J$3)/1000,1)+(_xlfn.RANK.AVG($J9,($J9,$O9,$T9),1)-2)*10)</f>
        <v>-0.9</v>
      </c>
      <c r="V9" s="54">
        <f>IF($O9="","",ROUND(($O9-$O$3)/1000,1)+(_xlfn.RANK.AVG($O9,($J9,$O9,$T9),1)-2)*10)</f>
        <v>16.100000000000001</v>
      </c>
      <c r="W9" s="55">
        <f>IF($T9="","",ROUND(($T9-$T$3)/1000,1)+(_xlfn.RANK.AVG($T9,($J9,$O9,$T9),1)-2)*10)</f>
        <v>-15.2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2</v>
      </c>
      <c r="AY9" s="30">
        <v>30</v>
      </c>
      <c r="AZ9" s="40" t="s">
        <v>86</v>
      </c>
      <c r="BA9" s="41" t="s">
        <v>200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allowBlank="1" showInputMessage="1" showErrorMessage="1" sqref="E4:E30" xr:uid="{B30B1AA3-588E-48F4-B43B-BD9CA2D656A2}">
      <formula1>$U$2:$W$2</formula1>
    </dataValidation>
    <dataValidation type="list" showInputMessage="1" showErrorMessage="1" sqref="K4:K30 P4:P30 F4:F30" xr:uid="{8027A282-1FB3-4C6E-B7AE-236ECBB13652}">
      <formula1>"ロン,ツモ,放銃,ツモ支払,流局,チョンボ"</formula1>
    </dataValidation>
    <dataValidation type="list" allowBlank="1" showInputMessage="1" sqref="F1:T1" xr:uid="{C8E14626-8E0E-4A09-B25C-AF9F2812FEF5}">
      <formula1>"れんたろう,ともき,だいち,りくと,まっつん,たかの,のり,ただ,"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736A7-8407-4202-AD32-658C938946AF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191</v>
      </c>
      <c r="G1" s="79"/>
      <c r="H1" s="79"/>
      <c r="I1" s="80"/>
      <c r="J1" s="81"/>
      <c r="K1" s="78" t="s">
        <v>209</v>
      </c>
      <c r="L1" s="79"/>
      <c r="M1" s="79"/>
      <c r="N1" s="80"/>
      <c r="O1" s="81"/>
      <c r="P1" s="78" t="s">
        <v>208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たかの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りくと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5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たかの</v>
      </c>
      <c r="V2" s="70" t="str">
        <f>$K$1</f>
        <v>りくと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たかの</v>
      </c>
      <c r="F4" s="8" t="s">
        <v>197</v>
      </c>
      <c r="G4" s="9">
        <v>-5000</v>
      </c>
      <c r="H4" s="9"/>
      <c r="I4" s="48">
        <v>0</v>
      </c>
      <c r="J4" s="21">
        <f>IF(COUNTA($F4,$K4,$P4)&gt;0,J3+SUM(G4:I4),"")</f>
        <v>30000</v>
      </c>
      <c r="K4" s="8" t="s">
        <v>197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198</v>
      </c>
      <c r="Q4" s="9">
        <v>8000</v>
      </c>
      <c r="R4" s="9"/>
      <c r="S4" s="48">
        <v>0</v>
      </c>
      <c r="T4" s="21">
        <f>IF(COUNTA($F4,$K4,$P4)&gt;0,T3+SUM(Q4:S4),"")</f>
        <v>43000</v>
      </c>
      <c r="U4" s="53">
        <f>IF($J4="","",ROUND(($J4-$J$3)/1000,1)+(_xlfn.RANK.AVG($J4,($J4,$O4,$T4),1)-2)*10)</f>
        <v>-15</v>
      </c>
      <c r="V4" s="54">
        <f>IF($O4="","",ROUND(($O4-$O$3)/1000,1)+(_xlfn.RANK.AVG($O4,($J4,$O4,$T4),1)-2)*10)</f>
        <v>-3</v>
      </c>
      <c r="W4" s="55">
        <f>IF($T4="","",ROUND(($T4-$T$3)/1000,1)+(_xlfn.RANK.AVG($T4,($J4,$O4,$T4),1)-2)*10)</f>
        <v>18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5</v>
      </c>
      <c r="BT4" s="30" t="s">
        <v>199</v>
      </c>
      <c r="BU4" s="40" t="s">
        <v>210</v>
      </c>
      <c r="BV4" s="41" t="s">
        <v>82</v>
      </c>
      <c r="BW4" s="41" t="s">
        <v>83</v>
      </c>
      <c r="BX4" s="41" t="s">
        <v>200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りくと</v>
      </c>
      <c r="F5" s="8" t="s">
        <v>198</v>
      </c>
      <c r="G5" s="9">
        <v>7700</v>
      </c>
      <c r="H5" s="9"/>
      <c r="I5" s="48">
        <v>0</v>
      </c>
      <c r="J5" s="21">
        <f t="shared" ref="J5:J30" si="2">IF(COUNTA($F5,$K5,$P5)&gt;0,J4+SUM(G5:I5),"")</f>
        <v>37700</v>
      </c>
      <c r="K5" s="8" t="s">
        <v>197</v>
      </c>
      <c r="L5" s="9">
        <v>-4800</v>
      </c>
      <c r="M5" s="9"/>
      <c r="N5" s="48">
        <v>0</v>
      </c>
      <c r="O5" s="21">
        <f t="shared" ref="O5:O30" si="3">IF(COUNTA($F5,$K5,$P5)&gt;0,O4+SUM(L5:N5),"")</f>
        <v>27200</v>
      </c>
      <c r="P5" s="8" t="s">
        <v>197</v>
      </c>
      <c r="Q5" s="9">
        <v>-2900</v>
      </c>
      <c r="R5" s="9"/>
      <c r="S5" s="48">
        <v>0</v>
      </c>
      <c r="T5" s="21">
        <f t="shared" ref="T5:T30" si="4">IF(COUNTA($F5,$K5,$P5)&gt;0,T4+SUM(Q5:S5),"")</f>
        <v>40100</v>
      </c>
      <c r="U5" s="53">
        <f>IF($J5="","",ROUND(($J5-$J$3)/1000,1)+(_xlfn.RANK.AVG($J5,($J5,$O5,$T5),1)-2)*10)</f>
        <v>2.7</v>
      </c>
      <c r="V5" s="54">
        <f>IF($O5="","",ROUND(($O5-$O$3)/1000,1)+(_xlfn.RANK.AVG($O5,($J5,$O5,$T5),1)-2)*10)</f>
        <v>-17.8</v>
      </c>
      <c r="W5" s="55">
        <f>IF($T5="","",ROUND(($T5-$T$3)/1000,1)+(_xlfn.RANK.AVG($T5,($J5,$O5,$T5),1)-2)*10)</f>
        <v>15.1</v>
      </c>
      <c r="Y5" s="8"/>
      <c r="Z5" s="34"/>
      <c r="AA5" s="26"/>
      <c r="AB5" s="26">
        <v>1</v>
      </c>
      <c r="AC5" s="26">
        <v>4</v>
      </c>
      <c r="AD5" s="30">
        <v>30</v>
      </c>
      <c r="AE5" s="40" t="s">
        <v>86</v>
      </c>
      <c r="AF5" s="41" t="s">
        <v>79</v>
      </c>
      <c r="AG5" s="41" t="s">
        <v>79</v>
      </c>
      <c r="AH5" s="41" t="s">
        <v>79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 t="s">
        <v>197</v>
      </c>
      <c r="G6" s="9">
        <v>-24000</v>
      </c>
      <c r="H6" s="9"/>
      <c r="I6" s="48">
        <v>0</v>
      </c>
      <c r="J6" s="21">
        <f t="shared" si="2"/>
        <v>13700</v>
      </c>
      <c r="K6" s="8" t="s">
        <v>197</v>
      </c>
      <c r="L6" s="9">
        <v>-24000</v>
      </c>
      <c r="M6" s="9"/>
      <c r="N6" s="48">
        <v>0</v>
      </c>
      <c r="O6" s="21">
        <f t="shared" si="3"/>
        <v>3200</v>
      </c>
      <c r="P6" s="8" t="s">
        <v>198</v>
      </c>
      <c r="Q6" s="9">
        <v>48000</v>
      </c>
      <c r="R6" s="9"/>
      <c r="S6" s="48">
        <v>0</v>
      </c>
      <c r="T6" s="21">
        <f t="shared" si="4"/>
        <v>88100</v>
      </c>
      <c r="U6" s="53">
        <f>IF($J6="","",ROUND(($J6-$J$3)/1000,1)+(_xlfn.RANK.AVG($J6,($J6,$O6,$T6),1)-2)*10)</f>
        <v>-21.3</v>
      </c>
      <c r="V6" s="54">
        <f>IF($O6="","",ROUND(($O6-$O$3)/1000,1)+(_xlfn.RANK.AVG($O6,($J6,$O6,$T6),1)-2)*10)</f>
        <v>-41.8</v>
      </c>
      <c r="W6" s="55">
        <f>IF($T6="","",ROUND(($T6-$T$3)/1000,1)+(_xlfn.RANK.AVG($T6,($J6,$O6,$T6),1)-2)*10)</f>
        <v>63.1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13</v>
      </c>
      <c r="BT6" s="30" t="s">
        <v>199</v>
      </c>
      <c r="BU6" s="40" t="s">
        <v>108</v>
      </c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だいち</v>
      </c>
      <c r="F7" s="8" t="s">
        <v>198</v>
      </c>
      <c r="G7" s="9">
        <v>7700</v>
      </c>
      <c r="H7" s="9"/>
      <c r="I7" s="48">
        <v>1000</v>
      </c>
      <c r="J7" s="21">
        <f t="shared" si="2"/>
        <v>22400</v>
      </c>
      <c r="K7" s="8" t="s">
        <v>197</v>
      </c>
      <c r="L7" s="9">
        <v>-2900</v>
      </c>
      <c r="M7" s="9"/>
      <c r="N7" s="48">
        <v>-500</v>
      </c>
      <c r="O7" s="21">
        <f t="shared" si="3"/>
        <v>-200</v>
      </c>
      <c r="P7" s="8" t="s">
        <v>197</v>
      </c>
      <c r="Q7" s="9">
        <v>-4800</v>
      </c>
      <c r="R7" s="9"/>
      <c r="S7" s="48">
        <v>-500</v>
      </c>
      <c r="T7" s="21">
        <f t="shared" si="4"/>
        <v>82800</v>
      </c>
      <c r="U7" s="53">
        <f>IF($J7="","",ROUND(($J7-$J$3)/1000,1)+(_xlfn.RANK.AVG($J7,($J7,$O7,$T7),1)-2)*10)</f>
        <v>-12.6</v>
      </c>
      <c r="V7" s="54">
        <f>IF($O7="","",ROUND(($O7-$O$3)/1000,1)+(_xlfn.RANK.AVG($O7,($J7,$O7,$T7),1)-2)*10)</f>
        <v>-45.2</v>
      </c>
      <c r="W7" s="55">
        <f>IF($T7="","",ROUND(($T7-$T$3)/1000,1)+(_xlfn.RANK.AVG($T7,($J7,$O7,$T7),1)-2)*10)</f>
        <v>57.8</v>
      </c>
      <c r="Y7" s="8"/>
      <c r="Z7" s="34"/>
      <c r="AA7" s="26"/>
      <c r="AB7" s="26">
        <v>1</v>
      </c>
      <c r="AC7" s="26">
        <v>4</v>
      </c>
      <c r="AD7" s="30">
        <v>30</v>
      </c>
      <c r="AE7" s="40" t="s">
        <v>86</v>
      </c>
      <c r="AF7" s="41" t="s">
        <v>79</v>
      </c>
      <c r="AG7" s="41" t="s">
        <v>79</v>
      </c>
      <c r="AH7" s="41" t="s">
        <v>79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qref="F1:T1" xr:uid="{310C84DA-B7E2-459E-8377-0767B5F3B3E8}">
      <formula1>"れんたろう,ともき,だいち,りくと,まっつん,たかの,のり,ただ,"</formula1>
    </dataValidation>
    <dataValidation type="list" showInputMessage="1" showErrorMessage="1" sqref="K4:K30 P4:P30 F4:F30" xr:uid="{F2CF4D2F-9B9C-4C84-995C-036AC909BB7C}">
      <formula1>"ロン,ツモ,放銃,ツモ支払,流局,チョンボ"</formula1>
    </dataValidation>
    <dataValidation type="list" allowBlank="1" showInputMessage="1" showErrorMessage="1" sqref="E4:E30" xr:uid="{3A0CCFC5-A943-40DE-8791-A036419E07D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5A7D4-8338-4776-B658-FC390D0EF1DE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195</v>
      </c>
      <c r="G1" s="79"/>
      <c r="H1" s="79"/>
      <c r="I1" s="80"/>
      <c r="J1" s="81"/>
      <c r="K1" s="78" t="s">
        <v>191</v>
      </c>
      <c r="L1" s="79"/>
      <c r="M1" s="79"/>
      <c r="N1" s="80"/>
      <c r="O1" s="81"/>
      <c r="P1" s="78" t="s">
        <v>209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まっつん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たかの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りくと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5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まっつん</v>
      </c>
      <c r="V2" s="70" t="str">
        <f>$K$1</f>
        <v>たかの</v>
      </c>
      <c r="W2" s="16" t="str">
        <f>$P$1</f>
        <v>りくと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まっつん</v>
      </c>
      <c r="F4" s="8" t="s">
        <v>197</v>
      </c>
      <c r="G4" s="9">
        <v>-4000</v>
      </c>
      <c r="H4" s="9"/>
      <c r="I4" s="48">
        <v>0</v>
      </c>
      <c r="J4" s="21">
        <f>IF(COUNTA($F4,$K4,$P4)&gt;0,J3+SUM(G4:I4),"")</f>
        <v>31000</v>
      </c>
      <c r="K4" s="8" t="s">
        <v>198</v>
      </c>
      <c r="L4" s="9">
        <v>6400</v>
      </c>
      <c r="M4" s="9"/>
      <c r="N4" s="48">
        <v>0</v>
      </c>
      <c r="O4" s="21">
        <f>IF(COUNTA($F4,$K4,$P4)&gt;0,O3+SUM(L4:N4),"")</f>
        <v>41400</v>
      </c>
      <c r="P4" s="8" t="s">
        <v>197</v>
      </c>
      <c r="Q4" s="9">
        <v>-2400</v>
      </c>
      <c r="R4" s="9"/>
      <c r="S4" s="48">
        <v>0</v>
      </c>
      <c r="T4" s="21">
        <f>IF(COUNTA($F4,$K4,$P4)&gt;0,T3+SUM(Q4:S4),"")</f>
        <v>32600</v>
      </c>
      <c r="U4" s="53">
        <f>IF($J4="","",ROUND(($J4-$J$3)/1000,1)+(_xlfn.RANK.AVG($J4,($J4,$O4,$T4),1)-2)*10)</f>
        <v>-14</v>
      </c>
      <c r="V4" s="54">
        <f>IF($O4="","",ROUND(($O4-$O$3)/1000,1)+(_xlfn.RANK.AVG($O4,($J4,$O4,$T4),1)-2)*10)</f>
        <v>16.399999999999999</v>
      </c>
      <c r="W4" s="55">
        <f>IF($T4="","",ROUND(($T4-$T$3)/1000,1)+(_xlfn.RANK.AVG($T4,($J4,$O4,$T4),1)-2)*10)</f>
        <v>-2.4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3</v>
      </c>
      <c r="AY4" s="30">
        <v>50</v>
      </c>
      <c r="AZ4" s="40" t="s">
        <v>86</v>
      </c>
      <c r="BA4" s="41" t="s">
        <v>89</v>
      </c>
      <c r="BB4" s="41" t="s">
        <v>86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たかの</v>
      </c>
      <c r="F5" s="8"/>
      <c r="G5" s="9"/>
      <c r="H5" s="9"/>
      <c r="I5" s="48"/>
      <c r="J5" s="21">
        <f t="shared" ref="J5:J30" si="2">IF(COUNTA($F5,$K5,$P5)&gt;0,J4+SUM(G5:I5),"")</f>
        <v>31000</v>
      </c>
      <c r="K5" s="8" t="s">
        <v>202</v>
      </c>
      <c r="L5" s="9">
        <v>11600</v>
      </c>
      <c r="M5" s="9"/>
      <c r="N5" s="48">
        <v>0</v>
      </c>
      <c r="O5" s="21">
        <f t="shared" ref="O5:O30" si="3">IF(COUNTA($F5,$K5,$P5)&gt;0,O4+SUM(L5:N5),"")</f>
        <v>53000</v>
      </c>
      <c r="P5" s="8" t="s">
        <v>201</v>
      </c>
      <c r="Q5" s="9">
        <v>-11600</v>
      </c>
      <c r="R5" s="9"/>
      <c r="S5" s="48">
        <v>0</v>
      </c>
      <c r="T5" s="21">
        <f t="shared" ref="T5:T30" si="4">IF(COUNTA($F5,$K5,$P5)&gt;0,T4+SUM(Q5:S5),"")</f>
        <v>21000</v>
      </c>
      <c r="U5" s="53">
        <f>IF($J5="","",ROUND(($J5-$J$3)/1000,1)+(_xlfn.RANK.AVG($J5,($J5,$O5,$T5),1)-2)*10)</f>
        <v>-4</v>
      </c>
      <c r="V5" s="54">
        <f>IF($O5="","",ROUND(($O5-$O$3)/1000,1)+(_xlfn.RANK.AVG($O5,($J5,$O5,$T5),1)-2)*10)</f>
        <v>28</v>
      </c>
      <c r="W5" s="55">
        <f>IF($T5="","",ROUND(($T5-$T$3)/1000,1)+(_xlfn.RANK.AVG($T5,($J5,$O5,$T5),1)-2)*10)</f>
        <v>-24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4</v>
      </c>
      <c r="AY5" s="30">
        <v>30</v>
      </c>
      <c r="AZ5" s="40" t="s">
        <v>86</v>
      </c>
      <c r="BA5" s="41" t="s">
        <v>104</v>
      </c>
      <c r="BB5" s="41" t="s">
        <v>86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たかの</v>
      </c>
      <c r="F6" s="8"/>
      <c r="G6" s="9"/>
      <c r="H6" s="9"/>
      <c r="I6" s="48"/>
      <c r="J6" s="21">
        <f t="shared" si="2"/>
        <v>31000</v>
      </c>
      <c r="K6" s="8" t="s">
        <v>202</v>
      </c>
      <c r="L6" s="9">
        <v>11600</v>
      </c>
      <c r="M6" s="9">
        <v>1000</v>
      </c>
      <c r="N6" s="48">
        <v>1000</v>
      </c>
      <c r="O6" s="21">
        <f t="shared" si="3"/>
        <v>66600</v>
      </c>
      <c r="P6" s="8" t="s">
        <v>201</v>
      </c>
      <c r="Q6" s="9">
        <v>-11600</v>
      </c>
      <c r="R6" s="9">
        <v>-1000</v>
      </c>
      <c r="S6" s="48">
        <v>-1000</v>
      </c>
      <c r="T6" s="21">
        <f t="shared" si="4"/>
        <v>7400</v>
      </c>
      <c r="U6" s="53">
        <f>IF($J6="","",ROUND(($J6-$J$3)/1000,1)+(_xlfn.RANK.AVG($J6,($J6,$O6,$T6),1)-2)*10)</f>
        <v>-4</v>
      </c>
      <c r="V6" s="54">
        <f>IF($O6="","",ROUND(($O6-$O$3)/1000,1)+(_xlfn.RANK.AVG($O6,($J6,$O6,$T6),1)-2)*10)</f>
        <v>41.6</v>
      </c>
      <c r="W6" s="55">
        <f>IF($T6="","",ROUND(($T6-$T$3)/1000,1)+(_xlfn.RANK.AVG($T6,($J6,$O6,$T6),1)-2)*10)</f>
        <v>-37.6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4</v>
      </c>
      <c r="AY6" s="30">
        <v>30</v>
      </c>
      <c r="AZ6" s="40" t="s">
        <v>203</v>
      </c>
      <c r="BA6" s="41" t="s">
        <v>83</v>
      </c>
      <c r="BB6" s="41" t="s">
        <v>200</v>
      </c>
      <c r="BC6" s="41" t="s">
        <v>200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tr">
        <f>IF($K$1="","",$K$1)</f>
        <v>たかの</v>
      </c>
      <c r="F7" s="8"/>
      <c r="G7" s="9"/>
      <c r="H7" s="9"/>
      <c r="I7" s="48"/>
      <c r="J7" s="21">
        <f t="shared" si="2"/>
        <v>31000</v>
      </c>
      <c r="K7" s="8" t="s">
        <v>202</v>
      </c>
      <c r="L7" s="9">
        <v>7700</v>
      </c>
      <c r="M7" s="9"/>
      <c r="N7" s="48">
        <v>2000</v>
      </c>
      <c r="O7" s="21">
        <f t="shared" si="3"/>
        <v>76300</v>
      </c>
      <c r="P7" s="8" t="s">
        <v>201</v>
      </c>
      <c r="Q7" s="9">
        <v>-7700</v>
      </c>
      <c r="R7" s="9"/>
      <c r="S7" s="48">
        <v>-2000</v>
      </c>
      <c r="T7" s="21">
        <f t="shared" si="4"/>
        <v>-2300</v>
      </c>
      <c r="U7" s="53">
        <f>IF($J7="","",ROUND(($J7-$J$3)/1000,1)+(_xlfn.RANK.AVG($J7,($J7,$O7,$T7),1)-2)*10)</f>
        <v>-4</v>
      </c>
      <c r="V7" s="54">
        <f>IF($O7="","",ROUND(($O7-$O$3)/1000,1)+(_xlfn.RANK.AVG($O7,($J7,$O7,$T7),1)-2)*10)</f>
        <v>51.3</v>
      </c>
      <c r="W7" s="55">
        <f>IF($T7="","",ROUND(($T7-$T$3)/1000,1)+(_xlfn.RANK.AVG($T7,($J7,$O7,$T7),1)-2)*10)</f>
        <v>-47.3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3</v>
      </c>
      <c r="AY7" s="30">
        <v>40</v>
      </c>
      <c r="AZ7" s="40" t="s">
        <v>203</v>
      </c>
      <c r="BA7" s="41" t="s">
        <v>86</v>
      </c>
      <c r="BB7" s="41" t="s">
        <v>200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3</v>
      </c>
      <c r="D8" s="18">
        <f t="shared" si="1"/>
        <v>0</v>
      </c>
      <c r="E8" s="4" t="str">
        <f>IF($K$1="","",$K$1)</f>
        <v>たかの</v>
      </c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42736E3D-72EA-4B01-9FF5-16585E930DCC}">
      <formula1>$U$2:$W$2</formula1>
    </dataValidation>
    <dataValidation type="list" showInputMessage="1" showErrorMessage="1" sqref="K4:K30 P4:P30 F4:F30" xr:uid="{5FE0BD14-C7E0-46B1-AF3C-DCB44EA08522}">
      <formula1>"ロン,ツモ,放銃,ツモ支払,流局,チョンボ"</formula1>
    </dataValidation>
    <dataValidation type="list" allowBlank="1" showInputMessage="1" sqref="F1:T1" xr:uid="{3051097D-6064-4BF5-9989-67B658C237D2}">
      <formula1>"れんたろう,ともき,だいち,りくと,まっつん,たかの,のり,ただ,"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B6284-6895-4429-9A7F-151485B7213C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211</v>
      </c>
      <c r="G1" s="79"/>
      <c r="H1" s="79"/>
      <c r="I1" s="80"/>
      <c r="J1" s="81"/>
      <c r="K1" s="78" t="s">
        <v>212</v>
      </c>
      <c r="L1" s="79"/>
      <c r="M1" s="79"/>
      <c r="N1" s="80"/>
      <c r="O1" s="81"/>
      <c r="P1" s="78" t="s">
        <v>213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ただ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りくと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5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ただ</v>
      </c>
      <c r="V2" s="75" t="str">
        <f>$K$1</f>
        <v>りくと</v>
      </c>
      <c r="W2" s="16" t="str">
        <f>$P$1</f>
        <v>だいち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ただ</v>
      </c>
      <c r="F4" s="8" t="s">
        <v>202</v>
      </c>
      <c r="G4" s="9">
        <v>5800</v>
      </c>
      <c r="H4" s="9"/>
      <c r="I4" s="48">
        <v>0</v>
      </c>
      <c r="J4" s="21">
        <f>IF(COUNTA($F4,$K4,$P4)&gt;0,J3+SUM(G4:I4),"")</f>
        <v>40800</v>
      </c>
      <c r="K4" s="8"/>
      <c r="L4" s="9"/>
      <c r="M4" s="9"/>
      <c r="N4" s="48"/>
      <c r="O4" s="21">
        <f>IF(COUNTA($F4,$K4,$P4)&gt;0,O3+SUM(L4:N4),"")</f>
        <v>35000</v>
      </c>
      <c r="P4" s="8" t="s">
        <v>201</v>
      </c>
      <c r="Q4" s="9">
        <v>-5800</v>
      </c>
      <c r="R4" s="9"/>
      <c r="S4" s="48">
        <v>0</v>
      </c>
      <c r="T4" s="21">
        <f>IF(COUNTA($F4,$K4,$P4)&gt;0,T3+SUM(Q4:S4),"")</f>
        <v>29200</v>
      </c>
      <c r="U4" s="53">
        <f>IF($J4="","",ROUND(($J4-$J$3)/1000,1)+(_xlfn.RANK.AVG($J4,($J4,$O4,$T4),1)-2)*10)</f>
        <v>15.8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-15.8</v>
      </c>
      <c r="Y4" s="8"/>
      <c r="Z4" s="34"/>
      <c r="AA4" s="26"/>
      <c r="AB4" s="26">
        <v>1</v>
      </c>
      <c r="AC4" s="26">
        <v>3</v>
      </c>
      <c r="AD4" s="30">
        <v>30</v>
      </c>
      <c r="AE4" s="40" t="s">
        <v>104</v>
      </c>
      <c r="AF4" s="41" t="s">
        <v>79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ただ</v>
      </c>
      <c r="F5" s="8" t="s">
        <v>206</v>
      </c>
      <c r="G5" s="9">
        <v>1500</v>
      </c>
      <c r="H5" s="9"/>
      <c r="I5" s="48"/>
      <c r="J5" s="21">
        <f t="shared" ref="J5:J30" si="2">IF(COUNTA($F5,$K5,$P5)&gt;0,J4+SUM(G5:I5),"")</f>
        <v>42300</v>
      </c>
      <c r="K5" s="8" t="s">
        <v>206</v>
      </c>
      <c r="L5" s="9">
        <v>1500</v>
      </c>
      <c r="M5" s="9"/>
      <c r="N5" s="48"/>
      <c r="O5" s="21">
        <f t="shared" ref="O5:O30" si="3">IF(COUNTA($F5,$K5,$P5)&gt;0,O4+SUM(L5:N5),"")</f>
        <v>36500</v>
      </c>
      <c r="P5" s="8" t="s">
        <v>206</v>
      </c>
      <c r="Q5" s="9">
        <v>-3000</v>
      </c>
      <c r="R5" s="9"/>
      <c r="S5" s="48"/>
      <c r="T5" s="21">
        <f t="shared" ref="T5:T30" si="4">IF(COUNTA($F5,$K5,$P5)&gt;0,T4+SUM(Q5:S5),"")</f>
        <v>26200</v>
      </c>
      <c r="U5" s="53">
        <f>IF($J5="","",ROUND(($J5-$J$3)/1000,1)+(_xlfn.RANK.AVG($J5,($J5,$O5,$T5),1)-2)*10)</f>
        <v>17.3</v>
      </c>
      <c r="V5" s="54">
        <f>IF($O5="","",ROUND(($O5-$O$3)/1000,1)+(_xlfn.RANK.AVG($O5,($J5,$O5,$T5),1)-2)*10)</f>
        <v>1.5</v>
      </c>
      <c r="W5" s="55">
        <f>IF($T5="","",ROUND(($T5-$T$3)/1000,1)+(_xlfn.RANK.AVG($T5,($J5,$O5,$T5),1)-2)*10)</f>
        <v>-18.8</v>
      </c>
      <c r="Y5" s="8" t="s">
        <v>207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207</v>
      </c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205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IF($F$1="","",$F$1)</f>
        <v>ただ</v>
      </c>
      <c r="F6" s="8" t="s">
        <v>198</v>
      </c>
      <c r="G6" s="9">
        <v>18000</v>
      </c>
      <c r="H6" s="9"/>
      <c r="I6" s="48">
        <v>2000</v>
      </c>
      <c r="J6" s="21">
        <f t="shared" si="2"/>
        <v>62300</v>
      </c>
      <c r="K6" s="8" t="s">
        <v>197</v>
      </c>
      <c r="L6" s="9">
        <v>-9000</v>
      </c>
      <c r="M6" s="9"/>
      <c r="N6" s="48">
        <v>-1000</v>
      </c>
      <c r="O6" s="21">
        <f t="shared" si="3"/>
        <v>26500</v>
      </c>
      <c r="P6" s="8" t="s">
        <v>197</v>
      </c>
      <c r="Q6" s="9">
        <v>-9000</v>
      </c>
      <c r="R6" s="9"/>
      <c r="S6" s="48">
        <v>-1000</v>
      </c>
      <c r="T6" s="21">
        <f t="shared" si="4"/>
        <v>16200</v>
      </c>
      <c r="U6" s="53">
        <f>IF($J6="","",ROUND(($J6-$J$3)/1000,1)+(_xlfn.RANK.AVG($J6,($J6,$O6,$T6),1)-2)*10)</f>
        <v>37.299999999999997</v>
      </c>
      <c r="V6" s="54">
        <f>IF($O6="","",ROUND(($O6-$O$3)/1000,1)+(_xlfn.RANK.AVG($O6,($J6,$O6,$T6),1)-2)*10)</f>
        <v>-8.5</v>
      </c>
      <c r="W6" s="55">
        <f>IF($T6="","",ROUND(($T6-$T$3)/1000,1)+(_xlfn.RANK.AVG($T6,($J6,$O6,$T6),1)-2)*10)</f>
        <v>-28.8</v>
      </c>
      <c r="Y6" s="8"/>
      <c r="Z6" s="34"/>
      <c r="AA6" s="26">
        <v>1</v>
      </c>
      <c r="AB6" s="26"/>
      <c r="AC6" s="26">
        <v>6</v>
      </c>
      <c r="AD6" s="30" t="s">
        <v>199</v>
      </c>
      <c r="AE6" s="40" t="s">
        <v>203</v>
      </c>
      <c r="AF6" s="41" t="s">
        <v>82</v>
      </c>
      <c r="AG6" s="41" t="s">
        <v>204</v>
      </c>
      <c r="AH6" s="41" t="s">
        <v>200</v>
      </c>
      <c r="AI6" s="41" t="s">
        <v>80</v>
      </c>
      <c r="AJ6" s="41" t="s">
        <v>80</v>
      </c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tr">
        <f>IF($F$1="","",$F$1)</f>
        <v>ただ</v>
      </c>
      <c r="F7" s="8" t="s">
        <v>197</v>
      </c>
      <c r="G7" s="9">
        <v>-5000</v>
      </c>
      <c r="H7" s="9"/>
      <c r="I7" s="48">
        <v>-1500</v>
      </c>
      <c r="J7" s="21">
        <f t="shared" si="2"/>
        <v>55800</v>
      </c>
      <c r="K7" s="8" t="s">
        <v>197</v>
      </c>
      <c r="L7" s="9">
        <v>-3000</v>
      </c>
      <c r="M7" s="9"/>
      <c r="N7" s="48">
        <v>-1500</v>
      </c>
      <c r="O7" s="21">
        <f t="shared" si="3"/>
        <v>22000</v>
      </c>
      <c r="P7" s="8" t="s">
        <v>198</v>
      </c>
      <c r="Q7" s="9">
        <v>8000</v>
      </c>
      <c r="R7" s="9"/>
      <c r="S7" s="48">
        <v>3000</v>
      </c>
      <c r="T7" s="21">
        <f t="shared" si="4"/>
        <v>27200</v>
      </c>
      <c r="U7" s="53">
        <f>IF($J7="","",ROUND(($J7-$J$3)/1000,1)+(_xlfn.RANK.AVG($J7,($J7,$O7,$T7),1)-2)*10)</f>
        <v>30.8</v>
      </c>
      <c r="V7" s="54">
        <f>IF($O7="","",ROUND(($O7-$O$3)/1000,1)+(_xlfn.RANK.AVG($O7,($J7,$O7,$T7),1)-2)*10)</f>
        <v>-23</v>
      </c>
      <c r="W7" s="55">
        <f>IF($T7="","",ROUND(($T7-$T$3)/1000,1)+(_xlfn.RANK.AVG($T7,($J7,$O7,$T7),1)-2)*10)</f>
        <v>-7.8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5</v>
      </c>
      <c r="BT7" s="30" t="s">
        <v>199</v>
      </c>
      <c r="BU7" s="40" t="s">
        <v>210</v>
      </c>
      <c r="BV7" s="41" t="s">
        <v>82</v>
      </c>
      <c r="BW7" s="41" t="s">
        <v>200</v>
      </c>
      <c r="BX7" s="41" t="s">
        <v>83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りくと</v>
      </c>
      <c r="F8" s="8" t="s">
        <v>201</v>
      </c>
      <c r="G8" s="9">
        <v>-24000</v>
      </c>
      <c r="H8" s="9"/>
      <c r="I8" s="48">
        <v>0</v>
      </c>
      <c r="J8" s="21">
        <f t="shared" si="2"/>
        <v>31800</v>
      </c>
      <c r="K8" s="8" t="s">
        <v>202</v>
      </c>
      <c r="L8" s="9">
        <v>24000</v>
      </c>
      <c r="M8" s="9"/>
      <c r="N8" s="48">
        <v>0</v>
      </c>
      <c r="O8" s="21">
        <f t="shared" si="3"/>
        <v>46000</v>
      </c>
      <c r="P8" s="8"/>
      <c r="Q8" s="9"/>
      <c r="R8" s="9"/>
      <c r="S8" s="48"/>
      <c r="T8" s="21">
        <f t="shared" si="4"/>
        <v>27200</v>
      </c>
      <c r="U8" s="53">
        <f>IF($J8="","",ROUND(($J8-$J$3)/1000,1)+(_xlfn.RANK.AVG($J8,($J8,$O8,$T8),1)-2)*10)</f>
        <v>-3.2</v>
      </c>
      <c r="V8" s="54">
        <f>IF($O8="","",ROUND(($O8-$O$3)/1000,1)+(_xlfn.RANK.AVG($O8,($J8,$O8,$T8),1)-2)*10)</f>
        <v>21</v>
      </c>
      <c r="W8" s="55">
        <f>IF($T8="","",ROUND(($T8-$T$3)/1000,1)+(_xlfn.RANK.AVG($T8,($J8,$O8,$T8),1)-2)*10)</f>
        <v>-17.8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10</v>
      </c>
      <c r="AY8" s="30" t="s">
        <v>199</v>
      </c>
      <c r="AZ8" s="40" t="s">
        <v>203</v>
      </c>
      <c r="BA8" s="41" t="s">
        <v>106</v>
      </c>
      <c r="BB8" s="41" t="s">
        <v>102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tr">
        <f>IF($K$1="","",$K$1)</f>
        <v>りくと</v>
      </c>
      <c r="F9" s="8" t="s">
        <v>197</v>
      </c>
      <c r="G9" s="9">
        <v>-3000</v>
      </c>
      <c r="H9" s="9"/>
      <c r="I9" s="48">
        <v>-500</v>
      </c>
      <c r="J9" s="21">
        <f t="shared" si="2"/>
        <v>28300</v>
      </c>
      <c r="K9" s="8" t="s">
        <v>197</v>
      </c>
      <c r="L9" s="9">
        <v>-5000</v>
      </c>
      <c r="M9" s="9"/>
      <c r="N9" s="48">
        <v>-500</v>
      </c>
      <c r="O9" s="21">
        <f t="shared" si="3"/>
        <v>40500</v>
      </c>
      <c r="P9" s="8" t="s">
        <v>198</v>
      </c>
      <c r="Q9" s="9">
        <v>8000</v>
      </c>
      <c r="R9" s="9"/>
      <c r="S9" s="48">
        <v>1000</v>
      </c>
      <c r="T9" s="21">
        <f t="shared" si="4"/>
        <v>36200</v>
      </c>
      <c r="U9" s="53">
        <f>IF($J9="","",ROUND(($J9-$J$3)/1000,1)+(_xlfn.RANK.AVG($J9,($J9,$O9,$T9),1)-2)*10)</f>
        <v>-16.7</v>
      </c>
      <c r="V9" s="54">
        <f>IF($O9="","",ROUND(($O9-$O$3)/1000,1)+(_xlfn.RANK.AVG($O9,($J9,$O9,$T9),1)-2)*10)</f>
        <v>15.5</v>
      </c>
      <c r="W9" s="55">
        <f>IF($T9="","",ROUND(($T9-$T$3)/1000,1)+(_xlfn.RANK.AVG($T9,($J9,$O9,$T9),1)-2)*10)</f>
        <v>1.2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5</v>
      </c>
      <c r="BT9" s="30" t="s">
        <v>199</v>
      </c>
      <c r="BU9" s="40" t="s">
        <v>203</v>
      </c>
      <c r="BV9" s="41" t="s">
        <v>82</v>
      </c>
      <c r="BW9" s="41" t="s">
        <v>83</v>
      </c>
      <c r="BX9" s="41" t="s">
        <v>200</v>
      </c>
      <c r="BY9" s="41" t="s">
        <v>79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だいち</v>
      </c>
      <c r="F10" s="8" t="s">
        <v>197</v>
      </c>
      <c r="G10" s="9">
        <v>-4800</v>
      </c>
      <c r="H10" s="9"/>
      <c r="I10" s="48">
        <v>0</v>
      </c>
      <c r="J10" s="21">
        <f t="shared" si="2"/>
        <v>23500</v>
      </c>
      <c r="K10" s="8" t="s">
        <v>197</v>
      </c>
      <c r="L10" s="9">
        <v>-4800</v>
      </c>
      <c r="M10" s="9"/>
      <c r="N10" s="48">
        <v>0</v>
      </c>
      <c r="O10" s="21">
        <f t="shared" si="3"/>
        <v>35700</v>
      </c>
      <c r="P10" s="8" t="s">
        <v>198</v>
      </c>
      <c r="Q10" s="9">
        <v>9600</v>
      </c>
      <c r="R10" s="9"/>
      <c r="S10" s="48">
        <v>0</v>
      </c>
      <c r="T10" s="21">
        <f t="shared" si="4"/>
        <v>45800</v>
      </c>
      <c r="U10" s="53">
        <f>IF($J10="","",ROUND(($J10-$J$3)/1000,1)+(_xlfn.RANK.AVG($J10,($J10,$O10,$T10),1)-2)*10)</f>
        <v>-21.5</v>
      </c>
      <c r="V10" s="54">
        <f>IF($O10="","",ROUND(($O10-$O$3)/1000,1)+(_xlfn.RANK.AVG($O10,($J10,$O10,$T10),1)-2)*10)</f>
        <v>0.7</v>
      </c>
      <c r="W10" s="55">
        <f>IF($T10="","",ROUND(($T10-$T$3)/1000,1)+(_xlfn.RANK.AVG($T10,($J10,$O10,$T10),1)-2)*10)</f>
        <v>20.8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4</v>
      </c>
      <c r="BT10" s="30">
        <v>25</v>
      </c>
      <c r="BU10" s="40" t="s">
        <v>203</v>
      </c>
      <c r="BV10" s="41" t="s">
        <v>82</v>
      </c>
      <c r="BW10" s="41" t="s">
        <v>101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東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tr">
        <f>IF($P$1="","",$P$1)</f>
        <v>だいち</v>
      </c>
      <c r="F11" s="8" t="s">
        <v>201</v>
      </c>
      <c r="G11" s="9">
        <v>-2600</v>
      </c>
      <c r="H11" s="9"/>
      <c r="I11" s="48">
        <v>-1000</v>
      </c>
      <c r="J11" s="21">
        <f t="shared" si="2"/>
        <v>19900</v>
      </c>
      <c r="K11" s="8" t="s">
        <v>202</v>
      </c>
      <c r="L11" s="9">
        <v>2600</v>
      </c>
      <c r="M11" s="9"/>
      <c r="N11" s="48">
        <v>1000</v>
      </c>
      <c r="O11" s="21">
        <f t="shared" si="3"/>
        <v>39300</v>
      </c>
      <c r="P11" s="8"/>
      <c r="Q11" s="9"/>
      <c r="R11" s="9"/>
      <c r="S11" s="48"/>
      <c r="T11" s="21">
        <f t="shared" si="4"/>
        <v>45800</v>
      </c>
      <c r="U11" s="53">
        <f>IF($J11="","",ROUND(($J11-$J$3)/1000,1)+(_xlfn.RANK.AVG($J11,($J11,$O11,$T11),1)-2)*10)</f>
        <v>-25.1</v>
      </c>
      <c r="V11" s="54">
        <f>IF($O11="","",ROUND(($O11-$O$3)/1000,1)+(_xlfn.RANK.AVG($O11,($J11,$O11,$T11),1)-2)*10)</f>
        <v>4.3</v>
      </c>
      <c r="W11" s="55">
        <f>IF($T11="","",ROUND(($T11-$T$3)/1000,1)+(_xlfn.RANK.AVG($T11,($J11,$O11,$T11),1)-2)*10)</f>
        <v>20.8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>
        <v>2</v>
      </c>
      <c r="AY11" s="30">
        <v>40</v>
      </c>
      <c r="AZ11" s="40" t="s">
        <v>86</v>
      </c>
      <c r="BA11" s="41" t="s">
        <v>200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tr">
        <f>IF($F$1="","",$F$1)</f>
        <v>ただ</v>
      </c>
      <c r="F12" s="8" t="s">
        <v>201</v>
      </c>
      <c r="G12" s="9">
        <v>-32000</v>
      </c>
      <c r="H12" s="9"/>
      <c r="I12" s="48">
        <v>0</v>
      </c>
      <c r="J12" s="21">
        <f t="shared" si="2"/>
        <v>-12100</v>
      </c>
      <c r="K12" s="8"/>
      <c r="L12" s="9"/>
      <c r="M12" s="9"/>
      <c r="N12" s="48"/>
      <c r="O12" s="21">
        <f t="shared" si="3"/>
        <v>39300</v>
      </c>
      <c r="P12" s="8" t="s">
        <v>202</v>
      </c>
      <c r="Q12" s="9">
        <v>32000</v>
      </c>
      <c r="R12" s="9"/>
      <c r="S12" s="48">
        <v>0</v>
      </c>
      <c r="T12" s="21">
        <f t="shared" si="4"/>
        <v>77800</v>
      </c>
      <c r="U12" s="53">
        <f>IF($J12="","",ROUND(($J12-$J$3)/1000,1)+(_xlfn.RANK.AVG($J12,($J12,$O12,$T12),1)-2)*10)</f>
        <v>-57.1</v>
      </c>
      <c r="V12" s="54">
        <f>IF($O12="","",ROUND(($O12-$O$3)/1000,1)+(_xlfn.RANK.AVG($O12,($J12,$O12,$T12),1)-2)*10)</f>
        <v>4.3</v>
      </c>
      <c r="W12" s="55">
        <f>IF($T12="","",ROUND(($T12-$T$3)/1000,1)+(_xlfn.RANK.AVG($T12,($J12,$O12,$T12),1)-2)*10)</f>
        <v>52.8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>
        <v>13</v>
      </c>
      <c r="BT12" s="30" t="s">
        <v>199</v>
      </c>
      <c r="BU12" s="40" t="s">
        <v>107</v>
      </c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4048C185-51B3-47E6-AF79-9897EBE5DD7C}">
      <formula1>"れんたろう,ともき,だいち,りくと,まっつん,たかの,のり,ただ,"</formula1>
    </dataValidation>
    <dataValidation type="list" showInputMessage="1" showErrorMessage="1" sqref="K4:K30 P4:P30 F4:F30" xr:uid="{2299D0EE-A358-4416-8005-ACDDBFEF2542}">
      <formula1>"ロン,ツモ,放銃,ツモ支払,流局,チョンボ"</formula1>
    </dataValidation>
    <dataValidation type="list" allowBlank="1" showInputMessage="1" showErrorMessage="1" sqref="E4:E30" xr:uid="{FD89307E-2ABF-4B9C-A134-A1E7B40A99FF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AFFB7-EB61-46F6-9148-95D604AF3B35}">
  <sheetPr codeName="Sheet16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212</v>
      </c>
      <c r="G1" s="79"/>
      <c r="H1" s="79"/>
      <c r="I1" s="80"/>
      <c r="J1" s="81"/>
      <c r="K1" s="78" t="s">
        <v>213</v>
      </c>
      <c r="L1" s="79"/>
      <c r="M1" s="79"/>
      <c r="N1" s="80"/>
      <c r="O1" s="81"/>
      <c r="P1" s="78" t="s">
        <v>211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りくと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だいち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ただ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5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りくと</v>
      </c>
      <c r="V2" s="75" t="str">
        <f>$K$1</f>
        <v>だいち</v>
      </c>
      <c r="W2" s="16" t="str">
        <f>$P$1</f>
        <v>ただ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りくと</v>
      </c>
      <c r="F4" s="8" t="s">
        <v>197</v>
      </c>
      <c r="G4" s="9">
        <v>-7500</v>
      </c>
      <c r="H4" s="9"/>
      <c r="I4" s="48">
        <v>0</v>
      </c>
      <c r="J4" s="21">
        <f>IF(COUNTA($F4,$K4,$P4)&gt;0,J3+SUM(G4:I4),"")</f>
        <v>27500</v>
      </c>
      <c r="K4" s="8" t="s">
        <v>198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197</v>
      </c>
      <c r="Q4" s="9">
        <v>-4500</v>
      </c>
      <c r="R4" s="9"/>
      <c r="S4" s="48">
        <v>0</v>
      </c>
      <c r="T4" s="21">
        <f>IF(COUNTA($F4,$K4,$P4)&gt;0,T3+SUM(Q4:S4),"")</f>
        <v>30500</v>
      </c>
      <c r="U4" s="53">
        <f>IF($J4="","",ROUND(($J4-$J$3)/1000,1)+(_xlfn.RANK.AVG($J4,($J4,$O4,$T4),1)-2)*10)</f>
        <v>-17.5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-4.5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7</v>
      </c>
      <c r="AY4" s="30" t="s">
        <v>199</v>
      </c>
      <c r="AZ4" s="40" t="s">
        <v>98</v>
      </c>
      <c r="BA4" s="41" t="s">
        <v>96</v>
      </c>
      <c r="BB4" s="41" t="s">
        <v>86</v>
      </c>
      <c r="BC4" s="41" t="s">
        <v>86</v>
      </c>
      <c r="BD4" s="41" t="s">
        <v>86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/>
      <c r="G5" s="9"/>
      <c r="H5" s="9"/>
      <c r="I5" s="48"/>
      <c r="J5" s="21">
        <f t="shared" ref="J5:J30" si="2">IF(COUNTA($F5,$K5,$P5)&gt;0,J4+SUM(G5:I5),"")</f>
        <v>27500</v>
      </c>
      <c r="K5" s="8" t="s">
        <v>202</v>
      </c>
      <c r="L5" s="9">
        <v>12000</v>
      </c>
      <c r="M5" s="9"/>
      <c r="N5" s="48">
        <v>0</v>
      </c>
      <c r="O5" s="21">
        <f t="shared" ref="O5:O30" si="3">IF(COUNTA($F5,$K5,$P5)&gt;0,O4+SUM(L5:N5),"")</f>
        <v>59000</v>
      </c>
      <c r="P5" s="8" t="s">
        <v>201</v>
      </c>
      <c r="Q5" s="9">
        <v>-12000</v>
      </c>
      <c r="R5" s="9"/>
      <c r="S5" s="48">
        <v>0</v>
      </c>
      <c r="T5" s="21">
        <f t="shared" ref="T5:T30" si="4">IF(COUNTA($F5,$K5,$P5)&gt;0,T4+SUM(Q5:S5),"")</f>
        <v>18500</v>
      </c>
      <c r="U5" s="53">
        <f>IF($J5="","",ROUND(($J5-$J$3)/1000,1)+(_xlfn.RANK.AVG($J5,($J5,$O5,$T5),1)-2)*10)</f>
        <v>-7.5</v>
      </c>
      <c r="V5" s="54">
        <f>IF($O5="","",ROUND(($O5-$O$3)/1000,1)+(_xlfn.RANK.AVG($O5,($J5,$O5,$T5),1)-2)*10)</f>
        <v>34</v>
      </c>
      <c r="W5" s="55">
        <f>IF($T5="","",ROUND(($T5-$T$3)/1000,1)+(_xlfn.RANK.AVG($T5,($J5,$O5,$T5),1)-2)*10)</f>
        <v>-26.5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40</v>
      </c>
      <c r="AZ5" s="40" t="s">
        <v>203</v>
      </c>
      <c r="BA5" s="41" t="s">
        <v>204</v>
      </c>
      <c r="BB5" s="41" t="s">
        <v>84</v>
      </c>
      <c r="BC5" s="41" t="s">
        <v>86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だいち</v>
      </c>
      <c r="F6" s="8" t="s">
        <v>197</v>
      </c>
      <c r="G6" s="9">
        <v>-12000</v>
      </c>
      <c r="H6" s="9"/>
      <c r="I6" s="48">
        <v>-500</v>
      </c>
      <c r="J6" s="21">
        <f t="shared" si="2"/>
        <v>15000</v>
      </c>
      <c r="K6" s="8" t="s">
        <v>198</v>
      </c>
      <c r="L6" s="9">
        <v>24000</v>
      </c>
      <c r="M6" s="9"/>
      <c r="N6" s="48">
        <v>1000</v>
      </c>
      <c r="O6" s="21">
        <f t="shared" si="3"/>
        <v>84000</v>
      </c>
      <c r="P6" s="8" t="s">
        <v>197</v>
      </c>
      <c r="Q6" s="9">
        <v>-12000</v>
      </c>
      <c r="R6" s="9"/>
      <c r="S6" s="48">
        <v>-500</v>
      </c>
      <c r="T6" s="21">
        <f t="shared" si="4"/>
        <v>6000</v>
      </c>
      <c r="U6" s="53">
        <f>IF($J6="","",ROUND(($J6-$J$3)/1000,1)+(_xlfn.RANK.AVG($J6,($J6,$O6,$T6),1)-2)*10)</f>
        <v>-20</v>
      </c>
      <c r="V6" s="54">
        <f>IF($O6="","",ROUND(($O6-$O$3)/1000,1)+(_xlfn.RANK.AVG($O6,($J6,$O6,$T6),1)-2)*10)</f>
        <v>59</v>
      </c>
      <c r="W6" s="55">
        <f>IF($T6="","",ROUND(($T6-$T$3)/1000,1)+(_xlfn.RANK.AVG($T6,($J6,$O6,$T6),1)-2)*10)</f>
        <v>-39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8</v>
      </c>
      <c r="AY6" s="30" t="s">
        <v>199</v>
      </c>
      <c r="AZ6" s="40" t="s">
        <v>203</v>
      </c>
      <c r="BA6" s="41" t="s">
        <v>82</v>
      </c>
      <c r="BB6" s="41" t="s">
        <v>204</v>
      </c>
      <c r="BC6" s="41" t="s">
        <v>83</v>
      </c>
      <c r="BD6" s="41" t="s">
        <v>200</v>
      </c>
      <c r="BE6" s="41" t="s">
        <v>200</v>
      </c>
      <c r="BF6" s="41" t="s">
        <v>80</v>
      </c>
      <c r="BG6" s="41" t="s">
        <v>80</v>
      </c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tr">
        <f>IF($K$1="","",$K$1)</f>
        <v>だいち</v>
      </c>
      <c r="F7" s="8"/>
      <c r="G7" s="9"/>
      <c r="H7" s="9"/>
      <c r="I7" s="48"/>
      <c r="J7" s="21">
        <f t="shared" si="2"/>
        <v>15000</v>
      </c>
      <c r="K7" s="8" t="s">
        <v>202</v>
      </c>
      <c r="L7" s="9">
        <v>12000</v>
      </c>
      <c r="M7" s="9"/>
      <c r="N7" s="48">
        <v>2000</v>
      </c>
      <c r="O7" s="21">
        <f t="shared" si="3"/>
        <v>98000</v>
      </c>
      <c r="P7" s="8" t="s">
        <v>201</v>
      </c>
      <c r="Q7" s="9">
        <v>-12000</v>
      </c>
      <c r="R7" s="9"/>
      <c r="S7" s="48">
        <v>-2000</v>
      </c>
      <c r="T7" s="21">
        <f t="shared" si="4"/>
        <v>-8000</v>
      </c>
      <c r="U7" s="53">
        <f>IF($J7="","",ROUND(($J7-$J$3)/1000,1)+(_xlfn.RANK.AVG($J7,($J7,$O7,$T7),1)-2)*10)</f>
        <v>-20</v>
      </c>
      <c r="V7" s="54">
        <f>IF($O7="","",ROUND(($O7-$O$3)/1000,1)+(_xlfn.RANK.AVG($O7,($J7,$O7,$T7),1)-2)*10)</f>
        <v>73</v>
      </c>
      <c r="W7" s="55">
        <f>IF($T7="","",ROUND(($T7-$T$3)/1000,1)+(_xlfn.RANK.AVG($T7,($J7,$O7,$T7),1)-2)*10)</f>
        <v>-53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5</v>
      </c>
      <c r="AY7" s="30" t="s">
        <v>199</v>
      </c>
      <c r="AZ7" s="40" t="s">
        <v>86</v>
      </c>
      <c r="BA7" s="41" t="s">
        <v>79</v>
      </c>
      <c r="BB7" s="41" t="s">
        <v>79</v>
      </c>
      <c r="BC7" s="41" t="s">
        <v>79</v>
      </c>
      <c r="BD7" s="41" t="s">
        <v>200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F7414553-74A6-4220-BDF6-BE990158A48B}">
      <formula1>$U$2:$W$2</formula1>
    </dataValidation>
    <dataValidation type="list" showInputMessage="1" showErrorMessage="1" sqref="K4:K30 P4:P30 F4:F30" xr:uid="{B83CCD27-8F90-4258-8550-6DFFBA8DC1DA}">
      <formula1>"ロン,ツモ,放銃,ツモ支払,流局,チョンボ"</formula1>
    </dataValidation>
    <dataValidation type="list" allowBlank="1" showInputMessage="1" sqref="F1:T1" xr:uid="{DFE929DD-BE46-43F7-907C-B202207209B8}">
      <formula1>"れんたろう,ともき,だいち,りくと,まっつん,たかの,のり,ただ,"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6AFC4-5B03-43D0-A6F6-CE145C0A705B}">
  <sheetPr codeName="Sheet17">
    <pageSetUpPr fitToPage="1"/>
  </sheetPr>
  <dimension ref="A1:CI30"/>
  <sheetViews>
    <sheetView tabSelected="1" zoomScaleNormal="100" workbookViewId="0">
      <selection activeCell="J12" sqref="J1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211</v>
      </c>
      <c r="G1" s="79"/>
      <c r="H1" s="79"/>
      <c r="I1" s="80"/>
      <c r="J1" s="81"/>
      <c r="K1" s="78" t="s">
        <v>212</v>
      </c>
      <c r="L1" s="79"/>
      <c r="M1" s="79"/>
      <c r="N1" s="80"/>
      <c r="O1" s="81"/>
      <c r="P1" s="78" t="s">
        <v>213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ただ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りくと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5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ただ</v>
      </c>
      <c r="V2" s="75" t="str">
        <f>$K$1</f>
        <v>りくと</v>
      </c>
      <c r="W2" s="16" t="str">
        <f>$P$1</f>
        <v>だいち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ただ</v>
      </c>
      <c r="F4" s="8" t="s">
        <v>206</v>
      </c>
      <c r="G4" s="9">
        <v>1500</v>
      </c>
      <c r="H4" s="9"/>
      <c r="I4" s="48"/>
      <c r="J4" s="21">
        <f>IF(COUNTA($F4,$K4,$P4)&gt;0,J3+SUM(G4:I4),"")</f>
        <v>36500</v>
      </c>
      <c r="K4" s="8" t="s">
        <v>206</v>
      </c>
      <c r="L4" s="9">
        <v>1500</v>
      </c>
      <c r="M4" s="9">
        <v>-1000</v>
      </c>
      <c r="N4" s="48"/>
      <c r="O4" s="21">
        <f>IF(COUNTA($F4,$K4,$P4)&gt;0,O3+SUM(L4:N4),"")</f>
        <v>35500</v>
      </c>
      <c r="P4" s="8" t="s">
        <v>206</v>
      </c>
      <c r="Q4" s="9">
        <v>-3000</v>
      </c>
      <c r="R4" s="9"/>
      <c r="S4" s="48"/>
      <c r="T4" s="21">
        <f>IF(COUNTA($F4,$K4,$P4)&gt;0,T3+SUM(Q4:S4),"")</f>
        <v>32000</v>
      </c>
      <c r="U4" s="53">
        <f>IF($J4="","",ROUND(($J4-$J$3)/1000,1)+(_xlfn.RANK.AVG($J4,($J4,$O4,$T4),1)-2)*10)</f>
        <v>11.5</v>
      </c>
      <c r="V4" s="54">
        <f>IF($O4="","",ROUND(($O4-$O$3)/1000,1)+(_xlfn.RANK.AVG($O4,($J4,$O4,$T4),1)-2)*10)</f>
        <v>0.5</v>
      </c>
      <c r="W4" s="55">
        <f>IF($T4="","",ROUND(($T4-$T$3)/1000,1)+(_xlfn.RANK.AVG($T4,($J4,$O4,$T4),1)-2)*10)</f>
        <v>-13</v>
      </c>
      <c r="Y4" s="8" t="s">
        <v>207</v>
      </c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207</v>
      </c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205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tr">
        <f>IF($F$1="","",$F$1)</f>
        <v>ただ</v>
      </c>
      <c r="F5" s="8" t="s">
        <v>202</v>
      </c>
      <c r="G5" s="9">
        <v>3900</v>
      </c>
      <c r="H5" s="9">
        <v>2000</v>
      </c>
      <c r="I5" s="48">
        <v>1000</v>
      </c>
      <c r="J5" s="21">
        <f t="shared" ref="J5:J30" si="2">IF(COUNTA($F5,$K5,$P5)&gt;0,J4+SUM(G5:I5),"")</f>
        <v>43400</v>
      </c>
      <c r="K5" s="8"/>
      <c r="L5" s="9"/>
      <c r="M5" s="9">
        <v>-1000</v>
      </c>
      <c r="N5" s="48"/>
      <c r="O5" s="21">
        <f t="shared" ref="O5:O30" si="3">IF(COUNTA($F5,$K5,$P5)&gt;0,O4+SUM(L5:N5),"")</f>
        <v>34500</v>
      </c>
      <c r="P5" s="8" t="s">
        <v>201</v>
      </c>
      <c r="Q5" s="9">
        <v>-3900</v>
      </c>
      <c r="R5" s="9"/>
      <c r="S5" s="48">
        <v>-1000</v>
      </c>
      <c r="T5" s="21">
        <f t="shared" ref="T5:T30" si="4">IF(COUNTA($F5,$K5,$P5)&gt;0,T4+SUM(Q5:S5),"")</f>
        <v>27100</v>
      </c>
      <c r="U5" s="53">
        <f>IF($J5="","",ROUND(($J5-$J$3)/1000,1)+(_xlfn.RANK.AVG($J5,($J5,$O5,$T5),1)-2)*10)</f>
        <v>18.399999999999999</v>
      </c>
      <c r="V5" s="54">
        <f>IF($O5="","",ROUND(($O5-$O$3)/1000,1)+(_xlfn.RANK.AVG($O5,($J5,$O5,$T5),1)-2)*10)</f>
        <v>-0.5</v>
      </c>
      <c r="W5" s="55">
        <f>IF($T5="","",ROUND(($T5-$T$3)/1000,1)+(_xlfn.RANK.AVG($T5,($J5,$O5,$T5),1)-2)*10)</f>
        <v>-17.899999999999999</v>
      </c>
      <c r="Y5" s="8"/>
      <c r="Z5" s="34"/>
      <c r="AA5" s="26">
        <v>1</v>
      </c>
      <c r="AB5" s="26"/>
      <c r="AC5" s="26">
        <v>2</v>
      </c>
      <c r="AD5" s="30">
        <v>40</v>
      </c>
      <c r="AE5" s="40" t="s">
        <v>203</v>
      </c>
      <c r="AF5" s="41" t="s">
        <v>204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IF($F$1="","",$F$1)</f>
        <v>ただ</v>
      </c>
      <c r="F6" s="8" t="s">
        <v>198</v>
      </c>
      <c r="G6" s="9">
        <v>36000</v>
      </c>
      <c r="H6" s="9">
        <v>1000</v>
      </c>
      <c r="I6" s="48">
        <v>2000</v>
      </c>
      <c r="J6" s="21">
        <f t="shared" si="2"/>
        <v>82400</v>
      </c>
      <c r="K6" s="8" t="s">
        <v>197</v>
      </c>
      <c r="L6" s="9">
        <v>-18000</v>
      </c>
      <c r="M6" s="9">
        <v>-1000</v>
      </c>
      <c r="N6" s="48">
        <v>-1000</v>
      </c>
      <c r="O6" s="21">
        <f t="shared" si="3"/>
        <v>14500</v>
      </c>
      <c r="P6" s="8" t="s">
        <v>197</v>
      </c>
      <c r="Q6" s="9">
        <v>-18000</v>
      </c>
      <c r="R6" s="9"/>
      <c r="S6" s="48">
        <v>-1000</v>
      </c>
      <c r="T6" s="21">
        <f t="shared" si="4"/>
        <v>8100</v>
      </c>
      <c r="U6" s="53">
        <f>IF($J6="","",ROUND(($J6-$J$3)/1000,1)+(_xlfn.RANK.AVG($J6,($J6,$O6,$T6),1)-2)*10)</f>
        <v>57.4</v>
      </c>
      <c r="V6" s="54">
        <f>IF($O6="","",ROUND(($O6-$O$3)/1000,1)+(_xlfn.RANK.AVG($O6,($J6,$O6,$T6),1)-2)*10)</f>
        <v>-20.5</v>
      </c>
      <c r="W6" s="55">
        <f>IF($T6="","",ROUND(($T6-$T$3)/1000,1)+(_xlfn.RANK.AVG($T6,($J6,$O6,$T6),1)-2)*10)</f>
        <v>-36.9</v>
      </c>
      <c r="Y6" s="8"/>
      <c r="Z6" s="34"/>
      <c r="AA6" s="26"/>
      <c r="AB6" s="26">
        <v>1</v>
      </c>
      <c r="AC6" s="26">
        <v>11</v>
      </c>
      <c r="AD6" s="30" t="s">
        <v>199</v>
      </c>
      <c r="AE6" s="40" t="s">
        <v>98</v>
      </c>
      <c r="AF6" s="41" t="s">
        <v>86</v>
      </c>
      <c r="AG6" s="41" t="s">
        <v>86</v>
      </c>
      <c r="AH6" s="41" t="s">
        <v>86</v>
      </c>
      <c r="AI6" s="41" t="s">
        <v>86</v>
      </c>
      <c r="AJ6" s="41" t="s">
        <v>79</v>
      </c>
      <c r="AK6" s="41" t="s">
        <v>79</v>
      </c>
      <c r="AL6" s="41" t="s">
        <v>79</v>
      </c>
      <c r="AM6" s="41" t="s">
        <v>104</v>
      </c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tr">
        <f>IF($F$1="","",$F$1)</f>
        <v>ただ</v>
      </c>
      <c r="F7" s="8" t="s">
        <v>198</v>
      </c>
      <c r="G7" s="9">
        <v>7800</v>
      </c>
      <c r="H7" s="9"/>
      <c r="I7" s="48">
        <v>3000</v>
      </c>
      <c r="J7" s="21">
        <f t="shared" si="2"/>
        <v>93200</v>
      </c>
      <c r="K7" s="8" t="s">
        <v>197</v>
      </c>
      <c r="L7" s="9">
        <v>-3900</v>
      </c>
      <c r="M7" s="9"/>
      <c r="N7" s="48">
        <v>-1500</v>
      </c>
      <c r="O7" s="21">
        <f t="shared" si="3"/>
        <v>9100</v>
      </c>
      <c r="P7" s="8" t="s">
        <v>197</v>
      </c>
      <c r="Q7" s="9">
        <v>-3900</v>
      </c>
      <c r="R7" s="9"/>
      <c r="S7" s="48">
        <v>-1500</v>
      </c>
      <c r="T7" s="21">
        <f t="shared" si="4"/>
        <v>2700</v>
      </c>
      <c r="U7" s="53">
        <f>IF($J7="","",ROUND(($J7-$J$3)/1000,1)+(_xlfn.RANK.AVG($J7,($J7,$O7,$T7),1)-2)*10)</f>
        <v>68.2</v>
      </c>
      <c r="V7" s="54">
        <f>IF($O7="","",ROUND(($O7-$O$3)/1000,1)+(_xlfn.RANK.AVG($O7,($J7,$O7,$T7),1)-2)*10)</f>
        <v>-25.9</v>
      </c>
      <c r="W7" s="55">
        <f>IF($T7="","",ROUND(($T7-$T$3)/1000,1)+(_xlfn.RANK.AVG($T7,($J7,$O7,$T7),1)-2)*10)</f>
        <v>-42.3</v>
      </c>
      <c r="Y7" s="8"/>
      <c r="Z7" s="34"/>
      <c r="AA7" s="26">
        <v>1</v>
      </c>
      <c r="AB7" s="26"/>
      <c r="AC7" s="26">
        <v>4</v>
      </c>
      <c r="AD7" s="30">
        <v>20</v>
      </c>
      <c r="AE7" s="40" t="s">
        <v>83</v>
      </c>
      <c r="AF7" s="41" t="s">
        <v>84</v>
      </c>
      <c r="AG7" s="41" t="s">
        <v>79</v>
      </c>
      <c r="AH7" s="41" t="s">
        <v>82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1</v>
      </c>
      <c r="C8" s="18">
        <f t="shared" si="6"/>
        <v>4</v>
      </c>
      <c r="D8" s="18">
        <f t="shared" si="1"/>
        <v>0</v>
      </c>
      <c r="E8" s="4" t="str">
        <f>IF($F$1="","",$F$1)</f>
        <v>ただ</v>
      </c>
      <c r="F8" s="8" t="s">
        <v>201</v>
      </c>
      <c r="G8" s="9">
        <v>-12000</v>
      </c>
      <c r="H8" s="9"/>
      <c r="I8" s="48">
        <v>-4000</v>
      </c>
      <c r="J8" s="21">
        <f t="shared" si="2"/>
        <v>77200</v>
      </c>
      <c r="K8" s="8"/>
      <c r="L8" s="9"/>
      <c r="M8" s="9"/>
      <c r="N8" s="48"/>
      <c r="O8" s="21">
        <f t="shared" si="3"/>
        <v>9100</v>
      </c>
      <c r="P8" s="8" t="s">
        <v>202</v>
      </c>
      <c r="Q8" s="9">
        <v>12000</v>
      </c>
      <c r="R8" s="9"/>
      <c r="S8" s="48">
        <v>4000</v>
      </c>
      <c r="T8" s="21">
        <f t="shared" si="4"/>
        <v>18700</v>
      </c>
      <c r="U8" s="53">
        <f>IF($J8="","",ROUND(($J8-$J$3)/1000,1)+(_xlfn.RANK.AVG($J8,($J8,$O8,$T8),1)-2)*10)</f>
        <v>52.2</v>
      </c>
      <c r="V8" s="54">
        <f>IF($O8="","",ROUND(($O8-$O$3)/1000,1)+(_xlfn.RANK.AVG($O8,($J8,$O8,$T8),1)-2)*10)</f>
        <v>-35.9</v>
      </c>
      <c r="W8" s="55">
        <f>IF($T8="","",ROUND(($T8-$T$3)/1000,1)+(_xlfn.RANK.AVG($T8,($J8,$O8,$T8),1)-2)*10)</f>
        <v>-16.3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7</v>
      </c>
      <c r="BT8" s="30" t="s">
        <v>199</v>
      </c>
      <c r="BU8" s="40" t="s">
        <v>86</v>
      </c>
      <c r="BV8" s="41" t="s">
        <v>79</v>
      </c>
      <c r="BW8" s="41" t="s">
        <v>79</v>
      </c>
      <c r="BX8" s="41" t="s">
        <v>79</v>
      </c>
      <c r="BY8" s="41" t="s">
        <v>79</v>
      </c>
      <c r="BZ8" s="41" t="s">
        <v>79</v>
      </c>
      <c r="CA8" s="41" t="s">
        <v>79</v>
      </c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りくと</v>
      </c>
      <c r="F9" s="8" t="s">
        <v>202</v>
      </c>
      <c r="G9" s="9">
        <v>8000</v>
      </c>
      <c r="H9" s="9"/>
      <c r="I9" s="48">
        <v>0</v>
      </c>
      <c r="J9" s="21">
        <f t="shared" si="2"/>
        <v>85200</v>
      </c>
      <c r="K9" s="8" t="s">
        <v>201</v>
      </c>
      <c r="L9" s="9">
        <v>-8000</v>
      </c>
      <c r="M9" s="9"/>
      <c r="N9" s="48">
        <v>0</v>
      </c>
      <c r="O9" s="21">
        <f t="shared" si="3"/>
        <v>1100</v>
      </c>
      <c r="P9" s="8"/>
      <c r="Q9" s="9"/>
      <c r="R9" s="9"/>
      <c r="S9" s="48"/>
      <c r="T9" s="21">
        <f t="shared" si="4"/>
        <v>18700</v>
      </c>
      <c r="U9" s="53">
        <f>IF($J9="","",ROUND(($J9-$J$3)/1000,1)+(_xlfn.RANK.AVG($J9,($J9,$O9,$T9),1)-2)*10)</f>
        <v>60.2</v>
      </c>
      <c r="V9" s="54">
        <f>IF($O9="","",ROUND(($O9-$O$3)/1000,1)+(_xlfn.RANK.AVG($O9,($J9,$O9,$T9),1)-2)*10)</f>
        <v>-43.9</v>
      </c>
      <c r="W9" s="55">
        <f>IF($T9="","",ROUND(($T9-$T$3)/1000,1)+(_xlfn.RANK.AVG($T9,($J9,$O9,$T9),1)-2)*10)</f>
        <v>-16.3</v>
      </c>
      <c r="Y9" s="8"/>
      <c r="Z9" s="34"/>
      <c r="AA9" s="26"/>
      <c r="AB9" s="26"/>
      <c r="AC9" s="26">
        <v>4</v>
      </c>
      <c r="AD9" s="30">
        <v>40</v>
      </c>
      <c r="AE9" s="40" t="s">
        <v>104</v>
      </c>
      <c r="AF9" s="41" t="s">
        <v>84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だいち</v>
      </c>
      <c r="F10" s="8" t="s">
        <v>201</v>
      </c>
      <c r="G10" s="9">
        <v>-12000</v>
      </c>
      <c r="H10" s="9"/>
      <c r="I10" s="48">
        <v>0</v>
      </c>
      <c r="J10" s="21">
        <f t="shared" si="2"/>
        <v>73200</v>
      </c>
      <c r="K10" s="8"/>
      <c r="L10" s="9"/>
      <c r="M10" s="9"/>
      <c r="N10" s="48"/>
      <c r="O10" s="21">
        <f t="shared" si="3"/>
        <v>1100</v>
      </c>
      <c r="P10" s="8" t="s">
        <v>202</v>
      </c>
      <c r="Q10" s="9">
        <v>12000</v>
      </c>
      <c r="R10" s="9"/>
      <c r="S10" s="48">
        <v>0</v>
      </c>
      <c r="T10" s="21">
        <f t="shared" si="4"/>
        <v>30700</v>
      </c>
      <c r="U10" s="53">
        <f>IF($J10="","",ROUND(($J10-$J$3)/1000,1)+(_xlfn.RANK.AVG($J10,($J10,$O10,$T10),1)-2)*10)</f>
        <v>48.2</v>
      </c>
      <c r="V10" s="54">
        <f>IF($O10="","",ROUND(($O10-$O$3)/1000,1)+(_xlfn.RANK.AVG($O10,($J10,$O10,$T10),1)-2)*10)</f>
        <v>-43.9</v>
      </c>
      <c r="W10" s="55">
        <f>IF($T10="","",ROUND(($T10-$T$3)/1000,1)+(_xlfn.RANK.AVG($T10,($J10,$O10,$T10),1)-2)*10)</f>
        <v>-4.3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4</v>
      </c>
      <c r="BT10" s="30">
        <v>40</v>
      </c>
      <c r="BU10" s="40" t="s">
        <v>203</v>
      </c>
      <c r="BV10" s="41" t="s">
        <v>85</v>
      </c>
      <c r="BW10" s="41" t="s">
        <v>82</v>
      </c>
      <c r="BX10" s="41" t="s">
        <v>80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東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tr">
        <f>IF($P$1="","",$P$1)</f>
        <v>だいち</v>
      </c>
      <c r="F11" s="8" t="s">
        <v>202</v>
      </c>
      <c r="G11" s="9">
        <v>5200</v>
      </c>
      <c r="H11" s="9"/>
      <c r="I11" s="48">
        <v>1000</v>
      </c>
      <c r="J11" s="21">
        <f t="shared" si="2"/>
        <v>79400</v>
      </c>
      <c r="K11" s="8" t="s">
        <v>201</v>
      </c>
      <c r="L11" s="9">
        <v>-5200</v>
      </c>
      <c r="M11" s="9"/>
      <c r="N11" s="48">
        <v>-1000</v>
      </c>
      <c r="O11" s="21">
        <f t="shared" si="3"/>
        <v>-5100</v>
      </c>
      <c r="P11" s="8"/>
      <c r="Q11" s="9"/>
      <c r="R11" s="9"/>
      <c r="S11" s="48"/>
      <c r="T11" s="21">
        <f t="shared" si="4"/>
        <v>30700</v>
      </c>
      <c r="U11" s="53">
        <f>IF($J11="","",ROUND(($J11-$J$3)/1000,1)+(_xlfn.RANK.AVG($J11,($J11,$O11,$T11),1)-2)*10)</f>
        <v>54.4</v>
      </c>
      <c r="V11" s="54">
        <f>IF($O11="","",ROUND(($O11-$O$3)/1000,1)+(_xlfn.RANK.AVG($O11,($J11,$O11,$T11),1)-2)*10)</f>
        <v>-50.1</v>
      </c>
      <c r="W11" s="55">
        <f>IF($T11="","",ROUND(($T11-$T$3)/1000,1)+(_xlfn.RANK.AVG($T11,($J11,$O11,$T11),1)-2)*10)</f>
        <v>-4.3</v>
      </c>
      <c r="Y11" s="8"/>
      <c r="Z11" s="34"/>
      <c r="AA11" s="26">
        <v>1</v>
      </c>
      <c r="AB11" s="26"/>
      <c r="AC11" s="26">
        <v>3</v>
      </c>
      <c r="AD11" s="30">
        <v>40</v>
      </c>
      <c r="AE11" s="40" t="s">
        <v>203</v>
      </c>
      <c r="AF11" s="41" t="s">
        <v>200</v>
      </c>
      <c r="AG11" s="41" t="s">
        <v>200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tr">
        <f>IF($F$1="","",$F$1)</f>
        <v>ただ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FDDFF746-9150-425D-8E17-43A8B72D85FF}">
      <formula1>"れんたろう,ともき,だいち,りくと,まっつん,たかの,のり,ただ,"</formula1>
    </dataValidation>
    <dataValidation type="list" showInputMessage="1" showErrorMessage="1" sqref="K4:K30 P4:P30 F4:F30" xr:uid="{8EFE58FD-CB50-4C38-8F82-F36AFB155246}">
      <formula1>"ロン,ツモ,放銃,ツモ支払,流局,チョンボ"</formula1>
    </dataValidation>
    <dataValidation type="list" allowBlank="1" showInputMessage="1" showErrorMessage="1" sqref="E4:E30" xr:uid="{A8049044-0527-46A5-B4C7-73D18BA0FC38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2020-04-09T16:03:35Z</dcterms:modified>
</cp:coreProperties>
</file>