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D79574A-3929-46AA-B9F3-EA4BC6ACBB24}" xr6:coauthVersionLast="44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2" l="1"/>
  <c r="E14" i="22"/>
  <c r="E13" i="22"/>
  <c r="E12" i="22"/>
  <c r="E11" i="22"/>
  <c r="E10" i="22"/>
  <c r="E9" i="22" l="1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 s="1"/>
  <c r="T14" i="22"/>
  <c r="O14" i="22"/>
  <c r="J14" i="22"/>
  <c r="D14" i="22"/>
  <c r="C14" i="22"/>
  <c r="B14" i="22"/>
  <c r="A14" i="22" s="1"/>
  <c r="T13" i="22"/>
  <c r="O13" i="22"/>
  <c r="J13" i="22"/>
  <c r="D13" i="22"/>
  <c r="C13" i="22"/>
  <c r="B13" i="22"/>
  <c r="A13" i="22"/>
  <c r="T12" i="22"/>
  <c r="O12" i="22"/>
  <c r="J12" i="22"/>
  <c r="D12" i="22"/>
  <c r="C12" i="22"/>
  <c r="B12" i="22"/>
  <c r="A12" i="22"/>
  <c r="D11" i="22"/>
  <c r="C11" i="22"/>
  <c r="D10" i="22"/>
  <c r="D8" i="22"/>
  <c r="J6" i="22"/>
  <c r="J7" i="22" s="1"/>
  <c r="D6" i="22"/>
  <c r="J5" i="22"/>
  <c r="C5" i="22"/>
  <c r="T4" i="22"/>
  <c r="T5" i="22" s="1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E11" i="21"/>
  <c r="E10" i="21"/>
  <c r="E9" i="21"/>
  <c r="E8" i="21"/>
  <c r="E7" i="21"/>
  <c r="E6" i="21"/>
  <c r="E5" i="21"/>
  <c r="U14" i="22" l="1"/>
  <c r="V14" i="22"/>
  <c r="W14" i="22"/>
  <c r="W13" i="22"/>
  <c r="U13" i="22"/>
  <c r="V13" i="22"/>
  <c r="U12" i="22"/>
  <c r="W12" i="22"/>
  <c r="V12" i="22"/>
  <c r="D7" i="22"/>
  <c r="T6" i="22"/>
  <c r="W5" i="22"/>
  <c r="O6" i="22"/>
  <c r="V5" i="22"/>
  <c r="U5" i="22"/>
  <c r="C9" i="22"/>
  <c r="J8" i="22"/>
  <c r="U4" i="22"/>
  <c r="C10" i="22"/>
  <c r="W4" i="22"/>
  <c r="D5" i="22"/>
  <c r="U6" i="22"/>
  <c r="C8" i="22"/>
  <c r="D9" i="22"/>
  <c r="B5" i="22"/>
  <c r="A5" i="22" s="1"/>
  <c r="C6" i="22"/>
  <c r="C7" i="22" s="1"/>
  <c r="V4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0" i="21"/>
  <c r="D9" i="21"/>
  <c r="C9" i="21"/>
  <c r="D8" i="21"/>
  <c r="C8" i="21"/>
  <c r="T6" i="21"/>
  <c r="T7" i="21" s="1"/>
  <c r="D6" i="21"/>
  <c r="T5" i="21"/>
  <c r="O5" i="21"/>
  <c r="O6" i="21" s="1"/>
  <c r="B5" i="21"/>
  <c r="A5" i="21" s="1"/>
  <c r="D5" i="21"/>
  <c r="C5" i="21"/>
  <c r="T4" i="2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E13" i="20"/>
  <c r="E12" i="20"/>
  <c r="E11" i="20"/>
  <c r="E10" i="20"/>
  <c r="E9" i="20"/>
  <c r="E8" i="20"/>
  <c r="E7" i="20"/>
  <c r="E6" i="20"/>
  <c r="J9" i="22" l="1"/>
  <c r="V6" i="22"/>
  <c r="O7" i="22"/>
  <c r="B6" i="22"/>
  <c r="T7" i="22"/>
  <c r="W6" i="22"/>
  <c r="V4" i="21"/>
  <c r="W5" i="21"/>
  <c r="J6" i="21"/>
  <c r="U5" i="21"/>
  <c r="O7" i="21"/>
  <c r="T8" i="21"/>
  <c r="W4" i="21"/>
  <c r="B6" i="21"/>
  <c r="A6" i="21" s="1"/>
  <c r="C7" i="21"/>
  <c r="U4" i="21"/>
  <c r="V5" i="21"/>
  <c r="C6" i="21"/>
  <c r="W6" i="21"/>
  <c r="D7" i="21"/>
  <c r="C10" i="21"/>
  <c r="C11" i="21" s="1"/>
  <c r="C12" i="21" s="1"/>
  <c r="D11" i="21"/>
  <c r="D12" i="21" s="1"/>
  <c r="B7" i="21"/>
  <c r="B8" i="21"/>
  <c r="B9" i="21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U13" i="20" s="1"/>
  <c r="D13" i="20"/>
  <c r="C13" i="20"/>
  <c r="B13" i="20"/>
  <c r="A13" i="20"/>
  <c r="T12" i="20"/>
  <c r="W12" i="20" s="1"/>
  <c r="O12" i="20"/>
  <c r="J12" i="20"/>
  <c r="D12" i="20"/>
  <c r="C12" i="20"/>
  <c r="B12" i="20"/>
  <c r="A12" i="20"/>
  <c r="D11" i="20"/>
  <c r="D10" i="20"/>
  <c r="C10" i="20"/>
  <c r="C11" i="20" s="1"/>
  <c r="D7" i="20"/>
  <c r="C7" i="20"/>
  <c r="O6" i="20"/>
  <c r="O7" i="20" s="1"/>
  <c r="D6" i="20"/>
  <c r="C6" i="20"/>
  <c r="O5" i="20"/>
  <c r="J5" i="20"/>
  <c r="J6" i="20" s="1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T8" i="22" l="1"/>
  <c r="W7" i="22"/>
  <c r="O8" i="22"/>
  <c r="V7" i="22"/>
  <c r="U7" i="22"/>
  <c r="B7" i="22"/>
  <c r="A6" i="22"/>
  <c r="J10" i="22"/>
  <c r="V6" i="21"/>
  <c r="B10" i="21"/>
  <c r="U6" i="21"/>
  <c r="J7" i="21"/>
  <c r="O8" i="21"/>
  <c r="A7" i="21"/>
  <c r="T9" i="21"/>
  <c r="V13" i="20"/>
  <c r="W13" i="20"/>
  <c r="U12" i="20"/>
  <c r="V12" i="20"/>
  <c r="B5" i="20"/>
  <c r="U4" i="20"/>
  <c r="B6" i="20"/>
  <c r="B7" i="20" s="1"/>
  <c r="J7" i="20"/>
  <c r="O8" i="20"/>
  <c r="A5" i="20"/>
  <c r="V4" i="20"/>
  <c r="C5" i="20"/>
  <c r="W4" i="20"/>
  <c r="D5" i="20"/>
  <c r="T5" i="20"/>
  <c r="U5" i="20" s="1"/>
  <c r="C8" i="20"/>
  <c r="C9" i="20" s="1"/>
  <c r="D9" i="20"/>
  <c r="D8" i="20"/>
  <c r="E11" i="19"/>
  <c r="E10" i="19"/>
  <c r="E9" i="19"/>
  <c r="E8" i="19"/>
  <c r="E7" i="19"/>
  <c r="E6" i="19"/>
  <c r="E5" i="19"/>
  <c r="B8" i="22" l="1"/>
  <c r="A8" i="22" s="1"/>
  <c r="O9" i="22"/>
  <c r="V8" i="22"/>
  <c r="U8" i="22"/>
  <c r="J11" i="22"/>
  <c r="A7" i="22"/>
  <c r="T9" i="22"/>
  <c r="W8" i="22"/>
  <c r="V7" i="21"/>
  <c r="A8" i="21"/>
  <c r="T10" i="21"/>
  <c r="B11" i="21"/>
  <c r="A11" i="21" s="1"/>
  <c r="V8" i="21"/>
  <c r="O9" i="21"/>
  <c r="U7" i="21"/>
  <c r="J8" i="21"/>
  <c r="W7" i="21"/>
  <c r="A10" i="21"/>
  <c r="A6" i="20"/>
  <c r="B8" i="20"/>
  <c r="J8" i="20"/>
  <c r="T6" i="20"/>
  <c r="W5" i="20"/>
  <c r="V5" i="20"/>
  <c r="O9" i="20"/>
  <c r="A7" i="20"/>
  <c r="E4" i="19"/>
  <c r="V9" i="22" l="1"/>
  <c r="O10" i="22"/>
  <c r="U9" i="22"/>
  <c r="T10" i="22"/>
  <c r="W9" i="22"/>
  <c r="B9" i="22"/>
  <c r="A9" i="21"/>
  <c r="O10" i="21"/>
  <c r="V9" i="21"/>
  <c r="T11" i="21"/>
  <c r="J9" i="21"/>
  <c r="U8" i="21"/>
  <c r="W8" i="21"/>
  <c r="B12" i="21"/>
  <c r="A8" i="20"/>
  <c r="J9" i="20"/>
  <c r="T7" i="20"/>
  <c r="W6" i="20"/>
  <c r="V6" i="20"/>
  <c r="U6" i="20"/>
  <c r="B9" i="20"/>
  <c r="O10" i="20"/>
  <c r="W3" i="19"/>
  <c r="V3" i="19"/>
  <c r="U3" i="19"/>
  <c r="B10" i="22" l="1"/>
  <c r="A9" i="22"/>
  <c r="O11" i="22"/>
  <c r="V10" i="22"/>
  <c r="U10" i="22"/>
  <c r="T11" i="22"/>
  <c r="W10" i="22"/>
  <c r="T12" i="21"/>
  <c r="A13" i="21"/>
  <c r="B13" i="21"/>
  <c r="J10" i="21"/>
  <c r="U9" i="21"/>
  <c r="W9" i="21"/>
  <c r="O11" i="21"/>
  <c r="V10" i="21"/>
  <c r="A12" i="21"/>
  <c r="O11" i="20"/>
  <c r="B10" i="20"/>
  <c r="J10" i="20"/>
  <c r="A9" i="20"/>
  <c r="A10" i="20" s="1"/>
  <c r="T8" i="20"/>
  <c r="W7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W11" i="22" l="1"/>
  <c r="B11" i="22"/>
  <c r="A11" i="22" s="1"/>
  <c r="A10" i="22"/>
  <c r="V11" i="22"/>
  <c r="U11" i="22"/>
  <c r="T13" i="21"/>
  <c r="J11" i="21"/>
  <c r="U10" i="21"/>
  <c r="W10" i="21"/>
  <c r="O12" i="21"/>
  <c r="J11" i="20"/>
  <c r="T9" i="20"/>
  <c r="W8" i="20"/>
  <c r="U8" i="20"/>
  <c r="V8" i="20"/>
  <c r="B11" i="20"/>
  <c r="A11" i="20" s="1"/>
  <c r="V11" i="19"/>
  <c r="U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2" i="21" l="1"/>
  <c r="U11" i="21"/>
  <c r="W11" i="21"/>
  <c r="V11" i="21"/>
  <c r="O13" i="21"/>
  <c r="V12" i="21"/>
  <c r="W9" i="20"/>
  <c r="T10" i="20"/>
  <c r="V9" i="20"/>
  <c r="U9" i="20"/>
  <c r="W5" i="19"/>
  <c r="V5" i="19"/>
  <c r="U5" i="19"/>
  <c r="J13" i="21" l="1"/>
  <c r="U12" i="21"/>
  <c r="W12" i="21"/>
  <c r="W10" i="20"/>
  <c r="T11" i="20"/>
  <c r="V10" i="20"/>
  <c r="U10" i="20"/>
  <c r="U13" i="21" l="1"/>
  <c r="W13" i="21"/>
  <c r="V13" i="21"/>
  <c r="W11" i="20"/>
  <c r="V11" i="20"/>
  <c r="U11" i="20"/>
</calcChain>
</file>

<file path=xl/sharedStrings.xml><?xml version="1.0" encoding="utf-8"?>
<sst xmlns="http://schemas.openxmlformats.org/spreadsheetml/2006/main" count="899" uniqueCount="209">
  <si>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</si>
  <si>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</si>
  <si>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</si>
  <si>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</si>
  <si>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</si>
  <si>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</si>
  <si>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</si>
  <si>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</si>
  <si>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</si>
  <si>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</si>
  <si>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</si>
  <si>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</si>
  <si>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</si>
  <si>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</si>
  <si>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</si>
  <si>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</si>
  <si>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</si>
  <si>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</si>
  <si>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</si>
  <si>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</si>
  <si>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</si>
  <si>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</si>
  <si>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</si>
  <si>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</si>
  <si>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</si>
  <si>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</si>
  <si>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</si>
  <si>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</si>
  <si>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</si>
  <si>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</si>
  <si>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</si>
  <si>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</si>
  <si>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</si>
  <si>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</si>
  <si>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</si>
  <si>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</si>
  <si>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</si>
  <si>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</si>
  <si>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</si>
  <si>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</si>
  <si>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</si>
  <si>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</si>
  <si>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</si>
  <si>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</si>
  <si>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</si>
  <si>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</si>
  <si>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</si>
  <si>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</si>
  <si>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</si>
  <si>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</si>
  <si>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</si>
  <si>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</si>
  <si>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</si>
  <si>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</si>
  <si>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</si>
  <si>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</si>
  <si>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</si>
  <si>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</si>
  <si>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</si>
  <si>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</si>
  <si>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</si>
  <si>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</si>
  <si>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</si>
  <si>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</si>
  <si>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</si>
  <si>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</si>
  <si>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</si>
  <si>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</si>
  <si>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</si>
  <si>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</si>
  <si>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</si>
  <si>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</si>
  <si>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</si>
  <si>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</si>
  <si>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</si>
  <si>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</si>
  <si>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</si>
  <si>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</si>
  <si>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</si>
  <si>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</si>
  <si>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</si>
  <si>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</si>
  <si>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</si>
  <si>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</si>
  <si>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</si>
  <si>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</si>
  <si>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</si>
  <si>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</si>
  <si>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</si>
  <si>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</si>
  <si>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</si>
  <si>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</si>
  <si>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</si>
  <si>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</si>
  <si>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</si>
  <si>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</si>
  <si>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</si>
  <si>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</si>
  <si>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</si>
  <si>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</si>
  <si>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</si>
  <si>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</si>
  <si>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</si>
  <si>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</si>
  <si>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</si>
  <si>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</si>
  <si>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</si>
  <si>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</si>
  <si>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</si>
  <si>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</si>
  <si>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</si>
  <si>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</si>
  <si>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</si>
  <si>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</si>
  <si>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</si>
  <si>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</si>
  <si>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</si>
  <si>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</si>
  <si>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</si>
  <si>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</si>
  <si>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</si>
  <si>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</si>
  <si>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</si>
  <si>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</si>
  <si>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</si>
  <si>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</si>
  <si>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</si>
  <si>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</si>
  <si>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</si>
  <si>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</si>
  <si>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</si>
  <si>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</si>
  <si>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</si>
  <si>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</si>
  <si>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</si>
  <si>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</si>
  <si>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</si>
  <si>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</si>
  <si>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</si>
  <si>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</si>
  <si>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</si>
  <si>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</si>
  <si>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</si>
  <si>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</si>
  <si>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</si>
  <si>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</si>
  <si>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</si>
  <si>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</si>
  <si>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</si>
  <si>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</si>
  <si>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</si>
  <si>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</si>
  <si>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</si>
  <si>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</si>
  <si>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</si>
  <si>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</si>
  <si>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</si>
  <si>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</si>
  <si>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</si>
  <si>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</si>
  <si>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</si>
  <si>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</si>
  <si>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</si>
  <si>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</si>
  <si>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</si>
  <si>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</si>
  <si>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</si>
  <si>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</si>
  <si>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</si>
  <si>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</si>
  <si>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</si>
  <si>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</si>
  <si>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</si>
  <si>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</si>
  <si>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</si>
  <si>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</si>
  <si>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</si>
  <si>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</si>
  <si>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</si>
  <si>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</si>
  <si>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</si>
  <si>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</si>
  <si>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</si>
  <si>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</si>
  <si>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</si>
  <si>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</si>
  <si>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</si>
  <si>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</si>
  <si>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</si>
  <si>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</si>
  <si>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</si>
  <si>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</si>
  <si>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たかの</t>
    <phoneticPr fontId="1"/>
  </si>
  <si>
    <t>いちかわ</t>
    <phoneticPr fontId="1"/>
  </si>
  <si>
    <t>ロン</t>
  </si>
  <si>
    <t>放銃</t>
  </si>
  <si>
    <t>01</t>
  </si>
  <si>
    <t>52</t>
  </si>
  <si>
    <t>ツモ支払</t>
  </si>
  <si>
    <t>ツモ</t>
  </si>
  <si>
    <t>*</t>
  </si>
  <si>
    <t>02</t>
  </si>
  <si>
    <t>51</t>
  </si>
  <si>
    <t>N</t>
  </si>
  <si>
    <t>T</t>
  </si>
  <si>
    <t>流局</t>
    <phoneticPr fontId="1"/>
  </si>
  <si>
    <t>のり</t>
    <phoneticPr fontId="1"/>
  </si>
  <si>
    <t>だいち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</si>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</sst>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いちかわ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195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196</v>
      </c>
      <c r="BA4" s="41" t="s">
        <v>83</v>
      </c>
      <c r="BB4" s="41" t="s">
        <v>197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194</v>
      </c>
      <c r="G5" s="9">
        <v>7700</v>
      </c>
      <c r="H5" s="9"/>
      <c r="I5" s="48">
        <v>0</v>
      </c>
      <c r="J5" s="21">
        <f t="shared" ref="J5:J30" si="2">IF(COUNTA($F5,$K5,$P5)&gt;0,J4+SUM(G5:I5),"")</f>
        <v>42700</v>
      </c>
      <c r="K5" s="8" t="s">
        <v>195</v>
      </c>
      <c r="L5" s="9">
        <v>-7700</v>
      </c>
      <c r="M5" s="9"/>
      <c r="N5" s="48">
        <v>0</v>
      </c>
      <c r="O5" s="21">
        <f t="shared" ref="O5:O30" si="3">IF(COUNTA($F5,$K5,$P5)&gt;0,O4+SUM(L5:N5),"")</f>
        <v>31200</v>
      </c>
      <c r="P5" s="8"/>
      <c r="Q5" s="9"/>
      <c r="R5" s="9"/>
      <c r="S5" s="48"/>
      <c r="T5" s="21">
        <f t="shared" ref="T5:T30" si="4">IF(COUNTA($F5,$K5,$P5)&gt;0,T4+SUM(Q5:S5),"")</f>
        <v>31100</v>
      </c>
      <c r="U5" s="53">
        <f>IF($J5="","",ROUND(($J5-$J$3)/1000,1)+(_xlfn.RANK.AVG($J5,($J5,$O5,$T5),1)-2)*10)</f>
        <v>17.7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-13.9</v>
      </c>
      <c r="Y5" s="8"/>
      <c r="Z5" s="34"/>
      <c r="AA5" s="26"/>
      <c r="AB5" s="26"/>
      <c r="AC5" s="26">
        <v>4</v>
      </c>
      <c r="AD5" s="30">
        <v>30</v>
      </c>
      <c r="AE5" s="40" t="s">
        <v>83</v>
      </c>
      <c r="AF5" s="41" t="s">
        <v>79</v>
      </c>
      <c r="AG5" s="41" t="s">
        <v>79</v>
      </c>
      <c r="AH5" s="41" t="s">
        <v>84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198</v>
      </c>
      <c r="G6" s="9">
        <v>-3000</v>
      </c>
      <c r="H6" s="9"/>
      <c r="I6" s="48">
        <v>0</v>
      </c>
      <c r="J6" s="21">
        <f t="shared" si="2"/>
        <v>39700</v>
      </c>
      <c r="K6" s="8" t="s">
        <v>199</v>
      </c>
      <c r="L6" s="9">
        <v>8000</v>
      </c>
      <c r="M6" s="9"/>
      <c r="N6" s="48">
        <v>0</v>
      </c>
      <c r="O6" s="21">
        <f t="shared" si="3"/>
        <v>39200</v>
      </c>
      <c r="P6" s="8" t="s">
        <v>198</v>
      </c>
      <c r="Q6" s="9">
        <v>-5000</v>
      </c>
      <c r="R6" s="9"/>
      <c r="S6" s="48">
        <v>0</v>
      </c>
      <c r="T6" s="21">
        <f t="shared" si="4"/>
        <v>26100</v>
      </c>
      <c r="U6" s="53">
        <f>IF($J6="","",ROUND(($J6-$J$3)/1000,1)+(_xlfn.RANK.AVG($J6,($J6,$O6,$T6),1)-2)*10)</f>
        <v>14.7</v>
      </c>
      <c r="V6" s="54">
        <f>IF($O6="","",ROUND(($O6-$O$3)/1000,1)+(_xlfn.RANK.AVG($O6,($J6,$O6,$T6),1)-2)*10)</f>
        <v>4.2</v>
      </c>
      <c r="W6" s="55">
        <f>IF($T6="","",ROUND(($T6-$T$3)/1000,1)+(_xlfn.RANK.AVG($T6,($J6,$O6,$T6),1)-2)*10)</f>
        <v>-18.899999999999999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196</v>
      </c>
      <c r="BA6" s="41" t="s">
        <v>82</v>
      </c>
      <c r="BB6" s="41" t="s">
        <v>201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-7500</v>
      </c>
      <c r="H7" s="9"/>
      <c r="I7" s="48">
        <v>0</v>
      </c>
      <c r="J7" s="21">
        <f t="shared" si="2"/>
        <v>32200</v>
      </c>
      <c r="K7" s="8" t="s">
        <v>199</v>
      </c>
      <c r="L7" s="9">
        <v>12000</v>
      </c>
      <c r="M7" s="9"/>
      <c r="N7" s="48">
        <v>0</v>
      </c>
      <c r="O7" s="21">
        <f t="shared" si="3"/>
        <v>51200</v>
      </c>
      <c r="P7" s="8" t="s">
        <v>198</v>
      </c>
      <c r="Q7" s="9">
        <v>-4500</v>
      </c>
      <c r="R7" s="9"/>
      <c r="S7" s="48">
        <v>0</v>
      </c>
      <c r="T7" s="21">
        <f t="shared" si="4"/>
        <v>21600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26.2</v>
      </c>
      <c r="W7" s="55">
        <f>IF($T7="","",ROUND(($T7-$T$3)/1000,1)+(_xlfn.RANK.AVG($T7,($J7,$O7,$T7),1)-2)*10)</f>
        <v>-23.4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200</v>
      </c>
      <c r="AZ7" s="40" t="s">
        <v>82</v>
      </c>
      <c r="BA7" s="41" t="s">
        <v>101</v>
      </c>
      <c r="BB7" s="41" t="s">
        <v>79</v>
      </c>
      <c r="BC7" s="41" t="s">
        <v>79</v>
      </c>
      <c r="BD7" s="41" t="s">
        <v>197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195</v>
      </c>
      <c r="G8" s="9">
        <v>-2000</v>
      </c>
      <c r="H8" s="9"/>
      <c r="I8" s="48">
        <v>0</v>
      </c>
      <c r="J8" s="21">
        <f t="shared" si="2"/>
        <v>30200</v>
      </c>
      <c r="K8" s="8" t="s">
        <v>194</v>
      </c>
      <c r="L8" s="9">
        <v>2000</v>
      </c>
      <c r="M8" s="9"/>
      <c r="N8" s="48">
        <v>0</v>
      </c>
      <c r="O8" s="21">
        <f t="shared" si="3"/>
        <v>53200</v>
      </c>
      <c r="P8" s="8"/>
      <c r="Q8" s="9"/>
      <c r="R8" s="9"/>
      <c r="S8" s="48"/>
      <c r="T8" s="21">
        <f t="shared" si="4"/>
        <v>21600</v>
      </c>
      <c r="U8" s="53">
        <f>IF($J8="","",ROUND(($J8-$J$3)/1000,1)+(_xlfn.RANK.AVG($J8,($J8,$O8,$T8),1)-2)*10)</f>
        <v>-4.8</v>
      </c>
      <c r="V8" s="54">
        <f>IF($O8="","",ROUND(($O8-$O$3)/1000,1)+(_xlfn.RANK.AVG($O8,($J8,$O8,$T8),1)-2)*10)</f>
        <v>28.2</v>
      </c>
      <c r="W8" s="55">
        <f>IF($T8="","",ROUND(($T8-$T$3)/1000,1)+(_xlfn.RANK.AVG($T8,($J8,$O8,$T8),1)-2)*10)</f>
        <v>-23.4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40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たかの</v>
      </c>
      <c r="F9" s="8" t="s">
        <v>194</v>
      </c>
      <c r="G9" s="9">
        <v>8000</v>
      </c>
      <c r="H9" s="9">
        <v>1000</v>
      </c>
      <c r="I9" s="48">
        <v>1000</v>
      </c>
      <c r="J9" s="21">
        <f t="shared" si="2"/>
        <v>40200</v>
      </c>
      <c r="K9" s="8"/>
      <c r="L9" s="9"/>
      <c r="M9" s="9"/>
      <c r="N9" s="48"/>
      <c r="O9" s="21">
        <f t="shared" si="3"/>
        <v>53200</v>
      </c>
      <c r="P9" s="8" t="s">
        <v>195</v>
      </c>
      <c r="Q9" s="9">
        <v>-8000</v>
      </c>
      <c r="R9" s="9">
        <v>-1000</v>
      </c>
      <c r="S9" s="48">
        <v>-1000</v>
      </c>
      <c r="T9" s="21">
        <f t="shared" si="4"/>
        <v>11600</v>
      </c>
      <c r="U9" s="53">
        <f>IF($J9="","",ROUND(($J9-$J$3)/1000,1)+(_xlfn.RANK.AVG($J9,($J9,$O9,$T9),1)-2)*10)</f>
        <v>5.2</v>
      </c>
      <c r="V9" s="54">
        <f>IF($O9="","",ROUND(($O9-$O$3)/1000,1)+(_xlfn.RANK.AVG($O9,($J9,$O9,$T9),1)-2)*10)</f>
        <v>28.2</v>
      </c>
      <c r="W9" s="55">
        <f>IF($T9="","",ROUND(($T9-$T$3)/1000,1)+(_xlfn.RANK.AVG($T9,($J9,$O9,$T9),1)-2)*10)</f>
        <v>-33.4</v>
      </c>
      <c r="Y9" s="8"/>
      <c r="Z9" s="34"/>
      <c r="AA9" s="26">
        <v>1</v>
      </c>
      <c r="AB9" s="26"/>
      <c r="AC9" s="26">
        <v>5</v>
      </c>
      <c r="AD9" s="30" t="s">
        <v>200</v>
      </c>
      <c r="AE9" s="40" t="s">
        <v>202</v>
      </c>
      <c r="AF9" s="41" t="s">
        <v>83</v>
      </c>
      <c r="AG9" s="41" t="s">
        <v>197</v>
      </c>
      <c r="AH9" s="41" t="s">
        <v>84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198</v>
      </c>
      <c r="G10" s="9">
        <v>-9000</v>
      </c>
      <c r="H10" s="9"/>
      <c r="I10" s="48">
        <v>0</v>
      </c>
      <c r="J10" s="21">
        <f t="shared" si="2"/>
        <v>31200</v>
      </c>
      <c r="K10" s="8" t="s">
        <v>198</v>
      </c>
      <c r="L10" s="9">
        <v>-9000</v>
      </c>
      <c r="M10" s="9"/>
      <c r="N10" s="48">
        <v>0</v>
      </c>
      <c r="O10" s="21">
        <f t="shared" si="3"/>
        <v>44200</v>
      </c>
      <c r="P10" s="8" t="s">
        <v>199</v>
      </c>
      <c r="Q10" s="9">
        <v>18000</v>
      </c>
      <c r="R10" s="9"/>
      <c r="S10" s="48">
        <v>0</v>
      </c>
      <c r="T10" s="21">
        <f t="shared" si="4"/>
        <v>29600</v>
      </c>
      <c r="U10" s="53">
        <f>IF($J10="","",ROUND(($J10-$J$3)/1000,1)+(_xlfn.RANK.AVG($J10,($J10,$O10,$T10),1)-2)*10)</f>
        <v>-3.8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-15.4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196</v>
      </c>
      <c r="BV10" s="41" t="s">
        <v>82</v>
      </c>
      <c r="BW10" s="41" t="s">
        <v>104</v>
      </c>
      <c r="BX10" s="41" t="s">
        <v>86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いちかわ</v>
      </c>
      <c r="F11" s="8" t="s">
        <v>199</v>
      </c>
      <c r="G11" s="9">
        <v>4000</v>
      </c>
      <c r="H11" s="9"/>
      <c r="I11" s="48">
        <v>1000</v>
      </c>
      <c r="J11" s="21">
        <f t="shared" si="2"/>
        <v>36200</v>
      </c>
      <c r="K11" s="8" t="s">
        <v>198</v>
      </c>
      <c r="L11" s="9">
        <v>-1500</v>
      </c>
      <c r="M11" s="9"/>
      <c r="N11" s="48">
        <v>-500</v>
      </c>
      <c r="O11" s="21">
        <f t="shared" si="3"/>
        <v>42200</v>
      </c>
      <c r="P11" s="8" t="s">
        <v>198</v>
      </c>
      <c r="Q11" s="9">
        <v>-2500</v>
      </c>
      <c r="R11" s="9"/>
      <c r="S11" s="48">
        <v>-500</v>
      </c>
      <c r="T11" s="21">
        <f t="shared" si="4"/>
        <v>26600</v>
      </c>
      <c r="U11" s="53">
        <f>IF($J11="","",ROUND(($J11-$J$3)/1000,1)+(_xlfn.RANK.AVG($J11,($J11,$O11,$T11),1)-2)*10)</f>
        <v>1.2</v>
      </c>
      <c r="V11" s="54">
        <f>IF($O11="","",ROUND(($O11-$O$3)/1000,1)+(_xlfn.RANK.AVG($O11,($J11,$O11,$T11),1)-2)*10)</f>
        <v>17.2</v>
      </c>
      <c r="W11" s="55">
        <f>IF($T11="","",ROUND(($T11-$T$3)/1000,1)+(_xlfn.RANK.AVG($T11,($J11,$O11,$T11),1)-2)*10)</f>
        <v>-18.399999999999999</v>
      </c>
      <c r="Y11" s="8"/>
      <c r="Z11" s="34"/>
      <c r="AA11" s="26"/>
      <c r="AB11" s="26"/>
      <c r="AC11" s="26">
        <v>3</v>
      </c>
      <c r="AD11" s="30">
        <v>30</v>
      </c>
      <c r="AE11" s="40" t="s">
        <v>82</v>
      </c>
      <c r="AF11" s="41" t="s">
        <v>86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E5297EB-23E2-48B1-9DB1-415D4FD490CE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07501-F608-40B8-9608-CAF5DAF080A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いちかわ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たかの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199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198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198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IF($J4="","",ROUND(($J4-$J$3)/1000,1)+(_xlfn.RANK.AVG($J4,($J4,$O4,$T4),1)-2)*10)</f>
        <v>19.600000000000001</v>
      </c>
      <c r="V4" s="54">
        <f>IF($O4="","",ROUND(($O4-$O$3)/1000,1)+(_xlfn.RANK.AVG($O4,($J4,$O4,$T4),1)-2)*10)</f>
        <v>-9.8000000000000007</v>
      </c>
      <c r="W4" s="55">
        <f>IF($T4="","",ROUND(($T4-$T$3)/1000,1)+(_xlfn.RANK.AVG($T4,($J4,$O4,$T4),1)-2)*10)</f>
        <v>-9.8000000000000007</v>
      </c>
      <c r="Y4" s="8"/>
      <c r="Z4" s="34"/>
      <c r="AA4" s="26">
        <v>1</v>
      </c>
      <c r="AB4" s="26"/>
      <c r="AC4" s="26">
        <v>4</v>
      </c>
      <c r="AD4" s="30">
        <v>25</v>
      </c>
      <c r="AE4" s="40" t="s">
        <v>196</v>
      </c>
      <c r="AF4" s="41" t="s">
        <v>82</v>
      </c>
      <c r="AG4" s="41" t="s">
        <v>101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いちかわ</v>
      </c>
      <c r="F5" s="8" t="s">
        <v>195</v>
      </c>
      <c r="G5" s="9">
        <v>-8000</v>
      </c>
      <c r="H5" s="9"/>
      <c r="I5" s="48">
        <v>-1000</v>
      </c>
      <c r="J5" s="21">
        <f t="shared" ref="J5:J30" si="2">IF(COUNTA($F5,$K5,$P5)&gt;0,J4+SUM(G5:I5),"")</f>
        <v>35600</v>
      </c>
      <c r="K5" s="8" t="s">
        <v>194</v>
      </c>
      <c r="L5" s="9">
        <v>8000</v>
      </c>
      <c r="M5" s="9"/>
      <c r="N5" s="48">
        <v>1000</v>
      </c>
      <c r="O5" s="21">
        <f t="shared" ref="O5:O30" si="3">IF(COUNTA($F5,$K5,$P5)&gt;0,O4+SUM(L5:N5),"")</f>
        <v>39200</v>
      </c>
      <c r="P5" s="8"/>
      <c r="Q5" s="9"/>
      <c r="R5" s="9"/>
      <c r="S5" s="48"/>
      <c r="T5" s="21">
        <f t="shared" ref="T5:T30" si="4">IF(COUNTA($F5,$K5,$P5)&gt;0,T4+SUM(Q5:S5),"")</f>
        <v>30200</v>
      </c>
      <c r="U5" s="53">
        <f>IF($J5="","",ROUND(($J5-$J$3)/1000,1)+(_xlfn.RANK.AVG($J5,($J5,$O5,$T5),1)-2)*10)</f>
        <v>0.6</v>
      </c>
      <c r="V5" s="54">
        <f>IF($O5="","",ROUND(($O5-$O$3)/1000,1)+(_xlfn.RANK.AVG($O5,($J5,$O5,$T5),1)-2)*10)</f>
        <v>14.2</v>
      </c>
      <c r="W5" s="55">
        <f>IF($T5="","",ROUND(($T5-$T$3)/1000,1)+(_xlfn.RANK.AVG($T5,($J5,$O5,$T5),1)-2)*10)</f>
        <v>-14.8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200</v>
      </c>
      <c r="AZ5" s="40" t="s">
        <v>104</v>
      </c>
      <c r="BA5" s="41" t="s">
        <v>86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/>
      <c r="G6" s="9"/>
      <c r="H6" s="9"/>
      <c r="I6" s="48"/>
      <c r="J6" s="21">
        <f t="shared" si="2"/>
        <v>35600</v>
      </c>
      <c r="K6" s="8" t="s">
        <v>195</v>
      </c>
      <c r="L6" s="9">
        <v>-7700</v>
      </c>
      <c r="M6" s="9"/>
      <c r="N6" s="48">
        <v>0</v>
      </c>
      <c r="O6" s="21">
        <f t="shared" si="3"/>
        <v>31500</v>
      </c>
      <c r="P6" s="8" t="s">
        <v>194</v>
      </c>
      <c r="Q6" s="9">
        <v>7700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IF($J6="","",ROUND(($J6-$J$3)/1000,1)+(_xlfn.RANK.AVG($J6,($J6,$O6,$T6),1)-2)*10)</f>
        <v>0.6</v>
      </c>
      <c r="V6" s="54">
        <f>IF($O6="","",ROUND(($O6-$O$3)/1000,1)+(_xlfn.RANK.AVG($O6,($J6,$O6,$T6),1)-2)*10)</f>
        <v>-13.5</v>
      </c>
      <c r="W6" s="55">
        <f>IF($T6="","",ROUND(($T6-$T$3)/1000,1)+(_xlfn.RANK.AVG($T6,($J6,$O6,$T6),1)-2)*10)</f>
        <v>12.9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196</v>
      </c>
      <c r="BV6" s="41" t="s">
        <v>83</v>
      </c>
      <c r="BW6" s="41" t="s">
        <v>79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199</v>
      </c>
      <c r="G7" s="9">
        <v>12000</v>
      </c>
      <c r="H7" s="9"/>
      <c r="I7" s="48">
        <v>0</v>
      </c>
      <c r="J7" s="21">
        <f t="shared" si="2"/>
        <v>47600</v>
      </c>
      <c r="K7" s="8" t="s">
        <v>198</v>
      </c>
      <c r="L7" s="9">
        <v>-4500</v>
      </c>
      <c r="M7" s="9"/>
      <c r="N7" s="48">
        <v>0</v>
      </c>
      <c r="O7" s="21">
        <f t="shared" si="3"/>
        <v>27000</v>
      </c>
      <c r="P7" s="8" t="s">
        <v>198</v>
      </c>
      <c r="Q7" s="9">
        <v>-7500</v>
      </c>
      <c r="R7" s="9"/>
      <c r="S7" s="48">
        <v>0</v>
      </c>
      <c r="T7" s="21">
        <f t="shared" si="4"/>
        <v>30400</v>
      </c>
      <c r="U7" s="53">
        <f>IF($J7="","",ROUND(($J7-$J$3)/1000,1)+(_xlfn.RANK.AVG($J7,($J7,$O7,$T7),1)-2)*10)</f>
        <v>22.6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-4.5999999999999996</v>
      </c>
      <c r="Y7" s="8"/>
      <c r="Z7" s="34"/>
      <c r="AA7" s="26">
        <v>1</v>
      </c>
      <c r="AB7" s="26"/>
      <c r="AC7" s="26">
        <v>6</v>
      </c>
      <c r="AD7" s="30" t="s">
        <v>200</v>
      </c>
      <c r="AE7" s="40" t="s">
        <v>196</v>
      </c>
      <c r="AF7" s="41" t="s">
        <v>82</v>
      </c>
      <c r="AG7" s="41" t="s">
        <v>83</v>
      </c>
      <c r="AH7" s="41" t="s">
        <v>79</v>
      </c>
      <c r="AI7" s="41" t="s">
        <v>85</v>
      </c>
      <c r="AJ7" s="41" t="s">
        <v>197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いちかわ</v>
      </c>
      <c r="F8" s="8"/>
      <c r="G8" s="9"/>
      <c r="H8" s="9"/>
      <c r="I8" s="48"/>
      <c r="J8" s="21">
        <f t="shared" si="2"/>
        <v>47600</v>
      </c>
      <c r="K8" s="8" t="s">
        <v>194</v>
      </c>
      <c r="L8" s="9">
        <v>7700</v>
      </c>
      <c r="M8" s="9"/>
      <c r="N8" s="48">
        <v>0</v>
      </c>
      <c r="O8" s="21">
        <f t="shared" si="3"/>
        <v>34700</v>
      </c>
      <c r="P8" s="8" t="s">
        <v>195</v>
      </c>
      <c r="Q8" s="9">
        <v>-7700</v>
      </c>
      <c r="R8" s="9"/>
      <c r="S8" s="48">
        <v>0</v>
      </c>
      <c r="T8" s="21">
        <f t="shared" si="4"/>
        <v>22700</v>
      </c>
      <c r="U8" s="53">
        <f>IF($J8="","",ROUND(($J8-$J$3)/1000,1)+(_xlfn.RANK.AVG($J8,($J8,$O8,$T8),1)-2)*10)</f>
        <v>22.6</v>
      </c>
      <c r="V8" s="54">
        <f>IF($O8="","",ROUND(($O8-$O$3)/1000,1)+(_xlfn.RANK.AVG($O8,($J8,$O8,$T8),1)-2)*10)</f>
        <v>-0.3</v>
      </c>
      <c r="W8" s="55">
        <f>IF($T8="","",ROUND(($T8-$T$3)/1000,1)+(_xlfn.RANK.AVG($T8,($J8,$O8,$T8),1)-2)*10)</f>
        <v>-22.3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205</v>
      </c>
      <c r="G9" s="9">
        <v>-1500</v>
      </c>
      <c r="H9" s="9"/>
      <c r="I9" s="48"/>
      <c r="J9" s="21">
        <f t="shared" si="2"/>
        <v>46100</v>
      </c>
      <c r="K9" s="8" t="s">
        <v>205</v>
      </c>
      <c r="L9" s="9">
        <v>3000</v>
      </c>
      <c r="M9" s="9"/>
      <c r="N9" s="48"/>
      <c r="O9" s="21">
        <f t="shared" si="3"/>
        <v>37700</v>
      </c>
      <c r="P9" s="8" t="s">
        <v>205</v>
      </c>
      <c r="Q9" s="9">
        <v>-1500</v>
      </c>
      <c r="R9" s="9"/>
      <c r="S9" s="48"/>
      <c r="T9" s="21">
        <f t="shared" si="4"/>
        <v>21200</v>
      </c>
      <c r="U9" s="53">
        <f>IF($J9="","",ROUND(($J9-$J$3)/1000,1)+(_xlfn.RANK.AVG($J9,($J9,$O9,$T9),1)-2)*10)</f>
        <v>21.1</v>
      </c>
      <c r="V9" s="54">
        <f>IF($O9="","",ROUND(($O9-$O$3)/1000,1)+(_xlfn.RANK.AVG($O9,($J9,$O9,$T9),1)-2)*10)</f>
        <v>2.7</v>
      </c>
      <c r="W9" s="55">
        <f>IF($T9="","",ROUND(($T9-$T$3)/1000,1)+(_xlfn.RANK.AVG($T9,($J9,$O9,$T9),1)-2)*10)</f>
        <v>-23.8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/>
      <c r="G10" s="9"/>
      <c r="H10" s="9"/>
      <c r="I10" s="48"/>
      <c r="J10" s="21">
        <f t="shared" si="2"/>
        <v>46100</v>
      </c>
      <c r="K10" s="8" t="s">
        <v>194</v>
      </c>
      <c r="L10" s="9">
        <v>2900</v>
      </c>
      <c r="M10" s="9"/>
      <c r="N10" s="48">
        <v>1000</v>
      </c>
      <c r="O10" s="21">
        <f t="shared" si="3"/>
        <v>41600</v>
      </c>
      <c r="P10" s="8" t="s">
        <v>195</v>
      </c>
      <c r="Q10" s="9">
        <v>-2900</v>
      </c>
      <c r="R10" s="9"/>
      <c r="S10" s="48">
        <v>-1000</v>
      </c>
      <c r="T10" s="21">
        <f t="shared" si="4"/>
        <v>17300</v>
      </c>
      <c r="U10" s="53">
        <f>IF($J10="","",ROUND(($J10-$J$3)/1000,1)+(_xlfn.RANK.AVG($J10,($J10,$O10,$T10),1)-2)*10)</f>
        <v>21.1</v>
      </c>
      <c r="V10" s="54">
        <f>IF($O10="","",ROUND(($O10-$O$3)/1000,1)+(_xlfn.RANK.AVG($O10,($J10,$O10,$T10),1)-2)*10)</f>
        <v>6.6</v>
      </c>
      <c r="W10" s="55">
        <f>IF($T10="","",ROUND(($T10-$T$3)/1000,1)+(_xlfn.RANK.AVG($T10,($J10,$O10,$T10),1)-2)*10)</f>
        <v>-27.7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たかの</v>
      </c>
      <c r="F11" s="8" t="s">
        <v>205</v>
      </c>
      <c r="G11" s="9">
        <v>-1500</v>
      </c>
      <c r="H11" s="9"/>
      <c r="I11" s="48"/>
      <c r="J11" s="21">
        <f t="shared" si="2"/>
        <v>44600</v>
      </c>
      <c r="K11" s="8" t="s">
        <v>205</v>
      </c>
      <c r="L11" s="9">
        <v>3000</v>
      </c>
      <c r="M11" s="9"/>
      <c r="N11" s="48"/>
      <c r="O11" s="21">
        <f t="shared" si="3"/>
        <v>44600</v>
      </c>
      <c r="P11" s="8" t="s">
        <v>205</v>
      </c>
      <c r="Q11" s="9">
        <v>-1500</v>
      </c>
      <c r="R11" s="9"/>
      <c r="S11" s="48"/>
      <c r="T11" s="21">
        <f t="shared" si="4"/>
        <v>15800</v>
      </c>
      <c r="U11" s="53">
        <f>IF($J11="","",ROUND(($J11-$J$3)/1000,1)+(_xlfn.RANK.AVG($J11,($J11,$O11,$T11),1)-2)*10)</f>
        <v>14.6</v>
      </c>
      <c r="V11" s="54">
        <f>IF($O11="","",ROUND(($O11-$O$3)/1000,1)+(_xlfn.RANK.AVG($O11,($J11,$O11,$T11),1)-2)*10)</f>
        <v>14.6</v>
      </c>
      <c r="W11" s="55">
        <f>IF($T11="","",ROUND(($T11-$T$3)/1000,1)+(_xlfn.RANK.AVG($T11,($J11,$O11,$T11),1)-2)*10)</f>
        <v>-29.2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tr">
        <f>IF($K$1="","",$K$1)</f>
        <v>たかの</v>
      </c>
      <c r="F12" s="8" t="s">
        <v>198</v>
      </c>
      <c r="G12" s="9">
        <v>-4500</v>
      </c>
      <c r="H12" s="9"/>
      <c r="I12" s="48">
        <v>-1500</v>
      </c>
      <c r="J12" s="21">
        <f t="shared" si="2"/>
        <v>38600</v>
      </c>
      <c r="K12" s="8" t="s">
        <v>198</v>
      </c>
      <c r="L12" s="9">
        <v>-7500</v>
      </c>
      <c r="M12" s="9"/>
      <c r="N12" s="48">
        <v>-1500</v>
      </c>
      <c r="O12" s="21">
        <f t="shared" si="3"/>
        <v>35600</v>
      </c>
      <c r="P12" s="8" t="s">
        <v>199</v>
      </c>
      <c r="Q12" s="9">
        <v>12000</v>
      </c>
      <c r="R12" s="9"/>
      <c r="S12" s="48">
        <v>3000</v>
      </c>
      <c r="T12" s="21">
        <f t="shared" si="4"/>
        <v>30800</v>
      </c>
      <c r="U12" s="53">
        <f>IF($J12="","",ROUND(($J12-$J$3)/1000,1)+(_xlfn.RANK.AVG($J12,($J12,$O12,$T12),1)-2)*10)</f>
        <v>13.6</v>
      </c>
      <c r="V12" s="54">
        <f>IF($O12="","",ROUND(($O12-$O$3)/1000,1)+(_xlfn.RANK.AVG($O12,($J12,$O12,$T12),1)-2)*10)</f>
        <v>0.6</v>
      </c>
      <c r="W12" s="55">
        <f>IF($T12="","",ROUND(($T12-$T$3)/1000,1)+(_xlfn.RANK.AVG($T12,($J12,$O12,$T12),1)-2)*10)</f>
        <v>-14.2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200</v>
      </c>
      <c r="BU12" s="40" t="s">
        <v>86</v>
      </c>
      <c r="BV12" s="41" t="s">
        <v>86</v>
      </c>
      <c r="BW12" s="41" t="s">
        <v>86</v>
      </c>
      <c r="BX12" s="41" t="s">
        <v>86</v>
      </c>
      <c r="BY12" s="41" t="s">
        <v>104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194</v>
      </c>
      <c r="G13" s="9">
        <v>1000</v>
      </c>
      <c r="H13" s="9"/>
      <c r="I13" s="48">
        <v>0</v>
      </c>
      <c r="J13" s="21">
        <f t="shared" si="2"/>
        <v>39600</v>
      </c>
      <c r="K13" s="8"/>
      <c r="L13" s="9"/>
      <c r="M13" s="9"/>
      <c r="N13" s="48"/>
      <c r="O13" s="21">
        <f t="shared" si="3"/>
        <v>35600</v>
      </c>
      <c r="P13" s="8" t="s">
        <v>195</v>
      </c>
      <c r="Q13" s="9">
        <v>-1000</v>
      </c>
      <c r="R13" s="9"/>
      <c r="S13" s="48">
        <v>0</v>
      </c>
      <c r="T13" s="21">
        <f t="shared" si="4"/>
        <v>29800</v>
      </c>
      <c r="U13" s="53">
        <f>IF($J13="","",ROUND(($J13-$J$3)/1000,1)+(_xlfn.RANK.AVG($J13,($J13,$O13,$T13),1)-2)*10)</f>
        <v>14.6</v>
      </c>
      <c r="V13" s="54">
        <f>IF($O13="","",ROUND(($O13-$O$3)/1000,1)+(_xlfn.RANK.AVG($O13,($J13,$O13,$T13),1)-2)*10)</f>
        <v>0.6</v>
      </c>
      <c r="W13" s="55">
        <f>IF($T13="","",ROUND(($T13-$T$3)/1000,1)+(_xlfn.RANK.AVG($T13,($J13,$O13,$T13),1)-2)*10)</f>
        <v>-15.2</v>
      </c>
      <c r="Y13" s="8"/>
      <c r="Z13" s="34"/>
      <c r="AA13" s="26"/>
      <c r="AB13" s="26">
        <v>1</v>
      </c>
      <c r="AC13" s="26">
        <v>1</v>
      </c>
      <c r="AD13" s="30">
        <v>30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5F4EAEC4-A6A6-489B-8596-0A23402B2D86}">
      <formula1>"れんたろう,ともき,だいち,りくと,まっつん,たかの,のり,ただ,ぱぱ,てんちゃん,"</formula1>
    </dataValidation>
    <dataValidation type="list" showInputMessage="1" showErrorMessage="1" sqref="K4:K30 P4:P30 F4:F30" xr:uid="{3DB0E13E-1295-422A-BB7D-74A70A2ED9E7}">
      <formula1>"ロン,ツモ,放銃,ツモ支払,流局,チョンボ"</formula1>
    </dataValidation>
    <dataValidation type="list" allowBlank="1" showInputMessage="1" showErrorMessage="1" sqref="E4:E30" xr:uid="{FA151FA9-62C6-434A-BB01-A49C5A0FC83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C375A-E7C7-44D9-ABA6-C9E6671001C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 t="s">
        <v>194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14.9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83</v>
      </c>
      <c r="BW4" s="41" t="s">
        <v>197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-6000</v>
      </c>
      <c r="H5" s="9"/>
      <c r="I5" s="48">
        <v>0</v>
      </c>
      <c r="J5" s="21">
        <f t="shared" ref="J5:J30" si="2">IF(COUNTA($F5,$K5,$P5)&gt;0,J4+SUM(G5:I5),"")</f>
        <v>29000</v>
      </c>
      <c r="K5" s="8" t="s">
        <v>199</v>
      </c>
      <c r="L5" s="9">
        <v>12000</v>
      </c>
      <c r="M5" s="9"/>
      <c r="N5" s="48">
        <v>0</v>
      </c>
      <c r="O5" s="21">
        <f t="shared" ref="O5:O30" si="3">IF(COUNTA($F5,$K5,$P5)&gt;0,O4+SUM(L5:N5),"")</f>
        <v>42100</v>
      </c>
      <c r="P5" s="8" t="s">
        <v>198</v>
      </c>
      <c r="Q5" s="9">
        <v>-6000</v>
      </c>
      <c r="R5" s="9"/>
      <c r="S5" s="48">
        <v>0</v>
      </c>
      <c r="T5" s="21">
        <f t="shared" ref="T5:T30" si="4">IF(COUNTA($F5,$K5,$P5)&gt;0,T4+SUM(Q5:S5),"")</f>
        <v>33900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17.100000000000001</v>
      </c>
      <c r="W5" s="55">
        <f>IF($T5="","",ROUND(($T5-$T$3)/1000,1)+(_xlfn.RANK.AVG($T5,($J5,$O5,$T5),1)-2)*10)</f>
        <v>-1.1000000000000001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200</v>
      </c>
      <c r="AZ5" s="40" t="s">
        <v>196</v>
      </c>
      <c r="BA5" s="41" t="s">
        <v>82</v>
      </c>
      <c r="BB5" s="41" t="s">
        <v>86</v>
      </c>
      <c r="BC5" s="41" t="s">
        <v>86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208</v>
      </c>
      <c r="G6" s="9">
        <v>-1500</v>
      </c>
      <c r="H6" s="9"/>
      <c r="I6" s="48"/>
      <c r="J6" s="21">
        <f t="shared" si="2"/>
        <v>27500</v>
      </c>
      <c r="K6" s="8" t="s">
        <v>208</v>
      </c>
      <c r="L6" s="9">
        <v>-1500</v>
      </c>
      <c r="M6" s="9"/>
      <c r="N6" s="48"/>
      <c r="O6" s="21">
        <f t="shared" si="3"/>
        <v>40600</v>
      </c>
      <c r="P6" s="8" t="s">
        <v>208</v>
      </c>
      <c r="Q6" s="9">
        <v>3000</v>
      </c>
      <c r="R6" s="9">
        <v>-1000</v>
      </c>
      <c r="S6" s="48"/>
      <c r="T6" s="21">
        <f t="shared" si="4"/>
        <v>35900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15.6</v>
      </c>
      <c r="W6" s="55">
        <f>IF($T6="","",ROUND(($T6-$T$3)/1000,1)+(_xlfn.RANK.AVG($T6,($J6,$O6,$T6),1)-2)*10)</f>
        <v>0.9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tr">
        <f>IF($P$1="","",$P$1)</f>
        <v>だいち</v>
      </c>
      <c r="F7" s="8" t="s">
        <v>198</v>
      </c>
      <c r="G7" s="9">
        <v>-1500</v>
      </c>
      <c r="H7" s="9"/>
      <c r="I7" s="48">
        <v>-1000</v>
      </c>
      <c r="J7" s="21">
        <f t="shared" si="2"/>
        <v>25000</v>
      </c>
      <c r="K7" s="8" t="s">
        <v>199</v>
      </c>
      <c r="L7" s="9">
        <v>4000</v>
      </c>
      <c r="M7" s="9">
        <v>1000</v>
      </c>
      <c r="N7" s="48">
        <v>2000</v>
      </c>
      <c r="O7" s="21">
        <f t="shared" si="3"/>
        <v>47600</v>
      </c>
      <c r="P7" s="8" t="s">
        <v>198</v>
      </c>
      <c r="Q7" s="9">
        <v>-2500</v>
      </c>
      <c r="R7" s="9"/>
      <c r="S7" s="48">
        <v>-1000</v>
      </c>
      <c r="T7" s="21">
        <f t="shared" si="4"/>
        <v>32400</v>
      </c>
      <c r="U7" s="53">
        <f>IF($J7="","",ROUND(($J7-$J$3)/1000,1)+(_xlfn.RANK.AVG($J7,($J7,$O7,$T7),1)-2)*10)</f>
        <v>-20</v>
      </c>
      <c r="V7" s="54">
        <f>IF($O7="","",ROUND(($O7-$O$3)/1000,1)+(_xlfn.RANK.AVG($O7,($J7,$O7,$T7),1)-2)*10)</f>
        <v>22.6</v>
      </c>
      <c r="W7" s="55">
        <f>IF($T7="","",ROUND(($T7-$T$3)/1000,1)+(_xlfn.RANK.AVG($T7,($J7,$O7,$T7),1)-2)*10)</f>
        <v>-2.6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196</v>
      </c>
      <c r="BA7" s="41" t="s">
        <v>82</v>
      </c>
      <c r="BB7" s="41" t="s">
        <v>85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のり</v>
      </c>
      <c r="F8" s="8" t="s">
        <v>208</v>
      </c>
      <c r="G8" s="9">
        <v>3000</v>
      </c>
      <c r="H8" s="9">
        <v>-1000</v>
      </c>
      <c r="I8" s="48"/>
      <c r="J8" s="21">
        <f t="shared" si="2"/>
        <v>27000</v>
      </c>
      <c r="K8" s="8" t="s">
        <v>208</v>
      </c>
      <c r="L8" s="9">
        <v>-1500</v>
      </c>
      <c r="M8" s="9"/>
      <c r="N8" s="48"/>
      <c r="O8" s="21">
        <f t="shared" si="3"/>
        <v>46100</v>
      </c>
      <c r="P8" s="8" t="s">
        <v>208</v>
      </c>
      <c r="Q8" s="9">
        <v>-1500</v>
      </c>
      <c r="R8" s="9"/>
      <c r="S8" s="48"/>
      <c r="T8" s="21">
        <f t="shared" si="4"/>
        <v>30900</v>
      </c>
      <c r="U8" s="53">
        <f>IF($J8="","",ROUND(($J8-$J$3)/1000,1)+(_xlfn.RANK.AVG($J8,($J8,$O8,$T8),1)-2)*10)</f>
        <v>-18</v>
      </c>
      <c r="V8" s="54">
        <f>IF($O8="","",ROUND(($O8-$O$3)/1000,1)+(_xlfn.RANK.AVG($O8,($J8,$O8,$T8),1)-2)*10)</f>
        <v>21.1</v>
      </c>
      <c r="W8" s="55">
        <f>IF($T8="","",ROUND(($T8-$T$3)/1000,1)+(_xlfn.RANK.AVG($T8,($J8,$O8,$T8),1)-2)*10)</f>
        <v>-4.0999999999999996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IF($F$1="","",$F$1)</f>
        <v>のり</v>
      </c>
      <c r="F9" s="8" t="s">
        <v>198</v>
      </c>
      <c r="G9" s="9">
        <v>-10000</v>
      </c>
      <c r="H9" s="9"/>
      <c r="I9" s="48">
        <v>-500</v>
      </c>
      <c r="J9" s="21">
        <f t="shared" si="2"/>
        <v>16500</v>
      </c>
      <c r="K9" s="8" t="s">
        <v>198</v>
      </c>
      <c r="L9" s="9">
        <v>-6000</v>
      </c>
      <c r="M9" s="9"/>
      <c r="N9" s="48">
        <v>-500</v>
      </c>
      <c r="O9" s="21">
        <f t="shared" si="3"/>
        <v>39600</v>
      </c>
      <c r="P9" s="8" t="s">
        <v>199</v>
      </c>
      <c r="Q9" s="9">
        <v>16000</v>
      </c>
      <c r="R9" s="9">
        <v>1000</v>
      </c>
      <c r="S9" s="48">
        <v>1000</v>
      </c>
      <c r="T9" s="21">
        <f t="shared" si="4"/>
        <v>48900</v>
      </c>
      <c r="U9" s="53">
        <f>IF($J9="","",ROUND(($J9-$J$3)/1000,1)+(_xlfn.RANK.AVG($J9,($J9,$O9,$T9),1)-2)*10)</f>
        <v>-28.5</v>
      </c>
      <c r="V9" s="54">
        <f>IF($O9="","",ROUND(($O9-$O$3)/1000,1)+(_xlfn.RANK.AVG($O9,($J9,$O9,$T9),1)-2)*10)</f>
        <v>4.5999999999999996</v>
      </c>
      <c r="W9" s="55">
        <f>IF($T9="","",ROUND(($T9-$T$3)/1000,1)+(_xlfn.RANK.AVG($T9,($J9,$O9,$T9),1)-2)*10)</f>
        <v>23.9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200</v>
      </c>
      <c r="BU9" s="40" t="s">
        <v>196</v>
      </c>
      <c r="BV9" s="41" t="s">
        <v>82</v>
      </c>
      <c r="BW9" s="41" t="s">
        <v>84</v>
      </c>
      <c r="BX9" s="41" t="s">
        <v>83</v>
      </c>
      <c r="BY9" s="41" t="s">
        <v>197</v>
      </c>
      <c r="BZ9" s="41" t="s">
        <v>79</v>
      </c>
      <c r="CA9" s="41" t="s">
        <v>79</v>
      </c>
      <c r="CB9" s="41" t="s">
        <v>197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195</v>
      </c>
      <c r="G10" s="9">
        <v>-2000</v>
      </c>
      <c r="H10" s="9"/>
      <c r="I10" s="48">
        <v>0</v>
      </c>
      <c r="J10" s="21">
        <f t="shared" si="2"/>
        <v>14500</v>
      </c>
      <c r="K10" s="8"/>
      <c r="L10" s="9"/>
      <c r="M10" s="9"/>
      <c r="N10" s="48"/>
      <c r="O10" s="21">
        <f t="shared" si="3"/>
        <v>39600</v>
      </c>
      <c r="P10" s="8" t="s">
        <v>194</v>
      </c>
      <c r="Q10" s="9">
        <v>2000</v>
      </c>
      <c r="R10" s="9"/>
      <c r="S10" s="48">
        <v>0</v>
      </c>
      <c r="T10" s="21">
        <f t="shared" si="4"/>
        <v>50900</v>
      </c>
      <c r="U10" s="53">
        <f>IF($J10="","",ROUND(($J10-$J$3)/1000,1)+(_xlfn.RANK.AVG($J10,($J10,$O10,$T10),1)-2)*10)</f>
        <v>-30.5</v>
      </c>
      <c r="V10" s="54">
        <f>IF($O10="","",ROUND(($O10-$O$3)/1000,1)+(_xlfn.RANK.AVG($O10,($J10,$O10,$T10),1)-2)*10)</f>
        <v>4.5999999999999996</v>
      </c>
      <c r="W10" s="55">
        <f>IF($T10="","",ROUND(($T10-$T$3)/1000,1)+(_xlfn.RANK.AVG($T10,($J10,$O10,$T10),1)-2)*10)</f>
        <v>25.9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197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-4500</v>
      </c>
      <c r="H11" s="9"/>
      <c r="I11" s="48">
        <v>0</v>
      </c>
      <c r="J11" s="21">
        <f t="shared" si="2"/>
        <v>10000</v>
      </c>
      <c r="K11" s="8" t="s">
        <v>199</v>
      </c>
      <c r="L11" s="9">
        <v>12000</v>
      </c>
      <c r="M11" s="9"/>
      <c r="N11" s="48">
        <v>0</v>
      </c>
      <c r="O11" s="21">
        <f t="shared" si="3"/>
        <v>51600</v>
      </c>
      <c r="P11" s="8" t="s">
        <v>198</v>
      </c>
      <c r="Q11" s="9">
        <v>-7500</v>
      </c>
      <c r="R11" s="9"/>
      <c r="S11" s="48">
        <v>0</v>
      </c>
      <c r="T11" s="21">
        <f t="shared" si="4"/>
        <v>43400</v>
      </c>
      <c r="U11" s="53">
        <f>IF($J11="","",ROUND(($J11-$J$3)/1000,1)+(_xlfn.RANK.AVG($J11,($J11,$O11,$T11),1)-2)*10)</f>
        <v>-35</v>
      </c>
      <c r="V11" s="54">
        <f>IF($O11="","",ROUND(($O11-$O$3)/1000,1)+(_xlfn.RANK.AVG($O11,($J11,$O11,$T11),1)-2)*10)</f>
        <v>26.6</v>
      </c>
      <c r="W11" s="55">
        <f>IF($T11="","",ROUND(($T11-$T$3)/1000,1)+(_xlfn.RANK.AVG($T11,($J11,$O11,$T11),1)-2)*10)</f>
        <v>8.4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200</v>
      </c>
      <c r="AZ11" s="40" t="s">
        <v>196</v>
      </c>
      <c r="BA11" s="41" t="s">
        <v>82</v>
      </c>
      <c r="BB11" s="41" t="s">
        <v>104</v>
      </c>
      <c r="BC11" s="41" t="s">
        <v>86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18C1C0F-E5C4-4400-BD97-8B94456123B0}">
      <formula1>$U$2:$W$2</formula1>
    </dataValidation>
    <dataValidation type="list" showInputMessage="1" showErrorMessage="1" sqref="K4:K30 P4:P30 F4:F30" xr:uid="{91C0B1A7-0EB8-496A-8A5A-6B44898763FB}">
      <formula1>"ロン,ツモ,放銃,ツモ支払,流局,チョンボ"</formula1>
    </dataValidation>
    <dataValidation type="list" allowBlank="1" showInputMessage="1" sqref="F1:T1" xr:uid="{5A978C68-86BF-4E49-B371-FE3E11118093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56AA6-D0B6-44EC-B68F-520DB730F889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193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いちかわ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いちかわ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195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194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200</v>
      </c>
      <c r="BU4" s="40" t="s">
        <v>83</v>
      </c>
      <c r="BV4" s="41" t="s">
        <v>85</v>
      </c>
      <c r="BW4" s="41" t="s">
        <v>84</v>
      </c>
      <c r="BX4" s="41" t="s">
        <v>197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198</v>
      </c>
      <c r="G5" s="9">
        <v>-2000</v>
      </c>
      <c r="H5" s="9">
        <v>-1000</v>
      </c>
      <c r="I5" s="48">
        <v>0</v>
      </c>
      <c r="J5" s="21">
        <f t="shared" ref="J5:J30" si="2">IF(COUNTA($F5,$K5,$P5)&gt;0,J4+SUM(G5:I5),"")</f>
        <v>31000</v>
      </c>
      <c r="K5" s="8" t="s">
        <v>199</v>
      </c>
      <c r="L5" s="9">
        <v>4000</v>
      </c>
      <c r="M5" s="9">
        <v>2000</v>
      </c>
      <c r="N5" s="48">
        <v>0</v>
      </c>
      <c r="O5" s="21">
        <f t="shared" ref="O5:O30" si="3">IF(COUNTA($F5,$K5,$P5)&gt;0,O4+SUM(L5:N5),"")</f>
        <v>33000</v>
      </c>
      <c r="P5" s="8" t="s">
        <v>198</v>
      </c>
      <c r="Q5" s="9">
        <v>-2000</v>
      </c>
      <c r="R5" s="9">
        <v>-1000</v>
      </c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16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20</v>
      </c>
      <c r="AZ5" s="40" t="s">
        <v>82</v>
      </c>
      <c r="BA5" s="41" t="s">
        <v>83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いちかわ</v>
      </c>
      <c r="F6" s="8"/>
      <c r="G6" s="9"/>
      <c r="H6" s="9"/>
      <c r="I6" s="48"/>
      <c r="J6" s="21">
        <f t="shared" si="2"/>
        <v>31000</v>
      </c>
      <c r="K6" s="8" t="s">
        <v>195</v>
      </c>
      <c r="L6" s="9">
        <v>-2600</v>
      </c>
      <c r="M6" s="9"/>
      <c r="N6" s="48">
        <v>-1000</v>
      </c>
      <c r="O6" s="21">
        <f t="shared" si="3"/>
        <v>29400</v>
      </c>
      <c r="P6" s="8" t="s">
        <v>194</v>
      </c>
      <c r="Q6" s="9">
        <v>2600</v>
      </c>
      <c r="R6" s="9"/>
      <c r="S6" s="48">
        <v>1000</v>
      </c>
      <c r="T6" s="21">
        <f t="shared" si="4"/>
        <v>44600</v>
      </c>
      <c r="U6" s="53">
        <f>IF($J6="","",ROUND(($J6-$J$3)/1000,1)+(_xlfn.RANK.AVG($J6,($J6,$O6,$T6),1)-2)*10)</f>
        <v>-4</v>
      </c>
      <c r="V6" s="54">
        <f>IF($O6="","",ROUND(($O6-$O$3)/1000,1)+(_xlfn.RANK.AVG($O6,($J6,$O6,$T6),1)-2)*10)</f>
        <v>-15.6</v>
      </c>
      <c r="W6" s="55">
        <f>IF($T6="","",ROUND(($T6-$T$3)/1000,1)+(_xlfn.RANK.AVG($T6,($J6,$O6,$T6),1)-2)*10)</f>
        <v>19.600000000000001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196</v>
      </c>
      <c r="BV6" s="41" t="s">
        <v>197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31000</v>
      </c>
      <c r="K7" s="8" t="s">
        <v>194</v>
      </c>
      <c r="L7" s="9">
        <v>12000</v>
      </c>
      <c r="M7" s="9"/>
      <c r="N7" s="48">
        <v>0</v>
      </c>
      <c r="O7" s="21">
        <f t="shared" si="3"/>
        <v>41400</v>
      </c>
      <c r="P7" s="8" t="s">
        <v>195</v>
      </c>
      <c r="Q7" s="9">
        <v>-12000</v>
      </c>
      <c r="R7" s="9"/>
      <c r="S7" s="48">
        <v>0</v>
      </c>
      <c r="T7" s="21">
        <f t="shared" si="4"/>
        <v>32600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16.399999999999999</v>
      </c>
      <c r="W7" s="55">
        <f>IF($T7="","",ROUND(($T7-$T$3)/1000,1)+(_xlfn.RANK.AVG($T7,($J7,$O7,$T7),1)-2)*10)</f>
        <v>-2.4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200</v>
      </c>
      <c r="AZ7" s="40" t="s">
        <v>196</v>
      </c>
      <c r="BA7" s="41" t="s">
        <v>201</v>
      </c>
      <c r="BB7" s="41" t="s">
        <v>84</v>
      </c>
      <c r="BC7" s="41" t="s">
        <v>197</v>
      </c>
      <c r="BD7" s="41" t="s">
        <v>80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205</v>
      </c>
      <c r="G8" s="9">
        <v>0</v>
      </c>
      <c r="H8" s="9">
        <v>-1000</v>
      </c>
      <c r="I8" s="48"/>
      <c r="J8" s="21">
        <f t="shared" si="2"/>
        <v>30000</v>
      </c>
      <c r="K8" s="8" t="s">
        <v>205</v>
      </c>
      <c r="L8" s="9">
        <v>0</v>
      </c>
      <c r="M8" s="9"/>
      <c r="N8" s="48"/>
      <c r="O8" s="21">
        <f t="shared" si="3"/>
        <v>41400</v>
      </c>
      <c r="P8" s="8" t="s">
        <v>205</v>
      </c>
      <c r="Q8" s="9">
        <v>0</v>
      </c>
      <c r="R8" s="9">
        <v>-1000</v>
      </c>
      <c r="S8" s="48"/>
      <c r="T8" s="21">
        <f t="shared" si="4"/>
        <v>31600</v>
      </c>
      <c r="U8" s="53">
        <f>IF($J8="","",ROUND(($J8-$J$3)/1000,1)+(_xlfn.RANK.AVG($J8,($J8,$O8,$T8),1)-2)*10)</f>
        <v>-15</v>
      </c>
      <c r="V8" s="54">
        <f>IF($O8="","",ROUND(($O8-$O$3)/1000,1)+(_xlfn.RANK.AVG($O8,($J8,$O8,$T8),1)-2)*10)</f>
        <v>16.399999999999999</v>
      </c>
      <c r="W8" s="55">
        <f>IF($T8="","",ROUND(($T8-$T$3)/1000,1)+(_xlfn.RANK.AVG($T8,($J8,$O8,$T8),1)-2)*10)</f>
        <v>-3.4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2</v>
      </c>
      <c r="E9" s="4" t="str">
        <f>IF($F$1="","",$F$1)</f>
        <v>たかの</v>
      </c>
      <c r="F9" s="8" t="s">
        <v>194</v>
      </c>
      <c r="G9" s="9">
        <v>2900</v>
      </c>
      <c r="H9" s="9">
        <v>2000</v>
      </c>
      <c r="I9" s="48">
        <v>1000</v>
      </c>
      <c r="J9" s="21">
        <f t="shared" si="2"/>
        <v>35900</v>
      </c>
      <c r="K9" s="8"/>
      <c r="L9" s="9"/>
      <c r="M9" s="9"/>
      <c r="N9" s="48"/>
      <c r="O9" s="21">
        <f t="shared" si="3"/>
        <v>41400</v>
      </c>
      <c r="P9" s="8" t="s">
        <v>195</v>
      </c>
      <c r="Q9" s="9">
        <v>-2900</v>
      </c>
      <c r="R9" s="9"/>
      <c r="S9" s="48">
        <v>-1000</v>
      </c>
      <c r="T9" s="21">
        <f t="shared" si="4"/>
        <v>27700</v>
      </c>
      <c r="U9" s="53">
        <f>IF($J9="","",ROUND(($J9-$J$3)/1000,1)+(_xlfn.RANK.AVG($J9,($J9,$O9,$T9),1)-2)*10)</f>
        <v>0.9</v>
      </c>
      <c r="V9" s="54">
        <f>IF($O9="","",ROUND(($O9-$O$3)/1000,1)+(_xlfn.RANK.AVG($O9,($J9,$O9,$T9),1)-2)*10)</f>
        <v>16.399999999999999</v>
      </c>
      <c r="W9" s="55">
        <f>IF($T9="","",ROUND(($T9-$T$3)/1000,1)+(_xlfn.RANK.AVG($T9,($J9,$O9,$T9),1)-2)*10)</f>
        <v>-17.3</v>
      </c>
      <c r="Y9" s="8"/>
      <c r="Z9" s="34"/>
      <c r="AA9" s="26"/>
      <c r="AB9" s="26"/>
      <c r="AC9" s="26">
        <v>2</v>
      </c>
      <c r="AD9" s="30">
        <v>30</v>
      </c>
      <c r="AE9" s="40" t="s">
        <v>83</v>
      </c>
      <c r="AF9" s="41" t="s">
        <v>197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IF($F$1="","",$F$1)</f>
        <v>たかの</v>
      </c>
      <c r="F10" s="8" t="s">
        <v>194</v>
      </c>
      <c r="G10" s="9">
        <v>2900</v>
      </c>
      <c r="H10" s="9"/>
      <c r="I10" s="48">
        <v>2000</v>
      </c>
      <c r="J10" s="21">
        <f t="shared" si="2"/>
        <v>40800</v>
      </c>
      <c r="K10" s="8" t="s">
        <v>195</v>
      </c>
      <c r="L10" s="9">
        <v>-2900</v>
      </c>
      <c r="M10" s="9"/>
      <c r="N10" s="48">
        <v>-2000</v>
      </c>
      <c r="O10" s="21">
        <f t="shared" si="3"/>
        <v>36500</v>
      </c>
      <c r="P10" s="8"/>
      <c r="Q10" s="9"/>
      <c r="R10" s="9"/>
      <c r="S10" s="48"/>
      <c r="T10" s="21">
        <f t="shared" si="4"/>
        <v>27700</v>
      </c>
      <c r="U10" s="53">
        <f>IF($J10="","",ROUND(($J10-$J$3)/1000,1)+(_xlfn.RANK.AVG($J10,($J10,$O10,$T10),1)-2)*10)</f>
        <v>15.8</v>
      </c>
      <c r="V10" s="54">
        <f>IF($O10="","",ROUND(($O10-$O$3)/1000,1)+(_xlfn.RANK.AVG($O10,($J10,$O10,$T10),1)-2)*10)</f>
        <v>1.5</v>
      </c>
      <c r="W10" s="55">
        <f>IF($T10="","",ROUND(($T10-$T$3)/1000,1)+(_xlfn.RANK.AVG($T10,($J10,$O10,$T10),1)-2)*10)</f>
        <v>-17.3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たかの</v>
      </c>
      <c r="F11" s="8" t="s">
        <v>199</v>
      </c>
      <c r="G11" s="9">
        <v>4000</v>
      </c>
      <c r="H11" s="9"/>
      <c r="I11" s="48">
        <v>3000</v>
      </c>
      <c r="J11" s="21">
        <f t="shared" si="2"/>
        <v>47800</v>
      </c>
      <c r="K11" s="8" t="s">
        <v>198</v>
      </c>
      <c r="L11" s="9">
        <v>-2000</v>
      </c>
      <c r="M11" s="9"/>
      <c r="N11" s="48">
        <v>-1500</v>
      </c>
      <c r="O11" s="21">
        <f t="shared" si="3"/>
        <v>33000</v>
      </c>
      <c r="P11" s="8" t="s">
        <v>198</v>
      </c>
      <c r="Q11" s="9">
        <v>-2000</v>
      </c>
      <c r="R11" s="9"/>
      <c r="S11" s="48">
        <v>-1500</v>
      </c>
      <c r="T11" s="21">
        <f t="shared" si="4"/>
        <v>24200</v>
      </c>
      <c r="U11" s="53">
        <f>IF($J11="","",ROUND(($J11-$J$3)/1000,1)+(_xlfn.RANK.AVG($J11,($J11,$O11,$T11),1)-2)*10)</f>
        <v>22.8</v>
      </c>
      <c r="V11" s="54">
        <f>IF($O11="","",ROUND(($O11-$O$3)/1000,1)+(_xlfn.RANK.AVG($O11,($J11,$O11,$T11),1)-2)*10)</f>
        <v>-2</v>
      </c>
      <c r="W11" s="55">
        <f>IF($T11="","",ROUND(($T11-$T$3)/1000,1)+(_xlfn.RANK.AVG($T11,($J11,$O11,$T11),1)-2)*10)</f>
        <v>-20.8</v>
      </c>
      <c r="Y11" s="8"/>
      <c r="Z11" s="34"/>
      <c r="AA11" s="26"/>
      <c r="AB11" s="26"/>
      <c r="AC11" s="26">
        <v>3</v>
      </c>
      <c r="AD11" s="30">
        <v>20</v>
      </c>
      <c r="AE11" s="40" t="s">
        <v>82</v>
      </c>
      <c r="AF11" s="41" t="s">
        <v>83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tr">
        <f>IF($F$1="","",$F$1)</f>
        <v>たかの</v>
      </c>
      <c r="F12" s="8" t="s">
        <v>198</v>
      </c>
      <c r="G12" s="9">
        <v>-700</v>
      </c>
      <c r="H12" s="9"/>
      <c r="I12" s="48">
        <v>-2000</v>
      </c>
      <c r="J12" s="21">
        <f t="shared" si="2"/>
        <v>45100</v>
      </c>
      <c r="K12" s="8" t="s">
        <v>198</v>
      </c>
      <c r="L12" s="9">
        <v>-500</v>
      </c>
      <c r="M12" s="9"/>
      <c r="N12" s="48">
        <v>-2000</v>
      </c>
      <c r="O12" s="21">
        <f t="shared" si="3"/>
        <v>30500</v>
      </c>
      <c r="P12" s="8" t="s">
        <v>199</v>
      </c>
      <c r="Q12" s="9">
        <v>1200</v>
      </c>
      <c r="R12" s="9"/>
      <c r="S12" s="48">
        <v>4000</v>
      </c>
      <c r="T12" s="21">
        <f t="shared" si="4"/>
        <v>29400</v>
      </c>
      <c r="U12" s="53">
        <f>IF($J12="","",ROUND(($J12-$J$3)/1000,1)+(_xlfn.RANK.AVG($J12,($J12,$O12,$T12),1)-2)*10)</f>
        <v>20.100000000000001</v>
      </c>
      <c r="V12" s="54">
        <f>IF($O12="","",ROUND(($O12-$O$3)/1000,1)+(_xlfn.RANK.AVG($O12,($J12,$O12,$T12),1)-2)*10)</f>
        <v>-4.5</v>
      </c>
      <c r="W12" s="55">
        <f>IF($T12="","",ROUND(($T12-$T$3)/1000,1)+(_xlfn.RANK.AVG($T12,($J12,$O12,$T12),1)-2)*10)</f>
        <v>-15.6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30</v>
      </c>
      <c r="BU12" s="40" t="s">
        <v>82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いちかわ</v>
      </c>
      <c r="F13" s="8" t="s">
        <v>194</v>
      </c>
      <c r="G13" s="9">
        <v>1000</v>
      </c>
      <c r="H13" s="9"/>
      <c r="I13" s="48">
        <v>0</v>
      </c>
      <c r="J13" s="21">
        <f t="shared" si="2"/>
        <v>46100</v>
      </c>
      <c r="K13" s="8" t="s">
        <v>195</v>
      </c>
      <c r="L13" s="9">
        <v>-1000</v>
      </c>
      <c r="M13" s="9"/>
      <c r="N13" s="48">
        <v>0</v>
      </c>
      <c r="O13" s="21">
        <f t="shared" si="3"/>
        <v>29500</v>
      </c>
      <c r="P13" s="8"/>
      <c r="Q13" s="9"/>
      <c r="R13" s="9"/>
      <c r="S13" s="48"/>
      <c r="T13" s="21">
        <f t="shared" si="4"/>
        <v>29400</v>
      </c>
      <c r="U13" s="53">
        <f>IF($J13="","",ROUND(($J13-$J$3)/1000,1)+(_xlfn.RANK.AVG($J13,($J13,$O13,$T13),1)-2)*10)</f>
        <v>21.1</v>
      </c>
      <c r="V13" s="54">
        <f>IF($O13="","",ROUND(($O13-$O$3)/1000,1)+(_xlfn.RANK.AVG($O13,($J13,$O13,$T13),1)-2)*10)</f>
        <v>-5.5</v>
      </c>
      <c r="W13" s="55">
        <f>IF($T13="","",ROUND(($T13-$T$3)/1000,1)+(_xlfn.RANK.AVG($T13,($J13,$O13,$T13),1)-2)*10)</f>
        <v>-15.6</v>
      </c>
      <c r="Y13" s="8"/>
      <c r="Z13" s="34"/>
      <c r="AA13" s="26"/>
      <c r="AB13" s="26">
        <v>1</v>
      </c>
      <c r="AC13" s="26">
        <v>1</v>
      </c>
      <c r="AD13" s="30">
        <v>30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れんたろう</v>
      </c>
      <c r="F14" s="8" t="s">
        <v>199</v>
      </c>
      <c r="G14" s="9">
        <v>2100</v>
      </c>
      <c r="H14" s="9"/>
      <c r="I14" s="48">
        <v>0</v>
      </c>
      <c r="J14" s="21">
        <f t="shared" si="2"/>
        <v>48200</v>
      </c>
      <c r="K14" s="8" t="s">
        <v>198</v>
      </c>
      <c r="L14" s="9">
        <v>-800</v>
      </c>
      <c r="M14" s="9"/>
      <c r="N14" s="48">
        <v>0</v>
      </c>
      <c r="O14" s="21">
        <f t="shared" si="3"/>
        <v>28700</v>
      </c>
      <c r="P14" s="8" t="s">
        <v>198</v>
      </c>
      <c r="Q14" s="9">
        <v>-1300</v>
      </c>
      <c r="R14" s="9"/>
      <c r="S14" s="48">
        <v>0</v>
      </c>
      <c r="T14" s="21">
        <f t="shared" si="4"/>
        <v>28100</v>
      </c>
      <c r="U14" s="53">
        <f>IF($J14="","",ROUND(($J14-$J$3)/1000,1)+(_xlfn.RANK.AVG($J14,($J14,$O14,$T14),1)-2)*10)</f>
        <v>23.2</v>
      </c>
      <c r="V14" s="54">
        <f>IF($O14="","",ROUND(($O14-$O$3)/1000,1)+(_xlfn.RANK.AVG($O14,($J14,$O14,$T14),1)-2)*10)</f>
        <v>-6.3</v>
      </c>
      <c r="W14" s="55">
        <f>IF($T14="","",ROUND(($T14-$T$3)/1000,1)+(_xlfn.RANK.AVG($T14,($J14,$O14,$T14),1)-2)*10)</f>
        <v>-16.899999999999999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86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たかの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FEB4F31-EA34-4327-97B3-686D12E1DE43}">
      <formula1>"れんたろう,ともき,だいち,りくと,まっつん,たかの,のり,ただ,ぱぱ,てんちゃん,"</formula1>
    </dataValidation>
    <dataValidation type="list" showInputMessage="1" showErrorMessage="1" sqref="K4:K30 P4:P30 F4:F30" xr:uid="{E9E5836D-9D79-4E8D-B438-BD96F97212DD}">
      <formula1>"ロン,ツモ,放銃,ツモ支払,流局,チョンボ"</formula1>
    </dataValidation>
    <dataValidation type="list" allowBlank="1" showInputMessage="1" showErrorMessage="1" sqref="E4:E30" xr:uid="{93A42DE3-1BF3-45CE-B478-157365F6AB6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2020-07-23T16:45:05Z</dcterms:modified>
</cp:coreProperties>
</file>