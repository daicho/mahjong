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C34F77F5-688E-49AE-9051-F2063E2C8FDE}" xr6:coauthVersionLast="44" xr6:coauthVersionMax="44" xr10:uidLastSave="{00000000-0000-0000-0000-000000000000}"/>
  <bookViews>
    <workbookView xWindow="-108" yWindow="-108" windowWidth="23256" windowHeight="12720" activeTab="3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2" i="22" l="1"/>
  <c r="E11" i="22"/>
  <c r="E10" i="22"/>
  <c r="E9" i="22"/>
  <c r="E8" i="22"/>
  <c r="E7" i="22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/>
  <c r="T11" i="22"/>
  <c r="O11" i="22"/>
  <c r="J11" i="22"/>
  <c r="D11" i="22"/>
  <c r="C11" i="22"/>
  <c r="B11" i="22"/>
  <c r="A11" i="22" s="1"/>
  <c r="D10" i="22"/>
  <c r="C9" i="22"/>
  <c r="D9" i="22"/>
  <c r="D8" i="22"/>
  <c r="J7" i="22"/>
  <c r="J8" i="22" s="1"/>
  <c r="D7" i="22"/>
  <c r="J6" i="22"/>
  <c r="T5" i="22"/>
  <c r="T6" i="22" s="1"/>
  <c r="J5" i="22"/>
  <c r="B5" i="22"/>
  <c r="A5" i="22" s="1"/>
  <c r="D5" i="22"/>
  <c r="T4" i="22"/>
  <c r="W4" i="22" s="1"/>
  <c r="O4" i="22"/>
  <c r="O5" i="22" s="1"/>
  <c r="J4" i="22"/>
  <c r="E4" i="22"/>
  <c r="W3" i="22"/>
  <c r="V3" i="22"/>
  <c r="U3" i="22"/>
  <c r="W2" i="22"/>
  <c r="V2" i="22"/>
  <c r="U2" i="22"/>
  <c r="BO1" i="22"/>
  <c r="AT1" i="22"/>
  <c r="Y1" i="22"/>
  <c r="E10" i="21"/>
  <c r="E9" i="21"/>
  <c r="E8" i="21"/>
  <c r="E7" i="21"/>
  <c r="E6" i="21"/>
  <c r="C6" i="21" s="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 s="1"/>
  <c r="C10" i="21"/>
  <c r="D10" i="21"/>
  <c r="D9" i="21"/>
  <c r="C9" i="21"/>
  <c r="D8" i="21"/>
  <c r="D7" i="21"/>
  <c r="B5" i="21"/>
  <c r="D5" i="21"/>
  <c r="C5" i="21"/>
  <c r="T4" i="21"/>
  <c r="T5" i="21" s="1"/>
  <c r="O4" i="21"/>
  <c r="O5" i="21" s="1"/>
  <c r="J4" i="21"/>
  <c r="J5" i="21" s="1"/>
  <c r="E4" i="21"/>
  <c r="W3" i="21"/>
  <c r="V3" i="21"/>
  <c r="U3" i="21"/>
  <c r="W2" i="21"/>
  <c r="V2" i="21"/>
  <c r="U2" i="21"/>
  <c r="BO1" i="21"/>
  <c r="AT1" i="21"/>
  <c r="Y1" i="21"/>
  <c r="V11" i="22" l="1"/>
  <c r="U11" i="22"/>
  <c r="W11" i="22"/>
  <c r="J9" i="22"/>
  <c r="B8" i="22"/>
  <c r="T7" i="22"/>
  <c r="O6" i="22"/>
  <c r="W6" i="22" s="1"/>
  <c r="V5" i="22"/>
  <c r="U5" i="22"/>
  <c r="C10" i="22"/>
  <c r="C5" i="22"/>
  <c r="W5" i="22"/>
  <c r="B6" i="22"/>
  <c r="A6" i="22" s="1"/>
  <c r="U4" i="22"/>
  <c r="C6" i="22"/>
  <c r="C7" i="22" s="1"/>
  <c r="C8" i="22" s="1"/>
  <c r="B9" i="22"/>
  <c r="V4" i="22"/>
  <c r="D6" i="22"/>
  <c r="B7" i="22"/>
  <c r="D6" i="21"/>
  <c r="O6" i="21"/>
  <c r="V5" i="21"/>
  <c r="J6" i="21"/>
  <c r="U5" i="21"/>
  <c r="T6" i="21"/>
  <c r="W5" i="21"/>
  <c r="B6" i="21"/>
  <c r="A6" i="21" s="1"/>
  <c r="U4" i="21"/>
  <c r="V4" i="21"/>
  <c r="W4" i="21"/>
  <c r="B7" i="21"/>
  <c r="B8" i="21" s="1"/>
  <c r="A5" i="21"/>
  <c r="C7" i="21"/>
  <c r="C8" i="21" s="1"/>
  <c r="E10" i="20"/>
  <c r="E9" i="20"/>
  <c r="E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D11" i="20"/>
  <c r="D10" i="20"/>
  <c r="D9" i="20"/>
  <c r="D7" i="20"/>
  <c r="T5" i="20"/>
  <c r="T6" i="20" s="1"/>
  <c r="O5" i="20"/>
  <c r="O6" i="20" s="1"/>
  <c r="J5" i="20"/>
  <c r="D5" i="20"/>
  <c r="T4" i="20"/>
  <c r="O4" i="20"/>
  <c r="J4" i="20"/>
  <c r="U4" i="20" s="1"/>
  <c r="E4" i="20"/>
  <c r="C5" i="20" s="1"/>
  <c r="C6" i="20" s="1"/>
  <c r="W3" i="20"/>
  <c r="V3" i="20"/>
  <c r="U3" i="20"/>
  <c r="W2" i="20"/>
  <c r="V2" i="20"/>
  <c r="U2" i="20"/>
  <c r="BO1" i="20"/>
  <c r="AT1" i="20"/>
  <c r="Y1" i="20"/>
  <c r="E11" i="19"/>
  <c r="E10" i="19"/>
  <c r="E9" i="19"/>
  <c r="E8" i="19"/>
  <c r="E7" i="19"/>
  <c r="E6" i="19"/>
  <c r="E5" i="19"/>
  <c r="A7" i="22" l="1"/>
  <c r="A8" i="22" s="1"/>
  <c r="A9" i="22" s="1"/>
  <c r="U6" i="22"/>
  <c r="O7" i="22"/>
  <c r="V6" i="22"/>
  <c r="T8" i="22"/>
  <c r="B10" i="22"/>
  <c r="J10" i="22"/>
  <c r="B9" i="21"/>
  <c r="A7" i="21"/>
  <c r="A8" i="21" s="1"/>
  <c r="T7" i="21"/>
  <c r="W6" i="21"/>
  <c r="U6" i="21"/>
  <c r="J7" i="21"/>
  <c r="O7" i="21"/>
  <c r="V6" i="21"/>
  <c r="U5" i="20"/>
  <c r="V4" i="20"/>
  <c r="W4" i="20"/>
  <c r="O7" i="20"/>
  <c r="T7" i="20"/>
  <c r="J6" i="20"/>
  <c r="V6" i="20" s="1"/>
  <c r="B5" i="20"/>
  <c r="A5" i="20" s="1"/>
  <c r="V5" i="20"/>
  <c r="C10" i="20"/>
  <c r="C11" i="20" s="1"/>
  <c r="W5" i="20"/>
  <c r="C7" i="20"/>
  <c r="C8" i="20" s="1"/>
  <c r="B6" i="20"/>
  <c r="D8" i="20"/>
  <c r="D6" i="20"/>
  <c r="C9" i="20"/>
  <c r="E4" i="19"/>
  <c r="A10" i="22" l="1"/>
  <c r="O8" i="22"/>
  <c r="V7" i="22"/>
  <c r="U7" i="22"/>
  <c r="W7" i="22"/>
  <c r="T9" i="22"/>
  <c r="W7" i="21"/>
  <c r="T8" i="21"/>
  <c r="B10" i="21"/>
  <c r="A10" i="21" s="1"/>
  <c r="J8" i="21"/>
  <c r="U7" i="21"/>
  <c r="O8" i="21"/>
  <c r="V7" i="21"/>
  <c r="A9" i="21"/>
  <c r="W6" i="20"/>
  <c r="O8" i="20"/>
  <c r="A6" i="20"/>
  <c r="T8" i="20"/>
  <c r="B7" i="20"/>
  <c r="A7" i="20" s="1"/>
  <c r="J7" i="20"/>
  <c r="U6" i="20"/>
  <c r="W3" i="19"/>
  <c r="V3" i="19"/>
  <c r="U3" i="19"/>
  <c r="O9" i="22" l="1"/>
  <c r="V8" i="22"/>
  <c r="U8" i="22"/>
  <c r="W8" i="22"/>
  <c r="T10" i="22"/>
  <c r="W9" i="22"/>
  <c r="J9" i="21"/>
  <c r="U8" i="21"/>
  <c r="V8" i="21"/>
  <c r="O9" i="21"/>
  <c r="T9" i="21"/>
  <c r="W8" i="21"/>
  <c r="B8" i="20"/>
  <c r="A8" i="20" s="1"/>
  <c r="T9" i="20"/>
  <c r="O9" i="20"/>
  <c r="J8" i="20"/>
  <c r="W8" i="20" s="1"/>
  <c r="U7" i="20"/>
  <c r="W7" i="20"/>
  <c r="V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O11" i="19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O10" i="22" l="1"/>
  <c r="W10" i="22" s="1"/>
  <c r="V9" i="22"/>
  <c r="U9" i="22"/>
  <c r="T10" i="21"/>
  <c r="W9" i="21"/>
  <c r="O10" i="21"/>
  <c r="V9" i="21"/>
  <c r="U9" i="21"/>
  <c r="J10" i="21"/>
  <c r="V8" i="20"/>
  <c r="O10" i="20"/>
  <c r="T10" i="20"/>
  <c r="B9" i="20"/>
  <c r="A9" i="20" s="1"/>
  <c r="U8" i="20"/>
  <c r="J9" i="20"/>
  <c r="V9" i="20" s="1"/>
  <c r="W11" i="19"/>
  <c r="V11" i="19"/>
  <c r="U10" i="19"/>
  <c r="U9" i="19"/>
  <c r="V9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V10" i="22" l="1"/>
  <c r="U10" i="22"/>
  <c r="U10" i="21"/>
  <c r="V10" i="21"/>
  <c r="W10" i="21"/>
  <c r="T11" i="20"/>
  <c r="O11" i="20"/>
  <c r="J10" i="20"/>
  <c r="W10" i="20" s="1"/>
  <c r="U9" i="20"/>
  <c r="B10" i="20"/>
  <c r="A10" i="20" s="1"/>
  <c r="W9" i="20"/>
  <c r="W5" i="19"/>
  <c r="V5" i="19"/>
  <c r="U5" i="19"/>
  <c r="V11" i="20" l="1"/>
  <c r="W11" i="20"/>
  <c r="B11" i="20"/>
  <c r="A11" i="20" s="1"/>
  <c r="J11" i="20"/>
  <c r="U10" i="20"/>
  <c r="V10" i="20"/>
  <c r="U11" i="20" l="1"/>
</calcChain>
</file>

<file path=xl/sharedStrings.xml><?xml version="1.0" encoding="utf-8"?>
<sst xmlns="http://schemas.openxmlformats.org/spreadsheetml/2006/main" count="881" uniqueCount="210">
  <si>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</si>
  <si>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</si>
  <si>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</si>
  <si>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</si>
  <si>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</si>
  <si>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</si>
  <si>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</si>
  <si>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</si>
  <si>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</si>
  <si>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</si>
  <si>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</si>
  <si>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</si>
  <si>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</si>
  <si>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</si>
  <si>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</si>
  <si>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</si>
  <si>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</si>
  <si>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</si>
  <si>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</si>
  <si>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</si>
  <si>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</si>
  <si>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</si>
  <si>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</si>
  <si>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</si>
  <si>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</si>
  <si>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</si>
  <si>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</si>
  <si>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</si>
  <si>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</si>
  <si>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</si>
  <si>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</si>
  <si>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</si>
  <si>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</si>
  <si>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</si>
  <si>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</si>
  <si>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</si>
  <si>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</si>
  <si>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</si>
  <si>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</si>
  <si>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</si>
  <si>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</si>
  <si>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</si>
  <si>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</si>
  <si>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</si>
  <si>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</si>
  <si>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</si>
  <si>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</si>
  <si>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</si>
  <si>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</si>
  <si>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</si>
  <si>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</si>
  <si>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</si>
  <si>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</si>
  <si>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</si>
  <si>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</si>
  <si>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</si>
  <si>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</si>
  <si>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</si>
  <si>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</si>
  <si>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</si>
  <si>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</si>
  <si>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</si>
  <si>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</si>
  <si>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</si>
  <si>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</si>
  <si>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</si>
  <si>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</si>
  <si>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</si>
  <si>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</si>
  <si>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</si>
  <si>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</si>
  <si>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</si>
  <si>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</si>
  <si>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</si>
  <si>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</si>
  <si>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</si>
  <si>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</si>
  <si>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</si>
  <si>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</si>
  <si>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</si>
  <si>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</si>
  <si>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</si>
  <si>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</si>
  <si>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</si>
  <si>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</si>
  <si>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</si>
  <si>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</si>
  <si>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</si>
  <si>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</si>
  <si>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</si>
  <si>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</si>
  <si>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</si>
  <si>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</si>
  <si>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</si>
  <si>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</si>
  <si>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</si>
  <si>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</si>
  <si>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</si>
  <si>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</si>
  <si>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</si>
  <si>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</si>
  <si>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</si>
  <si>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</si>
  <si>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</si>
  <si>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</si>
  <si>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</si>
  <si>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</si>
  <si>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</si>
  <si>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</si>
  <si>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</si>
  <si>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</si>
  <si>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</si>
  <si>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</si>
  <si>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</si>
  <si>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</si>
  <si>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</si>
  <si>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</si>
  <si>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</si>
  <si>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</si>
  <si>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</si>
  <si>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</si>
  <si>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</si>
  <si>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</si>
  <si>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</si>
  <si>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</si>
  <si>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</si>
  <si>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</si>
  <si>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</si>
  <si>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</si>
  <si>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</si>
  <si>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</si>
  <si>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</si>
  <si>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</si>
  <si>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</si>
  <si>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</si>
  <si>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</si>
  <si>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</si>
  <si>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</si>
  <si>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</si>
  <si>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</si>
  <si>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</si>
  <si>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</si>
  <si>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</si>
  <si>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</si>
  <si>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</si>
  <si>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</si>
  <si>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</si>
  <si>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</si>
  <si>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</si>
  <si>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</si>
  <si>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</si>
  <si>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</si>
  <si>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</si>
  <si>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</si>
  <si>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</si>
  <si>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</si>
  <si>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</si>
  <si>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</si>
  <si>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</si>
  <si>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</si>
  <si>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</si>
  <si>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</si>
  <si>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</si>
  <si>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</si>
  <si>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</si>
  <si>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</si>
  <si>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</si>
  <si>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</si>
  <si>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</si>
  <si>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</si>
  <si>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</si>
  <si>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</si>
  <si>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</si>
  <si>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</si>
  <si>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</si>
  <si>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</si>
  <si>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</si>
  <si>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</si>
  <si>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</si>
  <si>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</si>
  <si>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</si>
  <si>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</si>
  <si>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</si>
  <si>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</si>
  <si>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</si>
  <si>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</si>
  <si>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</si>
  <si>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</si>
  <si>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</si>
  <si>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</si>
  <si>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</si>
  <si>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  <phoneticPr fontId="1"/>
  </si>
  <si>
    <t>だいち</t>
    <phoneticPr fontId="1"/>
  </si>
  <si>
    <t>まっつん</t>
    <phoneticPr fontId="1"/>
  </si>
  <si>
    <t>ツモ支払</t>
  </si>
  <si>
    <t>ツモ</t>
  </si>
  <si>
    <t>*</t>
  </si>
  <si>
    <t>01</t>
  </si>
  <si>
    <t>52</t>
  </si>
  <si>
    <t>ロン</t>
  </si>
  <si>
    <t>放銃</t>
  </si>
  <si>
    <t>02</t>
  </si>
  <si>
    <t>T</t>
  </si>
  <si>
    <t>N</t>
  </si>
  <si>
    <t>流局</t>
    <phoneticPr fontId="1"/>
  </si>
  <si>
    <t>まっつん</t>
    <phoneticPr fontId="1"/>
  </si>
  <si>
    <t>だいち</t>
    <phoneticPr fontId="1"/>
  </si>
  <si>
    <t>れんたろう</t>
    <phoneticPr fontId="1"/>
  </si>
  <si>
    <t>チョンボ</t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</si>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</sst>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191</v>
      </c>
      <c r="G1" s="78"/>
      <c r="H1" s="78"/>
      <c r="I1" s="79"/>
      <c r="J1" s="80"/>
      <c r="K1" s="77" t="s">
        <v>192</v>
      </c>
      <c r="L1" s="78"/>
      <c r="M1" s="78"/>
      <c r="N1" s="79"/>
      <c r="O1" s="80"/>
      <c r="P1" s="77" t="s">
        <v>193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ただ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だいち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まっつん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だいち</v>
      </c>
      <c r="W2" s="16" t="str">
        <f>$P$1</f>
        <v>まっつん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 t="s">
        <v>194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195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194</v>
      </c>
      <c r="Q4" s="9">
        <v>-4500</v>
      </c>
      <c r="R4" s="9"/>
      <c r="S4" s="48">
        <v>0</v>
      </c>
      <c r="T4" s="21">
        <f>IF(COUNTA($F4,$K4,$P4)&gt;0,T3+SUM(Q4:S4),"")</f>
        <v>30500</v>
      </c>
      <c r="U4" s="53">
        <f>IF($J4="","",ROUND(($J4-$J$3)/1000,1)+(_xlfn.RANK.AVG($J4,($J4,$O4,$T4),1)-2)*10)</f>
        <v>-17.5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-4.5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7</v>
      </c>
      <c r="AY4" s="30" t="s">
        <v>196</v>
      </c>
      <c r="AZ4" s="40" t="s">
        <v>197</v>
      </c>
      <c r="BA4" s="41" t="s">
        <v>82</v>
      </c>
      <c r="BB4" s="41" t="s">
        <v>101</v>
      </c>
      <c r="BC4" s="41" t="s">
        <v>198</v>
      </c>
      <c r="BD4" s="41" t="s">
        <v>79</v>
      </c>
      <c r="BE4" s="41" t="s">
        <v>79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/>
      <c r="G5" s="9"/>
      <c r="H5" s="9"/>
      <c r="I5" s="48"/>
      <c r="J5" s="21">
        <f t="shared" ref="J5:J30" si="2">IF(COUNTA($F5,$K5,$P5)&gt;0,J4+SUM(G5:I5),"")</f>
        <v>27500</v>
      </c>
      <c r="K5" s="8" t="s">
        <v>199</v>
      </c>
      <c r="L5" s="9">
        <v>18000</v>
      </c>
      <c r="M5" s="9"/>
      <c r="N5" s="48">
        <v>0</v>
      </c>
      <c r="O5" s="21">
        <f t="shared" ref="O5:O30" si="3">IF(COUNTA($F5,$K5,$P5)&gt;0,O4+SUM(L5:N5),"")</f>
        <v>65000</v>
      </c>
      <c r="P5" s="8" t="s">
        <v>200</v>
      </c>
      <c r="Q5" s="9">
        <v>-18000</v>
      </c>
      <c r="R5" s="9"/>
      <c r="S5" s="48">
        <v>0</v>
      </c>
      <c r="T5" s="21">
        <f t="shared" ref="T5:T30" si="4">IF(COUNTA($F5,$K5,$P5)&gt;0,T4+SUM(Q5:S5),"")</f>
        <v>12500</v>
      </c>
      <c r="U5" s="53">
        <f>IF($J5="","",ROUND(($J5-$J$3)/1000,1)+(_xlfn.RANK.AVG($J5,($J5,$O5,$T5),1)-2)*10)</f>
        <v>-7.5</v>
      </c>
      <c r="V5" s="54">
        <f>IF($O5="","",ROUND(($O5-$O$3)/1000,1)+(_xlfn.RANK.AVG($O5,($J5,$O5,$T5),1)-2)*10)</f>
        <v>40</v>
      </c>
      <c r="W5" s="55">
        <f>IF($T5="","",ROUND(($T5-$T$3)/1000,1)+(_xlfn.RANK.AVG($T5,($J5,$O5,$T5),1)-2)*10)</f>
        <v>-32.5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6</v>
      </c>
      <c r="AY5" s="30" t="s">
        <v>196</v>
      </c>
      <c r="AZ5" s="40" t="s">
        <v>83</v>
      </c>
      <c r="BA5" s="41" t="s">
        <v>84</v>
      </c>
      <c r="BB5" s="41" t="s">
        <v>198</v>
      </c>
      <c r="BC5" s="41" t="s">
        <v>198</v>
      </c>
      <c r="BD5" s="41" t="s">
        <v>79</v>
      </c>
      <c r="BE5" s="41" t="s">
        <v>79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だいち</v>
      </c>
      <c r="F6" s="8" t="s">
        <v>195</v>
      </c>
      <c r="G6" s="9">
        <v>7700</v>
      </c>
      <c r="H6" s="9">
        <v>1000</v>
      </c>
      <c r="I6" s="48">
        <v>1000</v>
      </c>
      <c r="J6" s="21">
        <f t="shared" si="2"/>
        <v>37200</v>
      </c>
      <c r="K6" s="8" t="s">
        <v>194</v>
      </c>
      <c r="L6" s="9">
        <v>-4800</v>
      </c>
      <c r="M6" s="9">
        <v>-1000</v>
      </c>
      <c r="N6" s="48">
        <v>-500</v>
      </c>
      <c r="O6" s="21">
        <f t="shared" si="3"/>
        <v>58700</v>
      </c>
      <c r="P6" s="8" t="s">
        <v>194</v>
      </c>
      <c r="Q6" s="9">
        <v>-2900</v>
      </c>
      <c r="R6" s="9"/>
      <c r="S6" s="48">
        <v>-500</v>
      </c>
      <c r="T6" s="21">
        <f t="shared" si="4"/>
        <v>9100</v>
      </c>
      <c r="U6" s="53">
        <f>IF($J6="","",ROUND(($J6-$J$3)/1000,1)+(_xlfn.RANK.AVG($J6,($J6,$O6,$T6),1)-2)*10)</f>
        <v>2.2000000000000002</v>
      </c>
      <c r="V6" s="54">
        <f>IF($O6="","",ROUND(($O6-$O$3)/1000,1)+(_xlfn.RANK.AVG($O6,($J6,$O6,$T6),1)-2)*10)</f>
        <v>33.700000000000003</v>
      </c>
      <c r="W6" s="55">
        <f>IF($T6="","",ROUND(($T6-$T$3)/1000,1)+(_xlfn.RANK.AVG($T6,($J6,$O6,$T6),1)-2)*10)</f>
        <v>-35.9</v>
      </c>
      <c r="Y6" s="8"/>
      <c r="Z6" s="34"/>
      <c r="AA6" s="26">
        <v>1</v>
      </c>
      <c r="AB6" s="26"/>
      <c r="AC6" s="26">
        <v>4</v>
      </c>
      <c r="AD6" s="30">
        <v>30</v>
      </c>
      <c r="AE6" s="40" t="s">
        <v>197</v>
      </c>
      <c r="AF6" s="41" t="s">
        <v>82</v>
      </c>
      <c r="AG6" s="41" t="s">
        <v>201</v>
      </c>
      <c r="AH6" s="41" t="s">
        <v>198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まっつん</v>
      </c>
      <c r="F7" s="8" t="s">
        <v>204</v>
      </c>
      <c r="G7" s="9">
        <v>1500</v>
      </c>
      <c r="H7" s="9">
        <v>-1000</v>
      </c>
      <c r="I7" s="48"/>
      <c r="J7" s="21">
        <f t="shared" si="2"/>
        <v>37700</v>
      </c>
      <c r="K7" s="8" t="s">
        <v>204</v>
      </c>
      <c r="L7" s="9">
        <v>1500</v>
      </c>
      <c r="M7" s="9"/>
      <c r="N7" s="48"/>
      <c r="O7" s="21">
        <f t="shared" si="3"/>
        <v>60200</v>
      </c>
      <c r="P7" s="8" t="s">
        <v>204</v>
      </c>
      <c r="Q7" s="9">
        <v>-3000</v>
      </c>
      <c r="R7" s="9"/>
      <c r="S7" s="48"/>
      <c r="T7" s="21">
        <f t="shared" si="4"/>
        <v>6100</v>
      </c>
      <c r="U7" s="53">
        <f>IF($J7="","",ROUND(($J7-$J$3)/1000,1)+(_xlfn.RANK.AVG($J7,($J7,$O7,$T7),1)-2)*10)</f>
        <v>2.7</v>
      </c>
      <c r="V7" s="54">
        <f>IF($O7="","",ROUND(($O7-$O$3)/1000,1)+(_xlfn.RANK.AVG($O7,($J7,$O7,$T7),1)-2)*10)</f>
        <v>35.200000000000003</v>
      </c>
      <c r="W7" s="55">
        <f>IF($T7="","",ROUND(($T7-$T$3)/1000,1)+(_xlfn.RANK.AVG($T7,($J7,$O7,$T7),1)-2)*10)</f>
        <v>-38.9</v>
      </c>
      <c r="Y7" s="8" t="s">
        <v>202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202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203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1</v>
      </c>
      <c r="E8" s="4" t="str">
        <f>IF($F$1="","",$F$1)</f>
        <v>ただ</v>
      </c>
      <c r="F8" s="8" t="s">
        <v>200</v>
      </c>
      <c r="G8" s="9">
        <v>-8000</v>
      </c>
      <c r="H8" s="9"/>
      <c r="I8" s="48">
        <v>-1000</v>
      </c>
      <c r="J8" s="21">
        <f t="shared" si="2"/>
        <v>28700</v>
      </c>
      <c r="K8" s="8" t="s">
        <v>199</v>
      </c>
      <c r="L8" s="9">
        <v>8000</v>
      </c>
      <c r="M8" s="9">
        <v>1000</v>
      </c>
      <c r="N8" s="48">
        <v>1000</v>
      </c>
      <c r="O8" s="21">
        <f t="shared" si="3"/>
        <v>70200</v>
      </c>
      <c r="P8" s="8"/>
      <c r="Q8" s="9"/>
      <c r="R8" s="9"/>
      <c r="S8" s="48"/>
      <c r="T8" s="21">
        <f t="shared" si="4"/>
        <v>6100</v>
      </c>
      <c r="U8" s="53">
        <f>IF($J8="","",ROUND(($J8-$J$3)/1000,1)+(_xlfn.RANK.AVG($J8,($J8,$O8,$T8),1)-2)*10)</f>
        <v>-6.3</v>
      </c>
      <c r="V8" s="54">
        <f>IF($O8="","",ROUND(($O8-$O$3)/1000,1)+(_xlfn.RANK.AVG($O8,($J8,$O8,$T8),1)-2)*10)</f>
        <v>45.2</v>
      </c>
      <c r="W8" s="55">
        <f>IF($T8="","",ROUND(($T8-$T$3)/1000,1)+(_xlfn.RANK.AVG($T8,($J8,$O8,$T8),1)-2)*10)</f>
        <v>-38.9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3</v>
      </c>
      <c r="AY8" s="30">
        <v>70</v>
      </c>
      <c r="AZ8" s="40" t="s">
        <v>197</v>
      </c>
      <c r="BA8" s="41" t="s">
        <v>79</v>
      </c>
      <c r="BB8" s="41" t="s">
        <v>80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だいち</v>
      </c>
      <c r="F9" s="8" t="s">
        <v>199</v>
      </c>
      <c r="G9" s="9">
        <v>2600</v>
      </c>
      <c r="H9" s="9">
        <v>1000</v>
      </c>
      <c r="I9" s="48">
        <v>0</v>
      </c>
      <c r="J9" s="21">
        <f t="shared" si="2"/>
        <v>32300</v>
      </c>
      <c r="K9" s="8" t="s">
        <v>200</v>
      </c>
      <c r="L9" s="9">
        <v>-2600</v>
      </c>
      <c r="M9" s="9">
        <v>-1000</v>
      </c>
      <c r="N9" s="48">
        <v>0</v>
      </c>
      <c r="O9" s="21">
        <f t="shared" si="3"/>
        <v>66600</v>
      </c>
      <c r="P9" s="8"/>
      <c r="Q9" s="9"/>
      <c r="R9" s="9"/>
      <c r="S9" s="48"/>
      <c r="T9" s="21">
        <f t="shared" si="4"/>
        <v>6100</v>
      </c>
      <c r="U9" s="53">
        <f>IF($J9="","",ROUND(($J9-$J$3)/1000,1)+(_xlfn.RANK.AVG($J9,($J9,$O9,$T9),1)-2)*10)</f>
        <v>-2.7</v>
      </c>
      <c r="V9" s="54">
        <f>IF($O9="","",ROUND(($O9-$O$3)/1000,1)+(_xlfn.RANK.AVG($O9,($J9,$O9,$T9),1)-2)*10)</f>
        <v>41.6</v>
      </c>
      <c r="W9" s="55">
        <f>IF($T9="","",ROUND(($T9-$T$3)/1000,1)+(_xlfn.RANK.AVG($T9,($J9,$O9,$T9),1)-2)*10)</f>
        <v>-38.9</v>
      </c>
      <c r="Y9" s="8"/>
      <c r="Z9" s="34"/>
      <c r="AA9" s="26">
        <v>1</v>
      </c>
      <c r="AB9" s="26"/>
      <c r="AC9" s="26">
        <v>2</v>
      </c>
      <c r="AD9" s="30">
        <v>40</v>
      </c>
      <c r="AE9" s="40" t="s">
        <v>197</v>
      </c>
      <c r="AF9" s="41" t="s">
        <v>198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まっつん</v>
      </c>
      <c r="F10" s="8" t="s">
        <v>194</v>
      </c>
      <c r="G10" s="9">
        <v>-9000</v>
      </c>
      <c r="H10" s="9"/>
      <c r="I10" s="48">
        <v>0</v>
      </c>
      <c r="J10" s="21">
        <f t="shared" si="2"/>
        <v>23300</v>
      </c>
      <c r="K10" s="8" t="s">
        <v>194</v>
      </c>
      <c r="L10" s="9">
        <v>-9000</v>
      </c>
      <c r="M10" s="9"/>
      <c r="N10" s="48">
        <v>0</v>
      </c>
      <c r="O10" s="21">
        <f t="shared" si="3"/>
        <v>57600</v>
      </c>
      <c r="P10" s="8" t="s">
        <v>195</v>
      </c>
      <c r="Q10" s="9">
        <v>18000</v>
      </c>
      <c r="R10" s="9"/>
      <c r="S10" s="48">
        <v>0</v>
      </c>
      <c r="T10" s="21">
        <f t="shared" si="4"/>
        <v>24100</v>
      </c>
      <c r="U10" s="53">
        <f>IF($J10="","",ROUND(($J10-$J$3)/1000,1)+(_xlfn.RANK.AVG($J10,($J10,$O10,$T10),1)-2)*10)</f>
        <v>-21.7</v>
      </c>
      <c r="V10" s="54">
        <f>IF($O10="","",ROUND(($O10-$O$3)/1000,1)+(_xlfn.RANK.AVG($O10,($J10,$O10,$T10),1)-2)*10)</f>
        <v>32.6</v>
      </c>
      <c r="W10" s="55">
        <f>IF($T10="","",ROUND(($T10-$T$3)/1000,1)+(_xlfn.RANK.AVG($T10,($J10,$O10,$T10),1)-2)*10)</f>
        <v>-10.9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7</v>
      </c>
      <c r="BT10" s="30" t="s">
        <v>196</v>
      </c>
      <c r="BU10" s="40" t="s">
        <v>197</v>
      </c>
      <c r="BV10" s="41" t="s">
        <v>82</v>
      </c>
      <c r="BW10" s="41" t="s">
        <v>84</v>
      </c>
      <c r="BX10" s="41" t="s">
        <v>198</v>
      </c>
      <c r="BY10" s="41" t="s">
        <v>79</v>
      </c>
      <c r="BZ10" s="41" t="s">
        <v>79</v>
      </c>
      <c r="CA10" s="41" t="s">
        <v>79</v>
      </c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tr">
        <f>IF($P$1="","",$P$1)</f>
        <v>まっつん</v>
      </c>
      <c r="F11" s="8" t="s">
        <v>195</v>
      </c>
      <c r="G11" s="9">
        <v>4000</v>
      </c>
      <c r="H11" s="9"/>
      <c r="I11" s="48">
        <v>1000</v>
      </c>
      <c r="J11" s="21">
        <f t="shared" si="2"/>
        <v>28300</v>
      </c>
      <c r="K11" s="8" t="s">
        <v>194</v>
      </c>
      <c r="L11" s="9">
        <v>-1500</v>
      </c>
      <c r="M11" s="9"/>
      <c r="N11" s="48">
        <v>-500</v>
      </c>
      <c r="O11" s="21">
        <f t="shared" si="3"/>
        <v>55600</v>
      </c>
      <c r="P11" s="8" t="s">
        <v>194</v>
      </c>
      <c r="Q11" s="9">
        <v>-2500</v>
      </c>
      <c r="R11" s="9"/>
      <c r="S11" s="48">
        <v>-500</v>
      </c>
      <c r="T11" s="21">
        <f t="shared" si="4"/>
        <v>21100</v>
      </c>
      <c r="U11" s="53">
        <f>IF($J11="","",ROUND(($J11-$J$3)/1000,1)+(_xlfn.RANK.AVG($J11,($J11,$O11,$T11),1)-2)*10)</f>
        <v>-6.7</v>
      </c>
      <c r="V11" s="54">
        <f>IF($O11="","",ROUND(($O11-$O$3)/1000,1)+(_xlfn.RANK.AVG($O11,($J11,$O11,$T11),1)-2)*10)</f>
        <v>30.6</v>
      </c>
      <c r="W11" s="55">
        <f>IF($T11="","",ROUND(($T11-$T$3)/1000,1)+(_xlfn.RANK.AVG($T11,($J11,$O11,$T11),1)-2)*10)</f>
        <v>-23.9</v>
      </c>
      <c r="Y11" s="8"/>
      <c r="Z11" s="34"/>
      <c r="AA11" s="26"/>
      <c r="AB11" s="26">
        <v>1</v>
      </c>
      <c r="AC11" s="26">
        <v>3</v>
      </c>
      <c r="AD11" s="30">
        <v>30</v>
      </c>
      <c r="AE11" s="40" t="s">
        <v>86</v>
      </c>
      <c r="AF11" s="41" t="s">
        <v>198</v>
      </c>
      <c r="AG11" s="41" t="s">
        <v>198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0CE52274-0DE4-4D97-8428-ECBF473DC30F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0FAE6-4E81-4D06-B621-C8A71799F9E0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205</v>
      </c>
      <c r="G1" s="78"/>
      <c r="H1" s="78"/>
      <c r="I1" s="79"/>
      <c r="J1" s="80"/>
      <c r="K1" s="77" t="s">
        <v>191</v>
      </c>
      <c r="L1" s="78"/>
      <c r="M1" s="78"/>
      <c r="N1" s="79"/>
      <c r="O1" s="80"/>
      <c r="P1" s="77" t="s">
        <v>206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まっつん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だいち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ただ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194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195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194</v>
      </c>
      <c r="Q4" s="9">
        <v>-4500</v>
      </c>
      <c r="R4" s="9"/>
      <c r="S4" s="48">
        <v>0</v>
      </c>
      <c r="T4" s="21">
        <f>IF(COUNTA($F4,$K4,$P4)&gt;0,T3+SUM(Q4:S4),"")</f>
        <v>30500</v>
      </c>
      <c r="U4" s="53">
        <f>IF($J4="","",ROUND(($J4-$J$3)/1000,1)+(_xlfn.RANK.AVG($J4,($J4,$O4,$T4),1)-2)*10)</f>
        <v>-17.5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-4.5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6</v>
      </c>
      <c r="AY4" s="30" t="s">
        <v>196</v>
      </c>
      <c r="AZ4" s="40" t="s">
        <v>83</v>
      </c>
      <c r="BA4" s="41" t="s">
        <v>82</v>
      </c>
      <c r="BB4" s="41" t="s">
        <v>79</v>
      </c>
      <c r="BC4" s="41" t="s">
        <v>79</v>
      </c>
      <c r="BD4" s="41" t="s">
        <v>198</v>
      </c>
      <c r="BE4" s="41" t="s">
        <v>198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194</v>
      </c>
      <c r="G5" s="9">
        <v>-6000</v>
      </c>
      <c r="H5" s="9"/>
      <c r="I5" s="48">
        <v>0</v>
      </c>
      <c r="J5" s="21">
        <f t="shared" ref="J5:J30" si="2">IF(COUNTA($F5,$K5,$P5)&gt;0,J4+SUM(G5:I5),"")</f>
        <v>21500</v>
      </c>
      <c r="K5" s="8" t="s">
        <v>194</v>
      </c>
      <c r="L5" s="9">
        <v>-10000</v>
      </c>
      <c r="M5" s="9"/>
      <c r="N5" s="48">
        <v>0</v>
      </c>
      <c r="O5" s="21">
        <f t="shared" ref="O5:O30" si="3">IF(COUNTA($F5,$K5,$P5)&gt;0,O4+SUM(L5:N5),"")</f>
        <v>37000</v>
      </c>
      <c r="P5" s="8" t="s">
        <v>195</v>
      </c>
      <c r="Q5" s="9">
        <v>16000</v>
      </c>
      <c r="R5" s="9"/>
      <c r="S5" s="48">
        <v>0</v>
      </c>
      <c r="T5" s="21">
        <f t="shared" ref="T5:T30" si="4">IF(COUNTA($F5,$K5,$P5)&gt;0,T4+SUM(Q5:S5),"")</f>
        <v>46500</v>
      </c>
      <c r="U5" s="53">
        <f>IF($J5="","",ROUND(($J5-$J$3)/1000,1)+(_xlfn.RANK.AVG($J5,($J5,$O5,$T5),1)-2)*10)</f>
        <v>-23.5</v>
      </c>
      <c r="V5" s="54">
        <f>IF($O5="","",ROUND(($O5-$O$3)/1000,1)+(_xlfn.RANK.AVG($O5,($J5,$O5,$T5),1)-2)*10)</f>
        <v>2</v>
      </c>
      <c r="W5" s="55">
        <f>IF($T5="","",ROUND(($T5-$T$3)/1000,1)+(_xlfn.RANK.AVG($T5,($J5,$O5,$T5),1)-2)*10)</f>
        <v>21.5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8</v>
      </c>
      <c r="BT5" s="30" t="s">
        <v>196</v>
      </c>
      <c r="BU5" s="40" t="s">
        <v>197</v>
      </c>
      <c r="BV5" s="41" t="s">
        <v>82</v>
      </c>
      <c r="BW5" s="41" t="s">
        <v>198</v>
      </c>
      <c r="BX5" s="41" t="s">
        <v>198</v>
      </c>
      <c r="BY5" s="41" t="s">
        <v>80</v>
      </c>
      <c r="BZ5" s="41" t="s">
        <v>80</v>
      </c>
      <c r="CA5" s="41" t="s">
        <v>80</v>
      </c>
      <c r="CB5" s="41" t="s">
        <v>85</v>
      </c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194</v>
      </c>
      <c r="G6" s="9">
        <v>-2400</v>
      </c>
      <c r="H6" s="9"/>
      <c r="I6" s="48">
        <v>0</v>
      </c>
      <c r="J6" s="21">
        <f t="shared" si="2"/>
        <v>19100</v>
      </c>
      <c r="K6" s="8" t="s">
        <v>195</v>
      </c>
      <c r="L6" s="9">
        <v>6400</v>
      </c>
      <c r="M6" s="9"/>
      <c r="N6" s="48">
        <v>0</v>
      </c>
      <c r="O6" s="21">
        <f t="shared" si="3"/>
        <v>43400</v>
      </c>
      <c r="P6" s="8" t="s">
        <v>194</v>
      </c>
      <c r="Q6" s="9">
        <v>-4000</v>
      </c>
      <c r="R6" s="9"/>
      <c r="S6" s="48">
        <v>0</v>
      </c>
      <c r="T6" s="21">
        <f t="shared" si="4"/>
        <v>42500</v>
      </c>
      <c r="U6" s="53">
        <f>IF($J6="","",ROUND(($J6-$J$3)/1000,1)+(_xlfn.RANK.AVG($J6,($J6,$O6,$T6),1)-2)*10)</f>
        <v>-25.9</v>
      </c>
      <c r="V6" s="54">
        <f>IF($O6="","",ROUND(($O6-$O$3)/1000,1)+(_xlfn.RANK.AVG($O6,($J6,$O6,$T6),1)-2)*10)</f>
        <v>18.399999999999999</v>
      </c>
      <c r="W6" s="55">
        <f>IF($T6="","",ROUND(($T6-$T$3)/1000,1)+(_xlfn.RANK.AVG($T6,($J6,$O6,$T6),1)-2)*10)</f>
        <v>7.5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4</v>
      </c>
      <c r="AY6" s="30">
        <v>25</v>
      </c>
      <c r="AZ6" s="40" t="s">
        <v>197</v>
      </c>
      <c r="BA6" s="41" t="s">
        <v>198</v>
      </c>
      <c r="BB6" s="41" t="s">
        <v>101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まっつん</v>
      </c>
      <c r="F7" s="8" t="s">
        <v>195</v>
      </c>
      <c r="G7" s="9">
        <v>12000</v>
      </c>
      <c r="H7" s="9"/>
      <c r="I7" s="48">
        <v>0</v>
      </c>
      <c r="J7" s="21">
        <f t="shared" si="2"/>
        <v>31100</v>
      </c>
      <c r="K7" s="8" t="s">
        <v>194</v>
      </c>
      <c r="L7" s="9">
        <v>-6000</v>
      </c>
      <c r="M7" s="9"/>
      <c r="N7" s="48">
        <v>0</v>
      </c>
      <c r="O7" s="21">
        <f t="shared" si="3"/>
        <v>37400</v>
      </c>
      <c r="P7" s="8" t="s">
        <v>194</v>
      </c>
      <c r="Q7" s="9">
        <v>-6000</v>
      </c>
      <c r="R7" s="9"/>
      <c r="S7" s="48">
        <v>0</v>
      </c>
      <c r="T7" s="21">
        <f t="shared" si="4"/>
        <v>36500</v>
      </c>
      <c r="U7" s="53">
        <f>IF($J7="","",ROUND(($J7-$J$3)/1000,1)+(_xlfn.RANK.AVG($J7,($J7,$O7,$T7),1)-2)*10)</f>
        <v>-13.9</v>
      </c>
      <c r="V7" s="54">
        <f>IF($O7="","",ROUND(($O7-$O$3)/1000,1)+(_xlfn.RANK.AVG($O7,($J7,$O7,$T7),1)-2)*10)</f>
        <v>12.4</v>
      </c>
      <c r="W7" s="55">
        <f>IF($T7="","",ROUND(($T7-$T$3)/1000,1)+(_xlfn.RANK.AVG($T7,($J7,$O7,$T7),1)-2)*10)</f>
        <v>1.5</v>
      </c>
      <c r="Y7" s="8"/>
      <c r="Z7" s="34"/>
      <c r="AA7" s="26">
        <v>1</v>
      </c>
      <c r="AB7" s="26"/>
      <c r="AC7" s="26">
        <v>5</v>
      </c>
      <c r="AD7" s="30" t="s">
        <v>196</v>
      </c>
      <c r="AE7" s="40" t="s">
        <v>91</v>
      </c>
      <c r="AF7" s="41" t="s">
        <v>82</v>
      </c>
      <c r="AG7" s="41" t="s">
        <v>83</v>
      </c>
      <c r="AH7" s="41" t="s">
        <v>80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IF($F$1="","",$F$1)</f>
        <v>まっつん</v>
      </c>
      <c r="F8" s="8" t="s">
        <v>194</v>
      </c>
      <c r="G8" s="9">
        <v>-2500</v>
      </c>
      <c r="H8" s="9">
        <v>-1000</v>
      </c>
      <c r="I8" s="48">
        <v>-500</v>
      </c>
      <c r="J8" s="21">
        <f t="shared" si="2"/>
        <v>27100</v>
      </c>
      <c r="K8" s="8" t="s">
        <v>195</v>
      </c>
      <c r="L8" s="9">
        <v>4000</v>
      </c>
      <c r="M8" s="9">
        <v>1000</v>
      </c>
      <c r="N8" s="48">
        <v>1000</v>
      </c>
      <c r="O8" s="21">
        <f t="shared" si="3"/>
        <v>43400</v>
      </c>
      <c r="P8" s="8" t="s">
        <v>194</v>
      </c>
      <c r="Q8" s="9">
        <v>-1500</v>
      </c>
      <c r="R8" s="9"/>
      <c r="S8" s="48">
        <v>-500</v>
      </c>
      <c r="T8" s="21">
        <f t="shared" si="4"/>
        <v>34500</v>
      </c>
      <c r="U8" s="53">
        <f>IF($J8="","",ROUND(($J8-$J$3)/1000,1)+(_xlfn.RANK.AVG($J8,($J8,$O8,$T8),1)-2)*10)</f>
        <v>-17.899999999999999</v>
      </c>
      <c r="V8" s="54">
        <f>IF($O8="","",ROUND(($O8-$O$3)/1000,1)+(_xlfn.RANK.AVG($O8,($J8,$O8,$T8),1)-2)*10)</f>
        <v>18.399999999999999</v>
      </c>
      <c r="W8" s="55">
        <f>IF($T8="","",ROUND(($T8-$T$3)/1000,1)+(_xlfn.RANK.AVG($T8,($J8,$O8,$T8),1)-2)*10)</f>
        <v>-0.5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3</v>
      </c>
      <c r="AY8" s="30">
        <v>30</v>
      </c>
      <c r="AZ8" s="40" t="s">
        <v>82</v>
      </c>
      <c r="BA8" s="41" t="s">
        <v>85</v>
      </c>
      <c r="BB8" s="41" t="s">
        <v>198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ただ</v>
      </c>
      <c r="F9" s="8"/>
      <c r="G9" s="9"/>
      <c r="H9" s="9"/>
      <c r="I9" s="48"/>
      <c r="J9" s="21">
        <f t="shared" si="2"/>
        <v>27100</v>
      </c>
      <c r="K9" s="8" t="s">
        <v>200</v>
      </c>
      <c r="L9" s="9">
        <v>-2000</v>
      </c>
      <c r="M9" s="9"/>
      <c r="N9" s="48">
        <v>0</v>
      </c>
      <c r="O9" s="21">
        <f t="shared" si="3"/>
        <v>41400</v>
      </c>
      <c r="P9" s="8" t="s">
        <v>199</v>
      </c>
      <c r="Q9" s="9">
        <v>2000</v>
      </c>
      <c r="R9" s="9"/>
      <c r="S9" s="48">
        <v>0</v>
      </c>
      <c r="T9" s="21">
        <f t="shared" si="4"/>
        <v>36500</v>
      </c>
      <c r="U9" s="53">
        <f>IF($J9="","",ROUND(($J9-$J$3)/1000,1)+(_xlfn.RANK.AVG($J9,($J9,$O9,$T9),1)-2)*10)</f>
        <v>-17.899999999999999</v>
      </c>
      <c r="V9" s="54">
        <f>IF($O9="","",ROUND(($O9-$O$3)/1000,1)+(_xlfn.RANK.AVG($O9,($J9,$O9,$T9),1)-2)*10)</f>
        <v>16.399999999999999</v>
      </c>
      <c r="W9" s="55">
        <f>IF($T9="","",ROUND(($T9-$T$3)/1000,1)+(_xlfn.RANK.AVG($T9,($J9,$O9,$T9),1)-2)*10)</f>
        <v>1.5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30</v>
      </c>
      <c r="BU9" s="40" t="s">
        <v>86</v>
      </c>
      <c r="BV9" s="41" t="s">
        <v>198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だいち</v>
      </c>
      <c r="F10" s="8" t="s">
        <v>194</v>
      </c>
      <c r="G10" s="9">
        <v>-3000</v>
      </c>
      <c r="H10" s="9"/>
      <c r="I10" s="48">
        <v>0</v>
      </c>
      <c r="J10" s="21">
        <f t="shared" si="2"/>
        <v>24100</v>
      </c>
      <c r="K10" s="8" t="s">
        <v>195</v>
      </c>
      <c r="L10" s="9">
        <v>8000</v>
      </c>
      <c r="M10" s="9"/>
      <c r="N10" s="48">
        <v>0</v>
      </c>
      <c r="O10" s="21">
        <f t="shared" si="3"/>
        <v>49400</v>
      </c>
      <c r="P10" s="8" t="s">
        <v>194</v>
      </c>
      <c r="Q10" s="9">
        <v>-5000</v>
      </c>
      <c r="R10" s="9"/>
      <c r="S10" s="48">
        <v>0</v>
      </c>
      <c r="T10" s="21">
        <f t="shared" si="4"/>
        <v>31500</v>
      </c>
      <c r="U10" s="53">
        <f>IF($J10="","",ROUND(($J10-$J$3)/1000,1)+(_xlfn.RANK.AVG($J10,($J10,$O10,$T10),1)-2)*10)</f>
        <v>-20.9</v>
      </c>
      <c r="V10" s="54">
        <f>IF($O10="","",ROUND(($O10-$O$3)/1000,1)+(_xlfn.RANK.AVG($O10,($J10,$O10,$T10),1)-2)*10)</f>
        <v>24.4</v>
      </c>
      <c r="W10" s="55">
        <f>IF($T10="","",ROUND(($T10-$T$3)/1000,1)+(_xlfn.RANK.AVG($T10,($J10,$O10,$T10),1)-2)*10)</f>
        <v>-3.5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5</v>
      </c>
      <c r="AY10" s="30" t="s">
        <v>196</v>
      </c>
      <c r="AZ10" s="40" t="s">
        <v>82</v>
      </c>
      <c r="BA10" s="41" t="s">
        <v>86</v>
      </c>
      <c r="BB10" s="41" t="s">
        <v>96</v>
      </c>
      <c r="BC10" s="41" t="s">
        <v>89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showInputMessage="1" showErrorMessage="1" sqref="K4:K30 P4:P30 F4:F30" xr:uid="{D212F0E3-7204-4905-A28D-75F00FE8CE66}">
      <formula1>"ロン,ツモ,放銃,ツモ支払,流局,チョンボ"</formula1>
    </dataValidation>
    <dataValidation type="list" allowBlank="1" showInputMessage="1" showErrorMessage="1" sqref="E4:E30" xr:uid="{C9484CC6-151D-44AB-89A3-821CC11D84A7}">
      <formula1>$U$2:$W$2</formula1>
    </dataValidation>
    <dataValidation type="list" allowBlank="1" showInputMessage="1" sqref="F1:T1" xr:uid="{411DB511-D17D-4D20-9BE5-10C0A9FDA9E8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1E57C-6724-4BDC-B623-D1AE9DED78FC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207</v>
      </c>
      <c r="G1" s="78"/>
      <c r="H1" s="78"/>
      <c r="I1" s="79"/>
      <c r="J1" s="80"/>
      <c r="K1" s="77" t="s">
        <v>192</v>
      </c>
      <c r="L1" s="78"/>
      <c r="M1" s="78"/>
      <c r="N1" s="79"/>
      <c r="O1" s="80"/>
      <c r="P1" s="77" t="s">
        <v>191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れんたろう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だいち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ただ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れんたろう</v>
      </c>
      <c r="V2" s="76" t="str">
        <f>$K$1</f>
        <v>だいち</v>
      </c>
      <c r="W2" s="16" t="str">
        <f>$P$1</f>
        <v>ただ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208</v>
      </c>
      <c r="G4" s="9">
        <v>-12000</v>
      </c>
      <c r="H4" s="9">
        <v>-1000</v>
      </c>
      <c r="I4" s="48"/>
      <c r="J4" s="21">
        <f>IF(COUNTA($F4,$K4,$P4)&gt;0,J3+SUM(G4:I4),"")</f>
        <v>22000</v>
      </c>
      <c r="K4" s="8" t="s">
        <v>208</v>
      </c>
      <c r="L4" s="9">
        <v>6000</v>
      </c>
      <c r="M4" s="9"/>
      <c r="N4" s="48"/>
      <c r="O4" s="21">
        <f>IF(COUNTA($F4,$K4,$P4)&gt;0,O3+SUM(L4:N4),"")</f>
        <v>41000</v>
      </c>
      <c r="P4" s="8" t="s">
        <v>208</v>
      </c>
      <c r="Q4" s="9">
        <v>6000</v>
      </c>
      <c r="R4" s="9"/>
      <c r="S4" s="48"/>
      <c r="T4" s="21">
        <f>IF(COUNTA($F4,$K4,$P4)&gt;0,T3+SUM(Q4:S4),"")</f>
        <v>41000</v>
      </c>
      <c r="U4" s="53">
        <f>IF($J4="","",ROUND(($J4-$J$3)/1000,1)+(_xlfn.RANK.AVG($J4,($J4,$O4,$T4),1)-2)*10)</f>
        <v>-23</v>
      </c>
      <c r="V4" s="54">
        <f>IF($O4="","",ROUND(($O4-$O$3)/1000,1)+(_xlfn.RANK.AVG($O4,($J4,$O4,$T4),1)-2)*10)</f>
        <v>11</v>
      </c>
      <c r="W4" s="55">
        <f>IF($T4="","",ROUND(($T4-$T$3)/1000,1)+(_xlfn.RANK.AVG($T4,($J4,$O4,$T4),1)-2)*10)</f>
        <v>11</v>
      </c>
      <c r="Y4" s="8"/>
      <c r="Z4" s="34">
        <v>1</v>
      </c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1</v>
      </c>
      <c r="E5" s="4" t="str">
        <f>IF($K$1="","",$K$1)</f>
        <v>だいち</v>
      </c>
      <c r="F5" s="8" t="s">
        <v>200</v>
      </c>
      <c r="G5" s="9">
        <v>-3900</v>
      </c>
      <c r="H5" s="9"/>
      <c r="I5" s="48">
        <v>0</v>
      </c>
      <c r="J5" s="21">
        <f t="shared" ref="J5:J30" si="2">IF(COUNTA($F5,$K5,$P5)&gt;0,J4+SUM(G5:I5),"")</f>
        <v>18100</v>
      </c>
      <c r="K5" s="8"/>
      <c r="L5" s="9"/>
      <c r="M5" s="9"/>
      <c r="N5" s="48"/>
      <c r="O5" s="21">
        <f t="shared" ref="O5:O30" si="3">IF(COUNTA($F5,$K5,$P5)&gt;0,O4+SUM(L5:N5),"")</f>
        <v>41000</v>
      </c>
      <c r="P5" s="8" t="s">
        <v>199</v>
      </c>
      <c r="Q5" s="9">
        <v>3900</v>
      </c>
      <c r="R5" s="9">
        <v>1000</v>
      </c>
      <c r="S5" s="48">
        <v>0</v>
      </c>
      <c r="T5" s="21">
        <f t="shared" ref="T5:T30" si="4">IF(COUNTA($F5,$K5,$P5)&gt;0,T4+SUM(Q5:S5),"")</f>
        <v>45900</v>
      </c>
      <c r="U5" s="53">
        <f>IF($J5="","",ROUND(($J5-$J$3)/1000,1)+(_xlfn.RANK.AVG($J5,($J5,$O5,$T5),1)-2)*10)</f>
        <v>-26.9</v>
      </c>
      <c r="V5" s="54">
        <f>IF($O5="","",ROUND(($O5-$O$3)/1000,1)+(_xlfn.RANK.AVG($O5,($J5,$O5,$T5),1)-2)*10)</f>
        <v>6</v>
      </c>
      <c r="W5" s="55">
        <f>IF($T5="","",ROUND(($T5-$T$3)/1000,1)+(_xlfn.RANK.AVG($T5,($J5,$O5,$T5),1)-2)*10)</f>
        <v>20.9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3</v>
      </c>
      <c r="BT5" s="30">
        <v>30</v>
      </c>
      <c r="BU5" s="40" t="s">
        <v>83</v>
      </c>
      <c r="BV5" s="41" t="s">
        <v>79</v>
      </c>
      <c r="BW5" s="41" t="s">
        <v>198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ただ</v>
      </c>
      <c r="F6" s="8" t="s">
        <v>194</v>
      </c>
      <c r="G6" s="9">
        <v>-1500</v>
      </c>
      <c r="H6" s="9"/>
      <c r="I6" s="48">
        <v>0</v>
      </c>
      <c r="J6" s="21">
        <f t="shared" si="2"/>
        <v>16600</v>
      </c>
      <c r="K6" s="8" t="s">
        <v>194</v>
      </c>
      <c r="L6" s="9">
        <v>-1500</v>
      </c>
      <c r="M6" s="9"/>
      <c r="N6" s="48">
        <v>0</v>
      </c>
      <c r="O6" s="21">
        <f t="shared" si="3"/>
        <v>39500</v>
      </c>
      <c r="P6" s="8" t="s">
        <v>195</v>
      </c>
      <c r="Q6" s="9">
        <v>3000</v>
      </c>
      <c r="R6" s="9"/>
      <c r="S6" s="48">
        <v>0</v>
      </c>
      <c r="T6" s="21">
        <f t="shared" si="4"/>
        <v>48900</v>
      </c>
      <c r="U6" s="53">
        <f>IF($J6="","",ROUND(($J6-$J$3)/1000,1)+(_xlfn.RANK.AVG($J6,($J6,$O6,$T6),1)-2)*10)</f>
        <v>-28.4</v>
      </c>
      <c r="V6" s="54">
        <f>IF($O6="","",ROUND(($O6-$O$3)/1000,1)+(_xlfn.RANK.AVG($O6,($J6,$O6,$T6),1)-2)*10)</f>
        <v>4.5</v>
      </c>
      <c r="W6" s="55">
        <f>IF($T6="","",ROUND(($T6-$T$3)/1000,1)+(_xlfn.RANK.AVG($T6,($J6,$O6,$T6),1)-2)*10)</f>
        <v>23.9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2</v>
      </c>
      <c r="BT6" s="30">
        <v>30</v>
      </c>
      <c r="BU6" s="40" t="s">
        <v>86</v>
      </c>
      <c r="BV6" s="41" t="s">
        <v>198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ただ</v>
      </c>
      <c r="F7" s="8" t="s">
        <v>194</v>
      </c>
      <c r="G7" s="9">
        <v>-6000</v>
      </c>
      <c r="H7" s="9"/>
      <c r="I7" s="48">
        <v>-500</v>
      </c>
      <c r="J7" s="21">
        <f t="shared" si="2"/>
        <v>10100</v>
      </c>
      <c r="K7" s="8" t="s">
        <v>194</v>
      </c>
      <c r="L7" s="9">
        <v>-6000</v>
      </c>
      <c r="M7" s="9"/>
      <c r="N7" s="48">
        <v>-500</v>
      </c>
      <c r="O7" s="21">
        <f t="shared" si="3"/>
        <v>33000</v>
      </c>
      <c r="P7" s="8" t="s">
        <v>195</v>
      </c>
      <c r="Q7" s="9">
        <v>12000</v>
      </c>
      <c r="R7" s="9"/>
      <c r="S7" s="48">
        <v>1000</v>
      </c>
      <c r="T7" s="21">
        <f t="shared" si="4"/>
        <v>61900</v>
      </c>
      <c r="U7" s="53">
        <f>IF($J7="","",ROUND(($J7-$J$3)/1000,1)+(_xlfn.RANK.AVG($J7,($J7,$O7,$T7),1)-2)*10)</f>
        <v>-34.9</v>
      </c>
      <c r="V7" s="54">
        <f>IF($O7="","",ROUND(($O7-$O$3)/1000,1)+(_xlfn.RANK.AVG($O7,($J7,$O7,$T7),1)-2)*10)</f>
        <v>-2</v>
      </c>
      <c r="W7" s="55">
        <f>IF($T7="","",ROUND(($T7-$T$3)/1000,1)+(_xlfn.RANK.AVG($T7,($J7,$O7,$T7),1)-2)*10)</f>
        <v>36.9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5</v>
      </c>
      <c r="BT7" s="30" t="s">
        <v>196</v>
      </c>
      <c r="BU7" s="40" t="s">
        <v>82</v>
      </c>
      <c r="BV7" s="41" t="s">
        <v>198</v>
      </c>
      <c r="BW7" s="41" t="s">
        <v>198</v>
      </c>
      <c r="BX7" s="41" t="s">
        <v>84</v>
      </c>
      <c r="BY7" s="41" t="s">
        <v>83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tr">
        <f>IF($P$1="","",$P$1)</f>
        <v>ただ</v>
      </c>
      <c r="F8" s="8" t="s">
        <v>200</v>
      </c>
      <c r="G8" s="9">
        <v>-2000</v>
      </c>
      <c r="H8" s="9">
        <v>-1000</v>
      </c>
      <c r="I8" s="48">
        <v>-2000</v>
      </c>
      <c r="J8" s="21">
        <f t="shared" si="2"/>
        <v>5100</v>
      </c>
      <c r="K8" s="8" t="s">
        <v>199</v>
      </c>
      <c r="L8" s="9">
        <v>2000</v>
      </c>
      <c r="M8" s="9">
        <v>1000</v>
      </c>
      <c r="N8" s="48">
        <v>2000</v>
      </c>
      <c r="O8" s="21">
        <f t="shared" si="3"/>
        <v>38000</v>
      </c>
      <c r="P8" s="8"/>
      <c r="Q8" s="9"/>
      <c r="R8" s="9"/>
      <c r="S8" s="48"/>
      <c r="T8" s="21">
        <f t="shared" si="4"/>
        <v>61900</v>
      </c>
      <c r="U8" s="53">
        <f>IF($J8="","",ROUND(($J8-$J$3)/1000,1)+(_xlfn.RANK.AVG($J8,($J8,$O8,$T8),1)-2)*10)</f>
        <v>-39.9</v>
      </c>
      <c r="V8" s="54">
        <f>IF($O8="","",ROUND(($O8-$O$3)/1000,1)+(_xlfn.RANK.AVG($O8,($J8,$O8,$T8),1)-2)*10)</f>
        <v>3</v>
      </c>
      <c r="W8" s="55">
        <f>IF($T8="","",ROUND(($T8-$T$3)/1000,1)+(_xlfn.RANK.AVG($T8,($J8,$O8,$T8),1)-2)*10)</f>
        <v>36.9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2</v>
      </c>
      <c r="AY8" s="30">
        <v>30</v>
      </c>
      <c r="AZ8" s="40" t="s">
        <v>83</v>
      </c>
      <c r="BA8" s="41" t="s">
        <v>197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れんたろう</v>
      </c>
      <c r="F9" s="8" t="s">
        <v>194</v>
      </c>
      <c r="G9" s="9">
        <v>-1700</v>
      </c>
      <c r="H9" s="9"/>
      <c r="I9" s="48">
        <v>0</v>
      </c>
      <c r="J9" s="21">
        <f t="shared" si="2"/>
        <v>3400</v>
      </c>
      <c r="K9" s="8" t="s">
        <v>194</v>
      </c>
      <c r="L9" s="9">
        <v>-1100</v>
      </c>
      <c r="M9" s="9"/>
      <c r="N9" s="48">
        <v>0</v>
      </c>
      <c r="O9" s="21">
        <f t="shared" si="3"/>
        <v>36900</v>
      </c>
      <c r="P9" s="8" t="s">
        <v>195</v>
      </c>
      <c r="Q9" s="9">
        <v>2800</v>
      </c>
      <c r="R9" s="9"/>
      <c r="S9" s="48">
        <v>0</v>
      </c>
      <c r="T9" s="21">
        <f t="shared" si="4"/>
        <v>64700</v>
      </c>
      <c r="U9" s="53">
        <f>IF($J9="","",ROUND(($J9-$J$3)/1000,1)+(_xlfn.RANK.AVG($J9,($J9,$O9,$T9),1)-2)*10)</f>
        <v>-41.6</v>
      </c>
      <c r="V9" s="54">
        <f>IF($O9="","",ROUND(($O9-$O$3)/1000,1)+(_xlfn.RANK.AVG($O9,($J9,$O9,$T9),1)-2)*10)</f>
        <v>1.9</v>
      </c>
      <c r="W9" s="55">
        <f>IF($T9="","",ROUND(($T9-$T$3)/1000,1)+(_xlfn.RANK.AVG($T9,($J9,$O9,$T9),1)-2)*10)</f>
        <v>39.700000000000003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2</v>
      </c>
      <c r="BT9" s="30">
        <v>40</v>
      </c>
      <c r="BU9" s="40" t="s">
        <v>82</v>
      </c>
      <c r="BV9" s="41" t="s">
        <v>86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だいち</v>
      </c>
      <c r="F10" s="8" t="s">
        <v>200</v>
      </c>
      <c r="G10" s="9">
        <v>-5200</v>
      </c>
      <c r="H10" s="9"/>
      <c r="I10" s="48">
        <v>0</v>
      </c>
      <c r="J10" s="21">
        <f t="shared" si="2"/>
        <v>-1800</v>
      </c>
      <c r="K10" s="8"/>
      <c r="L10" s="9"/>
      <c r="M10" s="9"/>
      <c r="N10" s="48"/>
      <c r="O10" s="21">
        <f t="shared" si="3"/>
        <v>36900</v>
      </c>
      <c r="P10" s="8" t="s">
        <v>199</v>
      </c>
      <c r="Q10" s="9">
        <v>5200</v>
      </c>
      <c r="R10" s="9"/>
      <c r="S10" s="48">
        <v>0</v>
      </c>
      <c r="T10" s="21">
        <f t="shared" si="4"/>
        <v>69900</v>
      </c>
      <c r="U10" s="53">
        <f>IF($J10="","",ROUND(($J10-$J$3)/1000,1)+(_xlfn.RANK.AVG($J10,($J10,$O10,$T10),1)-2)*10)</f>
        <v>-46.8</v>
      </c>
      <c r="V10" s="54">
        <f>IF($O10="","",ROUND(($O10-$O$3)/1000,1)+(_xlfn.RANK.AVG($O10,($J10,$O10,$T10),1)-2)*10)</f>
        <v>1.9</v>
      </c>
      <c r="W10" s="55">
        <f>IF($T10="","",ROUND(($T10-$T$3)/1000,1)+(_xlfn.RANK.AVG($T10,($J10,$O10,$T10),1)-2)*10)</f>
        <v>44.9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3</v>
      </c>
      <c r="BT10" s="30">
        <v>40</v>
      </c>
      <c r="BU10" s="40" t="s">
        <v>85</v>
      </c>
      <c r="BV10" s="41" t="s">
        <v>198</v>
      </c>
      <c r="BW10" s="41" t="s">
        <v>79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C5258007-F787-4695-8B4C-29F3D8FB53E8}">
      <formula1>"れんたろう,ともき,だいち,りくと,まっつん,たかの,のり,ただ,ぱぱ,"</formula1>
    </dataValidation>
    <dataValidation type="list" allowBlank="1" showInputMessage="1" showErrorMessage="1" sqref="E4:E30" xr:uid="{7547632E-1F5B-489A-85DA-F565CD9109EE}">
      <formula1>$U$2:$W$2</formula1>
    </dataValidation>
    <dataValidation type="list" showInputMessage="1" showErrorMessage="1" sqref="K4:K30 P4:P30 F4:F30" xr:uid="{6AC34C69-E140-446E-B087-C7C2A1E12CAA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01E39-A84A-4EB5-862B-07233CFCE9DD}">
  <sheetPr codeName="Sheet13">
    <pageSetUpPr fitToPage="1"/>
  </sheetPr>
  <dimension ref="A1:CI30"/>
  <sheetViews>
    <sheetView tabSelected="1" zoomScaleNormal="100" workbookViewId="0">
      <selection activeCell="K2" sqref="K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207</v>
      </c>
      <c r="G1" s="78"/>
      <c r="H1" s="78"/>
      <c r="I1" s="79"/>
      <c r="J1" s="80"/>
      <c r="K1" s="77" t="s">
        <v>191</v>
      </c>
      <c r="L1" s="78"/>
      <c r="M1" s="78"/>
      <c r="N1" s="79"/>
      <c r="O1" s="80"/>
      <c r="P1" s="77" t="s">
        <v>192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れんたろう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だいち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れんたろう</v>
      </c>
      <c r="V2" s="76" t="str">
        <f>$K$1</f>
        <v>ただ</v>
      </c>
      <c r="W2" s="16" t="str">
        <f>$P$1</f>
        <v>だいち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194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195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194</v>
      </c>
      <c r="Q4" s="9">
        <v>-4500</v>
      </c>
      <c r="R4" s="9"/>
      <c r="S4" s="48">
        <v>0</v>
      </c>
      <c r="T4" s="21">
        <f>IF(COUNTA($F4,$K4,$P4)&gt;0,T3+SUM(Q4:S4),"")</f>
        <v>30500</v>
      </c>
      <c r="U4" s="53">
        <f>IF($J4="","",ROUND(($J4-$J$3)/1000,1)+(_xlfn.RANK.AVG($J4,($J4,$O4,$T4),1)-2)*10)</f>
        <v>-17.5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-4.5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196</v>
      </c>
      <c r="AZ4" s="40" t="s">
        <v>197</v>
      </c>
      <c r="BA4" s="41" t="s">
        <v>82</v>
      </c>
      <c r="BB4" s="41" t="s">
        <v>79</v>
      </c>
      <c r="BC4" s="41" t="s">
        <v>79</v>
      </c>
      <c r="BD4" s="41" t="s">
        <v>198</v>
      </c>
      <c r="BE4" s="41" t="s">
        <v>198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194</v>
      </c>
      <c r="G5" s="9">
        <v>-800</v>
      </c>
      <c r="H5" s="9"/>
      <c r="I5" s="48">
        <v>0</v>
      </c>
      <c r="J5" s="21">
        <f t="shared" ref="J5:J30" si="2">IF(COUNTA($F5,$K5,$P5)&gt;0,J4+SUM(G5:I5),"")</f>
        <v>26700</v>
      </c>
      <c r="K5" s="8" t="s">
        <v>195</v>
      </c>
      <c r="L5" s="9">
        <v>1600</v>
      </c>
      <c r="M5" s="9"/>
      <c r="N5" s="48">
        <v>0</v>
      </c>
      <c r="O5" s="21">
        <f t="shared" ref="O5:O30" si="3">IF(COUNTA($F5,$K5,$P5)&gt;0,O4+SUM(L5:N5),"")</f>
        <v>48600</v>
      </c>
      <c r="P5" s="8" t="s">
        <v>194</v>
      </c>
      <c r="Q5" s="9">
        <v>-800</v>
      </c>
      <c r="R5" s="9"/>
      <c r="S5" s="48">
        <v>0</v>
      </c>
      <c r="T5" s="21">
        <f t="shared" ref="T5:T30" si="4">IF(COUNTA($F5,$K5,$P5)&gt;0,T4+SUM(Q5:S5),"")</f>
        <v>29700</v>
      </c>
      <c r="U5" s="53">
        <f>IF($J5="","",ROUND(($J5-$J$3)/1000,1)+(_xlfn.RANK.AVG($J5,($J5,$O5,$T5),1)-2)*10)</f>
        <v>-18.3</v>
      </c>
      <c r="V5" s="54">
        <f>IF($O5="","",ROUND(($O5-$O$3)/1000,1)+(_xlfn.RANK.AVG($O5,($J5,$O5,$T5),1)-2)*10)</f>
        <v>23.6</v>
      </c>
      <c r="W5" s="55">
        <f>IF($T5="","",ROUND(($T5-$T$3)/1000,1)+(_xlfn.RANK.AVG($T5,($J5,$O5,$T5),1)-2)*10)</f>
        <v>-5.3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1</v>
      </c>
      <c r="AY5" s="30">
        <v>30</v>
      </c>
      <c r="AZ5" s="40" t="s">
        <v>82</v>
      </c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ただ</v>
      </c>
      <c r="F6" s="8" t="s">
        <v>194</v>
      </c>
      <c r="G6" s="9">
        <v>-6000</v>
      </c>
      <c r="H6" s="9">
        <v>-1000</v>
      </c>
      <c r="I6" s="48">
        <v>-500</v>
      </c>
      <c r="J6" s="21">
        <f t="shared" si="2"/>
        <v>19200</v>
      </c>
      <c r="K6" s="8" t="s">
        <v>194</v>
      </c>
      <c r="L6" s="9">
        <v>-10000</v>
      </c>
      <c r="M6" s="9"/>
      <c r="N6" s="48">
        <v>-500</v>
      </c>
      <c r="O6" s="21">
        <f t="shared" si="3"/>
        <v>38100</v>
      </c>
      <c r="P6" s="8" t="s">
        <v>195</v>
      </c>
      <c r="Q6" s="9">
        <v>16000</v>
      </c>
      <c r="R6" s="9">
        <v>1000</v>
      </c>
      <c r="S6" s="48">
        <v>1000</v>
      </c>
      <c r="T6" s="21">
        <f t="shared" si="4"/>
        <v>47700</v>
      </c>
      <c r="U6" s="53">
        <f>IF($J6="","",ROUND(($J6-$J$3)/1000,1)+(_xlfn.RANK.AVG($J6,($J6,$O6,$T6),1)-2)*10)</f>
        <v>-25.8</v>
      </c>
      <c r="V6" s="54">
        <f>IF($O6="","",ROUND(($O6-$O$3)/1000,1)+(_xlfn.RANK.AVG($O6,($J6,$O6,$T6),1)-2)*10)</f>
        <v>3.1</v>
      </c>
      <c r="W6" s="55">
        <f>IF($T6="","",ROUND(($T6-$T$3)/1000,1)+(_xlfn.RANK.AVG($T6,($J6,$O6,$T6),1)-2)*10)</f>
        <v>22.7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9</v>
      </c>
      <c r="BT6" s="30" t="s">
        <v>196</v>
      </c>
      <c r="BU6" s="40" t="s">
        <v>197</v>
      </c>
      <c r="BV6" s="41" t="s">
        <v>82</v>
      </c>
      <c r="BW6" s="41" t="s">
        <v>104</v>
      </c>
      <c r="BX6" s="41" t="s">
        <v>92</v>
      </c>
      <c r="BY6" s="41" t="s">
        <v>79</v>
      </c>
      <c r="BZ6" s="41" t="s">
        <v>86</v>
      </c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だいち</v>
      </c>
      <c r="F7" s="8" t="s">
        <v>199</v>
      </c>
      <c r="G7" s="9">
        <v>12000</v>
      </c>
      <c r="H7" s="9"/>
      <c r="I7" s="48">
        <v>0</v>
      </c>
      <c r="J7" s="21">
        <f t="shared" si="2"/>
        <v>31200</v>
      </c>
      <c r="K7" s="8"/>
      <c r="L7" s="9"/>
      <c r="M7" s="9"/>
      <c r="N7" s="48"/>
      <c r="O7" s="21">
        <f t="shared" si="3"/>
        <v>38100</v>
      </c>
      <c r="P7" s="8" t="s">
        <v>200</v>
      </c>
      <c r="Q7" s="9">
        <v>-12000</v>
      </c>
      <c r="R7" s="9"/>
      <c r="S7" s="48">
        <v>0</v>
      </c>
      <c r="T7" s="21">
        <f t="shared" si="4"/>
        <v>35700</v>
      </c>
      <c r="U7" s="53">
        <f>IF($J7="","",ROUND(($J7-$J$3)/1000,1)+(_xlfn.RANK.AVG($J7,($J7,$O7,$T7),1)-2)*10)</f>
        <v>-13.8</v>
      </c>
      <c r="V7" s="54">
        <f>IF($O7="","",ROUND(($O7-$O$3)/1000,1)+(_xlfn.RANK.AVG($O7,($J7,$O7,$T7),1)-2)*10)</f>
        <v>13.1</v>
      </c>
      <c r="W7" s="55">
        <f>IF($T7="","",ROUND(($T7-$T$3)/1000,1)+(_xlfn.RANK.AVG($T7,($J7,$O7,$T7),1)-2)*10)</f>
        <v>0.7</v>
      </c>
      <c r="Y7" s="8"/>
      <c r="Z7" s="34"/>
      <c r="AA7" s="26"/>
      <c r="AB7" s="26">
        <v>1</v>
      </c>
      <c r="AC7" s="26">
        <v>6</v>
      </c>
      <c r="AD7" s="30" t="s">
        <v>196</v>
      </c>
      <c r="AE7" s="40" t="s">
        <v>86</v>
      </c>
      <c r="AF7" s="41" t="s">
        <v>86</v>
      </c>
      <c r="AG7" s="41" t="s">
        <v>104</v>
      </c>
      <c r="AH7" s="41" t="s">
        <v>98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れんたろう</v>
      </c>
      <c r="F8" s="8" t="s">
        <v>204</v>
      </c>
      <c r="G8" s="9">
        <v>1500</v>
      </c>
      <c r="H8" s="9">
        <v>-1000</v>
      </c>
      <c r="I8" s="48"/>
      <c r="J8" s="21">
        <f t="shared" si="2"/>
        <v>31700</v>
      </c>
      <c r="K8" s="8" t="s">
        <v>204</v>
      </c>
      <c r="L8" s="9">
        <v>1500</v>
      </c>
      <c r="M8" s="9"/>
      <c r="N8" s="48"/>
      <c r="O8" s="21">
        <f t="shared" si="3"/>
        <v>39600</v>
      </c>
      <c r="P8" s="8" t="s">
        <v>204</v>
      </c>
      <c r="Q8" s="9">
        <v>-3000</v>
      </c>
      <c r="R8" s="9"/>
      <c r="S8" s="48"/>
      <c r="T8" s="21">
        <f t="shared" si="4"/>
        <v>32700</v>
      </c>
      <c r="U8" s="53">
        <f>IF($J8="","",ROUND(($J8-$J$3)/1000,1)+(_xlfn.RANK.AVG($J8,($J8,$O8,$T8),1)-2)*10)</f>
        <v>-13.3</v>
      </c>
      <c r="V8" s="54">
        <f>IF($O8="","",ROUND(($O8-$O$3)/1000,1)+(_xlfn.RANK.AVG($O8,($J8,$O8,$T8),1)-2)*10)</f>
        <v>14.6</v>
      </c>
      <c r="W8" s="55">
        <f>IF($T8="","",ROUND(($T8-$T$3)/1000,1)+(_xlfn.RANK.AVG($T8,($J8,$O8,$T8),1)-2)*10)</f>
        <v>-2.2999999999999998</v>
      </c>
      <c r="Y8" s="8" t="s">
        <v>202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202</v>
      </c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203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1</v>
      </c>
      <c r="E9" s="4" t="str">
        <f>IF($F$1="","",$F$1)</f>
        <v>れんたろう</v>
      </c>
      <c r="F9" s="8" t="s">
        <v>194</v>
      </c>
      <c r="G9" s="9">
        <v>-4800</v>
      </c>
      <c r="H9" s="9"/>
      <c r="I9" s="48">
        <v>-500</v>
      </c>
      <c r="J9" s="21">
        <f t="shared" si="2"/>
        <v>26400</v>
      </c>
      <c r="K9" s="8" t="s">
        <v>195</v>
      </c>
      <c r="L9" s="9">
        <v>7700</v>
      </c>
      <c r="M9" s="9">
        <v>1000</v>
      </c>
      <c r="N9" s="48">
        <v>1000</v>
      </c>
      <c r="O9" s="21">
        <f t="shared" si="3"/>
        <v>49300</v>
      </c>
      <c r="P9" s="8" t="s">
        <v>194</v>
      </c>
      <c r="Q9" s="9">
        <v>-2900</v>
      </c>
      <c r="R9" s="9"/>
      <c r="S9" s="48">
        <v>-500</v>
      </c>
      <c r="T9" s="21">
        <f t="shared" si="4"/>
        <v>29300</v>
      </c>
      <c r="U9" s="53">
        <f>IF($J9="","",ROUND(($J9-$J$3)/1000,1)+(_xlfn.RANK.AVG($J9,($J9,$O9,$T9),1)-2)*10)</f>
        <v>-18.600000000000001</v>
      </c>
      <c r="V9" s="54">
        <f>IF($O9="","",ROUND(($O9-$O$3)/1000,1)+(_xlfn.RANK.AVG($O9,($J9,$O9,$T9),1)-2)*10)</f>
        <v>24.3</v>
      </c>
      <c r="W9" s="55">
        <f>IF($T9="","",ROUND(($T9-$T$3)/1000,1)+(_xlfn.RANK.AVG($T9,($J9,$O9,$T9),1)-2)*10)</f>
        <v>-5.7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4</v>
      </c>
      <c r="AY9" s="30">
        <v>30</v>
      </c>
      <c r="AZ9" s="40" t="s">
        <v>86</v>
      </c>
      <c r="BA9" s="41" t="s">
        <v>198</v>
      </c>
      <c r="BB9" s="41" t="s">
        <v>79</v>
      </c>
      <c r="BC9" s="41" t="s">
        <v>92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ただ</v>
      </c>
      <c r="F10" s="8" t="s">
        <v>195</v>
      </c>
      <c r="G10" s="9">
        <v>16000</v>
      </c>
      <c r="H10" s="9">
        <v>1000</v>
      </c>
      <c r="I10" s="48">
        <v>0</v>
      </c>
      <c r="J10" s="21">
        <f t="shared" si="2"/>
        <v>43400</v>
      </c>
      <c r="K10" s="8" t="s">
        <v>194</v>
      </c>
      <c r="L10" s="9">
        <v>-10000</v>
      </c>
      <c r="M10" s="9"/>
      <c r="N10" s="48">
        <v>0</v>
      </c>
      <c r="O10" s="21">
        <f t="shared" si="3"/>
        <v>39300</v>
      </c>
      <c r="P10" s="8" t="s">
        <v>194</v>
      </c>
      <c r="Q10" s="9">
        <v>-6000</v>
      </c>
      <c r="R10" s="9">
        <v>-1000</v>
      </c>
      <c r="S10" s="48">
        <v>0</v>
      </c>
      <c r="T10" s="21">
        <f t="shared" si="4"/>
        <v>22300</v>
      </c>
      <c r="U10" s="53">
        <f>IF($J10="","",ROUND(($J10-$J$3)/1000,1)+(_xlfn.RANK.AVG($J10,($J10,$O10,$T10),1)-2)*10)</f>
        <v>18.399999999999999</v>
      </c>
      <c r="V10" s="54">
        <f>IF($O10="","",ROUND(($O10-$O$3)/1000,1)+(_xlfn.RANK.AVG($O10,($J10,$O10,$T10),1)-2)*10)</f>
        <v>4.3</v>
      </c>
      <c r="W10" s="55">
        <f>IF($T10="","",ROUND(($T10-$T$3)/1000,1)+(_xlfn.RANK.AVG($T10,($J10,$O10,$T10),1)-2)*10)</f>
        <v>-22.7</v>
      </c>
      <c r="Y10" s="8"/>
      <c r="Z10" s="34"/>
      <c r="AA10" s="26">
        <v>1</v>
      </c>
      <c r="AB10" s="26"/>
      <c r="AC10" s="26">
        <v>9</v>
      </c>
      <c r="AD10" s="30" t="s">
        <v>196</v>
      </c>
      <c r="AE10" s="40" t="s">
        <v>197</v>
      </c>
      <c r="AF10" s="41" t="s">
        <v>82</v>
      </c>
      <c r="AG10" s="41" t="s">
        <v>83</v>
      </c>
      <c r="AH10" s="41" t="s">
        <v>86</v>
      </c>
      <c r="AI10" s="41" t="s">
        <v>79</v>
      </c>
      <c r="AJ10" s="41" t="s">
        <v>198</v>
      </c>
      <c r="AK10" s="41" t="s">
        <v>93</v>
      </c>
      <c r="AL10" s="41" t="s">
        <v>201</v>
      </c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だいち</v>
      </c>
      <c r="F11" s="8" t="s">
        <v>195</v>
      </c>
      <c r="G11" s="9">
        <v>12000</v>
      </c>
      <c r="H11" s="9">
        <v>2000</v>
      </c>
      <c r="I11" s="48">
        <v>0</v>
      </c>
      <c r="J11" s="21">
        <f t="shared" si="2"/>
        <v>57400</v>
      </c>
      <c r="K11" s="8" t="s">
        <v>194</v>
      </c>
      <c r="L11" s="9">
        <v>-4500</v>
      </c>
      <c r="M11" s="9"/>
      <c r="N11" s="48">
        <v>0</v>
      </c>
      <c r="O11" s="21">
        <f t="shared" si="3"/>
        <v>34800</v>
      </c>
      <c r="P11" s="8" t="s">
        <v>194</v>
      </c>
      <c r="Q11" s="9">
        <v>-7500</v>
      </c>
      <c r="R11" s="9">
        <v>-2000</v>
      </c>
      <c r="S11" s="48">
        <v>0</v>
      </c>
      <c r="T11" s="21">
        <f t="shared" si="4"/>
        <v>12800</v>
      </c>
      <c r="U11" s="53">
        <f>IF($J11="","",ROUND(($J11-$J$3)/1000,1)+(_xlfn.RANK.AVG($J11,($J11,$O11,$T11),1)-2)*10)</f>
        <v>32.4</v>
      </c>
      <c r="V11" s="54">
        <f>IF($O11="","",ROUND(($O11-$O$3)/1000,1)+(_xlfn.RANK.AVG($O11,($J11,$O11,$T11),1)-2)*10)</f>
        <v>-0.2</v>
      </c>
      <c r="W11" s="55">
        <f>IF($T11="","",ROUND(($T11-$T$3)/1000,1)+(_xlfn.RANK.AVG($T11,($J11,$O11,$T11),1)-2)*10)</f>
        <v>-32.200000000000003</v>
      </c>
      <c r="Y11" s="8"/>
      <c r="Z11" s="34"/>
      <c r="AA11" s="26">
        <v>1</v>
      </c>
      <c r="AB11" s="26"/>
      <c r="AC11" s="26">
        <v>6</v>
      </c>
      <c r="AD11" s="30" t="s">
        <v>196</v>
      </c>
      <c r="AE11" s="40" t="s">
        <v>209</v>
      </c>
      <c r="AF11" s="41" t="s">
        <v>82</v>
      </c>
      <c r="AG11" s="41" t="s">
        <v>201</v>
      </c>
      <c r="AH11" s="41" t="s">
        <v>198</v>
      </c>
      <c r="AI11" s="41" t="s">
        <v>83</v>
      </c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西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tr">
        <f>IF($F$1="","",$F$1)</f>
        <v>れんたろう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F766679F-D62A-4D25-80F5-CB14BB207ED2}">
      <formula1>"ロン,ツモ,放銃,ツモ支払,流局,チョンボ"</formula1>
    </dataValidation>
    <dataValidation type="list" allowBlank="1" showInputMessage="1" showErrorMessage="1" sqref="E4:E30" xr:uid="{750C3BF6-5AB5-41D7-80B9-997D94D1F73E}">
      <formula1>$U$2:$W$2</formula1>
    </dataValidation>
    <dataValidation type="list" allowBlank="1" showInputMessage="1" sqref="F1:T1" xr:uid="{5A4AA080-57B4-4001-BCCC-F2505ED1A67F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2020-07-17T15:20:51Z</dcterms:modified>
</cp:coreProperties>
</file>