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0CE381EC-089C-44C2-878F-ED243012E5CD}" xr6:coauthVersionLast="44" xr6:coauthVersionMax="44" xr10:uidLastSave="{00000000-0000-0000-0000-000000000000}"/>
  <bookViews>
    <workbookView xWindow="-108" yWindow="-108" windowWidth="23256" windowHeight="12720" activeTab="4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0" i="23" l="1"/>
  <c r="E9" i="23"/>
  <c r="E8" i="23"/>
  <c r="E7" i="23"/>
  <c r="E6" i="23"/>
  <c r="E5" i="23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W12" i="23" s="1"/>
  <c r="O12" i="23"/>
  <c r="V12" i="23" s="1"/>
  <c r="J12" i="23"/>
  <c r="U12" i="23" s="1"/>
  <c r="D12" i="23"/>
  <c r="C12" i="23"/>
  <c r="B12" i="23"/>
  <c r="A12" i="23"/>
  <c r="T11" i="23"/>
  <c r="W11" i="23" s="1"/>
  <c r="O11" i="23"/>
  <c r="V11" i="23" s="1"/>
  <c r="J11" i="23"/>
  <c r="U11" i="23" s="1"/>
  <c r="D11" i="23"/>
  <c r="C11" i="23"/>
  <c r="B11" i="23"/>
  <c r="A11" i="23"/>
  <c r="T10" i="23"/>
  <c r="O10" i="23"/>
  <c r="J10" i="23"/>
  <c r="D10" i="23"/>
  <c r="C10" i="23"/>
  <c r="B10" i="23"/>
  <c r="A10" i="23" s="1"/>
  <c r="D9" i="23"/>
  <c r="D8" i="23"/>
  <c r="T6" i="23"/>
  <c r="T7" i="23" s="1"/>
  <c r="C6" i="23"/>
  <c r="D6" i="23"/>
  <c r="T5" i="23"/>
  <c r="O5" i="23"/>
  <c r="O6" i="23" s="1"/>
  <c r="B5" i="23"/>
  <c r="D5" i="23"/>
  <c r="C5" i="23"/>
  <c r="T4" i="23"/>
  <c r="O4" i="23"/>
  <c r="J4" i="23"/>
  <c r="J5" i="23" s="1"/>
  <c r="E4" i="23"/>
  <c r="W3" i="23"/>
  <c r="V3" i="23"/>
  <c r="U3" i="23"/>
  <c r="W2" i="23"/>
  <c r="V2" i="23"/>
  <c r="U2" i="23"/>
  <c r="BO1" i="23"/>
  <c r="AT1" i="23"/>
  <c r="Y1" i="23"/>
  <c r="E9" i="22"/>
  <c r="E8" i="22"/>
  <c r="E7" i="22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/>
  <c r="D11" i="22"/>
  <c r="D10" i="22"/>
  <c r="D7" i="22"/>
  <c r="C7" i="22"/>
  <c r="O6" i="22"/>
  <c r="O7" i="22" s="1"/>
  <c r="D6" i="22"/>
  <c r="O5" i="22"/>
  <c r="J5" i="22"/>
  <c r="J6" i="22" s="1"/>
  <c r="B5" i="22"/>
  <c r="T4" i="22"/>
  <c r="T5" i="22" s="1"/>
  <c r="O4" i="22"/>
  <c r="J4" i="22"/>
  <c r="E4" i="22"/>
  <c r="W3" i="22"/>
  <c r="V3" i="22"/>
  <c r="U3" i="22"/>
  <c r="W2" i="22"/>
  <c r="V2" i="22"/>
  <c r="U2" i="22"/>
  <c r="BO1" i="22"/>
  <c r="AT1" i="22"/>
  <c r="Y1" i="22"/>
  <c r="E11" i="21"/>
  <c r="B11" i="21" s="1"/>
  <c r="E10" i="21"/>
  <c r="D10" i="21" s="1"/>
  <c r="E9" i="21"/>
  <c r="D9" i="21" s="1"/>
  <c r="E8" i="21"/>
  <c r="D8" i="21" s="1"/>
  <c r="E7" i="21"/>
  <c r="C7" i="21" s="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 s="1"/>
  <c r="T11" i="21"/>
  <c r="O11" i="21"/>
  <c r="V11" i="21" s="1"/>
  <c r="J11" i="21"/>
  <c r="C11" i="21"/>
  <c r="T10" i="21"/>
  <c r="O10" i="21"/>
  <c r="V10" i="21" s="1"/>
  <c r="J10" i="21"/>
  <c r="T9" i="21"/>
  <c r="O9" i="21"/>
  <c r="J9" i="21"/>
  <c r="C9" i="21"/>
  <c r="T8" i="21"/>
  <c r="O8" i="21"/>
  <c r="J8" i="21"/>
  <c r="C8" i="21"/>
  <c r="T7" i="21"/>
  <c r="T6" i="21"/>
  <c r="O6" i="21"/>
  <c r="O7" i="21" s="1"/>
  <c r="D6" i="21"/>
  <c r="T5" i="21"/>
  <c r="O5" i="21"/>
  <c r="J5" i="21"/>
  <c r="D5" i="21"/>
  <c r="T4" i="21"/>
  <c r="O4" i="21"/>
  <c r="J4" i="21"/>
  <c r="E4" i="21"/>
  <c r="C5" i="21" s="1"/>
  <c r="C6" i="21" s="1"/>
  <c r="W3" i="21"/>
  <c r="V3" i="21"/>
  <c r="U3" i="21"/>
  <c r="W2" i="21"/>
  <c r="V2" i="21"/>
  <c r="U2" i="21"/>
  <c r="BO1" i="21"/>
  <c r="AT1" i="21"/>
  <c r="Y1" i="21"/>
  <c r="E7" i="20"/>
  <c r="D7" i="20" s="1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D11" i="20"/>
  <c r="D10" i="20"/>
  <c r="C9" i="20"/>
  <c r="D9" i="20"/>
  <c r="O6" i="20"/>
  <c r="O7" i="20" s="1"/>
  <c r="D6" i="20"/>
  <c r="C6" i="20"/>
  <c r="T5" i="20"/>
  <c r="T6" i="20" s="1"/>
  <c r="O5" i="20"/>
  <c r="V5" i="20" s="1"/>
  <c r="J5" i="20"/>
  <c r="D5" i="20"/>
  <c r="T4" i="20"/>
  <c r="O4" i="20"/>
  <c r="J4" i="20"/>
  <c r="E4" i="20"/>
  <c r="C5" i="20" s="1"/>
  <c r="W3" i="20"/>
  <c r="V3" i="20"/>
  <c r="U3" i="20"/>
  <c r="W2" i="20"/>
  <c r="V2" i="20"/>
  <c r="U2" i="20"/>
  <c r="BO1" i="20"/>
  <c r="AT1" i="20"/>
  <c r="Y1" i="20"/>
  <c r="V10" i="23" l="1"/>
  <c r="U10" i="23"/>
  <c r="W10" i="23"/>
  <c r="W5" i="23"/>
  <c r="J6" i="23"/>
  <c r="W6" i="23" s="1"/>
  <c r="U5" i="23"/>
  <c r="T8" i="23"/>
  <c r="O7" i="23"/>
  <c r="V4" i="23"/>
  <c r="W4" i="23"/>
  <c r="A5" i="23"/>
  <c r="C7" i="23"/>
  <c r="V5" i="23"/>
  <c r="D7" i="23"/>
  <c r="C8" i="23"/>
  <c r="C9" i="23" s="1"/>
  <c r="B6" i="23"/>
  <c r="A6" i="23" s="1"/>
  <c r="U4" i="23"/>
  <c r="U4" i="22"/>
  <c r="J7" i="22"/>
  <c r="V5" i="22"/>
  <c r="T6" i="22"/>
  <c r="U6" i="22" s="1"/>
  <c r="W5" i="22"/>
  <c r="O8" i="22"/>
  <c r="B7" i="22"/>
  <c r="B8" i="22" s="1"/>
  <c r="C5" i="22"/>
  <c r="D5" i="22"/>
  <c r="C8" i="22"/>
  <c r="C9" i="22" s="1"/>
  <c r="C10" i="22" s="1"/>
  <c r="C11" i="22" s="1"/>
  <c r="B6" i="22"/>
  <c r="A6" i="22" s="1"/>
  <c r="D8" i="22"/>
  <c r="V4" i="22"/>
  <c r="C6" i="22"/>
  <c r="W4" i="22"/>
  <c r="D9" i="22"/>
  <c r="A5" i="22"/>
  <c r="U5" i="22"/>
  <c r="U11" i="21"/>
  <c r="W11" i="21"/>
  <c r="D11" i="21"/>
  <c r="A11" i="21"/>
  <c r="U10" i="21"/>
  <c r="W10" i="21"/>
  <c r="B10" i="21"/>
  <c r="A10" i="21" s="1"/>
  <c r="C10" i="21"/>
  <c r="W9" i="21"/>
  <c r="U9" i="21"/>
  <c r="V9" i="21"/>
  <c r="B9" i="21"/>
  <c r="A9" i="21" s="1"/>
  <c r="U8" i="21"/>
  <c r="W8" i="21"/>
  <c r="V8" i="21"/>
  <c r="B8" i="21"/>
  <c r="A8" i="21" s="1"/>
  <c r="D7" i="21"/>
  <c r="V4" i="21"/>
  <c r="W4" i="21"/>
  <c r="U4" i="21"/>
  <c r="W5" i="21"/>
  <c r="A5" i="21"/>
  <c r="B6" i="21"/>
  <c r="U5" i="21"/>
  <c r="J6" i="21"/>
  <c r="V6" i="21" s="1"/>
  <c r="B5" i="21"/>
  <c r="V5" i="21"/>
  <c r="U5" i="20"/>
  <c r="V4" i="20"/>
  <c r="W4" i="20"/>
  <c r="U4" i="20"/>
  <c r="T7" i="20"/>
  <c r="O8" i="20"/>
  <c r="J6" i="20"/>
  <c r="W6" i="20" s="1"/>
  <c r="B5" i="20"/>
  <c r="A5" i="20" s="1"/>
  <c r="C10" i="20"/>
  <c r="C8" i="20"/>
  <c r="C7" i="20"/>
  <c r="W5" i="20"/>
  <c r="B6" i="20"/>
  <c r="A6" i="20" s="1"/>
  <c r="D8" i="20"/>
  <c r="C11" i="20"/>
  <c r="E11" i="19"/>
  <c r="E10" i="19"/>
  <c r="E9" i="19"/>
  <c r="E8" i="19"/>
  <c r="E7" i="19"/>
  <c r="E6" i="19"/>
  <c r="E5" i="19"/>
  <c r="V6" i="23" l="1"/>
  <c r="O8" i="23"/>
  <c r="T9" i="23"/>
  <c r="B7" i="23"/>
  <c r="A7" i="23" s="1"/>
  <c r="J7" i="23"/>
  <c r="V7" i="23" s="1"/>
  <c r="U6" i="23"/>
  <c r="A8" i="22"/>
  <c r="B9" i="22"/>
  <c r="A7" i="22"/>
  <c r="O9" i="22"/>
  <c r="J8" i="22"/>
  <c r="T7" i="22"/>
  <c r="W6" i="22"/>
  <c r="V6" i="22"/>
  <c r="A6" i="21"/>
  <c r="W6" i="21"/>
  <c r="U6" i="21"/>
  <c r="J7" i="21"/>
  <c r="B7" i="21"/>
  <c r="A7" i="21" s="1"/>
  <c r="V6" i="20"/>
  <c r="O9" i="20"/>
  <c r="J7" i="20"/>
  <c r="U6" i="20"/>
  <c r="W7" i="20"/>
  <c r="T8" i="20"/>
  <c r="B7" i="20"/>
  <c r="A7" i="20" s="1"/>
  <c r="E4" i="19"/>
  <c r="O9" i="23" l="1"/>
  <c r="U7" i="23"/>
  <c r="J8" i="23"/>
  <c r="V8" i="23" s="1"/>
  <c r="W7" i="23"/>
  <c r="B8" i="23"/>
  <c r="A8" i="23"/>
  <c r="B10" i="22"/>
  <c r="T8" i="22"/>
  <c r="W7" i="22"/>
  <c r="V7" i="22"/>
  <c r="A9" i="22"/>
  <c r="U7" i="22"/>
  <c r="J9" i="22"/>
  <c r="O10" i="22"/>
  <c r="U7" i="21"/>
  <c r="W7" i="21"/>
  <c r="V7" i="21"/>
  <c r="O10" i="20"/>
  <c r="B8" i="20"/>
  <c r="A8" i="20" s="1"/>
  <c r="T9" i="20"/>
  <c r="J8" i="20"/>
  <c r="U7" i="20"/>
  <c r="V7" i="20"/>
  <c r="W3" i="19"/>
  <c r="V3" i="19"/>
  <c r="U3" i="19"/>
  <c r="B9" i="23" l="1"/>
  <c r="A9" i="23" s="1"/>
  <c r="J9" i="23"/>
  <c r="U8" i="23"/>
  <c r="W8" i="23"/>
  <c r="A10" i="22"/>
  <c r="T9" i="22"/>
  <c r="V9" i="22" s="1"/>
  <c r="W8" i="22"/>
  <c r="V8" i="22"/>
  <c r="J10" i="22"/>
  <c r="B11" i="22"/>
  <c r="A11" i="22" s="1"/>
  <c r="U8" i="22"/>
  <c r="O11" i="22"/>
  <c r="O11" i="20"/>
  <c r="J9" i="20"/>
  <c r="U8" i="20"/>
  <c r="V8" i="20"/>
  <c r="W8" i="20"/>
  <c r="T10" i="20"/>
  <c r="B9" i="20"/>
  <c r="A9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O11" i="19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C6" i="19" s="1"/>
  <c r="B5" i="19"/>
  <c r="A5" i="19" s="1"/>
  <c r="T4" i="19"/>
  <c r="O4" i="19"/>
  <c r="J4" i="19"/>
  <c r="W2" i="19"/>
  <c r="V2" i="19"/>
  <c r="U2" i="19"/>
  <c r="BO1" i="19"/>
  <c r="AT1" i="19"/>
  <c r="Y1" i="19"/>
  <c r="U9" i="23" l="1"/>
  <c r="W9" i="23"/>
  <c r="V9" i="23"/>
  <c r="T10" i="22"/>
  <c r="W9" i="22"/>
  <c r="U9" i="22"/>
  <c r="J11" i="22"/>
  <c r="U10" i="22"/>
  <c r="J10" i="20"/>
  <c r="U9" i="20"/>
  <c r="V9" i="20"/>
  <c r="B10" i="20"/>
  <c r="W9" i="20"/>
  <c r="T11" i="20"/>
  <c r="W10" i="20"/>
  <c r="V11" i="19"/>
  <c r="U11" i="19"/>
  <c r="W11" i="19"/>
  <c r="U9" i="19"/>
  <c r="V9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T11" i="22" l="1"/>
  <c r="W11" i="22" s="1"/>
  <c r="W10" i="22"/>
  <c r="V10" i="22"/>
  <c r="J11" i="20"/>
  <c r="U10" i="20"/>
  <c r="V10" i="20"/>
  <c r="B11" i="20"/>
  <c r="A11" i="20" s="1"/>
  <c r="A10" i="20"/>
  <c r="W5" i="19"/>
  <c r="V5" i="19"/>
  <c r="U5" i="19"/>
  <c r="V11" i="22" l="1"/>
  <c r="U11" i="22"/>
  <c r="U11" i="20"/>
  <c r="V11" i="20"/>
  <c r="W11" i="20"/>
</calcChain>
</file>

<file path=xl/sharedStrings.xml><?xml version="1.0" encoding="utf-8"?>
<sst xmlns="http://schemas.openxmlformats.org/spreadsheetml/2006/main" count="908" uniqueCount="210">
  <si>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</si>
  <si>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</si>
  <si>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</si>
  <si>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</si>
  <si>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</si>
  <si>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</si>
  <si>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</si>
  <si>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</si>
  <si>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</si>
  <si>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</si>
  <si>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</si>
  <si>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</si>
  <si>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</si>
  <si>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</si>
  <si>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</si>
  <si>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</si>
  <si>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</si>
  <si>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</si>
  <si>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</si>
  <si>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</si>
  <si>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</si>
  <si>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</si>
  <si>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</si>
  <si>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</si>
  <si>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</si>
  <si>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</si>
  <si>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</si>
  <si>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</si>
  <si>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</si>
  <si>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</si>
  <si>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</si>
  <si>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</si>
  <si>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</si>
  <si>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</si>
  <si>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</si>
  <si>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</si>
  <si>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</si>
  <si>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</si>
  <si>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</si>
  <si>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</si>
  <si>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</si>
  <si>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</si>
  <si>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</si>
  <si>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</si>
  <si>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</si>
  <si>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</si>
  <si>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</si>
  <si>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</si>
  <si>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</si>
  <si>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</si>
  <si>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</si>
  <si>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</si>
  <si>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</si>
  <si>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</si>
  <si>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</si>
  <si>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</si>
  <si>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</si>
  <si>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</si>
  <si>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</si>
  <si>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</si>
  <si>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</si>
  <si>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</si>
  <si>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</si>
  <si>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</si>
  <si>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</si>
  <si>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</si>
  <si>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</si>
  <si>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</si>
  <si>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</si>
  <si>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</si>
  <si>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</si>
  <si>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</si>
  <si>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</si>
  <si>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</si>
  <si>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</si>
  <si>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</si>
  <si>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</si>
  <si>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</si>
  <si>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</si>
  <si>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</si>
  <si>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</si>
  <si>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</si>
  <si>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</si>
  <si>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</si>
  <si>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</si>
  <si>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</si>
  <si>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</si>
  <si>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</si>
  <si>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</si>
  <si>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</si>
  <si>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</si>
  <si>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</si>
  <si>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</si>
  <si>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</si>
  <si>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</si>
  <si>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</si>
  <si>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</si>
  <si>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</si>
  <si>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</si>
  <si>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</si>
  <si>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</si>
  <si>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</si>
  <si>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</si>
  <si>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</si>
  <si>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</si>
  <si>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</si>
  <si>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</si>
  <si>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</si>
  <si>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</si>
  <si>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</si>
  <si>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</si>
  <si>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</si>
  <si>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</si>
  <si>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</si>
  <si>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</si>
  <si>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</si>
  <si>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</si>
  <si>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</si>
  <si>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</si>
  <si>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</si>
  <si>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</si>
  <si>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</si>
  <si>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</si>
  <si>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</si>
  <si>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</si>
  <si>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</si>
  <si>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</si>
  <si>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</si>
  <si>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</si>
  <si>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</si>
  <si>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</si>
  <si>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</si>
  <si>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</si>
  <si>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</si>
  <si>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</si>
  <si>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</si>
  <si>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</si>
  <si>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</si>
  <si>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</si>
  <si>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</si>
  <si>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</si>
  <si>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</si>
  <si>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</si>
  <si>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</si>
  <si>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</si>
  <si>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</si>
  <si>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</si>
  <si>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</si>
  <si>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</si>
  <si>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</si>
  <si>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</si>
  <si>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</si>
  <si>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</si>
  <si>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</si>
  <si>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</si>
  <si>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</si>
  <si>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</si>
  <si>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</si>
  <si>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</si>
  <si>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</si>
  <si>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</si>
  <si>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</si>
  <si>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</si>
  <si>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</si>
  <si>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</si>
  <si>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</si>
  <si>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</si>
  <si>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</si>
  <si>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</si>
  <si>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</si>
  <si>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</si>
  <si>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</si>
  <si>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</si>
  <si>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</si>
  <si>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</si>
  <si>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</si>
  <si>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</si>
  <si>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</si>
  <si>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</si>
  <si>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</si>
  <si>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</si>
  <si>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</si>
  <si>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</si>
  <si>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</si>
  <si>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</si>
  <si>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</si>
  <si>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</si>
  <si>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</si>
  <si>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</si>
  <si>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</si>
  <si>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</si>
  <si>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  <phoneticPr fontId="1"/>
  </si>
  <si>
    <t>ともき</t>
    <phoneticPr fontId="1"/>
  </si>
  <si>
    <t>だいち</t>
    <phoneticPr fontId="1"/>
  </si>
  <si>
    <t>ツモ支払</t>
  </si>
  <si>
    <t>ツモ</t>
  </si>
  <si>
    <t>01</t>
  </si>
  <si>
    <t>02</t>
  </si>
  <si>
    <t>放銃</t>
  </si>
  <si>
    <t>ロン</t>
  </si>
  <si>
    <t>*</t>
  </si>
  <si>
    <t>52</t>
  </si>
  <si>
    <t>T</t>
  </si>
  <si>
    <t>N</t>
  </si>
  <si>
    <t>流局</t>
    <phoneticPr fontId="1"/>
  </si>
  <si>
    <t>りくと</t>
    <phoneticPr fontId="1"/>
  </si>
  <si>
    <t>まっつん</t>
    <phoneticPr fontId="1"/>
  </si>
  <si>
    <t>たかの</t>
    <phoneticPr fontId="1"/>
  </si>
  <si>
    <t>のり</t>
    <phoneticPr fontId="1"/>
  </si>
  <si>
    <t>だいち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</si>
</sst>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ともき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ともき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194</v>
      </c>
      <c r="G4" s="9">
        <v>-1300</v>
      </c>
      <c r="H4" s="9">
        <v>-1000</v>
      </c>
      <c r="I4" s="48">
        <v>0</v>
      </c>
      <c r="J4" s="21">
        <f>IF(COUNTA($F4,$K4,$P4)&gt;0,J3+SUM(G4:I4),"")</f>
        <v>32700</v>
      </c>
      <c r="K4" s="8" t="s">
        <v>195</v>
      </c>
      <c r="L4" s="9">
        <v>2100</v>
      </c>
      <c r="M4" s="9">
        <v>1000</v>
      </c>
      <c r="N4" s="48">
        <v>0</v>
      </c>
      <c r="O4" s="21">
        <f>IF(COUNTA($F4,$K4,$P4)&gt;0,O3+SUM(L4:N4),"")</f>
        <v>38100</v>
      </c>
      <c r="P4" s="8" t="s">
        <v>194</v>
      </c>
      <c r="Q4" s="9">
        <v>-800</v>
      </c>
      <c r="R4" s="9"/>
      <c r="S4" s="48">
        <v>0</v>
      </c>
      <c r="T4" s="21">
        <f>IF(COUNTA($F4,$K4,$P4)&gt;0,T3+SUM(Q4:S4),"")</f>
        <v>34200</v>
      </c>
      <c r="U4" s="53">
        <f>IF($J4="","",ROUND(($J4-$J$3)/1000,1)+(_xlfn.RANK.AVG($J4,($J4,$O4,$T4),1)-2)*10)</f>
        <v>-12.3</v>
      </c>
      <c r="V4" s="54">
        <f>IF($O4="","",ROUND(($O4-$O$3)/1000,1)+(_xlfn.RANK.AVG($O4,($J4,$O4,$T4),1)-2)*10)</f>
        <v>13.1</v>
      </c>
      <c r="W4" s="55">
        <f>IF($T4="","",ROUND(($T4-$T$3)/1000,1)+(_xlfn.RANK.AVG($T4,($J4,$O4,$T4),1)-2)*10)</f>
        <v>-0.8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2</v>
      </c>
      <c r="AY4" s="30">
        <v>30</v>
      </c>
      <c r="AZ4" s="40" t="s">
        <v>196</v>
      </c>
      <c r="BA4" s="41" t="s">
        <v>197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ともき</v>
      </c>
      <c r="F5" s="8"/>
      <c r="G5" s="9"/>
      <c r="H5" s="9"/>
      <c r="I5" s="48"/>
      <c r="J5" s="21">
        <f t="shared" ref="J5:J30" si="2">IF(COUNTA($F5,$K5,$P5)&gt;0,J4+SUM(G5:I5),"")</f>
        <v>32700</v>
      </c>
      <c r="K5" s="8" t="s">
        <v>198</v>
      </c>
      <c r="L5" s="9">
        <v>-8000</v>
      </c>
      <c r="M5" s="9"/>
      <c r="N5" s="48">
        <v>0</v>
      </c>
      <c r="O5" s="21">
        <f t="shared" ref="O5:O30" si="3">IF(COUNTA($F5,$K5,$P5)&gt;0,O4+SUM(L5:N5),"")</f>
        <v>30100</v>
      </c>
      <c r="P5" s="8" t="s">
        <v>199</v>
      </c>
      <c r="Q5" s="9">
        <v>8000</v>
      </c>
      <c r="R5" s="9"/>
      <c r="S5" s="48">
        <v>0</v>
      </c>
      <c r="T5" s="21">
        <f t="shared" ref="T5:T30" si="4">IF(COUNTA($F5,$K5,$P5)&gt;0,T4+SUM(Q5:S5),"")</f>
        <v>42200</v>
      </c>
      <c r="U5" s="53">
        <f>IF($J5="","",ROUND(($J5-$J$3)/1000,1)+(_xlfn.RANK.AVG($J5,($J5,$O5,$T5),1)-2)*10)</f>
        <v>-2.2999999999999998</v>
      </c>
      <c r="V5" s="54">
        <f>IF($O5="","",ROUND(($O5-$O$3)/1000,1)+(_xlfn.RANK.AVG($O5,($J5,$O5,$T5),1)-2)*10)</f>
        <v>-14.9</v>
      </c>
      <c r="W5" s="55">
        <f>IF($T5="","",ROUND(($T5-$T$3)/1000,1)+(_xlfn.RANK.AVG($T5,($J5,$O5,$T5),1)-2)*10)</f>
        <v>17.2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5</v>
      </c>
      <c r="BT5" s="30" t="s">
        <v>200</v>
      </c>
      <c r="BU5" s="40" t="s">
        <v>101</v>
      </c>
      <c r="BV5" s="41" t="s">
        <v>79</v>
      </c>
      <c r="BW5" s="41" t="s">
        <v>79</v>
      </c>
      <c r="BX5" s="41" t="s">
        <v>201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194</v>
      </c>
      <c r="G6" s="9">
        <v>-9000</v>
      </c>
      <c r="H6" s="9"/>
      <c r="I6" s="48">
        <v>0</v>
      </c>
      <c r="J6" s="21">
        <f t="shared" si="2"/>
        <v>23700</v>
      </c>
      <c r="K6" s="8" t="s">
        <v>194</v>
      </c>
      <c r="L6" s="9">
        <v>-9000</v>
      </c>
      <c r="M6" s="9"/>
      <c r="N6" s="48">
        <v>0</v>
      </c>
      <c r="O6" s="21">
        <f t="shared" si="3"/>
        <v>21100</v>
      </c>
      <c r="P6" s="8" t="s">
        <v>195</v>
      </c>
      <c r="Q6" s="9">
        <v>18000</v>
      </c>
      <c r="R6" s="9"/>
      <c r="S6" s="48">
        <v>0</v>
      </c>
      <c r="T6" s="21">
        <f t="shared" si="4"/>
        <v>60200</v>
      </c>
      <c r="U6" s="53">
        <f>IF($J6="","",ROUND(($J6-$J$3)/1000,1)+(_xlfn.RANK.AVG($J6,($J6,$O6,$T6),1)-2)*10)</f>
        <v>-11.3</v>
      </c>
      <c r="V6" s="54">
        <f>IF($O6="","",ROUND(($O6-$O$3)/1000,1)+(_xlfn.RANK.AVG($O6,($J6,$O6,$T6),1)-2)*10)</f>
        <v>-23.9</v>
      </c>
      <c r="W6" s="55">
        <f>IF($T6="","",ROUND(($T6-$T$3)/1000,1)+(_xlfn.RANK.AVG($T6,($J6,$O6,$T6),1)-2)*10)</f>
        <v>35.200000000000003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6</v>
      </c>
      <c r="BT6" s="30" t="s">
        <v>200</v>
      </c>
      <c r="BU6" s="40" t="s">
        <v>104</v>
      </c>
      <c r="BV6" s="41" t="s">
        <v>79</v>
      </c>
      <c r="BW6" s="41" t="s">
        <v>79</v>
      </c>
      <c r="BX6" s="41" t="s">
        <v>86</v>
      </c>
      <c r="BY6" s="41" t="s">
        <v>86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だいち</v>
      </c>
      <c r="F7" s="8"/>
      <c r="G7" s="9"/>
      <c r="H7" s="9"/>
      <c r="I7" s="48"/>
      <c r="J7" s="21">
        <f t="shared" si="2"/>
        <v>23700</v>
      </c>
      <c r="K7" s="8" t="s">
        <v>198</v>
      </c>
      <c r="L7" s="9">
        <v>-2900</v>
      </c>
      <c r="M7" s="9"/>
      <c r="N7" s="48">
        <v>-1000</v>
      </c>
      <c r="O7" s="21">
        <f t="shared" si="3"/>
        <v>17200</v>
      </c>
      <c r="P7" s="8" t="s">
        <v>199</v>
      </c>
      <c r="Q7" s="9">
        <v>2900</v>
      </c>
      <c r="R7" s="9"/>
      <c r="S7" s="48">
        <v>1000</v>
      </c>
      <c r="T7" s="21">
        <f t="shared" si="4"/>
        <v>64100</v>
      </c>
      <c r="U7" s="53">
        <f>IF($J7="","",ROUND(($J7-$J$3)/1000,1)+(_xlfn.RANK.AVG($J7,($J7,$O7,$T7),1)-2)*10)</f>
        <v>-11.3</v>
      </c>
      <c r="V7" s="54">
        <f>IF($O7="","",ROUND(($O7-$O$3)/1000,1)+(_xlfn.RANK.AVG($O7,($J7,$O7,$T7),1)-2)*10)</f>
        <v>-27.8</v>
      </c>
      <c r="W7" s="55">
        <f>IF($T7="","",ROUND(($T7-$T$3)/1000,1)+(_xlfn.RANK.AVG($T7,($J7,$O7,$T7),1)-2)*10)</f>
        <v>39.1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2</v>
      </c>
      <c r="BT7" s="30">
        <v>30</v>
      </c>
      <c r="BU7" s="40" t="s">
        <v>86</v>
      </c>
      <c r="BV7" s="41" t="s">
        <v>201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tr">
        <f>IF($P$1="","",$P$1)</f>
        <v>だいち</v>
      </c>
      <c r="F8" s="8" t="s">
        <v>195</v>
      </c>
      <c r="G8" s="9">
        <v>6400</v>
      </c>
      <c r="H8" s="9">
        <v>1000</v>
      </c>
      <c r="I8" s="48">
        <v>2000</v>
      </c>
      <c r="J8" s="21">
        <f t="shared" si="2"/>
        <v>33100</v>
      </c>
      <c r="K8" s="8" t="s">
        <v>194</v>
      </c>
      <c r="L8" s="9">
        <v>-2400</v>
      </c>
      <c r="M8" s="9">
        <v>-1000</v>
      </c>
      <c r="N8" s="48">
        <v>-1000</v>
      </c>
      <c r="O8" s="21">
        <f t="shared" si="3"/>
        <v>12800</v>
      </c>
      <c r="P8" s="8" t="s">
        <v>194</v>
      </c>
      <c r="Q8" s="9">
        <v>-4000</v>
      </c>
      <c r="R8" s="9"/>
      <c r="S8" s="48">
        <v>-1000</v>
      </c>
      <c r="T8" s="21">
        <f t="shared" si="4"/>
        <v>59100</v>
      </c>
      <c r="U8" s="53">
        <f>IF($J8="","",ROUND(($J8-$J$3)/1000,1)+(_xlfn.RANK.AVG($J8,($J8,$O8,$T8),1)-2)*10)</f>
        <v>-1.9</v>
      </c>
      <c r="V8" s="54">
        <f>IF($O8="","",ROUND(($O8-$O$3)/1000,1)+(_xlfn.RANK.AVG($O8,($J8,$O8,$T8),1)-2)*10)</f>
        <v>-32.200000000000003</v>
      </c>
      <c r="W8" s="55">
        <f>IF($T8="","",ROUND(($T8-$T$3)/1000,1)+(_xlfn.RANK.AVG($T8,($J8,$O8,$T8),1)-2)*10)</f>
        <v>34.1</v>
      </c>
      <c r="Y8" s="8"/>
      <c r="Z8" s="34"/>
      <c r="AA8" s="26">
        <v>1</v>
      </c>
      <c r="AB8" s="26"/>
      <c r="AC8" s="26">
        <v>4</v>
      </c>
      <c r="AD8" s="30">
        <v>25</v>
      </c>
      <c r="AE8" s="40" t="s">
        <v>196</v>
      </c>
      <c r="AF8" s="41" t="s">
        <v>82</v>
      </c>
      <c r="AG8" s="41" t="s">
        <v>101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れんたろう</v>
      </c>
      <c r="F9" s="8" t="s">
        <v>198</v>
      </c>
      <c r="G9" s="9">
        <v>-2000</v>
      </c>
      <c r="H9" s="9"/>
      <c r="I9" s="48">
        <v>0</v>
      </c>
      <c r="J9" s="21">
        <f t="shared" si="2"/>
        <v>31100</v>
      </c>
      <c r="K9" s="8"/>
      <c r="L9" s="9"/>
      <c r="M9" s="9"/>
      <c r="N9" s="48"/>
      <c r="O9" s="21">
        <f t="shared" si="3"/>
        <v>12800</v>
      </c>
      <c r="P9" s="8" t="s">
        <v>199</v>
      </c>
      <c r="Q9" s="9">
        <v>2000</v>
      </c>
      <c r="R9" s="9"/>
      <c r="S9" s="48">
        <v>0</v>
      </c>
      <c r="T9" s="21">
        <f t="shared" si="4"/>
        <v>61100</v>
      </c>
      <c r="U9" s="53">
        <f>IF($J9="","",ROUND(($J9-$J$3)/1000,1)+(_xlfn.RANK.AVG($J9,($J9,$O9,$T9),1)-2)*10)</f>
        <v>-3.9</v>
      </c>
      <c r="V9" s="54">
        <f>IF($O9="","",ROUND(($O9-$O$3)/1000,1)+(_xlfn.RANK.AVG($O9,($J9,$O9,$T9),1)-2)*10)</f>
        <v>-32.200000000000003</v>
      </c>
      <c r="W9" s="55">
        <f>IF($T9="","",ROUND(($T9-$T$3)/1000,1)+(_xlfn.RANK.AVG($T9,($J9,$O9,$T9),1)-2)*10)</f>
        <v>36.1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2</v>
      </c>
      <c r="BT9" s="30">
        <v>30</v>
      </c>
      <c r="BU9" s="40" t="s">
        <v>86</v>
      </c>
      <c r="BV9" s="41" t="s">
        <v>86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ともき</v>
      </c>
      <c r="F10" s="8"/>
      <c r="G10" s="9"/>
      <c r="H10" s="9">
        <v>-1000</v>
      </c>
      <c r="I10" s="48"/>
      <c r="J10" s="21">
        <f t="shared" si="2"/>
        <v>30100</v>
      </c>
      <c r="K10" s="8" t="s">
        <v>198</v>
      </c>
      <c r="L10" s="9">
        <v>-1600</v>
      </c>
      <c r="M10" s="9">
        <v>-1000</v>
      </c>
      <c r="N10" s="48">
        <v>0</v>
      </c>
      <c r="O10" s="21">
        <f t="shared" si="3"/>
        <v>10200</v>
      </c>
      <c r="P10" s="8" t="s">
        <v>199</v>
      </c>
      <c r="Q10" s="9">
        <v>1600</v>
      </c>
      <c r="R10" s="9">
        <v>2000</v>
      </c>
      <c r="S10" s="48">
        <v>0</v>
      </c>
      <c r="T10" s="21">
        <f t="shared" si="4"/>
        <v>64700</v>
      </c>
      <c r="U10" s="53">
        <f>IF($J10="","",ROUND(($J10-$J$3)/1000,1)+(_xlfn.RANK.AVG($J10,($J10,$O10,$T10),1)-2)*10)</f>
        <v>-4.9000000000000004</v>
      </c>
      <c r="V10" s="54">
        <f>IF($O10="","",ROUND(($O10-$O$3)/1000,1)+(_xlfn.RANK.AVG($O10,($J10,$O10,$T10),1)-2)*10)</f>
        <v>-34.799999999999997</v>
      </c>
      <c r="W10" s="55">
        <f>IF($T10="","",ROUND(($T10-$T$3)/1000,1)+(_xlfn.RANK.AVG($T10,($J10,$O10,$T10),1)-2)*10)</f>
        <v>39.700000000000003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2</v>
      </c>
      <c r="BT10" s="30">
        <v>25</v>
      </c>
      <c r="BU10" s="40" t="s">
        <v>101</v>
      </c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だいち</v>
      </c>
      <c r="F11" s="8" t="s">
        <v>204</v>
      </c>
      <c r="G11" s="9">
        <v>3000</v>
      </c>
      <c r="H11" s="9">
        <v>-1000</v>
      </c>
      <c r="I11" s="48"/>
      <c r="J11" s="21">
        <f t="shared" si="2"/>
        <v>32100</v>
      </c>
      <c r="K11" s="8" t="s">
        <v>204</v>
      </c>
      <c r="L11" s="9">
        <v>-1500</v>
      </c>
      <c r="M11" s="9"/>
      <c r="N11" s="48"/>
      <c r="O11" s="21">
        <f t="shared" si="3"/>
        <v>8700</v>
      </c>
      <c r="P11" s="8" t="s">
        <v>204</v>
      </c>
      <c r="Q11" s="9">
        <v>-1500</v>
      </c>
      <c r="R11" s="9">
        <v>1000</v>
      </c>
      <c r="S11" s="48"/>
      <c r="T11" s="21">
        <f t="shared" si="4"/>
        <v>64200</v>
      </c>
      <c r="U11" s="53">
        <f>IF($J11="","",ROUND(($J11-$J$3)/1000,1)+(_xlfn.RANK.AVG($J11,($J11,$O11,$T11),1)-2)*10)</f>
        <v>-2.9</v>
      </c>
      <c r="V11" s="54">
        <f>IF($O11="","",ROUND(($O11-$O$3)/1000,1)+(_xlfn.RANK.AVG($O11,($J11,$O11,$T11),1)-2)*10)</f>
        <v>-36.299999999999997</v>
      </c>
      <c r="W11" s="55">
        <f>IF($T11="","",ROUND(($T11-$T$3)/1000,1)+(_xlfn.RANK.AVG($T11,($J11,$O11,$T11),1)-2)*10)</f>
        <v>39.200000000000003</v>
      </c>
      <c r="Y11" s="8" t="s">
        <v>202</v>
      </c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203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203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7893316B-0B15-429F-903C-6414E6FB0F38}">
      <formula1>"れんたろう,ともき,だいち,"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1FDC0-F3C2-4160-B4CE-D2098F02B746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205</v>
      </c>
      <c r="G1" s="72"/>
      <c r="H1" s="72"/>
      <c r="I1" s="73"/>
      <c r="J1" s="74"/>
      <c r="K1" s="71" t="s">
        <v>206</v>
      </c>
      <c r="L1" s="72"/>
      <c r="M1" s="72"/>
      <c r="N1" s="73"/>
      <c r="O1" s="74"/>
      <c r="P1" s="71" t="s">
        <v>207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まっつん</v>
      </c>
      <c r="W2" s="16" t="str">
        <f>$P$1</f>
        <v>たかの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りくと</v>
      </c>
      <c r="F4" s="8" t="s">
        <v>198</v>
      </c>
      <c r="G4" s="9">
        <v>-16000</v>
      </c>
      <c r="H4" s="9">
        <v>-1000</v>
      </c>
      <c r="I4" s="48">
        <v>0</v>
      </c>
      <c r="J4" s="21">
        <f>IF(COUNTA($F4,$K4,$P4)&gt;0,J3+SUM(G4:I4),"")</f>
        <v>18000</v>
      </c>
      <c r="K4" s="8" t="s">
        <v>199</v>
      </c>
      <c r="L4" s="9">
        <v>16000</v>
      </c>
      <c r="M4" s="9">
        <v>1000</v>
      </c>
      <c r="N4" s="48">
        <v>0</v>
      </c>
      <c r="O4" s="21">
        <f>IF(COUNTA($F4,$K4,$P4)&gt;0,O3+SUM(L4:N4),"")</f>
        <v>52000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-27</v>
      </c>
      <c r="V4" s="54">
        <f>IF($O4="","",ROUND(($O4-$O$3)/1000,1)+(_xlfn.RANK.AVG($O4,($J4,$O4,$T4),1)-2)*10)</f>
        <v>27</v>
      </c>
      <c r="W4" s="55">
        <f>IF($T4="","",ROUND(($T4-$T$3)/1000,1)+(_xlfn.RANK.AVG($T4,($J4,$O4,$T4),1)-2)*10)</f>
        <v>0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10</v>
      </c>
      <c r="AY4" s="30" t="s">
        <v>200</v>
      </c>
      <c r="AZ4" s="40" t="s">
        <v>196</v>
      </c>
      <c r="BA4" s="41" t="s">
        <v>86</v>
      </c>
      <c r="BB4" s="41" t="s">
        <v>104</v>
      </c>
      <c r="BC4" s="41" t="s">
        <v>201</v>
      </c>
      <c r="BD4" s="41" t="s">
        <v>80</v>
      </c>
      <c r="BE4" s="41" t="s">
        <v>80</v>
      </c>
      <c r="BF4" s="41" t="s">
        <v>80</v>
      </c>
      <c r="BG4" s="41" t="s">
        <v>79</v>
      </c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まっつん</v>
      </c>
      <c r="F5" s="8"/>
      <c r="G5" s="9"/>
      <c r="H5" s="9"/>
      <c r="I5" s="48"/>
      <c r="J5" s="21">
        <f t="shared" ref="J5:J30" si="2">IF(COUNTA($F5,$K5,$P5)&gt;0,J4+SUM(G5:I5),"")</f>
        <v>18000</v>
      </c>
      <c r="K5" s="8" t="s">
        <v>199</v>
      </c>
      <c r="L5" s="9">
        <v>12000</v>
      </c>
      <c r="M5" s="9"/>
      <c r="N5" s="48">
        <v>0</v>
      </c>
      <c r="O5" s="21">
        <f t="shared" ref="O5:O30" si="3">IF(COUNTA($F5,$K5,$P5)&gt;0,O4+SUM(L5:N5),"")</f>
        <v>64000</v>
      </c>
      <c r="P5" s="8" t="s">
        <v>198</v>
      </c>
      <c r="Q5" s="9">
        <v>-12000</v>
      </c>
      <c r="R5" s="9"/>
      <c r="S5" s="48">
        <v>0</v>
      </c>
      <c r="T5" s="21">
        <f t="shared" ref="T5:T30" si="4">IF(COUNTA($F5,$K5,$P5)&gt;0,T4+SUM(Q5:S5),"")</f>
        <v>23000</v>
      </c>
      <c r="U5" s="53">
        <f>IF($J5="","",ROUND(($J5-$J$3)/1000,1)+(_xlfn.RANK.AVG($J5,($J5,$O5,$T5),1)-2)*10)</f>
        <v>-27</v>
      </c>
      <c r="V5" s="54">
        <f>IF($O5="","",ROUND(($O5-$O$3)/1000,1)+(_xlfn.RANK.AVG($O5,($J5,$O5,$T5),1)-2)*10)</f>
        <v>39</v>
      </c>
      <c r="W5" s="55">
        <f>IF($T5="","",ROUND(($T5-$T$3)/1000,1)+(_xlfn.RANK.AVG($T5,($J5,$O5,$T5),1)-2)*10)</f>
        <v>-12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50</v>
      </c>
      <c r="AZ5" s="40" t="s">
        <v>196</v>
      </c>
      <c r="BA5" s="41" t="s">
        <v>86</v>
      </c>
      <c r="BB5" s="41" t="s">
        <v>80</v>
      </c>
      <c r="BC5" s="41" t="s">
        <v>201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まっつん</v>
      </c>
      <c r="F6" s="8" t="s">
        <v>194</v>
      </c>
      <c r="G6" s="9">
        <v>-3000</v>
      </c>
      <c r="H6" s="9">
        <v>-1000</v>
      </c>
      <c r="I6" s="48">
        <v>-500</v>
      </c>
      <c r="J6" s="21">
        <f t="shared" si="2"/>
        <v>13500</v>
      </c>
      <c r="K6" s="8" t="s">
        <v>194</v>
      </c>
      <c r="L6" s="9">
        <v>-5000</v>
      </c>
      <c r="M6" s="9"/>
      <c r="N6" s="48">
        <v>-500</v>
      </c>
      <c r="O6" s="21">
        <f t="shared" si="3"/>
        <v>58500</v>
      </c>
      <c r="P6" s="8" t="s">
        <v>195</v>
      </c>
      <c r="Q6" s="9">
        <v>8000</v>
      </c>
      <c r="R6" s="9">
        <v>1000</v>
      </c>
      <c r="S6" s="48">
        <v>1000</v>
      </c>
      <c r="T6" s="21">
        <f t="shared" si="4"/>
        <v>33000</v>
      </c>
      <c r="U6" s="53">
        <f>IF($J6="","",ROUND(($J6-$J$3)/1000,1)+(_xlfn.RANK.AVG($J6,($J6,$O6,$T6),1)-2)*10)</f>
        <v>-31.5</v>
      </c>
      <c r="V6" s="54">
        <f>IF($O6="","",ROUND(($O6-$O$3)/1000,1)+(_xlfn.RANK.AVG($O6,($J6,$O6,$T6),1)-2)*10)</f>
        <v>33.5</v>
      </c>
      <c r="W6" s="55">
        <f>IF($T6="","",ROUND(($T6-$T$3)/1000,1)+(_xlfn.RANK.AVG($T6,($J6,$O6,$T6),1)-2)*10)</f>
        <v>-2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5</v>
      </c>
      <c r="BT6" s="30" t="s">
        <v>200</v>
      </c>
      <c r="BU6" s="40" t="s">
        <v>86</v>
      </c>
      <c r="BV6" s="41" t="s">
        <v>79</v>
      </c>
      <c r="BW6" s="41" t="s">
        <v>79</v>
      </c>
      <c r="BX6" s="41" t="s">
        <v>79</v>
      </c>
      <c r="BY6" s="41" t="s">
        <v>79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たかの</v>
      </c>
      <c r="F7" s="8" t="s">
        <v>194</v>
      </c>
      <c r="G7" s="9">
        <v>-24000</v>
      </c>
      <c r="H7" s="9"/>
      <c r="I7" s="48">
        <v>0</v>
      </c>
      <c r="J7" s="21">
        <f t="shared" si="2"/>
        <v>-10500</v>
      </c>
      <c r="K7" s="8" t="s">
        <v>194</v>
      </c>
      <c r="L7" s="9">
        <v>-24000</v>
      </c>
      <c r="M7" s="9"/>
      <c r="N7" s="48">
        <v>0</v>
      </c>
      <c r="O7" s="21">
        <f t="shared" si="3"/>
        <v>34500</v>
      </c>
      <c r="P7" s="8" t="s">
        <v>195</v>
      </c>
      <c r="Q7" s="9">
        <v>48000</v>
      </c>
      <c r="R7" s="9"/>
      <c r="S7" s="48">
        <v>0</v>
      </c>
      <c r="T7" s="21">
        <f t="shared" si="4"/>
        <v>81000</v>
      </c>
      <c r="U7" s="53">
        <f>IF($J7="","",ROUND(($J7-$J$3)/1000,1)+(_xlfn.RANK.AVG($J7,($J7,$O7,$T7),1)-2)*10)</f>
        <v>-55.5</v>
      </c>
      <c r="V7" s="54">
        <f>IF($O7="","",ROUND(($O7-$O$3)/1000,1)+(_xlfn.RANK.AVG($O7,($J7,$O7,$T7),1)-2)*10)</f>
        <v>-0.5</v>
      </c>
      <c r="W7" s="55">
        <f>IF($T7="","",ROUND(($T7-$T$3)/1000,1)+(_xlfn.RANK.AVG($T7,($J7,$O7,$T7),1)-2)*10)</f>
        <v>56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13</v>
      </c>
      <c r="BT7" s="30" t="s">
        <v>200</v>
      </c>
      <c r="BU7" s="40" t="s">
        <v>117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218C20D0-CCE4-494F-8246-D92423CDD84A}">
      <formula1>"れんたろう,ともき,だいち,"</formula1>
    </dataValidation>
    <dataValidation type="list" showInputMessage="1" showErrorMessage="1" sqref="K4:K30 P4:P30 F4:F30" xr:uid="{3100E045-30AE-4870-A0D5-8D5AC5A0D2F9}">
      <formula1>"ロン,ツモ,放銃,ツモ支払,流局,チョンボ"</formula1>
    </dataValidation>
    <dataValidation type="list" allowBlank="1" showInputMessage="1" showErrorMessage="1" sqref="E4:E30" xr:uid="{0C215749-DFF7-4038-B217-E03F33C4CEA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8B0BC-6B7F-40D3-B801-86995FA8C1CB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205</v>
      </c>
      <c r="G1" s="72"/>
      <c r="H1" s="72"/>
      <c r="I1" s="73"/>
      <c r="J1" s="74"/>
      <c r="K1" s="71" t="s">
        <v>208</v>
      </c>
      <c r="L1" s="72"/>
      <c r="M1" s="72"/>
      <c r="N1" s="73"/>
      <c r="O1" s="74"/>
      <c r="P1" s="71" t="s">
        <v>207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のり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のり</v>
      </c>
      <c r="W2" s="16" t="str">
        <f>$P$1</f>
        <v>たかの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りくと</v>
      </c>
      <c r="F4" s="8" t="s">
        <v>204</v>
      </c>
      <c r="G4" s="9">
        <v>1500</v>
      </c>
      <c r="H4" s="9">
        <v>-1000</v>
      </c>
      <c r="I4" s="48"/>
      <c r="J4" s="21">
        <f>IF(COUNTA($F4,$K4,$P4)&gt;0,J3+SUM(G4:I4),"")</f>
        <v>35500</v>
      </c>
      <c r="K4" s="8" t="s">
        <v>204</v>
      </c>
      <c r="L4" s="9">
        <v>-3000</v>
      </c>
      <c r="M4" s="9"/>
      <c r="N4" s="48"/>
      <c r="O4" s="21">
        <f>IF(COUNTA($F4,$K4,$P4)&gt;0,O3+SUM(L4:N4),"")</f>
        <v>32000</v>
      </c>
      <c r="P4" s="8" t="s">
        <v>204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IF($J4="","",ROUND(($J4-$J$3)/1000,1)+(_xlfn.RANK.AVG($J4,($J4,$O4,$T4),1)-2)*10)</f>
        <v>0.5</v>
      </c>
      <c r="V4" s="54">
        <f>IF($O4="","",ROUND(($O4-$O$3)/1000,1)+(_xlfn.RANK.AVG($O4,($J4,$O4,$T4),1)-2)*10)</f>
        <v>-13</v>
      </c>
      <c r="W4" s="55">
        <f>IF($T4="","",ROUND(($T4-$T$3)/1000,1)+(_xlfn.RANK.AVG($T4,($J4,$O4,$T4),1)-2)*10)</f>
        <v>11.5</v>
      </c>
      <c r="Y4" s="8" t="s">
        <v>202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203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202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tr">
        <f>IF($F$1="","",$F$1)</f>
        <v>りくと</v>
      </c>
      <c r="F5" s="8" t="s">
        <v>198</v>
      </c>
      <c r="G5" s="9">
        <v>-5200</v>
      </c>
      <c r="H5" s="9"/>
      <c r="I5" s="48">
        <v>-1000</v>
      </c>
      <c r="J5" s="21">
        <f t="shared" ref="J5:J30" si="2">IF(COUNTA($F5,$K5,$P5)&gt;0,J4+SUM(G5:I5),"")</f>
        <v>29300</v>
      </c>
      <c r="K5" s="8"/>
      <c r="L5" s="9"/>
      <c r="M5" s="9"/>
      <c r="N5" s="48"/>
      <c r="O5" s="21">
        <f t="shared" ref="O5:O30" si="3">IF(COUNTA($F5,$K5,$P5)&gt;0,O4+SUM(L5:N5),"")</f>
        <v>32000</v>
      </c>
      <c r="P5" s="8" t="s">
        <v>199</v>
      </c>
      <c r="Q5" s="9">
        <v>5200</v>
      </c>
      <c r="R5" s="9">
        <v>1000</v>
      </c>
      <c r="S5" s="48">
        <v>1000</v>
      </c>
      <c r="T5" s="21">
        <f t="shared" ref="T5:T30" si="4">IF(COUNTA($F5,$K5,$P5)&gt;0,T4+SUM(Q5:S5),"")</f>
        <v>43700</v>
      </c>
      <c r="U5" s="53">
        <f>IF($J5="","",ROUND(($J5-$J$3)/1000,1)+(_xlfn.RANK.AVG($J5,($J5,$O5,$T5),1)-2)*10)</f>
        <v>-15.7</v>
      </c>
      <c r="V5" s="54">
        <f>IF($O5="","",ROUND(($O5-$O$3)/1000,1)+(_xlfn.RANK.AVG($O5,($J5,$O5,$T5),1)-2)*10)</f>
        <v>-3</v>
      </c>
      <c r="W5" s="55">
        <f>IF($T5="","",ROUND(($T5-$T$3)/1000,1)+(_xlfn.RANK.AVG($T5,($J5,$O5,$T5),1)-2)*10)</f>
        <v>18.7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3</v>
      </c>
      <c r="BT5" s="30">
        <v>40</v>
      </c>
      <c r="BU5" s="40" t="s">
        <v>104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のり</v>
      </c>
      <c r="F6" s="8" t="s">
        <v>198</v>
      </c>
      <c r="G6" s="9">
        <v>-2000</v>
      </c>
      <c r="H6" s="9"/>
      <c r="I6" s="48">
        <v>0</v>
      </c>
      <c r="J6" s="21">
        <f t="shared" si="2"/>
        <v>27300</v>
      </c>
      <c r="K6" s="8"/>
      <c r="L6" s="9"/>
      <c r="M6" s="9"/>
      <c r="N6" s="48"/>
      <c r="O6" s="21">
        <f t="shared" si="3"/>
        <v>32000</v>
      </c>
      <c r="P6" s="8" t="s">
        <v>199</v>
      </c>
      <c r="Q6" s="9">
        <v>2000</v>
      </c>
      <c r="R6" s="9"/>
      <c r="S6" s="48">
        <v>0</v>
      </c>
      <c r="T6" s="21">
        <f t="shared" si="4"/>
        <v>45700</v>
      </c>
      <c r="U6" s="53">
        <f>IF($J6="","",ROUND(($J6-$J$3)/1000,1)+(_xlfn.RANK.AVG($J6,($J6,$O6,$T6),1)-2)*10)</f>
        <v>-17.7</v>
      </c>
      <c r="V6" s="54">
        <f>IF($O6="","",ROUND(($O6-$O$3)/1000,1)+(_xlfn.RANK.AVG($O6,($J6,$O6,$T6),1)-2)*10)</f>
        <v>-3</v>
      </c>
      <c r="W6" s="55">
        <f>IF($T6="","",ROUND(($T6-$T$3)/1000,1)+(_xlfn.RANK.AVG($T6,($J6,$O6,$T6),1)-2)*10)</f>
        <v>20.7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2</v>
      </c>
      <c r="BT6" s="30">
        <v>30</v>
      </c>
      <c r="BU6" s="40" t="s">
        <v>86</v>
      </c>
      <c r="BV6" s="41" t="s">
        <v>86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たかの</v>
      </c>
      <c r="F7" s="8" t="s">
        <v>194</v>
      </c>
      <c r="G7" s="9">
        <v>-1100</v>
      </c>
      <c r="H7" s="9"/>
      <c r="I7" s="48">
        <v>0</v>
      </c>
      <c r="J7" s="21">
        <f t="shared" si="2"/>
        <v>26200</v>
      </c>
      <c r="K7" s="8" t="s">
        <v>194</v>
      </c>
      <c r="L7" s="9">
        <v>-1100</v>
      </c>
      <c r="M7" s="9"/>
      <c r="N7" s="48">
        <v>0</v>
      </c>
      <c r="O7" s="21">
        <f t="shared" si="3"/>
        <v>30900</v>
      </c>
      <c r="P7" s="8" t="s">
        <v>195</v>
      </c>
      <c r="Q7" s="9">
        <v>2200</v>
      </c>
      <c r="R7" s="9"/>
      <c r="S7" s="48">
        <v>0</v>
      </c>
      <c r="T7" s="21">
        <f t="shared" si="4"/>
        <v>47900</v>
      </c>
      <c r="U7" s="53">
        <f>IF($J7="","",ROUND(($J7-$J$3)/1000,1)+(_xlfn.RANK.AVG($J7,($J7,$O7,$T7),1)-2)*10)</f>
        <v>-18.8</v>
      </c>
      <c r="V7" s="54">
        <f>IF($O7="","",ROUND(($O7-$O$3)/1000,1)+(_xlfn.RANK.AVG($O7,($J7,$O7,$T7),1)-2)*10)</f>
        <v>-4.0999999999999996</v>
      </c>
      <c r="W7" s="55">
        <f>IF($T7="","",ROUND(($T7-$T$3)/1000,1)+(_xlfn.RANK.AVG($T7,($J7,$O7,$T7),1)-2)*10)</f>
        <v>22.9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2</v>
      </c>
      <c r="BT7" s="30">
        <v>20</v>
      </c>
      <c r="BU7" s="40" t="s">
        <v>82</v>
      </c>
      <c r="BV7" s="41" t="s">
        <v>83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IF($P$1="","",$P$1)</f>
        <v>たかの</v>
      </c>
      <c r="F8" s="8" t="s">
        <v>194</v>
      </c>
      <c r="G8" s="9">
        <v>-12000</v>
      </c>
      <c r="H8" s="9">
        <v>-1000</v>
      </c>
      <c r="I8" s="48">
        <v>-500</v>
      </c>
      <c r="J8" s="21">
        <f t="shared" si="2"/>
        <v>12700</v>
      </c>
      <c r="K8" s="8" t="s">
        <v>194</v>
      </c>
      <c r="L8" s="9">
        <v>-12000</v>
      </c>
      <c r="M8" s="9"/>
      <c r="N8" s="48">
        <v>-500</v>
      </c>
      <c r="O8" s="21">
        <f t="shared" si="3"/>
        <v>18400</v>
      </c>
      <c r="P8" s="8" t="s">
        <v>195</v>
      </c>
      <c r="Q8" s="9">
        <v>24000</v>
      </c>
      <c r="R8" s="9">
        <v>1000</v>
      </c>
      <c r="S8" s="48">
        <v>1000</v>
      </c>
      <c r="T8" s="21">
        <f t="shared" si="4"/>
        <v>73900</v>
      </c>
      <c r="U8" s="53">
        <f>IF($J8="","",ROUND(($J8-$J$3)/1000,1)+(_xlfn.RANK.AVG($J8,($J8,$O8,$T8),1)-2)*10)</f>
        <v>-32.299999999999997</v>
      </c>
      <c r="V8" s="54">
        <f>IF($O8="","",ROUND(($O8-$O$3)/1000,1)+(_xlfn.RANK.AVG($O8,($J8,$O8,$T8),1)-2)*10)</f>
        <v>-16.600000000000001</v>
      </c>
      <c r="W8" s="55">
        <f>IF($T8="","",ROUND(($T8-$T$3)/1000,1)+(_xlfn.RANK.AVG($T8,($J8,$O8,$T8),1)-2)*10)</f>
        <v>48.9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10</v>
      </c>
      <c r="BT8" s="30" t="s">
        <v>200</v>
      </c>
      <c r="BU8" s="40" t="s">
        <v>196</v>
      </c>
      <c r="BV8" s="41" t="s">
        <v>82</v>
      </c>
      <c r="BW8" s="41" t="s">
        <v>96</v>
      </c>
      <c r="BX8" s="41" t="s">
        <v>79</v>
      </c>
      <c r="BY8" s="41" t="s">
        <v>79</v>
      </c>
      <c r="BZ8" s="41" t="s">
        <v>79</v>
      </c>
      <c r="CA8" s="41" t="s">
        <v>80</v>
      </c>
      <c r="CB8" s="41" t="s">
        <v>80</v>
      </c>
      <c r="CC8" s="41" t="s">
        <v>80</v>
      </c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0</v>
      </c>
      <c r="E9" s="4" t="str">
        <f>IF($P$1="","",$P$1)</f>
        <v>たかの</v>
      </c>
      <c r="F9" s="8" t="s">
        <v>194</v>
      </c>
      <c r="G9" s="9">
        <v>-6000</v>
      </c>
      <c r="H9" s="9"/>
      <c r="I9" s="48">
        <v>-1000</v>
      </c>
      <c r="J9" s="21">
        <f t="shared" si="2"/>
        <v>5700</v>
      </c>
      <c r="K9" s="8" t="s">
        <v>194</v>
      </c>
      <c r="L9" s="9">
        <v>-6000</v>
      </c>
      <c r="M9" s="9"/>
      <c r="N9" s="48">
        <v>-1000</v>
      </c>
      <c r="O9" s="21">
        <f t="shared" si="3"/>
        <v>11400</v>
      </c>
      <c r="P9" s="8" t="s">
        <v>195</v>
      </c>
      <c r="Q9" s="9">
        <v>12000</v>
      </c>
      <c r="R9" s="9"/>
      <c r="S9" s="48">
        <v>2000</v>
      </c>
      <c r="T9" s="21">
        <f t="shared" si="4"/>
        <v>87900</v>
      </c>
      <c r="U9" s="53">
        <f>IF($J9="","",ROUND(($J9-$J$3)/1000,1)+(_xlfn.RANK.AVG($J9,($J9,$O9,$T9),1)-2)*10)</f>
        <v>-39.299999999999997</v>
      </c>
      <c r="V9" s="54">
        <f>IF($O9="","",ROUND(($O9-$O$3)/1000,1)+(_xlfn.RANK.AVG($O9,($J9,$O9,$T9),1)-2)*10)</f>
        <v>-23.6</v>
      </c>
      <c r="W9" s="55">
        <f>IF($T9="","",ROUND(($T9-$T$3)/1000,1)+(_xlfn.RANK.AVG($T9,($J9,$O9,$T9),1)-2)*10)</f>
        <v>62.9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200</v>
      </c>
      <c r="BU9" s="40" t="s">
        <v>196</v>
      </c>
      <c r="BV9" s="41" t="s">
        <v>82</v>
      </c>
      <c r="BW9" s="41" t="s">
        <v>96</v>
      </c>
      <c r="BX9" s="41" t="s">
        <v>80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3</v>
      </c>
      <c r="D10" s="18">
        <f t="shared" si="1"/>
        <v>0</v>
      </c>
      <c r="E10" s="4" t="str">
        <f>IF($P$1="","",$P$1)</f>
        <v>たかの</v>
      </c>
      <c r="F10" s="8"/>
      <c r="G10" s="9"/>
      <c r="H10" s="9"/>
      <c r="I10" s="48"/>
      <c r="J10" s="21">
        <f t="shared" si="2"/>
        <v>5700</v>
      </c>
      <c r="K10" s="8" t="s">
        <v>198</v>
      </c>
      <c r="L10" s="9">
        <v>-3900</v>
      </c>
      <c r="M10" s="9"/>
      <c r="N10" s="48">
        <v>-3000</v>
      </c>
      <c r="O10" s="21">
        <f t="shared" si="3"/>
        <v>4500</v>
      </c>
      <c r="P10" s="8" t="s">
        <v>199</v>
      </c>
      <c r="Q10" s="9">
        <v>3900</v>
      </c>
      <c r="R10" s="9"/>
      <c r="S10" s="48">
        <v>3000</v>
      </c>
      <c r="T10" s="21">
        <f t="shared" si="4"/>
        <v>94800</v>
      </c>
      <c r="U10" s="53">
        <f>IF($J10="","",ROUND(($J10-$J$3)/1000,1)+(_xlfn.RANK.AVG($J10,($J10,$O10,$T10),1)-2)*10)</f>
        <v>-29.3</v>
      </c>
      <c r="V10" s="54">
        <f>IF($O10="","",ROUND(($O10-$O$3)/1000,1)+(_xlfn.RANK.AVG($O10,($J10,$O10,$T10),1)-2)*10)</f>
        <v>-40.5</v>
      </c>
      <c r="W10" s="55">
        <f>IF($T10="","",ROUND(($T10-$T$3)/1000,1)+(_xlfn.RANK.AVG($T10,($J10,$O10,$T10),1)-2)*10)</f>
        <v>69.8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2</v>
      </c>
      <c r="BT10" s="30">
        <v>40</v>
      </c>
      <c r="BU10" s="40" t="s">
        <v>86</v>
      </c>
      <c r="BV10" s="41" t="s">
        <v>196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東</v>
      </c>
      <c r="B11" s="18">
        <f t="shared" si="5"/>
        <v>3</v>
      </c>
      <c r="C11" s="18">
        <f t="shared" si="6"/>
        <v>4</v>
      </c>
      <c r="D11" s="18">
        <f t="shared" si="1"/>
        <v>0</v>
      </c>
      <c r="E11" s="4" t="str">
        <f>IF($P$1="","",$P$1)</f>
        <v>たかの</v>
      </c>
      <c r="F11" s="8" t="s">
        <v>198</v>
      </c>
      <c r="G11" s="9">
        <v>-7700</v>
      </c>
      <c r="H11" s="9"/>
      <c r="I11" s="48">
        <v>-4000</v>
      </c>
      <c r="J11" s="21">
        <f t="shared" si="2"/>
        <v>-6000</v>
      </c>
      <c r="K11" s="8"/>
      <c r="L11" s="9"/>
      <c r="M11" s="9"/>
      <c r="N11" s="48"/>
      <c r="O11" s="21">
        <f t="shared" si="3"/>
        <v>4500</v>
      </c>
      <c r="P11" s="8" t="s">
        <v>199</v>
      </c>
      <c r="Q11" s="9">
        <v>7700</v>
      </c>
      <c r="R11" s="9"/>
      <c r="S11" s="48">
        <v>4000</v>
      </c>
      <c r="T11" s="21">
        <f t="shared" si="4"/>
        <v>106500</v>
      </c>
      <c r="U11" s="53">
        <f>IF($J11="","",ROUND(($J11-$J$3)/1000,1)+(_xlfn.RANK.AVG($J11,($J11,$O11,$T11),1)-2)*10)</f>
        <v>-51</v>
      </c>
      <c r="V11" s="54">
        <f>IF($O11="","",ROUND(($O11-$O$3)/1000,1)+(_xlfn.RANK.AVG($O11,($J11,$O11,$T11),1)-2)*10)</f>
        <v>-30.5</v>
      </c>
      <c r="W11" s="55">
        <f>IF($T11="","",ROUND(($T11-$T$3)/1000,1)+(_xlfn.RANK.AVG($T11,($J11,$O11,$T11),1)-2)*10)</f>
        <v>81.5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3</v>
      </c>
      <c r="BT11" s="30">
        <v>40</v>
      </c>
      <c r="BU11" s="40" t="s">
        <v>196</v>
      </c>
      <c r="BV11" s="41" t="s">
        <v>79</v>
      </c>
      <c r="BW11" s="41" t="s">
        <v>197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D6C59CED-4E69-4773-A4E7-483D81D0DA3F}">
      <formula1>$U$2:$W$2</formula1>
    </dataValidation>
    <dataValidation type="list" showInputMessage="1" showErrorMessage="1" sqref="K4:K30 P4:P30 F4:F30" xr:uid="{DFE03A2F-AC12-46B3-A8D3-79BA80C9F633}">
      <formula1>"ロン,ツモ,放銃,ツモ支払,流局,チョンボ"</formula1>
    </dataValidation>
    <dataValidation type="list" allowBlank="1" showInputMessage="1" sqref="F1:T1" xr:uid="{8DF1D352-C078-4793-8807-8C6FC679790C}">
      <formula1>"れんたろう,ともき,だいち,"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7414A-FC5B-46C8-8085-562E14472E8C}">
  <sheetPr codeName="Sheet13">
    <pageSetUpPr fitToPage="1"/>
  </sheetPr>
  <dimension ref="A1:CI30"/>
  <sheetViews>
    <sheetView zoomScaleNormal="100" workbookViewId="0">
      <selection activeCell="D18" sqref="D18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209</v>
      </c>
      <c r="G1" s="72"/>
      <c r="H1" s="72"/>
      <c r="I1" s="73"/>
      <c r="J1" s="74"/>
      <c r="K1" s="71" t="s">
        <v>206</v>
      </c>
      <c r="L1" s="72"/>
      <c r="M1" s="72"/>
      <c r="N1" s="73"/>
      <c r="O1" s="74"/>
      <c r="P1" s="71" t="s">
        <v>208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のり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まっつん</v>
      </c>
      <c r="W2" s="16" t="str">
        <f>$P$1</f>
        <v>のり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199</v>
      </c>
      <c r="G4" s="9">
        <v>3900</v>
      </c>
      <c r="H4" s="9"/>
      <c r="I4" s="48">
        <v>0</v>
      </c>
      <c r="J4" s="21">
        <f>IF(COUNTA($F4,$K4,$P4)&gt;0,J3+SUM(G4:I4),"")</f>
        <v>38900</v>
      </c>
      <c r="K4" s="8" t="s">
        <v>198</v>
      </c>
      <c r="L4" s="9">
        <v>-3900</v>
      </c>
      <c r="M4" s="9"/>
      <c r="N4" s="48">
        <v>0</v>
      </c>
      <c r="O4" s="21">
        <f>IF(COUNTA($F4,$K4,$P4)&gt;0,O3+SUM(L4:N4),"")</f>
        <v>31100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13.9</v>
      </c>
      <c r="V4" s="54">
        <f>IF($O4="","",ROUND(($O4-$O$3)/1000,1)+(_xlfn.RANK.AVG($O4,($J4,$O4,$T4),1)-2)*10)</f>
        <v>-13.9</v>
      </c>
      <c r="W4" s="55">
        <f>IF($T4="","",ROUND(($T4-$T$3)/1000,1)+(_xlfn.RANK.AVG($T4,($J4,$O4,$T4),1)-2)*10)</f>
        <v>0</v>
      </c>
      <c r="Y4" s="8"/>
      <c r="Z4" s="34"/>
      <c r="AA4" s="26"/>
      <c r="AB4" s="26"/>
      <c r="AC4" s="26">
        <v>2</v>
      </c>
      <c r="AD4" s="30">
        <v>40</v>
      </c>
      <c r="AE4" s="40" t="s">
        <v>85</v>
      </c>
      <c r="AF4" s="41" t="s">
        <v>84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195</v>
      </c>
      <c r="G5" s="9">
        <v>18000</v>
      </c>
      <c r="H5" s="9"/>
      <c r="I5" s="48">
        <v>1000</v>
      </c>
      <c r="J5" s="21">
        <f t="shared" ref="J5:J30" si="2">IF(COUNTA($F5,$K5,$P5)&gt;0,J4+SUM(G5:I5),"")</f>
        <v>57900</v>
      </c>
      <c r="K5" s="8" t="s">
        <v>194</v>
      </c>
      <c r="L5" s="9">
        <v>-9000</v>
      </c>
      <c r="M5" s="9"/>
      <c r="N5" s="48">
        <v>-500</v>
      </c>
      <c r="O5" s="21">
        <f t="shared" ref="O5:O30" si="3">IF(COUNTA($F5,$K5,$P5)&gt;0,O4+SUM(L5:N5),"")</f>
        <v>21600</v>
      </c>
      <c r="P5" s="8" t="s">
        <v>194</v>
      </c>
      <c r="Q5" s="9">
        <v>-9000</v>
      </c>
      <c r="R5" s="9"/>
      <c r="S5" s="48">
        <v>-500</v>
      </c>
      <c r="T5" s="21">
        <f t="shared" ref="T5:T30" si="4">IF(COUNTA($F5,$K5,$P5)&gt;0,T4+SUM(Q5:S5),"")</f>
        <v>25500</v>
      </c>
      <c r="U5" s="53">
        <f>IF($J5="","",ROUND(($J5-$J$3)/1000,1)+(_xlfn.RANK.AVG($J5,($J5,$O5,$T5),1)-2)*10)</f>
        <v>32.9</v>
      </c>
      <c r="V5" s="54">
        <f>IF($O5="","",ROUND(($O5-$O$3)/1000,1)+(_xlfn.RANK.AVG($O5,($J5,$O5,$T5),1)-2)*10)</f>
        <v>-23.4</v>
      </c>
      <c r="W5" s="55">
        <f>IF($T5="","",ROUND(($T5-$T$3)/1000,1)+(_xlfn.RANK.AVG($T5,($J5,$O5,$T5),1)-2)*10)</f>
        <v>-9.5</v>
      </c>
      <c r="Y5" s="8"/>
      <c r="Z5" s="34"/>
      <c r="AA5" s="26"/>
      <c r="AB5" s="26">
        <v>1</v>
      </c>
      <c r="AC5" s="26">
        <v>6</v>
      </c>
      <c r="AD5" s="30" t="s">
        <v>200</v>
      </c>
      <c r="AE5" s="40" t="s">
        <v>104</v>
      </c>
      <c r="AF5" s="41" t="s">
        <v>86</v>
      </c>
      <c r="AG5" s="41" t="s">
        <v>86</v>
      </c>
      <c r="AH5" s="41" t="s">
        <v>98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だいち</v>
      </c>
      <c r="F6" s="8" t="s">
        <v>194</v>
      </c>
      <c r="G6" s="9">
        <v>-900</v>
      </c>
      <c r="H6" s="9"/>
      <c r="I6" s="48">
        <v>-1000</v>
      </c>
      <c r="J6" s="21">
        <f t="shared" si="2"/>
        <v>56000</v>
      </c>
      <c r="K6" s="8" t="s">
        <v>194</v>
      </c>
      <c r="L6" s="9">
        <v>-600</v>
      </c>
      <c r="M6" s="9"/>
      <c r="N6" s="48">
        <v>-1000</v>
      </c>
      <c r="O6" s="21">
        <f t="shared" si="3"/>
        <v>20000</v>
      </c>
      <c r="P6" s="8" t="s">
        <v>195</v>
      </c>
      <c r="Q6" s="9">
        <v>1500</v>
      </c>
      <c r="R6" s="9"/>
      <c r="S6" s="48">
        <v>2000</v>
      </c>
      <c r="T6" s="21">
        <f t="shared" si="4"/>
        <v>29000</v>
      </c>
      <c r="U6" s="53">
        <f>IF($J6="","",ROUND(($J6-$J$3)/1000,1)+(_xlfn.RANK.AVG($J6,($J6,$O6,$T6),1)-2)*10)</f>
        <v>31</v>
      </c>
      <c r="V6" s="54">
        <f>IF($O6="","",ROUND(($O6-$O$3)/1000,1)+(_xlfn.RANK.AVG($O6,($J6,$O6,$T6),1)-2)*10)</f>
        <v>-25</v>
      </c>
      <c r="W6" s="55">
        <f>IF($T6="","",ROUND(($T6-$T$3)/1000,1)+(_xlfn.RANK.AVG($T6,($J6,$O6,$T6),1)-2)*10)</f>
        <v>-6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1</v>
      </c>
      <c r="BT6" s="30">
        <v>40</v>
      </c>
      <c r="BU6" s="40" t="s">
        <v>82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tr">
        <f>IF($K$1="","",$K$1)</f>
        <v>まっつん</v>
      </c>
      <c r="F7" s="8" t="s">
        <v>195</v>
      </c>
      <c r="G7" s="9">
        <v>2100</v>
      </c>
      <c r="H7" s="9">
        <v>1000</v>
      </c>
      <c r="I7" s="48">
        <v>0</v>
      </c>
      <c r="J7" s="21">
        <f t="shared" si="2"/>
        <v>59100</v>
      </c>
      <c r="K7" s="8" t="s">
        <v>194</v>
      </c>
      <c r="L7" s="9">
        <v>-1300</v>
      </c>
      <c r="M7" s="9">
        <v>-1000</v>
      </c>
      <c r="N7" s="48">
        <v>0</v>
      </c>
      <c r="O7" s="21">
        <f t="shared" si="3"/>
        <v>17700</v>
      </c>
      <c r="P7" s="8" t="s">
        <v>194</v>
      </c>
      <c r="Q7" s="9">
        <v>-800</v>
      </c>
      <c r="R7" s="9"/>
      <c r="S7" s="48">
        <v>0</v>
      </c>
      <c r="T7" s="21">
        <f t="shared" si="4"/>
        <v>28200</v>
      </c>
      <c r="U7" s="53">
        <f>IF($J7="","",ROUND(($J7-$J$3)/1000,1)+(_xlfn.RANK.AVG($J7,($J7,$O7,$T7),1)-2)*10)</f>
        <v>34.1</v>
      </c>
      <c r="V7" s="54">
        <f>IF($O7="","",ROUND(($O7-$O$3)/1000,1)+(_xlfn.RANK.AVG($O7,($J7,$O7,$T7),1)-2)*10)</f>
        <v>-27.3</v>
      </c>
      <c r="W7" s="55">
        <f>IF($T7="","",ROUND(($T7-$T$3)/1000,1)+(_xlfn.RANK.AVG($T7,($J7,$O7,$T7),1)-2)*10)</f>
        <v>-6.8</v>
      </c>
      <c r="Y7" s="8"/>
      <c r="Z7" s="34"/>
      <c r="AA7" s="26"/>
      <c r="AB7" s="26">
        <v>1</v>
      </c>
      <c r="AC7" s="26">
        <v>2</v>
      </c>
      <c r="AD7" s="30">
        <v>30</v>
      </c>
      <c r="AE7" s="40" t="s">
        <v>86</v>
      </c>
      <c r="AF7" s="41" t="s">
        <v>79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のり</v>
      </c>
      <c r="F8" s="8" t="s">
        <v>198</v>
      </c>
      <c r="G8" s="9">
        <v>-7700</v>
      </c>
      <c r="H8" s="9"/>
      <c r="I8" s="48">
        <v>0</v>
      </c>
      <c r="J8" s="21">
        <f t="shared" si="2"/>
        <v>51400</v>
      </c>
      <c r="K8" s="8"/>
      <c r="L8" s="9"/>
      <c r="M8" s="9">
        <v>-1000</v>
      </c>
      <c r="N8" s="48"/>
      <c r="O8" s="21">
        <f t="shared" si="3"/>
        <v>16700</v>
      </c>
      <c r="P8" s="8" t="s">
        <v>199</v>
      </c>
      <c r="Q8" s="9">
        <v>7700</v>
      </c>
      <c r="R8" s="9">
        <v>1000</v>
      </c>
      <c r="S8" s="48">
        <v>0</v>
      </c>
      <c r="T8" s="21">
        <f t="shared" si="4"/>
        <v>36900</v>
      </c>
      <c r="U8" s="53">
        <f>IF($J8="","",ROUND(($J8-$J$3)/1000,1)+(_xlfn.RANK.AVG($J8,($J8,$O8,$T8),1)-2)*10)</f>
        <v>26.4</v>
      </c>
      <c r="V8" s="54">
        <f>IF($O8="","",ROUND(($O8-$O$3)/1000,1)+(_xlfn.RANK.AVG($O8,($J8,$O8,$T8),1)-2)*10)</f>
        <v>-28.3</v>
      </c>
      <c r="W8" s="55">
        <f>IF($T8="","",ROUND(($T8-$T$3)/1000,1)+(_xlfn.RANK.AVG($T8,($J8,$O8,$T8),1)-2)*10)</f>
        <v>1.9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40</v>
      </c>
      <c r="BU8" s="40" t="s">
        <v>196</v>
      </c>
      <c r="BV8" s="41" t="s">
        <v>86</v>
      </c>
      <c r="BW8" s="41" t="s">
        <v>80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tr">
        <f>IF($P$1="","",$P$1)</f>
        <v>のり</v>
      </c>
      <c r="F9" s="8" t="s">
        <v>199</v>
      </c>
      <c r="G9" s="9">
        <v>32000</v>
      </c>
      <c r="H9" s="9">
        <v>1000</v>
      </c>
      <c r="I9" s="48">
        <v>1000</v>
      </c>
      <c r="J9" s="21">
        <f t="shared" si="2"/>
        <v>85400</v>
      </c>
      <c r="K9" s="8" t="s">
        <v>198</v>
      </c>
      <c r="L9" s="9">
        <v>-32000</v>
      </c>
      <c r="M9" s="9">
        <v>-1000</v>
      </c>
      <c r="N9" s="48">
        <v>-1000</v>
      </c>
      <c r="O9" s="21">
        <f t="shared" si="3"/>
        <v>-17300</v>
      </c>
      <c r="P9" s="8"/>
      <c r="Q9" s="9"/>
      <c r="R9" s="9"/>
      <c r="S9" s="48"/>
      <c r="T9" s="21">
        <f t="shared" si="4"/>
        <v>36900</v>
      </c>
      <c r="U9" s="53">
        <f>IF($J9="","",ROUND(($J9-$J$3)/1000,1)+(_xlfn.RANK.AVG($J9,($J9,$O9,$T9),1)-2)*10)</f>
        <v>60.4</v>
      </c>
      <c r="V9" s="54">
        <f>IF($O9="","",ROUND(($O9-$O$3)/1000,1)+(_xlfn.RANK.AVG($O9,($J9,$O9,$T9),1)-2)*10)</f>
        <v>-62.3</v>
      </c>
      <c r="W9" s="55">
        <f>IF($T9="","",ROUND(($T9-$T$3)/1000,1)+(_xlfn.RANK.AVG($T9,($J9,$O9,$T9),1)-2)*10)</f>
        <v>1.9</v>
      </c>
      <c r="Y9" s="8"/>
      <c r="Z9" s="34"/>
      <c r="AA9" s="26"/>
      <c r="AB9" s="26">
        <v>1</v>
      </c>
      <c r="AC9" s="26">
        <v>13</v>
      </c>
      <c r="AD9" s="30" t="s">
        <v>200</v>
      </c>
      <c r="AE9" s="40" t="s">
        <v>110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5B65BCFD-162F-4A2B-A050-E66EA4DCA6D7}">
      <formula1>"れんたろう,ともき,だいち,"</formula1>
    </dataValidation>
    <dataValidation type="list" showInputMessage="1" showErrorMessage="1" sqref="K4:K30 P4:P30 F4:F30" xr:uid="{3325DC05-3758-4D5F-B539-F13EB35E0102}">
      <formula1>"ロン,ツモ,放銃,ツモ支払,流局,チョンボ"</formula1>
    </dataValidation>
    <dataValidation type="list" allowBlank="1" showInputMessage="1" showErrorMessage="1" sqref="E4:E30" xr:uid="{111EE465-5CFA-4455-A342-E1C2F57C0BC2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6AAFE-7BDB-4A29-9436-15C8BFFA03D7}">
  <sheetPr codeName="Sheet14">
    <pageSetUpPr fitToPage="1"/>
  </sheetPr>
  <dimension ref="A1:CI30"/>
  <sheetViews>
    <sheetView tabSelected="1" zoomScaleNormal="100" workbookViewId="0">
      <selection activeCell="N16" sqref="N16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206</v>
      </c>
      <c r="G1" s="72"/>
      <c r="H1" s="72"/>
      <c r="I1" s="73"/>
      <c r="J1" s="74"/>
      <c r="K1" s="71" t="s">
        <v>193</v>
      </c>
      <c r="L1" s="72"/>
      <c r="M1" s="72"/>
      <c r="N1" s="73"/>
      <c r="O1" s="74"/>
      <c r="P1" s="71" t="s">
        <v>208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のり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だいち</v>
      </c>
      <c r="W2" s="16" t="str">
        <f>$P$1</f>
        <v>のり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198</v>
      </c>
      <c r="G4" s="9">
        <v>-8000</v>
      </c>
      <c r="H4" s="9"/>
      <c r="I4" s="48">
        <v>0</v>
      </c>
      <c r="J4" s="21">
        <f>IF(COUNTA($F4,$K4,$P4)&gt;0,J3+SUM(G4:I4),"")</f>
        <v>27000</v>
      </c>
      <c r="K4" s="8"/>
      <c r="L4" s="9"/>
      <c r="M4" s="9"/>
      <c r="N4" s="48"/>
      <c r="O4" s="21">
        <f>IF(COUNTA($F4,$K4,$P4)&gt;0,O3+SUM(L4:N4),"")</f>
        <v>35000</v>
      </c>
      <c r="P4" s="8" t="s">
        <v>199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IF($J4="","",ROUND(($J4-$J$3)/1000,1)+(_xlfn.RANK.AVG($J4,($J4,$O4,$T4),1)-2)*10)</f>
        <v>-18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4</v>
      </c>
      <c r="BT4" s="30">
        <v>40</v>
      </c>
      <c r="BU4" s="40" t="s">
        <v>196</v>
      </c>
      <c r="BV4" s="41" t="s">
        <v>79</v>
      </c>
      <c r="BW4" s="41" t="s">
        <v>201</v>
      </c>
      <c r="BX4" s="41" t="s">
        <v>197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198</v>
      </c>
      <c r="G5" s="9">
        <v>-3200</v>
      </c>
      <c r="H5" s="9"/>
      <c r="I5" s="48">
        <v>0</v>
      </c>
      <c r="J5" s="21">
        <f t="shared" ref="J5:J30" si="2">IF(COUNTA($F5,$K5,$P5)&gt;0,J4+SUM(G5:I5),"")</f>
        <v>23800</v>
      </c>
      <c r="K5" s="8"/>
      <c r="L5" s="9"/>
      <c r="M5" s="9"/>
      <c r="N5" s="48"/>
      <c r="O5" s="21">
        <f t="shared" ref="O5:O30" si="3">IF(COUNTA($F5,$K5,$P5)&gt;0,O4+SUM(L5:N5),"")</f>
        <v>35000</v>
      </c>
      <c r="P5" s="8" t="s">
        <v>199</v>
      </c>
      <c r="Q5" s="9">
        <v>3200</v>
      </c>
      <c r="R5" s="9"/>
      <c r="S5" s="48">
        <v>0</v>
      </c>
      <c r="T5" s="21">
        <f t="shared" ref="T5:T30" si="4">IF(COUNTA($F5,$K5,$P5)&gt;0,T4+SUM(Q5:S5),"")</f>
        <v>46200</v>
      </c>
      <c r="U5" s="53">
        <f>IF($J5="","",ROUND(($J5-$J$3)/1000,1)+(_xlfn.RANK.AVG($J5,($J5,$O5,$T5),1)-2)*10)</f>
        <v>-21.2</v>
      </c>
      <c r="V5" s="54">
        <f>IF($O5="","",ROUND(($O5-$O$3)/1000,1)+(_xlfn.RANK.AVG($O5,($J5,$O5,$T5),1)-2)*10)</f>
        <v>0</v>
      </c>
      <c r="W5" s="55">
        <f>IF($T5="","",ROUND(($T5-$T$3)/1000,1)+(_xlfn.RANK.AVG($T5,($J5,$O5,$T5),1)-2)*10)</f>
        <v>21.2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25</v>
      </c>
      <c r="BU5" s="40" t="s">
        <v>196</v>
      </c>
      <c r="BV5" s="41" t="s">
        <v>101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のり</v>
      </c>
      <c r="F6" s="8" t="s">
        <v>195</v>
      </c>
      <c r="G6" s="9">
        <v>12000</v>
      </c>
      <c r="H6" s="9"/>
      <c r="I6" s="48">
        <v>0</v>
      </c>
      <c r="J6" s="21">
        <f t="shared" si="2"/>
        <v>35800</v>
      </c>
      <c r="K6" s="8" t="s">
        <v>194</v>
      </c>
      <c r="L6" s="9">
        <v>-4500</v>
      </c>
      <c r="M6" s="9"/>
      <c r="N6" s="48">
        <v>0</v>
      </c>
      <c r="O6" s="21">
        <f t="shared" si="3"/>
        <v>30500</v>
      </c>
      <c r="P6" s="8" t="s">
        <v>194</v>
      </c>
      <c r="Q6" s="9">
        <v>-7500</v>
      </c>
      <c r="R6" s="9"/>
      <c r="S6" s="48">
        <v>0</v>
      </c>
      <c r="T6" s="21">
        <f t="shared" si="4"/>
        <v>38700</v>
      </c>
      <c r="U6" s="53">
        <f>IF($J6="","",ROUND(($J6-$J$3)/1000,1)+(_xlfn.RANK.AVG($J6,($J6,$O6,$T6),1)-2)*10)</f>
        <v>0.8</v>
      </c>
      <c r="V6" s="54">
        <f>IF($O6="","",ROUND(($O6-$O$3)/1000,1)+(_xlfn.RANK.AVG($O6,($J6,$O6,$T6),1)-2)*10)</f>
        <v>-14.5</v>
      </c>
      <c r="W6" s="55">
        <f>IF($T6="","",ROUND(($T6-$T$3)/1000,1)+(_xlfn.RANK.AVG($T6,($J6,$O6,$T6),1)-2)*10)</f>
        <v>13.7</v>
      </c>
      <c r="Y6" s="8"/>
      <c r="Z6" s="34"/>
      <c r="AA6" s="26">
        <v>1</v>
      </c>
      <c r="AB6" s="26"/>
      <c r="AC6" s="26">
        <v>6</v>
      </c>
      <c r="AD6" s="30" t="s">
        <v>200</v>
      </c>
      <c r="AE6" s="40" t="s">
        <v>196</v>
      </c>
      <c r="AF6" s="41" t="s">
        <v>82</v>
      </c>
      <c r="AG6" s="41" t="s">
        <v>85</v>
      </c>
      <c r="AH6" s="41" t="s">
        <v>84</v>
      </c>
      <c r="AI6" s="41" t="s">
        <v>201</v>
      </c>
      <c r="AJ6" s="41" t="s">
        <v>201</v>
      </c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まっつん</v>
      </c>
      <c r="F7" s="8" t="s">
        <v>194</v>
      </c>
      <c r="G7" s="9">
        <v>-5000</v>
      </c>
      <c r="H7" s="9"/>
      <c r="I7" s="48">
        <v>0</v>
      </c>
      <c r="J7" s="21">
        <f t="shared" si="2"/>
        <v>30800</v>
      </c>
      <c r="K7" s="8" t="s">
        <v>195</v>
      </c>
      <c r="L7" s="9">
        <v>8000</v>
      </c>
      <c r="M7" s="9"/>
      <c r="N7" s="48">
        <v>0</v>
      </c>
      <c r="O7" s="21">
        <f t="shared" si="3"/>
        <v>38500</v>
      </c>
      <c r="P7" s="8" t="s">
        <v>194</v>
      </c>
      <c r="Q7" s="9">
        <v>-3000</v>
      </c>
      <c r="R7" s="9"/>
      <c r="S7" s="48">
        <v>0</v>
      </c>
      <c r="T7" s="21">
        <f t="shared" si="4"/>
        <v>35700</v>
      </c>
      <c r="U7" s="53">
        <f>IF($J7="","",ROUND(($J7-$J$3)/1000,1)+(_xlfn.RANK.AVG($J7,($J7,$O7,$T7),1)-2)*10)</f>
        <v>-14.2</v>
      </c>
      <c r="V7" s="54">
        <f>IF($O7="","",ROUND(($O7-$O$3)/1000,1)+(_xlfn.RANK.AVG($O7,($J7,$O7,$T7),1)-2)*10)</f>
        <v>13.5</v>
      </c>
      <c r="W7" s="55">
        <f>IF($T7="","",ROUND(($T7-$T$3)/1000,1)+(_xlfn.RANK.AVG($T7,($J7,$O7,$T7),1)-2)*10)</f>
        <v>0.7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5</v>
      </c>
      <c r="AY7" s="30" t="s">
        <v>200</v>
      </c>
      <c r="AZ7" s="40" t="s">
        <v>86</v>
      </c>
      <c r="BA7" s="41" t="s">
        <v>86</v>
      </c>
      <c r="BB7" s="41" t="s">
        <v>201</v>
      </c>
      <c r="BC7" s="41" t="s">
        <v>104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だいち</v>
      </c>
      <c r="F8" s="8" t="s">
        <v>204</v>
      </c>
      <c r="G8" s="9">
        <v>-1500</v>
      </c>
      <c r="H8" s="9"/>
      <c r="I8" s="48"/>
      <c r="J8" s="21">
        <f t="shared" si="2"/>
        <v>29300</v>
      </c>
      <c r="K8" s="8" t="s">
        <v>204</v>
      </c>
      <c r="L8" s="9">
        <v>-1500</v>
      </c>
      <c r="M8" s="9"/>
      <c r="N8" s="48"/>
      <c r="O8" s="21">
        <f t="shared" si="3"/>
        <v>37000</v>
      </c>
      <c r="P8" s="8" t="s">
        <v>204</v>
      </c>
      <c r="Q8" s="9">
        <v>3000</v>
      </c>
      <c r="R8" s="9">
        <v>-1000</v>
      </c>
      <c r="S8" s="48"/>
      <c r="T8" s="21">
        <f t="shared" si="4"/>
        <v>37700</v>
      </c>
      <c r="U8" s="53">
        <f>IF($J8="","",ROUND(($J8-$J$3)/1000,1)+(_xlfn.RANK.AVG($J8,($J8,$O8,$T8),1)-2)*10)</f>
        <v>-15.7</v>
      </c>
      <c r="V8" s="54">
        <f>IF($O8="","",ROUND(($O8-$O$3)/1000,1)+(_xlfn.RANK.AVG($O8,($J8,$O8,$T8),1)-2)*10)</f>
        <v>2</v>
      </c>
      <c r="W8" s="55">
        <f>IF($T8="","",ROUND(($T8-$T$3)/1000,1)+(_xlfn.RANK.AVG($T8,($J8,$O8,$T8),1)-2)*10)</f>
        <v>12.7</v>
      </c>
      <c r="Y8" s="8" t="s">
        <v>203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203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202</v>
      </c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1</v>
      </c>
      <c r="D9" s="18">
        <f t="shared" si="1"/>
        <v>1</v>
      </c>
      <c r="E9" s="4" t="str">
        <f>IF($P$1="","",$P$1)</f>
        <v>のり</v>
      </c>
      <c r="F9" s="8" t="s">
        <v>195</v>
      </c>
      <c r="G9" s="9">
        <v>8000</v>
      </c>
      <c r="H9" s="9">
        <v>1000</v>
      </c>
      <c r="I9" s="48">
        <v>1000</v>
      </c>
      <c r="J9" s="21">
        <f t="shared" si="2"/>
        <v>39300</v>
      </c>
      <c r="K9" s="8" t="s">
        <v>194</v>
      </c>
      <c r="L9" s="9">
        <v>-3000</v>
      </c>
      <c r="M9" s="9"/>
      <c r="N9" s="48">
        <v>-500</v>
      </c>
      <c r="O9" s="21">
        <f t="shared" si="3"/>
        <v>33500</v>
      </c>
      <c r="P9" s="8" t="s">
        <v>194</v>
      </c>
      <c r="Q9" s="9">
        <v>-5000</v>
      </c>
      <c r="R9" s="9"/>
      <c r="S9" s="48">
        <v>-500</v>
      </c>
      <c r="T9" s="21">
        <f t="shared" si="4"/>
        <v>32200</v>
      </c>
      <c r="U9" s="53">
        <f>IF($J9="","",ROUND(($J9-$J$3)/1000,1)+(_xlfn.RANK.AVG($J9,($J9,$O9,$T9),1)-2)*10)</f>
        <v>14.3</v>
      </c>
      <c r="V9" s="54">
        <f>IF($O9="","",ROUND(($O9-$O$3)/1000,1)+(_xlfn.RANK.AVG($O9,($J9,$O9,$T9),1)-2)*10)</f>
        <v>-1.5</v>
      </c>
      <c r="W9" s="55">
        <f>IF($T9="","",ROUND(($T9-$T$3)/1000,1)+(_xlfn.RANK.AVG($T9,($J9,$O9,$T9),1)-2)*10)</f>
        <v>-12.8</v>
      </c>
      <c r="Y9" s="8"/>
      <c r="Z9" s="34"/>
      <c r="AA9" s="26"/>
      <c r="AB9" s="26"/>
      <c r="AC9" s="26">
        <v>5</v>
      </c>
      <c r="AD9" s="30" t="s">
        <v>200</v>
      </c>
      <c r="AE9" s="40" t="s">
        <v>82</v>
      </c>
      <c r="AF9" s="41" t="s">
        <v>86</v>
      </c>
      <c r="AG9" s="41" t="s">
        <v>104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西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まっつん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1F38F38F-F622-4F25-9811-D05E24921621}">
      <formula1>$U$2:$W$2</formula1>
    </dataValidation>
    <dataValidation type="list" showInputMessage="1" showErrorMessage="1" sqref="K4:K30 P4:P30 F4:F30" xr:uid="{BDCEE1F0-3D99-4B04-AE36-9B09C7191056}">
      <formula1>"ロン,ツモ,放銃,ツモ支払,流局,チョンボ"</formula1>
    </dataValidation>
    <dataValidation type="list" allowBlank="1" showInputMessage="1" sqref="F1:T1" xr:uid="{9A6BF945-1438-4FEC-8398-3EC243EC66C4}">
      <formula1>"れんたろう,ともき,だいち,"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2020-04-04T15:53:34Z</dcterms:modified>
</cp:coreProperties>
</file>