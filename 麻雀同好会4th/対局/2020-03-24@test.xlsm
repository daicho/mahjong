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4C698FCB-7AE3-469C-AA86-9F9A2E9D6A11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19" l="1"/>
  <c r="E10" i="19"/>
  <c r="E9" i="19"/>
  <c r="E8" i="19"/>
  <c r="E7" i="19"/>
  <c r="E4" i="19"/>
  <c r="E5" i="19"/>
  <c r="E6" i="19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0" i="19" l="1"/>
  <c r="U9" i="19"/>
  <c r="V9" i="19"/>
  <c r="W8" i="19"/>
  <c r="U6" i="19"/>
  <c r="B6" i="19"/>
  <c r="A6" i="19" s="1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<sst xmlns="http://schemas.openxmlformats.org/spreadsheetml/2006/main" count="559" uniqueCount="200">
  <si>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</si>
  <si>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</si>
  <si>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</si>
  <si>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</si>
  <si>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</si>
  <si>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</si>
  <si>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</si>
  <si>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</si>
  <si>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</si>
  <si>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</si>
  <si>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</si>
  <si>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</si>
  <si>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</si>
  <si>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</si>
  <si>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</si>
  <si>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</si>
  <si>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</si>
  <si>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</si>
  <si>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</si>
  <si>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</si>
  <si>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</si>
  <si>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</si>
  <si>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</si>
  <si>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</si>
  <si>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</si>
  <si>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</si>
  <si>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</si>
  <si>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</si>
  <si>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</si>
  <si>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</si>
  <si>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</si>
  <si>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</si>
  <si>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</si>
  <si>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</si>
  <si>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</si>
  <si>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</si>
  <si>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</si>
  <si>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</si>
  <si>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</si>
  <si>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</si>
  <si>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</si>
  <si>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</si>
  <si>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</si>
  <si>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</si>
  <si>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</si>
  <si>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</si>
  <si>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</si>
  <si>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</si>
  <si>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</si>
  <si>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</si>
  <si>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</si>
  <si>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</si>
  <si>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</si>
  <si>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</si>
  <si>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</si>
  <si>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</si>
  <si>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</si>
  <si>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</si>
  <si>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</si>
  <si>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</si>
  <si>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</si>
  <si>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</si>
  <si>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</si>
  <si>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</si>
  <si>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</si>
  <si>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</si>
  <si>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</si>
  <si>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</si>
  <si>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</si>
  <si>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</si>
  <si>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</si>
  <si>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</si>
  <si>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</si>
  <si>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</si>
  <si>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</si>
  <si>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</si>
  <si>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</si>
  <si>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</si>
  <si>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</si>
  <si>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</si>
  <si>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</si>
  <si>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</si>
  <si>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</si>
  <si>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</si>
  <si>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</si>
  <si>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</si>
  <si>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</si>
  <si>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</si>
  <si>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</si>
  <si>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</si>
  <si>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</si>
  <si>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</si>
  <si>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</si>
  <si>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</si>
  <si>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</si>
  <si>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</si>
  <si>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</si>
  <si>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</si>
  <si>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</si>
  <si>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</si>
  <si>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</si>
  <si>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</si>
  <si>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</si>
  <si>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</si>
  <si>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</si>
  <si>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</si>
  <si>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</si>
  <si>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</si>
  <si>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</si>
  <si>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</si>
  <si>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</si>
  <si>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</si>
  <si>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</si>
  <si>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</si>
  <si>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</si>
  <si>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</si>
  <si>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</si>
  <si>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</si>
  <si>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</si>
  <si>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</si>
  <si>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</si>
  <si>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</si>
  <si>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</si>
  <si>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</si>
  <si>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</si>
  <si>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</si>
  <si>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</si>
  <si>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</si>
  <si>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</si>
  <si>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</si>
  <si>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</si>
  <si>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</si>
  <si>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</si>
  <si>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</si>
  <si>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</si>
  <si>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</si>
  <si>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</si>
  <si>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</si>
  <si>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</si>
  <si>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</si>
  <si>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</si>
  <si>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</si>
  <si>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</si>
  <si>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</si>
  <si>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</si>
  <si>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</si>
  <si>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</si>
  <si>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</si>
  <si>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</si>
  <si>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</si>
  <si>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</si>
  <si>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</si>
  <si>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</si>
  <si>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</si>
  <si>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</si>
  <si>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</si>
  <si>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</si>
  <si>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</si>
  <si>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</si>
  <si>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</si>
  <si>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</si>
  <si>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</si>
  <si>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</si>
  <si>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</si>
  <si>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</si>
  <si>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</si>
  <si>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</si>
  <si>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</si>
  <si>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</si>
  <si>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</si>
  <si>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</si>
  <si>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</si>
  <si>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</si>
  <si>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</si>
  <si>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</si>
  <si>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</si>
  <si>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</si>
  <si>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</si>
  <si>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</si>
  <si>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</si>
  <si>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</si>
  <si>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</si>
  <si>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</si>
  <si>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</si>
  <si>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</si>
  <si>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</si>
  <si>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</si>
  <si>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</si>
  <si>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</si>
  <si>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</si>
  <si>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</si>
  <si>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</si>
  <si>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</si>
  <si>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</si>
  <si>
    <t>T</t>
  </si>
  <si>
    <t>N</t>
  </si>
  <si>
    <t>流局</t>
    <phoneticPr fontId="1"/>
  </si>
  <si>
    <t>ツモ支払</t>
  </si>
  <si>
    <t>ツモ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</si>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</sst>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Player1</v>
      </c>
      <c r="F4" s="8" t="s">
        <v>196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194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Player1</v>
      </c>
      <c r="F5" s="8" t="s">
        <v>196</v>
      </c>
      <c r="G5" s="9">
        <v>-1500</v>
      </c>
      <c r="H5" s="9"/>
      <c r="I5" s="48"/>
      <c r="J5" s="21">
        <f t="shared" ref="J5:J30" si="2">IF(COUNTA($F5,$K5,$P5)&gt;0,J4+SUM(G5:I5),"")</f>
        <v>35500</v>
      </c>
      <c r="K5" s="8" t="s">
        <v>196</v>
      </c>
      <c r="L5" s="9">
        <v>3000</v>
      </c>
      <c r="M5" s="9"/>
      <c r="N5" s="48"/>
      <c r="O5" s="21">
        <f t="shared" ref="O5:O30" si="3">IF(COUNTA($F5,$K5,$P5)&gt;0,O4+SUM(L5:N5),"")</f>
        <v>36500</v>
      </c>
      <c r="P5" s="8" t="s">
        <v>196</v>
      </c>
      <c r="Q5" s="9">
        <v>-1500</v>
      </c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11.5</v>
      </c>
      <c r="W5" s="55">
        <f>IF($T5="","",ROUND(($T5-$T$3)/1000,1)+(_xlfn.RANK.AVG($T5,($J5,$O5,$T5),1)-2)*10)</f>
        <v>-13</v>
      </c>
      <c r="Y5" s="8" t="s">
        <v>195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IF($K$1="","",$K$1)</f>
        <v>Player2</v>
      </c>
      <c r="F6" s="8" t="s">
        <v>197</v>
      </c>
      <c r="G6" s="9">
        <v>-800</v>
      </c>
      <c r="H6" s="9"/>
      <c r="I6" s="48">
        <v>-1000</v>
      </c>
      <c r="J6" s="21">
        <f t="shared" si="2"/>
        <v>33700</v>
      </c>
      <c r="K6" s="8" t="s">
        <v>198</v>
      </c>
      <c r="L6" s="9">
        <v>1600</v>
      </c>
      <c r="M6" s="9">
        <v>1000</v>
      </c>
      <c r="N6" s="48">
        <v>2000</v>
      </c>
      <c r="O6" s="21">
        <f t="shared" si="3"/>
        <v>41100</v>
      </c>
      <c r="P6" s="8" t="s">
        <v>197</v>
      </c>
      <c r="Q6" s="9">
        <v>-800</v>
      </c>
      <c r="R6" s="9"/>
      <c r="S6" s="48">
        <v>-1000</v>
      </c>
      <c r="T6" s="21">
        <f t="shared" si="4"/>
        <v>30200</v>
      </c>
      <c r="U6" s="53">
        <f>IF($J6="","",ROUND(($J6-$J$3)/1000,1)+(_xlfn.RANK.AVG($J6,($J6,$O6,$T6),1)-2)*10)</f>
        <v>-1.3</v>
      </c>
      <c r="V6" s="54">
        <f>IF($O6="","",ROUND(($O6-$O$3)/1000,1)+(_xlfn.RANK.AVG($O6,($J6,$O6,$T6),1)-2)*10)</f>
        <v>16.100000000000001</v>
      </c>
      <c r="W6" s="55">
        <f>IF($T6="","",ROUND(($T6-$T$3)/1000,1)+(_xlfn.RANK.AVG($T6,($J6,$O6,$T6),1)-2)*10)</f>
        <v>-14.8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</v>
      </c>
      <c r="AY6" s="30">
        <v>30</v>
      </c>
      <c r="AZ6" s="40" t="s">
        <v>80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Player2</v>
      </c>
      <c r="F7" s="8" t="s">
        <v>197</v>
      </c>
      <c r="G7" s="9">
        <v>-800</v>
      </c>
      <c r="H7" s="9"/>
      <c r="I7" s="48">
        <v>-1500</v>
      </c>
      <c r="J7" s="21">
        <f t="shared" si="2"/>
        <v>31400</v>
      </c>
      <c r="K7" s="8" t="s">
        <v>197</v>
      </c>
      <c r="L7" s="9">
        <v>-1300</v>
      </c>
      <c r="M7" s="9"/>
      <c r="N7" s="48">
        <v>-1500</v>
      </c>
      <c r="O7" s="21">
        <f t="shared" si="3"/>
        <v>38300</v>
      </c>
      <c r="P7" s="8" t="s">
        <v>198</v>
      </c>
      <c r="Q7" s="9">
        <v>2100</v>
      </c>
      <c r="R7" s="9"/>
      <c r="S7" s="48">
        <v>3000</v>
      </c>
      <c r="T7" s="21">
        <f t="shared" si="4"/>
        <v>35300</v>
      </c>
      <c r="U7" s="53">
        <f>IF($J7="","",ROUND(($J7-$J$3)/1000,1)+(_xlfn.RANK.AVG($J7,($J7,$O7,$T7),1)-2)*10)</f>
        <v>-13.6</v>
      </c>
      <c r="V7" s="54">
        <f>IF($O7="","",ROUND(($O7-$O$3)/1000,1)+(_xlfn.RANK.AVG($O7,($J7,$O7,$T7),1)-2)*10)</f>
        <v>13.3</v>
      </c>
      <c r="W7" s="55">
        <f>IF($T7="","",ROUND(($T7-$T$3)/1000,1)+(_xlfn.RANK.AVG($T7,($J7,$O7,$T7),1)-2)*10)</f>
        <v>0.3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30</v>
      </c>
      <c r="BU7" s="40" t="s">
        <v>93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Player3</v>
      </c>
      <c r="F8" s="8" t="s">
        <v>199</v>
      </c>
      <c r="G8" s="9">
        <v>6000</v>
      </c>
      <c r="H8" s="9"/>
      <c r="I8" s="48"/>
      <c r="J8" s="21">
        <f t="shared" si="2"/>
        <v>37400</v>
      </c>
      <c r="K8" s="8" t="s">
        <v>199</v>
      </c>
      <c r="L8" s="9">
        <v>6000</v>
      </c>
      <c r="M8" s="9"/>
      <c r="N8" s="48"/>
      <c r="O8" s="21">
        <f t="shared" si="3"/>
        <v>44300</v>
      </c>
      <c r="P8" s="8" t="s">
        <v>199</v>
      </c>
      <c r="Q8" s="9">
        <v>-12000</v>
      </c>
      <c r="R8" s="9"/>
      <c r="S8" s="48"/>
      <c r="T8" s="21">
        <f t="shared" si="4"/>
        <v>23300</v>
      </c>
      <c r="U8" s="53">
        <f>IF($J8="","",ROUND(($J8-$J$3)/1000,1)+(_xlfn.RANK.AVG($J8,($J8,$O8,$T8),1)-2)*10)</f>
        <v>2.4</v>
      </c>
      <c r="V8" s="54">
        <f>IF($O8="","",ROUND(($O8-$O$3)/1000,1)+(_xlfn.RANK.AVG($O8,($J8,$O8,$T8),1)-2)*10)</f>
        <v>19.3</v>
      </c>
      <c r="W8" s="55">
        <f>IF($T8="","",ROUND(($T8-$T$3)/1000,1)+(_xlfn.RANK.AVG($T8,($J8,$O8,$T8),1)-2)*10)</f>
        <v>-21.7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>
        <v>1</v>
      </c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Player3</v>
      </c>
      <c r="F9" s="8" t="s">
        <v>199</v>
      </c>
      <c r="G9" s="9">
        <v>6000</v>
      </c>
      <c r="H9" s="9"/>
      <c r="I9" s="48"/>
      <c r="J9" s="21">
        <f t="shared" si="2"/>
        <v>43400</v>
      </c>
      <c r="K9" s="8" t="s">
        <v>199</v>
      </c>
      <c r="L9" s="9">
        <v>6000</v>
      </c>
      <c r="M9" s="9"/>
      <c r="N9" s="48"/>
      <c r="O9" s="21">
        <f t="shared" si="3"/>
        <v>50300</v>
      </c>
      <c r="P9" s="8" t="s">
        <v>199</v>
      </c>
      <c r="Q9" s="9">
        <v>-12000</v>
      </c>
      <c r="R9" s="9"/>
      <c r="S9" s="48"/>
      <c r="T9" s="21">
        <f t="shared" si="4"/>
        <v>11300</v>
      </c>
      <c r="U9" s="53">
        <f>IF($J9="","",ROUND(($J9-$J$3)/1000,1)+(_xlfn.RANK.AVG($J9,($J9,$O9,$T9),1)-2)*10)</f>
        <v>8.4</v>
      </c>
      <c r="V9" s="54">
        <f>IF($O9="","",ROUND(($O9-$O$3)/1000,1)+(_xlfn.RANK.AVG($O9,($J9,$O9,$T9),1)-2)*10)</f>
        <v>25.3</v>
      </c>
      <c r="W9" s="55">
        <f>IF($T9="","",ROUND(($T9-$T$3)/1000,1)+(_xlfn.RANK.AVG($T9,($J9,$O9,$T9),1)-2)*10)</f>
        <v>-33.700000000000003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>
        <v>1</v>
      </c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Player3</v>
      </c>
      <c r="F10" s="8" t="s">
        <v>199</v>
      </c>
      <c r="G10" s="9">
        <v>3000</v>
      </c>
      <c r="H10" s="9"/>
      <c r="I10" s="48"/>
      <c r="J10" s="21">
        <f t="shared" si="2"/>
        <v>46400</v>
      </c>
      <c r="K10" s="8" t="s">
        <v>199</v>
      </c>
      <c r="L10" s="9">
        <v>-8000</v>
      </c>
      <c r="M10" s="9"/>
      <c r="N10" s="48"/>
      <c r="O10" s="21">
        <f t="shared" si="3"/>
        <v>42300</v>
      </c>
      <c r="P10" s="8" t="s">
        <v>199</v>
      </c>
      <c r="Q10" s="9">
        <v>5000</v>
      </c>
      <c r="R10" s="9"/>
      <c r="S10" s="48"/>
      <c r="T10" s="21">
        <f t="shared" si="4"/>
        <v>16300</v>
      </c>
      <c r="U10" s="53">
        <f>IF($J10="","",ROUND(($J10-$J$3)/1000,1)+(_xlfn.RANK.AVG($J10,($J10,$O10,$T10),1)-2)*10)</f>
        <v>21.4</v>
      </c>
      <c r="V10" s="54">
        <f>IF($O10="","",ROUND(($O10-$O$3)/1000,1)+(_xlfn.RANK.AVG($O10,($J10,$O10,$T10),1)-2)*10)</f>
        <v>7.3</v>
      </c>
      <c r="W10" s="55">
        <f>IF($T10="","",ROUND(($T10-$T$3)/1000,1)+(_xlfn.RANK.AVG($T10,($J10,$O10,$T10),1)-2)*10)</f>
        <v>-28.7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>
        <v>1</v>
      </c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Player1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A2874A1-4601-45E0-9335-0560C4713889}">
      <formula1>"だいち,"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2020-03-23T23:20:50Z</dcterms:modified>
</cp:coreProperties>
</file>