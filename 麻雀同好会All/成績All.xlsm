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54B901C8-8563-40B6-9457-1E6011097FC9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4008" r:id="rId4"/>
    <sheet name="だいち" sheetId="4009" r:id="rId5"/>
    <sheet name="かこたろう" sheetId="4010" r:id="rId6"/>
    <sheet name="ともき" sheetId="4011" r:id="rId7"/>
    <sheet name="りくと" sheetId="4012" r:id="rId8"/>
    <sheet name="いっしー" sheetId="4013" r:id="rId9"/>
    <sheet name="がくと" sheetId="4014" r:id="rId10"/>
    <sheet name="たかの" sheetId="4015" r:id="rId11"/>
    <sheet name="ただ" sheetId="4016" r:id="rId12"/>
    <sheet name="やがさき" sheetId="4017" r:id="rId13"/>
    <sheet name="れんたろう" sheetId="4018" r:id="rId14"/>
    <sheet name="あさひ" sheetId="4019" r:id="rId15"/>
    <sheet name="まっつん" sheetId="4020" r:id="rId16"/>
    <sheet name="ぱぱ" sheetId="4021" r:id="rId17"/>
    <sheet name="ほたに" sheetId="4022" r:id="rId18"/>
    <sheet name="かわたつ" sheetId="4023" r:id="rId19"/>
    <sheet name="のり" sheetId="4024" r:id="rId20"/>
    <sheet name="ちさと" sheetId="4025" r:id="rId21"/>
    <sheet name="たか" sheetId="4026" r:id="rId22"/>
    <sheet name="ゆう" sheetId="4027" r:id="rId23"/>
    <sheet name="てんちゃん" sheetId="4028" r:id="rId24"/>
    <sheet name="いちかわ" sheetId="4029" r:id="rId25"/>
  </sheets>
  <definedNames>
    <definedName name="newアガリ数" localSheetId="14">あさひ!$B$51</definedName>
    <definedName name="newアガリ数" localSheetId="24">いちかわ!$B$51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23">てんちゃん!$B$51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24">いちかわ!$C$51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23">てんちゃん!$C$51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24">いちかわ!$B$50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23">てんちゃん!$B$50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24">いちかわ!$B$19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23">てんちゃん!$B$19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24">いちかわ!$C$19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23">てんちゃん!$C$19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24">いちかわ!$B$25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23">てんちゃん!$B$25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24">いちかわ!#REF!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23">てんちゃん!#REF!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24">いちかわ!$C$25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23">てんちゃん!$C$25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24">いちかわ!$B$34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23">てんちゃん!$B$34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24">いちかわ!$C$34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23">てんちゃん!$C$34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24">いちかわ!$B$21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23">てんちゃん!$B$21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24">いちかわ!$C$21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23">てんちゃん!$C$21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24">いちかわ!$B$7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23">てんちゃん!$B$7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24">いちかわ!$C$7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23">てんちゃん!$C$7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24">いちかわ!$B$13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23">てんちゃん!$B$13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24">いちかわ!#REF!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23">てんちゃん!#REF!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24">いちかわ!#REF!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23">てんちゃん!#REF!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24">いちかわ!$B$14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23">てんちゃん!$B$14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24">いちかわ!$C$14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23">てんちゃん!$C$14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24">いちかわ!$B$9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23">てんちゃん!$B$9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24">いちかわ!$C$9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23">てんちゃん!$C$9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24">いちかわ!$B$23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23">てんちゃん!$B$23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24">いちかわ!$C$23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23">てんちゃん!$C$23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24">いちかわ!$B$15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23">てんちゃん!$B$15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24">いちかわ!$B$17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23">てんちゃん!$B$17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24">いちかわ!$C$17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23">てんちゃん!$C$17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24">いちかわ!$C$15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23">てんちゃん!$C$15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24">いちかわ!$B$22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23">てんちゃん!$B$22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24">いちかわ!$C$22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23">てんちゃん!$C$22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24">いちかわ!$B$10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23">てんちゃん!$B$10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24">いちかわ!$C$10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23">てんちゃん!$C$10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24">いちかわ!$B$36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23">てんちゃん!$B$36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24">いちかわ!$C$36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23">てんちゃん!$C$36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24">いちかわ!#REF!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23">てんちゃん!#REF!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24">いちかわ!#REF!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23">てんちゃん!#REF!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24">いちかわ!$C$30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23">てんちゃん!$C$30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24">いちかわ!$C$31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23">てんちゃん!$C$31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24">いちかわ!$B$33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23">てんちゃん!$B$33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24">いちかわ!$B$32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23">てんちゃん!$B$32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24">いちかわ!$B$33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23">てんちゃん!$B$33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24">いちかわ!$B$12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23">てんちゃん!$B$12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24">いちかわ!$C$12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23">てんちゃん!$C$12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24">いちかわ!$C$26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23">てんちゃん!$C$26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24">いちかわ!$C$28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23">てんちゃん!$C$28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24">いちかわ!$C$29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23">てんちゃん!$C$29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24">いちかわ!$C$27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23">てんちゃん!$C$27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24">いちかわ!$B$11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23">てんちゃん!$B$11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24">いちかわ!$B$8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23">てんちゃん!$B$8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24">いちかわ!$C$11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23">てんちゃん!$C$11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24">いちかわ!$C$8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23">てんちゃん!$C$8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24">いちかわ!$B$24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23">てんちゃん!$B$24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24">いちかわ!$B$28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23">てんちゃん!$B$28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24">いちかわ!$C$24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23">てんちゃん!$C$24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24">いちかわ!$B$16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23">てんちゃん!$B$16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24">いちかわ!$B$18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23">てんちゃん!$B$18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24">いちかわ!$C$18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23">てんちゃん!$C$18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24">いちかわ!$C$16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23">てんちゃん!$C$16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24">いちかわ!$B$26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23">てんちゃん!$B$26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24">いちかわ!$B$6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23">てんちゃん!$B$6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24">いちかわ!$B$29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23">てんちゃん!$B$29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24">いちかわ!$B$20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23">てんちゃん!$B$20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24">いちかわ!$C$20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23">てんちゃん!$C$20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24">いちかわ!$B$27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23">てんちゃん!$B$27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24">いちかわ!$B$30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23">てんちゃん!$B$30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24">いちかわ!$B$31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23">てんちゃん!$B$31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4029" l="1"/>
  <c r="O17" i="4029"/>
  <c r="O16" i="4029"/>
  <c r="O15" i="4029"/>
  <c r="H52" i="4029"/>
  <c r="H6" i="4029"/>
  <c r="H51" i="4029"/>
  <c r="H50" i="4029"/>
  <c r="H49" i="4029"/>
  <c r="C48" i="4029"/>
  <c r="H48" i="4029"/>
  <c r="C47" i="4029"/>
  <c r="H47" i="4029"/>
  <c r="C46" i="4029"/>
  <c r="H46" i="4029"/>
  <c r="C45" i="4029"/>
  <c r="H45" i="4029"/>
  <c r="C44" i="4029"/>
  <c r="H44" i="4029"/>
  <c r="C43" i="4029"/>
  <c r="H43" i="4029"/>
  <c r="C42" i="4029"/>
  <c r="H42" i="4029"/>
  <c r="C41" i="4029"/>
  <c r="H41" i="4029"/>
  <c r="C40" i="4029"/>
  <c r="H40" i="4029"/>
  <c r="C39" i="4029"/>
  <c r="H39" i="4029"/>
  <c r="C38" i="4029"/>
  <c r="H38" i="4029"/>
  <c r="C37" i="4029"/>
  <c r="H37" i="4029"/>
  <c r="C36" i="4029"/>
  <c r="H36" i="4029"/>
  <c r="H35" i="4029"/>
  <c r="C34" i="4029"/>
  <c r="H34" i="4029"/>
  <c r="H33" i="4029"/>
  <c r="H32" i="4029"/>
  <c r="H31" i="4029"/>
  <c r="H30" i="4029"/>
  <c r="B29" i="4029"/>
  <c r="H29" i="4029"/>
  <c r="B28" i="4029"/>
  <c r="H13" i="4029"/>
  <c r="B27" i="4029"/>
  <c r="H28" i="4029"/>
  <c r="B26" i="4029"/>
  <c r="H27" i="4029"/>
  <c r="C25" i="4029"/>
  <c r="H12" i="4029"/>
  <c r="C24" i="4029"/>
  <c r="H26" i="4029"/>
  <c r="C23" i="4029"/>
  <c r="H25" i="4029"/>
  <c r="C22" i="4029"/>
  <c r="H24" i="4029"/>
  <c r="C21" i="4029"/>
  <c r="H23" i="4029"/>
  <c r="C20" i="4029"/>
  <c r="H22" i="4029"/>
  <c r="C19" i="4029"/>
  <c r="H21" i="4029"/>
  <c r="C18" i="4029"/>
  <c r="H20" i="4029"/>
  <c r="C17" i="4029"/>
  <c r="H19" i="4029"/>
  <c r="C16" i="4029"/>
  <c r="H18" i="4029"/>
  <c r="C15" i="4029"/>
  <c r="H17" i="4029"/>
  <c r="C14" i="4029"/>
  <c r="H16" i="4029"/>
  <c r="O12" i="4029"/>
  <c r="H15" i="4029"/>
  <c r="B12" i="4029"/>
  <c r="O11" i="4029"/>
  <c r="H14" i="4029"/>
  <c r="B11" i="4029"/>
  <c r="O10" i="4029"/>
  <c r="H5" i="4029"/>
  <c r="B10" i="4029"/>
  <c r="B13" i="4029" s="1"/>
  <c r="H11" i="4029"/>
  <c r="C9" i="4029"/>
  <c r="H10" i="4029"/>
  <c r="C8" i="4029"/>
  <c r="O7" i="4029"/>
  <c r="H7" i="4029"/>
  <c r="C7" i="4029"/>
  <c r="O6" i="4029"/>
  <c r="H3" i="4029"/>
  <c r="B6" i="4029"/>
  <c r="O5" i="4029"/>
  <c r="H4" i="4029"/>
  <c r="B5" i="4029"/>
  <c r="O4" i="4029"/>
  <c r="H9" i="4029"/>
  <c r="O3" i="4029"/>
  <c r="H8" i="4029"/>
  <c r="O2" i="4029"/>
  <c r="H2" i="4029"/>
  <c r="O18" i="4028"/>
  <c r="O17" i="4028"/>
  <c r="O16" i="4028"/>
  <c r="O15" i="4028"/>
  <c r="H52" i="4028"/>
  <c r="H5" i="4028"/>
  <c r="H51" i="4028"/>
  <c r="H50" i="4028"/>
  <c r="H49" i="4028"/>
  <c r="C48" i="4028"/>
  <c r="H48" i="4028"/>
  <c r="C47" i="4028"/>
  <c r="H47" i="4028"/>
  <c r="C46" i="4028"/>
  <c r="H46" i="4028"/>
  <c r="C45" i="4028"/>
  <c r="H45" i="4028"/>
  <c r="C44" i="4028"/>
  <c r="H44" i="4028"/>
  <c r="C43" i="4028"/>
  <c r="H43" i="4028"/>
  <c r="C42" i="4028"/>
  <c r="H42" i="4028"/>
  <c r="C41" i="4028"/>
  <c r="H41" i="4028"/>
  <c r="C40" i="4028"/>
  <c r="H40" i="4028"/>
  <c r="C39" i="4028"/>
  <c r="H39" i="4028"/>
  <c r="C38" i="4028"/>
  <c r="H38" i="4028"/>
  <c r="C37" i="4028"/>
  <c r="H37" i="4028"/>
  <c r="C36" i="4028"/>
  <c r="H36" i="4028"/>
  <c r="H35" i="4028"/>
  <c r="C34" i="4028"/>
  <c r="H34" i="4028"/>
  <c r="H33" i="4028"/>
  <c r="H32" i="4028"/>
  <c r="H31" i="4028"/>
  <c r="H30" i="4028"/>
  <c r="B29" i="4028"/>
  <c r="H29" i="4028"/>
  <c r="B28" i="4028"/>
  <c r="H28" i="4028"/>
  <c r="B27" i="4028"/>
  <c r="H27" i="4028"/>
  <c r="B26" i="4028"/>
  <c r="H26" i="4028"/>
  <c r="C25" i="4028"/>
  <c r="H25" i="4028"/>
  <c r="C24" i="4028"/>
  <c r="H24" i="4028"/>
  <c r="C23" i="4028"/>
  <c r="H23" i="4028"/>
  <c r="C22" i="4028"/>
  <c r="H22" i="4028"/>
  <c r="C21" i="4028"/>
  <c r="H21" i="4028"/>
  <c r="C20" i="4028"/>
  <c r="H20" i="4028"/>
  <c r="C19" i="4028"/>
  <c r="H19" i="4028"/>
  <c r="C18" i="4028"/>
  <c r="H11" i="4028"/>
  <c r="C17" i="4028"/>
  <c r="H18" i="4028"/>
  <c r="C16" i="4028"/>
  <c r="H17" i="4028"/>
  <c r="C15" i="4028"/>
  <c r="H16" i="4028"/>
  <c r="C14" i="4028"/>
  <c r="H15" i="4028"/>
  <c r="O12" i="4028"/>
  <c r="H14" i="4028"/>
  <c r="B12" i="4028"/>
  <c r="O11" i="4028"/>
  <c r="H13" i="4028"/>
  <c r="B11" i="4028"/>
  <c r="O10" i="4028"/>
  <c r="H4" i="4028"/>
  <c r="B10" i="4028"/>
  <c r="B13" i="4028" s="1"/>
  <c r="H12" i="4028"/>
  <c r="C9" i="4028"/>
  <c r="H10" i="4028"/>
  <c r="C8" i="4028"/>
  <c r="O7" i="4028"/>
  <c r="H9" i="4028"/>
  <c r="C7" i="4028"/>
  <c r="O6" i="4028"/>
  <c r="H3" i="4028"/>
  <c r="B6" i="4028"/>
  <c r="O5" i="4028"/>
  <c r="H8" i="4028"/>
  <c r="B5" i="4028"/>
  <c r="O4" i="4028"/>
  <c r="H7" i="4028"/>
  <c r="O3" i="4028"/>
  <c r="H6" i="4028"/>
  <c r="O2" i="4028"/>
  <c r="H2" i="4028"/>
  <c r="O23" i="4016"/>
  <c r="O17" i="4015"/>
  <c r="O16" i="4020"/>
  <c r="O15" i="4020"/>
  <c r="O16" i="4012"/>
  <c r="O24" i="4009"/>
  <c r="O18" i="4009"/>
  <c r="O19" i="4018"/>
  <c r="O19" i="4008"/>
  <c r="O16" i="4008"/>
  <c r="O17" i="4027" l="1"/>
  <c r="O16" i="4027"/>
  <c r="O15" i="4027"/>
  <c r="H52" i="4027"/>
  <c r="H4" i="4027"/>
  <c r="H51" i="4027"/>
  <c r="H50" i="4027"/>
  <c r="H49" i="4027"/>
  <c r="C48" i="4027"/>
  <c r="H48" i="4027"/>
  <c r="C47" i="4027"/>
  <c r="H47" i="4027"/>
  <c r="C46" i="4027"/>
  <c r="H46" i="4027"/>
  <c r="C45" i="4027"/>
  <c r="H45" i="4027"/>
  <c r="C44" i="4027"/>
  <c r="H44" i="4027"/>
  <c r="C43" i="4027"/>
  <c r="H43" i="4027"/>
  <c r="C42" i="4027"/>
  <c r="H42" i="4027"/>
  <c r="C41" i="4027"/>
  <c r="H41" i="4027"/>
  <c r="C40" i="4027"/>
  <c r="H40" i="4027"/>
  <c r="C39" i="4027"/>
  <c r="H39" i="4027"/>
  <c r="C38" i="4027"/>
  <c r="H38" i="4027"/>
  <c r="C37" i="4027"/>
  <c r="H37" i="4027"/>
  <c r="C36" i="4027"/>
  <c r="H36" i="4027"/>
  <c r="H35" i="4027"/>
  <c r="C34" i="4027"/>
  <c r="H34" i="4027"/>
  <c r="H33" i="4027"/>
  <c r="H32" i="4027"/>
  <c r="H31" i="4027"/>
  <c r="H30" i="4027"/>
  <c r="B29" i="4027"/>
  <c r="H29" i="4027"/>
  <c r="B28" i="4027"/>
  <c r="H9" i="4027"/>
  <c r="B27" i="4027"/>
  <c r="H28" i="4027"/>
  <c r="B26" i="4027"/>
  <c r="H12" i="4027"/>
  <c r="C25" i="4027"/>
  <c r="H27" i="4027"/>
  <c r="C24" i="4027"/>
  <c r="H26" i="4027"/>
  <c r="C23" i="4027"/>
  <c r="H25" i="4027"/>
  <c r="C22" i="4027"/>
  <c r="H24" i="4027"/>
  <c r="C21" i="4027"/>
  <c r="H23" i="4027"/>
  <c r="C20" i="4027"/>
  <c r="H22" i="4027"/>
  <c r="C19" i="4027"/>
  <c r="H21" i="4027"/>
  <c r="C18" i="4027"/>
  <c r="H20" i="4027"/>
  <c r="C17" i="4027"/>
  <c r="H5" i="4027"/>
  <c r="C16" i="4027"/>
  <c r="H19" i="4027"/>
  <c r="C15" i="4027"/>
  <c r="H18" i="4027"/>
  <c r="C14" i="4027"/>
  <c r="H17" i="4027"/>
  <c r="O12" i="4027"/>
  <c r="H16" i="4027"/>
  <c r="B12" i="4027"/>
  <c r="O11" i="4027"/>
  <c r="H15" i="4027"/>
  <c r="B11" i="4027"/>
  <c r="O10" i="4027"/>
  <c r="H8" i="4027"/>
  <c r="B10" i="4027"/>
  <c r="H14" i="4027"/>
  <c r="C9" i="4027"/>
  <c r="H13" i="4027"/>
  <c r="C8" i="4027"/>
  <c r="O7" i="4027"/>
  <c r="H7" i="4027"/>
  <c r="C7" i="4027"/>
  <c r="O6" i="4027"/>
  <c r="H6" i="4027"/>
  <c r="B6" i="4027"/>
  <c r="O5" i="4027"/>
  <c r="H11" i="4027"/>
  <c r="B5" i="4027"/>
  <c r="O4" i="4027"/>
  <c r="H3" i="4027"/>
  <c r="O3" i="4027"/>
  <c r="H10" i="4027"/>
  <c r="O2" i="4027"/>
  <c r="H2" i="4027"/>
  <c r="O20" i="4026"/>
  <c r="O19" i="4026"/>
  <c r="O18" i="4026"/>
  <c r="O17" i="4026"/>
  <c r="O16" i="4026"/>
  <c r="O15" i="4026"/>
  <c r="H52" i="4026"/>
  <c r="H5" i="4026"/>
  <c r="H51" i="4026"/>
  <c r="H50" i="4026"/>
  <c r="H49" i="4026"/>
  <c r="C48" i="4026"/>
  <c r="H48" i="4026"/>
  <c r="C47" i="4026"/>
  <c r="H47" i="4026"/>
  <c r="C46" i="4026"/>
  <c r="H46" i="4026"/>
  <c r="C45" i="4026"/>
  <c r="H45" i="4026"/>
  <c r="C44" i="4026"/>
  <c r="H44" i="4026"/>
  <c r="C43" i="4026"/>
  <c r="H43" i="4026"/>
  <c r="C42" i="4026"/>
  <c r="H42" i="4026"/>
  <c r="C41" i="4026"/>
  <c r="H41" i="4026"/>
  <c r="C40" i="4026"/>
  <c r="H40" i="4026"/>
  <c r="C39" i="4026"/>
  <c r="H39" i="4026"/>
  <c r="C38" i="4026"/>
  <c r="H38" i="4026"/>
  <c r="C37" i="4026"/>
  <c r="H37" i="4026"/>
  <c r="C36" i="4026"/>
  <c r="H36" i="4026"/>
  <c r="H35" i="4026"/>
  <c r="C34" i="4026"/>
  <c r="H34" i="4026"/>
  <c r="H33" i="4026"/>
  <c r="H32" i="4026"/>
  <c r="H31" i="4026"/>
  <c r="H14" i="4026"/>
  <c r="B29" i="4026"/>
  <c r="H30" i="4026"/>
  <c r="B28" i="4026"/>
  <c r="H13" i="4026"/>
  <c r="B27" i="4026"/>
  <c r="H29" i="4026"/>
  <c r="B26" i="4026"/>
  <c r="H28" i="4026"/>
  <c r="C25" i="4026"/>
  <c r="H27" i="4026"/>
  <c r="C24" i="4026"/>
  <c r="H26" i="4026"/>
  <c r="C23" i="4026"/>
  <c r="H25" i="4026"/>
  <c r="C22" i="4026"/>
  <c r="H24" i="4026"/>
  <c r="C21" i="4026"/>
  <c r="H23" i="4026"/>
  <c r="C20" i="4026"/>
  <c r="H12" i="4026"/>
  <c r="C19" i="4026"/>
  <c r="H22" i="4026"/>
  <c r="C18" i="4026"/>
  <c r="H21" i="4026"/>
  <c r="C17" i="4026"/>
  <c r="H20" i="4026"/>
  <c r="C16" i="4026"/>
  <c r="H19" i="4026"/>
  <c r="C15" i="4026"/>
  <c r="H18" i="4026"/>
  <c r="C14" i="4026"/>
  <c r="H17" i="4026"/>
  <c r="B13" i="4026"/>
  <c r="O12" i="4026"/>
  <c r="H16" i="4026"/>
  <c r="B12" i="4026"/>
  <c r="O11" i="4026"/>
  <c r="H15" i="4026"/>
  <c r="B11" i="4026"/>
  <c r="O10" i="4026"/>
  <c r="H8" i="4026"/>
  <c r="B10" i="4026"/>
  <c r="H11" i="4026"/>
  <c r="C9" i="4026"/>
  <c r="H10" i="4026"/>
  <c r="C8" i="4026"/>
  <c r="O7" i="4026"/>
  <c r="H7" i="4026"/>
  <c r="C7" i="4026"/>
  <c r="O6" i="4026"/>
  <c r="H6" i="4026"/>
  <c r="B6" i="4026"/>
  <c r="O5" i="4026"/>
  <c r="H4" i="4026"/>
  <c r="B5" i="4026"/>
  <c r="O4" i="4026"/>
  <c r="H2" i="4026"/>
  <c r="O3" i="4026"/>
  <c r="H9" i="4026"/>
  <c r="O2" i="4026"/>
  <c r="H3" i="4026"/>
  <c r="O22" i="4011"/>
  <c r="O21" i="4011"/>
  <c r="O18" i="4011"/>
  <c r="O16" i="4011"/>
  <c r="O17" i="4011"/>
  <c r="O19" i="4013"/>
  <c r="O17" i="4021"/>
  <c r="O23" i="4024"/>
  <c r="O21" i="4024"/>
  <c r="O18" i="4024"/>
  <c r="O19" i="4024"/>
  <c r="O17" i="4024"/>
  <c r="O16" i="4024"/>
  <c r="O15" i="4024"/>
  <c r="O28" i="4020"/>
  <c r="O22" i="4020"/>
  <c r="O18" i="4018"/>
  <c r="O15" i="4012"/>
  <c r="O26" i="4016"/>
  <c r="O20" i="4009"/>
  <c r="O27" i="4015"/>
  <c r="O23" i="4015"/>
  <c r="O15" i="4015"/>
  <c r="O18" i="4008"/>
  <c r="B13" i="4027" l="1"/>
  <c r="O16" i="4025" l="1"/>
  <c r="O15" i="4025"/>
  <c r="H52" i="4025"/>
  <c r="H5" i="4025"/>
  <c r="H51" i="4025"/>
  <c r="H50" i="4025"/>
  <c r="H49" i="4025"/>
  <c r="C48" i="4025"/>
  <c r="H48" i="4025"/>
  <c r="C47" i="4025"/>
  <c r="H47" i="4025"/>
  <c r="C46" i="4025"/>
  <c r="H46" i="4025"/>
  <c r="C45" i="4025"/>
  <c r="H45" i="4025"/>
  <c r="C44" i="4025"/>
  <c r="H44" i="4025"/>
  <c r="C43" i="4025"/>
  <c r="H43" i="4025"/>
  <c r="C42" i="4025"/>
  <c r="H42" i="4025"/>
  <c r="C41" i="4025"/>
  <c r="H41" i="4025"/>
  <c r="C40" i="4025"/>
  <c r="H40" i="4025"/>
  <c r="C39" i="4025"/>
  <c r="H39" i="4025"/>
  <c r="C38" i="4025"/>
  <c r="H38" i="4025"/>
  <c r="C37" i="4025"/>
  <c r="H37" i="4025"/>
  <c r="C36" i="4025"/>
  <c r="H36" i="4025"/>
  <c r="H35" i="4025"/>
  <c r="C34" i="4025"/>
  <c r="H34" i="4025"/>
  <c r="H33" i="4025"/>
  <c r="H32" i="4025"/>
  <c r="H31" i="4025"/>
  <c r="H30" i="4025"/>
  <c r="B29" i="4025"/>
  <c r="H29" i="4025"/>
  <c r="B28" i="4025"/>
  <c r="H13" i="4025"/>
  <c r="B27" i="4025"/>
  <c r="H28" i="4025"/>
  <c r="B26" i="4025"/>
  <c r="H27" i="4025"/>
  <c r="C25" i="4025"/>
  <c r="H12" i="4025"/>
  <c r="C24" i="4025"/>
  <c r="H26" i="4025"/>
  <c r="C23" i="4025"/>
  <c r="H25" i="4025"/>
  <c r="C22" i="4025"/>
  <c r="H11" i="4025"/>
  <c r="C21" i="4025"/>
  <c r="H24" i="4025"/>
  <c r="C20" i="4025"/>
  <c r="H10" i="4025"/>
  <c r="C19" i="4025"/>
  <c r="H23" i="4025"/>
  <c r="C18" i="4025"/>
  <c r="H22" i="4025"/>
  <c r="C17" i="4025"/>
  <c r="H21" i="4025"/>
  <c r="C16" i="4025"/>
  <c r="H20" i="4025"/>
  <c r="C15" i="4025"/>
  <c r="H19" i="4025"/>
  <c r="C14" i="4025"/>
  <c r="H18" i="4025"/>
  <c r="B13" i="4025"/>
  <c r="O12" i="4025"/>
  <c r="H17" i="4025"/>
  <c r="B12" i="4025"/>
  <c r="O11" i="4025"/>
  <c r="H16" i="4025"/>
  <c r="B11" i="4025"/>
  <c r="O10" i="4025"/>
  <c r="H2" i="4025"/>
  <c r="B10" i="4025"/>
  <c r="H15" i="4025"/>
  <c r="C9" i="4025"/>
  <c r="H14" i="4025"/>
  <c r="C8" i="4025"/>
  <c r="O7" i="4025"/>
  <c r="H9" i="4025"/>
  <c r="C7" i="4025"/>
  <c r="O6" i="4025"/>
  <c r="H8" i="4025"/>
  <c r="B6" i="4025"/>
  <c r="O5" i="4025"/>
  <c r="H7" i="4025"/>
  <c r="B5" i="4025"/>
  <c r="O4" i="4025"/>
  <c r="H4" i="4025"/>
  <c r="O3" i="4025"/>
  <c r="H6" i="4025"/>
  <c r="O2" i="4025"/>
  <c r="H3" i="4025"/>
  <c r="O25" i="4024"/>
  <c r="O20" i="4024"/>
  <c r="O22" i="4024"/>
  <c r="O24" i="4024"/>
  <c r="H52" i="4024"/>
  <c r="H5" i="4024"/>
  <c r="H24" i="4024"/>
  <c r="H51" i="4024"/>
  <c r="H50" i="4024"/>
  <c r="C48" i="4024"/>
  <c r="H49" i="4024"/>
  <c r="C47" i="4024"/>
  <c r="H48" i="4024"/>
  <c r="C46" i="4024"/>
  <c r="H47" i="4024"/>
  <c r="C45" i="4024"/>
  <c r="H46" i="4024"/>
  <c r="C44" i="4024"/>
  <c r="H45" i="4024"/>
  <c r="C43" i="4024"/>
  <c r="H44" i="4024"/>
  <c r="C42" i="4024"/>
  <c r="H43" i="4024"/>
  <c r="C41" i="4024"/>
  <c r="H42" i="4024"/>
  <c r="C40" i="4024"/>
  <c r="H41" i="4024"/>
  <c r="C39" i="4024"/>
  <c r="H40" i="4024"/>
  <c r="C38" i="4024"/>
  <c r="H39" i="4024"/>
  <c r="C37" i="4024"/>
  <c r="H38" i="4024"/>
  <c r="C36" i="4024"/>
  <c r="H37" i="4024"/>
  <c r="H36" i="4024"/>
  <c r="C34" i="4024"/>
  <c r="H23" i="4024"/>
  <c r="H35" i="4024"/>
  <c r="H34" i="4024"/>
  <c r="H22" i="4024"/>
  <c r="H16" i="4024"/>
  <c r="B29" i="4024"/>
  <c r="H33" i="4024"/>
  <c r="B28" i="4024"/>
  <c r="H8" i="4024"/>
  <c r="B27" i="4024"/>
  <c r="H32" i="4024"/>
  <c r="B26" i="4024"/>
  <c r="H31" i="4024"/>
  <c r="C25" i="4024"/>
  <c r="H13" i="4024"/>
  <c r="C24" i="4024"/>
  <c r="H30" i="4024"/>
  <c r="C23" i="4024"/>
  <c r="H29" i="4024"/>
  <c r="C22" i="4024"/>
  <c r="H15" i="4024"/>
  <c r="C21" i="4024"/>
  <c r="H28" i="4024"/>
  <c r="C20" i="4024"/>
  <c r="H14" i="4024"/>
  <c r="C19" i="4024"/>
  <c r="H27" i="4024"/>
  <c r="C18" i="4024"/>
  <c r="H21" i="4024"/>
  <c r="C17" i="4024"/>
  <c r="H17" i="4024"/>
  <c r="C16" i="4024"/>
  <c r="H20" i="4024"/>
  <c r="C15" i="4024"/>
  <c r="H26" i="4024"/>
  <c r="C14" i="4024"/>
  <c r="H25" i="4024"/>
  <c r="O12" i="4024"/>
  <c r="H19" i="4024"/>
  <c r="B12" i="4024"/>
  <c r="O11" i="4024"/>
  <c r="H18" i="4024"/>
  <c r="B11" i="4024"/>
  <c r="O10" i="4024"/>
  <c r="H3" i="4024"/>
  <c r="B10" i="4024"/>
  <c r="H10" i="4024"/>
  <c r="C9" i="4024"/>
  <c r="H12" i="4024"/>
  <c r="C8" i="4024"/>
  <c r="O7" i="4024"/>
  <c r="H11" i="4024"/>
  <c r="C7" i="4024"/>
  <c r="O6" i="4024"/>
  <c r="H6" i="4024"/>
  <c r="B6" i="4024"/>
  <c r="O5" i="4024"/>
  <c r="H7" i="4024"/>
  <c r="B5" i="4024"/>
  <c r="O4" i="4024"/>
  <c r="H2" i="4024"/>
  <c r="O3" i="4024"/>
  <c r="H9" i="4024"/>
  <c r="O2" i="4024"/>
  <c r="H4" i="4024"/>
  <c r="O16" i="4023"/>
  <c r="O15" i="4023"/>
  <c r="H52" i="4023"/>
  <c r="H7" i="4023"/>
  <c r="H51" i="4023"/>
  <c r="H50" i="4023"/>
  <c r="H49" i="4023"/>
  <c r="C48" i="4023"/>
  <c r="H48" i="4023"/>
  <c r="C47" i="4023"/>
  <c r="H47" i="4023"/>
  <c r="C46" i="4023"/>
  <c r="H46" i="4023"/>
  <c r="C45" i="4023"/>
  <c r="H45" i="4023"/>
  <c r="C44" i="4023"/>
  <c r="H44" i="4023"/>
  <c r="C43" i="4023"/>
  <c r="H43" i="4023"/>
  <c r="C42" i="4023"/>
  <c r="H42" i="4023"/>
  <c r="C41" i="4023"/>
  <c r="H41" i="4023"/>
  <c r="C40" i="4023"/>
  <c r="H40" i="4023"/>
  <c r="C39" i="4023"/>
  <c r="H39" i="4023"/>
  <c r="C38" i="4023"/>
  <c r="H38" i="4023"/>
  <c r="C37" i="4023"/>
  <c r="H37" i="4023"/>
  <c r="C36" i="4023"/>
  <c r="H36" i="4023"/>
  <c r="H35" i="4023"/>
  <c r="C34" i="4023"/>
  <c r="H34" i="4023"/>
  <c r="H33" i="4023"/>
  <c r="H32" i="4023"/>
  <c r="H31" i="4023"/>
  <c r="H30" i="4023"/>
  <c r="B29" i="4023"/>
  <c r="H29" i="4023"/>
  <c r="B28" i="4023"/>
  <c r="H28" i="4023"/>
  <c r="B27" i="4023"/>
  <c r="H27" i="4023"/>
  <c r="B26" i="4023"/>
  <c r="H26" i="4023"/>
  <c r="C25" i="4023"/>
  <c r="H25" i="4023"/>
  <c r="C24" i="4023"/>
  <c r="H24" i="4023"/>
  <c r="C23" i="4023"/>
  <c r="H23" i="4023"/>
  <c r="C22" i="4023"/>
  <c r="H22" i="4023"/>
  <c r="C21" i="4023"/>
  <c r="H21" i="4023"/>
  <c r="C20" i="4023"/>
  <c r="H6" i="4023"/>
  <c r="C19" i="4023"/>
  <c r="H20" i="4023"/>
  <c r="C18" i="4023"/>
  <c r="H19" i="4023"/>
  <c r="C17" i="4023"/>
  <c r="H18" i="4023"/>
  <c r="C16" i="4023"/>
  <c r="H17" i="4023"/>
  <c r="C15" i="4023"/>
  <c r="H16" i="4023"/>
  <c r="C14" i="4023"/>
  <c r="H15" i="4023"/>
  <c r="O12" i="4023"/>
  <c r="H14" i="4023"/>
  <c r="B12" i="4023"/>
  <c r="O11" i="4023"/>
  <c r="H13" i="4023"/>
  <c r="B11" i="4023"/>
  <c r="O10" i="4023"/>
  <c r="H12" i="4023"/>
  <c r="B10" i="4023"/>
  <c r="B13" i="4023" s="1"/>
  <c r="H11" i="4023"/>
  <c r="C9" i="4023"/>
  <c r="H10" i="4023"/>
  <c r="C8" i="4023"/>
  <c r="O7" i="4023"/>
  <c r="H9" i="4023"/>
  <c r="C7" i="4023"/>
  <c r="O6" i="4023"/>
  <c r="H5" i="4023"/>
  <c r="B6" i="4023"/>
  <c r="O5" i="4023"/>
  <c r="H4" i="4023"/>
  <c r="B5" i="4023"/>
  <c r="O4" i="4023"/>
  <c r="H2" i="4023"/>
  <c r="O3" i="4023"/>
  <c r="H8" i="4023"/>
  <c r="O2" i="4023"/>
  <c r="H3" i="4023"/>
  <c r="O22" i="4022"/>
  <c r="O21" i="4022"/>
  <c r="O17" i="4022"/>
  <c r="O20" i="4022"/>
  <c r="O19" i="4022"/>
  <c r="O18" i="4022"/>
  <c r="O16" i="4022"/>
  <c r="O15" i="4022"/>
  <c r="H52" i="4022"/>
  <c r="H7" i="4022"/>
  <c r="H51" i="4022"/>
  <c r="H50" i="4022"/>
  <c r="H49" i="4022"/>
  <c r="C48" i="4022"/>
  <c r="H48" i="4022"/>
  <c r="C47" i="4022"/>
  <c r="H47" i="4022"/>
  <c r="C46" i="4022"/>
  <c r="H46" i="4022"/>
  <c r="C45" i="4022"/>
  <c r="H45" i="4022"/>
  <c r="C44" i="4022"/>
  <c r="H44" i="4022"/>
  <c r="C43" i="4022"/>
  <c r="H43" i="4022"/>
  <c r="C42" i="4022"/>
  <c r="H42" i="4022"/>
  <c r="C41" i="4022"/>
  <c r="H41" i="4022"/>
  <c r="C40" i="4022"/>
  <c r="H40" i="4022"/>
  <c r="C39" i="4022"/>
  <c r="H39" i="4022"/>
  <c r="C38" i="4022"/>
  <c r="H38" i="4022"/>
  <c r="C37" i="4022"/>
  <c r="H37" i="4022"/>
  <c r="C36" i="4022"/>
  <c r="H36" i="4022"/>
  <c r="H35" i="4022"/>
  <c r="C34" i="4022"/>
  <c r="H34" i="4022"/>
  <c r="H33" i="4022"/>
  <c r="H32" i="4022"/>
  <c r="H31" i="4022"/>
  <c r="H30" i="4022"/>
  <c r="B29" i="4022"/>
  <c r="H29" i="4022"/>
  <c r="B28" i="4022"/>
  <c r="H8" i="4022"/>
  <c r="B27" i="4022"/>
  <c r="H28" i="4022"/>
  <c r="B26" i="4022"/>
  <c r="H27" i="4022"/>
  <c r="C25" i="4022"/>
  <c r="H11" i="4022"/>
  <c r="C24" i="4022"/>
  <c r="H26" i="4022"/>
  <c r="C23" i="4022"/>
  <c r="H25" i="4022"/>
  <c r="C22" i="4022"/>
  <c r="H14" i="4022"/>
  <c r="C21" i="4022"/>
  <c r="H24" i="4022"/>
  <c r="C20" i="4022"/>
  <c r="H18" i="4022"/>
  <c r="C19" i="4022"/>
  <c r="H23" i="4022"/>
  <c r="C18" i="4022"/>
  <c r="H17" i="4022"/>
  <c r="C17" i="4022"/>
  <c r="H13" i="4022"/>
  <c r="C16" i="4022"/>
  <c r="H15" i="4022"/>
  <c r="C15" i="4022"/>
  <c r="H22" i="4022"/>
  <c r="C14" i="4022"/>
  <c r="H21" i="4022"/>
  <c r="O12" i="4022"/>
  <c r="H20" i="4022"/>
  <c r="B12" i="4022"/>
  <c r="O11" i="4022"/>
  <c r="H19" i="4022"/>
  <c r="B11" i="4022"/>
  <c r="O10" i="4022"/>
  <c r="H2" i="4022"/>
  <c r="B10" i="4022"/>
  <c r="H16" i="4022"/>
  <c r="C9" i="4022"/>
  <c r="H12" i="4022"/>
  <c r="C8" i="4022"/>
  <c r="O7" i="4022"/>
  <c r="H9" i="4022"/>
  <c r="C7" i="4022"/>
  <c r="O6" i="4022"/>
  <c r="H6" i="4022"/>
  <c r="B6" i="4022"/>
  <c r="O5" i="4022"/>
  <c r="H5" i="4022"/>
  <c r="B5" i="4022"/>
  <c r="O4" i="4022"/>
  <c r="H3" i="4022"/>
  <c r="O3" i="4022"/>
  <c r="H10" i="4022"/>
  <c r="O2" i="4022"/>
  <c r="H4" i="4022"/>
  <c r="O22" i="4019"/>
  <c r="O16" i="4019"/>
  <c r="O15" i="4019"/>
  <c r="O30" i="4020"/>
  <c r="O18" i="4020"/>
  <c r="O17" i="4020"/>
  <c r="O19" i="4020"/>
  <c r="O24" i="4021"/>
  <c r="O25" i="4021"/>
  <c r="O18" i="4021"/>
  <c r="O15" i="4021"/>
  <c r="O24" i="4015"/>
  <c r="O19" i="4015"/>
  <c r="O29" i="4018"/>
  <c r="O22" i="4018"/>
  <c r="O20" i="4016"/>
  <c r="O15" i="4016"/>
  <c r="O16" i="4016"/>
  <c r="O26" i="4012"/>
  <c r="O31" i="4009"/>
  <c r="O21" i="4009"/>
  <c r="O17" i="4009"/>
  <c r="O34" i="4008"/>
  <c r="O28" i="4008"/>
  <c r="O20" i="4008"/>
  <c r="O21" i="4008"/>
  <c r="B13" i="4022" l="1"/>
  <c r="B13" i="4024"/>
  <c r="O20" i="4021"/>
  <c r="O19" i="4021"/>
  <c r="O22" i="4021"/>
  <c r="O23" i="4021"/>
  <c r="O26" i="4021"/>
  <c r="O16" i="4021"/>
  <c r="O21" i="4021"/>
  <c r="H52" i="4021"/>
  <c r="H6" i="4021"/>
  <c r="H17" i="4021"/>
  <c r="H51" i="4021"/>
  <c r="H50" i="4021"/>
  <c r="C48" i="4021"/>
  <c r="H49" i="4021"/>
  <c r="C47" i="4021"/>
  <c r="H48" i="4021"/>
  <c r="C46" i="4021"/>
  <c r="H47" i="4021"/>
  <c r="C45" i="4021"/>
  <c r="H24" i="4021"/>
  <c r="C44" i="4021"/>
  <c r="H46" i="4021"/>
  <c r="C43" i="4021"/>
  <c r="H45" i="4021"/>
  <c r="C42" i="4021"/>
  <c r="H44" i="4021"/>
  <c r="C41" i="4021"/>
  <c r="H43" i="4021"/>
  <c r="C40" i="4021"/>
  <c r="H42" i="4021"/>
  <c r="C39" i="4021"/>
  <c r="H41" i="4021"/>
  <c r="C38" i="4021"/>
  <c r="H40" i="4021"/>
  <c r="C37" i="4021"/>
  <c r="H39" i="4021"/>
  <c r="C36" i="4021"/>
  <c r="H38" i="4021"/>
  <c r="H37" i="4021"/>
  <c r="C34" i="4021"/>
  <c r="H36" i="4021"/>
  <c r="H35" i="4021"/>
  <c r="H34" i="4021"/>
  <c r="H33" i="4021"/>
  <c r="H21" i="4021"/>
  <c r="B29" i="4021"/>
  <c r="H32" i="4021"/>
  <c r="B28" i="4021"/>
  <c r="H10" i="4021"/>
  <c r="B27" i="4021"/>
  <c r="H31" i="4021"/>
  <c r="B26" i="4021"/>
  <c r="H20" i="4021"/>
  <c r="C25" i="4021"/>
  <c r="H13" i="4021"/>
  <c r="C24" i="4021"/>
  <c r="H23" i="4021"/>
  <c r="C23" i="4021"/>
  <c r="H30" i="4021"/>
  <c r="C22" i="4021"/>
  <c r="H15" i="4021"/>
  <c r="C21" i="4021"/>
  <c r="H29" i="4021"/>
  <c r="C20" i="4021"/>
  <c r="H19" i="4021"/>
  <c r="C19" i="4021"/>
  <c r="H28" i="4021"/>
  <c r="C18" i="4021"/>
  <c r="H16" i="4021"/>
  <c r="C17" i="4021"/>
  <c r="H14" i="4021"/>
  <c r="C16" i="4021"/>
  <c r="H27" i="4021"/>
  <c r="C15" i="4021"/>
  <c r="H26" i="4021"/>
  <c r="C14" i="4021"/>
  <c r="H22" i="4021"/>
  <c r="O12" i="4021"/>
  <c r="H25" i="4021"/>
  <c r="B12" i="4021"/>
  <c r="O11" i="4021"/>
  <c r="H18" i="4021"/>
  <c r="B11" i="4021"/>
  <c r="O10" i="4021"/>
  <c r="H4" i="4021"/>
  <c r="B10" i="4021"/>
  <c r="H12" i="4021"/>
  <c r="C9" i="4021"/>
  <c r="H9" i="4021"/>
  <c r="C8" i="4021"/>
  <c r="O7" i="4021"/>
  <c r="H8" i="4021"/>
  <c r="C7" i="4021"/>
  <c r="O6" i="4021"/>
  <c r="H5" i="4021"/>
  <c r="B6" i="4021"/>
  <c r="O5" i="4021"/>
  <c r="H7" i="4021"/>
  <c r="B5" i="4021"/>
  <c r="O4" i="4021"/>
  <c r="H2" i="4021"/>
  <c r="O3" i="4021"/>
  <c r="H11" i="4021"/>
  <c r="O2" i="4021"/>
  <c r="H3" i="4021"/>
  <c r="O29" i="4020"/>
  <c r="O26" i="4020"/>
  <c r="O24" i="4020"/>
  <c r="O21" i="4020"/>
  <c r="O25" i="4020"/>
  <c r="O27" i="4020"/>
  <c r="O23" i="4020"/>
  <c r="O20" i="4020"/>
  <c r="H52" i="4020"/>
  <c r="H5" i="4020"/>
  <c r="H21" i="4020"/>
  <c r="H51" i="4020"/>
  <c r="H50" i="4020"/>
  <c r="C48" i="4020"/>
  <c r="H49" i="4020"/>
  <c r="C47" i="4020"/>
  <c r="H48" i="4020"/>
  <c r="C46" i="4020"/>
  <c r="H47" i="4020"/>
  <c r="C45" i="4020"/>
  <c r="H46" i="4020"/>
  <c r="C44" i="4020"/>
  <c r="H45" i="4020"/>
  <c r="C43" i="4020"/>
  <c r="H44" i="4020"/>
  <c r="C42" i="4020"/>
  <c r="H43" i="4020"/>
  <c r="C41" i="4020"/>
  <c r="H42" i="4020"/>
  <c r="C40" i="4020"/>
  <c r="H29" i="4020"/>
  <c r="C39" i="4020"/>
  <c r="H41" i="4020"/>
  <c r="C38" i="4020"/>
  <c r="H40" i="4020"/>
  <c r="C37" i="4020"/>
  <c r="H39" i="4020"/>
  <c r="C36" i="4020"/>
  <c r="H38" i="4020"/>
  <c r="H37" i="4020"/>
  <c r="C34" i="4020"/>
  <c r="H31" i="4020"/>
  <c r="H36" i="4020"/>
  <c r="H28" i="4020"/>
  <c r="H20" i="4020"/>
  <c r="H16" i="4020"/>
  <c r="B29" i="4020"/>
  <c r="H27" i="4020"/>
  <c r="B28" i="4020"/>
  <c r="H8" i="4020"/>
  <c r="B27" i="4020"/>
  <c r="H26" i="4020"/>
  <c r="B26" i="4020"/>
  <c r="H30" i="4020"/>
  <c r="C25" i="4020"/>
  <c r="H14" i="4020"/>
  <c r="C24" i="4020"/>
  <c r="H19" i="4020"/>
  <c r="C23" i="4020"/>
  <c r="H35" i="4020"/>
  <c r="C22" i="4020"/>
  <c r="H13" i="4020"/>
  <c r="C21" i="4020"/>
  <c r="H34" i="4020"/>
  <c r="C20" i="4020"/>
  <c r="H18" i="4020"/>
  <c r="C19" i="4020"/>
  <c r="H33" i="4020"/>
  <c r="C18" i="4020"/>
  <c r="H17" i="4020"/>
  <c r="C17" i="4020"/>
  <c r="H15" i="4020"/>
  <c r="C16" i="4020"/>
  <c r="H24" i="4020"/>
  <c r="C15" i="4020"/>
  <c r="H32" i="4020"/>
  <c r="C14" i="4020"/>
  <c r="H22" i="4020"/>
  <c r="O12" i="4020"/>
  <c r="H25" i="4020"/>
  <c r="B12" i="4020"/>
  <c r="O11" i="4020"/>
  <c r="H23" i="4020"/>
  <c r="B11" i="4020"/>
  <c r="O10" i="4020"/>
  <c r="H3" i="4020"/>
  <c r="B10" i="4020"/>
  <c r="H11" i="4020"/>
  <c r="C9" i="4020"/>
  <c r="H12" i="4020"/>
  <c r="C8" i="4020"/>
  <c r="O7" i="4020"/>
  <c r="H9" i="4020"/>
  <c r="C7" i="4020"/>
  <c r="O6" i="4020"/>
  <c r="H7" i="4020"/>
  <c r="B6" i="4020"/>
  <c r="O5" i="4020"/>
  <c r="H6" i="4020"/>
  <c r="B5" i="4020"/>
  <c r="O4" i="4020"/>
  <c r="H2" i="4020"/>
  <c r="O3" i="4020"/>
  <c r="H10" i="4020"/>
  <c r="O2" i="4020"/>
  <c r="H4" i="4020"/>
  <c r="O21" i="4019"/>
  <c r="O19" i="4019"/>
  <c r="O20" i="4019"/>
  <c r="O18" i="4019"/>
  <c r="O17" i="4019"/>
  <c r="H52" i="4019"/>
  <c r="H13" i="4019"/>
  <c r="H51" i="4019"/>
  <c r="H50" i="4019"/>
  <c r="H49" i="4019"/>
  <c r="C48" i="4019"/>
  <c r="H48" i="4019"/>
  <c r="C47" i="4019"/>
  <c r="H47" i="4019"/>
  <c r="C46" i="4019"/>
  <c r="H46" i="4019"/>
  <c r="C45" i="4019"/>
  <c r="H45" i="4019"/>
  <c r="C44" i="4019"/>
  <c r="H44" i="4019"/>
  <c r="C43" i="4019"/>
  <c r="H43" i="4019"/>
  <c r="C42" i="4019"/>
  <c r="H42" i="4019"/>
  <c r="C41" i="4019"/>
  <c r="H41" i="4019"/>
  <c r="C40" i="4019"/>
  <c r="H40" i="4019"/>
  <c r="C39" i="4019"/>
  <c r="H39" i="4019"/>
  <c r="C38" i="4019"/>
  <c r="H38" i="4019"/>
  <c r="C37" i="4019"/>
  <c r="H37" i="4019"/>
  <c r="C36" i="4019"/>
  <c r="H36" i="4019"/>
  <c r="H35" i="4019"/>
  <c r="C34" i="4019"/>
  <c r="H34" i="4019"/>
  <c r="H33" i="4019"/>
  <c r="H32" i="4019"/>
  <c r="H31" i="4019"/>
  <c r="H14" i="4019"/>
  <c r="B29" i="4019"/>
  <c r="H30" i="4019"/>
  <c r="B28" i="4019"/>
  <c r="H7" i="4019"/>
  <c r="B27" i="4019"/>
  <c r="H29" i="4019"/>
  <c r="B26" i="4019"/>
  <c r="H28" i="4019"/>
  <c r="C25" i="4019"/>
  <c r="H10" i="4019"/>
  <c r="C24" i="4019"/>
  <c r="H27" i="4019"/>
  <c r="C23" i="4019"/>
  <c r="H26" i="4019"/>
  <c r="C22" i="4019"/>
  <c r="H25" i="4019"/>
  <c r="C21" i="4019"/>
  <c r="H24" i="4019"/>
  <c r="C20" i="4019"/>
  <c r="H23" i="4019"/>
  <c r="C19" i="4019"/>
  <c r="H22" i="4019"/>
  <c r="C18" i="4019"/>
  <c r="H21" i="4019"/>
  <c r="C17" i="4019"/>
  <c r="H20" i="4019"/>
  <c r="C16" i="4019"/>
  <c r="H19" i="4019"/>
  <c r="C15" i="4019"/>
  <c r="H18" i="4019"/>
  <c r="C14" i="4019"/>
  <c r="H17" i="4019"/>
  <c r="O12" i="4019"/>
  <c r="H16" i="4019"/>
  <c r="B12" i="4019"/>
  <c r="O11" i="4019"/>
  <c r="H15" i="4019"/>
  <c r="B11" i="4019"/>
  <c r="O10" i="4019"/>
  <c r="H4" i="4019"/>
  <c r="B10" i="4019"/>
  <c r="H12" i="4019"/>
  <c r="C9" i="4019"/>
  <c r="H9" i="4019"/>
  <c r="C8" i="4019"/>
  <c r="O7" i="4019"/>
  <c r="H8" i="4019"/>
  <c r="C7" i="4019"/>
  <c r="O6" i="4019"/>
  <c r="H6" i="4019"/>
  <c r="B6" i="4019"/>
  <c r="O5" i="4019"/>
  <c r="H5" i="4019"/>
  <c r="B5" i="4019"/>
  <c r="O4" i="4019"/>
  <c r="H3" i="4019"/>
  <c r="O3" i="4019"/>
  <c r="H11" i="4019"/>
  <c r="O2" i="4019"/>
  <c r="H2" i="4019"/>
  <c r="O28" i="4018"/>
  <c r="O24" i="4018"/>
  <c r="O27" i="4018"/>
  <c r="O23" i="4018"/>
  <c r="O26" i="4018"/>
  <c r="O21" i="4018"/>
  <c r="O20" i="4018"/>
  <c r="O25" i="4018"/>
  <c r="O16" i="4018"/>
  <c r="O15" i="4018"/>
  <c r="O17" i="4018"/>
  <c r="H52" i="4018"/>
  <c r="H7" i="4018"/>
  <c r="H17" i="4018"/>
  <c r="H51" i="4018"/>
  <c r="H50" i="4018"/>
  <c r="C48" i="4018"/>
  <c r="H49" i="4018"/>
  <c r="C47" i="4018"/>
  <c r="H48" i="4018"/>
  <c r="C46" i="4018"/>
  <c r="H47" i="4018"/>
  <c r="C45" i="4018"/>
  <c r="H46" i="4018"/>
  <c r="C44" i="4018"/>
  <c r="H45" i="4018"/>
  <c r="C43" i="4018"/>
  <c r="H44" i="4018"/>
  <c r="C42" i="4018"/>
  <c r="H43" i="4018"/>
  <c r="C41" i="4018"/>
  <c r="H42" i="4018"/>
  <c r="C40" i="4018"/>
  <c r="H41" i="4018"/>
  <c r="C39" i="4018"/>
  <c r="H40" i="4018"/>
  <c r="C38" i="4018"/>
  <c r="H39" i="4018"/>
  <c r="C37" i="4018"/>
  <c r="H38" i="4018"/>
  <c r="C36" i="4018"/>
  <c r="H30" i="4018"/>
  <c r="H37" i="4018"/>
  <c r="C34" i="4018"/>
  <c r="H32" i="4018"/>
  <c r="H36" i="4018"/>
  <c r="H26" i="4018"/>
  <c r="H20" i="4018"/>
  <c r="H15" i="4018"/>
  <c r="B29" i="4018"/>
  <c r="H27" i="4018"/>
  <c r="B28" i="4018"/>
  <c r="H8" i="4018"/>
  <c r="B27" i="4018"/>
  <c r="H31" i="4018"/>
  <c r="B26" i="4018"/>
  <c r="H29" i="4018"/>
  <c r="C25" i="4018"/>
  <c r="H12" i="4018"/>
  <c r="C24" i="4018"/>
  <c r="H25" i="4018"/>
  <c r="C23" i="4018"/>
  <c r="H24" i="4018"/>
  <c r="C22" i="4018"/>
  <c r="H14" i="4018"/>
  <c r="C21" i="4018"/>
  <c r="H35" i="4018"/>
  <c r="C20" i="4018"/>
  <c r="H18" i="4018"/>
  <c r="C19" i="4018"/>
  <c r="H34" i="4018"/>
  <c r="C18" i="4018"/>
  <c r="H19" i="4018"/>
  <c r="C17" i="4018"/>
  <c r="H16" i="4018"/>
  <c r="C16" i="4018"/>
  <c r="H23" i="4018"/>
  <c r="C15" i="4018"/>
  <c r="H33" i="4018"/>
  <c r="C14" i="4018"/>
  <c r="H21" i="4018"/>
  <c r="O12" i="4018"/>
  <c r="H28" i="4018"/>
  <c r="B12" i="4018"/>
  <c r="O11" i="4018"/>
  <c r="H22" i="4018"/>
  <c r="B11" i="4018"/>
  <c r="O10" i="4018"/>
  <c r="H3" i="4018"/>
  <c r="B10" i="4018"/>
  <c r="H13" i="4018"/>
  <c r="C9" i="4018"/>
  <c r="H11" i="4018"/>
  <c r="C8" i="4018"/>
  <c r="O7" i="4018"/>
  <c r="H9" i="4018"/>
  <c r="C7" i="4018"/>
  <c r="O6" i="4018"/>
  <c r="H6" i="4018"/>
  <c r="B6" i="4018"/>
  <c r="O5" i="4018"/>
  <c r="H5" i="4018"/>
  <c r="B5" i="4018"/>
  <c r="O4" i="4018"/>
  <c r="H2" i="4018"/>
  <c r="O3" i="4018"/>
  <c r="H10" i="4018"/>
  <c r="O2" i="4018"/>
  <c r="H4" i="4018"/>
  <c r="O15" i="4017"/>
  <c r="O21" i="4017"/>
  <c r="O19" i="4017"/>
  <c r="O20" i="4017"/>
  <c r="O18" i="4017"/>
  <c r="O17" i="4017"/>
  <c r="O16" i="4017"/>
  <c r="H52" i="4017"/>
  <c r="H10" i="4017"/>
  <c r="H16" i="4017"/>
  <c r="H51" i="4017"/>
  <c r="H50" i="4017"/>
  <c r="C48" i="4017"/>
  <c r="H49" i="4017"/>
  <c r="C47" i="4017"/>
  <c r="H48" i="4017"/>
  <c r="C46" i="4017"/>
  <c r="H47" i="4017"/>
  <c r="C45" i="4017"/>
  <c r="H46" i="4017"/>
  <c r="C44" i="4017"/>
  <c r="H45" i="4017"/>
  <c r="C43" i="4017"/>
  <c r="H44" i="4017"/>
  <c r="C42" i="4017"/>
  <c r="H43" i="4017"/>
  <c r="C41" i="4017"/>
  <c r="H42" i="4017"/>
  <c r="C40" i="4017"/>
  <c r="H41" i="4017"/>
  <c r="C39" i="4017"/>
  <c r="H40" i="4017"/>
  <c r="C38" i="4017"/>
  <c r="H39" i="4017"/>
  <c r="C37" i="4017"/>
  <c r="H38" i="4017"/>
  <c r="C36" i="4017"/>
  <c r="H37" i="4017"/>
  <c r="H36" i="4017"/>
  <c r="C34" i="4017"/>
  <c r="H35" i="4017"/>
  <c r="H34" i="4017"/>
  <c r="H33" i="4017"/>
  <c r="H20" i="4017"/>
  <c r="H19" i="4017"/>
  <c r="B29" i="4017"/>
  <c r="H32" i="4017"/>
  <c r="B28" i="4017"/>
  <c r="H7" i="4017"/>
  <c r="B27" i="4017"/>
  <c r="H31" i="4017"/>
  <c r="B26" i="4017"/>
  <c r="H30" i="4017"/>
  <c r="C25" i="4017"/>
  <c r="H18" i="4017"/>
  <c r="C24" i="4017"/>
  <c r="H29" i="4017"/>
  <c r="C23" i="4017"/>
  <c r="H28" i="4017"/>
  <c r="C22" i="4017"/>
  <c r="H15" i="4017"/>
  <c r="C21" i="4017"/>
  <c r="H27" i="4017"/>
  <c r="C20" i="4017"/>
  <c r="H26" i="4017"/>
  <c r="C19" i="4017"/>
  <c r="H25" i="4017"/>
  <c r="C18" i="4017"/>
  <c r="H14" i="4017"/>
  <c r="C17" i="4017"/>
  <c r="H13" i="4017"/>
  <c r="C16" i="4017"/>
  <c r="H24" i="4017"/>
  <c r="C15" i="4017"/>
  <c r="H23" i="4017"/>
  <c r="C14" i="4017"/>
  <c r="H22" i="4017"/>
  <c r="O12" i="4017"/>
  <c r="H21" i="4017"/>
  <c r="B12" i="4017"/>
  <c r="O11" i="4017"/>
  <c r="H17" i="4017"/>
  <c r="B11" i="4017"/>
  <c r="O10" i="4017"/>
  <c r="H3" i="4017"/>
  <c r="B10" i="4017"/>
  <c r="H12" i="4017"/>
  <c r="C9" i="4017"/>
  <c r="H11" i="4017"/>
  <c r="C8" i="4017"/>
  <c r="O7" i="4017"/>
  <c r="H9" i="4017"/>
  <c r="C7" i="4017"/>
  <c r="O6" i="4017"/>
  <c r="H6" i="4017"/>
  <c r="B6" i="4017"/>
  <c r="O5" i="4017"/>
  <c r="H5" i="4017"/>
  <c r="B5" i="4017"/>
  <c r="O4" i="4017"/>
  <c r="H2" i="4017"/>
  <c r="O3" i="4017"/>
  <c r="H8" i="4017"/>
  <c r="O2" i="4017"/>
  <c r="H4" i="4017"/>
  <c r="O28" i="4016"/>
  <c r="O24" i="4016"/>
  <c r="O25" i="4016"/>
  <c r="O27" i="4016"/>
  <c r="O17" i="4016"/>
  <c r="O18" i="4016"/>
  <c r="O22" i="4016"/>
  <c r="O21" i="4016"/>
  <c r="O19" i="4016"/>
  <c r="H52" i="4016"/>
  <c r="H5" i="4016"/>
  <c r="H20" i="4016"/>
  <c r="H51" i="4016"/>
  <c r="H50" i="4016"/>
  <c r="C48" i="4016"/>
  <c r="H49" i="4016"/>
  <c r="C47" i="4016"/>
  <c r="H48" i="4016"/>
  <c r="C46" i="4016"/>
  <c r="H47" i="4016"/>
  <c r="C45" i="4016"/>
  <c r="H46" i="4016"/>
  <c r="C44" i="4016"/>
  <c r="H45" i="4016"/>
  <c r="C43" i="4016"/>
  <c r="H44" i="4016"/>
  <c r="C42" i="4016"/>
  <c r="H43" i="4016"/>
  <c r="C41" i="4016"/>
  <c r="H42" i="4016"/>
  <c r="C40" i="4016"/>
  <c r="H41" i="4016"/>
  <c r="C39" i="4016"/>
  <c r="H40" i="4016"/>
  <c r="C38" i="4016"/>
  <c r="H39" i="4016"/>
  <c r="C37" i="4016"/>
  <c r="H38" i="4016"/>
  <c r="C36" i="4016"/>
  <c r="H37" i="4016"/>
  <c r="H36" i="4016"/>
  <c r="C34" i="4016"/>
  <c r="H32" i="4016"/>
  <c r="H35" i="4016"/>
  <c r="H26" i="4016"/>
  <c r="H24" i="4016"/>
  <c r="H17" i="4016"/>
  <c r="B29" i="4016"/>
  <c r="H28" i="4016"/>
  <c r="B28" i="4016"/>
  <c r="H9" i="4016"/>
  <c r="B27" i="4016"/>
  <c r="H31" i="4016"/>
  <c r="B26" i="4016"/>
  <c r="H27" i="4016"/>
  <c r="C25" i="4016"/>
  <c r="H13" i="4016"/>
  <c r="C24" i="4016"/>
  <c r="H30" i="4016"/>
  <c r="C23" i="4016"/>
  <c r="H25" i="4016"/>
  <c r="C22" i="4016"/>
  <c r="H14" i="4016"/>
  <c r="C21" i="4016"/>
  <c r="H34" i="4016"/>
  <c r="C20" i="4016"/>
  <c r="H16" i="4016"/>
  <c r="C19" i="4016"/>
  <c r="H33" i="4016"/>
  <c r="C18" i="4016"/>
  <c r="H18" i="4016"/>
  <c r="C17" i="4016"/>
  <c r="H15" i="4016"/>
  <c r="C16" i="4016"/>
  <c r="H19" i="4016"/>
  <c r="C15" i="4016"/>
  <c r="H29" i="4016"/>
  <c r="C14" i="4016"/>
  <c r="H22" i="4016"/>
  <c r="O12" i="4016"/>
  <c r="H23" i="4016"/>
  <c r="B12" i="4016"/>
  <c r="O11" i="4016"/>
  <c r="H21" i="4016"/>
  <c r="B11" i="4016"/>
  <c r="O10" i="4016"/>
  <c r="H3" i="4016"/>
  <c r="B10" i="4016"/>
  <c r="H12" i="4016"/>
  <c r="C9" i="4016"/>
  <c r="H10" i="4016"/>
  <c r="C8" i="4016"/>
  <c r="O7" i="4016"/>
  <c r="H8" i="4016"/>
  <c r="C7" i="4016"/>
  <c r="O6" i="4016"/>
  <c r="H6" i="4016"/>
  <c r="B6" i="4016"/>
  <c r="O5" i="4016"/>
  <c r="H7" i="4016"/>
  <c r="B5" i="4016"/>
  <c r="O4" i="4016"/>
  <c r="H2" i="4016"/>
  <c r="O3" i="4016"/>
  <c r="H11" i="4016"/>
  <c r="O2" i="4016"/>
  <c r="H4" i="4016"/>
  <c r="O26" i="4015"/>
  <c r="O21" i="4015"/>
  <c r="O25" i="4015"/>
  <c r="O16" i="4015"/>
  <c r="O22" i="4015"/>
  <c r="O18" i="4015"/>
  <c r="O20" i="4015"/>
  <c r="H52" i="4015"/>
  <c r="H5" i="4015"/>
  <c r="H51" i="4015"/>
  <c r="H50" i="4015"/>
  <c r="H49" i="4015"/>
  <c r="C48" i="4015"/>
  <c r="H48" i="4015"/>
  <c r="C47" i="4015"/>
  <c r="H47" i="4015"/>
  <c r="C46" i="4015"/>
  <c r="H46" i="4015"/>
  <c r="C45" i="4015"/>
  <c r="H45" i="4015"/>
  <c r="C44" i="4015"/>
  <c r="H44" i="4015"/>
  <c r="C43" i="4015"/>
  <c r="H43" i="4015"/>
  <c r="C42" i="4015"/>
  <c r="H42" i="4015"/>
  <c r="C41" i="4015"/>
  <c r="H29" i="4015"/>
  <c r="C40" i="4015"/>
  <c r="H41" i="4015"/>
  <c r="C39" i="4015"/>
  <c r="H40" i="4015"/>
  <c r="C38" i="4015"/>
  <c r="H39" i="4015"/>
  <c r="C37" i="4015"/>
  <c r="H38" i="4015"/>
  <c r="C36" i="4015"/>
  <c r="H37" i="4015"/>
  <c r="H36" i="4015"/>
  <c r="C34" i="4015"/>
  <c r="H35" i="4015"/>
  <c r="H34" i="4015"/>
  <c r="H25" i="4015"/>
  <c r="H33" i="4015"/>
  <c r="H18" i="4015"/>
  <c r="B29" i="4015"/>
  <c r="H28" i="4015"/>
  <c r="B28" i="4015"/>
  <c r="H12" i="4015"/>
  <c r="B27" i="4015"/>
  <c r="H22" i="4015"/>
  <c r="B26" i="4015"/>
  <c r="H24" i="4015"/>
  <c r="C25" i="4015"/>
  <c r="H15" i="4015"/>
  <c r="C24" i="4015"/>
  <c r="H23" i="4015"/>
  <c r="C23" i="4015"/>
  <c r="H27" i="4015"/>
  <c r="C22" i="4015"/>
  <c r="H13" i="4015"/>
  <c r="C21" i="4015"/>
  <c r="H32" i="4015"/>
  <c r="C20" i="4015"/>
  <c r="H14" i="4015"/>
  <c r="C19" i="4015"/>
  <c r="H31" i="4015"/>
  <c r="C18" i="4015"/>
  <c r="H17" i="4015"/>
  <c r="C17" i="4015"/>
  <c r="H16" i="4015"/>
  <c r="C16" i="4015"/>
  <c r="H21" i="4015"/>
  <c r="C15" i="4015"/>
  <c r="H30" i="4015"/>
  <c r="C14" i="4015"/>
  <c r="H20" i="4015"/>
  <c r="O12" i="4015"/>
  <c r="H19" i="4015"/>
  <c r="B12" i="4015"/>
  <c r="O11" i="4015"/>
  <c r="H26" i="4015"/>
  <c r="B11" i="4015"/>
  <c r="O10" i="4015"/>
  <c r="H3" i="4015"/>
  <c r="B10" i="4015"/>
  <c r="H10" i="4015"/>
  <c r="C9" i="4015"/>
  <c r="H11" i="4015"/>
  <c r="C8" i="4015"/>
  <c r="O7" i="4015"/>
  <c r="H8" i="4015"/>
  <c r="C7" i="4015"/>
  <c r="O6" i="4015"/>
  <c r="H6" i="4015"/>
  <c r="B6" i="4015"/>
  <c r="O5" i="4015"/>
  <c r="H7" i="4015"/>
  <c r="B5" i="4015"/>
  <c r="O4" i="4015"/>
  <c r="H2" i="4015"/>
  <c r="O3" i="4015"/>
  <c r="H9" i="4015"/>
  <c r="O2" i="4015"/>
  <c r="H4" i="4015"/>
  <c r="O19" i="4014"/>
  <c r="O18" i="4014"/>
  <c r="O17" i="4014"/>
  <c r="O16" i="4014"/>
  <c r="O15" i="4014"/>
  <c r="H52" i="4014"/>
  <c r="H51" i="4014"/>
  <c r="H50" i="4014"/>
  <c r="H49" i="4014"/>
  <c r="H48" i="4014"/>
  <c r="C48" i="4014"/>
  <c r="H47" i="4014"/>
  <c r="C47" i="4014"/>
  <c r="H46" i="4014"/>
  <c r="C46" i="4014"/>
  <c r="H45" i="4014"/>
  <c r="C45" i="4014"/>
  <c r="H44" i="4014"/>
  <c r="C44" i="4014"/>
  <c r="H43" i="4014"/>
  <c r="C43" i="4014"/>
  <c r="H42" i="4014"/>
  <c r="C42" i="4014"/>
  <c r="H41" i="4014"/>
  <c r="C41" i="4014"/>
  <c r="H40" i="4014"/>
  <c r="C40" i="4014"/>
  <c r="H39" i="4014"/>
  <c r="C39" i="4014"/>
  <c r="H38" i="4014"/>
  <c r="C38" i="4014"/>
  <c r="H37" i="4014"/>
  <c r="C37" i="4014"/>
  <c r="H36" i="4014"/>
  <c r="C36" i="4014"/>
  <c r="H35" i="4014"/>
  <c r="H34" i="4014"/>
  <c r="C34" i="4014"/>
  <c r="H33" i="4014"/>
  <c r="H32" i="4014"/>
  <c r="H31" i="4014"/>
  <c r="H30" i="4014"/>
  <c r="H29" i="4014"/>
  <c r="B29" i="4014"/>
  <c r="H28" i="4014"/>
  <c r="B28" i="4014"/>
  <c r="H27" i="4014"/>
  <c r="B27" i="4014"/>
  <c r="H26" i="4014"/>
  <c r="B26" i="4014"/>
  <c r="H25" i="4014"/>
  <c r="C25" i="4014"/>
  <c r="H10" i="4014"/>
  <c r="C24" i="4014"/>
  <c r="H24" i="4014"/>
  <c r="C23" i="4014"/>
  <c r="H23" i="4014"/>
  <c r="C22" i="4014"/>
  <c r="H22" i="4014"/>
  <c r="C21" i="4014"/>
  <c r="H21" i="4014"/>
  <c r="C20" i="4014"/>
  <c r="H20" i="4014"/>
  <c r="C19" i="4014"/>
  <c r="H19" i="4014"/>
  <c r="C18" i="4014"/>
  <c r="H7" i="4014"/>
  <c r="C17" i="4014"/>
  <c r="H18" i="4014"/>
  <c r="C16" i="4014"/>
  <c r="H17" i="4014"/>
  <c r="C15" i="4014"/>
  <c r="H16" i="4014"/>
  <c r="C14" i="4014"/>
  <c r="H15" i="4014"/>
  <c r="B13" i="4014"/>
  <c r="O12" i="4014"/>
  <c r="H14" i="4014"/>
  <c r="B12" i="4014"/>
  <c r="O11" i="4014"/>
  <c r="H13" i="4014"/>
  <c r="B11" i="4014"/>
  <c r="O10" i="4014"/>
  <c r="H4" i="4014"/>
  <c r="B10" i="4014"/>
  <c r="H12" i="4014"/>
  <c r="C9" i="4014"/>
  <c r="H11" i="4014"/>
  <c r="C8" i="4014"/>
  <c r="O7" i="4014"/>
  <c r="H9" i="4014"/>
  <c r="C7" i="4014"/>
  <c r="O6" i="4014"/>
  <c r="H5" i="4014"/>
  <c r="B6" i="4014"/>
  <c r="O5" i="4014"/>
  <c r="H6" i="4014"/>
  <c r="B5" i="4014"/>
  <c r="O4" i="4014"/>
  <c r="H8" i="4014"/>
  <c r="O3" i="4014"/>
  <c r="H3" i="4014"/>
  <c r="O2" i="4014"/>
  <c r="H2" i="4014"/>
  <c r="O23" i="4013"/>
  <c r="O25" i="4013"/>
  <c r="O22" i="4013"/>
  <c r="O18" i="4013"/>
  <c r="O15" i="4013"/>
  <c r="O20" i="4013"/>
  <c r="O24" i="4013"/>
  <c r="O17" i="4013"/>
  <c r="O21" i="4013"/>
  <c r="O16" i="4013"/>
  <c r="O26" i="4013"/>
  <c r="H52" i="4013"/>
  <c r="H7" i="4013"/>
  <c r="H51" i="4013"/>
  <c r="H50" i="4013"/>
  <c r="H49" i="4013"/>
  <c r="C48" i="4013"/>
  <c r="H48" i="4013"/>
  <c r="C47" i="4013"/>
  <c r="H47" i="4013"/>
  <c r="C46" i="4013"/>
  <c r="H46" i="4013"/>
  <c r="C45" i="4013"/>
  <c r="H45" i="4013"/>
  <c r="C44" i="4013"/>
  <c r="H44" i="4013"/>
  <c r="C43" i="4013"/>
  <c r="H43" i="4013"/>
  <c r="C42" i="4013"/>
  <c r="H42" i="4013"/>
  <c r="C41" i="4013"/>
  <c r="H41" i="4013"/>
  <c r="C40" i="4013"/>
  <c r="H40" i="4013"/>
  <c r="C39" i="4013"/>
  <c r="H39" i="4013"/>
  <c r="C38" i="4013"/>
  <c r="H38" i="4013"/>
  <c r="C37" i="4013"/>
  <c r="H37" i="4013"/>
  <c r="C36" i="4013"/>
  <c r="H23" i="4013"/>
  <c r="H36" i="4013"/>
  <c r="C34" i="4013"/>
  <c r="H35" i="4013"/>
  <c r="H34" i="4013"/>
  <c r="H22" i="4013"/>
  <c r="H33" i="4013"/>
  <c r="H17" i="4013"/>
  <c r="B29" i="4013"/>
  <c r="H32" i="4013"/>
  <c r="B28" i="4013"/>
  <c r="H11" i="4013"/>
  <c r="B27" i="4013"/>
  <c r="H31" i="4013"/>
  <c r="B26" i="4013"/>
  <c r="H30" i="4013"/>
  <c r="C25" i="4013"/>
  <c r="H16" i="4013"/>
  <c r="C24" i="4013"/>
  <c r="H29" i="4013"/>
  <c r="C23" i="4013"/>
  <c r="H28" i="4013"/>
  <c r="C22" i="4013"/>
  <c r="H9" i="4013"/>
  <c r="C21" i="4013"/>
  <c r="H27" i="4013"/>
  <c r="C20" i="4013"/>
  <c r="H14" i="4013"/>
  <c r="C19" i="4013"/>
  <c r="H26" i="4013"/>
  <c r="C18" i="4013"/>
  <c r="H15" i="4013"/>
  <c r="C17" i="4013"/>
  <c r="H21" i="4013"/>
  <c r="C16" i="4013"/>
  <c r="H25" i="4013"/>
  <c r="C15" i="4013"/>
  <c r="H24" i="4013"/>
  <c r="C14" i="4013"/>
  <c r="H20" i="4013"/>
  <c r="O12" i="4013"/>
  <c r="H19" i="4013"/>
  <c r="B12" i="4013"/>
  <c r="O11" i="4013"/>
  <c r="H18" i="4013"/>
  <c r="B11" i="4013"/>
  <c r="O10" i="4013"/>
  <c r="H3" i="4013"/>
  <c r="B10" i="4013"/>
  <c r="H13" i="4013"/>
  <c r="C9" i="4013"/>
  <c r="H10" i="4013"/>
  <c r="C8" i="4013"/>
  <c r="O7" i="4013"/>
  <c r="H8" i="4013"/>
  <c r="C7" i="4013"/>
  <c r="O6" i="4013"/>
  <c r="H5" i="4013"/>
  <c r="B6" i="4013"/>
  <c r="O5" i="4013"/>
  <c r="H6" i="4013"/>
  <c r="B5" i="4013"/>
  <c r="O4" i="4013"/>
  <c r="H2" i="4013"/>
  <c r="O3" i="4013"/>
  <c r="H12" i="4013"/>
  <c r="O2" i="4013"/>
  <c r="H4" i="4013"/>
  <c r="O27" i="4012"/>
  <c r="O24" i="4012"/>
  <c r="O23" i="4012"/>
  <c r="O22" i="4012"/>
  <c r="O25" i="4012"/>
  <c r="O21" i="4012"/>
  <c r="O18" i="4012"/>
  <c r="O19" i="4012"/>
  <c r="O20" i="4012"/>
  <c r="O17" i="4012"/>
  <c r="H52" i="4012"/>
  <c r="H6" i="4012"/>
  <c r="H19" i="4012"/>
  <c r="H51" i="4012"/>
  <c r="H50" i="4012"/>
  <c r="C48" i="4012"/>
  <c r="H49" i="4012"/>
  <c r="C47" i="4012"/>
  <c r="H48" i="4012"/>
  <c r="C46" i="4012"/>
  <c r="H47" i="4012"/>
  <c r="C45" i="4012"/>
  <c r="H46" i="4012"/>
  <c r="C44" i="4012"/>
  <c r="H45" i="4012"/>
  <c r="C43" i="4012"/>
  <c r="H44" i="4012"/>
  <c r="C42" i="4012"/>
  <c r="H43" i="4012"/>
  <c r="C41" i="4012"/>
  <c r="H42" i="4012"/>
  <c r="C40" i="4012"/>
  <c r="H41" i="4012"/>
  <c r="C39" i="4012"/>
  <c r="H40" i="4012"/>
  <c r="C38" i="4012"/>
  <c r="H39" i="4012"/>
  <c r="C37" i="4012"/>
  <c r="H38" i="4012"/>
  <c r="C36" i="4012"/>
  <c r="H37" i="4012"/>
  <c r="H36" i="4012"/>
  <c r="C34" i="4012"/>
  <c r="H31" i="4012"/>
  <c r="H35" i="4012"/>
  <c r="H30" i="4012"/>
  <c r="H22" i="4012"/>
  <c r="H17" i="4012"/>
  <c r="B29" i="4012"/>
  <c r="H34" i="4012"/>
  <c r="B28" i="4012"/>
  <c r="H9" i="4012"/>
  <c r="B27" i="4012"/>
  <c r="H27" i="4012"/>
  <c r="B26" i="4012"/>
  <c r="H26" i="4012"/>
  <c r="C25" i="4012"/>
  <c r="H12" i="4012"/>
  <c r="C24" i="4012"/>
  <c r="H25" i="4012"/>
  <c r="C23" i="4012"/>
  <c r="H24" i="4012"/>
  <c r="C22" i="4012"/>
  <c r="H13" i="4012"/>
  <c r="C21" i="4012"/>
  <c r="H33" i="4012"/>
  <c r="C20" i="4012"/>
  <c r="H15" i="4012"/>
  <c r="C19" i="4012"/>
  <c r="H29" i="4012"/>
  <c r="C18" i="4012"/>
  <c r="H18" i="4012"/>
  <c r="C17" i="4012"/>
  <c r="H16" i="4012"/>
  <c r="C16" i="4012"/>
  <c r="H28" i="4012"/>
  <c r="C15" i="4012"/>
  <c r="H32" i="4012"/>
  <c r="C14" i="4012"/>
  <c r="H20" i="4012"/>
  <c r="O12" i="4012"/>
  <c r="H23" i="4012"/>
  <c r="B12" i="4012"/>
  <c r="O11" i="4012"/>
  <c r="H21" i="4012"/>
  <c r="B11" i="4012"/>
  <c r="O10" i="4012"/>
  <c r="H4" i="4012"/>
  <c r="B10" i="4012"/>
  <c r="H14" i="4012"/>
  <c r="C9" i="4012"/>
  <c r="H11" i="4012"/>
  <c r="C8" i="4012"/>
  <c r="O7" i="4012"/>
  <c r="H8" i="4012"/>
  <c r="C7" i="4012"/>
  <c r="O6" i="4012"/>
  <c r="H5" i="4012"/>
  <c r="B6" i="4012"/>
  <c r="O5" i="4012"/>
  <c r="H7" i="4012"/>
  <c r="B5" i="4012"/>
  <c r="O4" i="4012"/>
  <c r="H2" i="4012"/>
  <c r="O3" i="4012"/>
  <c r="H10" i="4012"/>
  <c r="O2" i="4012"/>
  <c r="H3" i="4012"/>
  <c r="O19" i="4011"/>
  <c r="O23" i="4011"/>
  <c r="O20" i="4011"/>
  <c r="O15" i="4011"/>
  <c r="H52" i="4011"/>
  <c r="H7" i="4011"/>
  <c r="H51" i="4011"/>
  <c r="H50" i="4011"/>
  <c r="H49" i="4011"/>
  <c r="C48" i="4011"/>
  <c r="H48" i="4011"/>
  <c r="C47" i="4011"/>
  <c r="H47" i="4011"/>
  <c r="C46" i="4011"/>
  <c r="H46" i="4011"/>
  <c r="C45" i="4011"/>
  <c r="H45" i="4011"/>
  <c r="C44" i="4011"/>
  <c r="H44" i="4011"/>
  <c r="C43" i="4011"/>
  <c r="H43" i="4011"/>
  <c r="C42" i="4011"/>
  <c r="H42" i="4011"/>
  <c r="C41" i="4011"/>
  <c r="H41" i="4011"/>
  <c r="C40" i="4011"/>
  <c r="H40" i="4011"/>
  <c r="C39" i="4011"/>
  <c r="H39" i="4011"/>
  <c r="C38" i="4011"/>
  <c r="H38" i="4011"/>
  <c r="C37" i="4011"/>
  <c r="H37" i="4011"/>
  <c r="C36" i="4011"/>
  <c r="H36" i="4011"/>
  <c r="H35" i="4011"/>
  <c r="C34" i="4011"/>
  <c r="H34" i="4011"/>
  <c r="H33" i="4011"/>
  <c r="H32" i="4011"/>
  <c r="H31" i="4011"/>
  <c r="H30" i="4011"/>
  <c r="B29" i="4011"/>
  <c r="H29" i="4011"/>
  <c r="B28" i="4011"/>
  <c r="H10" i="4011"/>
  <c r="B27" i="4011"/>
  <c r="H28" i="4011"/>
  <c r="B26" i="4011"/>
  <c r="H27" i="4011"/>
  <c r="C25" i="4011"/>
  <c r="H17" i="4011"/>
  <c r="C24" i="4011"/>
  <c r="H16" i="4011"/>
  <c r="C23" i="4011"/>
  <c r="H26" i="4011"/>
  <c r="C22" i="4011"/>
  <c r="H13" i="4011"/>
  <c r="C21" i="4011"/>
  <c r="H25" i="4011"/>
  <c r="C20" i="4011"/>
  <c r="H24" i="4011"/>
  <c r="C19" i="4011"/>
  <c r="H23" i="4011"/>
  <c r="C18" i="4011"/>
  <c r="H15" i="4011"/>
  <c r="C17" i="4011"/>
  <c r="H22" i="4011"/>
  <c r="C16" i="4011"/>
  <c r="H18" i="4011"/>
  <c r="C15" i="4011"/>
  <c r="H21" i="4011"/>
  <c r="C14" i="4011"/>
  <c r="H14" i="4011"/>
  <c r="O12" i="4011"/>
  <c r="H20" i="4011"/>
  <c r="B12" i="4011"/>
  <c r="O11" i="4011"/>
  <c r="H19" i="4011"/>
  <c r="B11" i="4011"/>
  <c r="O10" i="4011"/>
  <c r="H4" i="4011"/>
  <c r="B10" i="4011"/>
  <c r="H12" i="4011"/>
  <c r="C9" i="4011"/>
  <c r="H11" i="4011"/>
  <c r="C8" i="4011"/>
  <c r="O7" i="4011"/>
  <c r="H9" i="4011"/>
  <c r="C7" i="4011"/>
  <c r="O6" i="4011"/>
  <c r="H6" i="4011"/>
  <c r="B6" i="4011"/>
  <c r="O5" i="4011"/>
  <c r="H5" i="4011"/>
  <c r="B5" i="4011"/>
  <c r="O4" i="4011"/>
  <c r="H2" i="4011"/>
  <c r="O3" i="4011"/>
  <c r="H8" i="4011"/>
  <c r="O2" i="4011"/>
  <c r="H3" i="4011"/>
  <c r="O17" i="4010"/>
  <c r="O16" i="4010"/>
  <c r="O15" i="4010"/>
  <c r="H52" i="4010"/>
  <c r="H51" i="4010"/>
  <c r="H50" i="4010"/>
  <c r="H49" i="4010"/>
  <c r="H48" i="4010"/>
  <c r="C48" i="4010"/>
  <c r="H47" i="4010"/>
  <c r="C47" i="4010"/>
  <c r="H46" i="4010"/>
  <c r="C46" i="4010"/>
  <c r="H45" i="4010"/>
  <c r="C45" i="4010"/>
  <c r="H44" i="4010"/>
  <c r="C44" i="4010"/>
  <c r="H43" i="4010"/>
  <c r="C43" i="4010"/>
  <c r="H42" i="4010"/>
  <c r="C42" i="4010"/>
  <c r="H41" i="4010"/>
  <c r="C41" i="4010"/>
  <c r="H40" i="4010"/>
  <c r="C40" i="4010"/>
  <c r="H39" i="4010"/>
  <c r="C39" i="4010"/>
  <c r="H38" i="4010"/>
  <c r="C38" i="4010"/>
  <c r="H37" i="4010"/>
  <c r="C37" i="4010"/>
  <c r="H36" i="4010"/>
  <c r="C36" i="4010"/>
  <c r="H35" i="4010"/>
  <c r="H34" i="4010"/>
  <c r="C34" i="4010"/>
  <c r="H33" i="4010"/>
  <c r="H32" i="4010"/>
  <c r="H31" i="4010"/>
  <c r="H30" i="4010"/>
  <c r="H29" i="4010"/>
  <c r="B29" i="4010"/>
  <c r="H28" i="4010"/>
  <c r="B28" i="4010"/>
  <c r="H27" i="4010"/>
  <c r="B27" i="4010"/>
  <c r="H26" i="4010"/>
  <c r="B26" i="4010"/>
  <c r="H25" i="4010"/>
  <c r="C25" i="4010"/>
  <c r="H24" i="4010"/>
  <c r="C24" i="4010"/>
  <c r="H23" i="4010"/>
  <c r="C23" i="4010"/>
  <c r="H22" i="4010"/>
  <c r="C22" i="4010"/>
  <c r="H21" i="4010"/>
  <c r="C21" i="4010"/>
  <c r="H20" i="4010"/>
  <c r="C20" i="4010"/>
  <c r="H19" i="4010"/>
  <c r="C19" i="4010"/>
  <c r="H18" i="4010"/>
  <c r="C18" i="4010"/>
  <c r="H17" i="4010"/>
  <c r="C17" i="4010"/>
  <c r="H16" i="4010"/>
  <c r="C16" i="4010"/>
  <c r="H15" i="4010"/>
  <c r="C15" i="4010"/>
  <c r="H14" i="4010"/>
  <c r="C14" i="4010"/>
  <c r="H13" i="4010"/>
  <c r="O12" i="4010"/>
  <c r="H12" i="4010"/>
  <c r="B12" i="4010"/>
  <c r="O11" i="4010"/>
  <c r="H11" i="4010"/>
  <c r="B11" i="4010"/>
  <c r="O10" i="4010"/>
  <c r="H10" i="4010"/>
  <c r="B10" i="4010"/>
  <c r="B13" i="4010" s="1"/>
  <c r="H9" i="4010"/>
  <c r="C9" i="4010"/>
  <c r="H8" i="4010"/>
  <c r="C8" i="4010"/>
  <c r="O7" i="4010"/>
  <c r="H7" i="4010"/>
  <c r="C7" i="4010"/>
  <c r="O6" i="4010"/>
  <c r="H6" i="4010"/>
  <c r="B6" i="4010"/>
  <c r="O5" i="4010"/>
  <c r="H5" i="4010"/>
  <c r="B5" i="4010"/>
  <c r="O4" i="4010"/>
  <c r="H4" i="4010"/>
  <c r="O3" i="4010"/>
  <c r="H3" i="4010"/>
  <c r="O2" i="4010"/>
  <c r="H2" i="4010"/>
  <c r="O28" i="4009"/>
  <c r="O27" i="4009"/>
  <c r="O19" i="4009"/>
  <c r="O29" i="4009"/>
  <c r="O26" i="4009"/>
  <c r="O30" i="4009"/>
  <c r="O23" i="4009"/>
  <c r="O22" i="4009"/>
  <c r="O25" i="4009"/>
  <c r="O16" i="4009"/>
  <c r="O15" i="4009"/>
  <c r="H52" i="4009"/>
  <c r="H6" i="4009"/>
  <c r="H16" i="4009"/>
  <c r="H51" i="4009"/>
  <c r="H50" i="4009"/>
  <c r="C48" i="4009"/>
  <c r="H49" i="4009"/>
  <c r="C47" i="4009"/>
  <c r="H48" i="4009"/>
  <c r="C46" i="4009"/>
  <c r="H47" i="4009"/>
  <c r="C45" i="4009"/>
  <c r="H32" i="4009"/>
  <c r="C44" i="4009"/>
  <c r="H46" i="4009"/>
  <c r="C43" i="4009"/>
  <c r="H45" i="4009"/>
  <c r="C42" i="4009"/>
  <c r="H44" i="4009"/>
  <c r="C41" i="4009"/>
  <c r="H43" i="4009"/>
  <c r="C40" i="4009"/>
  <c r="H42" i="4009"/>
  <c r="C39" i="4009"/>
  <c r="H41" i="4009"/>
  <c r="C38" i="4009"/>
  <c r="H40" i="4009"/>
  <c r="C37" i="4009"/>
  <c r="H39" i="4009"/>
  <c r="C36" i="4009"/>
  <c r="H38" i="4009"/>
  <c r="H37" i="4009"/>
  <c r="C34" i="4009"/>
  <c r="H30" i="4009"/>
  <c r="H36" i="4009"/>
  <c r="H29" i="4009"/>
  <c r="H20" i="4009"/>
  <c r="H18" i="4009"/>
  <c r="B29" i="4009"/>
  <c r="H28" i="4009"/>
  <c r="B28" i="4009"/>
  <c r="H8" i="4009"/>
  <c r="B27" i="4009"/>
  <c r="H31" i="4009"/>
  <c r="B26" i="4009"/>
  <c r="H27" i="4009"/>
  <c r="C25" i="4009"/>
  <c r="H12" i="4009"/>
  <c r="C24" i="4009"/>
  <c r="H22" i="4009"/>
  <c r="C23" i="4009"/>
  <c r="H26" i="4009"/>
  <c r="C22" i="4009"/>
  <c r="H14" i="4009"/>
  <c r="C21" i="4009"/>
  <c r="H35" i="4009"/>
  <c r="C20" i="4009"/>
  <c r="H17" i="4009"/>
  <c r="C19" i="4009"/>
  <c r="H34" i="4009"/>
  <c r="C18" i="4009"/>
  <c r="H19" i="4009"/>
  <c r="C17" i="4009"/>
  <c r="H15" i="4009"/>
  <c r="C16" i="4009"/>
  <c r="H21" i="4009"/>
  <c r="C15" i="4009"/>
  <c r="H33" i="4009"/>
  <c r="C14" i="4009"/>
  <c r="H23" i="4009"/>
  <c r="O12" i="4009"/>
  <c r="H25" i="4009"/>
  <c r="B12" i="4009"/>
  <c r="O11" i="4009"/>
  <c r="H24" i="4009"/>
  <c r="B11" i="4009"/>
  <c r="O10" i="4009"/>
  <c r="H3" i="4009"/>
  <c r="B10" i="4009"/>
  <c r="H13" i="4009"/>
  <c r="C9" i="4009"/>
  <c r="H11" i="4009"/>
  <c r="C8" i="4009"/>
  <c r="O7" i="4009"/>
  <c r="H9" i="4009"/>
  <c r="C7" i="4009"/>
  <c r="O6" i="4009"/>
  <c r="H5" i="4009"/>
  <c r="B6" i="4009"/>
  <c r="O5" i="4009"/>
  <c r="H7" i="4009"/>
  <c r="B5" i="4009"/>
  <c r="O4" i="4009"/>
  <c r="H2" i="4009"/>
  <c r="O3" i="4009"/>
  <c r="H10" i="4009"/>
  <c r="O2" i="4009"/>
  <c r="H4" i="4009"/>
  <c r="O33" i="4008"/>
  <c r="O32" i="4008"/>
  <c r="O29" i="4008"/>
  <c r="O26" i="4008"/>
  <c r="O31" i="4008"/>
  <c r="O30" i="4008"/>
  <c r="O24" i="4008"/>
  <c r="O23" i="4008"/>
  <c r="O25" i="4008"/>
  <c r="O27" i="4008"/>
  <c r="O22" i="4008"/>
  <c r="O17" i="4008"/>
  <c r="O15" i="4008"/>
  <c r="H52" i="4008"/>
  <c r="H5" i="4008"/>
  <c r="H19" i="4008"/>
  <c r="H51" i="4008"/>
  <c r="H50" i="4008"/>
  <c r="C48" i="4008"/>
  <c r="H49" i="4008"/>
  <c r="C47" i="4008"/>
  <c r="H48" i="4008"/>
  <c r="C46" i="4008"/>
  <c r="H47" i="4008"/>
  <c r="C45" i="4008"/>
  <c r="H32" i="4008"/>
  <c r="C44" i="4008"/>
  <c r="H46" i="4008"/>
  <c r="C43" i="4008"/>
  <c r="H45" i="4008"/>
  <c r="C42" i="4008"/>
  <c r="H44" i="4008"/>
  <c r="C41" i="4008"/>
  <c r="H37" i="4008"/>
  <c r="C40" i="4008"/>
  <c r="H34" i="4008"/>
  <c r="C39" i="4008"/>
  <c r="H43" i="4008"/>
  <c r="C38" i="4008"/>
  <c r="H42" i="4008"/>
  <c r="C37" i="4008"/>
  <c r="H41" i="4008"/>
  <c r="C36" i="4008"/>
  <c r="H33" i="4008"/>
  <c r="H40" i="4008"/>
  <c r="C34" i="4008"/>
  <c r="H31" i="4008"/>
  <c r="H39" i="4008"/>
  <c r="H27" i="4008"/>
  <c r="H21" i="4008"/>
  <c r="H17" i="4008"/>
  <c r="B29" i="4008"/>
  <c r="H30" i="4008"/>
  <c r="B28" i="4008"/>
  <c r="H9" i="4008"/>
  <c r="B27" i="4008"/>
  <c r="H29" i="4008"/>
  <c r="B26" i="4008"/>
  <c r="H28" i="4008"/>
  <c r="C25" i="4008"/>
  <c r="H13" i="4008"/>
  <c r="C24" i="4008"/>
  <c r="H24" i="4008"/>
  <c r="C23" i="4008"/>
  <c r="H26" i="4008"/>
  <c r="C22" i="4008"/>
  <c r="H14" i="4008"/>
  <c r="C21" i="4008"/>
  <c r="H38" i="4008"/>
  <c r="C20" i="4008"/>
  <c r="H16" i="4008"/>
  <c r="C19" i="4008"/>
  <c r="H36" i="4008"/>
  <c r="C18" i="4008"/>
  <c r="H18" i="4008"/>
  <c r="C17" i="4008"/>
  <c r="H15" i="4008"/>
  <c r="C16" i="4008"/>
  <c r="H22" i="4008"/>
  <c r="C15" i="4008"/>
  <c r="H35" i="4008"/>
  <c r="C14" i="4008"/>
  <c r="H20" i="4008"/>
  <c r="O12" i="4008"/>
  <c r="H25" i="4008"/>
  <c r="B12" i="4008"/>
  <c r="O11" i="4008"/>
  <c r="H23" i="4008"/>
  <c r="B11" i="4008"/>
  <c r="O10" i="4008"/>
  <c r="H3" i="4008"/>
  <c r="B10" i="4008"/>
  <c r="H12" i="4008"/>
  <c r="C9" i="4008"/>
  <c r="H11" i="4008"/>
  <c r="C8" i="4008"/>
  <c r="O7" i="4008"/>
  <c r="H8" i="4008"/>
  <c r="C7" i="4008"/>
  <c r="O6" i="4008"/>
  <c r="H6" i="4008"/>
  <c r="B6" i="4008"/>
  <c r="O5" i="4008"/>
  <c r="H7" i="4008"/>
  <c r="B5" i="4008"/>
  <c r="O4" i="4008"/>
  <c r="H2" i="4008"/>
  <c r="O3" i="4008"/>
  <c r="H10" i="4008"/>
  <c r="O2" i="4008"/>
  <c r="H4" i="4008"/>
  <c r="B13" i="4012" l="1"/>
  <c r="B13" i="4011"/>
  <c r="B13" i="4013"/>
  <c r="B13" i="4016"/>
  <c r="B13" i="4017"/>
  <c r="B13" i="4019"/>
  <c r="B13" i="4020"/>
  <c r="B13" i="4015"/>
  <c r="B13" i="4018"/>
  <c r="B13" i="4009"/>
  <c r="B13" i="4008"/>
  <c r="B13" i="4021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<sst xmlns="http://schemas.openxmlformats.org/spreadsheetml/2006/main" count="4780" uniqueCount="209">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</sst>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全体!$K$2:$K$3491</c:f>
              <c:numCache>
                <c:formatCode>General</c:formatCode>
                <c:ptCount val="34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</c:numCache>
            </c:numRef>
          </c:xVal>
          <c:yVal>
            <c:numRef>
              <c:f>全体!$L$2:$L$3491</c:f>
              <c:numCache>
                <c:formatCode>\+0.0;\-0.0;\±0</c:formatCode>
                <c:ptCount val="349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2-489C-B304-A54048C81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-20.237062734894479</c:v>
                </c:pt>
                <c:pt idx="1">
                  <c:v>-0.8857395925597874</c:v>
                </c:pt>
                <c:pt idx="2">
                  <c:v>4.3983663210807418</c:v>
                </c:pt>
                <c:pt idx="3">
                  <c:v>4.0983606557377046</c:v>
                </c:pt>
                <c:pt idx="4">
                  <c:v>-4.907512268780672</c:v>
                </c:pt>
                <c:pt idx="5">
                  <c:v>24.841915085817526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1-42AE-96BD-3A5361FB8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555</c:v>
                </c:pt>
                <c:pt idx="1">
                  <c:v>1238</c:v>
                </c:pt>
                <c:pt idx="2">
                  <c:v>1500</c:v>
                </c:pt>
                <c:pt idx="3">
                  <c:v>1478</c:v>
                </c:pt>
                <c:pt idx="4">
                  <c:v>1232</c:v>
                </c:pt>
                <c:pt idx="5">
                  <c:v>814</c:v>
                </c:pt>
                <c:pt idx="6">
                  <c:v>475</c:v>
                </c:pt>
                <c:pt idx="7">
                  <c:v>259</c:v>
                </c:pt>
                <c:pt idx="8">
                  <c:v>150</c:v>
                </c:pt>
                <c:pt idx="9">
                  <c:v>73</c:v>
                </c:pt>
                <c:pt idx="10">
                  <c:v>40</c:v>
                </c:pt>
                <c:pt idx="11">
                  <c:v>20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420-BE84-B2A29CFE3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だいち!$K$2:$K$813</c:f>
              <c:numCache>
                <c:formatCode>General</c:formatCode>
                <c:ptCount val="8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</c:numCache>
            </c:numRef>
          </c:xVal>
          <c:yVal>
            <c:numRef>
              <c:f>だいち!$L$2:$L$813</c:f>
              <c:numCache>
                <c:formatCode>\+0.0;\-0.0;\±0</c:formatCode>
                <c:ptCount val="81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3-4086-AC02-4850F34B6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1305.4726368159204</c:v>
                </c:pt>
                <c:pt idx="1">
                  <c:v>1485.4961832061069</c:v>
                </c:pt>
                <c:pt idx="2">
                  <c:v>1367.7807486631016</c:v>
                </c:pt>
                <c:pt idx="3">
                  <c:v>1471.2408759124087</c:v>
                </c:pt>
                <c:pt idx="4">
                  <c:v>1053.8709677419354</c:v>
                </c:pt>
                <c:pt idx="5">
                  <c:v>1570.3703703703704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F-4033-975F-277603B54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137</c:v>
                </c:pt>
                <c:pt idx="1">
                  <c:v>293</c:v>
                </c:pt>
                <c:pt idx="2">
                  <c:v>390</c:v>
                </c:pt>
                <c:pt idx="3">
                  <c:v>394</c:v>
                </c:pt>
                <c:pt idx="4">
                  <c:v>305</c:v>
                </c:pt>
                <c:pt idx="5">
                  <c:v>215</c:v>
                </c:pt>
                <c:pt idx="6">
                  <c:v>134</c:v>
                </c:pt>
                <c:pt idx="7">
                  <c:v>64</c:v>
                </c:pt>
                <c:pt idx="8">
                  <c:v>41</c:v>
                </c:pt>
                <c:pt idx="9">
                  <c:v>19</c:v>
                </c:pt>
                <c:pt idx="10">
                  <c:v>10</c:v>
                </c:pt>
                <c:pt idx="11">
                  <c:v>4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3-4472-BCD3-539F4A1B1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B-47B8-B896-346B1CD21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D-4FC3-824E-4746F2EE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D-40F3-95FC-3641DBADB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E-42A3-9B1F-12EDC81A1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D6-4A55-952B-4A4062E9D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A-4BDE-AA81-48A6619AC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りくと!$K$2:$K$470</c:f>
              <c:numCache>
                <c:formatCode>General</c:formatCode>
                <c:ptCount val="4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</c:numCache>
            </c:numRef>
          </c:xVal>
          <c:yVal>
            <c:numRef>
              <c:f>りくと!$L$2:$L$470</c:f>
              <c:numCache>
                <c:formatCode>\+0.0;\-0.0;\±0</c:formatCode>
                <c:ptCount val="4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D4-4686-B971-F0D34A524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-643.75</c:v>
                </c:pt>
                <c:pt idx="1">
                  <c:v>-838.98678414096912</c:v>
                </c:pt>
                <c:pt idx="2">
                  <c:v>135.26682134570765</c:v>
                </c:pt>
                <c:pt idx="3">
                  <c:v>-754.68354430379748</c:v>
                </c:pt>
                <c:pt idx="4">
                  <c:v>-720.90395480225993</c:v>
                </c:pt>
                <c:pt idx="5">
                  <c:v>-1239.9339933993399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E-4C18-BABB-B7902406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59</c:v>
                </c:pt>
                <c:pt idx="1">
                  <c:v>130</c:v>
                </c:pt>
                <c:pt idx="2">
                  <c:v>193</c:v>
                </c:pt>
                <c:pt idx="3">
                  <c:v>172</c:v>
                </c:pt>
                <c:pt idx="4">
                  <c:v>155</c:v>
                </c:pt>
                <c:pt idx="5">
                  <c:v>113</c:v>
                </c:pt>
                <c:pt idx="6">
                  <c:v>67</c:v>
                </c:pt>
                <c:pt idx="7">
                  <c:v>33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5-4968-A37C-C5E1219B2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35-4FAC-A485-03040FD12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5-424C-94F4-C2DDB0DA1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3-4073-B93B-8F4D2804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17-4C6C-991A-120F40BC3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6-41FE-9481-9BFF1213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2-4152-BDFF-0ED857CA8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たかの!$K$2:$K$333</c:f>
              <c:numCache>
                <c:formatCode>General</c:formatCode>
                <c:ptCount val="3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</c:numCache>
            </c:numRef>
          </c:xVal>
          <c:yVal>
            <c:numRef>
              <c:f>たかの!$L$2:$L$333</c:f>
              <c:numCache>
                <c:formatCode>\+0.0;\-0.0;\±0</c:formatCode>
                <c:ptCount val="332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F-4879-B553-A024F88D6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218.42900302114805</c:v>
                </c:pt>
                <c:pt idx="1">
                  <c:v>-1801.2383900928792</c:v>
                </c:pt>
                <c:pt idx="2">
                  <c:v>-1100</c:v>
                </c:pt>
                <c:pt idx="3">
                  <c:v>-63.120567375886523</c:v>
                </c:pt>
                <c:pt idx="4">
                  <c:v>-445.73643410852713</c:v>
                </c:pt>
                <c:pt idx="5">
                  <c:v>-967.59259259259261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5-46C9-9AEA-C9E8519B0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84</c:v>
                </c:pt>
                <c:pt idx="1">
                  <c:v>172</c:v>
                </c:pt>
                <c:pt idx="2">
                  <c:v>157</c:v>
                </c:pt>
                <c:pt idx="3">
                  <c:v>148</c:v>
                </c:pt>
                <c:pt idx="4">
                  <c:v>113</c:v>
                </c:pt>
                <c:pt idx="5">
                  <c:v>53</c:v>
                </c:pt>
                <c:pt idx="6">
                  <c:v>30</c:v>
                </c:pt>
                <c:pt idx="7">
                  <c:v>18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9-4967-B3C0-4D2A48168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ただ!$K$2:$K$548</c:f>
              <c:numCache>
                <c:formatCode>General</c:formatCode>
                <c:ptCount val="5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</c:numCache>
            </c:numRef>
          </c:xVal>
          <c:yVal>
            <c:numRef>
              <c:f>ただ!$L$2:$L$548</c:f>
              <c:numCache>
                <c:formatCode>\+0.0;\-0.0;\±0</c:formatCode>
                <c:ptCount val="54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C9-4284-924A-59D2AD027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-541.37291280148418</c:v>
                </c:pt>
                <c:pt idx="1">
                  <c:v>-212.92775665399239</c:v>
                </c:pt>
                <c:pt idx="2">
                  <c:v>190.1010101010101</c:v>
                </c:pt>
                <c:pt idx="3">
                  <c:v>-905.85683297180049</c:v>
                </c:pt>
                <c:pt idx="4">
                  <c:v>-342.44604316546764</c:v>
                </c:pt>
                <c:pt idx="5">
                  <c:v>3.943661971830986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D-4EC9-BEC3-CEADF459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89</c:v>
                </c:pt>
                <c:pt idx="1">
                  <c:v>232</c:v>
                </c:pt>
                <c:pt idx="2">
                  <c:v>271</c:v>
                </c:pt>
                <c:pt idx="3">
                  <c:v>249</c:v>
                </c:pt>
                <c:pt idx="4">
                  <c:v>180</c:v>
                </c:pt>
                <c:pt idx="5">
                  <c:v>116</c:v>
                </c:pt>
                <c:pt idx="6">
                  <c:v>56</c:v>
                </c:pt>
                <c:pt idx="7">
                  <c:v>40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7-4029-AC80-D4E05800D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0B-470E-8BCE-7C54652CA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C-47A3-90FF-9632C142B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6-4875-BF66-D43D29F3F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れんたろう!$K$2:$K$483</c:f>
              <c:numCache>
                <c:formatCode>General</c:formatCode>
                <c:ptCount val="4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</c:numCache>
            </c:numRef>
          </c:xVal>
          <c:yVal>
            <c:numRef>
              <c:f>れんたろう!$L$2:$L$483</c:f>
              <c:numCache>
                <c:formatCode>\+0.0;\-0.0;\±0</c:formatCode>
                <c:ptCount val="48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E-45B7-AC35-E52832434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389.0063424947146</c:v>
                </c:pt>
                <c:pt idx="1">
                  <c:v>-591.84549356223181</c:v>
                </c:pt>
                <c:pt idx="2">
                  <c:v>330</c:v>
                </c:pt>
                <c:pt idx="3">
                  <c:v>672.12276214833764</c:v>
                </c:pt>
                <c:pt idx="4">
                  <c:v>-541.11111111111109</c:v>
                </c:pt>
                <c:pt idx="5">
                  <c:v>763.35616438356169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0-48EA-AA76-06167FF29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35</c:v>
                </c:pt>
                <c:pt idx="1">
                  <c:v>109</c:v>
                </c:pt>
                <c:pt idx="2">
                  <c:v>158</c:v>
                </c:pt>
                <c:pt idx="3">
                  <c:v>219</c:v>
                </c:pt>
                <c:pt idx="4">
                  <c:v>205</c:v>
                </c:pt>
                <c:pt idx="5">
                  <c:v>136</c:v>
                </c:pt>
                <c:pt idx="6">
                  <c:v>85</c:v>
                </c:pt>
                <c:pt idx="7">
                  <c:v>54</c:v>
                </c:pt>
                <c:pt idx="8">
                  <c:v>36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7-4380-A51D-428852829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C6A-A46A-F75FB4215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FA-4F09-9FF1-E63849608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8-4628-9E7A-1D5EA820F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まっつん!$L$2:$L$399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F2-4940-98E2-77254C46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-221.96969696969697</c:v>
                </c:pt>
                <c:pt idx="1">
                  <c:v>600</c:v>
                </c:pt>
                <c:pt idx="2">
                  <c:v>-589.34426229508199</c:v>
                </c:pt>
                <c:pt idx="3">
                  <c:v>1.7647058823529411</c:v>
                </c:pt>
                <c:pt idx="4">
                  <c:v>-943.18181818181813</c:v>
                </c:pt>
                <c:pt idx="5">
                  <c:v>-514.84375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1B-4F3B-8EC3-59428B91A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63</c:v>
                </c:pt>
                <c:pt idx="1">
                  <c:v>143</c:v>
                </c:pt>
                <c:pt idx="2">
                  <c:v>168</c:v>
                </c:pt>
                <c:pt idx="3">
                  <c:v>153</c:v>
                </c:pt>
                <c:pt idx="4">
                  <c:v>128</c:v>
                </c:pt>
                <c:pt idx="5">
                  <c:v>86</c:v>
                </c:pt>
                <c:pt idx="6">
                  <c:v>52</c:v>
                </c:pt>
                <c:pt idx="7">
                  <c:v>23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E-44C0-8F39-499C6562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C-421B-82E4-75AA83E52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B-459F-94F1-839349B2A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2-4C58-A359-AEE7852B1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92-4199-8BD8-37AFF97D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D-448C-BDD9-BE2754C8A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2-4968-8323-898E42D0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F-43D7-B4FD-2CC16B36F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9-4921-8BE1-296427A6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7-4618-B969-5DFA56241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のり!$L$2:$L$100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F-45D6-A414-3A23301D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-2959.1836734693879</c:v>
                </c:pt>
                <c:pt idx="1">
                  <c:v>89.69072164948453</c:v>
                </c:pt>
                <c:pt idx="2">
                  <c:v>-1415.3846153846155</c:v>
                </c:pt>
                <c:pt idx="3">
                  <c:v>-1553.0864197530864</c:v>
                </c:pt>
                <c:pt idx="4">
                  <c:v>-1076</c:v>
                </c:pt>
                <c:pt idx="5">
                  <c:v>-2091.5254237288136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9-4F7F-BCB9-AA64DA600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35</c:v>
                </c:pt>
                <c:pt idx="2">
                  <c:v>42</c:v>
                </c:pt>
                <c:pt idx="3">
                  <c:v>36</c:v>
                </c:pt>
                <c:pt idx="4">
                  <c:v>27</c:v>
                </c:pt>
                <c:pt idx="5">
                  <c:v>17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9-4330-A48F-58D0D5934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B-4732-A51E-C45EB042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1D-4D4A-B76C-28F91B50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6-4BD8-A34D-EF496004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9-4FA7-AE8A-2FF72C06B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2-4732-A7C1-E2A177E4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E-419E-85C9-ED7550F9E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2-47EE-BE0A-F305EDA9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C-445C-BB5C-0DBEA6D54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7-455E-AAC7-4873D9EEC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6D-47CE-899A-5C6C5CE0A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1-4D6B-992D-61532B2E6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1-4F9C-8A93-81F28734D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6-4B04-9F4D-FA097E802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-4460</c:v>
                </c:pt>
                <c:pt idx="1">
                  <c:v>-1620</c:v>
                </c:pt>
                <c:pt idx="2">
                  <c:v>2620</c:v>
                </c:pt>
                <c:pt idx="3">
                  <c:v>-3880</c:v>
                </c:pt>
                <c:pt idx="4">
                  <c:v>-7200</c:v>
                </c:pt>
                <c:pt idx="5">
                  <c:v>4460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3-4C19-A4D0-173B097A2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E-457C-9D97-BE189F64D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9F2758-7447-4F45-B7BF-86937862B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407B2F-B581-4B71-9F74-9FD60628A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1256A0-D29D-4422-A517-5814A118E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8ADD5F-2BFD-4763-8337-DB74853C0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991C18-4A6A-4F8D-BC70-DE2D9B2BB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2598B6-EBB3-4D49-85E1-19936B7E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F547C2-AEA3-46E7-ACB2-0EEE31AEE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2EF19E-E4C4-40BC-A559-C0FD068FC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E8891A-70C3-42AC-8A5C-DF2D45BFA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A45A53-5548-45B9-ABC2-FC5C6E6A1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A8FF84-0FF2-47B5-898B-153A6BB69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891A6B-787C-403D-A9B8-8D2EF2F29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7C1647-1FB1-4B00-B62F-10B6E5D22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12DE39-D595-4C32-92E1-729D70485B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312CAE-0907-486D-BFC8-43CD8B3BD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FBEF3E-C872-427F-AF0F-99ED7306B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8F041B-1525-4817-97CD-4A6494554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928914-E378-4442-9E97-1ABC5E779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6A3923-8251-4874-B446-9A1B90660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E8A754-4BD3-4A44-B81D-C5FE02D9D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330781-9556-47B8-8389-AFB947AEC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F04BE5-7B28-4E10-84A3-D489ECE8F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5B2992-D94D-4787-BBCD-02D65803C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9DAABF-7192-4633-9BF1-C3ED6B711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B16FA4-0BF8-492E-BCAA-F5604370C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5F0C94-E392-4432-8D7D-BF13E1B4D4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0F4221-46A4-4295-884C-B7081FC7D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95D284-851E-4CFF-8D29-9434D10EB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5BCA3B-8DB0-4559-8DDC-07D2E50C4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1E9572-04A2-4C74-ADEC-B7E5F97BB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B47B99-ABD4-493A-B8FB-3B20C3D21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D80338-66B4-4D0C-A475-BA50B0448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DB5A99-C588-4AFC-A32E-19428B9D9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787DA7-996B-477D-BF13-F40DAEE9C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281D5A-CF1E-4B1A-8D77-3567439D0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1332ED-62D0-4FD8-899A-28C2E846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2EA0BA-8844-49A4-99D6-C78DC2177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3A1BC6-BA2A-4B3A-82BD-98B84147D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23CED3-5638-4697-8D12-11C4A2C56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301A1C-A9BB-4D88-B97A-4412B1F46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F1F73F-F337-46B7-BDA5-14E269030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652322-B9BF-4FEE-AD3D-9561C00B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83F21B-BC43-4EE7-8050-C277B96CD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DEE27A-524E-43E6-8EDF-A8D9EDF31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04EACF-0561-4F5C-A360-C325216B7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DCBE3B-A05D-4603-8113-1E2B86F4C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728ABB-969B-45EC-A83D-A2EE6BF52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8D1829-ECA4-4CE4-AC39-D7C948BD68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5E2276-7114-49F9-BDA5-E6943284B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99867A-DF40-42A6-95BE-45BA6168D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18B07A-CAF3-4A98-BA29-B1550BF25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B7BFB4-C8BF-4766-8884-711AE8598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B49201-016B-4CC4-95BF-13741D2F8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128066-A5CF-428B-9ED5-41CBAF39C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FDB8F5-8DD4-4164-9614-C8658BC8E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35EA2B-403F-4DE8-8173-4A1BB71CB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F68A2E-027F-4D4B-B583-67ED4BECE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DA5A69-37E3-4181-BBF7-96E1342600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E57FE-21D2-4D45-96C5-E2EB548024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43877A-AD8F-4C06-A505-DB077C019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EA2166-0ACB-4FAA-BF80-3305DD0C49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B3759B-9510-4E7B-B4B1-FB48AE16C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1F7EDB-2DED-473E-8170-D29D1AB08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115C81-EEFC-4C75-98B4-BC54CCA9B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780BF8-371D-4D22-84DA-584776198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7D8C3C-A1A6-4AD5-BA05-AAB1A6EA7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9"/>
      <c r="C1" s="13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3">
        <v>0</v>
      </c>
      <c r="C3" s="13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35">
        <v>0</v>
      </c>
      <c r="C4" s="13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45">
        <f>IF(B$2=0,0,(B$7*1+B$8*2+B$9*3)/B$2)</f>
        <v>0</v>
      </c>
      <c r="C6" s="14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43">
        <v>0</v>
      </c>
      <c r="C32" s="14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41">
        <v>-1000000</v>
      </c>
      <c r="C33" s="14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  <row r="21" spans="1:1" x14ac:dyDescent="0.45">
      <c r="A21" t="s">
        <v>207</v>
      </c>
    </row>
    <row r="22" spans="1:1" x14ac:dyDescent="0.45">
      <c r="A22" t="s">
        <v>208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4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206</v>
      </c>
      <c r="I1" s="152"/>
      <c r="J1" s="149" t="s">
        <v>15</v>
      </c>
      <c r="K1" s="150"/>
      <c r="L1" s="149" t="s">
        <v>14</v>
      </c>
      <c r="M1" s="150"/>
      <c r="N1" s="149" t="s">
        <v>147</v>
      </c>
      <c r="O1" s="150"/>
      <c r="P1" s="149" t="s">
        <v>137</v>
      </c>
      <c r="Q1" s="150"/>
      <c r="R1" s="149" t="s">
        <v>138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139</v>
      </c>
      <c r="AG1" s="150"/>
      <c r="AH1" s="149" t="s">
        <v>136</v>
      </c>
      <c r="AI1" s="150"/>
      <c r="AJ1" s="149" t="s">
        <v>177</v>
      </c>
      <c r="AK1" s="150"/>
    </row>
    <row r="2" spans="1:37" x14ac:dyDescent="0.45">
      <c r="A2" s="46" t="s">
        <v>146</v>
      </c>
      <c r="B2" s="147">
        <v>0.50551557019265658</v>
      </c>
      <c r="C2" s="148"/>
      <c r="D2" s="153"/>
      <c r="E2" s="154"/>
      <c r="F2" s="153"/>
      <c r="G2" s="154"/>
      <c r="H2" s="147">
        <v>0.23844481897181499</v>
      </c>
      <c r="I2" s="148"/>
      <c r="J2" s="147">
        <v>0.77091664438095964</v>
      </c>
      <c r="K2" s="148"/>
      <c r="L2" s="147">
        <v>0.60135509221134753</v>
      </c>
      <c r="M2" s="148"/>
      <c r="N2" s="147">
        <v>0.60512794952883353</v>
      </c>
      <c r="O2" s="148"/>
      <c r="P2" s="147">
        <v>0.56276839292213443</v>
      </c>
      <c r="Q2" s="148"/>
      <c r="R2" s="147">
        <v>0.36557710253894654</v>
      </c>
      <c r="S2" s="148"/>
      <c r="T2" s="147">
        <v>0.2516369091706821</v>
      </c>
      <c r="U2" s="148"/>
      <c r="V2" s="147">
        <v>-5.0148118998863365E-2</v>
      </c>
      <c r="W2" s="148"/>
      <c r="X2" s="147">
        <v>0.37072331460760571</v>
      </c>
      <c r="Y2" s="148"/>
      <c r="Z2" s="147">
        <v>0.2213175435830064</v>
      </c>
      <c r="AA2" s="148"/>
      <c r="AB2" s="147">
        <v>-2.6651118738223751E-2</v>
      </c>
      <c r="AC2" s="148"/>
      <c r="AD2" s="147">
        <v>0.35927497006109693</v>
      </c>
      <c r="AE2" s="148"/>
      <c r="AF2" s="147">
        <v>0.31129069035348195</v>
      </c>
      <c r="AG2" s="148"/>
      <c r="AH2" s="147">
        <v>-0.29550221573140451</v>
      </c>
      <c r="AI2" s="148"/>
      <c r="AJ2" s="147">
        <v>0.57365990453050464</v>
      </c>
      <c r="AK2" s="148"/>
    </row>
    <row r="3" spans="1:37" x14ac:dyDescent="0.45">
      <c r="A3" s="48">
        <v>1</v>
      </c>
      <c r="B3" s="51" t="s">
        <v>183</v>
      </c>
      <c r="C3" s="122">
        <v>1163</v>
      </c>
      <c r="D3" s="49" t="s">
        <v>195</v>
      </c>
      <c r="E3" s="50">
        <v>7397.9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208</v>
      </c>
      <c r="W3" s="55">
        <v>-4936.363636363636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0.6428571428571429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811</v>
      </c>
      <c r="D4" s="57" t="s">
        <v>191</v>
      </c>
      <c r="E4" s="58">
        <v>572.8000000000003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1.7681874229346486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0.33925262507720816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187</v>
      </c>
      <c r="W4" s="63">
        <v>-7477.5377969762421</v>
      </c>
      <c r="X4" s="59" t="s">
        <v>208</v>
      </c>
      <c r="Y4" s="61">
        <v>0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208</v>
      </c>
      <c r="AI4" s="62">
        <v>0.7142857142857143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546</v>
      </c>
      <c r="D5" s="57" t="s">
        <v>196</v>
      </c>
      <c r="E5" s="58">
        <v>109</v>
      </c>
      <c r="F5" s="59" t="s">
        <v>195</v>
      </c>
      <c r="G5" s="71">
        <v>9.1219482120838471</v>
      </c>
      <c r="H5" s="59" t="s">
        <v>191</v>
      </c>
      <c r="I5" s="71">
        <v>1.7394116022413588</v>
      </c>
      <c r="J5" s="59" t="s">
        <v>199</v>
      </c>
      <c r="K5" s="60">
        <v>1.9285714285714286</v>
      </c>
      <c r="L5" s="59" t="s">
        <v>195</v>
      </c>
      <c r="M5" s="61">
        <v>0.46115906288532676</v>
      </c>
      <c r="N5" s="59" t="s">
        <v>195</v>
      </c>
      <c r="O5" s="61">
        <v>0.22934648581997533</v>
      </c>
      <c r="P5" s="59" t="s">
        <v>202</v>
      </c>
      <c r="Q5" s="62">
        <v>0.33333333333333331</v>
      </c>
      <c r="R5" s="59" t="s">
        <v>195</v>
      </c>
      <c r="S5" s="62">
        <v>0.13866584311303273</v>
      </c>
      <c r="T5" s="59" t="s">
        <v>191</v>
      </c>
      <c r="U5" s="63">
        <v>10530.109489051094</v>
      </c>
      <c r="V5" s="59" t="s">
        <v>201</v>
      </c>
      <c r="W5" s="63">
        <v>-7987.5</v>
      </c>
      <c r="X5" s="59" t="s">
        <v>195</v>
      </c>
      <c r="Y5" s="61">
        <v>7.52157829839704E-2</v>
      </c>
      <c r="Z5" s="59" t="s">
        <v>201</v>
      </c>
      <c r="AA5" s="62">
        <v>0.375</v>
      </c>
      <c r="AB5" s="59" t="s">
        <v>188</v>
      </c>
      <c r="AC5" s="62">
        <v>0.28776142525174281</v>
      </c>
      <c r="AD5" s="59" t="s">
        <v>196</v>
      </c>
      <c r="AE5" s="62">
        <v>0.61538461538461542</v>
      </c>
      <c r="AF5" s="59" t="s">
        <v>195</v>
      </c>
      <c r="AG5" s="62">
        <v>0.48613251155624038</v>
      </c>
      <c r="AH5" s="59" t="s">
        <v>186</v>
      </c>
      <c r="AI5" s="62">
        <v>0.52788104089219334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191</v>
      </c>
      <c r="C6" s="123">
        <v>481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0.14290123456790124</v>
      </c>
      <c r="T6" s="59" t="s">
        <v>208</v>
      </c>
      <c r="U6" s="63">
        <v>9742.8571428571431</v>
      </c>
      <c r="V6" s="59" t="s">
        <v>197</v>
      </c>
      <c r="W6" s="63">
        <v>-8110.416666666667</v>
      </c>
      <c r="X6" s="59" t="s">
        <v>187</v>
      </c>
      <c r="Y6" s="61">
        <v>0.11083123425692695</v>
      </c>
      <c r="Z6" s="59" t="s">
        <v>189</v>
      </c>
      <c r="AA6" s="62">
        <v>0.3359073359073359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189</v>
      </c>
      <c r="AI6" s="62">
        <v>0.52631578947368418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190</v>
      </c>
      <c r="C7" s="123">
        <v>468</v>
      </c>
      <c r="D7" s="57" t="s">
        <v>200</v>
      </c>
      <c r="E7" s="58">
        <v>13.3</v>
      </c>
      <c r="F7" s="59" t="s">
        <v>191</v>
      </c>
      <c r="G7" s="71">
        <v>1.1908523908523914</v>
      </c>
      <c r="H7" s="59" t="s">
        <v>187</v>
      </c>
      <c r="I7" s="71">
        <v>0.85851781635878888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207</v>
      </c>
      <c r="S7" s="62">
        <v>0.14634146341463414</v>
      </c>
      <c r="T7" s="59" t="s">
        <v>202</v>
      </c>
      <c r="U7" s="63">
        <v>9534.6153846153848</v>
      </c>
      <c r="V7" s="59" t="s">
        <v>186</v>
      </c>
      <c r="W7" s="63">
        <v>-8135.5329949238576</v>
      </c>
      <c r="X7" s="59" t="s">
        <v>196</v>
      </c>
      <c r="Y7" s="61">
        <v>0.1111111111111111</v>
      </c>
      <c r="Z7" s="59" t="s">
        <v>191</v>
      </c>
      <c r="AA7" s="62">
        <v>0.29698073919833418</v>
      </c>
      <c r="AB7" s="59" t="s">
        <v>193</v>
      </c>
      <c r="AC7" s="62">
        <v>0.24616813748258246</v>
      </c>
      <c r="AD7" s="59" t="s">
        <v>195</v>
      </c>
      <c r="AE7" s="62">
        <v>0.60352941176470587</v>
      </c>
      <c r="AF7" s="59" t="s">
        <v>183</v>
      </c>
      <c r="AG7" s="62">
        <v>0.40822518118995449</v>
      </c>
      <c r="AH7" s="59" t="s">
        <v>199</v>
      </c>
      <c r="AI7" s="62">
        <v>0.51249999999999996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397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195</v>
      </c>
      <c r="I8" s="71">
        <v>0.68940512269057075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198</v>
      </c>
      <c r="Q8" s="62">
        <v>0.3125</v>
      </c>
      <c r="R8" s="59" t="s">
        <v>198</v>
      </c>
      <c r="S8" s="62">
        <v>0.15625</v>
      </c>
      <c r="T8" s="59" t="s">
        <v>194</v>
      </c>
      <c r="U8" s="63">
        <v>9344.0909090909099</v>
      </c>
      <c r="V8" s="59" t="s">
        <v>190</v>
      </c>
      <c r="W8" s="63">
        <v>-8239.4244604316555</v>
      </c>
      <c r="X8" s="59" t="s">
        <v>188</v>
      </c>
      <c r="Y8" s="61">
        <v>0.11480362537764351</v>
      </c>
      <c r="Z8" s="59" t="s">
        <v>195</v>
      </c>
      <c r="AA8" s="62">
        <v>0.28239202657807311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0.40646029609690443</v>
      </c>
      <c r="AH8" s="59" t="s">
        <v>200</v>
      </c>
      <c r="AI8" s="62">
        <v>0.5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331</v>
      </c>
      <c r="D9" s="57" t="s">
        <v>183</v>
      </c>
      <c r="E9" s="58">
        <v>1.5987211554602254E-14</v>
      </c>
      <c r="F9" s="59" t="s">
        <v>183</v>
      </c>
      <c r="G9" s="71">
        <v>4.5821758539989267E-18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191</v>
      </c>
      <c r="M9" s="61">
        <v>0.33679833679833682</v>
      </c>
      <c r="N9" s="59" t="s">
        <v>187</v>
      </c>
      <c r="O9" s="61">
        <v>0.34256926952141059</v>
      </c>
      <c r="P9" s="59" t="s">
        <v>188</v>
      </c>
      <c r="Q9" s="62">
        <v>0.30340333091962346</v>
      </c>
      <c r="R9" s="59" t="s">
        <v>188</v>
      </c>
      <c r="S9" s="62">
        <v>0.15966690803765388</v>
      </c>
      <c r="T9" s="59" t="s">
        <v>195</v>
      </c>
      <c r="U9" s="63">
        <v>9210.9695038689115</v>
      </c>
      <c r="V9" s="59" t="s">
        <v>184</v>
      </c>
      <c r="W9" s="63">
        <v>-8240</v>
      </c>
      <c r="X9" s="59" t="s">
        <v>193</v>
      </c>
      <c r="Y9" s="61">
        <v>0.11538461538461539</v>
      </c>
      <c r="Z9" s="59" t="s">
        <v>190</v>
      </c>
      <c r="AA9" s="62">
        <v>0.2805775764439411</v>
      </c>
      <c r="AB9" s="59" t="s">
        <v>187</v>
      </c>
      <c r="AC9" s="62">
        <v>0.22870370370370371</v>
      </c>
      <c r="AD9" s="59" t="s">
        <v>190</v>
      </c>
      <c r="AE9" s="62">
        <v>0.56912209889001009</v>
      </c>
      <c r="AF9" s="59" t="s">
        <v>199</v>
      </c>
      <c r="AG9" s="62">
        <v>0.39285714285714285</v>
      </c>
      <c r="AH9" s="59" t="s">
        <v>192</v>
      </c>
      <c r="AI9" s="62">
        <v>0.48314606741573035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2.0146520146520146</v>
      </c>
      <c r="L10" s="59" t="s">
        <v>183</v>
      </c>
      <c r="M10" s="61">
        <v>0.33333333333333331</v>
      </c>
      <c r="N10" s="59" t="s">
        <v>193</v>
      </c>
      <c r="O10" s="61">
        <v>0.34615384615384615</v>
      </c>
      <c r="P10" s="59" t="s">
        <v>193</v>
      </c>
      <c r="Q10" s="62">
        <v>0.30009025270758122</v>
      </c>
      <c r="R10" s="59" t="s">
        <v>183</v>
      </c>
      <c r="S10" s="62">
        <v>0.16336196232283604</v>
      </c>
      <c r="T10" s="59" t="s">
        <v>190</v>
      </c>
      <c r="U10" s="63">
        <v>9102.1484375</v>
      </c>
      <c r="V10" s="59" t="s">
        <v>183</v>
      </c>
      <c r="W10" s="63">
        <v>-8319.3855473820859</v>
      </c>
      <c r="X10" s="59" t="s">
        <v>183</v>
      </c>
      <c r="Y10" s="61">
        <v>0.11865864144453998</v>
      </c>
      <c r="Z10" s="59" t="s">
        <v>192</v>
      </c>
      <c r="AA10" s="62">
        <v>0.27777777777777779</v>
      </c>
      <c r="AB10" s="59" t="s">
        <v>197</v>
      </c>
      <c r="AC10" s="62">
        <v>0.22648514851485149</v>
      </c>
      <c r="AD10" s="59" t="s">
        <v>186</v>
      </c>
      <c r="AE10" s="62">
        <v>0.5662650602409639</v>
      </c>
      <c r="AF10" s="59" t="s">
        <v>191</v>
      </c>
      <c r="AG10" s="62">
        <v>0.38797814207650272</v>
      </c>
      <c r="AH10" s="59" t="s">
        <v>197</v>
      </c>
      <c r="AI10" s="62">
        <v>0.46700507614213199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98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190</v>
      </c>
      <c r="I11" s="71">
        <v>-2.6644458130171245E-2</v>
      </c>
      <c r="J11" s="59" t="s">
        <v>191</v>
      </c>
      <c r="K11" s="60">
        <v>2.0166320166320166</v>
      </c>
      <c r="L11" s="59" t="s">
        <v>193</v>
      </c>
      <c r="M11" s="61">
        <v>0.33150183150183149</v>
      </c>
      <c r="N11" s="59" t="s">
        <v>191</v>
      </c>
      <c r="O11" s="61">
        <v>0.35343035343035345</v>
      </c>
      <c r="P11" s="59" t="s">
        <v>183</v>
      </c>
      <c r="Q11" s="62">
        <v>0.29597426925387904</v>
      </c>
      <c r="R11" s="59" t="s">
        <v>192</v>
      </c>
      <c r="S11" s="62">
        <v>0.16772151898734178</v>
      </c>
      <c r="T11" s="59" t="s">
        <v>183</v>
      </c>
      <c r="U11" s="63">
        <v>8918.0917124432763</v>
      </c>
      <c r="V11" s="59" t="s">
        <v>195</v>
      </c>
      <c r="W11" s="63">
        <v>-8323.2739420935413</v>
      </c>
      <c r="X11" s="59" t="s">
        <v>190</v>
      </c>
      <c r="Y11" s="61">
        <v>0.13675213675213677</v>
      </c>
      <c r="Z11" s="59" t="s">
        <v>207</v>
      </c>
      <c r="AA11" s="62">
        <v>0.26829268292682928</v>
      </c>
      <c r="AB11" s="59" t="s">
        <v>183</v>
      </c>
      <c r="AC11" s="62">
        <v>0.22074636306135356</v>
      </c>
      <c r="AD11" s="59" t="s">
        <v>183</v>
      </c>
      <c r="AE11" s="62">
        <v>0.56620482788173121</v>
      </c>
      <c r="AF11" s="59" t="s">
        <v>202</v>
      </c>
      <c r="AG11" s="62">
        <v>0.38461538461538464</v>
      </c>
      <c r="AH11" s="59" t="s">
        <v>202</v>
      </c>
      <c r="AI11" s="62">
        <v>0.46153846153846156</v>
      </c>
      <c r="AJ11" s="59" t="s">
        <v>187</v>
      </c>
      <c r="AK11" s="66">
        <v>107400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-1.4413098236775816</v>
      </c>
      <c r="H12" s="59" t="s">
        <v>188</v>
      </c>
      <c r="I12" s="71">
        <v>-0.15362414421205037</v>
      </c>
      <c r="J12" s="59" t="s">
        <v>192</v>
      </c>
      <c r="K12" s="60">
        <v>2.0256410256410255</v>
      </c>
      <c r="L12" s="59" t="s">
        <v>187</v>
      </c>
      <c r="M12" s="61">
        <v>0.28463476070528965</v>
      </c>
      <c r="N12" s="59" t="s">
        <v>188</v>
      </c>
      <c r="O12" s="61">
        <v>0.36858006042296071</v>
      </c>
      <c r="P12" s="59" t="s">
        <v>189</v>
      </c>
      <c r="Q12" s="62">
        <v>0.2878787878787879</v>
      </c>
      <c r="R12" s="59" t="s">
        <v>193</v>
      </c>
      <c r="S12" s="62">
        <v>0.16967509025270758</v>
      </c>
      <c r="T12" s="59" t="s">
        <v>196</v>
      </c>
      <c r="U12" s="63">
        <v>8891.6666666666661</v>
      </c>
      <c r="V12" s="59" t="s">
        <v>189</v>
      </c>
      <c r="W12" s="63">
        <v>-8379.5918367346931</v>
      </c>
      <c r="X12" s="59" t="s">
        <v>191</v>
      </c>
      <c r="Y12" s="61">
        <v>0.13721413721413722</v>
      </c>
      <c r="Z12" s="59" t="s">
        <v>183</v>
      </c>
      <c r="AA12" s="62">
        <v>0.26048294080440526</v>
      </c>
      <c r="AB12" s="59" t="s">
        <v>195</v>
      </c>
      <c r="AC12" s="62">
        <v>0.21561461794019934</v>
      </c>
      <c r="AD12" s="59" t="s">
        <v>187</v>
      </c>
      <c r="AE12" s="62">
        <v>0.56025641025641026</v>
      </c>
      <c r="AF12" s="59" t="s">
        <v>187</v>
      </c>
      <c r="AG12" s="62">
        <v>0.38326585695006748</v>
      </c>
      <c r="AH12" s="59" t="s">
        <v>190</v>
      </c>
      <c r="AI12" s="62">
        <v>0.4599609375</v>
      </c>
      <c r="AJ12" s="59" t="s">
        <v>188</v>
      </c>
      <c r="AK12" s="66">
        <v>106500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208</v>
      </c>
      <c r="E13" s="58">
        <v>-70.399999999999991</v>
      </c>
      <c r="F13" s="59" t="s">
        <v>193</v>
      </c>
      <c r="G13" s="71">
        <v>-2.1490842490842499</v>
      </c>
      <c r="H13" s="59" t="s">
        <v>194</v>
      </c>
      <c r="I13" s="71">
        <v>-0.4518996415770597</v>
      </c>
      <c r="J13" s="59" t="s">
        <v>187</v>
      </c>
      <c r="K13" s="60">
        <v>2.0579345088161207</v>
      </c>
      <c r="L13" s="59" t="s">
        <v>189</v>
      </c>
      <c r="M13" s="61">
        <v>0.27272727272727271</v>
      </c>
      <c r="N13" s="59" t="s">
        <v>190</v>
      </c>
      <c r="O13" s="61">
        <v>0.38247863247863245</v>
      </c>
      <c r="P13" s="59" t="s">
        <v>191</v>
      </c>
      <c r="Q13" s="62">
        <v>0.28254704820830112</v>
      </c>
      <c r="R13" s="59" t="s">
        <v>199</v>
      </c>
      <c r="S13" s="62">
        <v>0.16996047430830039</v>
      </c>
      <c r="T13" s="59" t="s">
        <v>187</v>
      </c>
      <c r="U13" s="63">
        <v>8566.3962920046342</v>
      </c>
      <c r="V13" s="59" t="s">
        <v>196</v>
      </c>
      <c r="W13" s="63">
        <v>-8400</v>
      </c>
      <c r="X13" s="59" t="s">
        <v>189</v>
      </c>
      <c r="Y13" s="61">
        <v>0.15151515151515152</v>
      </c>
      <c r="Z13" s="59" t="s">
        <v>185</v>
      </c>
      <c r="AA13" s="62">
        <v>0.25806451612903225</v>
      </c>
      <c r="AB13" s="59" t="s">
        <v>191</v>
      </c>
      <c r="AC13" s="62">
        <v>0.19052576782925559</v>
      </c>
      <c r="AD13" s="59" t="s">
        <v>191</v>
      </c>
      <c r="AE13" s="62">
        <v>0.55302366345311127</v>
      </c>
      <c r="AF13" s="59" t="s">
        <v>197</v>
      </c>
      <c r="AG13" s="62">
        <v>0.38251366120218577</v>
      </c>
      <c r="AH13" s="59" t="s">
        <v>191</v>
      </c>
      <c r="AI13" s="62">
        <v>0.45620437956204379</v>
      </c>
      <c r="AJ13" s="59" t="s">
        <v>199</v>
      </c>
      <c r="AK13" s="66">
        <v>106300</v>
      </c>
    </row>
    <row r="14" spans="1:37" x14ac:dyDescent="0.45">
      <c r="A14" s="56">
        <v>12</v>
      </c>
      <c r="B14" s="59" t="s">
        <v>189</v>
      </c>
      <c r="C14" s="123">
        <v>33</v>
      </c>
      <c r="D14" s="57" t="s">
        <v>201</v>
      </c>
      <c r="E14" s="58">
        <v>-80.800000000000011</v>
      </c>
      <c r="F14" s="59" t="s">
        <v>188</v>
      </c>
      <c r="G14" s="71">
        <v>-3.994259818731118</v>
      </c>
      <c r="H14" s="59" t="s">
        <v>197</v>
      </c>
      <c r="I14" s="71">
        <v>-1.2142857142857177</v>
      </c>
      <c r="J14" s="59" t="s">
        <v>188</v>
      </c>
      <c r="K14" s="60">
        <v>2.1057401812688821</v>
      </c>
      <c r="L14" s="59" t="s">
        <v>186</v>
      </c>
      <c r="M14" s="61">
        <v>0.2711864406779661</v>
      </c>
      <c r="N14" s="59" t="s">
        <v>192</v>
      </c>
      <c r="O14" s="61">
        <v>0.38461538461538464</v>
      </c>
      <c r="P14" s="59" t="s">
        <v>192</v>
      </c>
      <c r="Q14" s="62">
        <v>0.28164556962025317</v>
      </c>
      <c r="R14" s="59" t="s">
        <v>194</v>
      </c>
      <c r="S14" s="62">
        <v>0.17164179104477612</v>
      </c>
      <c r="T14" s="59" t="s">
        <v>201</v>
      </c>
      <c r="U14" s="63">
        <v>8512.5</v>
      </c>
      <c r="V14" s="59" t="s">
        <v>188</v>
      </c>
      <c r="W14" s="63">
        <v>-8445.5782312925166</v>
      </c>
      <c r="X14" s="59" t="s">
        <v>197</v>
      </c>
      <c r="Y14" s="61">
        <v>0.15306122448979592</v>
      </c>
      <c r="Z14" s="59" t="s">
        <v>199</v>
      </c>
      <c r="AA14" s="62">
        <v>0.24901185770750989</v>
      </c>
      <c r="AB14" s="59" t="s">
        <v>186</v>
      </c>
      <c r="AC14" s="62">
        <v>0.19038272816486751</v>
      </c>
      <c r="AD14" s="59" t="s">
        <v>197</v>
      </c>
      <c r="AE14" s="62">
        <v>0.54705882352941182</v>
      </c>
      <c r="AF14" s="59" t="s">
        <v>190</v>
      </c>
      <c r="AG14" s="62">
        <v>0.38147566718995291</v>
      </c>
      <c r="AH14" s="59" t="s">
        <v>187</v>
      </c>
      <c r="AI14" s="62">
        <v>0.44264194669756662</v>
      </c>
      <c r="AJ14" s="59" t="s">
        <v>197</v>
      </c>
      <c r="AK14" s="66">
        <v>89000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185</v>
      </c>
      <c r="E15" s="58">
        <v>-86.4</v>
      </c>
      <c r="F15" s="59" t="s">
        <v>190</v>
      </c>
      <c r="G15" s="71">
        <v>-4.4564102564102566</v>
      </c>
      <c r="H15" s="59" t="s">
        <v>193</v>
      </c>
      <c r="I15" s="71">
        <v>-1.6016659901213284</v>
      </c>
      <c r="J15" s="59" t="s">
        <v>190</v>
      </c>
      <c r="K15" s="60">
        <v>2.1217948717948718</v>
      </c>
      <c r="L15" s="59" t="s">
        <v>188</v>
      </c>
      <c r="M15" s="61">
        <v>0.26283987915407853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197</v>
      </c>
      <c r="S15" s="62">
        <v>0.17821782178217821</v>
      </c>
      <c r="T15" s="59" t="s">
        <v>193</v>
      </c>
      <c r="U15" s="63">
        <v>8433.0075187969924</v>
      </c>
      <c r="V15" s="59" t="s">
        <v>193</v>
      </c>
      <c r="W15" s="63">
        <v>-8451.728723404256</v>
      </c>
      <c r="X15" s="59" t="s">
        <v>194</v>
      </c>
      <c r="Y15" s="61">
        <v>0.15384615384615385</v>
      </c>
      <c r="Z15" s="59" t="s">
        <v>186</v>
      </c>
      <c r="AA15" s="62">
        <v>0.24435721295387636</v>
      </c>
      <c r="AB15" s="59" t="s">
        <v>190</v>
      </c>
      <c r="AC15" s="62">
        <v>0.1803510758776897</v>
      </c>
      <c r="AD15" s="59" t="s">
        <v>193</v>
      </c>
      <c r="AE15" s="62">
        <v>0.54379210779595766</v>
      </c>
      <c r="AF15" s="59" t="s">
        <v>193</v>
      </c>
      <c r="AG15" s="62">
        <v>0.38113207547169814</v>
      </c>
      <c r="AH15" s="59" t="s">
        <v>183</v>
      </c>
      <c r="AI15" s="62">
        <v>0.44064962980654404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207</v>
      </c>
      <c r="E16" s="58">
        <v>-113.70000000000002</v>
      </c>
      <c r="F16" s="59" t="s">
        <v>189</v>
      </c>
      <c r="G16" s="71">
        <v>-7.7848484848484842</v>
      </c>
      <c r="H16" s="59" t="s">
        <v>186</v>
      </c>
      <c r="I16" s="71">
        <v>-2.7244212962962941</v>
      </c>
      <c r="J16" s="59" t="s">
        <v>189</v>
      </c>
      <c r="K16" s="60">
        <v>2.1515151515151514</v>
      </c>
      <c r="L16" s="59" t="s">
        <v>190</v>
      </c>
      <c r="M16" s="61">
        <v>0.2606837606837607</v>
      </c>
      <c r="N16" s="59" t="s">
        <v>201</v>
      </c>
      <c r="O16" s="61">
        <v>0.4</v>
      </c>
      <c r="P16" s="59" t="s">
        <v>190</v>
      </c>
      <c r="Q16" s="62">
        <v>0.26997099920906936</v>
      </c>
      <c r="R16" s="59" t="s">
        <v>191</v>
      </c>
      <c r="S16" s="62">
        <v>0.17994328435163701</v>
      </c>
      <c r="T16" s="59" t="s">
        <v>197</v>
      </c>
      <c r="U16" s="63">
        <v>8207.1065989847721</v>
      </c>
      <c r="V16" s="59" t="s">
        <v>191</v>
      </c>
      <c r="W16" s="63">
        <v>-8523.0659025787972</v>
      </c>
      <c r="X16" s="59" t="s">
        <v>192</v>
      </c>
      <c r="Y16" s="61">
        <v>0.15384615384615385</v>
      </c>
      <c r="Z16" s="59" t="s">
        <v>193</v>
      </c>
      <c r="AA16" s="62">
        <v>0.24129122155132374</v>
      </c>
      <c r="AB16" s="59" t="s">
        <v>202</v>
      </c>
      <c r="AC16" s="62">
        <v>0.16666666666666666</v>
      </c>
      <c r="AD16" s="59" t="s">
        <v>192</v>
      </c>
      <c r="AE16" s="62">
        <v>0.53846153846153844</v>
      </c>
      <c r="AF16" s="59" t="s">
        <v>186</v>
      </c>
      <c r="AG16" s="62">
        <v>0.33505154639175255</v>
      </c>
      <c r="AH16" s="59" t="s">
        <v>194</v>
      </c>
      <c r="AI16" s="62">
        <v>0.43636363636363634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184</v>
      </c>
      <c r="E17" s="58">
        <v>-132.1</v>
      </c>
      <c r="F17" s="59" t="s">
        <v>186</v>
      </c>
      <c r="G17" s="71">
        <v>-8.6033898305084744</v>
      </c>
      <c r="H17" s="59" t="s">
        <v>189</v>
      </c>
      <c r="I17" s="71">
        <v>-2.7308994708994683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207</v>
      </c>
      <c r="O17" s="61">
        <v>0.4</v>
      </c>
      <c r="P17" s="59" t="s">
        <v>187</v>
      </c>
      <c r="Q17" s="62">
        <v>0.266358024691358</v>
      </c>
      <c r="R17" s="59" t="s">
        <v>190</v>
      </c>
      <c r="S17" s="62">
        <v>0.1832322699709992</v>
      </c>
      <c r="T17" s="59" t="s">
        <v>199</v>
      </c>
      <c r="U17" s="63">
        <v>7901.25</v>
      </c>
      <c r="V17" s="59" t="s">
        <v>199</v>
      </c>
      <c r="W17" s="63">
        <v>-8765.1162790697672</v>
      </c>
      <c r="X17" s="59" t="s">
        <v>186</v>
      </c>
      <c r="Y17" s="61">
        <v>0.17796610169491525</v>
      </c>
      <c r="Z17" s="59" t="s">
        <v>187</v>
      </c>
      <c r="AA17" s="62">
        <v>0.24074074074074073</v>
      </c>
      <c r="AB17" s="59" t="s">
        <v>185</v>
      </c>
      <c r="AC17" s="62">
        <v>0.16129032258064516</v>
      </c>
      <c r="AD17" s="59" t="s">
        <v>188</v>
      </c>
      <c r="AE17" s="62">
        <v>0.5326732673267327</v>
      </c>
      <c r="AF17" s="59" t="s">
        <v>201</v>
      </c>
      <c r="AG17" s="62">
        <v>0.33333333333333331</v>
      </c>
      <c r="AH17" s="59" t="s">
        <v>188</v>
      </c>
      <c r="AI17" s="62">
        <v>0.43078758949880669</v>
      </c>
      <c r="AJ17" s="59" t="s">
        <v>189</v>
      </c>
      <c r="AK17" s="66">
        <v>66700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189</v>
      </c>
      <c r="E18" s="58">
        <v>-256.89999999999998</v>
      </c>
      <c r="F18" s="59" t="s">
        <v>197</v>
      </c>
      <c r="G18" s="71">
        <v>-12.273469387755103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0.42372881355932202</v>
      </c>
      <c r="P18" s="59" t="s">
        <v>186</v>
      </c>
      <c r="Q18" s="62">
        <v>0.26398429833169773</v>
      </c>
      <c r="R18" s="59" t="s">
        <v>189</v>
      </c>
      <c r="S18" s="62">
        <v>0.18560606060606061</v>
      </c>
      <c r="T18" s="59" t="s">
        <v>186</v>
      </c>
      <c r="U18" s="63">
        <v>7805.2044609665427</v>
      </c>
      <c r="V18" s="59" t="s">
        <v>207</v>
      </c>
      <c r="W18" s="63">
        <v>-8866.6666666666661</v>
      </c>
      <c r="X18" s="59" t="s">
        <v>202</v>
      </c>
      <c r="Y18" s="61">
        <v>0.2</v>
      </c>
      <c r="Z18" s="59" t="s">
        <v>194</v>
      </c>
      <c r="AA18" s="62">
        <v>0.23379629629629631</v>
      </c>
      <c r="AB18" s="59" t="s">
        <v>201</v>
      </c>
      <c r="AC18" s="62">
        <v>0.15</v>
      </c>
      <c r="AD18" s="59" t="s">
        <v>208</v>
      </c>
      <c r="AE18" s="62">
        <v>0.5</v>
      </c>
      <c r="AF18" s="59" t="s">
        <v>192</v>
      </c>
      <c r="AG18" s="62">
        <v>0.32142857142857145</v>
      </c>
      <c r="AH18" s="59" t="s">
        <v>207</v>
      </c>
      <c r="AI18" s="62">
        <v>0.42857142857142855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187</v>
      </c>
      <c r="E19" s="58">
        <v>-572.19999999999993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189</v>
      </c>
      <c r="O19" s="61">
        <v>0.42424242424242425</v>
      </c>
      <c r="P19" s="59" t="s">
        <v>197</v>
      </c>
      <c r="Q19" s="62">
        <v>0.24381188118811881</v>
      </c>
      <c r="R19" s="59" t="s">
        <v>186</v>
      </c>
      <c r="S19" s="62">
        <v>0.19332679097154074</v>
      </c>
      <c r="T19" s="59" t="s">
        <v>184</v>
      </c>
      <c r="U19" s="63">
        <v>7800</v>
      </c>
      <c r="V19" s="59" t="s">
        <v>192</v>
      </c>
      <c r="W19" s="63">
        <v>-9054.7169811320746</v>
      </c>
      <c r="X19" s="59" t="s">
        <v>201</v>
      </c>
      <c r="Y19" s="61">
        <v>0.2</v>
      </c>
      <c r="Z19" s="59" t="s">
        <v>200</v>
      </c>
      <c r="AA19" s="62">
        <v>0.23076923076923078</v>
      </c>
      <c r="AB19" s="59" t="s">
        <v>196</v>
      </c>
      <c r="AC19" s="62">
        <v>0.14492753623188406</v>
      </c>
      <c r="AD19" s="59" t="s">
        <v>189</v>
      </c>
      <c r="AE19" s="62">
        <v>0.4942528735632184</v>
      </c>
      <c r="AF19" s="59" t="s">
        <v>198</v>
      </c>
      <c r="AG19" s="62">
        <v>0.25</v>
      </c>
      <c r="AH19" s="59" t="s">
        <v>193</v>
      </c>
      <c r="AI19" s="62">
        <v>0.42406015037593986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207</v>
      </c>
      <c r="C20" s="123">
        <v>5</v>
      </c>
      <c r="D20" s="57" t="s">
        <v>186</v>
      </c>
      <c r="E20" s="58">
        <v>-1015.2</v>
      </c>
      <c r="F20" s="59" t="s">
        <v>208</v>
      </c>
      <c r="G20" s="71">
        <v>-14.079999999999998</v>
      </c>
      <c r="H20" s="59" t="s">
        <v>208</v>
      </c>
      <c r="I20" s="71">
        <v>-5.977777777777777</v>
      </c>
      <c r="J20" s="59" t="s">
        <v>198</v>
      </c>
      <c r="K20" s="60">
        <v>2.25</v>
      </c>
      <c r="L20" s="59" t="s">
        <v>208</v>
      </c>
      <c r="M20" s="61">
        <v>0.2</v>
      </c>
      <c r="N20" s="59" t="s">
        <v>197</v>
      </c>
      <c r="O20" s="61">
        <v>0.42857142857142855</v>
      </c>
      <c r="P20" s="59" t="s">
        <v>201</v>
      </c>
      <c r="Q20" s="62">
        <v>0.2</v>
      </c>
      <c r="R20" s="59" t="s">
        <v>201</v>
      </c>
      <c r="S20" s="62">
        <v>0.2</v>
      </c>
      <c r="T20" s="59" t="s">
        <v>189</v>
      </c>
      <c r="U20" s="63">
        <v>7605.2631578947367</v>
      </c>
      <c r="V20" s="59" t="s">
        <v>194</v>
      </c>
      <c r="W20" s="63">
        <v>-9212.173913043478</v>
      </c>
      <c r="X20" s="59" t="s">
        <v>207</v>
      </c>
      <c r="Y20" s="61">
        <v>0.2</v>
      </c>
      <c r="Z20" s="59" t="s">
        <v>198</v>
      </c>
      <c r="AA20" s="62">
        <v>0.21875</v>
      </c>
      <c r="AB20" s="59" t="s">
        <v>207</v>
      </c>
      <c r="AC20" s="62">
        <v>0.12195121951219512</v>
      </c>
      <c r="AD20" s="59" t="s">
        <v>207</v>
      </c>
      <c r="AE20" s="62">
        <v>0.45454545454545453</v>
      </c>
      <c r="AF20" s="59" t="s">
        <v>185</v>
      </c>
      <c r="AG20" s="62">
        <v>0.2</v>
      </c>
      <c r="AH20" s="59" t="s">
        <v>195</v>
      </c>
      <c r="AI20" s="62">
        <v>0.41920801092398724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208</v>
      </c>
      <c r="C21" s="123">
        <v>5</v>
      </c>
      <c r="D21" s="57" t="s">
        <v>193</v>
      </c>
      <c r="E21" s="58">
        <v>-1173.4000000000005</v>
      </c>
      <c r="F21" s="59" t="s">
        <v>201</v>
      </c>
      <c r="G21" s="71">
        <v>-16.160000000000004</v>
      </c>
      <c r="H21" s="59" t="s">
        <v>201</v>
      </c>
      <c r="I21" s="71">
        <v>-8.9666666666666668</v>
      </c>
      <c r="J21" s="59" t="s">
        <v>197</v>
      </c>
      <c r="K21" s="60">
        <v>2.2857142857142856</v>
      </c>
      <c r="L21" s="59" t="s">
        <v>197</v>
      </c>
      <c r="M21" s="61">
        <v>0.14285714285714285</v>
      </c>
      <c r="N21" s="59" t="s">
        <v>202</v>
      </c>
      <c r="O21" s="61">
        <v>0.5</v>
      </c>
      <c r="P21" s="59" t="s">
        <v>207</v>
      </c>
      <c r="Q21" s="62">
        <v>0.17073170731707318</v>
      </c>
      <c r="R21" s="59" t="s">
        <v>185</v>
      </c>
      <c r="S21" s="62">
        <v>0.21621621621621623</v>
      </c>
      <c r="T21" s="59" t="s">
        <v>188</v>
      </c>
      <c r="U21" s="63">
        <v>7382.3389021479716</v>
      </c>
      <c r="V21" s="59" t="s">
        <v>202</v>
      </c>
      <c r="W21" s="63">
        <v>-10010.526315789473</v>
      </c>
      <c r="X21" s="59" t="s">
        <v>199</v>
      </c>
      <c r="Y21" s="61">
        <v>0.25</v>
      </c>
      <c r="Z21" s="59" t="s">
        <v>208</v>
      </c>
      <c r="AA21" s="62">
        <v>0.21739130434782608</v>
      </c>
      <c r="AB21" s="59" t="s">
        <v>208</v>
      </c>
      <c r="AC21" s="62">
        <v>0.10869565217391304</v>
      </c>
      <c r="AD21" s="59" t="s">
        <v>198</v>
      </c>
      <c r="AE21" s="62">
        <v>0.42857142857142855</v>
      </c>
      <c r="AF21" s="59" t="s">
        <v>207</v>
      </c>
      <c r="AG21" s="62">
        <v>0.2</v>
      </c>
      <c r="AH21" s="59" t="s">
        <v>185</v>
      </c>
      <c r="AI21" s="62">
        <v>0.3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184</v>
      </c>
      <c r="C22" s="123">
        <v>4</v>
      </c>
      <c r="D22" s="57" t="s">
        <v>197</v>
      </c>
      <c r="E22" s="58">
        <v>-1202.8000000000002</v>
      </c>
      <c r="F22" s="59" t="s">
        <v>185</v>
      </c>
      <c r="G22" s="71">
        <v>-17.28</v>
      </c>
      <c r="H22" s="59" t="s">
        <v>185</v>
      </c>
      <c r="I22" s="71">
        <v>-10.6</v>
      </c>
      <c r="J22" s="59" t="s">
        <v>207</v>
      </c>
      <c r="K22" s="60">
        <v>2.4</v>
      </c>
      <c r="L22" s="59" t="s">
        <v>184</v>
      </c>
      <c r="M22" s="61">
        <v>0</v>
      </c>
      <c r="N22" s="59" t="s">
        <v>198</v>
      </c>
      <c r="O22" s="61">
        <v>0.5</v>
      </c>
      <c r="P22" s="59" t="s">
        <v>200</v>
      </c>
      <c r="Q22" s="62">
        <v>0.15384615384615385</v>
      </c>
      <c r="R22" s="59" t="s">
        <v>208</v>
      </c>
      <c r="S22" s="62">
        <v>0.2391304347826087</v>
      </c>
      <c r="T22" s="59" t="s">
        <v>207</v>
      </c>
      <c r="U22" s="63">
        <v>7142.8571428571431</v>
      </c>
      <c r="V22" s="59" t="s">
        <v>198</v>
      </c>
      <c r="W22" s="63">
        <v>-11280</v>
      </c>
      <c r="X22" s="59" t="s">
        <v>198</v>
      </c>
      <c r="Y22" s="61">
        <v>0.25</v>
      </c>
      <c r="Z22" s="59" t="s">
        <v>197</v>
      </c>
      <c r="AA22" s="62">
        <v>0.21039603960396039</v>
      </c>
      <c r="AB22" s="59" t="s">
        <v>189</v>
      </c>
      <c r="AC22" s="62">
        <v>0.10810810810810811</v>
      </c>
      <c r="AD22" s="59" t="s">
        <v>201</v>
      </c>
      <c r="AE22" s="62">
        <v>0.4</v>
      </c>
      <c r="AF22" s="59" t="s">
        <v>208</v>
      </c>
      <c r="AG22" s="62">
        <v>0.2</v>
      </c>
      <c r="AH22" s="59" t="s">
        <v>198</v>
      </c>
      <c r="AI22" s="62">
        <v>0.3</v>
      </c>
      <c r="AJ22" s="59" t="s">
        <v>207</v>
      </c>
      <c r="AK22" s="66">
        <v>45200</v>
      </c>
    </row>
    <row r="23" spans="1:37" x14ac:dyDescent="0.45">
      <c r="A23" s="56">
        <v>21</v>
      </c>
      <c r="B23" s="59" t="s">
        <v>198</v>
      </c>
      <c r="C23" s="123">
        <v>4</v>
      </c>
      <c r="D23" s="57" t="s">
        <v>188</v>
      </c>
      <c r="E23" s="58">
        <v>-1322.1000000000001</v>
      </c>
      <c r="F23" s="59" t="s">
        <v>207</v>
      </c>
      <c r="G23" s="71">
        <v>-22.740000000000002</v>
      </c>
      <c r="H23" s="59" t="s">
        <v>184</v>
      </c>
      <c r="I23" s="71">
        <v>-11.008333333333333</v>
      </c>
      <c r="J23" s="59" t="s">
        <v>208</v>
      </c>
      <c r="K23" s="60">
        <v>2.4</v>
      </c>
      <c r="L23" s="59" t="s">
        <v>200</v>
      </c>
      <c r="M23" s="61">
        <v>0</v>
      </c>
      <c r="N23" s="59" t="s">
        <v>208</v>
      </c>
      <c r="O23" s="61">
        <v>0.6</v>
      </c>
      <c r="P23" s="59" t="s">
        <v>208</v>
      </c>
      <c r="Q23" s="62">
        <v>0.15217391304347827</v>
      </c>
      <c r="R23" s="59" t="s">
        <v>202</v>
      </c>
      <c r="S23" s="62">
        <v>0.24358974358974358</v>
      </c>
      <c r="T23" s="59" t="s">
        <v>185</v>
      </c>
      <c r="U23" s="63">
        <v>7100</v>
      </c>
      <c r="V23" s="59" t="s">
        <v>200</v>
      </c>
      <c r="W23" s="63">
        <v>-12000</v>
      </c>
      <c r="X23" s="59" t="s">
        <v>185</v>
      </c>
      <c r="Y23" s="61">
        <v>0.4</v>
      </c>
      <c r="Z23" s="59" t="s">
        <v>188</v>
      </c>
      <c r="AA23" s="62">
        <v>0.19558481797056546</v>
      </c>
      <c r="AB23" s="59" t="s">
        <v>200</v>
      </c>
      <c r="AC23" s="62">
        <v>7.6923076923076927E-2</v>
      </c>
      <c r="AD23" s="59" t="s">
        <v>200</v>
      </c>
      <c r="AE23" s="62">
        <v>0.33333333333333331</v>
      </c>
      <c r="AF23" s="59" t="s">
        <v>184</v>
      </c>
      <c r="AG23" s="62">
        <v>0</v>
      </c>
      <c r="AH23" s="59" t="s">
        <v>196</v>
      </c>
      <c r="AI23" s="62">
        <v>0.29166666666666669</v>
      </c>
      <c r="AJ23" s="59" t="s">
        <v>208</v>
      </c>
      <c r="AK23" s="66">
        <v>39600</v>
      </c>
    </row>
    <row r="24" spans="1:37" x14ac:dyDescent="0.45">
      <c r="A24" s="56">
        <v>22</v>
      </c>
      <c r="B24" s="59" t="s">
        <v>200</v>
      </c>
      <c r="C24" s="123">
        <v>1</v>
      </c>
      <c r="D24" s="57" t="s">
        <v>190</v>
      </c>
      <c r="E24" s="58">
        <v>-2085.6</v>
      </c>
      <c r="F24" s="59" t="s">
        <v>184</v>
      </c>
      <c r="G24" s="71">
        <v>-33.024999999999999</v>
      </c>
      <c r="H24" s="59" t="s">
        <v>207</v>
      </c>
      <c r="I24" s="71">
        <v>-17.566666666666666</v>
      </c>
      <c r="J24" s="59" t="s">
        <v>184</v>
      </c>
      <c r="K24" s="60">
        <v>3</v>
      </c>
      <c r="L24" s="59" t="s">
        <v>207</v>
      </c>
      <c r="M24" s="61">
        <v>0</v>
      </c>
      <c r="N24" s="59" t="s">
        <v>184</v>
      </c>
      <c r="O24" s="61">
        <v>1</v>
      </c>
      <c r="P24" s="59" t="s">
        <v>184</v>
      </c>
      <c r="Q24" s="62">
        <v>0.04</v>
      </c>
      <c r="R24" s="59" t="s">
        <v>184</v>
      </c>
      <c r="S24" s="62">
        <v>0.4</v>
      </c>
      <c r="T24" s="59" t="s">
        <v>198</v>
      </c>
      <c r="U24" s="63">
        <v>4940</v>
      </c>
      <c r="V24" s="59" t="s">
        <v>185</v>
      </c>
      <c r="W24" s="63">
        <v>-12487.5</v>
      </c>
      <c r="X24" s="59" t="s">
        <v>184</v>
      </c>
      <c r="Y24" s="61">
        <v>0.5</v>
      </c>
      <c r="Z24" s="59" t="s">
        <v>184</v>
      </c>
      <c r="AA24" s="62">
        <v>0</v>
      </c>
      <c r="AB24" s="59" t="s">
        <v>184</v>
      </c>
      <c r="AC24" s="62">
        <v>0</v>
      </c>
      <c r="AD24" s="59" t="s">
        <v>184</v>
      </c>
      <c r="AE24" s="62">
        <v>0</v>
      </c>
      <c r="AF24" s="59" t="s">
        <v>200</v>
      </c>
      <c r="AG24" s="62">
        <v>0</v>
      </c>
      <c r="AH24" s="59" t="s">
        <v>201</v>
      </c>
      <c r="AI24" s="62">
        <v>0.25</v>
      </c>
      <c r="AJ24" s="59" t="s">
        <v>184</v>
      </c>
      <c r="AK24" s="66">
        <v>13000</v>
      </c>
    </row>
  </sheetData>
  <sortState xmlns:xlrd2="http://schemas.microsoft.com/office/spreadsheetml/2017/richdata2" ref="AJ3:AK64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4A0D7-5C90-493B-97E1-680664DF28D5}">
  <sheetPr codeName="Sheet3"/>
  <dimension ref="A1:Q349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3489</v>
      </c>
      <c r="C2" s="132"/>
      <c r="E2" s="43" t="s">
        <v>66</v>
      </c>
      <c r="F2" s="25" t="s">
        <v>22</v>
      </c>
      <c r="G2" s="13">
        <v>5812</v>
      </c>
      <c r="H2" s="106">
        <f>IF(B$51=0,0,G2/B$51)</f>
        <v>0.73198992443324939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-20.237062734894479</v>
      </c>
      <c r="P2" s="92">
        <v>3459</v>
      </c>
      <c r="Q2" s="76">
        <v>-70000</v>
      </c>
    </row>
    <row r="3" spans="1:17" x14ac:dyDescent="0.45">
      <c r="A3" s="37" t="s">
        <v>8</v>
      </c>
      <c r="B3" s="133">
        <v>28293</v>
      </c>
      <c r="C3" s="134"/>
      <c r="E3" s="44" t="s">
        <v>72</v>
      </c>
      <c r="F3" s="41" t="s">
        <v>27</v>
      </c>
      <c r="G3" s="34">
        <v>4301</v>
      </c>
      <c r="H3" s="107">
        <f>IF(B$51=0,0,G3/B$51)</f>
        <v>0.54168765743073044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-0.8857395925597874</v>
      </c>
      <c r="P3" s="93">
        <v>3387</v>
      </c>
      <c r="Q3" s="77">
        <v>-3000</v>
      </c>
    </row>
    <row r="4" spans="1:17" x14ac:dyDescent="0.45">
      <c r="A4" s="37" t="s">
        <v>6</v>
      </c>
      <c r="B4" s="135">
        <v>1.5987211554602254E-14</v>
      </c>
      <c r="C4" s="136"/>
      <c r="E4" s="44" t="s">
        <v>64</v>
      </c>
      <c r="F4" s="41" t="s">
        <v>20</v>
      </c>
      <c r="G4" s="34">
        <v>3829</v>
      </c>
      <c r="H4" s="107">
        <f>IF(B$51=0,0,G4/B$51)</f>
        <v>0.48224181360201512</v>
      </c>
      <c r="I4" s="68">
        <v>14</v>
      </c>
      <c r="K4" s="5">
        <v>2</v>
      </c>
      <c r="L4" s="73">
        <v>-7</v>
      </c>
      <c r="N4" s="89" t="s">
        <v>128</v>
      </c>
      <c r="O4" s="96">
        <f t="shared" si="0"/>
        <v>4.3983663210807418</v>
      </c>
      <c r="P4" s="93">
        <v>3183</v>
      </c>
      <c r="Q4" s="77">
        <v>14000</v>
      </c>
    </row>
    <row r="5" spans="1:17" x14ac:dyDescent="0.45">
      <c r="A5" s="37" t="s">
        <v>7</v>
      </c>
      <c r="B5" s="137">
        <f>IF(B$2=0,0,B$4/B$2)</f>
        <v>4.5821758539989267E-18</v>
      </c>
      <c r="C5" s="138"/>
      <c r="E5" s="44" t="s">
        <v>157</v>
      </c>
      <c r="F5" s="41" t="s">
        <v>158</v>
      </c>
      <c r="G5" s="34">
        <v>2536</v>
      </c>
      <c r="H5" s="107">
        <f>IF(B$51=0,0,G5/B$51)</f>
        <v>0.31939546599496221</v>
      </c>
      <c r="I5" s="68">
        <v>12</v>
      </c>
      <c r="K5" s="5">
        <v>3</v>
      </c>
      <c r="L5" s="73">
        <v>0</v>
      </c>
      <c r="N5" s="89" t="s">
        <v>129</v>
      </c>
      <c r="O5" s="96">
        <f t="shared" si="0"/>
        <v>4.0983606557377046</v>
      </c>
      <c r="P5" s="93">
        <v>2928</v>
      </c>
      <c r="Q5" s="77">
        <v>12000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2486</v>
      </c>
      <c r="H6" s="107">
        <f>IF(B$51=0,0,G6/B$51)</f>
        <v>0.31309823677581866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-4.907512268780672</v>
      </c>
      <c r="P6" s="93">
        <v>2649</v>
      </c>
      <c r="Q6" s="77">
        <v>-13000</v>
      </c>
    </row>
    <row r="7" spans="1:17" x14ac:dyDescent="0.45">
      <c r="A7" s="37" t="s">
        <v>2</v>
      </c>
      <c r="B7" s="34">
        <v>1163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2251</v>
      </c>
      <c r="H7" s="107">
        <f>IF(B$51=0,0,G7/B$51)</f>
        <v>0.28350125944584381</v>
      </c>
      <c r="I7" s="68">
        <v>11</v>
      </c>
      <c r="K7" s="5">
        <v>5</v>
      </c>
      <c r="L7" s="73">
        <v>39.9</v>
      </c>
      <c r="N7" s="90" t="s">
        <v>131</v>
      </c>
      <c r="O7" s="97">
        <f t="shared" si="0"/>
        <v>24.841915085817526</v>
      </c>
      <c r="P7" s="94">
        <v>2214</v>
      </c>
      <c r="Q7" s="78">
        <v>55000</v>
      </c>
    </row>
    <row r="8" spans="1:17" x14ac:dyDescent="0.45">
      <c r="A8" s="37" t="s">
        <v>3</v>
      </c>
      <c r="B8" s="34">
        <v>1163</v>
      </c>
      <c r="C8" s="31">
        <f t="shared" si="1"/>
        <v>0.33333333333333331</v>
      </c>
      <c r="E8" s="44" t="s">
        <v>69</v>
      </c>
      <c r="F8" s="41" t="s">
        <v>24</v>
      </c>
      <c r="G8" s="34">
        <v>1192</v>
      </c>
      <c r="H8" s="107">
        <f>IF(B$51=0,0,G8/B$51)</f>
        <v>0.15012594458438286</v>
      </c>
      <c r="I8" s="68">
        <v>8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1163</v>
      </c>
      <c r="C9" s="7">
        <f t="shared" si="1"/>
        <v>0.33333333333333331</v>
      </c>
      <c r="E9" s="44" t="s">
        <v>89</v>
      </c>
      <c r="F9" s="41" t="s">
        <v>44</v>
      </c>
      <c r="G9" s="34">
        <v>1113</v>
      </c>
      <c r="H9" s="107">
        <f>IF(B$51=0,0,G9/B$51)</f>
        <v>0.14017632241813602</v>
      </c>
      <c r="I9" s="68">
        <v>9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37.71298366294068</v>
      </c>
      <c r="C10" s="121">
        <v>43860.200000000012</v>
      </c>
      <c r="E10" s="44" t="s">
        <v>65</v>
      </c>
      <c r="F10" s="41" t="s">
        <v>21</v>
      </c>
      <c r="G10" s="34">
        <v>854</v>
      </c>
      <c r="H10" s="107">
        <f>IF(B$51=0,0,G10/B$51)</f>
        <v>0.1075566750629723</v>
      </c>
      <c r="I10" s="68">
        <v>12</v>
      </c>
      <c r="K10" s="5">
        <v>8</v>
      </c>
      <c r="L10" s="73">
        <v>-26.699999999999996</v>
      </c>
      <c r="N10" s="88" t="s">
        <v>149</v>
      </c>
      <c r="O10" s="98">
        <f>IF(P10=0,0,Q10/P10)</f>
        <v>-3.490603448275861</v>
      </c>
      <c r="P10" s="92">
        <v>1160</v>
      </c>
      <c r="Q10" s="80">
        <v>-4049.0999999999985</v>
      </c>
    </row>
    <row r="11" spans="1:17" x14ac:dyDescent="0.45">
      <c r="A11" s="38" t="s">
        <v>204</v>
      </c>
      <c r="B11" s="120">
        <f>IF(B8=0,0,C11/B8)</f>
        <v>-0.97979363714531309</v>
      </c>
      <c r="C11" s="121">
        <v>-1139.4999999999991</v>
      </c>
      <c r="E11" s="44" t="s">
        <v>70</v>
      </c>
      <c r="F11" s="41" t="s">
        <v>25</v>
      </c>
      <c r="G11" s="34">
        <v>763</v>
      </c>
      <c r="H11" s="107">
        <f>IF(B$51=0,0,G11/B$51)</f>
        <v>9.6095717884130988E-2</v>
      </c>
      <c r="I11" s="68">
        <v>10</v>
      </c>
      <c r="K11" s="5">
        <v>9</v>
      </c>
      <c r="L11" s="73">
        <v>3.5527136788005009E-15</v>
      </c>
      <c r="N11" s="89" t="s">
        <v>150</v>
      </c>
      <c r="O11" s="99">
        <f>IF(P11=0,0,Q11/P11)</f>
        <v>1.4166379310344828</v>
      </c>
      <c r="P11" s="93">
        <v>1160</v>
      </c>
      <c r="Q11" s="81">
        <v>1643.3</v>
      </c>
    </row>
    <row r="12" spans="1:17" x14ac:dyDescent="0.45">
      <c r="A12" s="38" t="s">
        <v>205</v>
      </c>
      <c r="B12" s="120">
        <f>IF(B9=0,0,C12/B9)</f>
        <v>-36.733190025795359</v>
      </c>
      <c r="C12" s="121">
        <v>-42720.700000000004</v>
      </c>
      <c r="E12" s="44" t="s">
        <v>71</v>
      </c>
      <c r="F12" s="41" t="s">
        <v>26</v>
      </c>
      <c r="G12" s="34">
        <v>532</v>
      </c>
      <c r="H12" s="107">
        <f>IF(B$51=0,0,G12/B$51)</f>
        <v>6.7002518891687651E-2</v>
      </c>
      <c r="I12" s="68">
        <v>8</v>
      </c>
      <c r="K12" s="5">
        <v>10</v>
      </c>
      <c r="L12" s="73">
        <v>85.2</v>
      </c>
      <c r="N12" s="90" t="s">
        <v>151</v>
      </c>
      <c r="O12" s="100">
        <f>IF(P12=0,0,Q12/P12)</f>
        <v>2.0739655172413789</v>
      </c>
      <c r="P12" s="94">
        <v>1160</v>
      </c>
      <c r="Q12" s="82">
        <v>2405.7999999999997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451</v>
      </c>
      <c r="H13" s="107">
        <f>IF(B$51=0,0,G13/B$51)</f>
        <v>5.6801007556675061E-2</v>
      </c>
      <c r="I13" s="68">
        <v>10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414</v>
      </c>
      <c r="C14" s="32">
        <f t="shared" si="1"/>
        <v>0.11865864144453998</v>
      </c>
      <c r="E14" s="44" t="s">
        <v>83</v>
      </c>
      <c r="F14" s="41" t="s">
        <v>38</v>
      </c>
      <c r="G14" s="34">
        <v>378</v>
      </c>
      <c r="H14" s="107">
        <f>IF(B$51=0,0,G14/B$51)</f>
        <v>4.7607052896725441E-2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7001</v>
      </c>
      <c r="C15" s="11">
        <f>IF(B$50=0,0,B15/B$50)</f>
        <v>0.26048294080440526</v>
      </c>
      <c r="E15" s="44" t="s">
        <v>78</v>
      </c>
      <c r="F15" s="41" t="s">
        <v>33</v>
      </c>
      <c r="G15" s="34">
        <v>231</v>
      </c>
      <c r="H15" s="107">
        <f>IF(B$51=0,0,G15/B$51)</f>
        <v>2.9093198992443326E-2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5933</v>
      </c>
      <c r="C16" s="31">
        <f>IF(B$50=0,0,B16/B$50)</f>
        <v>0.22074636306135356</v>
      </c>
      <c r="E16" s="44" t="s">
        <v>81</v>
      </c>
      <c r="F16" s="41" t="s">
        <v>36</v>
      </c>
      <c r="G16" s="34">
        <v>205</v>
      </c>
      <c r="H16" s="107">
        <f>IF(B$51=0,0,G16/B$51)</f>
        <v>2.5818639798488665E-2</v>
      </c>
      <c r="I16" s="68">
        <v>9</v>
      </c>
      <c r="K16" s="5">
        <v>14</v>
      </c>
      <c r="L16" s="73">
        <v>-4</v>
      </c>
      <c r="N16" s="89" t="s">
        <v>207</v>
      </c>
      <c r="O16" s="99">
        <f>IF(P16=0,0,Q16/P16)</f>
        <v>34.11</v>
      </c>
      <c r="P16" s="93">
        <v>10</v>
      </c>
      <c r="Q16" s="81">
        <v>341.1</v>
      </c>
    </row>
    <row r="17" spans="1:17" x14ac:dyDescent="0.45">
      <c r="A17" s="19" t="s">
        <v>123</v>
      </c>
      <c r="B17" s="13">
        <v>3964</v>
      </c>
      <c r="C17" s="4">
        <f>IF(B$15=0,0,B17/B$15)</f>
        <v>0.56620482788173121</v>
      </c>
      <c r="E17" s="44" t="s">
        <v>91</v>
      </c>
      <c r="F17" s="41" t="s">
        <v>46</v>
      </c>
      <c r="G17" s="34">
        <v>150</v>
      </c>
      <c r="H17" s="107">
        <f>IF(B$51=0,0,G17/B$51)</f>
        <v>1.8891687657430732E-2</v>
      </c>
      <c r="I17" s="68">
        <v>7</v>
      </c>
      <c r="K17" s="5">
        <v>15</v>
      </c>
      <c r="L17" s="73">
        <v>0</v>
      </c>
      <c r="N17" s="89" t="s">
        <v>185</v>
      </c>
      <c r="O17" s="99">
        <f>IF(P17=0,0,Q17/P17)</f>
        <v>25.919999999999998</v>
      </c>
      <c r="P17" s="93">
        <v>10</v>
      </c>
      <c r="Q17" s="81">
        <v>259.2</v>
      </c>
    </row>
    <row r="18" spans="1:17" x14ac:dyDescent="0.45">
      <c r="A18" s="19" t="s">
        <v>124</v>
      </c>
      <c r="B18" s="13">
        <v>2422</v>
      </c>
      <c r="C18" s="4">
        <f>IF(B$16=0,0,B18/B$16)</f>
        <v>0.40822518118995449</v>
      </c>
      <c r="E18" s="44" t="s">
        <v>79</v>
      </c>
      <c r="F18" s="41" t="s">
        <v>34</v>
      </c>
      <c r="G18" s="34">
        <v>124</v>
      </c>
      <c r="H18" s="107">
        <f>IF(B$51=0,0,G18/B$51)</f>
        <v>1.5617128463476071E-2</v>
      </c>
      <c r="I18" s="68">
        <v>11</v>
      </c>
      <c r="K18" s="5">
        <v>16</v>
      </c>
      <c r="L18" s="73">
        <v>-48</v>
      </c>
      <c r="N18" s="89" t="s">
        <v>201</v>
      </c>
      <c r="O18" s="99">
        <f>IF(P18=0,0,Q18/P18)</f>
        <v>24.240000000000006</v>
      </c>
      <c r="P18" s="93">
        <v>10</v>
      </c>
      <c r="Q18" s="81">
        <v>242.40000000000006</v>
      </c>
    </row>
    <row r="19" spans="1:17" x14ac:dyDescent="0.45">
      <c r="A19" s="19" t="s">
        <v>10</v>
      </c>
      <c r="B19" s="13">
        <v>8374</v>
      </c>
      <c r="C19" s="4">
        <f>IF(B$3=0,0,B19/B$3)</f>
        <v>0.29597426925387904</v>
      </c>
      <c r="E19" s="44" t="s">
        <v>153</v>
      </c>
      <c r="F19" s="41" t="s">
        <v>154</v>
      </c>
      <c r="G19" s="34">
        <v>117</v>
      </c>
      <c r="H19" s="107">
        <f>IF(B$51=0,0,G19/B$51)</f>
        <v>1.473551637279597E-2</v>
      </c>
      <c r="I19" s="68">
        <v>5</v>
      </c>
      <c r="K19" s="5">
        <v>17</v>
      </c>
      <c r="L19" s="73">
        <v>-8</v>
      </c>
      <c r="N19" s="89" t="s">
        <v>208</v>
      </c>
      <c r="O19" s="99">
        <f>IF(P19=0,0,Q19/P19)</f>
        <v>21.119999999999997</v>
      </c>
      <c r="P19" s="93">
        <v>10</v>
      </c>
      <c r="Q19" s="81">
        <v>211.2</v>
      </c>
    </row>
    <row r="20" spans="1:17" x14ac:dyDescent="0.45">
      <c r="A20" s="37" t="s">
        <v>13</v>
      </c>
      <c r="B20" s="34">
        <v>4622</v>
      </c>
      <c r="C20" s="31">
        <f>IF(B$3=0,0,B20/B$3)</f>
        <v>0.16336196232283604</v>
      </c>
      <c r="E20" s="44" t="s">
        <v>75</v>
      </c>
      <c r="F20" s="41" t="s">
        <v>30</v>
      </c>
      <c r="G20" s="34">
        <v>52</v>
      </c>
      <c r="H20" s="107">
        <f>IF(B$51=0,0,G20/B$51)</f>
        <v>6.5491183879093197E-3</v>
      </c>
      <c r="I20" s="68">
        <v>6</v>
      </c>
      <c r="K20" s="5">
        <v>18</v>
      </c>
      <c r="L20" s="73">
        <v>0</v>
      </c>
      <c r="N20" s="89" t="s">
        <v>198</v>
      </c>
      <c r="O20" s="99">
        <f>IF(P20=0,0,Q20/P20)</f>
        <v>21.074999999999996</v>
      </c>
      <c r="P20" s="93">
        <v>8</v>
      </c>
      <c r="Q20" s="81">
        <v>168.59999999999997</v>
      </c>
    </row>
    <row r="21" spans="1:17" x14ac:dyDescent="0.45">
      <c r="A21" s="37" t="s">
        <v>12</v>
      </c>
      <c r="B21" s="34">
        <v>3690</v>
      </c>
      <c r="C21" s="31">
        <f>IF(B$19=0,0,B21/B$19)</f>
        <v>0.44064962980654404</v>
      </c>
      <c r="E21" s="44" t="s">
        <v>92</v>
      </c>
      <c r="F21" s="41" t="s">
        <v>47</v>
      </c>
      <c r="G21" s="34">
        <v>49</v>
      </c>
      <c r="H21" s="107">
        <f>IF(B$51=0,0,G21/B$51)</f>
        <v>6.1712846347607049E-3</v>
      </c>
      <c r="I21" s="68">
        <v>5</v>
      </c>
      <c r="K21" s="5">
        <v>19</v>
      </c>
      <c r="L21" s="73">
        <v>-6.1</v>
      </c>
      <c r="N21" s="89" t="s">
        <v>197</v>
      </c>
      <c r="O21" s="99">
        <f>IF(P21=0,0,Q21/P21)</f>
        <v>18.410204081632632</v>
      </c>
      <c r="P21" s="93">
        <v>196</v>
      </c>
      <c r="Q21" s="81">
        <v>3608.399999999996</v>
      </c>
    </row>
    <row r="22" spans="1:17" x14ac:dyDescent="0.45">
      <c r="A22" s="37" t="s">
        <v>11</v>
      </c>
      <c r="B22" s="34">
        <v>4684</v>
      </c>
      <c r="C22" s="31">
        <f>IF(B$19=0,0,B22/B$19)</f>
        <v>0.5593503701934559</v>
      </c>
      <c r="E22" s="44" t="s">
        <v>77</v>
      </c>
      <c r="F22" s="41" t="s">
        <v>32</v>
      </c>
      <c r="G22" s="34">
        <v>43</v>
      </c>
      <c r="H22" s="107">
        <f>IF(B$51=0,0,G22/B$51)</f>
        <v>5.4156171284634761E-3</v>
      </c>
      <c r="I22" s="68">
        <v>7</v>
      </c>
      <c r="K22" s="5">
        <v>20</v>
      </c>
      <c r="L22" s="73">
        <v>4.9000000000000004</v>
      </c>
      <c r="N22" s="89" t="s">
        <v>186</v>
      </c>
      <c r="O22" s="99">
        <f>IF(P22=0,0,Q22/P22)</f>
        <v>12.905084745762711</v>
      </c>
      <c r="P22" s="93">
        <v>236</v>
      </c>
      <c r="Q22" s="81">
        <v>3045.6</v>
      </c>
    </row>
    <row r="23" spans="1:17" x14ac:dyDescent="0.45">
      <c r="A23" s="37" t="s">
        <v>180</v>
      </c>
      <c r="B23" s="34">
        <v>3964</v>
      </c>
      <c r="C23" s="31">
        <f>IF(B$19=0,0,B23/B$19)</f>
        <v>0.47336995462144732</v>
      </c>
      <c r="E23" s="44" t="s">
        <v>73</v>
      </c>
      <c r="F23" s="41" t="s">
        <v>28</v>
      </c>
      <c r="G23" s="34">
        <v>42</v>
      </c>
      <c r="H23" s="107">
        <f>IF(B$51=0,0,G23/B$51)</f>
        <v>5.2896725440806048E-3</v>
      </c>
      <c r="I23" s="68">
        <v>8</v>
      </c>
      <c r="K23" s="5">
        <v>21</v>
      </c>
      <c r="L23" s="73">
        <v>0</v>
      </c>
      <c r="N23" s="89" t="s">
        <v>189</v>
      </c>
      <c r="O23" s="99">
        <f>IF(P23=0,0,Q23/P23)</f>
        <v>11.677272727272726</v>
      </c>
      <c r="P23" s="93">
        <v>66</v>
      </c>
      <c r="Q23" s="81">
        <v>770.69999999999993</v>
      </c>
    </row>
    <row r="24" spans="1:17" x14ac:dyDescent="0.45">
      <c r="A24" s="37" t="s">
        <v>178</v>
      </c>
      <c r="B24" s="34">
        <v>2422</v>
      </c>
      <c r="C24" s="31">
        <f>IF(B$19=0,0,B24/B$19)</f>
        <v>0.2892285646047289</v>
      </c>
      <c r="E24" s="44" t="s">
        <v>85</v>
      </c>
      <c r="F24" s="41" t="s">
        <v>40</v>
      </c>
      <c r="G24" s="34">
        <v>38</v>
      </c>
      <c r="H24" s="107">
        <f>IF(B$51=0,0,G24/B$51)</f>
        <v>4.7858942065491187E-3</v>
      </c>
      <c r="I24" s="68">
        <v>4</v>
      </c>
      <c r="K24" s="5">
        <v>22</v>
      </c>
      <c r="L24" s="73">
        <v>-36</v>
      </c>
      <c r="N24" s="89" t="s">
        <v>190</v>
      </c>
      <c r="O24" s="99">
        <f>IF(P24=0,0,Q24/P24)</f>
        <v>6.684615384615384</v>
      </c>
      <c r="P24" s="93">
        <v>936</v>
      </c>
      <c r="Q24" s="81">
        <v>6256.7999999999993</v>
      </c>
    </row>
    <row r="25" spans="1:17" x14ac:dyDescent="0.45">
      <c r="A25" s="37" t="s">
        <v>179</v>
      </c>
      <c r="B25" s="34">
        <v>1988</v>
      </c>
      <c r="C25" s="31">
        <f>IF(B$19=0,0,B25/B$19)</f>
        <v>0.23740148077382375</v>
      </c>
      <c r="E25" s="44" t="s">
        <v>74</v>
      </c>
      <c r="F25" s="41" t="s">
        <v>29</v>
      </c>
      <c r="G25" s="34">
        <v>27</v>
      </c>
      <c r="H25" s="107">
        <f>IF(B$51=0,0,G25/B$51)</f>
        <v>3.4005037783375316E-3</v>
      </c>
      <c r="I25" s="68">
        <v>6</v>
      </c>
      <c r="K25" s="5">
        <v>23</v>
      </c>
      <c r="L25" s="73">
        <v>-3</v>
      </c>
      <c r="N25" s="89" t="s">
        <v>188</v>
      </c>
      <c r="O25" s="99">
        <f>IF(P25=0,0,Q25/P25)</f>
        <v>5.7747800586510243</v>
      </c>
      <c r="P25" s="93">
        <v>682</v>
      </c>
      <c r="Q25" s="81">
        <v>3938.3999999999987</v>
      </c>
    </row>
    <row r="26" spans="1:17" x14ac:dyDescent="0.45">
      <c r="A26" s="37" t="s">
        <v>5</v>
      </c>
      <c r="B26" s="17">
        <f>IF(B$19=0,0,C26/B$19)</f>
        <v>8918.0917124432763</v>
      </c>
      <c r="C26" s="8">
        <v>74680100</v>
      </c>
      <c r="E26" s="44" t="s">
        <v>84</v>
      </c>
      <c r="F26" s="41" t="s">
        <v>39</v>
      </c>
      <c r="G26" s="34">
        <v>19</v>
      </c>
      <c r="H26" s="107">
        <f>IF(B$51=0,0,G26/B$51)</f>
        <v>2.3929471032745593E-3</v>
      </c>
      <c r="I26" s="68">
        <v>5</v>
      </c>
      <c r="K26" s="5">
        <v>24</v>
      </c>
      <c r="L26" s="73">
        <v>0</v>
      </c>
      <c r="N26" s="89" t="s">
        <v>193</v>
      </c>
      <c r="O26" s="99">
        <f>IF(P26=0,0,Q26/P26)</f>
        <v>3.2236263736263804</v>
      </c>
      <c r="P26" s="93">
        <v>1092</v>
      </c>
      <c r="Q26" s="81">
        <v>3520.2000000000075</v>
      </c>
    </row>
    <row r="27" spans="1:17" x14ac:dyDescent="0.45">
      <c r="A27" s="38" t="s">
        <v>162</v>
      </c>
      <c r="B27" s="114">
        <f>IF($B$19-B$18=0,0,C27/($B$19-B$18))</f>
        <v>9518.447580645161</v>
      </c>
      <c r="C27" s="115">
        <v>56653800</v>
      </c>
      <c r="E27" s="44" t="s">
        <v>93</v>
      </c>
      <c r="F27" s="41" t="s">
        <v>48</v>
      </c>
      <c r="G27" s="34">
        <v>19</v>
      </c>
      <c r="H27" s="107">
        <f>IF(B$51=0,0,G27/B$51)</f>
        <v>2.3929471032745593E-3</v>
      </c>
      <c r="I27" s="68">
        <v>6</v>
      </c>
      <c r="K27" s="5">
        <v>25</v>
      </c>
      <c r="L27" s="73">
        <v>-41</v>
      </c>
      <c r="N27" s="89" t="s">
        <v>187</v>
      </c>
      <c r="O27" s="99">
        <f>IF(P27=0,0,Q27/P27)</f>
        <v>2.1619647355163738</v>
      </c>
      <c r="P27" s="93">
        <v>794</v>
      </c>
      <c r="Q27" s="81">
        <v>1716.6000000000008</v>
      </c>
    </row>
    <row r="28" spans="1:17" x14ac:dyDescent="0.45">
      <c r="A28" s="38" t="s">
        <v>163</v>
      </c>
      <c r="B28" s="114">
        <f>IF(B$18=0,0,C28/B$18)</f>
        <v>7442.7332782824114</v>
      </c>
      <c r="C28" s="115">
        <v>18026300</v>
      </c>
      <c r="E28" s="44" t="s">
        <v>87</v>
      </c>
      <c r="F28" s="41" t="s">
        <v>42</v>
      </c>
      <c r="G28" s="34">
        <v>18</v>
      </c>
      <c r="H28" s="107">
        <f>IF(B$51=0,0,G28/B$51)</f>
        <v>2.2670025188916876E-3</v>
      </c>
      <c r="I28" s="68">
        <v>6</v>
      </c>
      <c r="K28" s="5">
        <v>26</v>
      </c>
      <c r="L28" s="73">
        <v>11.5</v>
      </c>
      <c r="N28" s="89" t="s">
        <v>199</v>
      </c>
      <c r="O28" s="99">
        <f>IF(P28=0,0,Q28/P28)</f>
        <v>1.1785714285714317</v>
      </c>
      <c r="P28" s="93">
        <v>56</v>
      </c>
      <c r="Q28" s="81">
        <v>66.000000000000171</v>
      </c>
    </row>
    <row r="29" spans="1:17" x14ac:dyDescent="0.45">
      <c r="A29" s="38" t="s">
        <v>161</v>
      </c>
      <c r="B29" s="114">
        <f>IF(B$20=0,0,C29/B$20)</f>
        <v>-8319.3855473820859</v>
      </c>
      <c r="C29" s="115">
        <v>-38452200</v>
      </c>
      <c r="E29" s="44" t="s">
        <v>88</v>
      </c>
      <c r="F29" s="41" t="s">
        <v>43</v>
      </c>
      <c r="G29" s="34">
        <v>14</v>
      </c>
      <c r="H29" s="107">
        <f>IF(B$51=0,0,G29/B$51)</f>
        <v>1.7632241813602015E-3</v>
      </c>
      <c r="I29" s="68">
        <v>5</v>
      </c>
      <c r="K29" s="5">
        <v>27</v>
      </c>
      <c r="L29" s="73">
        <v>0</v>
      </c>
      <c r="N29" s="89" t="s">
        <v>194</v>
      </c>
      <c r="O29" s="99">
        <f>IF(P29=0,0,Q29/P29)</f>
        <v>5.7692307692313316E-2</v>
      </c>
      <c r="P29" s="93">
        <v>182</v>
      </c>
      <c r="Q29" s="81">
        <v>10.500000000001023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90</v>
      </c>
      <c r="F30" s="41" t="s">
        <v>45</v>
      </c>
      <c r="G30" s="34">
        <v>13</v>
      </c>
      <c r="H30" s="107">
        <f>IF(B$51=0,0,G30/B$51)</f>
        <v>1.6372795969773299E-3</v>
      </c>
      <c r="I30" s="68">
        <v>4</v>
      </c>
      <c r="K30" s="5">
        <v>28</v>
      </c>
      <c r="L30" s="73">
        <v>-31.5</v>
      </c>
      <c r="N30" s="89" t="s">
        <v>191</v>
      </c>
      <c r="O30" s="99">
        <f>IF(P30=0,0,Q30/P30)</f>
        <v>-1.7862785862785864</v>
      </c>
      <c r="P30" s="93">
        <v>962</v>
      </c>
      <c r="Q30" s="81">
        <v>-1718.4</v>
      </c>
    </row>
    <row r="31" spans="1:17" x14ac:dyDescent="0.45">
      <c r="A31" s="37" t="s">
        <v>156</v>
      </c>
      <c r="B31" s="34">
        <v>38</v>
      </c>
      <c r="C31" s="109">
        <v>0</v>
      </c>
      <c r="E31" s="44" t="s">
        <v>95</v>
      </c>
      <c r="F31" s="41" t="s">
        <v>50</v>
      </c>
      <c r="G31" s="34">
        <v>10</v>
      </c>
      <c r="H31" s="107">
        <f>IF(B$51=0,0,G31/B$51)</f>
        <v>1.2594458438287153E-3</v>
      </c>
      <c r="I31" s="68">
        <v>3</v>
      </c>
      <c r="K31" s="5">
        <v>29</v>
      </c>
      <c r="L31" s="73">
        <v>36.700000000000003</v>
      </c>
      <c r="N31" s="89" t="s">
        <v>192</v>
      </c>
      <c r="O31" s="99">
        <f>IF(P31=0,0,Q31/P31)</f>
        <v>-3.4999999999999987</v>
      </c>
      <c r="P31" s="93">
        <v>78</v>
      </c>
      <c r="Q31" s="81">
        <v>-272.99999999999989</v>
      </c>
    </row>
    <row r="32" spans="1:17" x14ac:dyDescent="0.45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4</v>
      </c>
      <c r="H32" s="107">
        <f>IF(B$51=0,0,G32/B$51)</f>
        <v>5.0377833753148613E-4</v>
      </c>
      <c r="I32" s="68">
        <v>3</v>
      </c>
      <c r="K32" s="5">
        <v>30</v>
      </c>
      <c r="L32" s="73">
        <v>0</v>
      </c>
      <c r="N32" s="89" t="s">
        <v>195</v>
      </c>
      <c r="O32" s="99">
        <f>IF(P32=0,0,Q32/P32)</f>
        <v>-13.682922318125767</v>
      </c>
      <c r="P32" s="93">
        <v>1622</v>
      </c>
      <c r="Q32" s="81">
        <v>-22193.699999999993</v>
      </c>
    </row>
    <row r="33" spans="1:17" x14ac:dyDescent="0.45">
      <c r="A33" s="40" t="s">
        <v>177</v>
      </c>
      <c r="B33" s="141">
        <v>149100</v>
      </c>
      <c r="C33" s="142"/>
      <c r="E33" s="44" t="s">
        <v>97</v>
      </c>
      <c r="F33" s="41" t="s">
        <v>52</v>
      </c>
      <c r="G33" s="34">
        <v>3</v>
      </c>
      <c r="H33" s="107">
        <f>IF(B$51=0,0,G33/B$51)</f>
        <v>3.778337531486146E-4</v>
      </c>
      <c r="I33" s="68">
        <v>3</v>
      </c>
      <c r="K33" s="5">
        <v>31</v>
      </c>
      <c r="L33" s="73">
        <v>18.3</v>
      </c>
      <c r="N33" s="89" t="s">
        <v>196</v>
      </c>
      <c r="O33" s="99">
        <f>IF(P33=0,0,Q33/P33)</f>
        <v>-18.166666666666668</v>
      </c>
      <c r="P33" s="93">
        <v>18</v>
      </c>
      <c r="Q33" s="81">
        <v>-327</v>
      </c>
    </row>
    <row r="34" spans="1:17" x14ac:dyDescent="0.45">
      <c r="A34" s="39" t="s">
        <v>135</v>
      </c>
      <c r="B34" s="27">
        <v>78</v>
      </c>
      <c r="C34" s="32">
        <f>IF(B$3=0,0,B34/B$3)</f>
        <v>2.7568656558159261E-3</v>
      </c>
      <c r="E34" s="44" t="s">
        <v>101</v>
      </c>
      <c r="F34" s="41" t="s">
        <v>56</v>
      </c>
      <c r="G34" s="34">
        <v>2</v>
      </c>
      <c r="H34" s="107">
        <f>IF(B$51=0,0,G34/B$51)</f>
        <v>2.5188916876574307E-4</v>
      </c>
      <c r="I34" s="68">
        <v>2</v>
      </c>
      <c r="K34" s="5">
        <v>32</v>
      </c>
      <c r="L34" s="73">
        <v>8.6000000000000014</v>
      </c>
      <c r="N34" s="89" t="s">
        <v>200</v>
      </c>
      <c r="O34" s="99">
        <f>IF(P34=0,0,Q34/P34)</f>
        <v>-19.950000000000003</v>
      </c>
      <c r="P34" s="93">
        <v>2</v>
      </c>
      <c r="Q34" s="81">
        <v>-39.900000000000006</v>
      </c>
    </row>
    <row r="35" spans="1:17" x14ac:dyDescent="0.45">
      <c r="E35" s="44" t="s">
        <v>76</v>
      </c>
      <c r="F35" s="41" t="s">
        <v>31</v>
      </c>
      <c r="G35" s="34">
        <v>1</v>
      </c>
      <c r="H35" s="107">
        <f>IF(B$51=0,0,G35/B$51)</f>
        <v>1.2594458438287153E-4</v>
      </c>
      <c r="I35" s="68">
        <v>2</v>
      </c>
      <c r="K35" s="5">
        <v>33</v>
      </c>
      <c r="L35" s="73">
        <v>1.7763568394002505E-15</v>
      </c>
    </row>
    <row r="36" spans="1:17" x14ac:dyDescent="0.45">
      <c r="A36" s="64" t="s">
        <v>168</v>
      </c>
      <c r="B36" s="125">
        <v>555</v>
      </c>
      <c r="C36" s="119">
        <f>IF(B$19=0,0,B36/B$19)</f>
        <v>6.6276570336756629E-2</v>
      </c>
      <c r="E36" s="44" t="s">
        <v>80</v>
      </c>
      <c r="F36" s="41" t="s">
        <v>35</v>
      </c>
      <c r="G36" s="34">
        <v>1</v>
      </c>
      <c r="H36" s="107">
        <f>IF(B$51=0,0,G36/B$51)</f>
        <v>1.2594458438287153E-4</v>
      </c>
      <c r="I36" s="68">
        <v>2</v>
      </c>
      <c r="K36" s="5">
        <v>34</v>
      </c>
      <c r="L36" s="73">
        <v>12.800000000000002</v>
      </c>
    </row>
    <row r="37" spans="1:17" x14ac:dyDescent="0.45">
      <c r="A37" s="37" t="s">
        <v>164</v>
      </c>
      <c r="B37" s="34">
        <v>1238</v>
      </c>
      <c r="C37" s="31">
        <f t="shared" ref="C37:C48" si="2">IF(B$19=0,0,B37/B$19)</f>
        <v>0.14783854788631479</v>
      </c>
      <c r="E37" s="44" t="s">
        <v>102</v>
      </c>
      <c r="F37" s="41" t="s">
        <v>57</v>
      </c>
      <c r="G37" s="34">
        <v>1</v>
      </c>
      <c r="H37" s="107">
        <f>IF(B$51=0,0,G37/B$51)</f>
        <v>1.2594458438287153E-4</v>
      </c>
      <c r="I37" s="68">
        <v>2</v>
      </c>
      <c r="K37" s="5">
        <v>35</v>
      </c>
      <c r="L37" s="73">
        <v>36.400000000000006</v>
      </c>
    </row>
    <row r="38" spans="1:17" x14ac:dyDescent="0.45">
      <c r="A38" s="37" t="s">
        <v>165</v>
      </c>
      <c r="B38" s="128">
        <v>1500</v>
      </c>
      <c r="C38" s="31">
        <f>IF(B$19=0,0,B38/B$19)</f>
        <v>0.17912586577501791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7" x14ac:dyDescent="0.45">
      <c r="A39" s="37" t="s">
        <v>166</v>
      </c>
      <c r="B39" s="128">
        <v>1478</v>
      </c>
      <c r="C39" s="31">
        <f t="shared" si="2"/>
        <v>0.17649868641031766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7" x14ac:dyDescent="0.45">
      <c r="A40" s="37" t="s">
        <v>167</v>
      </c>
      <c r="B40" s="128">
        <v>1232</v>
      </c>
      <c r="C40" s="31">
        <f t="shared" si="2"/>
        <v>0.14712204442321472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7" x14ac:dyDescent="0.45">
      <c r="A41" s="37" t="s">
        <v>169</v>
      </c>
      <c r="B41" s="128">
        <v>814</v>
      </c>
      <c r="C41" s="31">
        <f t="shared" si="2"/>
        <v>9.7205636493909717E-2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7" x14ac:dyDescent="0.45">
      <c r="A42" s="37" t="s">
        <v>170</v>
      </c>
      <c r="B42" s="128">
        <v>475</v>
      </c>
      <c r="C42" s="31">
        <f t="shared" si="2"/>
        <v>5.6723190828755675E-2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7" x14ac:dyDescent="0.45">
      <c r="A43" s="37" t="s">
        <v>171</v>
      </c>
      <c r="B43" s="128">
        <v>259</v>
      </c>
      <c r="C43" s="31">
        <f t="shared" si="2"/>
        <v>3.0929066157153094E-2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7" x14ac:dyDescent="0.45">
      <c r="A44" s="37" t="s">
        <v>172</v>
      </c>
      <c r="B44" s="128">
        <v>150</v>
      </c>
      <c r="C44" s="31">
        <f t="shared" si="2"/>
        <v>1.7912586577501791E-2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7" x14ac:dyDescent="0.45">
      <c r="A45" s="37" t="s">
        <v>173</v>
      </c>
      <c r="B45" s="128">
        <v>73</v>
      </c>
      <c r="C45" s="31">
        <f t="shared" si="2"/>
        <v>8.7174588010508723E-3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7" x14ac:dyDescent="0.45">
      <c r="A46" s="37" t="s">
        <v>174</v>
      </c>
      <c r="B46" s="128">
        <v>40</v>
      </c>
      <c r="C46" s="31">
        <f t="shared" si="2"/>
        <v>4.7766897540004773E-3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7" x14ac:dyDescent="0.45">
      <c r="A47" s="37" t="s">
        <v>175</v>
      </c>
      <c r="B47" s="128">
        <v>20</v>
      </c>
      <c r="C47" s="31">
        <f t="shared" si="2"/>
        <v>2.3883448770002386E-3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7" x14ac:dyDescent="0.45">
      <c r="A48" s="39" t="s">
        <v>176</v>
      </c>
      <c r="B48" s="124">
        <v>106</v>
      </c>
      <c r="C48" s="32">
        <f t="shared" si="2"/>
        <v>1.2658227848101266E-2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26877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39">
        <v>7940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  <row r="3162" spans="11:12" x14ac:dyDescent="0.45">
      <c r="K3162" s="5">
        <v>3160</v>
      </c>
      <c r="L3162" s="73">
        <v>1.5000000000000089</v>
      </c>
    </row>
    <row r="3163" spans="11:12" x14ac:dyDescent="0.45">
      <c r="K3163" s="5">
        <v>3161</v>
      </c>
      <c r="L3163" s="73">
        <v>50.100000000000009</v>
      </c>
    </row>
    <row r="3164" spans="11:12" x14ac:dyDescent="0.45">
      <c r="K3164" s="5">
        <v>3162</v>
      </c>
      <c r="L3164" s="73">
        <v>8.8817841970012523E-15</v>
      </c>
    </row>
    <row r="3165" spans="11:12" x14ac:dyDescent="0.45">
      <c r="K3165" s="5">
        <v>3163</v>
      </c>
      <c r="L3165" s="73">
        <v>26.000000000000007</v>
      </c>
    </row>
    <row r="3166" spans="11:12" x14ac:dyDescent="0.45">
      <c r="K3166" s="5">
        <v>3164</v>
      </c>
      <c r="L3166" s="73">
        <v>-5.6999999999999904</v>
      </c>
    </row>
    <row r="3167" spans="11:12" x14ac:dyDescent="0.45">
      <c r="K3167" s="5">
        <v>3165</v>
      </c>
      <c r="L3167" s="73">
        <v>9.7699626167013776E-15</v>
      </c>
    </row>
    <row r="3168" spans="11:12" x14ac:dyDescent="0.45">
      <c r="K3168" s="5">
        <v>3166</v>
      </c>
      <c r="L3168" s="73">
        <v>-45.199999999999996</v>
      </c>
    </row>
    <row r="3169" spans="11:12" x14ac:dyDescent="0.45">
      <c r="K3169" s="5">
        <v>3167</v>
      </c>
      <c r="L3169" s="73">
        <v>-3.4999999999999911</v>
      </c>
    </row>
    <row r="3170" spans="11:12" x14ac:dyDescent="0.45">
      <c r="K3170" s="5">
        <v>3168</v>
      </c>
      <c r="L3170" s="73">
        <v>8.8817841970012523E-15</v>
      </c>
    </row>
    <row r="3171" spans="11:12" x14ac:dyDescent="0.45">
      <c r="K3171" s="5">
        <v>3169</v>
      </c>
      <c r="L3171" s="73">
        <v>-10.69999999999999</v>
      </c>
    </row>
    <row r="3172" spans="11:12" x14ac:dyDescent="0.45">
      <c r="K3172" s="5">
        <v>3170</v>
      </c>
      <c r="L3172" s="73">
        <v>-33.999999999999993</v>
      </c>
    </row>
    <row r="3173" spans="11:12" x14ac:dyDescent="0.45">
      <c r="K3173" s="5">
        <v>3171</v>
      </c>
      <c r="L3173" s="73">
        <v>8.8817841970012523E-15</v>
      </c>
    </row>
    <row r="3174" spans="11:12" x14ac:dyDescent="0.45">
      <c r="K3174" s="5">
        <v>3172</v>
      </c>
      <c r="L3174" s="73">
        <v>-0.89999999999999114</v>
      </c>
    </row>
    <row r="3175" spans="11:12" x14ac:dyDescent="0.45">
      <c r="K3175" s="5">
        <v>3173</v>
      </c>
      <c r="L3175" s="73">
        <v>15.20000000000001</v>
      </c>
    </row>
    <row r="3176" spans="11:12" x14ac:dyDescent="0.45">
      <c r="K3176" s="5">
        <v>3174</v>
      </c>
      <c r="L3176" s="73">
        <v>1.0658141036401503E-14</v>
      </c>
    </row>
    <row r="3177" spans="11:12" x14ac:dyDescent="0.45">
      <c r="K3177" s="5">
        <v>3175</v>
      </c>
      <c r="L3177" s="73">
        <v>-12.599999999999989</v>
      </c>
    </row>
    <row r="3178" spans="11:12" x14ac:dyDescent="0.45">
      <c r="K3178" s="5">
        <v>3176</v>
      </c>
      <c r="L3178" s="73">
        <v>-57.79999999999999</v>
      </c>
    </row>
    <row r="3179" spans="11:12" x14ac:dyDescent="0.45">
      <c r="K3179" s="5">
        <v>3177</v>
      </c>
      <c r="L3179" s="73">
        <v>8.8817841970012523E-15</v>
      </c>
    </row>
    <row r="3180" spans="11:12" x14ac:dyDescent="0.45">
      <c r="K3180" s="5">
        <v>3178</v>
      </c>
      <c r="L3180" s="73">
        <v>-3.9999999999999911</v>
      </c>
    </row>
    <row r="3181" spans="11:12" x14ac:dyDescent="0.45">
      <c r="K3181" s="5">
        <v>3179</v>
      </c>
      <c r="L3181" s="73">
        <v>47.300000000000004</v>
      </c>
    </row>
    <row r="3182" spans="11:12" x14ac:dyDescent="0.45">
      <c r="K3182" s="5">
        <v>3180</v>
      </c>
      <c r="L3182" s="73">
        <v>8.8817841970012523E-15</v>
      </c>
    </row>
    <row r="3183" spans="11:12" x14ac:dyDescent="0.45">
      <c r="K3183" s="5">
        <v>3181</v>
      </c>
      <c r="L3183" s="73">
        <v>-57.099999999999994</v>
      </c>
    </row>
    <row r="3184" spans="11:12" x14ac:dyDescent="0.45">
      <c r="K3184" s="5">
        <v>3182</v>
      </c>
      <c r="L3184" s="73">
        <v>-52.8</v>
      </c>
    </row>
    <row r="3185" spans="11:12" x14ac:dyDescent="0.45">
      <c r="K3185" s="5">
        <v>3183</v>
      </c>
      <c r="L3185" s="73">
        <v>1.7763568394002505E-15</v>
      </c>
    </row>
    <row r="3186" spans="11:12" x14ac:dyDescent="0.45">
      <c r="K3186" s="5">
        <v>3184</v>
      </c>
      <c r="L3186" s="73">
        <v>-20</v>
      </c>
    </row>
    <row r="3187" spans="11:12" x14ac:dyDescent="0.45">
      <c r="K3187" s="5">
        <v>3185</v>
      </c>
      <c r="L3187" s="73">
        <v>53</v>
      </c>
    </row>
    <row r="3188" spans="11:12" x14ac:dyDescent="0.45">
      <c r="K3188" s="5">
        <v>3186</v>
      </c>
      <c r="L3188" s="73">
        <v>1.7763568394002505E-15</v>
      </c>
    </row>
    <row r="3189" spans="11:12" x14ac:dyDescent="0.45">
      <c r="K3189" s="5">
        <v>3187</v>
      </c>
      <c r="L3189" s="73">
        <v>54.4</v>
      </c>
    </row>
    <row r="3190" spans="11:12" x14ac:dyDescent="0.45">
      <c r="K3190" s="5">
        <v>3188</v>
      </c>
      <c r="L3190" s="73">
        <v>4.2999999999999989</v>
      </c>
    </row>
    <row r="3191" spans="11:12" x14ac:dyDescent="0.45">
      <c r="K3191" s="5">
        <v>3189</v>
      </c>
      <c r="L3191" s="73">
        <v>-8.8817841970012523E-16</v>
      </c>
    </row>
    <row r="3192" spans="11:12" x14ac:dyDescent="0.45">
      <c r="K3192" s="5">
        <v>3190</v>
      </c>
      <c r="L3192" s="73">
        <v>-48.2</v>
      </c>
    </row>
    <row r="3193" spans="11:12" x14ac:dyDescent="0.45">
      <c r="K3193" s="5">
        <v>3191</v>
      </c>
      <c r="L3193" s="73">
        <v>11.500000000000002</v>
      </c>
    </row>
    <row r="3194" spans="11:12" x14ac:dyDescent="0.45">
      <c r="K3194" s="5">
        <v>3192</v>
      </c>
      <c r="L3194" s="73">
        <v>1.7763568394002505E-15</v>
      </c>
    </row>
    <row r="3195" spans="11:12" x14ac:dyDescent="0.45">
      <c r="K3195" s="5">
        <v>3193</v>
      </c>
      <c r="L3195" s="73">
        <v>22.300000000000004</v>
      </c>
    </row>
    <row r="3196" spans="11:12" x14ac:dyDescent="0.45">
      <c r="K3196" s="5">
        <v>3194</v>
      </c>
      <c r="L3196" s="73">
        <v>27.300000000000004</v>
      </c>
    </row>
    <row r="3197" spans="11:12" x14ac:dyDescent="0.45">
      <c r="K3197" s="5">
        <v>3195</v>
      </c>
      <c r="L3197" s="73">
        <v>1.7763568394002505E-15</v>
      </c>
    </row>
    <row r="3198" spans="11:12" x14ac:dyDescent="0.45">
      <c r="K3198" s="5">
        <v>3196</v>
      </c>
      <c r="L3198" s="73">
        <v>-9.4999999999999982</v>
      </c>
    </row>
    <row r="3199" spans="11:12" x14ac:dyDescent="0.45">
      <c r="K3199" s="5">
        <v>3197</v>
      </c>
      <c r="L3199" s="73">
        <v>22.1</v>
      </c>
    </row>
    <row r="3200" spans="11:12" x14ac:dyDescent="0.45">
      <c r="K3200" s="5">
        <v>3198</v>
      </c>
      <c r="L3200" s="73">
        <v>1.7763568394002505E-15</v>
      </c>
    </row>
    <row r="3201" spans="11:12" x14ac:dyDescent="0.45">
      <c r="K3201" s="5">
        <v>3199</v>
      </c>
      <c r="L3201" s="73">
        <v>-36.4</v>
      </c>
    </row>
    <row r="3202" spans="11:12" x14ac:dyDescent="0.45">
      <c r="K3202" s="5">
        <v>3200</v>
      </c>
      <c r="L3202" s="73">
        <v>-61.6</v>
      </c>
    </row>
    <row r="3203" spans="11:12" x14ac:dyDescent="0.45">
      <c r="K3203" s="5">
        <v>3201</v>
      </c>
      <c r="L3203" s="73">
        <v>1.7763568394002505E-15</v>
      </c>
    </row>
    <row r="3204" spans="11:12" x14ac:dyDescent="0.45">
      <c r="K3204" s="5">
        <v>3202</v>
      </c>
      <c r="L3204" s="73">
        <v>-2.299999999999998</v>
      </c>
    </row>
    <row r="3205" spans="11:12" x14ac:dyDescent="0.45">
      <c r="K3205" s="5">
        <v>3203</v>
      </c>
      <c r="L3205" s="73">
        <v>-24.799999999999997</v>
      </c>
    </row>
    <row r="3206" spans="11:12" x14ac:dyDescent="0.45">
      <c r="K3206" s="5">
        <v>3204</v>
      </c>
      <c r="L3206" s="73">
        <v>1.7763568394002505E-15</v>
      </c>
    </row>
    <row r="3207" spans="11:12" x14ac:dyDescent="0.45">
      <c r="K3207" s="5">
        <v>3205</v>
      </c>
      <c r="L3207" s="73">
        <v>-27.5</v>
      </c>
    </row>
    <row r="3208" spans="11:12" x14ac:dyDescent="0.45">
      <c r="K3208" s="5">
        <v>3206</v>
      </c>
      <c r="L3208" s="73">
        <v>-22</v>
      </c>
    </row>
    <row r="3209" spans="11:12" x14ac:dyDescent="0.45">
      <c r="K3209" s="5">
        <v>3207</v>
      </c>
      <c r="L3209" s="73">
        <v>1.7763568394002505E-15</v>
      </c>
    </row>
    <row r="3210" spans="11:12" x14ac:dyDescent="0.45">
      <c r="K3210" s="5">
        <v>3208</v>
      </c>
      <c r="L3210" s="73">
        <v>70.000000000000014</v>
      </c>
    </row>
    <row r="3211" spans="11:12" x14ac:dyDescent="0.45">
      <c r="K3211" s="5">
        <v>3209</v>
      </c>
      <c r="L3211" s="73">
        <v>46.500000000000007</v>
      </c>
    </row>
    <row r="3212" spans="11:12" x14ac:dyDescent="0.45">
      <c r="K3212" s="5">
        <v>3210</v>
      </c>
      <c r="L3212" s="73">
        <v>8.8817841970012523E-15</v>
      </c>
    </row>
    <row r="3213" spans="11:12" x14ac:dyDescent="0.45">
      <c r="K3213" s="5">
        <v>3211</v>
      </c>
      <c r="L3213" s="73">
        <v>-5.3999999999999915</v>
      </c>
    </row>
    <row r="3214" spans="11:12" x14ac:dyDescent="0.45">
      <c r="K3214" s="5">
        <v>3212</v>
      </c>
      <c r="L3214" s="73">
        <v>31.900000000000006</v>
      </c>
    </row>
    <row r="3215" spans="11:12" x14ac:dyDescent="0.45">
      <c r="K3215" s="5">
        <v>3213</v>
      </c>
      <c r="L3215" s="73">
        <v>8.8817841970012523E-15</v>
      </c>
    </row>
    <row r="3216" spans="11:12" x14ac:dyDescent="0.45">
      <c r="K3216" s="5">
        <v>3214</v>
      </c>
      <c r="L3216" s="73">
        <v>1.3000000000000089</v>
      </c>
    </row>
    <row r="3217" spans="11:12" x14ac:dyDescent="0.45">
      <c r="K3217" s="5">
        <v>3215</v>
      </c>
      <c r="L3217" s="73">
        <v>-13.79999999999999</v>
      </c>
    </row>
    <row r="3218" spans="11:12" x14ac:dyDescent="0.45">
      <c r="K3218" s="5">
        <v>3216</v>
      </c>
      <c r="L3218" s="73">
        <v>1.0658141036401503E-14</v>
      </c>
    </row>
    <row r="3219" spans="11:12" x14ac:dyDescent="0.45">
      <c r="K3219" s="5">
        <v>3217</v>
      </c>
      <c r="L3219" s="73">
        <v>87.300000000000011</v>
      </c>
    </row>
    <row r="3220" spans="11:12" x14ac:dyDescent="0.45">
      <c r="K3220" s="5">
        <v>3218</v>
      </c>
      <c r="L3220" s="73">
        <v>65.000000000000014</v>
      </c>
    </row>
    <row r="3221" spans="11:12" x14ac:dyDescent="0.45">
      <c r="K3221" s="5">
        <v>3219</v>
      </c>
      <c r="L3221" s="73">
        <v>8.8817841970012523E-15</v>
      </c>
    </row>
    <row r="3222" spans="11:12" x14ac:dyDescent="0.45">
      <c r="K3222" s="5">
        <v>3220</v>
      </c>
      <c r="L3222" s="73">
        <v>6.3000000000000087</v>
      </c>
    </row>
    <row r="3223" spans="11:12" x14ac:dyDescent="0.45">
      <c r="K3223" s="5">
        <v>3221</v>
      </c>
      <c r="L3223" s="73">
        <v>52.900000000000006</v>
      </c>
    </row>
    <row r="3224" spans="11:12" x14ac:dyDescent="0.45">
      <c r="K3224" s="5">
        <v>3222</v>
      </c>
      <c r="L3224" s="73">
        <v>8.8817841970012523E-15</v>
      </c>
    </row>
    <row r="3225" spans="11:12" x14ac:dyDescent="0.45">
      <c r="K3225" s="5">
        <v>3223</v>
      </c>
      <c r="L3225" s="73">
        <v>-72.699999999999989</v>
      </c>
    </row>
    <row r="3226" spans="11:12" x14ac:dyDescent="0.45">
      <c r="K3226" s="5">
        <v>3224</v>
      </c>
      <c r="L3226" s="73">
        <v>-49.499999999999993</v>
      </c>
    </row>
    <row r="3227" spans="11:12" x14ac:dyDescent="0.45">
      <c r="K3227" s="5">
        <v>3225</v>
      </c>
      <c r="L3227" s="73">
        <v>8.8817841970012523E-15</v>
      </c>
    </row>
    <row r="3228" spans="11:12" x14ac:dyDescent="0.45">
      <c r="K3228" s="5">
        <v>3226</v>
      </c>
      <c r="L3228" s="73">
        <v>8.6000000000000085</v>
      </c>
    </row>
    <row r="3229" spans="11:12" x14ac:dyDescent="0.45">
      <c r="K3229" s="5">
        <v>3227</v>
      </c>
      <c r="L3229" s="73">
        <v>46.600000000000009</v>
      </c>
    </row>
    <row r="3230" spans="11:12" x14ac:dyDescent="0.45">
      <c r="K3230" s="5">
        <v>3228</v>
      </c>
      <c r="L3230" s="73">
        <v>8.8817841970012523E-15</v>
      </c>
    </row>
    <row r="3231" spans="11:12" x14ac:dyDescent="0.45">
      <c r="K3231" s="5">
        <v>3229</v>
      </c>
      <c r="L3231" s="73">
        <v>-40.79999999999999</v>
      </c>
    </row>
    <row r="3232" spans="11:12" x14ac:dyDescent="0.45">
      <c r="K3232" s="5">
        <v>3230</v>
      </c>
      <c r="L3232" s="73">
        <v>-33.599999999999987</v>
      </c>
    </row>
    <row r="3233" spans="11:12" x14ac:dyDescent="0.45">
      <c r="K3233" s="5">
        <v>3231</v>
      </c>
      <c r="L3233" s="73">
        <v>1.5987211554602254E-14</v>
      </c>
    </row>
    <row r="3234" spans="11:12" x14ac:dyDescent="0.45">
      <c r="K3234" s="5">
        <v>3232</v>
      </c>
      <c r="L3234" s="73">
        <v>-33.399999999999984</v>
      </c>
    </row>
    <row r="3235" spans="11:12" x14ac:dyDescent="0.45">
      <c r="K3235" s="5">
        <v>3233</v>
      </c>
      <c r="L3235" s="73">
        <v>-41.599999999999987</v>
      </c>
    </row>
    <row r="3236" spans="11:12" x14ac:dyDescent="0.45">
      <c r="K3236" s="5">
        <v>3234</v>
      </c>
      <c r="L3236" s="73">
        <v>1.5987211554602254E-14</v>
      </c>
    </row>
    <row r="3237" spans="11:12" x14ac:dyDescent="0.45">
      <c r="K3237" s="5">
        <v>3235</v>
      </c>
      <c r="L3237" s="73">
        <v>-33.399999999999984</v>
      </c>
    </row>
    <row r="3238" spans="11:12" x14ac:dyDescent="0.45">
      <c r="K3238" s="5">
        <v>3236</v>
      </c>
      <c r="L3238" s="73">
        <v>57.600000000000016</v>
      </c>
    </row>
    <row r="3239" spans="11:12" x14ac:dyDescent="0.45">
      <c r="K3239" s="5">
        <v>3237</v>
      </c>
      <c r="L3239" s="73">
        <v>1.5987211554602254E-14</v>
      </c>
    </row>
    <row r="3240" spans="11:12" x14ac:dyDescent="0.45">
      <c r="K3240" s="5">
        <v>3238</v>
      </c>
      <c r="L3240" s="73">
        <v>6.8000000000000158</v>
      </c>
    </row>
    <row r="3241" spans="11:12" x14ac:dyDescent="0.45">
      <c r="K3241" s="5">
        <v>3239</v>
      </c>
      <c r="L3241" s="73">
        <v>48.100000000000009</v>
      </c>
    </row>
    <row r="3242" spans="11:12" x14ac:dyDescent="0.45">
      <c r="K3242" s="5">
        <v>3240</v>
      </c>
      <c r="L3242" s="73">
        <v>8.8817841970012523E-15</v>
      </c>
    </row>
    <row r="3243" spans="11:12" x14ac:dyDescent="0.45">
      <c r="K3243" s="5">
        <v>3241</v>
      </c>
      <c r="L3243" s="73">
        <v>64.000000000000014</v>
      </c>
    </row>
    <row r="3244" spans="11:12" x14ac:dyDescent="0.45">
      <c r="K3244" s="5">
        <v>3242</v>
      </c>
      <c r="L3244" s="73">
        <v>26.800000000000004</v>
      </c>
    </row>
    <row r="3245" spans="11:12" x14ac:dyDescent="0.45">
      <c r="K3245" s="5">
        <v>3243</v>
      </c>
      <c r="L3245" s="73">
        <v>5.3290705182007514E-15</v>
      </c>
    </row>
    <row r="3246" spans="11:12" x14ac:dyDescent="0.45">
      <c r="K3246" s="5">
        <v>3244</v>
      </c>
      <c r="L3246" s="73">
        <v>-25.799999999999997</v>
      </c>
    </row>
    <row r="3247" spans="11:12" x14ac:dyDescent="0.45">
      <c r="K3247" s="5">
        <v>3245</v>
      </c>
      <c r="L3247" s="73">
        <v>-19.099999999999994</v>
      </c>
    </row>
    <row r="3248" spans="11:12" x14ac:dyDescent="0.45">
      <c r="K3248" s="5">
        <v>3246</v>
      </c>
      <c r="L3248" s="73">
        <v>5.3290705182007514E-15</v>
      </c>
    </row>
    <row r="3249" spans="11:12" x14ac:dyDescent="0.45">
      <c r="K3249" s="5">
        <v>3247</v>
      </c>
      <c r="L3249" s="73">
        <v>3.2000000000000055</v>
      </c>
    </row>
    <row r="3250" spans="11:12" x14ac:dyDescent="0.45">
      <c r="K3250" s="5">
        <v>3248</v>
      </c>
      <c r="L3250" s="73">
        <v>-44.4</v>
      </c>
    </row>
    <row r="3251" spans="11:12" x14ac:dyDescent="0.45">
      <c r="K3251" s="5">
        <v>3249</v>
      </c>
      <c r="L3251" s="73">
        <v>1.7763568394002505E-15</v>
      </c>
    </row>
    <row r="3252" spans="11:12" x14ac:dyDescent="0.45">
      <c r="K3252" s="5">
        <v>3250</v>
      </c>
      <c r="L3252" s="73">
        <v>-26.299999999999997</v>
      </c>
    </row>
    <row r="3253" spans="11:12" x14ac:dyDescent="0.45">
      <c r="K3253" s="5">
        <v>3251</v>
      </c>
      <c r="L3253" s="73">
        <v>-25.5</v>
      </c>
    </row>
    <row r="3254" spans="11:12" x14ac:dyDescent="0.45">
      <c r="K3254" s="5">
        <v>3252</v>
      </c>
      <c r="L3254" s="73">
        <v>1.7763568394002505E-15</v>
      </c>
    </row>
    <row r="3255" spans="11:12" x14ac:dyDescent="0.45">
      <c r="K3255" s="5">
        <v>3253</v>
      </c>
      <c r="L3255" s="73">
        <v>54.7</v>
      </c>
    </row>
    <row r="3256" spans="11:12" x14ac:dyDescent="0.45">
      <c r="K3256" s="5">
        <v>3254</v>
      </c>
      <c r="L3256" s="73">
        <v>50.300000000000004</v>
      </c>
    </row>
    <row r="3257" spans="11:12" x14ac:dyDescent="0.45">
      <c r="K3257" s="5">
        <v>3255</v>
      </c>
      <c r="L3257" s="73">
        <v>8.8817841970012523E-15</v>
      </c>
    </row>
    <row r="3258" spans="11:12" x14ac:dyDescent="0.45">
      <c r="K3258" s="5">
        <v>3256</v>
      </c>
      <c r="L3258" s="73">
        <v>8.6000000000000085</v>
      </c>
    </row>
    <row r="3259" spans="11:12" x14ac:dyDescent="0.45">
      <c r="K3259" s="5">
        <v>3257</v>
      </c>
      <c r="L3259" s="73">
        <v>47.300000000000011</v>
      </c>
    </row>
    <row r="3260" spans="11:12" x14ac:dyDescent="0.45">
      <c r="K3260" s="5">
        <v>3258</v>
      </c>
      <c r="L3260" s="73">
        <v>1.5987211554602254E-14</v>
      </c>
    </row>
    <row r="3261" spans="11:12" x14ac:dyDescent="0.45">
      <c r="K3261" s="5">
        <v>3259</v>
      </c>
      <c r="L3261" s="73">
        <v>-11.799999999999985</v>
      </c>
    </row>
    <row r="3262" spans="11:12" x14ac:dyDescent="0.45">
      <c r="K3262" s="5">
        <v>3260</v>
      </c>
      <c r="L3262" s="73">
        <v>-44.79999999999999</v>
      </c>
    </row>
    <row r="3263" spans="11:12" x14ac:dyDescent="0.45">
      <c r="K3263" s="5">
        <v>3261</v>
      </c>
      <c r="L3263" s="73">
        <v>8.8817841970012523E-15</v>
      </c>
    </row>
    <row r="3264" spans="11:12" x14ac:dyDescent="0.45">
      <c r="K3264" s="5">
        <v>3262</v>
      </c>
      <c r="L3264" s="73">
        <v>-45.599999999999994</v>
      </c>
    </row>
    <row r="3265" spans="11:12" x14ac:dyDescent="0.45">
      <c r="K3265" s="5">
        <v>3263</v>
      </c>
      <c r="L3265" s="73">
        <v>3.9000000000000075</v>
      </c>
    </row>
    <row r="3266" spans="11:12" x14ac:dyDescent="0.45">
      <c r="K3266" s="5">
        <v>3264</v>
      </c>
      <c r="L3266" s="73">
        <v>7.5495165674510645E-15</v>
      </c>
    </row>
    <row r="3267" spans="11:12" x14ac:dyDescent="0.45">
      <c r="K3267" s="5">
        <v>3265</v>
      </c>
      <c r="L3267" s="73">
        <v>45.300000000000004</v>
      </c>
    </row>
    <row r="3268" spans="11:12" x14ac:dyDescent="0.45">
      <c r="K3268" s="5">
        <v>3266</v>
      </c>
      <c r="L3268" s="73">
        <v>40.6</v>
      </c>
    </row>
    <row r="3269" spans="11:12" x14ac:dyDescent="0.45">
      <c r="K3269" s="5">
        <v>3267</v>
      </c>
      <c r="L3269" s="73">
        <v>1.7763568394002505E-15</v>
      </c>
    </row>
    <row r="3270" spans="11:12" x14ac:dyDescent="0.45">
      <c r="K3270" s="5">
        <v>3268</v>
      </c>
      <c r="L3270" s="73">
        <v>-54.4</v>
      </c>
    </row>
    <row r="3271" spans="11:12" x14ac:dyDescent="0.45">
      <c r="K3271" s="5">
        <v>3269</v>
      </c>
      <c r="L3271" s="73">
        <v>16.600000000000001</v>
      </c>
    </row>
    <row r="3272" spans="11:12" x14ac:dyDescent="0.45">
      <c r="K3272" s="5">
        <v>3270</v>
      </c>
      <c r="L3272" s="73">
        <v>1.7763568394002505E-15</v>
      </c>
    </row>
    <row r="3273" spans="11:12" x14ac:dyDescent="0.45">
      <c r="K3273" s="5">
        <v>3271</v>
      </c>
      <c r="L3273" s="73">
        <v>-23.699999999999996</v>
      </c>
    </row>
    <row r="3274" spans="11:12" x14ac:dyDescent="0.45">
      <c r="K3274" s="5">
        <v>3272</v>
      </c>
      <c r="L3274" s="73">
        <v>-22.299999999999997</v>
      </c>
    </row>
    <row r="3275" spans="11:12" x14ac:dyDescent="0.45">
      <c r="K3275" s="5">
        <v>3273</v>
      </c>
      <c r="L3275" s="73">
        <v>1.7763568394002505E-15</v>
      </c>
    </row>
    <row r="3276" spans="11:12" x14ac:dyDescent="0.45">
      <c r="K3276" s="5">
        <v>3274</v>
      </c>
      <c r="L3276" s="73">
        <v>-50.4</v>
      </c>
    </row>
    <row r="3277" spans="11:12" x14ac:dyDescent="0.45">
      <c r="K3277" s="5">
        <v>3275</v>
      </c>
      <c r="L3277" s="73">
        <v>-79.099999999999994</v>
      </c>
    </row>
    <row r="3278" spans="11:12" x14ac:dyDescent="0.45">
      <c r="K3278" s="5">
        <v>3276</v>
      </c>
      <c r="L3278" s="73">
        <v>-5.3290705182007514E-15</v>
      </c>
    </row>
    <row r="3279" spans="11:12" x14ac:dyDescent="0.45">
      <c r="K3279" s="5">
        <v>3277</v>
      </c>
      <c r="L3279" s="73">
        <v>29.399999999999991</v>
      </c>
    </row>
    <row r="3280" spans="11:12" x14ac:dyDescent="0.45">
      <c r="K3280" s="5">
        <v>3278</v>
      </c>
      <c r="L3280" s="73">
        <v>-6.5000000000000053</v>
      </c>
    </row>
    <row r="3281" spans="11:12" x14ac:dyDescent="0.45">
      <c r="K3281" s="5">
        <v>3279</v>
      </c>
      <c r="L3281" s="73">
        <v>-5.3290705182007514E-15</v>
      </c>
    </row>
    <row r="3282" spans="11:12" x14ac:dyDescent="0.45">
      <c r="K3282" s="5">
        <v>3280</v>
      </c>
      <c r="L3282" s="73">
        <v>12.499999999999995</v>
      </c>
    </row>
    <row r="3283" spans="11:12" x14ac:dyDescent="0.45">
      <c r="K3283" s="5">
        <v>3281</v>
      </c>
      <c r="L3283" s="73">
        <v>13.199999999999994</v>
      </c>
    </row>
    <row r="3284" spans="11:12" x14ac:dyDescent="0.45">
      <c r="K3284" s="5">
        <v>3282</v>
      </c>
      <c r="L3284" s="73">
        <v>-5.3290705182007514E-15</v>
      </c>
    </row>
    <row r="3285" spans="11:12" x14ac:dyDescent="0.45">
      <c r="K3285" s="5">
        <v>3283</v>
      </c>
      <c r="L3285" s="73">
        <v>40.099999999999994</v>
      </c>
    </row>
    <row r="3286" spans="11:12" x14ac:dyDescent="0.45">
      <c r="K3286" s="5">
        <v>3284</v>
      </c>
      <c r="L3286" s="73">
        <v>4.7999999999999989</v>
      </c>
    </row>
    <row r="3287" spans="11:12" x14ac:dyDescent="0.45">
      <c r="K3287" s="5">
        <v>3285</v>
      </c>
      <c r="L3287" s="73">
        <v>-8.8817841970012523E-16</v>
      </c>
    </row>
    <row r="3288" spans="11:12" x14ac:dyDescent="0.45">
      <c r="K3288" s="5">
        <v>3286</v>
      </c>
      <c r="L3288" s="73">
        <v>5.4999999999999991</v>
      </c>
    </row>
    <row r="3289" spans="11:12" x14ac:dyDescent="0.45">
      <c r="K3289" s="5">
        <v>3287</v>
      </c>
      <c r="L3289" s="73">
        <v>-45.1</v>
      </c>
    </row>
    <row r="3290" spans="11:12" x14ac:dyDescent="0.45">
      <c r="K3290" s="5">
        <v>3288</v>
      </c>
      <c r="L3290" s="73">
        <v>1.7763568394002505E-15</v>
      </c>
    </row>
    <row r="3291" spans="11:12" x14ac:dyDescent="0.45">
      <c r="K3291" s="5">
        <v>3289</v>
      </c>
      <c r="L3291" s="73">
        <v>-25.9</v>
      </c>
    </row>
    <row r="3292" spans="11:12" x14ac:dyDescent="0.45">
      <c r="K3292" s="5">
        <v>3290</v>
      </c>
      <c r="L3292" s="73">
        <v>-21</v>
      </c>
    </row>
    <row r="3293" spans="11:12" x14ac:dyDescent="0.45">
      <c r="K3293" s="5">
        <v>3291</v>
      </c>
      <c r="L3293" s="73">
        <v>1.7763568394002505E-15</v>
      </c>
    </row>
    <row r="3294" spans="11:12" x14ac:dyDescent="0.45">
      <c r="K3294" s="5">
        <v>3292</v>
      </c>
      <c r="L3294" s="73">
        <v>73.7</v>
      </c>
    </row>
    <row r="3295" spans="11:12" x14ac:dyDescent="0.45">
      <c r="K3295" s="5">
        <v>3293</v>
      </c>
      <c r="L3295" s="73">
        <v>51.199999999999996</v>
      </c>
    </row>
    <row r="3296" spans="11:12" x14ac:dyDescent="0.45">
      <c r="K3296" s="5">
        <v>3294</v>
      </c>
      <c r="L3296" s="73">
        <v>-5.3290705182007514E-15</v>
      </c>
    </row>
    <row r="3297" spans="11:12" x14ac:dyDescent="0.45">
      <c r="K3297" s="5">
        <v>3295</v>
      </c>
      <c r="L3297" s="73">
        <v>-65.2</v>
      </c>
    </row>
    <row r="3298" spans="11:12" x14ac:dyDescent="0.45">
      <c r="K3298" s="5">
        <v>3296</v>
      </c>
      <c r="L3298" s="73">
        <v>-45.800000000000011</v>
      </c>
    </row>
    <row r="3299" spans="11:12" x14ac:dyDescent="0.45">
      <c r="K3299" s="5">
        <v>3297</v>
      </c>
      <c r="L3299" s="73">
        <v>-1.2434497875801753E-14</v>
      </c>
    </row>
    <row r="3300" spans="11:12" x14ac:dyDescent="0.45">
      <c r="K3300" s="5">
        <v>3298</v>
      </c>
      <c r="L3300" s="73">
        <v>6.4999999999999876</v>
      </c>
    </row>
    <row r="3301" spans="11:12" x14ac:dyDescent="0.45">
      <c r="K3301" s="5">
        <v>3299</v>
      </c>
      <c r="L3301" s="73">
        <v>-32.500000000000014</v>
      </c>
    </row>
    <row r="3302" spans="11:12" x14ac:dyDescent="0.45">
      <c r="K3302" s="5">
        <v>3300</v>
      </c>
      <c r="L3302" s="73">
        <v>-1.2434497875801753E-14</v>
      </c>
    </row>
    <row r="3303" spans="11:12" x14ac:dyDescent="0.45">
      <c r="K3303" s="5">
        <v>3301</v>
      </c>
      <c r="L3303" s="73">
        <v>-23.300000000000011</v>
      </c>
    </row>
    <row r="3304" spans="11:12" x14ac:dyDescent="0.45">
      <c r="K3304" s="5">
        <v>3302</v>
      </c>
      <c r="L3304" s="73">
        <v>-57.900000000000013</v>
      </c>
    </row>
    <row r="3305" spans="11:12" x14ac:dyDescent="0.45">
      <c r="K3305" s="5">
        <v>3303</v>
      </c>
      <c r="L3305" s="73">
        <v>-1.2434497875801753E-14</v>
      </c>
    </row>
    <row r="3306" spans="11:12" x14ac:dyDescent="0.45">
      <c r="K3306" s="5">
        <v>3304</v>
      </c>
      <c r="L3306" s="73">
        <v>-39.100000000000016</v>
      </c>
    </row>
    <row r="3307" spans="11:12" x14ac:dyDescent="0.45">
      <c r="K3307" s="5">
        <v>3305</v>
      </c>
      <c r="L3307" s="73">
        <v>-25.300000000000011</v>
      </c>
    </row>
    <row r="3308" spans="11:12" x14ac:dyDescent="0.45">
      <c r="K3308" s="5">
        <v>3306</v>
      </c>
      <c r="L3308" s="73">
        <v>-1.2434497875801753E-14</v>
      </c>
    </row>
    <row r="3309" spans="11:12" x14ac:dyDescent="0.45">
      <c r="K3309" s="5">
        <v>3307</v>
      </c>
      <c r="L3309" s="73">
        <v>-6.3000000000000123</v>
      </c>
    </row>
    <row r="3310" spans="11:12" x14ac:dyDescent="0.45">
      <c r="K3310" s="5">
        <v>3308</v>
      </c>
      <c r="L3310" s="73">
        <v>45.599999999999987</v>
      </c>
    </row>
    <row r="3311" spans="11:12" x14ac:dyDescent="0.45">
      <c r="K3311" s="5">
        <v>3309</v>
      </c>
      <c r="L3311" s="73">
        <v>-1.2434497875801753E-14</v>
      </c>
    </row>
    <row r="3312" spans="11:12" x14ac:dyDescent="0.45">
      <c r="K3312" s="5">
        <v>3310</v>
      </c>
      <c r="L3312" s="73">
        <v>28.499999999999986</v>
      </c>
    </row>
    <row r="3313" spans="11:12" x14ac:dyDescent="0.45">
      <c r="K3313" s="5">
        <v>3311</v>
      </c>
      <c r="L3313" s="73">
        <v>8.2999999999999883</v>
      </c>
    </row>
    <row r="3314" spans="11:12" x14ac:dyDescent="0.45">
      <c r="K3314" s="5">
        <v>3312</v>
      </c>
      <c r="L3314" s="73">
        <v>-1.2434497875801753E-14</v>
      </c>
    </row>
    <row r="3315" spans="11:12" x14ac:dyDescent="0.45">
      <c r="K3315" s="5">
        <v>3313</v>
      </c>
      <c r="L3315" s="73">
        <v>-25.70000000000001</v>
      </c>
    </row>
    <row r="3316" spans="11:12" x14ac:dyDescent="0.45">
      <c r="K3316" s="5">
        <v>3314</v>
      </c>
      <c r="L3316" s="73">
        <v>-18.600000000000016</v>
      </c>
    </row>
    <row r="3317" spans="11:12" x14ac:dyDescent="0.45">
      <c r="K3317" s="5">
        <v>3315</v>
      </c>
      <c r="L3317" s="73">
        <v>-1.2434497875801753E-14</v>
      </c>
    </row>
    <row r="3318" spans="11:12" x14ac:dyDescent="0.45">
      <c r="K3318" s="5">
        <v>3316</v>
      </c>
      <c r="L3318" s="73">
        <v>-1.4000000000000123</v>
      </c>
    </row>
    <row r="3319" spans="11:12" x14ac:dyDescent="0.45">
      <c r="K3319" s="5">
        <v>3317</v>
      </c>
      <c r="L3319" s="73">
        <v>21.79999999999999</v>
      </c>
    </row>
    <row r="3320" spans="11:12" x14ac:dyDescent="0.45">
      <c r="K3320" s="5">
        <v>3318</v>
      </c>
      <c r="L3320" s="73">
        <v>-1.2434497875801753E-14</v>
      </c>
    </row>
    <row r="3321" spans="11:12" x14ac:dyDescent="0.45">
      <c r="K3321" s="5">
        <v>3319</v>
      </c>
      <c r="L3321" s="73">
        <v>-33.000000000000014</v>
      </c>
    </row>
    <row r="3322" spans="11:12" x14ac:dyDescent="0.45">
      <c r="K3322" s="5">
        <v>3320</v>
      </c>
      <c r="L3322" s="73">
        <v>-40.900000000000013</v>
      </c>
    </row>
    <row r="3323" spans="11:12" x14ac:dyDescent="0.45">
      <c r="K3323" s="5">
        <v>3321</v>
      </c>
      <c r="L3323" s="73">
        <v>-1.2434497875801753E-14</v>
      </c>
    </row>
    <row r="3324" spans="11:12" x14ac:dyDescent="0.45">
      <c r="K3324" s="5">
        <v>3322</v>
      </c>
      <c r="L3324" s="73">
        <v>-3.4000000000000123</v>
      </c>
    </row>
    <row r="3325" spans="11:12" x14ac:dyDescent="0.45">
      <c r="K3325" s="5">
        <v>3323</v>
      </c>
      <c r="L3325" s="73">
        <v>14.499999999999986</v>
      </c>
    </row>
    <row r="3326" spans="11:12" x14ac:dyDescent="0.45">
      <c r="K3326" s="5">
        <v>3324</v>
      </c>
      <c r="L3326" s="73">
        <v>-1.4210854715202004E-14</v>
      </c>
    </row>
    <row r="3327" spans="11:12" x14ac:dyDescent="0.45">
      <c r="K3327" s="5">
        <v>3325</v>
      </c>
      <c r="L3327" s="73">
        <v>-29.800000000000018</v>
      </c>
    </row>
    <row r="3328" spans="11:12" x14ac:dyDescent="0.45">
      <c r="K3328" s="5">
        <v>3326</v>
      </c>
      <c r="L3328" s="73">
        <v>4.0999999999999819</v>
      </c>
    </row>
    <row r="3329" spans="11:12" x14ac:dyDescent="0.45">
      <c r="K3329" s="5">
        <v>3327</v>
      </c>
      <c r="L3329" s="73">
        <v>-1.7763568394002505E-14</v>
      </c>
    </row>
    <row r="3330" spans="11:12" x14ac:dyDescent="0.45">
      <c r="K3330" s="5">
        <v>3328</v>
      </c>
      <c r="L3330" s="73">
        <v>13.499999999999982</v>
      </c>
    </row>
    <row r="3331" spans="11:12" x14ac:dyDescent="0.45">
      <c r="K3331" s="5">
        <v>3329</v>
      </c>
      <c r="L3331" s="73">
        <v>-34.500000000000021</v>
      </c>
    </row>
    <row r="3332" spans="11:12" x14ac:dyDescent="0.45">
      <c r="K3332" s="5">
        <v>3330</v>
      </c>
      <c r="L3332" s="73">
        <v>-1.9539925233402755E-14</v>
      </c>
    </row>
    <row r="3333" spans="11:12" x14ac:dyDescent="0.45">
      <c r="K3333" s="5">
        <v>3331</v>
      </c>
      <c r="L3333" s="73">
        <v>-46.300000000000018</v>
      </c>
    </row>
    <row r="3334" spans="11:12" x14ac:dyDescent="0.45">
      <c r="K3334" s="5">
        <v>3332</v>
      </c>
      <c r="L3334" s="73">
        <v>-43.500000000000021</v>
      </c>
    </row>
    <row r="3335" spans="11:12" x14ac:dyDescent="0.45">
      <c r="K3335" s="5">
        <v>3333</v>
      </c>
      <c r="L3335" s="73">
        <v>-1.9539925233402755E-14</v>
      </c>
    </row>
    <row r="3336" spans="11:12" x14ac:dyDescent="0.45">
      <c r="K3336" s="5">
        <v>3334</v>
      </c>
      <c r="L3336" s="73">
        <v>-23.600000000000023</v>
      </c>
    </row>
    <row r="3337" spans="11:12" x14ac:dyDescent="0.45">
      <c r="K3337" s="5">
        <v>3335</v>
      </c>
      <c r="L3337" s="73">
        <v>45.499999999999972</v>
      </c>
    </row>
    <row r="3338" spans="11:12" x14ac:dyDescent="0.45">
      <c r="K3338" s="5">
        <v>3336</v>
      </c>
      <c r="L3338" s="73">
        <v>-2.6645352591003757E-14</v>
      </c>
    </row>
    <row r="3339" spans="11:12" x14ac:dyDescent="0.45">
      <c r="K3339" s="5">
        <v>3337</v>
      </c>
      <c r="L3339" s="73">
        <v>3.3999999999999733</v>
      </c>
    </row>
    <row r="3340" spans="11:12" x14ac:dyDescent="0.45">
      <c r="K3340" s="5">
        <v>3338</v>
      </c>
      <c r="L3340" s="73">
        <v>-15.300000000000026</v>
      </c>
    </row>
    <row r="3341" spans="11:12" x14ac:dyDescent="0.45">
      <c r="K3341" s="5">
        <v>3339</v>
      </c>
      <c r="L3341" s="73">
        <v>-2.4868995751603507E-14</v>
      </c>
    </row>
    <row r="3342" spans="11:12" x14ac:dyDescent="0.45">
      <c r="K3342" s="5">
        <v>3340</v>
      </c>
      <c r="L3342" s="73">
        <v>-20.700000000000024</v>
      </c>
    </row>
    <row r="3343" spans="11:12" x14ac:dyDescent="0.45">
      <c r="K3343" s="5">
        <v>3341</v>
      </c>
      <c r="L3343" s="73">
        <v>-19.500000000000021</v>
      </c>
    </row>
    <row r="3344" spans="11:12" x14ac:dyDescent="0.45">
      <c r="K3344" s="5">
        <v>3342</v>
      </c>
      <c r="L3344" s="73">
        <v>-2.3092638912203256E-14</v>
      </c>
    </row>
    <row r="3345" spans="11:12" x14ac:dyDescent="0.45">
      <c r="K3345" s="5">
        <v>3343</v>
      </c>
      <c r="L3345" s="73">
        <v>-8.9000000000000234</v>
      </c>
    </row>
    <row r="3346" spans="11:12" x14ac:dyDescent="0.45">
      <c r="K3346" s="5">
        <v>3344</v>
      </c>
      <c r="L3346" s="73">
        <v>27.099999999999973</v>
      </c>
    </row>
    <row r="3347" spans="11:12" x14ac:dyDescent="0.45">
      <c r="K3347" s="5">
        <v>3345</v>
      </c>
      <c r="L3347" s="73">
        <v>-2.6645352591003757E-14</v>
      </c>
    </row>
    <row r="3348" spans="11:12" x14ac:dyDescent="0.45">
      <c r="K3348" s="5">
        <v>3346</v>
      </c>
      <c r="L3348" s="73">
        <v>-15.700000000000026</v>
      </c>
    </row>
    <row r="3349" spans="11:12" x14ac:dyDescent="0.45">
      <c r="K3349" s="5">
        <v>3347</v>
      </c>
      <c r="L3349" s="73">
        <v>4.6999999999999726</v>
      </c>
    </row>
    <row r="3350" spans="11:12" x14ac:dyDescent="0.45">
      <c r="K3350" s="5">
        <v>3348</v>
      </c>
      <c r="L3350" s="73">
        <v>-2.7533531010703882E-14</v>
      </c>
    </row>
    <row r="3351" spans="11:12" x14ac:dyDescent="0.45">
      <c r="K3351" s="5">
        <v>3349</v>
      </c>
      <c r="L3351" s="73">
        <v>-16.000000000000028</v>
      </c>
    </row>
    <row r="3352" spans="11:12" x14ac:dyDescent="0.45">
      <c r="K3352" s="5">
        <v>3350</v>
      </c>
      <c r="L3352" s="73">
        <v>1.4999999999999734</v>
      </c>
    </row>
    <row r="3353" spans="11:12" x14ac:dyDescent="0.45">
      <c r="K3353" s="5">
        <v>3351</v>
      </c>
      <c r="L3353" s="73">
        <v>-2.6645352591003757E-14</v>
      </c>
    </row>
    <row r="3354" spans="11:12" x14ac:dyDescent="0.45">
      <c r="K3354" s="5">
        <v>3352</v>
      </c>
      <c r="L3354" s="73">
        <v>-34.800000000000026</v>
      </c>
    </row>
    <row r="3355" spans="11:12" x14ac:dyDescent="0.45">
      <c r="K3355" s="5">
        <v>3353</v>
      </c>
      <c r="L3355" s="73">
        <v>-50.800000000000026</v>
      </c>
    </row>
    <row r="3356" spans="11:12" x14ac:dyDescent="0.45">
      <c r="K3356" s="5">
        <v>3354</v>
      </c>
      <c r="L3356" s="73">
        <v>-2.6645352591003757E-14</v>
      </c>
    </row>
    <row r="3357" spans="11:12" x14ac:dyDescent="0.45">
      <c r="K3357" s="5">
        <v>3355</v>
      </c>
      <c r="L3357" s="73">
        <v>33.199999999999974</v>
      </c>
    </row>
    <row r="3358" spans="11:12" x14ac:dyDescent="0.45">
      <c r="K3358" s="5">
        <v>3356</v>
      </c>
      <c r="L3358" s="73">
        <v>41.599999999999973</v>
      </c>
    </row>
    <row r="3359" spans="11:12" x14ac:dyDescent="0.45">
      <c r="K3359" s="5">
        <v>3357</v>
      </c>
      <c r="L3359" s="73">
        <v>-2.6645352591003757E-14</v>
      </c>
    </row>
    <row r="3360" spans="11:12" x14ac:dyDescent="0.45">
      <c r="K3360" s="5">
        <v>3358</v>
      </c>
      <c r="L3360" s="73">
        <v>11.899999999999974</v>
      </c>
    </row>
    <row r="3361" spans="11:12" x14ac:dyDescent="0.45">
      <c r="K3361" s="5">
        <v>3359</v>
      </c>
      <c r="L3361" s="73">
        <v>36.199999999999974</v>
      </c>
    </row>
    <row r="3362" spans="11:12" x14ac:dyDescent="0.45">
      <c r="K3362" s="5">
        <v>3360</v>
      </c>
      <c r="L3362" s="73">
        <v>-2.6645352591003757E-14</v>
      </c>
    </row>
    <row r="3363" spans="11:12" x14ac:dyDescent="0.45">
      <c r="K3363" s="5">
        <v>3361</v>
      </c>
      <c r="L3363" s="73">
        <v>6.1999999999999735</v>
      </c>
    </row>
    <row r="3364" spans="11:12" x14ac:dyDescent="0.45">
      <c r="K3364" s="5">
        <v>3362</v>
      </c>
      <c r="L3364" s="73">
        <v>-28.100000000000023</v>
      </c>
    </row>
    <row r="3365" spans="11:12" x14ac:dyDescent="0.45">
      <c r="K3365" s="5">
        <v>3363</v>
      </c>
      <c r="L3365" s="73">
        <v>-2.3092638912203256E-14</v>
      </c>
    </row>
    <row r="3366" spans="11:12" x14ac:dyDescent="0.45">
      <c r="K3366" s="5">
        <v>3364</v>
      </c>
      <c r="L3366" s="73">
        <v>-40.800000000000018</v>
      </c>
    </row>
    <row r="3367" spans="11:12" x14ac:dyDescent="0.45">
      <c r="K3367" s="5">
        <v>3365</v>
      </c>
      <c r="L3367" s="73">
        <v>-33.700000000000017</v>
      </c>
    </row>
    <row r="3368" spans="11:12" x14ac:dyDescent="0.45">
      <c r="K3368" s="5">
        <v>3366</v>
      </c>
      <c r="L3368" s="73">
        <v>-1.2434497875801753E-14</v>
      </c>
    </row>
    <row r="3369" spans="11:12" x14ac:dyDescent="0.45">
      <c r="K3369" s="5">
        <v>3367</v>
      </c>
      <c r="L3369" s="73">
        <v>0.99999999999998757</v>
      </c>
    </row>
    <row r="3370" spans="11:12" x14ac:dyDescent="0.45">
      <c r="K3370" s="5">
        <v>3368</v>
      </c>
      <c r="L3370" s="73">
        <v>-24.400000000000013</v>
      </c>
    </row>
    <row r="3371" spans="11:12" x14ac:dyDescent="0.45">
      <c r="K3371" s="5">
        <v>3369</v>
      </c>
      <c r="L3371" s="73">
        <v>-1.2434497875801753E-14</v>
      </c>
    </row>
    <row r="3372" spans="11:12" x14ac:dyDescent="0.45">
      <c r="K3372" s="5">
        <v>3370</v>
      </c>
      <c r="L3372" s="73">
        <v>-0.10000000000001244</v>
      </c>
    </row>
    <row r="3373" spans="11:12" x14ac:dyDescent="0.45">
      <c r="K3373" s="5">
        <v>3371</v>
      </c>
      <c r="L3373" s="73">
        <v>-19.400000000000013</v>
      </c>
    </row>
    <row r="3374" spans="11:12" x14ac:dyDescent="0.45">
      <c r="K3374" s="5">
        <v>3372</v>
      </c>
      <c r="L3374" s="73">
        <v>-1.5987211554602254E-14</v>
      </c>
    </row>
    <row r="3375" spans="11:12" x14ac:dyDescent="0.45">
      <c r="K3375" s="5">
        <v>3373</v>
      </c>
      <c r="L3375" s="73">
        <v>60.499999999999979</v>
      </c>
    </row>
    <row r="3376" spans="11:12" x14ac:dyDescent="0.45">
      <c r="K3376" s="5">
        <v>3374</v>
      </c>
      <c r="L3376" s="73">
        <v>54.699999999999982</v>
      </c>
    </row>
    <row r="3377" spans="11:12" x14ac:dyDescent="0.45">
      <c r="K3377" s="5">
        <v>3375</v>
      </c>
      <c r="L3377" s="73">
        <v>-1.9539925233402755E-14</v>
      </c>
    </row>
    <row r="3378" spans="11:12" x14ac:dyDescent="0.45">
      <c r="K3378" s="5">
        <v>3376</v>
      </c>
      <c r="L3378" s="73">
        <v>20.199999999999982</v>
      </c>
    </row>
    <row r="3379" spans="11:12" x14ac:dyDescent="0.45">
      <c r="K3379" s="5">
        <v>3377</v>
      </c>
      <c r="L3379" s="73">
        <v>18.199999999999982</v>
      </c>
    </row>
    <row r="3380" spans="11:12" x14ac:dyDescent="0.45">
      <c r="K3380" s="5">
        <v>3378</v>
      </c>
      <c r="L3380" s="73">
        <v>-1.9539925233402755E-14</v>
      </c>
    </row>
    <row r="3381" spans="11:12" x14ac:dyDescent="0.45">
      <c r="K3381" s="5">
        <v>3379</v>
      </c>
      <c r="L3381" s="73">
        <v>-27.500000000000021</v>
      </c>
    </row>
    <row r="3382" spans="11:12" x14ac:dyDescent="0.45">
      <c r="K3382" s="5">
        <v>3380</v>
      </c>
      <c r="L3382" s="73">
        <v>-19.100000000000023</v>
      </c>
    </row>
    <row r="3383" spans="11:12" x14ac:dyDescent="0.45">
      <c r="K3383" s="5">
        <v>3381</v>
      </c>
      <c r="L3383" s="73">
        <v>-1.9539925233402755E-14</v>
      </c>
    </row>
    <row r="3384" spans="11:12" x14ac:dyDescent="0.45">
      <c r="K3384" s="5">
        <v>3382</v>
      </c>
      <c r="L3384" s="73">
        <v>29.499999999999979</v>
      </c>
    </row>
    <row r="3385" spans="11:12" x14ac:dyDescent="0.45">
      <c r="K3385" s="5">
        <v>3383</v>
      </c>
      <c r="L3385" s="73">
        <v>30.799999999999983</v>
      </c>
    </row>
    <row r="3386" spans="11:12" x14ac:dyDescent="0.45">
      <c r="K3386" s="5">
        <v>3384</v>
      </c>
      <c r="L3386" s="73">
        <v>-1.9539925233402755E-14</v>
      </c>
    </row>
    <row r="3387" spans="11:12" x14ac:dyDescent="0.45">
      <c r="K3387" s="5">
        <v>3385</v>
      </c>
      <c r="L3387" s="73">
        <v>14.09999999999998</v>
      </c>
    </row>
    <row r="3388" spans="11:12" x14ac:dyDescent="0.45">
      <c r="K3388" s="5">
        <v>3386</v>
      </c>
      <c r="L3388" s="73">
        <v>50.299999999999983</v>
      </c>
    </row>
    <row r="3389" spans="11:12" x14ac:dyDescent="0.45">
      <c r="K3389" s="5">
        <v>3387</v>
      </c>
      <c r="L3389" s="73">
        <v>-1.2434497875801753E-14</v>
      </c>
    </row>
    <row r="3390" spans="11:12" x14ac:dyDescent="0.45">
      <c r="K3390" s="5">
        <v>3388</v>
      </c>
      <c r="L3390" s="73">
        <v>8.3999999999999879</v>
      </c>
    </row>
    <row r="3391" spans="11:12" x14ac:dyDescent="0.45">
      <c r="K3391" s="5">
        <v>3389</v>
      </c>
      <c r="L3391" s="73">
        <v>42.499999999999986</v>
      </c>
    </row>
    <row r="3392" spans="11:12" x14ac:dyDescent="0.45">
      <c r="K3392" s="5">
        <v>3390</v>
      </c>
      <c r="L3392" s="73">
        <v>-1.2434497875801753E-14</v>
      </c>
    </row>
    <row r="3393" spans="11:12" x14ac:dyDescent="0.45">
      <c r="K3393" s="5">
        <v>3391</v>
      </c>
      <c r="L3393" s="73">
        <v>-19.20000000000001</v>
      </c>
    </row>
    <row r="3394" spans="11:12" x14ac:dyDescent="0.45">
      <c r="K3394" s="5">
        <v>3392</v>
      </c>
      <c r="L3394" s="73">
        <v>-15.800000000000011</v>
      </c>
    </row>
    <row r="3395" spans="11:12" x14ac:dyDescent="0.45">
      <c r="K3395" s="5">
        <v>3393</v>
      </c>
      <c r="L3395" s="73">
        <v>-1.0658141036401503E-14</v>
      </c>
    </row>
    <row r="3396" spans="11:12" x14ac:dyDescent="0.45">
      <c r="K3396" s="5">
        <v>3394</v>
      </c>
      <c r="L3396" s="73">
        <v>7.099999999999989</v>
      </c>
    </row>
    <row r="3397" spans="11:12" x14ac:dyDescent="0.45">
      <c r="K3397" s="5">
        <v>3395</v>
      </c>
      <c r="L3397" s="73">
        <v>28.199999999999989</v>
      </c>
    </row>
    <row r="3398" spans="11:12" x14ac:dyDescent="0.45">
      <c r="K3398" s="5">
        <v>3396</v>
      </c>
      <c r="L3398" s="73">
        <v>-8.8817841970012523E-15</v>
      </c>
    </row>
    <row r="3399" spans="11:12" x14ac:dyDescent="0.45">
      <c r="K3399" s="5">
        <v>3397</v>
      </c>
      <c r="L3399" s="73">
        <v>-20.400000000000006</v>
      </c>
    </row>
    <row r="3400" spans="11:12" x14ac:dyDescent="0.45">
      <c r="K3400" s="5">
        <v>3398</v>
      </c>
      <c r="L3400" s="73">
        <v>-16.300000000000011</v>
      </c>
    </row>
    <row r="3401" spans="11:12" x14ac:dyDescent="0.45">
      <c r="K3401" s="5">
        <v>3399</v>
      </c>
      <c r="L3401" s="73">
        <v>-8.8817841970012523E-15</v>
      </c>
    </row>
    <row r="3402" spans="11:12" x14ac:dyDescent="0.45">
      <c r="K3402" s="5">
        <v>3400</v>
      </c>
      <c r="L3402" s="73">
        <v>4.7999999999999909</v>
      </c>
    </row>
    <row r="3403" spans="11:12" x14ac:dyDescent="0.45">
      <c r="K3403" s="5">
        <v>3401</v>
      </c>
      <c r="L3403" s="73">
        <v>-28.500000000000007</v>
      </c>
    </row>
    <row r="3404" spans="11:12" x14ac:dyDescent="0.45">
      <c r="K3404" s="5">
        <v>3402</v>
      </c>
      <c r="L3404" s="73">
        <v>-5.3290705182007514E-15</v>
      </c>
    </row>
    <row r="3405" spans="11:12" x14ac:dyDescent="0.45">
      <c r="K3405" s="5">
        <v>3403</v>
      </c>
      <c r="L3405" s="73">
        <v>29.499999999999993</v>
      </c>
    </row>
    <row r="3406" spans="11:12" x14ac:dyDescent="0.45">
      <c r="K3406" s="5">
        <v>3404</v>
      </c>
      <c r="L3406" s="73">
        <v>23.099999999999994</v>
      </c>
    </row>
    <row r="3407" spans="11:12" x14ac:dyDescent="0.45">
      <c r="K3407" s="5">
        <v>3405</v>
      </c>
      <c r="L3407" s="73">
        <v>-5.3290705182007514E-15</v>
      </c>
    </row>
    <row r="3408" spans="11:12" x14ac:dyDescent="0.45">
      <c r="K3408" s="5">
        <v>3406</v>
      </c>
      <c r="L3408" s="73">
        <v>-6.7000000000000055</v>
      </c>
    </row>
    <row r="3409" spans="11:12" x14ac:dyDescent="0.45">
      <c r="K3409" s="5">
        <v>3407</v>
      </c>
      <c r="L3409" s="73">
        <v>23.9</v>
      </c>
    </row>
    <row r="3410" spans="11:12" x14ac:dyDescent="0.45">
      <c r="K3410" s="5">
        <v>3408</v>
      </c>
      <c r="L3410" s="73">
        <v>-1.7763568394002505E-15</v>
      </c>
    </row>
    <row r="3411" spans="11:12" x14ac:dyDescent="0.45">
      <c r="K3411" s="5">
        <v>3409</v>
      </c>
      <c r="L3411" s="73">
        <v>-20.9</v>
      </c>
    </row>
    <row r="3412" spans="11:12" x14ac:dyDescent="0.45">
      <c r="K3412" s="5">
        <v>3410</v>
      </c>
      <c r="L3412" s="73">
        <v>3.4999999999999982</v>
      </c>
    </row>
    <row r="3413" spans="11:12" x14ac:dyDescent="0.45">
      <c r="K3413" s="5">
        <v>3411</v>
      </c>
      <c r="L3413" s="73">
        <v>-1.7763568394002505E-15</v>
      </c>
    </row>
    <row r="3414" spans="11:12" x14ac:dyDescent="0.45">
      <c r="K3414" s="5">
        <v>3412</v>
      </c>
      <c r="L3414" s="73">
        <v>-46.800000000000004</v>
      </c>
    </row>
    <row r="3415" spans="11:12" x14ac:dyDescent="0.45">
      <c r="K3415" s="5">
        <v>3413</v>
      </c>
      <c r="L3415" s="73">
        <v>-44.900000000000006</v>
      </c>
    </row>
    <row r="3416" spans="11:12" x14ac:dyDescent="0.45">
      <c r="K3416" s="5">
        <v>3414</v>
      </c>
      <c r="L3416" s="73">
        <v>-5.3290705182007514E-15</v>
      </c>
    </row>
    <row r="3417" spans="11:12" x14ac:dyDescent="0.45">
      <c r="K3417" s="5">
        <v>3415</v>
      </c>
      <c r="L3417" s="73">
        <v>32.399999999999991</v>
      </c>
    </row>
    <row r="3418" spans="11:12" x14ac:dyDescent="0.45">
      <c r="K3418" s="5">
        <v>3416</v>
      </c>
      <c r="L3418" s="73">
        <v>32.199999999999989</v>
      </c>
    </row>
    <row r="3419" spans="11:12" x14ac:dyDescent="0.45">
      <c r="K3419" s="5">
        <v>3417</v>
      </c>
      <c r="L3419" s="73">
        <v>-1.2434497875801753E-14</v>
      </c>
    </row>
    <row r="3420" spans="11:12" x14ac:dyDescent="0.45">
      <c r="K3420" s="5">
        <v>3418</v>
      </c>
      <c r="L3420" s="73">
        <v>36.599999999999987</v>
      </c>
    </row>
    <row r="3421" spans="11:12" x14ac:dyDescent="0.45">
      <c r="K3421" s="5">
        <v>3419</v>
      </c>
      <c r="L3421" s="73">
        <v>-10.200000000000008</v>
      </c>
    </row>
    <row r="3422" spans="11:12" x14ac:dyDescent="0.45">
      <c r="K3422" s="5">
        <v>3420</v>
      </c>
      <c r="L3422" s="73">
        <v>-8.8817841970012523E-15</v>
      </c>
    </row>
    <row r="3423" spans="11:12" x14ac:dyDescent="0.45">
      <c r="K3423" s="5">
        <v>3421</v>
      </c>
      <c r="L3423" s="73">
        <v>-40.100000000000016</v>
      </c>
    </row>
    <row r="3424" spans="11:12" x14ac:dyDescent="0.45">
      <c r="K3424" s="5">
        <v>3422</v>
      </c>
      <c r="L3424" s="73">
        <v>-33.000000000000014</v>
      </c>
    </row>
    <row r="3425" spans="11:12" x14ac:dyDescent="0.45">
      <c r="K3425" s="5">
        <v>3423</v>
      </c>
      <c r="L3425" s="73">
        <v>-1.2434497875801753E-14</v>
      </c>
    </row>
    <row r="3426" spans="11:12" x14ac:dyDescent="0.45">
      <c r="K3426" s="5">
        <v>3424</v>
      </c>
      <c r="L3426" s="73">
        <v>-28.500000000000014</v>
      </c>
    </row>
    <row r="3427" spans="11:12" x14ac:dyDescent="0.45">
      <c r="K3427" s="5">
        <v>3425</v>
      </c>
      <c r="L3427" s="73">
        <v>-35.700000000000017</v>
      </c>
    </row>
    <row r="3428" spans="11:12" x14ac:dyDescent="0.45">
      <c r="K3428" s="5">
        <v>3426</v>
      </c>
      <c r="L3428" s="73">
        <v>-1.2434497875801753E-14</v>
      </c>
    </row>
    <row r="3429" spans="11:12" x14ac:dyDescent="0.45">
      <c r="K3429" s="5">
        <v>3427</v>
      </c>
      <c r="L3429" s="73">
        <v>51.099999999999987</v>
      </c>
    </row>
    <row r="3430" spans="11:12" x14ac:dyDescent="0.45">
      <c r="K3430" s="5">
        <v>3428</v>
      </c>
      <c r="L3430" s="73">
        <v>48.699999999999989</v>
      </c>
    </row>
    <row r="3431" spans="11:12" x14ac:dyDescent="0.45">
      <c r="K3431" s="5">
        <v>3429</v>
      </c>
      <c r="L3431" s="73">
        <v>-1.2434497875801753E-14</v>
      </c>
    </row>
    <row r="3432" spans="11:12" x14ac:dyDescent="0.45">
      <c r="K3432" s="5">
        <v>3430</v>
      </c>
      <c r="L3432" s="73">
        <v>-54.500000000000014</v>
      </c>
    </row>
    <row r="3433" spans="11:12" x14ac:dyDescent="0.45">
      <c r="K3433" s="5">
        <v>3431</v>
      </c>
      <c r="L3433" s="73">
        <v>27.899999999999991</v>
      </c>
    </row>
    <row r="3434" spans="11:12" x14ac:dyDescent="0.45">
      <c r="K3434" s="5">
        <v>3432</v>
      </c>
      <c r="L3434" s="73">
        <v>-5.3290705182007514E-15</v>
      </c>
    </row>
    <row r="3435" spans="11:12" x14ac:dyDescent="0.45">
      <c r="K3435" s="5">
        <v>3433</v>
      </c>
      <c r="L3435" s="73">
        <v>26.599999999999994</v>
      </c>
    </row>
    <row r="3436" spans="11:12" x14ac:dyDescent="0.45">
      <c r="K3436" s="5">
        <v>3434</v>
      </c>
      <c r="L3436" s="73">
        <v>5.8999999999999968</v>
      </c>
    </row>
    <row r="3437" spans="11:12" x14ac:dyDescent="0.45">
      <c r="K3437" s="5">
        <v>3435</v>
      </c>
      <c r="L3437" s="73">
        <v>-3.5527136788005009E-15</v>
      </c>
    </row>
    <row r="3438" spans="11:12" x14ac:dyDescent="0.45">
      <c r="K3438" s="5">
        <v>3436</v>
      </c>
      <c r="L3438" s="73">
        <v>-38.900000000000006</v>
      </c>
    </row>
    <row r="3439" spans="11:12" x14ac:dyDescent="0.45">
      <c r="K3439" s="5">
        <v>3437</v>
      </c>
      <c r="L3439" s="73">
        <v>-30.6</v>
      </c>
    </row>
    <row r="3440" spans="11:12" x14ac:dyDescent="0.45">
      <c r="K3440" s="5">
        <v>3438</v>
      </c>
      <c r="L3440" s="73">
        <v>-1.7763568394002505E-15</v>
      </c>
    </row>
    <row r="3441" spans="11:12" x14ac:dyDescent="0.45">
      <c r="K3441" s="5">
        <v>3439</v>
      </c>
      <c r="L3441" s="73">
        <v>-25.700000000000003</v>
      </c>
    </row>
    <row r="3442" spans="11:12" x14ac:dyDescent="0.45">
      <c r="K3442" s="5">
        <v>3440</v>
      </c>
      <c r="L3442" s="73">
        <v>-18.700000000000003</v>
      </c>
    </row>
    <row r="3443" spans="11:12" x14ac:dyDescent="0.45">
      <c r="K3443" s="5">
        <v>3441</v>
      </c>
      <c r="L3443" s="73">
        <v>-1.7763568394002505E-15</v>
      </c>
    </row>
    <row r="3444" spans="11:12" x14ac:dyDescent="0.45">
      <c r="K3444" s="5">
        <v>3442</v>
      </c>
      <c r="L3444" s="73">
        <v>-42.4</v>
      </c>
    </row>
    <row r="3445" spans="11:12" x14ac:dyDescent="0.45">
      <c r="K3445" s="5">
        <v>3443</v>
      </c>
      <c r="L3445" s="73">
        <v>5.300000000000006</v>
      </c>
    </row>
    <row r="3446" spans="11:12" x14ac:dyDescent="0.45">
      <c r="K3446" s="5">
        <v>3444</v>
      </c>
      <c r="L3446" s="73">
        <v>6.2172489379008766E-15</v>
      </c>
    </row>
    <row r="3447" spans="11:12" x14ac:dyDescent="0.45">
      <c r="K3447" s="5">
        <v>3445</v>
      </c>
      <c r="L3447" s="73">
        <v>1.2000000000000062</v>
      </c>
    </row>
    <row r="3448" spans="11:12" x14ac:dyDescent="0.45">
      <c r="K3448" s="5">
        <v>3446</v>
      </c>
      <c r="L3448" s="73">
        <v>18.400000000000006</v>
      </c>
    </row>
    <row r="3449" spans="11:12" x14ac:dyDescent="0.45">
      <c r="K3449" s="5">
        <v>3447</v>
      </c>
      <c r="L3449" s="73">
        <v>5.3290705182007514E-15</v>
      </c>
    </row>
    <row r="3450" spans="11:12" x14ac:dyDescent="0.45">
      <c r="K3450" s="5">
        <v>3448</v>
      </c>
      <c r="L3450" s="73">
        <v>14.600000000000005</v>
      </c>
    </row>
    <row r="3451" spans="11:12" x14ac:dyDescent="0.45">
      <c r="K3451" s="5">
        <v>3449</v>
      </c>
      <c r="L3451" s="73">
        <v>15.200000000000005</v>
      </c>
    </row>
    <row r="3452" spans="11:12" x14ac:dyDescent="0.45">
      <c r="K3452" s="5">
        <v>3450</v>
      </c>
      <c r="L3452" s="73">
        <v>5.3290705182007514E-15</v>
      </c>
    </row>
    <row r="3453" spans="11:12" x14ac:dyDescent="0.45">
      <c r="K3453" s="5">
        <v>3451</v>
      </c>
      <c r="L3453" s="73">
        <v>-34.999999999999993</v>
      </c>
    </row>
    <row r="3454" spans="11:12" x14ac:dyDescent="0.45">
      <c r="K3454" s="5">
        <v>3452</v>
      </c>
      <c r="L3454" s="73">
        <v>-8.3999999999999897</v>
      </c>
    </row>
    <row r="3455" spans="11:12" x14ac:dyDescent="0.45">
      <c r="K3455" s="5">
        <v>3453</v>
      </c>
      <c r="L3455" s="73">
        <v>1.0658141036401503E-14</v>
      </c>
    </row>
    <row r="3456" spans="11:12" x14ac:dyDescent="0.45">
      <c r="K3456" s="5">
        <v>3454</v>
      </c>
      <c r="L3456" s="73">
        <v>23.20000000000001</v>
      </c>
    </row>
    <row r="3457" spans="11:12" x14ac:dyDescent="0.45">
      <c r="K3457" s="5">
        <v>3455</v>
      </c>
      <c r="L3457" s="73">
        <v>16.900000000000013</v>
      </c>
    </row>
    <row r="3458" spans="11:12" x14ac:dyDescent="0.45">
      <c r="K3458" s="5">
        <v>3456</v>
      </c>
      <c r="L3458" s="73">
        <v>1.2434497875801753E-14</v>
      </c>
    </row>
    <row r="3459" spans="11:12" x14ac:dyDescent="0.45">
      <c r="K3459" s="5">
        <v>3457</v>
      </c>
      <c r="L3459" s="73">
        <v>-4.9999999999999876</v>
      </c>
    </row>
    <row r="3460" spans="11:12" x14ac:dyDescent="0.45">
      <c r="K3460" s="5">
        <v>3458</v>
      </c>
      <c r="L3460" s="73">
        <v>-50.999999999999993</v>
      </c>
    </row>
    <row r="3461" spans="11:12" x14ac:dyDescent="0.45">
      <c r="K3461" s="5">
        <v>3459</v>
      </c>
      <c r="L3461" s="73">
        <v>8.8817841970012523E-15</v>
      </c>
    </row>
    <row r="3462" spans="11:12" x14ac:dyDescent="0.45">
      <c r="K3462" s="5">
        <v>3460</v>
      </c>
      <c r="L3462" s="73">
        <v>56.600000000000009</v>
      </c>
    </row>
    <row r="3463" spans="11:12" x14ac:dyDescent="0.45">
      <c r="K3463" s="5">
        <v>3461</v>
      </c>
      <c r="L3463" s="73">
        <v>20.800000000000011</v>
      </c>
    </row>
    <row r="3464" spans="11:12" x14ac:dyDescent="0.45">
      <c r="K3464" s="5">
        <v>3462</v>
      </c>
      <c r="L3464" s="73">
        <v>1.2434497875801753E-14</v>
      </c>
    </row>
    <row r="3465" spans="11:12" x14ac:dyDescent="0.45">
      <c r="K3465" s="5">
        <v>3463</v>
      </c>
      <c r="L3465" s="73">
        <v>-21.199999999999989</v>
      </c>
    </row>
    <row r="3466" spans="11:12" x14ac:dyDescent="0.45">
      <c r="K3466" s="5">
        <v>3464</v>
      </c>
      <c r="L3466" s="73">
        <v>7.2000000000000117</v>
      </c>
    </row>
    <row r="3467" spans="11:12" x14ac:dyDescent="0.45">
      <c r="K3467" s="5">
        <v>3465</v>
      </c>
      <c r="L3467" s="73">
        <v>1.1546319456101628E-14</v>
      </c>
    </row>
    <row r="3468" spans="11:12" x14ac:dyDescent="0.45">
      <c r="K3468" s="5">
        <v>3466</v>
      </c>
      <c r="L3468" s="73">
        <v>7.5000000000000115</v>
      </c>
    </row>
    <row r="3469" spans="11:12" x14ac:dyDescent="0.45">
      <c r="K3469" s="5">
        <v>3467</v>
      </c>
      <c r="L3469" s="73">
        <v>28.500000000000014</v>
      </c>
    </row>
    <row r="3470" spans="11:12" x14ac:dyDescent="0.45">
      <c r="K3470" s="5">
        <v>3468</v>
      </c>
      <c r="L3470" s="73">
        <v>1.2434497875801753E-14</v>
      </c>
    </row>
    <row r="3471" spans="11:12" x14ac:dyDescent="0.45">
      <c r="K3471" s="5">
        <v>3469</v>
      </c>
      <c r="L3471" s="73">
        <v>15.500000000000012</v>
      </c>
    </row>
    <row r="3472" spans="11:12" x14ac:dyDescent="0.45">
      <c r="K3472" s="5">
        <v>3470</v>
      </c>
      <c r="L3472" s="73">
        <v>-3.599999999999989</v>
      </c>
    </row>
    <row r="3473" spans="11:12" x14ac:dyDescent="0.45">
      <c r="K3473" s="5">
        <v>3471</v>
      </c>
      <c r="L3473" s="73">
        <v>1.1102230246251565E-14</v>
      </c>
    </row>
    <row r="3474" spans="11:12" x14ac:dyDescent="0.45">
      <c r="K3474" s="5">
        <v>3472</v>
      </c>
      <c r="L3474" s="73">
        <v>-2.599999999999989</v>
      </c>
    </row>
    <row r="3475" spans="11:12" x14ac:dyDescent="0.45">
      <c r="K3475" s="5">
        <v>3473</v>
      </c>
      <c r="L3475" s="73">
        <v>27.70000000000001</v>
      </c>
    </row>
    <row r="3476" spans="11:12" x14ac:dyDescent="0.45">
      <c r="K3476" s="5">
        <v>3474</v>
      </c>
      <c r="L3476" s="73">
        <v>1.2434497875801753E-14</v>
      </c>
    </row>
    <row r="3477" spans="11:12" x14ac:dyDescent="0.45">
      <c r="K3477" s="5">
        <v>3475</v>
      </c>
      <c r="L3477" s="73">
        <v>27.900000000000013</v>
      </c>
    </row>
    <row r="3478" spans="11:12" x14ac:dyDescent="0.45">
      <c r="K3478" s="5">
        <v>3476</v>
      </c>
      <c r="L3478" s="73">
        <v>27.600000000000009</v>
      </c>
    </row>
    <row r="3479" spans="11:12" x14ac:dyDescent="0.45">
      <c r="K3479" s="5">
        <v>3477</v>
      </c>
      <c r="L3479" s="73">
        <v>8.8817841970012523E-15</v>
      </c>
    </row>
    <row r="3480" spans="11:12" x14ac:dyDescent="0.45">
      <c r="K3480" s="5">
        <v>3478</v>
      </c>
      <c r="L3480" s="73">
        <v>-41.29999999999999</v>
      </c>
    </row>
    <row r="3481" spans="11:12" x14ac:dyDescent="0.45">
      <c r="K3481" s="5">
        <v>3479</v>
      </c>
      <c r="L3481" s="73">
        <v>-39.599999999999987</v>
      </c>
    </row>
    <row r="3482" spans="11:12" x14ac:dyDescent="0.45">
      <c r="K3482" s="5">
        <v>3480</v>
      </c>
      <c r="L3482" s="73">
        <v>1.5987211554602254E-14</v>
      </c>
    </row>
    <row r="3483" spans="11:12" x14ac:dyDescent="0.45">
      <c r="K3483" s="5">
        <v>3481</v>
      </c>
      <c r="L3483" s="73">
        <v>20.700000000000017</v>
      </c>
    </row>
    <row r="3484" spans="11:12" x14ac:dyDescent="0.45">
      <c r="K3484" s="5">
        <v>3482</v>
      </c>
      <c r="L3484" s="73">
        <v>19.000000000000014</v>
      </c>
    </row>
    <row r="3485" spans="11:12" x14ac:dyDescent="0.45">
      <c r="K3485" s="5">
        <v>3483</v>
      </c>
      <c r="L3485" s="73">
        <v>1.5987211554602254E-14</v>
      </c>
    </row>
    <row r="3486" spans="11:12" x14ac:dyDescent="0.45">
      <c r="K3486" s="5">
        <v>3484</v>
      </c>
      <c r="L3486" s="73">
        <v>-48.299999999999983</v>
      </c>
    </row>
    <row r="3487" spans="11:12" x14ac:dyDescent="0.45">
      <c r="K3487" s="5">
        <v>3485</v>
      </c>
      <c r="L3487" s="73">
        <v>3.000000000000016</v>
      </c>
    </row>
    <row r="3488" spans="11:12" x14ac:dyDescent="0.45">
      <c r="K3488" s="5">
        <v>3486</v>
      </c>
      <c r="L3488" s="73">
        <v>1.5987211554602254E-14</v>
      </c>
    </row>
    <row r="3489" spans="11:12" x14ac:dyDescent="0.45">
      <c r="K3489" s="5">
        <v>3487</v>
      </c>
      <c r="L3489" s="73">
        <v>-39.999999999999986</v>
      </c>
    </row>
    <row r="3490" spans="11:12" x14ac:dyDescent="0.45">
      <c r="K3490" s="5">
        <v>3488</v>
      </c>
      <c r="L3490" s="73">
        <v>-39.899999999999984</v>
      </c>
    </row>
    <row r="3491" spans="11:12" x14ac:dyDescent="0.45">
      <c r="K3491" s="5">
        <v>3489</v>
      </c>
      <c r="L3491" s="73">
        <v>1.5987211554602254E-14</v>
      </c>
    </row>
  </sheetData>
  <sortState xmlns:xlrd2="http://schemas.microsoft.com/office/spreadsheetml/2017/richdata2" ref="N15:Q34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70F0A-DE12-4065-BE67-02FD67FEEC53}">
  <sheetPr codeName="Sheet4"/>
  <dimension ref="A1:Q81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811</v>
      </c>
      <c r="C2" s="132"/>
      <c r="E2" s="43" t="s">
        <v>66</v>
      </c>
      <c r="F2" s="25" t="s">
        <v>22</v>
      </c>
      <c r="G2" s="13">
        <v>1483</v>
      </c>
      <c r="H2" s="106">
        <f>IF(B$51=0,0,G2/B$51)</f>
        <v>0.72660460558549733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1305.4726368159204</v>
      </c>
      <c r="P2" s="92">
        <v>804</v>
      </c>
      <c r="Q2" s="76">
        <v>1049600</v>
      </c>
    </row>
    <row r="3" spans="1:17" x14ac:dyDescent="0.45">
      <c r="A3" s="37" t="s">
        <v>8</v>
      </c>
      <c r="B3" s="133">
        <v>6476</v>
      </c>
      <c r="C3" s="134"/>
      <c r="E3" s="44" t="s">
        <v>72</v>
      </c>
      <c r="F3" s="41" t="s">
        <v>27</v>
      </c>
      <c r="G3" s="34">
        <v>1110</v>
      </c>
      <c r="H3" s="107">
        <f>IF(B$51=0,0,G3/B$51)</f>
        <v>0.54385105340519357</v>
      </c>
      <c r="I3" s="68">
        <v>9</v>
      </c>
      <c r="K3" s="5">
        <v>1</v>
      </c>
      <c r="L3" s="73">
        <v>15</v>
      </c>
      <c r="N3" s="89" t="s">
        <v>127</v>
      </c>
      <c r="O3" s="96">
        <f t="shared" si="0"/>
        <v>1485.4961832061069</v>
      </c>
      <c r="P3" s="93">
        <v>786</v>
      </c>
      <c r="Q3" s="77">
        <v>1167600</v>
      </c>
    </row>
    <row r="4" spans="1:17" x14ac:dyDescent="0.45">
      <c r="A4" s="37" t="s">
        <v>6</v>
      </c>
      <c r="B4" s="135">
        <v>7397.9</v>
      </c>
      <c r="C4" s="136"/>
      <c r="E4" s="44" t="s">
        <v>64</v>
      </c>
      <c r="F4" s="41" t="s">
        <v>20</v>
      </c>
      <c r="G4" s="34">
        <v>967</v>
      </c>
      <c r="H4" s="107">
        <f>IF(B$51=0,0,G4/B$51)</f>
        <v>0.47378735913767761</v>
      </c>
      <c r="I4" s="68">
        <v>15</v>
      </c>
      <c r="K4" s="5">
        <v>2</v>
      </c>
      <c r="L4" s="73">
        <v>14</v>
      </c>
      <c r="N4" s="89" t="s">
        <v>128</v>
      </c>
      <c r="O4" s="96">
        <f t="shared" si="0"/>
        <v>1367.7807486631016</v>
      </c>
      <c r="P4" s="93">
        <v>748</v>
      </c>
      <c r="Q4" s="77">
        <v>1023100</v>
      </c>
    </row>
    <row r="5" spans="1:17" x14ac:dyDescent="0.45">
      <c r="A5" s="37" t="s">
        <v>7</v>
      </c>
      <c r="B5" s="137">
        <f>IF(B$2=0,0,B$4/B$2)</f>
        <v>9.1219482120838471</v>
      </c>
      <c r="C5" s="138"/>
      <c r="E5" s="44" t="s">
        <v>68</v>
      </c>
      <c r="F5" s="41" t="s">
        <v>12</v>
      </c>
      <c r="G5" s="34">
        <v>609</v>
      </c>
      <c r="H5" s="107">
        <f>IF(B$51=0,0,G5/B$51)</f>
        <v>0.29838314551690348</v>
      </c>
      <c r="I5" s="68">
        <v>14</v>
      </c>
      <c r="K5" s="5">
        <v>3</v>
      </c>
      <c r="L5" s="73">
        <v>29.1</v>
      </c>
      <c r="N5" s="89" t="s">
        <v>129</v>
      </c>
      <c r="O5" s="96">
        <f t="shared" si="0"/>
        <v>1471.2408759124087</v>
      </c>
      <c r="P5" s="93">
        <v>685</v>
      </c>
      <c r="Q5" s="77">
        <v>1007800</v>
      </c>
    </row>
    <row r="6" spans="1:17" x14ac:dyDescent="0.45">
      <c r="A6" s="37" t="s">
        <v>1</v>
      </c>
      <c r="B6" s="145">
        <f>IF(B$2=0,0,(B$7*1+B$8*2+B$9*3)/B$2)</f>
        <v>1.7681874229346486</v>
      </c>
      <c r="C6" s="146"/>
      <c r="E6" s="44" t="s">
        <v>157</v>
      </c>
      <c r="F6" s="41" t="s">
        <v>158</v>
      </c>
      <c r="G6" s="34">
        <v>597</v>
      </c>
      <c r="H6" s="107">
        <f>IF(B$51=0,0,G6/B$51)</f>
        <v>0.29250367466927979</v>
      </c>
      <c r="I6" s="68">
        <v>16</v>
      </c>
      <c r="K6" s="5">
        <v>4</v>
      </c>
      <c r="L6" s="73">
        <v>114.30000000000001</v>
      </c>
      <c r="N6" s="89" t="s">
        <v>130</v>
      </c>
      <c r="O6" s="96">
        <f t="shared" si="0"/>
        <v>1053.8709677419354</v>
      </c>
      <c r="P6" s="93">
        <v>620</v>
      </c>
      <c r="Q6" s="77">
        <v>653400</v>
      </c>
    </row>
    <row r="7" spans="1:17" x14ac:dyDescent="0.45">
      <c r="A7" s="37" t="s">
        <v>2</v>
      </c>
      <c r="B7" s="34">
        <v>374</v>
      </c>
      <c r="C7" s="31">
        <f t="shared" ref="C7:C14" si="1">IF(B$2=0,0,B7/B$2)</f>
        <v>0.46115906288532676</v>
      </c>
      <c r="E7" s="44" t="s">
        <v>67</v>
      </c>
      <c r="F7" s="41" t="s">
        <v>23</v>
      </c>
      <c r="G7" s="34">
        <v>569</v>
      </c>
      <c r="H7" s="107">
        <f>IF(B$51=0,0,G7/B$51)</f>
        <v>0.27878490935815775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1570.3703703703704</v>
      </c>
      <c r="P7" s="94">
        <v>513</v>
      </c>
      <c r="Q7" s="78">
        <v>805600</v>
      </c>
    </row>
    <row r="8" spans="1:17" x14ac:dyDescent="0.45">
      <c r="A8" s="37" t="s">
        <v>3</v>
      </c>
      <c r="B8" s="34">
        <v>251</v>
      </c>
      <c r="C8" s="31">
        <f t="shared" si="1"/>
        <v>0.30949445129469788</v>
      </c>
      <c r="E8" s="44" t="s">
        <v>89</v>
      </c>
      <c r="F8" s="41" t="s">
        <v>44</v>
      </c>
      <c r="G8" s="34">
        <v>336</v>
      </c>
      <c r="H8" s="107">
        <f>IF(B$51=0,0,G8/B$51)</f>
        <v>0.16462518373346399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186</v>
      </c>
      <c r="C9" s="7">
        <f t="shared" si="1"/>
        <v>0.22934648581997533</v>
      </c>
      <c r="E9" s="44" t="s">
        <v>69</v>
      </c>
      <c r="F9" s="41" t="s">
        <v>24</v>
      </c>
      <c r="G9" s="34">
        <v>305</v>
      </c>
      <c r="H9" s="107">
        <f>IF(B$51=0,0,G9/B$51)</f>
        <v>0.14943655071043607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37.298395721925125</v>
      </c>
      <c r="C10" s="121">
        <v>13949.599999999997</v>
      </c>
      <c r="E10" s="44" t="s">
        <v>65</v>
      </c>
      <c r="F10" s="41" t="s">
        <v>21</v>
      </c>
      <c r="G10" s="34">
        <v>238</v>
      </c>
      <c r="H10" s="107">
        <f>IF(B$51=0,0,G10/B$51)</f>
        <v>0.116609505144537</v>
      </c>
      <c r="I10" s="68">
        <v>11</v>
      </c>
      <c r="K10" s="5">
        <v>8</v>
      </c>
      <c r="L10" s="73">
        <v>55.700000000000017</v>
      </c>
      <c r="N10" s="88" t="s">
        <v>149</v>
      </c>
      <c r="O10" s="98">
        <f>IF(P10=0,0,Q10/P10)</f>
        <v>11.226457399103143</v>
      </c>
      <c r="P10" s="92">
        <v>223</v>
      </c>
      <c r="Q10" s="80">
        <v>2503.5000000000009</v>
      </c>
    </row>
    <row r="11" spans="1:17" x14ac:dyDescent="0.45">
      <c r="A11" s="38" t="s">
        <v>204</v>
      </c>
      <c r="B11" s="120">
        <f>IF(B8=0,0,C11/B8)</f>
        <v>1.7131474103585263E-2</v>
      </c>
      <c r="C11" s="121">
        <v>4.2999999999999012</v>
      </c>
      <c r="E11" s="44" t="s">
        <v>70</v>
      </c>
      <c r="F11" s="41" t="s">
        <v>25</v>
      </c>
      <c r="G11" s="34">
        <v>155</v>
      </c>
      <c r="H11" s="107">
        <f>IF(B$51=0,0,G11/B$51)</f>
        <v>7.5943165115139641E-2</v>
      </c>
      <c r="I11" s="68">
        <v>16</v>
      </c>
      <c r="K11" s="5">
        <v>9</v>
      </c>
      <c r="L11" s="73">
        <v>14.700000000000017</v>
      </c>
      <c r="N11" s="89" t="s">
        <v>150</v>
      </c>
      <c r="O11" s="99">
        <f>IF(P11=0,0,Q11/P11)</f>
        <v>7.4623529411764711</v>
      </c>
      <c r="P11" s="93">
        <v>255</v>
      </c>
      <c r="Q11" s="81">
        <v>1902.9</v>
      </c>
    </row>
    <row r="12" spans="1:17" x14ac:dyDescent="0.45">
      <c r="A12" s="38" t="s">
        <v>205</v>
      </c>
      <c r="B12" s="120">
        <f>IF(B9=0,0,C12/B9)</f>
        <v>-35.247311827956999</v>
      </c>
      <c r="C12" s="121">
        <v>-6556.0000000000018</v>
      </c>
      <c r="E12" s="44" t="s">
        <v>86</v>
      </c>
      <c r="F12" s="41" t="s">
        <v>41</v>
      </c>
      <c r="G12" s="34">
        <v>138</v>
      </c>
      <c r="H12" s="107">
        <f>IF(B$51=0,0,G12/B$51)</f>
        <v>6.7613914747672713E-2</v>
      </c>
      <c r="I12" s="68">
        <v>6</v>
      </c>
      <c r="K12" s="5">
        <v>10</v>
      </c>
      <c r="L12" s="73">
        <v>-16.799999999999983</v>
      </c>
      <c r="N12" s="90" t="s">
        <v>151</v>
      </c>
      <c r="O12" s="100">
        <f>IF(P12=0,0,Q12/P12)</f>
        <v>8.9815151515151523</v>
      </c>
      <c r="P12" s="94">
        <v>330</v>
      </c>
      <c r="Q12" s="82">
        <v>2963.9000000000005</v>
      </c>
    </row>
    <row r="13" spans="1:17" x14ac:dyDescent="0.45">
      <c r="A13" s="38" t="s">
        <v>206</v>
      </c>
      <c r="B13" s="137">
        <f>AVERAGE(B10:B12)</f>
        <v>0.68940512269057075</v>
      </c>
      <c r="C13" s="138"/>
      <c r="E13" s="44" t="s">
        <v>71</v>
      </c>
      <c r="F13" s="41" t="s">
        <v>26</v>
      </c>
      <c r="G13" s="34">
        <v>134</v>
      </c>
      <c r="H13" s="107">
        <f>IF(B$51=0,0,G13/B$51)</f>
        <v>6.565409113179814E-2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61</v>
      </c>
      <c r="C14" s="32">
        <f t="shared" si="1"/>
        <v>7.52157829839704E-2</v>
      </c>
      <c r="E14" s="44" t="s">
        <v>83</v>
      </c>
      <c r="F14" s="41" t="s">
        <v>38</v>
      </c>
      <c r="G14" s="34">
        <v>94</v>
      </c>
      <c r="H14" s="107">
        <f>IF(B$51=0,0,G14/B$51)</f>
        <v>4.6055854973052424E-2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1700</v>
      </c>
      <c r="C15" s="11">
        <f>IF(B$50=0,0,B15/B$50)</f>
        <v>0.28239202657807311</v>
      </c>
      <c r="E15" s="44" t="s">
        <v>78</v>
      </c>
      <c r="F15" s="41" t="s">
        <v>33</v>
      </c>
      <c r="G15" s="34">
        <v>57</v>
      </c>
      <c r="H15" s="107">
        <f>IF(B$51=0,0,G15/B$51)</f>
        <v>2.7927486526212641E-2</v>
      </c>
      <c r="I15" s="68">
        <v>9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1298</v>
      </c>
      <c r="C16" s="31">
        <f>IF(B$50=0,0,B16/B$50)</f>
        <v>0.21561461794019934</v>
      </c>
      <c r="E16" s="44" t="s">
        <v>153</v>
      </c>
      <c r="F16" s="41" t="s">
        <v>154</v>
      </c>
      <c r="G16" s="34">
        <v>53</v>
      </c>
      <c r="H16" s="107">
        <f>IF(B$51=0,0,G16/B$51)</f>
        <v>2.5967662910338071E-2</v>
      </c>
      <c r="I16" s="68">
        <v>2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1026</v>
      </c>
      <c r="C17" s="4">
        <f>IF(B$15=0,0,B17/B$15)</f>
        <v>0.60352941176470587</v>
      </c>
      <c r="E17" s="44" t="s">
        <v>81</v>
      </c>
      <c r="F17" s="41" t="s">
        <v>36</v>
      </c>
      <c r="G17" s="34">
        <v>40</v>
      </c>
      <c r="H17" s="107">
        <f>IF(B$51=0,0,G17/B$51)</f>
        <v>1.9598236158745713E-2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631</v>
      </c>
      <c r="C18" s="4">
        <f>IF(B$16=0,0,B18/B$16)</f>
        <v>0.48613251155624038</v>
      </c>
      <c r="E18" s="44" t="s">
        <v>91</v>
      </c>
      <c r="F18" s="41" t="s">
        <v>46</v>
      </c>
      <c r="G18" s="34">
        <v>32</v>
      </c>
      <c r="H18" s="107">
        <f>IF(B$51=0,0,G18/B$51)</f>
        <v>1.567858892699657E-2</v>
      </c>
      <c r="I18" s="68">
        <v>10</v>
      </c>
      <c r="K18" s="5">
        <v>16</v>
      </c>
      <c r="L18" s="73">
        <v>-8.099999999999989</v>
      </c>
      <c r="N18" s="89" t="s">
        <v>207</v>
      </c>
      <c r="O18" s="99">
        <f>IF(P18=0,0,Q18/P18)</f>
        <v>43.12</v>
      </c>
      <c r="P18" s="93">
        <v>5</v>
      </c>
      <c r="Q18" s="81">
        <v>215.6</v>
      </c>
    </row>
    <row r="19" spans="1:17" x14ac:dyDescent="0.45">
      <c r="A19" s="19" t="s">
        <v>10</v>
      </c>
      <c r="B19" s="13">
        <v>2197</v>
      </c>
      <c r="C19" s="4">
        <f>IF(B$3=0,0,B19/B$3)</f>
        <v>0.33925262507720816</v>
      </c>
      <c r="E19" s="44" t="s">
        <v>79</v>
      </c>
      <c r="F19" s="41" t="s">
        <v>34</v>
      </c>
      <c r="G19" s="34">
        <v>25</v>
      </c>
      <c r="H19" s="107">
        <f>IF(B$51=0,0,G19/B$51)</f>
        <v>1.2248897599216071E-2</v>
      </c>
      <c r="I19" s="68">
        <v>14</v>
      </c>
      <c r="K19" s="5">
        <v>17</v>
      </c>
      <c r="L19" s="73">
        <v>-29.499999999999986</v>
      </c>
      <c r="N19" s="89" t="s">
        <v>189</v>
      </c>
      <c r="O19" s="99">
        <f>IF(P19=0,0,Q19/P19)</f>
        <v>40.286666666666662</v>
      </c>
      <c r="P19" s="93">
        <v>15</v>
      </c>
      <c r="Q19" s="81">
        <v>604.29999999999995</v>
      </c>
    </row>
    <row r="20" spans="1:17" x14ac:dyDescent="0.45">
      <c r="A20" s="37" t="s">
        <v>13</v>
      </c>
      <c r="B20" s="34">
        <v>898</v>
      </c>
      <c r="C20" s="31">
        <f>IF(B$3=0,0,B20/B$3)</f>
        <v>0.13866584311303273</v>
      </c>
      <c r="E20" s="44" t="s">
        <v>92</v>
      </c>
      <c r="F20" s="41" t="s">
        <v>47</v>
      </c>
      <c r="G20" s="34">
        <v>16</v>
      </c>
      <c r="H20" s="107">
        <f>IF(B$51=0,0,G20/B$51)</f>
        <v>7.839294463498285E-3</v>
      </c>
      <c r="I20" s="68">
        <v>4</v>
      </c>
      <c r="K20" s="5">
        <v>18</v>
      </c>
      <c r="L20" s="73">
        <v>-14.599999999999985</v>
      </c>
      <c r="N20" s="89" t="s">
        <v>197</v>
      </c>
      <c r="O20" s="99">
        <f>IF(P20=0,0,Q20/P20)</f>
        <v>30.47419354838711</v>
      </c>
      <c r="P20" s="93">
        <v>31</v>
      </c>
      <c r="Q20" s="81">
        <v>944.70000000000039</v>
      </c>
    </row>
    <row r="21" spans="1:17" x14ac:dyDescent="0.45">
      <c r="A21" s="37" t="s">
        <v>12</v>
      </c>
      <c r="B21" s="34">
        <v>921</v>
      </c>
      <c r="C21" s="31">
        <f>IF(B$19=0,0,B21/B$19)</f>
        <v>0.41920801092398724</v>
      </c>
      <c r="E21" s="44" t="s">
        <v>77</v>
      </c>
      <c r="F21" s="41" t="s">
        <v>32</v>
      </c>
      <c r="G21" s="34">
        <v>13</v>
      </c>
      <c r="H21" s="107">
        <f>IF(B$51=0,0,G21/B$51)</f>
        <v>6.369426751592357E-3</v>
      </c>
      <c r="I21" s="68">
        <v>4</v>
      </c>
      <c r="K21" s="5">
        <v>19</v>
      </c>
      <c r="L21" s="73">
        <v>42.600000000000016</v>
      </c>
      <c r="N21" s="89" t="s">
        <v>200</v>
      </c>
      <c r="O21" s="99">
        <f>IF(P21=0,0,Q21/P21)</f>
        <v>29.599999999999998</v>
      </c>
      <c r="P21" s="93">
        <v>1</v>
      </c>
      <c r="Q21" s="81">
        <v>29.599999999999998</v>
      </c>
    </row>
    <row r="22" spans="1:17" x14ac:dyDescent="0.45">
      <c r="A22" s="37" t="s">
        <v>11</v>
      </c>
      <c r="B22" s="34">
        <v>1276</v>
      </c>
      <c r="C22" s="31">
        <f>IF(B$19=0,0,B22/B$19)</f>
        <v>0.5807919890760127</v>
      </c>
      <c r="E22" s="44" t="s">
        <v>85</v>
      </c>
      <c r="F22" s="41" t="s">
        <v>40</v>
      </c>
      <c r="G22" s="34">
        <v>13</v>
      </c>
      <c r="H22" s="107">
        <f>IF(B$51=0,0,G22/B$51)</f>
        <v>6.369426751592357E-3</v>
      </c>
      <c r="I22" s="68">
        <v>3</v>
      </c>
      <c r="K22" s="5">
        <v>20</v>
      </c>
      <c r="L22" s="73">
        <v>68.800000000000011</v>
      </c>
      <c r="N22" s="89" t="s">
        <v>186</v>
      </c>
      <c r="O22" s="99">
        <f>IF(P22=0,0,Q22/P22)</f>
        <v>24.82586206896552</v>
      </c>
      <c r="P22" s="93">
        <v>58</v>
      </c>
      <c r="Q22" s="81">
        <v>1439.9</v>
      </c>
    </row>
    <row r="23" spans="1:17" x14ac:dyDescent="0.45">
      <c r="A23" s="37" t="s">
        <v>180</v>
      </c>
      <c r="B23" s="34">
        <v>1026</v>
      </c>
      <c r="C23" s="31">
        <f>IF(B$19=0,0,B23/B$19)</f>
        <v>0.46700045516613564</v>
      </c>
      <c r="E23" s="44" t="s">
        <v>75</v>
      </c>
      <c r="F23" s="41" t="s">
        <v>30</v>
      </c>
      <c r="G23" s="34">
        <v>11</v>
      </c>
      <c r="H23" s="107">
        <f>IF(B$51=0,0,G23/B$51)</f>
        <v>5.3895149436550714E-3</v>
      </c>
      <c r="I23" s="68">
        <v>9</v>
      </c>
      <c r="K23" s="5">
        <v>21</v>
      </c>
      <c r="L23" s="73">
        <v>125.30000000000001</v>
      </c>
      <c r="N23" s="89" t="s">
        <v>188</v>
      </c>
      <c r="O23" s="99">
        <f>IF(P23=0,0,Q23/P23)</f>
        <v>18.934224598930484</v>
      </c>
      <c r="P23" s="93">
        <v>187</v>
      </c>
      <c r="Q23" s="81">
        <v>3540.7000000000003</v>
      </c>
    </row>
    <row r="24" spans="1:17" x14ac:dyDescent="0.45">
      <c r="A24" s="37" t="s">
        <v>178</v>
      </c>
      <c r="B24" s="34">
        <v>631</v>
      </c>
      <c r="C24" s="31">
        <f>IF(B$19=0,0,B24/B$19)</f>
        <v>0.28720983158852981</v>
      </c>
      <c r="E24" s="44" t="s">
        <v>73</v>
      </c>
      <c r="F24" s="41" t="s">
        <v>28</v>
      </c>
      <c r="G24" s="34">
        <v>8</v>
      </c>
      <c r="H24" s="107">
        <f>IF(B$51=0,0,G24/B$51)</f>
        <v>3.9196472317491425E-3</v>
      </c>
      <c r="I24" s="68">
        <v>10</v>
      </c>
      <c r="K24" s="5">
        <v>22</v>
      </c>
      <c r="L24" s="73">
        <v>99.800000000000011</v>
      </c>
      <c r="N24" s="89" t="s">
        <v>208</v>
      </c>
      <c r="O24" s="99">
        <f>IF(P24=0,0,Q24/P24)</f>
        <v>17.3</v>
      </c>
      <c r="P24" s="93">
        <v>1</v>
      </c>
      <c r="Q24" s="81">
        <v>17.3</v>
      </c>
    </row>
    <row r="25" spans="1:17" x14ac:dyDescent="0.45">
      <c r="A25" s="37" t="s">
        <v>179</v>
      </c>
      <c r="B25" s="34">
        <v>540</v>
      </c>
      <c r="C25" s="31">
        <f>IF(B$19=0,0,B25/B$19)</f>
        <v>0.24578971324533455</v>
      </c>
      <c r="E25" s="44" t="s">
        <v>74</v>
      </c>
      <c r="F25" s="41" t="s">
        <v>29</v>
      </c>
      <c r="G25" s="34">
        <v>6</v>
      </c>
      <c r="H25" s="107">
        <f>IF(B$51=0,0,G25/B$51)</f>
        <v>2.9397354238118569E-3</v>
      </c>
      <c r="I25" s="68">
        <v>8</v>
      </c>
      <c r="K25" s="5">
        <v>23</v>
      </c>
      <c r="L25" s="73">
        <v>124.50000000000001</v>
      </c>
      <c r="N25" s="89" t="s">
        <v>187</v>
      </c>
      <c r="O25" s="99">
        <f>IF(P25=0,0,Q25/P25)</f>
        <v>17.208955223880601</v>
      </c>
      <c r="P25" s="93">
        <v>201</v>
      </c>
      <c r="Q25" s="81">
        <v>3459.0000000000009</v>
      </c>
    </row>
    <row r="26" spans="1:17" x14ac:dyDescent="0.45">
      <c r="A26" s="37" t="s">
        <v>5</v>
      </c>
      <c r="B26" s="17">
        <f>IF(B$19=0,0,C26/B$19)</f>
        <v>9210.9695038689115</v>
      </c>
      <c r="C26" s="8">
        <v>20236500</v>
      </c>
      <c r="E26" s="44" t="s">
        <v>84</v>
      </c>
      <c r="F26" s="41" t="s">
        <v>39</v>
      </c>
      <c r="G26" s="34">
        <v>5</v>
      </c>
      <c r="H26" s="107">
        <f>IF(B$51=0,0,G26/B$51)</f>
        <v>2.4497795198432141E-3</v>
      </c>
      <c r="I26" s="68">
        <v>4</v>
      </c>
      <c r="K26" s="5">
        <v>24</v>
      </c>
      <c r="L26" s="73">
        <v>118.00000000000001</v>
      </c>
      <c r="N26" s="89" t="s">
        <v>190</v>
      </c>
      <c r="O26" s="99">
        <f>IF(P26=0,0,Q26/P26)</f>
        <v>14.698816568047336</v>
      </c>
      <c r="P26" s="93">
        <v>338</v>
      </c>
      <c r="Q26" s="81">
        <v>4968.2</v>
      </c>
    </row>
    <row r="27" spans="1:17" x14ac:dyDescent="0.45">
      <c r="A27" s="38" t="s">
        <v>162</v>
      </c>
      <c r="B27" s="114">
        <f>IF($B$19-B$18=0,0,C27/($B$19-B$18))</f>
        <v>9613.346104725415</v>
      </c>
      <c r="C27" s="115">
        <v>15054500</v>
      </c>
      <c r="E27" s="44" t="s">
        <v>87</v>
      </c>
      <c r="F27" s="41" t="s">
        <v>42</v>
      </c>
      <c r="G27" s="34">
        <v>5</v>
      </c>
      <c r="H27" s="107">
        <f>IF(B$51=0,0,G27/B$51)</f>
        <v>2.4497795198432141E-3</v>
      </c>
      <c r="I27" s="68">
        <v>4</v>
      </c>
      <c r="K27" s="5">
        <v>25</v>
      </c>
      <c r="L27" s="73">
        <v>84.300000000000011</v>
      </c>
      <c r="N27" s="89" t="s">
        <v>193</v>
      </c>
      <c r="O27" s="99">
        <f>IF(P27=0,0,Q27/P27)</f>
        <v>12.422976501305488</v>
      </c>
      <c r="P27" s="93">
        <v>383</v>
      </c>
      <c r="Q27" s="81">
        <v>4758.0000000000018</v>
      </c>
    </row>
    <row r="28" spans="1:17" x14ac:dyDescent="0.45">
      <c r="A28" s="38" t="s">
        <v>163</v>
      </c>
      <c r="B28" s="114">
        <f>IF(B$18=0,0,C28/B$18)</f>
        <v>8212.3613312202851</v>
      </c>
      <c r="C28" s="115">
        <v>5182000</v>
      </c>
      <c r="E28" s="44" t="s">
        <v>90</v>
      </c>
      <c r="F28" s="41" t="s">
        <v>45</v>
      </c>
      <c r="G28" s="34">
        <v>5</v>
      </c>
      <c r="H28" s="107">
        <f>IF(B$51=0,0,G28/B$51)</f>
        <v>2.4497795198432141E-3</v>
      </c>
      <c r="I28" s="68">
        <v>2</v>
      </c>
      <c r="K28" s="5">
        <v>26</v>
      </c>
      <c r="L28" s="73">
        <v>108.20000000000002</v>
      </c>
      <c r="N28" s="89" t="s">
        <v>194</v>
      </c>
      <c r="O28" s="99">
        <f>IF(P28=0,0,Q28/P28)</f>
        <v>5.6242857142857137</v>
      </c>
      <c r="P28" s="93">
        <v>70</v>
      </c>
      <c r="Q28" s="81">
        <v>393.69999999999993</v>
      </c>
    </row>
    <row r="29" spans="1:17" x14ac:dyDescent="0.45">
      <c r="A29" s="38" t="s">
        <v>161</v>
      </c>
      <c r="B29" s="114">
        <f>IF(B$20=0,0,C29/B$20)</f>
        <v>-8323.2739420935413</v>
      </c>
      <c r="C29" s="115">
        <v>-7474300</v>
      </c>
      <c r="E29" s="44" t="s">
        <v>93</v>
      </c>
      <c r="F29" s="41" t="s">
        <v>48</v>
      </c>
      <c r="G29" s="34">
        <v>5</v>
      </c>
      <c r="H29" s="107">
        <f>IF(B$51=0,0,G29/B$51)</f>
        <v>2.4497795198432141E-3</v>
      </c>
      <c r="I29" s="68">
        <v>5</v>
      </c>
      <c r="K29" s="5">
        <v>27</v>
      </c>
      <c r="L29" s="73">
        <v>71.200000000000017</v>
      </c>
      <c r="N29" s="89" t="s">
        <v>192</v>
      </c>
      <c r="O29" s="99">
        <f>IF(P29=0,0,Q29/P29)</f>
        <v>5.283333333333335</v>
      </c>
      <c r="P29" s="93">
        <v>30</v>
      </c>
      <c r="Q29" s="81">
        <v>158.50000000000006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5</v>
      </c>
      <c r="H30" s="107">
        <f>IF(B$51=0,0,G30/B$51)</f>
        <v>2.4497795198432141E-3</v>
      </c>
      <c r="I30" s="68">
        <v>2</v>
      </c>
      <c r="K30" s="5">
        <v>28</v>
      </c>
      <c r="L30" s="73">
        <v>129.20000000000002</v>
      </c>
      <c r="N30" s="89" t="s">
        <v>191</v>
      </c>
      <c r="O30" s="99">
        <f>IF(P30=0,0,Q30/P30)</f>
        <v>4.1122448979591821</v>
      </c>
      <c r="P30" s="93">
        <v>294</v>
      </c>
      <c r="Q30" s="81">
        <v>1208.9999999999995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1.9598236158745713E-3</v>
      </c>
      <c r="I31" s="68">
        <v>4</v>
      </c>
      <c r="K31" s="5">
        <v>29</v>
      </c>
      <c r="L31" s="73">
        <v>120.80000000000001</v>
      </c>
      <c r="N31" s="89" t="s">
        <v>199</v>
      </c>
      <c r="O31" s="99">
        <f>IF(P31=0,0,Q31/P31)</f>
        <v>-13.45</v>
      </c>
      <c r="P31" s="93">
        <v>2</v>
      </c>
      <c r="Q31" s="81">
        <v>-26.9</v>
      </c>
    </row>
    <row r="32" spans="1:17" x14ac:dyDescent="0.45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3</v>
      </c>
      <c r="H32" s="107">
        <f>IF(B$51=0,0,G32/B$51)</f>
        <v>1.4698677119059284E-3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41">
        <v>149100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7.7208153180975908E-4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5">
        <v>137</v>
      </c>
      <c r="C36" s="119">
        <f>IF(B$19=0,0,B36/B$19)</f>
        <v>6.2357760582612651E-2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293</v>
      </c>
      <c r="C37" s="31">
        <f t="shared" ref="C37:C48" si="2">IF(B$19=0,0,B37/B$19)</f>
        <v>0.13336367774237598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8">
        <v>390</v>
      </c>
      <c r="C38" s="31">
        <f>IF(B$19=0,0,B38/B$19)</f>
        <v>0.17751479289940827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8">
        <v>394</v>
      </c>
      <c r="C39" s="31">
        <f t="shared" si="2"/>
        <v>0.17933545744196633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8">
        <v>305</v>
      </c>
      <c r="C40" s="31">
        <f t="shared" si="2"/>
        <v>0.13882567137005006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8">
        <v>215</v>
      </c>
      <c r="C41" s="31">
        <f t="shared" si="2"/>
        <v>9.7860719162494308E-2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8">
        <v>134</v>
      </c>
      <c r="C42" s="31">
        <f t="shared" si="2"/>
        <v>6.0992262175694131E-2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8">
        <v>64</v>
      </c>
      <c r="C43" s="31">
        <f t="shared" si="2"/>
        <v>2.9130632680928539E-2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8">
        <v>41</v>
      </c>
      <c r="C44" s="31">
        <f t="shared" si="2"/>
        <v>1.8661811561219845E-2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8">
        <v>19</v>
      </c>
      <c r="C45" s="31">
        <f t="shared" si="2"/>
        <v>8.6481565771506595E-3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8">
        <v>10</v>
      </c>
      <c r="C46" s="31">
        <f t="shared" si="2"/>
        <v>4.5516613563950838E-3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8">
        <v>4</v>
      </c>
      <c r="C47" s="31">
        <f t="shared" si="2"/>
        <v>1.8206645425580337E-3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4">
        <v>35</v>
      </c>
      <c r="C48" s="32">
        <f t="shared" si="2"/>
        <v>1.5930814747382796E-2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6020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39">
        <v>2041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  <row r="731" spans="11:12" x14ac:dyDescent="0.45">
      <c r="K731" s="5">
        <v>729</v>
      </c>
      <c r="L731" s="73">
        <v>7000.4</v>
      </c>
    </row>
    <row r="732" spans="11:12" x14ac:dyDescent="0.45">
      <c r="K732" s="5">
        <v>730</v>
      </c>
      <c r="L732" s="73">
        <v>7006.0999999999995</v>
      </c>
    </row>
    <row r="733" spans="11:12" x14ac:dyDescent="0.45">
      <c r="K733" s="5">
        <v>731</v>
      </c>
      <c r="L733" s="73">
        <v>7005.2</v>
      </c>
    </row>
    <row r="734" spans="11:12" x14ac:dyDescent="0.45">
      <c r="K734" s="5">
        <v>732</v>
      </c>
      <c r="L734" s="73">
        <v>7063</v>
      </c>
    </row>
    <row r="735" spans="11:12" x14ac:dyDescent="0.45">
      <c r="K735" s="5">
        <v>733</v>
      </c>
      <c r="L735" s="73">
        <v>7115.7999999999993</v>
      </c>
    </row>
    <row r="736" spans="11:12" x14ac:dyDescent="0.45">
      <c r="K736" s="5">
        <v>734</v>
      </c>
      <c r="L736" s="73">
        <v>7188.7999999999993</v>
      </c>
    </row>
    <row r="737" spans="11:12" x14ac:dyDescent="0.45">
      <c r="K737" s="5">
        <v>735</v>
      </c>
      <c r="L737" s="73">
        <v>7184.5</v>
      </c>
    </row>
    <row r="738" spans="11:12" x14ac:dyDescent="0.45">
      <c r="K738" s="5">
        <v>736</v>
      </c>
      <c r="L738" s="73">
        <v>7244.2</v>
      </c>
    </row>
    <row r="739" spans="11:12" x14ac:dyDescent="0.45">
      <c r="K739" s="5">
        <v>737</v>
      </c>
      <c r="L739" s="73">
        <v>7249.2</v>
      </c>
    </row>
    <row r="740" spans="11:12" x14ac:dyDescent="0.45">
      <c r="K740" s="5">
        <v>738</v>
      </c>
      <c r="L740" s="73">
        <v>7280.7999999999993</v>
      </c>
    </row>
    <row r="741" spans="11:12" x14ac:dyDescent="0.45">
      <c r="K741" s="5">
        <v>739</v>
      </c>
      <c r="L741" s="73">
        <v>7342.4</v>
      </c>
    </row>
    <row r="742" spans="11:12" x14ac:dyDescent="0.45">
      <c r="K742" s="5">
        <v>740</v>
      </c>
      <c r="L742" s="73">
        <v>7319.9</v>
      </c>
    </row>
    <row r="743" spans="11:12" x14ac:dyDescent="0.45">
      <c r="K743" s="5">
        <v>741</v>
      </c>
      <c r="L743" s="73">
        <v>7325.4</v>
      </c>
    </row>
    <row r="744" spans="11:12" x14ac:dyDescent="0.45">
      <c r="K744" s="5">
        <v>742</v>
      </c>
      <c r="L744" s="73">
        <v>7301.9</v>
      </c>
    </row>
    <row r="745" spans="11:12" x14ac:dyDescent="0.45">
      <c r="K745" s="5">
        <v>743</v>
      </c>
      <c r="L745" s="73">
        <v>7296.5</v>
      </c>
    </row>
    <row r="746" spans="11:12" x14ac:dyDescent="0.45">
      <c r="K746" s="5">
        <v>744</v>
      </c>
      <c r="L746" s="73">
        <v>7310.2999999999993</v>
      </c>
    </row>
    <row r="747" spans="11:12" x14ac:dyDescent="0.45">
      <c r="K747" s="5">
        <v>745</v>
      </c>
      <c r="L747" s="73">
        <v>7245.2999999999993</v>
      </c>
    </row>
    <row r="748" spans="11:12" x14ac:dyDescent="0.45">
      <c r="K748" s="5">
        <v>746</v>
      </c>
      <c r="L748" s="73">
        <v>7283.2999999999993</v>
      </c>
    </row>
    <row r="749" spans="11:12" x14ac:dyDescent="0.45">
      <c r="K749" s="5">
        <v>747</v>
      </c>
      <c r="L749" s="73">
        <v>7242.5</v>
      </c>
    </row>
    <row r="750" spans="11:12" x14ac:dyDescent="0.45">
      <c r="K750" s="5">
        <v>748</v>
      </c>
      <c r="L750" s="73">
        <v>7216.7</v>
      </c>
    </row>
    <row r="751" spans="11:12" x14ac:dyDescent="0.45">
      <c r="K751" s="5">
        <v>749</v>
      </c>
      <c r="L751" s="73">
        <v>7219.9</v>
      </c>
    </row>
    <row r="752" spans="11:12" x14ac:dyDescent="0.45">
      <c r="K752" s="5">
        <v>750</v>
      </c>
      <c r="L752" s="73">
        <v>7245.4</v>
      </c>
    </row>
    <row r="753" spans="11:12" x14ac:dyDescent="0.45">
      <c r="K753" s="5">
        <v>751</v>
      </c>
      <c r="L753" s="73">
        <v>7241</v>
      </c>
    </row>
    <row r="754" spans="11:12" x14ac:dyDescent="0.45">
      <c r="K754" s="5">
        <v>752</v>
      </c>
      <c r="L754" s="73">
        <v>7249.5999999999995</v>
      </c>
    </row>
    <row r="755" spans="11:12" x14ac:dyDescent="0.45">
      <c r="K755" s="5">
        <v>753</v>
      </c>
      <c r="L755" s="73">
        <v>7294.4</v>
      </c>
    </row>
    <row r="756" spans="11:12" x14ac:dyDescent="0.45">
      <c r="K756" s="5">
        <v>754</v>
      </c>
      <c r="L756" s="73">
        <v>7290.5</v>
      </c>
    </row>
    <row r="757" spans="11:12" x14ac:dyDescent="0.45">
      <c r="K757" s="5">
        <v>755</v>
      </c>
      <c r="L757" s="73">
        <v>7335.7999999999993</v>
      </c>
    </row>
    <row r="758" spans="11:12" x14ac:dyDescent="0.45">
      <c r="K758" s="5">
        <v>756</v>
      </c>
      <c r="L758" s="73">
        <v>7406.7999999999993</v>
      </c>
    </row>
    <row r="759" spans="11:12" x14ac:dyDescent="0.45">
      <c r="K759" s="5">
        <v>757</v>
      </c>
      <c r="L759" s="73">
        <v>7429.0999999999995</v>
      </c>
    </row>
    <row r="760" spans="11:12" x14ac:dyDescent="0.45">
      <c r="K760" s="5">
        <v>758</v>
      </c>
      <c r="L760" s="73">
        <v>7378.7</v>
      </c>
    </row>
    <row r="761" spans="11:12" x14ac:dyDescent="0.45">
      <c r="K761" s="5">
        <v>759</v>
      </c>
      <c r="L761" s="73">
        <v>7408.0999999999995</v>
      </c>
    </row>
    <row r="762" spans="11:12" x14ac:dyDescent="0.45">
      <c r="K762" s="5">
        <v>760</v>
      </c>
      <c r="L762" s="73">
        <v>7408.7999999999993</v>
      </c>
    </row>
    <row r="763" spans="11:12" x14ac:dyDescent="0.45">
      <c r="K763" s="5">
        <v>761</v>
      </c>
      <c r="L763" s="73">
        <v>7358.2</v>
      </c>
    </row>
    <row r="764" spans="11:12" x14ac:dyDescent="0.45">
      <c r="K764" s="5">
        <v>762</v>
      </c>
      <c r="L764" s="73">
        <v>7363.0999999999995</v>
      </c>
    </row>
    <row r="765" spans="11:12" x14ac:dyDescent="0.45">
      <c r="K765" s="5">
        <v>763</v>
      </c>
      <c r="L765" s="73">
        <v>7324.0999999999995</v>
      </c>
    </row>
    <row r="766" spans="11:12" x14ac:dyDescent="0.45">
      <c r="K766" s="5">
        <v>764</v>
      </c>
      <c r="L766" s="73">
        <v>7317.7999999999993</v>
      </c>
    </row>
    <row r="767" spans="11:12" x14ac:dyDescent="0.45">
      <c r="K767" s="5">
        <v>765</v>
      </c>
      <c r="L767" s="73">
        <v>7346.2999999999993</v>
      </c>
    </row>
    <row r="768" spans="11:12" x14ac:dyDescent="0.45">
      <c r="K768" s="5">
        <v>766</v>
      </c>
      <c r="L768" s="73">
        <v>7364.9</v>
      </c>
    </row>
    <row r="769" spans="11:12" x14ac:dyDescent="0.45">
      <c r="K769" s="5">
        <v>767</v>
      </c>
      <c r="L769" s="73">
        <v>7363.5</v>
      </c>
    </row>
    <row r="770" spans="11:12" x14ac:dyDescent="0.45">
      <c r="K770" s="5">
        <v>768</v>
      </c>
      <c r="L770" s="73">
        <v>7355.5999999999995</v>
      </c>
    </row>
    <row r="771" spans="11:12" x14ac:dyDescent="0.45">
      <c r="K771" s="5">
        <v>769</v>
      </c>
      <c r="L771" s="73">
        <v>7352.2</v>
      </c>
    </row>
    <row r="772" spans="11:12" x14ac:dyDescent="0.45">
      <c r="K772" s="5">
        <v>770</v>
      </c>
      <c r="L772" s="73">
        <v>7348.0999999999995</v>
      </c>
    </row>
    <row r="773" spans="11:12" x14ac:dyDescent="0.45">
      <c r="K773" s="5">
        <v>771</v>
      </c>
      <c r="L773" s="73">
        <v>7300.0999999999995</v>
      </c>
    </row>
    <row r="774" spans="11:12" x14ac:dyDescent="0.45">
      <c r="K774" s="5">
        <v>772</v>
      </c>
      <c r="L774" s="73">
        <v>7253.8</v>
      </c>
    </row>
    <row r="775" spans="11:12" x14ac:dyDescent="0.45">
      <c r="K775" s="5">
        <v>773</v>
      </c>
      <c r="L775" s="73">
        <v>7230.2</v>
      </c>
    </row>
    <row r="776" spans="11:12" x14ac:dyDescent="0.45">
      <c r="K776" s="5">
        <v>774</v>
      </c>
      <c r="L776" s="73">
        <v>7231.4</v>
      </c>
    </row>
    <row r="777" spans="11:12" x14ac:dyDescent="0.45">
      <c r="K777" s="5">
        <v>775</v>
      </c>
      <c r="L777" s="73">
        <v>7267.4</v>
      </c>
    </row>
    <row r="778" spans="11:12" x14ac:dyDescent="0.45">
      <c r="K778" s="5">
        <v>776</v>
      </c>
      <c r="L778" s="73">
        <v>7287.8</v>
      </c>
    </row>
    <row r="779" spans="11:12" x14ac:dyDescent="0.45">
      <c r="K779" s="5">
        <v>777</v>
      </c>
      <c r="L779" s="73">
        <v>7305.3</v>
      </c>
    </row>
    <row r="780" spans="11:12" x14ac:dyDescent="0.45">
      <c r="K780" s="5">
        <v>778</v>
      </c>
      <c r="L780" s="73">
        <v>7338.5</v>
      </c>
    </row>
    <row r="781" spans="11:12" x14ac:dyDescent="0.45">
      <c r="K781" s="5">
        <v>779</v>
      </c>
      <c r="L781" s="73">
        <v>7350.4</v>
      </c>
    </row>
    <row r="782" spans="11:12" x14ac:dyDescent="0.45">
      <c r="K782" s="5">
        <v>780</v>
      </c>
      <c r="L782" s="73">
        <v>7316.1</v>
      </c>
    </row>
    <row r="783" spans="11:12" x14ac:dyDescent="0.45">
      <c r="K783" s="5">
        <v>781</v>
      </c>
      <c r="L783" s="73">
        <v>7335.5</v>
      </c>
    </row>
    <row r="784" spans="11:12" x14ac:dyDescent="0.45">
      <c r="K784" s="5">
        <v>782</v>
      </c>
      <c r="L784" s="73">
        <v>7396</v>
      </c>
    </row>
    <row r="785" spans="11:12" x14ac:dyDescent="0.45">
      <c r="K785" s="5">
        <v>783</v>
      </c>
      <c r="L785" s="73">
        <v>7377.8</v>
      </c>
    </row>
    <row r="786" spans="11:12" x14ac:dyDescent="0.45">
      <c r="K786" s="5">
        <v>784</v>
      </c>
      <c r="L786" s="73">
        <v>7396.9</v>
      </c>
    </row>
    <row r="787" spans="11:12" x14ac:dyDescent="0.45">
      <c r="K787" s="5">
        <v>785</v>
      </c>
      <c r="L787" s="73">
        <v>7426.4</v>
      </c>
    </row>
    <row r="788" spans="11:12" x14ac:dyDescent="0.45">
      <c r="K788" s="5">
        <v>786</v>
      </c>
      <c r="L788" s="73">
        <v>7460.5</v>
      </c>
    </row>
    <row r="789" spans="11:12" x14ac:dyDescent="0.45">
      <c r="K789" s="5">
        <v>787</v>
      </c>
      <c r="L789" s="73">
        <v>7476.3</v>
      </c>
    </row>
    <row r="790" spans="11:12" x14ac:dyDescent="0.45">
      <c r="K790" s="5">
        <v>788</v>
      </c>
      <c r="L790" s="73">
        <v>7448.0999999999995</v>
      </c>
    </row>
    <row r="791" spans="11:12" x14ac:dyDescent="0.45">
      <c r="K791" s="5">
        <v>789</v>
      </c>
      <c r="L791" s="73">
        <v>7464.4</v>
      </c>
    </row>
    <row r="792" spans="11:12" x14ac:dyDescent="0.45">
      <c r="K792" s="5">
        <v>790</v>
      </c>
      <c r="L792" s="73">
        <v>7431.0999999999995</v>
      </c>
    </row>
    <row r="793" spans="11:12" x14ac:dyDescent="0.45">
      <c r="K793" s="5">
        <v>791</v>
      </c>
      <c r="L793" s="73">
        <v>7408</v>
      </c>
    </row>
    <row r="794" spans="11:12" x14ac:dyDescent="0.45">
      <c r="K794" s="5">
        <v>792</v>
      </c>
      <c r="L794" s="73">
        <v>7438.5999999999995</v>
      </c>
    </row>
    <row r="795" spans="11:12" x14ac:dyDescent="0.45">
      <c r="K795" s="5">
        <v>793</v>
      </c>
      <c r="L795" s="73">
        <v>7435.0999999999995</v>
      </c>
    </row>
    <row r="796" spans="11:12" x14ac:dyDescent="0.45">
      <c r="K796" s="5">
        <v>794</v>
      </c>
      <c r="L796" s="73">
        <v>7437</v>
      </c>
    </row>
    <row r="797" spans="11:12" x14ac:dyDescent="0.45">
      <c r="K797" s="5">
        <v>795</v>
      </c>
      <c r="L797" s="73">
        <v>7404.7999999999993</v>
      </c>
    </row>
    <row r="798" spans="11:12" x14ac:dyDescent="0.45">
      <c r="K798" s="5">
        <v>796</v>
      </c>
      <c r="L798" s="73">
        <v>7441.4</v>
      </c>
    </row>
    <row r="799" spans="11:12" x14ac:dyDescent="0.45">
      <c r="K799" s="5">
        <v>797</v>
      </c>
      <c r="L799" s="73">
        <v>7474.4</v>
      </c>
    </row>
    <row r="800" spans="11:12" x14ac:dyDescent="0.45">
      <c r="K800" s="5">
        <v>798</v>
      </c>
      <c r="L800" s="73">
        <v>7510.0999999999995</v>
      </c>
    </row>
    <row r="801" spans="11:12" x14ac:dyDescent="0.45">
      <c r="K801" s="5">
        <v>799</v>
      </c>
      <c r="L801" s="73">
        <v>7561.2</v>
      </c>
    </row>
    <row r="802" spans="11:12" x14ac:dyDescent="0.45">
      <c r="K802" s="5">
        <v>800</v>
      </c>
      <c r="L802" s="73">
        <v>7506.7</v>
      </c>
    </row>
    <row r="803" spans="11:12" x14ac:dyDescent="0.45">
      <c r="K803" s="5">
        <v>801</v>
      </c>
      <c r="L803" s="73">
        <v>7500.8</v>
      </c>
    </row>
    <row r="804" spans="11:12" x14ac:dyDescent="0.45">
      <c r="K804" s="5">
        <v>802</v>
      </c>
      <c r="L804" s="73">
        <v>7461.9</v>
      </c>
    </row>
    <row r="805" spans="11:12" x14ac:dyDescent="0.45">
      <c r="K805" s="5">
        <v>803</v>
      </c>
      <c r="L805" s="73">
        <v>7480.6</v>
      </c>
    </row>
    <row r="806" spans="11:12" x14ac:dyDescent="0.45">
      <c r="K806" s="5">
        <v>804</v>
      </c>
      <c r="L806" s="73">
        <v>7489</v>
      </c>
    </row>
    <row r="807" spans="11:12" x14ac:dyDescent="0.45">
      <c r="K807" s="5">
        <v>805</v>
      </c>
      <c r="L807" s="73">
        <v>7467.8</v>
      </c>
    </row>
    <row r="808" spans="11:12" x14ac:dyDescent="0.45">
      <c r="K808" s="5">
        <v>806</v>
      </c>
      <c r="L808" s="73">
        <v>7439.3</v>
      </c>
    </row>
    <row r="809" spans="11:12" x14ac:dyDescent="0.45">
      <c r="K809" s="5">
        <v>807</v>
      </c>
      <c r="L809" s="73">
        <v>7454.8</v>
      </c>
    </row>
    <row r="810" spans="11:12" x14ac:dyDescent="0.45">
      <c r="K810" s="5">
        <v>808</v>
      </c>
      <c r="L810" s="73">
        <v>7427.0999999999995</v>
      </c>
    </row>
    <row r="811" spans="11:12" x14ac:dyDescent="0.45">
      <c r="K811" s="5">
        <v>809</v>
      </c>
      <c r="L811" s="73">
        <v>7399.5</v>
      </c>
    </row>
    <row r="812" spans="11:12" x14ac:dyDescent="0.45">
      <c r="K812" s="5">
        <v>810</v>
      </c>
      <c r="L812" s="73">
        <v>7397.7999999999993</v>
      </c>
    </row>
    <row r="813" spans="11:12" x14ac:dyDescent="0.45">
      <c r="K813" s="5">
        <v>811</v>
      </c>
      <c r="L813" s="73">
        <v>7397.9</v>
      </c>
    </row>
  </sheetData>
  <sortState xmlns:xlrd2="http://schemas.microsoft.com/office/spreadsheetml/2017/richdata2" ref="N15:Q3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DC40-6134-472C-88FF-E52A542C1D29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22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3">
        <v>25</v>
      </c>
      <c r="C3" s="13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21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5">
        <v>-132.1</v>
      </c>
      <c r="C4" s="13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22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22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5">
        <f>IF(B$2=0,0,(B$7*1+B$8*2+B$9*3)/B$2)</f>
        <v>3</v>
      </c>
      <c r="C6" s="14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22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21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18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21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11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16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10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18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19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0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13000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8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21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A5691-C5F4-406F-A4F9-D3763874A7FA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33</v>
      </c>
      <c r="C2" s="132"/>
      <c r="E2" s="43" t="s">
        <v>66</v>
      </c>
      <c r="F2" s="25" t="s">
        <v>22</v>
      </c>
      <c r="G2" s="13">
        <v>52</v>
      </c>
      <c r="H2" s="106">
        <f>IF(B$51=0,0,G2/B$51)</f>
        <v>0.70270270270270274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-2756.25</v>
      </c>
      <c r="P2" s="92">
        <v>32</v>
      </c>
      <c r="Q2" s="76">
        <v>-88200</v>
      </c>
    </row>
    <row r="3" spans="1:17" x14ac:dyDescent="0.45">
      <c r="A3" s="37" t="s">
        <v>8</v>
      </c>
      <c r="B3" s="133">
        <v>264</v>
      </c>
      <c r="C3" s="134"/>
      <c r="E3" s="44" t="s">
        <v>64</v>
      </c>
      <c r="F3" s="41" t="s">
        <v>20</v>
      </c>
      <c r="G3" s="34">
        <v>45</v>
      </c>
      <c r="H3" s="107">
        <f>IF(B$51=0,0,G3/B$51)</f>
        <v>0.60810810810810811</v>
      </c>
      <c r="I3" s="68">
        <v>7</v>
      </c>
      <c r="K3" s="5">
        <v>1</v>
      </c>
      <c r="L3" s="73">
        <v>7</v>
      </c>
      <c r="N3" s="89" t="s">
        <v>127</v>
      </c>
      <c r="O3" s="96">
        <f t="shared" si="0"/>
        <v>-1312.5</v>
      </c>
      <c r="P3" s="93">
        <v>32</v>
      </c>
      <c r="Q3" s="77">
        <v>-42000</v>
      </c>
    </row>
    <row r="4" spans="1:17" x14ac:dyDescent="0.45">
      <c r="A4" s="37" t="s">
        <v>6</v>
      </c>
      <c r="B4" s="135">
        <v>-256.89999999999998</v>
      </c>
      <c r="C4" s="136"/>
      <c r="E4" s="44" t="s">
        <v>72</v>
      </c>
      <c r="F4" s="41" t="s">
        <v>27</v>
      </c>
      <c r="G4" s="34">
        <v>37</v>
      </c>
      <c r="H4" s="107">
        <f>IF(B$51=0,0,G4/B$51)</f>
        <v>0.5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-2771.875</v>
      </c>
      <c r="P4" s="93">
        <v>32</v>
      </c>
      <c r="Q4" s="77">
        <v>-88700</v>
      </c>
    </row>
    <row r="5" spans="1:17" x14ac:dyDescent="0.45">
      <c r="A5" s="37" t="s">
        <v>7</v>
      </c>
      <c r="B5" s="137">
        <f>IF(B$2=0,0,B$4/B$2)</f>
        <v>-7.7848484848484842</v>
      </c>
      <c r="C5" s="138"/>
      <c r="E5" s="44" t="s">
        <v>67</v>
      </c>
      <c r="F5" s="41" t="s">
        <v>23</v>
      </c>
      <c r="G5" s="34">
        <v>31</v>
      </c>
      <c r="H5" s="107">
        <f>IF(B$51=0,0,G5/B$51)</f>
        <v>0.41891891891891891</v>
      </c>
      <c r="I5" s="68">
        <v>5</v>
      </c>
      <c r="K5" s="5">
        <v>3</v>
      </c>
      <c r="L5" s="73">
        <v>-26.5</v>
      </c>
      <c r="N5" s="89" t="s">
        <v>129</v>
      </c>
      <c r="O5" s="96">
        <f t="shared" si="0"/>
        <v>1825</v>
      </c>
      <c r="P5" s="93">
        <v>28</v>
      </c>
      <c r="Q5" s="77">
        <v>51100</v>
      </c>
    </row>
    <row r="6" spans="1:17" x14ac:dyDescent="0.45">
      <c r="A6" s="37" t="s">
        <v>1</v>
      </c>
      <c r="B6" s="145">
        <f>IF(B$2=0,0,(B$7*1+B$8*2+B$9*3)/B$2)</f>
        <v>2.1515151515151514</v>
      </c>
      <c r="C6" s="146"/>
      <c r="E6" s="44" t="s">
        <v>68</v>
      </c>
      <c r="F6" s="41" t="s">
        <v>12</v>
      </c>
      <c r="G6" s="34">
        <v>27</v>
      </c>
      <c r="H6" s="107">
        <f>IF(B$51=0,0,G6/B$51)</f>
        <v>0.36486486486486486</v>
      </c>
      <c r="I6" s="68">
        <v>5</v>
      </c>
      <c r="K6" s="5">
        <v>4</v>
      </c>
      <c r="L6" s="73">
        <v>-15.5</v>
      </c>
      <c r="N6" s="89" t="s">
        <v>130</v>
      </c>
      <c r="O6" s="96">
        <f t="shared" si="0"/>
        <v>500</v>
      </c>
      <c r="P6" s="93">
        <v>25</v>
      </c>
      <c r="Q6" s="77">
        <v>12500</v>
      </c>
    </row>
    <row r="7" spans="1:17" x14ac:dyDescent="0.45">
      <c r="A7" s="37" t="s">
        <v>2</v>
      </c>
      <c r="B7" s="34">
        <v>9</v>
      </c>
      <c r="C7" s="31">
        <f t="shared" ref="C7:C14" si="1">IF(B$2=0,0,B7/B$2)</f>
        <v>0.27272727272727271</v>
      </c>
      <c r="E7" s="44" t="s">
        <v>157</v>
      </c>
      <c r="F7" s="41" t="s">
        <v>158</v>
      </c>
      <c r="G7" s="34">
        <v>23</v>
      </c>
      <c r="H7" s="107">
        <f>IF(B$51=0,0,G7/B$51)</f>
        <v>0.3108108108108108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-1854.5454545454545</v>
      </c>
      <c r="P7" s="94">
        <v>22</v>
      </c>
      <c r="Q7" s="78">
        <v>-40800</v>
      </c>
    </row>
    <row r="8" spans="1:17" x14ac:dyDescent="0.45">
      <c r="A8" s="37" t="s">
        <v>3</v>
      </c>
      <c r="B8" s="34">
        <v>10</v>
      </c>
      <c r="C8" s="31">
        <f t="shared" si="1"/>
        <v>0.30303030303030304</v>
      </c>
      <c r="E8" s="44" t="s">
        <v>65</v>
      </c>
      <c r="F8" s="41" t="s">
        <v>21</v>
      </c>
      <c r="G8" s="34">
        <v>11</v>
      </c>
      <c r="H8" s="107">
        <f>IF(B$51=0,0,G8/B$51)</f>
        <v>0.14864864864864866</v>
      </c>
      <c r="I8" s="68">
        <v>4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14</v>
      </c>
      <c r="C9" s="7">
        <f t="shared" si="1"/>
        <v>0.42424242424242425</v>
      </c>
      <c r="E9" s="44" t="s">
        <v>69</v>
      </c>
      <c r="F9" s="41" t="s">
        <v>24</v>
      </c>
      <c r="G9" s="34">
        <v>8</v>
      </c>
      <c r="H9" s="107">
        <f>IF(B$51=0,0,G9/B$51)</f>
        <v>0.10810810810810811</v>
      </c>
      <c r="I9" s="68">
        <v>18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0.10810810810810811</v>
      </c>
      <c r="I10" s="68">
        <v>13</v>
      </c>
      <c r="K10" s="5">
        <v>8</v>
      </c>
      <c r="L10" s="73">
        <v>37.6</v>
      </c>
      <c r="N10" s="88" t="s">
        <v>149</v>
      </c>
      <c r="O10" s="98">
        <f>IF(P10=0,0,Q10/P10)</f>
        <v>-13.972727272727271</v>
      </c>
      <c r="P10" s="92">
        <v>11</v>
      </c>
      <c r="Q10" s="80">
        <v>-153.69999999999999</v>
      </c>
    </row>
    <row r="11" spans="1:17" x14ac:dyDescent="0.45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8.1081081081081086E-2</v>
      </c>
      <c r="I11" s="68">
        <v>14</v>
      </c>
      <c r="K11" s="5">
        <v>9</v>
      </c>
      <c r="L11" s="73">
        <v>13.100000000000001</v>
      </c>
      <c r="N11" s="89" t="s">
        <v>150</v>
      </c>
      <c r="O11" s="99">
        <f>IF(P11=0,0,Q11/P11)</f>
        <v>-4.5785714285714283</v>
      </c>
      <c r="P11" s="93">
        <v>14</v>
      </c>
      <c r="Q11" s="81">
        <v>-64.099999999999994</v>
      </c>
    </row>
    <row r="12" spans="1:17" x14ac:dyDescent="0.45">
      <c r="A12" s="38" t="s">
        <v>205</v>
      </c>
      <c r="B12" s="120">
        <f>IF(B9=0,0,C12/B9)</f>
        <v>-36.607142857142854</v>
      </c>
      <c r="C12" s="121">
        <v>-512.5</v>
      </c>
      <c r="E12" s="44" t="s">
        <v>71</v>
      </c>
      <c r="F12" s="41" t="s">
        <v>26</v>
      </c>
      <c r="G12" s="34">
        <v>4</v>
      </c>
      <c r="H12" s="107">
        <f>IF(B$51=0,0,G12/B$51)</f>
        <v>5.4054054054054057E-2</v>
      </c>
      <c r="I12" s="68">
        <v>12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7">
        <f>AVERAGE(B10:B12)</f>
        <v>-2.7308994708994683</v>
      </c>
      <c r="C13" s="138"/>
      <c r="E13" s="44" t="s">
        <v>83</v>
      </c>
      <c r="F13" s="41" t="s">
        <v>38</v>
      </c>
      <c r="G13" s="34">
        <v>4</v>
      </c>
      <c r="H13" s="107">
        <f>IF(B$51=0,0,G13/B$51)</f>
        <v>5.4054054054054057E-2</v>
      </c>
      <c r="I13" s="68">
        <v>5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</v>
      </c>
      <c r="C14" s="32">
        <f t="shared" si="1"/>
        <v>0.15151515151515152</v>
      </c>
      <c r="E14" s="44" t="s">
        <v>75</v>
      </c>
      <c r="F14" s="41" t="s">
        <v>30</v>
      </c>
      <c r="G14" s="34">
        <v>2</v>
      </c>
      <c r="H14" s="107">
        <f>IF(B$51=0,0,G14/B$51)</f>
        <v>2.7027027027027029E-2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87</v>
      </c>
      <c r="C15" s="11">
        <f>IF(B$50=0,0,B15/B$50)</f>
        <v>0.3359073359073359</v>
      </c>
      <c r="E15" s="44" t="s">
        <v>79</v>
      </c>
      <c r="F15" s="41" t="s">
        <v>34</v>
      </c>
      <c r="G15" s="34">
        <v>2</v>
      </c>
      <c r="H15" s="107">
        <f>IF(B$51=0,0,G15/B$51)</f>
        <v>2.7027027027027029E-2</v>
      </c>
      <c r="I15" s="68">
        <v>4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28</v>
      </c>
      <c r="C16" s="31">
        <f>IF(B$50=0,0,B16/B$50)</f>
        <v>0.10810810810810811</v>
      </c>
      <c r="E16" s="44" t="s">
        <v>85</v>
      </c>
      <c r="F16" s="41" t="s">
        <v>40</v>
      </c>
      <c r="G16" s="34">
        <v>2</v>
      </c>
      <c r="H16" s="107">
        <f>IF(B$51=0,0,G16/B$51)</f>
        <v>2.7027027027027029E-2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5">
      <c r="A17" s="19" t="s">
        <v>123</v>
      </c>
      <c r="B17" s="13">
        <v>43</v>
      </c>
      <c r="C17" s="4">
        <f>IF(B$15=0,0,B17/B$15)</f>
        <v>0.4942528735632184</v>
      </c>
      <c r="E17" s="44" t="s">
        <v>86</v>
      </c>
      <c r="F17" s="41" t="s">
        <v>41</v>
      </c>
      <c r="G17" s="34">
        <v>2</v>
      </c>
      <c r="H17" s="107">
        <f>IF(B$51=0,0,G17/B$51)</f>
        <v>2.7027027027027029E-2</v>
      </c>
      <c r="I17" s="68">
        <v>15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5">
      <c r="A18" s="19" t="s">
        <v>124</v>
      </c>
      <c r="B18" s="13">
        <v>18</v>
      </c>
      <c r="C18" s="4">
        <f>IF(B$16=0,0,B18/B$16)</f>
        <v>0.6428571428571429</v>
      </c>
      <c r="E18" s="44" t="s">
        <v>77</v>
      </c>
      <c r="F18" s="41" t="s">
        <v>32</v>
      </c>
      <c r="G18" s="34">
        <v>1</v>
      </c>
      <c r="H18" s="107">
        <f>IF(B$51=0,0,G18/B$51)</f>
        <v>1.3513513513513514E-2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76</v>
      </c>
      <c r="C19" s="4">
        <f>IF(B$3=0,0,B19/B$3)</f>
        <v>0.2878787878787879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49</v>
      </c>
      <c r="C20" s="31">
        <f>IF(B$3=0,0,B20/B$3)</f>
        <v>0.18560606060606061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40</v>
      </c>
      <c r="C21" s="31">
        <f>IF(B$19=0,0,B21/B$19)</f>
        <v>0.52631578947368418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36</v>
      </c>
      <c r="C22" s="31">
        <f>IF(B$19=0,0,B22/B$19)</f>
        <v>0.47368421052631576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188</v>
      </c>
      <c r="O22" s="99">
        <f>IF(P22=0,0,Q22/P22)</f>
        <v>-26.928571428571427</v>
      </c>
      <c r="P22" s="93">
        <v>7</v>
      </c>
      <c r="Q22" s="81">
        <v>-188.5</v>
      </c>
    </row>
    <row r="23" spans="1:17" x14ac:dyDescent="0.45">
      <c r="A23" s="37" t="s">
        <v>180</v>
      </c>
      <c r="B23" s="34">
        <v>43</v>
      </c>
      <c r="C23" s="31">
        <f>IF(B$19=0,0,B23/B$19)</f>
        <v>0.56578947368421051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-40.286666666666662</v>
      </c>
      <c r="P23" s="93">
        <v>15</v>
      </c>
      <c r="Q23" s="81">
        <v>-604.29999999999995</v>
      </c>
    </row>
    <row r="24" spans="1:17" x14ac:dyDescent="0.45">
      <c r="A24" s="37" t="s">
        <v>178</v>
      </c>
      <c r="B24" s="34">
        <v>18</v>
      </c>
      <c r="C24" s="31">
        <f>IF(B$19=0,0,B24/B$19)</f>
        <v>0.23684210526315788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15</v>
      </c>
      <c r="C25" s="31">
        <f>IF(B$19=0,0,B25/B$19)</f>
        <v>0.19736842105263158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7605.2631578947367</v>
      </c>
      <c r="C26" s="8">
        <v>578000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7822.4137931034484</v>
      </c>
      <c r="C27" s="115">
        <v>453700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-8379.5918367346931</v>
      </c>
      <c r="C29" s="115">
        <v>-410600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5">
      <c r="A32" s="64" t="s">
        <v>134</v>
      </c>
      <c r="B32" s="143">
        <v>7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5">
      <c r="A33" s="40" t="s">
        <v>177</v>
      </c>
      <c r="B33" s="141">
        <v>66700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5">
      <c r="A34" s="39" t="s">
        <v>135</v>
      </c>
      <c r="B34" s="27">
        <v>3</v>
      </c>
      <c r="C34" s="32">
        <f>IF(B$3=0,0,B34/B$3)</f>
        <v>1.1363636363636364E-2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  <c r="K34" s="5">
        <v>32</v>
      </c>
      <c r="L34" s="73">
        <v>-211.3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-256.89999999999998</v>
      </c>
    </row>
    <row r="36" spans="1:12" x14ac:dyDescent="0.45">
      <c r="A36" s="64" t="s">
        <v>168</v>
      </c>
      <c r="B36" s="125">
        <v>6</v>
      </c>
      <c r="C36" s="119">
        <f>IF(B$19=0,0,B36/B$19)</f>
        <v>7.8947368421052627E-2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5">
      <c r="A37" s="37" t="s">
        <v>164</v>
      </c>
      <c r="B37" s="34">
        <v>20</v>
      </c>
      <c r="C37" s="31">
        <f t="shared" ref="C37:C48" si="2">IF(B$19=0,0,B37/B$19)</f>
        <v>0.26315789473684209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5">
      <c r="A38" s="37" t="s">
        <v>165</v>
      </c>
      <c r="B38" s="128">
        <v>8</v>
      </c>
      <c r="C38" s="31">
        <f>IF(B$19=0,0,B38/B$19)</f>
        <v>0.10526315789473684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5">
      <c r="A39" s="37" t="s">
        <v>166</v>
      </c>
      <c r="B39" s="128">
        <v>11</v>
      </c>
      <c r="C39" s="31">
        <f t="shared" si="2"/>
        <v>0.14473684210526316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5">
      <c r="A40" s="37" t="s">
        <v>167</v>
      </c>
      <c r="B40" s="128">
        <v>14</v>
      </c>
      <c r="C40" s="31">
        <f t="shared" si="2"/>
        <v>0.18421052631578946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5">
      <c r="A41" s="37" t="s">
        <v>169</v>
      </c>
      <c r="B41" s="128">
        <v>8</v>
      </c>
      <c r="C41" s="31">
        <f t="shared" si="2"/>
        <v>0.10526315789473684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5">
      <c r="A42" s="37" t="s">
        <v>170</v>
      </c>
      <c r="B42" s="128">
        <v>4</v>
      </c>
      <c r="C42" s="31">
        <f t="shared" si="2"/>
        <v>5.2631578947368418E-2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8">
        <v>1</v>
      </c>
      <c r="C43" s="31">
        <f t="shared" si="2"/>
        <v>1.3157894736842105E-2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8">
        <v>2</v>
      </c>
      <c r="C45" s="31">
        <f t="shared" si="2"/>
        <v>2.6315789473684209E-2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74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76CB-2760-4C78-BC04-8112F76CBD42}">
  <sheetPr codeName="Sheet7"/>
  <dimension ref="A1:Q47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468</v>
      </c>
      <c r="C2" s="132"/>
      <c r="E2" s="43" t="s">
        <v>66</v>
      </c>
      <c r="F2" s="25" t="s">
        <v>22</v>
      </c>
      <c r="G2" s="13">
        <v>701</v>
      </c>
      <c r="H2" s="106">
        <f>IF(B$51=0,0,G2/B$51)</f>
        <v>0.72793354101765317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-643.75</v>
      </c>
      <c r="P2" s="92">
        <v>464</v>
      </c>
      <c r="Q2" s="76">
        <v>-298700</v>
      </c>
    </row>
    <row r="3" spans="1:17" x14ac:dyDescent="0.45">
      <c r="A3" s="37" t="s">
        <v>8</v>
      </c>
      <c r="B3" s="133">
        <v>3793</v>
      </c>
      <c r="C3" s="134"/>
      <c r="E3" s="44" t="s">
        <v>64</v>
      </c>
      <c r="F3" s="41" t="s">
        <v>20</v>
      </c>
      <c r="G3" s="34">
        <v>551</v>
      </c>
      <c r="H3" s="107">
        <f>IF(B$51=0,0,G3/B$51)</f>
        <v>0.57217030114226375</v>
      </c>
      <c r="I3" s="68">
        <v>8</v>
      </c>
      <c r="K3" s="5">
        <v>1</v>
      </c>
      <c r="L3" s="73">
        <v>40.9</v>
      </c>
      <c r="N3" s="89" t="s">
        <v>127</v>
      </c>
      <c r="O3" s="96">
        <f t="shared" si="0"/>
        <v>-838.98678414096912</v>
      </c>
      <c r="P3" s="93">
        <v>454</v>
      </c>
      <c r="Q3" s="77">
        <v>-380900</v>
      </c>
    </row>
    <row r="4" spans="1:17" x14ac:dyDescent="0.45">
      <c r="A4" s="37" t="s">
        <v>6</v>
      </c>
      <c r="B4" s="135">
        <v>-2085.6</v>
      </c>
      <c r="C4" s="136"/>
      <c r="E4" s="44" t="s">
        <v>72</v>
      </c>
      <c r="F4" s="41" t="s">
        <v>27</v>
      </c>
      <c r="G4" s="34">
        <v>470</v>
      </c>
      <c r="H4" s="107">
        <f>IF(B$51=0,0,G4/B$51)</f>
        <v>0.48805815160955346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135.26682134570765</v>
      </c>
      <c r="P4" s="93">
        <v>431</v>
      </c>
      <c r="Q4" s="77">
        <v>58300</v>
      </c>
    </row>
    <row r="5" spans="1:17" x14ac:dyDescent="0.45">
      <c r="A5" s="37" t="s">
        <v>7</v>
      </c>
      <c r="B5" s="137">
        <f>IF(B$2=0,0,B$4/B$2)</f>
        <v>-4.4564102564102566</v>
      </c>
      <c r="C5" s="138"/>
      <c r="E5" s="44" t="s">
        <v>68</v>
      </c>
      <c r="F5" s="41" t="s">
        <v>12</v>
      </c>
      <c r="G5" s="34">
        <v>343</v>
      </c>
      <c r="H5" s="107">
        <f>IF(B$51=0,0,G5/B$51)</f>
        <v>0.35617860851505712</v>
      </c>
      <c r="I5" s="68">
        <v>7</v>
      </c>
      <c r="K5" s="5">
        <v>3</v>
      </c>
      <c r="L5" s="73">
        <v>-36.4</v>
      </c>
      <c r="N5" s="89" t="s">
        <v>129</v>
      </c>
      <c r="O5" s="96">
        <f t="shared" si="0"/>
        <v>-754.68354430379748</v>
      </c>
      <c r="P5" s="93">
        <v>395</v>
      </c>
      <c r="Q5" s="77">
        <v>-298100</v>
      </c>
    </row>
    <row r="6" spans="1:17" x14ac:dyDescent="0.45">
      <c r="A6" s="37" t="s">
        <v>1</v>
      </c>
      <c r="B6" s="145">
        <f>IF(B$2=0,0,(B$7*1+B$8*2+B$9*3)/B$2)</f>
        <v>2.1217948717948718</v>
      </c>
      <c r="C6" s="146"/>
      <c r="E6" s="44" t="s">
        <v>157</v>
      </c>
      <c r="F6" s="41" t="s">
        <v>158</v>
      </c>
      <c r="G6" s="34">
        <v>314</v>
      </c>
      <c r="H6" s="107">
        <f>IF(B$51=0,0,G6/B$51)</f>
        <v>0.32606438213914851</v>
      </c>
      <c r="I6" s="68">
        <v>10</v>
      </c>
      <c r="K6" s="5">
        <v>4</v>
      </c>
      <c r="L6" s="73">
        <v>3.6000000000000014</v>
      </c>
      <c r="N6" s="89" t="s">
        <v>130</v>
      </c>
      <c r="O6" s="96">
        <f t="shared" si="0"/>
        <v>-720.90395480225993</v>
      </c>
      <c r="P6" s="93">
        <v>354</v>
      </c>
      <c r="Q6" s="77">
        <v>-255200</v>
      </c>
    </row>
    <row r="7" spans="1:17" x14ac:dyDescent="0.45">
      <c r="A7" s="37" t="s">
        <v>2</v>
      </c>
      <c r="B7" s="34">
        <v>122</v>
      </c>
      <c r="C7" s="31">
        <f t="shared" ref="C7:C14" si="1">IF(B$2=0,0,B7/B$2)</f>
        <v>0.2606837606837607</v>
      </c>
      <c r="E7" s="44" t="s">
        <v>67</v>
      </c>
      <c r="F7" s="41" t="s">
        <v>23</v>
      </c>
      <c r="G7" s="34">
        <v>311</v>
      </c>
      <c r="H7" s="107">
        <f>IF(B$51=0,0,G7/B$51)</f>
        <v>0.32294911734164072</v>
      </c>
      <c r="I7" s="68">
        <v>9</v>
      </c>
      <c r="K7" s="5">
        <v>5</v>
      </c>
      <c r="L7" s="73">
        <v>14.600000000000001</v>
      </c>
      <c r="N7" s="90" t="s">
        <v>131</v>
      </c>
      <c r="O7" s="97">
        <f t="shared" si="0"/>
        <v>-1239.9339933993399</v>
      </c>
      <c r="P7" s="94">
        <v>303</v>
      </c>
      <c r="Q7" s="78">
        <v>-375700</v>
      </c>
    </row>
    <row r="8" spans="1:17" x14ac:dyDescent="0.45">
      <c r="A8" s="37" t="s">
        <v>3</v>
      </c>
      <c r="B8" s="34">
        <v>167</v>
      </c>
      <c r="C8" s="31">
        <f t="shared" si="1"/>
        <v>0.35683760683760685</v>
      </c>
      <c r="E8" s="44" t="s">
        <v>69</v>
      </c>
      <c r="F8" s="41" t="s">
        <v>24</v>
      </c>
      <c r="G8" s="34">
        <v>166</v>
      </c>
      <c r="H8" s="107">
        <f>IF(B$51=0,0,G8/B$51)</f>
        <v>0.17237798546209762</v>
      </c>
      <c r="I8" s="68">
        <v>5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179</v>
      </c>
      <c r="C9" s="7">
        <f t="shared" si="1"/>
        <v>0.38247863247863245</v>
      </c>
      <c r="E9" s="44" t="s">
        <v>89</v>
      </c>
      <c r="F9" s="41" t="s">
        <v>44</v>
      </c>
      <c r="G9" s="34">
        <v>129</v>
      </c>
      <c r="H9" s="107">
        <f>IF(B$51=0,0,G9/B$51)</f>
        <v>0.13395638629283488</v>
      </c>
      <c r="I9" s="68">
        <v>10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36.517213114754099</v>
      </c>
      <c r="C10" s="121">
        <v>4455.1000000000004</v>
      </c>
      <c r="E10" s="44" t="s">
        <v>65</v>
      </c>
      <c r="F10" s="41" t="s">
        <v>21</v>
      </c>
      <c r="G10" s="34">
        <v>123</v>
      </c>
      <c r="H10" s="107">
        <f>IF(B$51=0,0,G10/B$51)</f>
        <v>0.1277258566978193</v>
      </c>
      <c r="I10" s="68">
        <v>7</v>
      </c>
      <c r="K10" s="5">
        <v>8</v>
      </c>
      <c r="L10" s="73">
        <v>60.199999999999996</v>
      </c>
      <c r="N10" s="88" t="s">
        <v>149</v>
      </c>
      <c r="O10" s="98">
        <f>IF(P10=0,0,Q10/P10)</f>
        <v>-8.1625668449197875</v>
      </c>
      <c r="P10" s="92">
        <v>187</v>
      </c>
      <c r="Q10" s="80">
        <v>-1526.4</v>
      </c>
    </row>
    <row r="11" spans="1:17" x14ac:dyDescent="0.45">
      <c r="A11" s="38" t="s">
        <v>204</v>
      </c>
      <c r="B11" s="120">
        <f>IF(B8=0,0,C11/B8)</f>
        <v>-0.84910179640718553</v>
      </c>
      <c r="C11" s="121">
        <v>-141.79999999999998</v>
      </c>
      <c r="E11" s="44" t="s">
        <v>70</v>
      </c>
      <c r="F11" s="41" t="s">
        <v>25</v>
      </c>
      <c r="G11" s="34">
        <v>118</v>
      </c>
      <c r="H11" s="107">
        <f>IF(B$51=0,0,G11/B$51)</f>
        <v>0.12253374870197301</v>
      </c>
      <c r="I11" s="68">
        <v>5</v>
      </c>
      <c r="K11" s="5">
        <v>9</v>
      </c>
      <c r="L11" s="73">
        <v>24.4</v>
      </c>
      <c r="N11" s="89" t="s">
        <v>150</v>
      </c>
      <c r="O11" s="99">
        <f>IF(P11=0,0,Q11/P11)</f>
        <v>-3.8593333333333337</v>
      </c>
      <c r="P11" s="93">
        <v>150</v>
      </c>
      <c r="Q11" s="81">
        <v>-578.90000000000009</v>
      </c>
    </row>
    <row r="12" spans="1:17" x14ac:dyDescent="0.45">
      <c r="A12" s="38" t="s">
        <v>205</v>
      </c>
      <c r="B12" s="120">
        <f>IF(B9=0,0,C12/B9)</f>
        <v>-35.74804469273743</v>
      </c>
      <c r="C12" s="121">
        <v>-6398.9</v>
      </c>
      <c r="E12" s="44" t="s">
        <v>86</v>
      </c>
      <c r="F12" s="41" t="s">
        <v>41</v>
      </c>
      <c r="G12" s="34">
        <v>60</v>
      </c>
      <c r="H12" s="107">
        <f>IF(B$51=0,0,G12/B$51)</f>
        <v>6.2305295950155763E-2</v>
      </c>
      <c r="I12" s="68">
        <v>9</v>
      </c>
      <c r="K12" s="5">
        <v>10</v>
      </c>
      <c r="L12" s="73">
        <v>-20.100000000000001</v>
      </c>
      <c r="N12" s="90" t="s">
        <v>151</v>
      </c>
      <c r="O12" s="100">
        <f>IF(P12=0,0,Q12/P12)</f>
        <v>-0.23307692307692285</v>
      </c>
      <c r="P12" s="94">
        <v>130</v>
      </c>
      <c r="Q12" s="82">
        <v>-30.299999999999969</v>
      </c>
    </row>
    <row r="13" spans="1:17" x14ac:dyDescent="0.45">
      <c r="A13" s="38" t="s">
        <v>206</v>
      </c>
      <c r="B13" s="137">
        <f>AVERAGE(B10:B12)</f>
        <v>-2.6644458130171245E-2</v>
      </c>
      <c r="C13" s="138"/>
      <c r="E13" s="44" t="s">
        <v>83</v>
      </c>
      <c r="F13" s="41" t="s">
        <v>38</v>
      </c>
      <c r="G13" s="34">
        <v>47</v>
      </c>
      <c r="H13" s="107">
        <f>IF(B$51=0,0,G13/B$51)</f>
        <v>4.8805815160955349E-2</v>
      </c>
      <c r="I13" s="68">
        <v>8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64</v>
      </c>
      <c r="C14" s="32">
        <f t="shared" si="1"/>
        <v>0.13675213675213677</v>
      </c>
      <c r="E14" s="44" t="s">
        <v>71</v>
      </c>
      <c r="F14" s="41" t="s">
        <v>26</v>
      </c>
      <c r="G14" s="34">
        <v>39</v>
      </c>
      <c r="H14" s="107">
        <f>IF(B$51=0,0,G14/B$51)</f>
        <v>4.0498442367601244E-2</v>
      </c>
      <c r="I14" s="68">
        <v>15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991</v>
      </c>
      <c r="C15" s="11">
        <f>IF(B$50=0,0,B15/B$50)</f>
        <v>0.2805775764439411</v>
      </c>
      <c r="E15" s="44" t="s">
        <v>81</v>
      </c>
      <c r="F15" s="41" t="s">
        <v>36</v>
      </c>
      <c r="G15" s="34">
        <v>30</v>
      </c>
      <c r="H15" s="107">
        <f>IF(B$51=0,0,G15/B$51)</f>
        <v>3.1152647975077882E-2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637</v>
      </c>
      <c r="C16" s="31">
        <f>IF(B$50=0,0,B16/B$50)</f>
        <v>0.1803510758776897</v>
      </c>
      <c r="E16" s="44" t="s">
        <v>78</v>
      </c>
      <c r="F16" s="41" t="s">
        <v>33</v>
      </c>
      <c r="G16" s="34">
        <v>26</v>
      </c>
      <c r="H16" s="107">
        <f>IF(B$51=0,0,G16/B$51)</f>
        <v>2.6998961578400829E-2</v>
      </c>
      <c r="I16" s="68">
        <v>10</v>
      </c>
      <c r="K16" s="5">
        <v>14</v>
      </c>
      <c r="L16" s="73">
        <v>33</v>
      </c>
      <c r="N16" s="89" t="s">
        <v>207</v>
      </c>
      <c r="O16" s="99">
        <f>IF(P16=0,0,Q16/P16)</f>
        <v>12.500000000000002</v>
      </c>
      <c r="P16" s="93">
        <v>2</v>
      </c>
      <c r="Q16" s="81">
        <v>25.000000000000004</v>
      </c>
    </row>
    <row r="17" spans="1:17" x14ac:dyDescent="0.45">
      <c r="A17" s="19" t="s">
        <v>123</v>
      </c>
      <c r="B17" s="13">
        <v>564</v>
      </c>
      <c r="C17" s="4">
        <f>IF(B$15=0,0,B17/B$15)</f>
        <v>0.56912209889001009</v>
      </c>
      <c r="E17" s="44" t="s">
        <v>91</v>
      </c>
      <c r="F17" s="41" t="s">
        <v>46</v>
      </c>
      <c r="G17" s="34">
        <v>16</v>
      </c>
      <c r="H17" s="107">
        <f>IF(B$51=0,0,G17/B$51)</f>
        <v>1.6614745586708203E-2</v>
      </c>
      <c r="I17" s="68">
        <v>8</v>
      </c>
      <c r="K17" s="5">
        <v>15</v>
      </c>
      <c r="L17" s="73">
        <v>38.5</v>
      </c>
      <c r="N17" s="89" t="s">
        <v>186</v>
      </c>
      <c r="O17" s="99">
        <f>IF(P17=0,0,Q17/P17)</f>
        <v>8.4682926829268297</v>
      </c>
      <c r="P17" s="93">
        <v>41</v>
      </c>
      <c r="Q17" s="81">
        <v>347.2</v>
      </c>
    </row>
    <row r="18" spans="1:17" x14ac:dyDescent="0.45">
      <c r="A18" s="19" t="s">
        <v>124</v>
      </c>
      <c r="B18" s="13">
        <v>243</v>
      </c>
      <c r="C18" s="4">
        <f>IF(B$16=0,0,B18/B$16)</f>
        <v>0.38147566718995291</v>
      </c>
      <c r="E18" s="44" t="s">
        <v>79</v>
      </c>
      <c r="F18" s="41" t="s">
        <v>34</v>
      </c>
      <c r="G18" s="34">
        <v>14</v>
      </c>
      <c r="H18" s="107">
        <f>IF(B$51=0,0,G18/B$51)</f>
        <v>1.4537902388369679E-2</v>
      </c>
      <c r="I18" s="68">
        <v>12</v>
      </c>
      <c r="K18" s="5">
        <v>16</v>
      </c>
      <c r="L18" s="73">
        <v>14.600000000000001</v>
      </c>
      <c r="N18" s="89" t="s">
        <v>191</v>
      </c>
      <c r="O18" s="99">
        <f>IF(P18=0,0,Q18/P18)</f>
        <v>2.6733870967741953</v>
      </c>
      <c r="P18" s="93">
        <v>124</v>
      </c>
      <c r="Q18" s="81">
        <v>331.50000000000023</v>
      </c>
    </row>
    <row r="19" spans="1:17" x14ac:dyDescent="0.45">
      <c r="A19" s="19" t="s">
        <v>10</v>
      </c>
      <c r="B19" s="13">
        <v>1024</v>
      </c>
      <c r="C19" s="4">
        <f>IF(B$3=0,0,B19/B$3)</f>
        <v>0.26997099920906936</v>
      </c>
      <c r="E19" s="44" t="s">
        <v>153</v>
      </c>
      <c r="F19" s="41" t="s">
        <v>154</v>
      </c>
      <c r="G19" s="34">
        <v>12</v>
      </c>
      <c r="H19" s="107">
        <f>IF(B$51=0,0,G19/B$51)</f>
        <v>1.2461059190031152E-2</v>
      </c>
      <c r="I19" s="68">
        <v>6</v>
      </c>
      <c r="K19" s="5">
        <v>17</v>
      </c>
      <c r="L19" s="73">
        <v>13.900000000000002</v>
      </c>
      <c r="N19" s="89" t="s">
        <v>188</v>
      </c>
      <c r="O19" s="99">
        <f>IF(P19=0,0,Q19/P19)</f>
        <v>0.95053763440860317</v>
      </c>
      <c r="P19" s="93">
        <v>93</v>
      </c>
      <c r="Q19" s="81">
        <v>88.400000000000091</v>
      </c>
    </row>
    <row r="20" spans="1:17" x14ac:dyDescent="0.45">
      <c r="A20" s="37" t="s">
        <v>13</v>
      </c>
      <c r="B20" s="34">
        <v>695</v>
      </c>
      <c r="C20" s="31">
        <f>IF(B$3=0,0,B20/B$3)</f>
        <v>0.1832322699709992</v>
      </c>
      <c r="E20" s="44" t="s">
        <v>75</v>
      </c>
      <c r="F20" s="41" t="s">
        <v>30</v>
      </c>
      <c r="G20" s="34">
        <v>8</v>
      </c>
      <c r="H20" s="107">
        <f>IF(B$51=0,0,G20/B$51)</f>
        <v>8.3073727933541015E-3</v>
      </c>
      <c r="I20" s="68">
        <v>3</v>
      </c>
      <c r="K20" s="5">
        <v>18</v>
      </c>
      <c r="L20" s="73">
        <v>-21.999999999999996</v>
      </c>
      <c r="N20" s="89" t="s">
        <v>189</v>
      </c>
      <c r="O20" s="99">
        <f>IF(P20=0,0,Q20/P20)</f>
        <v>0.34285714285714369</v>
      </c>
      <c r="P20" s="93">
        <v>7</v>
      </c>
      <c r="Q20" s="81">
        <v>2.4000000000000057</v>
      </c>
    </row>
    <row r="21" spans="1:17" x14ac:dyDescent="0.45">
      <c r="A21" s="37" t="s">
        <v>12</v>
      </c>
      <c r="B21" s="34">
        <v>471</v>
      </c>
      <c r="C21" s="31">
        <f>IF(B$19=0,0,B21/B$19)</f>
        <v>0.4599609375</v>
      </c>
      <c r="E21" s="44" t="s">
        <v>73</v>
      </c>
      <c r="F21" s="41" t="s">
        <v>28</v>
      </c>
      <c r="G21" s="34">
        <v>5</v>
      </c>
      <c r="H21" s="107">
        <f>IF(B$51=0,0,G21/B$51)</f>
        <v>5.1921079958463139E-3</v>
      </c>
      <c r="I21" s="68">
        <v>9</v>
      </c>
      <c r="K21" s="5">
        <v>19</v>
      </c>
      <c r="L21" s="73">
        <v>-26.699999999999996</v>
      </c>
      <c r="N21" s="89" t="s">
        <v>192</v>
      </c>
      <c r="O21" s="99">
        <f>IF(P21=0,0,Q21/P21)</f>
        <v>-0.14444444444444493</v>
      </c>
      <c r="P21" s="93">
        <v>9</v>
      </c>
      <c r="Q21" s="81">
        <v>-1.3000000000000043</v>
      </c>
    </row>
    <row r="22" spans="1:17" x14ac:dyDescent="0.45">
      <c r="A22" s="37" t="s">
        <v>11</v>
      </c>
      <c r="B22" s="34">
        <v>553</v>
      </c>
      <c r="C22" s="31">
        <f>IF(B$19=0,0,B22/B$19)</f>
        <v>0.5400390625</v>
      </c>
      <c r="E22" s="44" t="s">
        <v>92</v>
      </c>
      <c r="F22" s="41" t="s">
        <v>47</v>
      </c>
      <c r="G22" s="34">
        <v>5</v>
      </c>
      <c r="H22" s="107">
        <f>IF(B$51=0,0,G22/B$51)</f>
        <v>5.1921079958463139E-3</v>
      </c>
      <c r="I22" s="68">
        <v>6</v>
      </c>
      <c r="K22" s="5">
        <v>20</v>
      </c>
      <c r="L22" s="73">
        <v>-57.899999999999991</v>
      </c>
      <c r="N22" s="89" t="s">
        <v>187</v>
      </c>
      <c r="O22" s="99">
        <f>IF(P22=0,0,Q22/P22)</f>
        <v>-3.687654320987654</v>
      </c>
      <c r="P22" s="93">
        <v>81</v>
      </c>
      <c r="Q22" s="81">
        <v>-298.7</v>
      </c>
    </row>
    <row r="23" spans="1:17" x14ac:dyDescent="0.45">
      <c r="A23" s="37" t="s">
        <v>180</v>
      </c>
      <c r="B23" s="34">
        <v>564</v>
      </c>
      <c r="C23" s="31">
        <f>IF(B$19=0,0,B23/B$19)</f>
        <v>0.55078125</v>
      </c>
      <c r="E23" s="44" t="s">
        <v>74</v>
      </c>
      <c r="F23" s="41" t="s">
        <v>29</v>
      </c>
      <c r="G23" s="34">
        <v>3</v>
      </c>
      <c r="H23" s="107">
        <f>IF(B$51=0,0,G23/B$51)</f>
        <v>3.1152647975077881E-3</v>
      </c>
      <c r="I23" s="68">
        <v>7</v>
      </c>
      <c r="K23" s="5">
        <v>21</v>
      </c>
      <c r="L23" s="73">
        <v>-82.699999999999989</v>
      </c>
      <c r="N23" s="89" t="s">
        <v>193</v>
      </c>
      <c r="O23" s="99">
        <f>IF(P23=0,0,Q23/P23)</f>
        <v>-7.8903954802259859</v>
      </c>
      <c r="P23" s="93">
        <v>177</v>
      </c>
      <c r="Q23" s="81">
        <v>-1396.5999999999995</v>
      </c>
    </row>
    <row r="24" spans="1:17" x14ac:dyDescent="0.45">
      <c r="A24" s="37" t="s">
        <v>178</v>
      </c>
      <c r="B24" s="34">
        <v>243</v>
      </c>
      <c r="C24" s="31">
        <f>IF(B$19=0,0,B24/B$19)</f>
        <v>0.2373046875</v>
      </c>
      <c r="E24" s="44" t="s">
        <v>84</v>
      </c>
      <c r="F24" s="41" t="s">
        <v>39</v>
      </c>
      <c r="G24" s="34">
        <v>3</v>
      </c>
      <c r="H24" s="107">
        <f>IF(B$51=0,0,G24/B$51)</f>
        <v>3.1152647975077881E-3</v>
      </c>
      <c r="I24" s="68">
        <v>2</v>
      </c>
      <c r="K24" s="5">
        <v>22</v>
      </c>
      <c r="L24" s="73">
        <v>-94.6</v>
      </c>
      <c r="N24" s="89" t="s">
        <v>194</v>
      </c>
      <c r="O24" s="99">
        <f>IF(P24=0,0,Q24/P24)</f>
        <v>-8.4020408163265241</v>
      </c>
      <c r="P24" s="93">
        <v>49</v>
      </c>
      <c r="Q24" s="81">
        <v>-411.6999999999997</v>
      </c>
    </row>
    <row r="25" spans="1:17" x14ac:dyDescent="0.45">
      <c r="A25" s="37" t="s">
        <v>179</v>
      </c>
      <c r="B25" s="34">
        <v>217</v>
      </c>
      <c r="C25" s="31">
        <f>IF(B$19=0,0,B25/B$19)</f>
        <v>0.2119140625</v>
      </c>
      <c r="E25" s="44" t="s">
        <v>85</v>
      </c>
      <c r="F25" s="41" t="s">
        <v>40</v>
      </c>
      <c r="G25" s="34">
        <v>3</v>
      </c>
      <c r="H25" s="107">
        <f>IF(B$51=0,0,G25/B$51)</f>
        <v>3.1152647975077881E-3</v>
      </c>
      <c r="I25" s="68">
        <v>7</v>
      </c>
      <c r="K25" s="5">
        <v>23</v>
      </c>
      <c r="L25" s="73">
        <v>-111.3</v>
      </c>
      <c r="N25" s="89" t="s">
        <v>195</v>
      </c>
      <c r="O25" s="99">
        <f>IF(P25=0,0,Q25/P25)</f>
        <v>-14.698816568047336</v>
      </c>
      <c r="P25" s="93">
        <v>338</v>
      </c>
      <c r="Q25" s="81">
        <v>-4968.2</v>
      </c>
    </row>
    <row r="26" spans="1:17" x14ac:dyDescent="0.45">
      <c r="A26" s="37" t="s">
        <v>5</v>
      </c>
      <c r="B26" s="17">
        <f>IF(B$19=0,0,C26/B$19)</f>
        <v>9102.1484375</v>
      </c>
      <c r="C26" s="8">
        <v>9320600</v>
      </c>
      <c r="E26" s="44" t="s">
        <v>87</v>
      </c>
      <c r="F26" s="41" t="s">
        <v>42</v>
      </c>
      <c r="G26" s="34">
        <v>2</v>
      </c>
      <c r="H26" s="107">
        <f>IF(B$51=0,0,G26/B$51)</f>
        <v>2.0768431983385254E-3</v>
      </c>
      <c r="I26" s="68">
        <v>7</v>
      </c>
      <c r="K26" s="5">
        <v>24</v>
      </c>
      <c r="L26" s="73">
        <v>-68.099999999999994</v>
      </c>
      <c r="N26" s="89" t="s">
        <v>199</v>
      </c>
      <c r="O26" s="99">
        <f>IF(P26=0,0,Q26/P26)</f>
        <v>-22.533333333333335</v>
      </c>
      <c r="P26" s="93">
        <v>3</v>
      </c>
      <c r="Q26" s="81">
        <v>-67.600000000000009</v>
      </c>
    </row>
    <row r="27" spans="1:17" x14ac:dyDescent="0.45">
      <c r="A27" s="38" t="s">
        <v>162</v>
      </c>
      <c r="B27" s="114">
        <f>IF($B$19-B$18=0,0,C27/($B$19-B$18))</f>
        <v>9616.0051216389238</v>
      </c>
      <c r="C27" s="115">
        <v>7510100</v>
      </c>
      <c r="E27" s="44" t="s">
        <v>88</v>
      </c>
      <c r="F27" s="41" t="s">
        <v>43</v>
      </c>
      <c r="G27" s="34">
        <v>2</v>
      </c>
      <c r="H27" s="107">
        <f>IF(B$51=0,0,G27/B$51)</f>
        <v>2.0768431983385254E-3</v>
      </c>
      <c r="I27" s="68">
        <v>3</v>
      </c>
      <c r="K27" s="5">
        <v>25</v>
      </c>
      <c r="L27" s="73">
        <v>-70.899999999999991</v>
      </c>
      <c r="N27" s="89" t="s">
        <v>196</v>
      </c>
      <c r="O27" s="99">
        <f>IF(P27=0,0,Q27/P27)</f>
        <v>-29.666666666666668</v>
      </c>
      <c r="P27" s="93">
        <v>3</v>
      </c>
      <c r="Q27" s="81">
        <v>-89</v>
      </c>
    </row>
    <row r="28" spans="1:17" x14ac:dyDescent="0.45">
      <c r="A28" s="38" t="s">
        <v>163</v>
      </c>
      <c r="B28" s="114">
        <f>IF(B$18=0,0,C28/B$18)</f>
        <v>7450.6172839506171</v>
      </c>
      <c r="C28" s="115">
        <v>1810500</v>
      </c>
      <c r="E28" s="44" t="s">
        <v>77</v>
      </c>
      <c r="F28" s="41" t="s">
        <v>32</v>
      </c>
      <c r="G28" s="34">
        <v>1</v>
      </c>
      <c r="H28" s="107">
        <f>IF(B$51=0,0,G28/B$51)</f>
        <v>1.0384215991692627E-3</v>
      </c>
      <c r="I28" s="68">
        <v>10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-8239.4244604316555</v>
      </c>
      <c r="C29" s="115">
        <v>-5726400</v>
      </c>
      <c r="E29" s="44" t="s">
        <v>80</v>
      </c>
      <c r="F29" s="41" t="s">
        <v>35</v>
      </c>
      <c r="G29" s="34">
        <v>1</v>
      </c>
      <c r="H29" s="107">
        <f>IF(B$51=0,0,G29/B$51)</f>
        <v>1.0384215991692627E-3</v>
      </c>
      <c r="I29" s="68">
        <v>1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1.0384215991692627E-3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1.0384215991692627E-3</v>
      </c>
      <c r="I31" s="68">
        <v>5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43">
        <v>10</v>
      </c>
      <c r="C32" s="14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41">
        <v>107600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14</v>
      </c>
      <c r="C34" s="32">
        <f>IF(B$3=0,0,B34/B$3)</f>
        <v>3.6910097548114949E-3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5">
        <v>59</v>
      </c>
      <c r="C36" s="119">
        <f>IF(B$19=0,0,B36/B$19)</f>
        <v>5.76171875E-2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130</v>
      </c>
      <c r="C37" s="31">
        <f t="shared" ref="C37:C48" si="2">IF(B$19=0,0,B37/B$19)</f>
        <v>0.126953125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8">
        <v>193</v>
      </c>
      <c r="C38" s="31">
        <f>IF(B$19=0,0,B38/B$19)</f>
        <v>0.1884765625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8">
        <v>172</v>
      </c>
      <c r="C39" s="31">
        <f t="shared" si="2"/>
        <v>0.16796875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8">
        <v>155</v>
      </c>
      <c r="C40" s="31">
        <f t="shared" si="2"/>
        <v>0.1513671875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8">
        <v>113</v>
      </c>
      <c r="C41" s="31">
        <f t="shared" si="2"/>
        <v>0.1103515625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8">
        <v>67</v>
      </c>
      <c r="C42" s="31">
        <f t="shared" si="2"/>
        <v>6.54296875E-2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8">
        <v>33</v>
      </c>
      <c r="C43" s="31">
        <f t="shared" si="2"/>
        <v>3.22265625E-2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8">
        <v>15</v>
      </c>
      <c r="C44" s="31">
        <f t="shared" si="2"/>
        <v>1.46484375E-2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8">
        <v>8</v>
      </c>
      <c r="C45" s="31">
        <f t="shared" si="2"/>
        <v>7.8125E-3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8">
        <v>3</v>
      </c>
      <c r="C46" s="31">
        <f t="shared" si="2"/>
        <v>2.9296875E-3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8">
        <v>5</v>
      </c>
      <c r="C47" s="31">
        <f t="shared" si="2"/>
        <v>4.8828125E-3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4">
        <v>10</v>
      </c>
      <c r="C48" s="32">
        <f t="shared" si="2"/>
        <v>9.765625E-3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3532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39">
        <v>963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  <row r="437" spans="11:12" x14ac:dyDescent="0.45">
      <c r="K437" s="5">
        <v>435</v>
      </c>
      <c r="L437" s="73">
        <v>-2017</v>
      </c>
    </row>
    <row r="438" spans="11:12" x14ac:dyDescent="0.45">
      <c r="K438" s="5">
        <v>436</v>
      </c>
      <c r="L438" s="73">
        <v>-2062.1999999999998</v>
      </c>
    </row>
    <row r="439" spans="11:12" x14ac:dyDescent="0.45">
      <c r="K439" s="5">
        <v>437</v>
      </c>
      <c r="L439" s="73">
        <v>-2109.5</v>
      </c>
    </row>
    <row r="440" spans="11:12" x14ac:dyDescent="0.45">
      <c r="K440" s="5">
        <v>438</v>
      </c>
      <c r="L440" s="73">
        <v>-2105.1999999999998</v>
      </c>
    </row>
    <row r="441" spans="11:12" x14ac:dyDescent="0.45">
      <c r="K441" s="5">
        <v>439</v>
      </c>
      <c r="L441" s="73">
        <v>-2125.1999999999998</v>
      </c>
    </row>
    <row r="442" spans="11:12" x14ac:dyDescent="0.45">
      <c r="K442" s="5">
        <v>440</v>
      </c>
      <c r="L442" s="73">
        <v>-2175.2999999999997</v>
      </c>
    </row>
    <row r="443" spans="11:12" x14ac:dyDescent="0.45">
      <c r="K443" s="5">
        <v>441</v>
      </c>
      <c r="L443" s="73">
        <v>-2128.6999999999998</v>
      </c>
    </row>
    <row r="444" spans="11:12" x14ac:dyDescent="0.45">
      <c r="K444" s="5">
        <v>442</v>
      </c>
      <c r="L444" s="73">
        <v>-2079.1999999999998</v>
      </c>
    </row>
    <row r="445" spans="11:12" x14ac:dyDescent="0.45">
      <c r="K445" s="5">
        <v>443</v>
      </c>
      <c r="L445" s="73">
        <v>-2077.7999999999997</v>
      </c>
    </row>
    <row r="446" spans="11:12" x14ac:dyDescent="0.45">
      <c r="K446" s="5">
        <v>444</v>
      </c>
      <c r="L446" s="73">
        <v>-1998.6999999999998</v>
      </c>
    </row>
    <row r="447" spans="11:12" x14ac:dyDescent="0.45">
      <c r="K447" s="5">
        <v>445</v>
      </c>
      <c r="L447" s="73">
        <v>-2011.8999999999999</v>
      </c>
    </row>
    <row r="448" spans="11:12" x14ac:dyDescent="0.45">
      <c r="K448" s="5">
        <v>446</v>
      </c>
      <c r="L448" s="73">
        <v>-2047.1999999999998</v>
      </c>
    </row>
    <row r="449" spans="11:12" x14ac:dyDescent="0.45">
      <c r="K449" s="5">
        <v>447</v>
      </c>
      <c r="L449" s="73">
        <v>-2069.6999999999998</v>
      </c>
    </row>
    <row r="450" spans="11:12" x14ac:dyDescent="0.45">
      <c r="K450" s="5">
        <v>448</v>
      </c>
      <c r="L450" s="73">
        <v>-2134.8999999999996</v>
      </c>
    </row>
    <row r="451" spans="11:12" x14ac:dyDescent="0.45">
      <c r="K451" s="5">
        <v>449</v>
      </c>
      <c r="L451" s="73">
        <v>-2077</v>
      </c>
    </row>
    <row r="452" spans="11:12" x14ac:dyDescent="0.45">
      <c r="K452" s="5">
        <v>450</v>
      </c>
      <c r="L452" s="73">
        <v>-2051.6999999999998</v>
      </c>
    </row>
    <row r="453" spans="11:12" x14ac:dyDescent="0.45">
      <c r="K453" s="5">
        <v>451</v>
      </c>
      <c r="L453" s="73">
        <v>-2071.8999999999996</v>
      </c>
    </row>
    <row r="454" spans="11:12" x14ac:dyDescent="0.45">
      <c r="K454" s="5">
        <v>452</v>
      </c>
      <c r="L454" s="73">
        <v>-2104.8999999999996</v>
      </c>
    </row>
    <row r="455" spans="11:12" x14ac:dyDescent="0.45">
      <c r="K455" s="5">
        <v>453</v>
      </c>
      <c r="L455" s="73">
        <v>-2070.3999999999996</v>
      </c>
    </row>
    <row r="456" spans="11:12" x14ac:dyDescent="0.45">
      <c r="K456" s="5">
        <v>454</v>
      </c>
      <c r="L456" s="73">
        <v>-2067</v>
      </c>
    </row>
    <row r="457" spans="11:12" x14ac:dyDescent="0.45">
      <c r="K457" s="5">
        <v>455</v>
      </c>
      <c r="L457" s="73">
        <v>-2087.6999999999998</v>
      </c>
    </row>
    <row r="458" spans="11:12" x14ac:dyDescent="0.45">
      <c r="K458" s="5">
        <v>456</v>
      </c>
      <c r="L458" s="73">
        <v>-2114.7999999999997</v>
      </c>
    </row>
    <row r="459" spans="11:12" x14ac:dyDescent="0.45">
      <c r="K459" s="5">
        <v>457</v>
      </c>
      <c r="L459" s="73">
        <v>-2130.5</v>
      </c>
    </row>
    <row r="460" spans="11:12" x14ac:dyDescent="0.45">
      <c r="K460" s="5">
        <v>458</v>
      </c>
      <c r="L460" s="73">
        <v>-2122.1</v>
      </c>
    </row>
    <row r="461" spans="11:12" x14ac:dyDescent="0.45">
      <c r="K461" s="5">
        <v>459</v>
      </c>
      <c r="L461" s="73">
        <v>-2120.7999999999997</v>
      </c>
    </row>
    <row r="462" spans="11:12" x14ac:dyDescent="0.45">
      <c r="K462" s="5">
        <v>460</v>
      </c>
      <c r="L462" s="73">
        <v>-2140</v>
      </c>
    </row>
    <row r="463" spans="11:12" x14ac:dyDescent="0.45">
      <c r="K463" s="5">
        <v>461</v>
      </c>
      <c r="L463" s="73">
        <v>-2132.8999999999996</v>
      </c>
    </row>
    <row r="464" spans="11:12" x14ac:dyDescent="0.45">
      <c r="K464" s="5">
        <v>462</v>
      </c>
      <c r="L464" s="73">
        <v>-2103.3999999999996</v>
      </c>
    </row>
    <row r="465" spans="11:12" x14ac:dyDescent="0.45">
      <c r="K465" s="5">
        <v>463</v>
      </c>
      <c r="L465" s="73">
        <v>-2131.8999999999996</v>
      </c>
    </row>
    <row r="466" spans="11:12" x14ac:dyDescent="0.45">
      <c r="K466" s="5">
        <v>464</v>
      </c>
      <c r="L466" s="73">
        <v>-2134.2999999999997</v>
      </c>
    </row>
    <row r="467" spans="11:12" x14ac:dyDescent="0.45">
      <c r="K467" s="5">
        <v>465</v>
      </c>
      <c r="L467" s="73">
        <v>-2107.6999999999998</v>
      </c>
    </row>
    <row r="468" spans="11:12" x14ac:dyDescent="0.45">
      <c r="K468" s="5">
        <v>466</v>
      </c>
      <c r="L468" s="73">
        <v>-2099.3999999999996</v>
      </c>
    </row>
    <row r="469" spans="11:12" x14ac:dyDescent="0.45">
      <c r="K469" s="5">
        <v>467</v>
      </c>
      <c r="L469" s="73">
        <v>-2106.6</v>
      </c>
    </row>
    <row r="470" spans="11:12" x14ac:dyDescent="0.45">
      <c r="K470" s="5">
        <v>468</v>
      </c>
      <c r="L470" s="73">
        <v>-2085.6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22BC-246F-47B5-84CF-7E4241C37089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3">
        <v>670</v>
      </c>
      <c r="C3" s="13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5">
        <v>-3.4999999999999893</v>
      </c>
      <c r="C4" s="13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18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17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5">
        <f>IF(B$2=0,0,(B$7*1+B$8*2+B$9*3)/B$2)</f>
        <v>1.9890109890109891</v>
      </c>
      <c r="C6" s="14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13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18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15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9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15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20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14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6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16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5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41">
        <v>118000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8</v>
      </c>
      <c r="K35" s="5">
        <v>33</v>
      </c>
      <c r="L35" s="73">
        <v>248.4</v>
      </c>
    </row>
    <row r="36" spans="1:12" x14ac:dyDescent="0.45">
      <c r="A36" s="64" t="s">
        <v>168</v>
      </c>
      <c r="B36" s="125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8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8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8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8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8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8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8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8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4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39">
        <v>133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8744-DF41-471A-872B-32E12C371FC2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3">
        <v>37</v>
      </c>
      <c r="C3" s="13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5">
        <v>-86.4</v>
      </c>
      <c r="C4" s="13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9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17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21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18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19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3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57800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8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9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21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90C3C-93A0-4BBE-B269-B07300D409E2}">
  <sheetPr codeName="Sheet10"/>
  <dimension ref="A1:Q33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331</v>
      </c>
      <c r="C2" s="132"/>
      <c r="E2" s="43" t="s">
        <v>66</v>
      </c>
      <c r="F2" s="25" t="s">
        <v>22</v>
      </c>
      <c r="G2" s="13">
        <v>523</v>
      </c>
      <c r="H2" s="106">
        <f>IF(B$51=0,0,G2/B$51)</f>
        <v>0.66454891994917409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218.42900302114805</v>
      </c>
      <c r="P2" s="92">
        <v>331</v>
      </c>
      <c r="Q2" s="76">
        <v>72300</v>
      </c>
    </row>
    <row r="3" spans="1:17" x14ac:dyDescent="0.45">
      <c r="A3" s="37" t="s">
        <v>8</v>
      </c>
      <c r="B3" s="133">
        <v>2762</v>
      </c>
      <c r="C3" s="134"/>
      <c r="E3" s="44" t="s">
        <v>72</v>
      </c>
      <c r="F3" s="41" t="s">
        <v>27</v>
      </c>
      <c r="G3" s="34">
        <v>455</v>
      </c>
      <c r="H3" s="107">
        <f>IF(B$51=0,0,G3/B$51)</f>
        <v>0.57814485387547654</v>
      </c>
      <c r="I3" s="68">
        <v>5</v>
      </c>
      <c r="K3" s="5">
        <v>1</v>
      </c>
      <c r="L3" s="73">
        <v>68.2</v>
      </c>
      <c r="N3" s="89" t="s">
        <v>127</v>
      </c>
      <c r="O3" s="96">
        <f t="shared" si="0"/>
        <v>-1801.2383900928792</v>
      </c>
      <c r="P3" s="93">
        <v>323</v>
      </c>
      <c r="Q3" s="77">
        <v>-581800</v>
      </c>
    </row>
    <row r="4" spans="1:17" x14ac:dyDescent="0.45">
      <c r="A4" s="37" t="s">
        <v>6</v>
      </c>
      <c r="B4" s="135">
        <v>-1322.1000000000001</v>
      </c>
      <c r="C4" s="136"/>
      <c r="E4" s="44" t="s">
        <v>64</v>
      </c>
      <c r="F4" s="41" t="s">
        <v>20</v>
      </c>
      <c r="G4" s="34">
        <v>267</v>
      </c>
      <c r="H4" s="107">
        <f>IF(B$51=0,0,G4/B$51)</f>
        <v>0.33926302414231257</v>
      </c>
      <c r="I4" s="68">
        <v>21</v>
      </c>
      <c r="K4" s="5">
        <v>2</v>
      </c>
      <c r="L4" s="73">
        <v>58.5</v>
      </c>
      <c r="N4" s="89" t="s">
        <v>128</v>
      </c>
      <c r="O4" s="96">
        <f t="shared" si="0"/>
        <v>-1100</v>
      </c>
      <c r="P4" s="93">
        <v>299</v>
      </c>
      <c r="Q4" s="77">
        <v>-328900</v>
      </c>
    </row>
    <row r="5" spans="1:17" x14ac:dyDescent="0.45">
      <c r="A5" s="37" t="s">
        <v>7</v>
      </c>
      <c r="B5" s="137">
        <f>IF(B$2=0,0,B$4/B$2)</f>
        <v>-3.994259818731118</v>
      </c>
      <c r="C5" s="138"/>
      <c r="E5" s="44" t="s">
        <v>157</v>
      </c>
      <c r="F5" s="41" t="s">
        <v>158</v>
      </c>
      <c r="G5" s="34">
        <v>249</v>
      </c>
      <c r="H5" s="107">
        <f>IF(B$51=0,0,G5/B$51)</f>
        <v>0.31639135959339265</v>
      </c>
      <c r="I5" s="68">
        <v>13</v>
      </c>
      <c r="K5" s="5">
        <v>3</v>
      </c>
      <c r="L5" s="73">
        <v>82.1</v>
      </c>
      <c r="N5" s="89" t="s">
        <v>129</v>
      </c>
      <c r="O5" s="96">
        <f t="shared" si="0"/>
        <v>-63.120567375886523</v>
      </c>
      <c r="P5" s="93">
        <v>282</v>
      </c>
      <c r="Q5" s="77">
        <v>-17800</v>
      </c>
    </row>
    <row r="6" spans="1:17" x14ac:dyDescent="0.45">
      <c r="A6" s="37" t="s">
        <v>1</v>
      </c>
      <c r="B6" s="145">
        <f>IF(B$2=0,0,(B$7*1+B$8*2+B$9*3)/B$2)</f>
        <v>2.1057401812688821</v>
      </c>
      <c r="C6" s="146"/>
      <c r="E6" s="44" t="s">
        <v>68</v>
      </c>
      <c r="F6" s="41" t="s">
        <v>12</v>
      </c>
      <c r="G6" s="34">
        <v>212</v>
      </c>
      <c r="H6" s="107">
        <f>IF(B$51=0,0,G6/B$51)</f>
        <v>0.26937738246505716</v>
      </c>
      <c r="I6" s="68">
        <v>18</v>
      </c>
      <c r="K6" s="5">
        <v>4</v>
      </c>
      <c r="L6" s="73">
        <v>57.699999999999996</v>
      </c>
      <c r="N6" s="89" t="s">
        <v>130</v>
      </c>
      <c r="O6" s="96">
        <f t="shared" si="0"/>
        <v>-445.73643410852713</v>
      </c>
      <c r="P6" s="93">
        <v>258</v>
      </c>
      <c r="Q6" s="77">
        <v>-115000</v>
      </c>
    </row>
    <row r="7" spans="1:17" x14ac:dyDescent="0.45">
      <c r="A7" s="37" t="s">
        <v>2</v>
      </c>
      <c r="B7" s="34">
        <v>87</v>
      </c>
      <c r="C7" s="31">
        <f t="shared" ref="C7:C14" si="1">IF(B$2=0,0,B7/B$2)</f>
        <v>0.26283987915407853</v>
      </c>
      <c r="E7" s="44" t="s">
        <v>67</v>
      </c>
      <c r="F7" s="41" t="s">
        <v>23</v>
      </c>
      <c r="G7" s="34">
        <v>140</v>
      </c>
      <c r="H7" s="107">
        <f>IF(B$51=0,0,G7/B$51)</f>
        <v>0.17789072426937738</v>
      </c>
      <c r="I7" s="68">
        <v>18</v>
      </c>
      <c r="K7" s="5">
        <v>5</v>
      </c>
      <c r="L7" s="73">
        <v>123.69999999999999</v>
      </c>
      <c r="N7" s="90" t="s">
        <v>131</v>
      </c>
      <c r="O7" s="97">
        <f t="shared" si="0"/>
        <v>-967.59259259259261</v>
      </c>
      <c r="P7" s="94">
        <v>216</v>
      </c>
      <c r="Q7" s="78">
        <v>-209000</v>
      </c>
    </row>
    <row r="8" spans="1:17" x14ac:dyDescent="0.45">
      <c r="A8" s="37" t="s">
        <v>3</v>
      </c>
      <c r="B8" s="34">
        <v>122</v>
      </c>
      <c r="C8" s="31">
        <f t="shared" si="1"/>
        <v>0.36858006042296071</v>
      </c>
      <c r="E8" s="44" t="s">
        <v>69</v>
      </c>
      <c r="F8" s="41" t="s">
        <v>24</v>
      </c>
      <c r="G8" s="34">
        <v>121</v>
      </c>
      <c r="H8" s="107">
        <f>IF(B$51=0,0,G8/B$51)</f>
        <v>0.15374841168996187</v>
      </c>
      <c r="I8" s="68">
        <v>7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122</v>
      </c>
      <c r="C9" s="7">
        <f t="shared" si="1"/>
        <v>0.36858006042296071</v>
      </c>
      <c r="E9" s="44" t="s">
        <v>65</v>
      </c>
      <c r="F9" s="41" t="s">
        <v>21</v>
      </c>
      <c r="G9" s="34">
        <v>74</v>
      </c>
      <c r="H9" s="107">
        <f>IF(B$51=0,0,G9/B$51)</f>
        <v>9.4027954256670904E-2</v>
      </c>
      <c r="I9" s="68">
        <v>16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36.167816091954016</v>
      </c>
      <c r="C10" s="121">
        <v>3146.5999999999995</v>
      </c>
      <c r="E10" s="44" t="s">
        <v>71</v>
      </c>
      <c r="F10" s="41" t="s">
        <v>26</v>
      </c>
      <c r="G10" s="34">
        <v>67</v>
      </c>
      <c r="H10" s="107">
        <f>IF(B$51=0,0,G10/B$51)</f>
        <v>8.5133418043202028E-2</v>
      </c>
      <c r="I10" s="68">
        <v>4</v>
      </c>
      <c r="K10" s="5">
        <v>8</v>
      </c>
      <c r="L10" s="73">
        <v>96.5</v>
      </c>
      <c r="N10" s="88" t="s">
        <v>149</v>
      </c>
      <c r="O10" s="98">
        <f>IF(P10=0,0,Q10/P10)</f>
        <v>-7.8090909090909104</v>
      </c>
      <c r="P10" s="92">
        <v>121</v>
      </c>
      <c r="Q10" s="80">
        <v>-944.9000000000002</v>
      </c>
    </row>
    <row r="11" spans="1:17" x14ac:dyDescent="0.45">
      <c r="A11" s="38" t="s">
        <v>204</v>
      </c>
      <c r="B11" s="120">
        <f>IF(B8=0,0,C11/B8)</f>
        <v>-1.5344262295081972</v>
      </c>
      <c r="C11" s="121">
        <v>-187.20000000000005</v>
      </c>
      <c r="E11" s="44" t="s">
        <v>70</v>
      </c>
      <c r="F11" s="41" t="s">
        <v>25</v>
      </c>
      <c r="G11" s="34">
        <v>66</v>
      </c>
      <c r="H11" s="107">
        <f>IF(B$51=0,0,G11/B$51)</f>
        <v>8.3862770012706478E-2</v>
      </c>
      <c r="I11" s="68">
        <v>11</v>
      </c>
      <c r="K11" s="5">
        <v>9</v>
      </c>
      <c r="L11" s="73">
        <v>82.8</v>
      </c>
      <c r="N11" s="89" t="s">
        <v>150</v>
      </c>
      <c r="O11" s="99">
        <f>IF(P11=0,0,Q11/P11)</f>
        <v>-2.364948453608247</v>
      </c>
      <c r="P11" s="93">
        <v>97</v>
      </c>
      <c r="Q11" s="81">
        <v>-229.39999999999998</v>
      </c>
    </row>
    <row r="12" spans="1:17" x14ac:dyDescent="0.45">
      <c r="A12" s="38" t="s">
        <v>205</v>
      </c>
      <c r="B12" s="120">
        <f>IF(B9=0,0,C12/B9)</f>
        <v>-35.094262295081968</v>
      </c>
      <c r="C12" s="121">
        <v>-4281.5</v>
      </c>
      <c r="E12" s="44" t="s">
        <v>89</v>
      </c>
      <c r="F12" s="41" t="s">
        <v>44</v>
      </c>
      <c r="G12" s="34">
        <v>66</v>
      </c>
      <c r="H12" s="107">
        <f>IF(B$51=0,0,G12/B$51)</f>
        <v>8.3862770012706478E-2</v>
      </c>
      <c r="I12" s="68">
        <v>17</v>
      </c>
      <c r="K12" s="5">
        <v>10</v>
      </c>
      <c r="L12" s="73">
        <v>110.5</v>
      </c>
      <c r="N12" s="90" t="s">
        <v>151</v>
      </c>
      <c r="O12" s="100">
        <f>IF(P12=0,0,Q12/P12)</f>
        <v>-1.3079646017699118</v>
      </c>
      <c r="P12" s="94">
        <v>113</v>
      </c>
      <c r="Q12" s="82">
        <v>-147.80000000000004</v>
      </c>
    </row>
    <row r="13" spans="1:17" x14ac:dyDescent="0.45">
      <c r="A13" s="38" t="s">
        <v>206</v>
      </c>
      <c r="B13" s="137">
        <f>AVERAGE(B10:B12)</f>
        <v>-0.15362414421205037</v>
      </c>
      <c r="C13" s="138"/>
      <c r="E13" s="44" t="s">
        <v>83</v>
      </c>
      <c r="F13" s="41" t="s">
        <v>38</v>
      </c>
      <c r="G13" s="34">
        <v>55</v>
      </c>
      <c r="H13" s="107">
        <f>IF(B$51=0,0,G13/B$51)</f>
        <v>6.9885641677255403E-2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38</v>
      </c>
      <c r="C14" s="32">
        <f t="shared" si="1"/>
        <v>0.11480362537764351</v>
      </c>
      <c r="E14" s="44" t="s">
        <v>81</v>
      </c>
      <c r="F14" s="41" t="s">
        <v>36</v>
      </c>
      <c r="G14" s="34">
        <v>29</v>
      </c>
      <c r="H14" s="107">
        <f>IF(B$51=0,0,G14/B$51)</f>
        <v>3.6848792884371026E-2</v>
      </c>
      <c r="I14" s="68">
        <v>6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505</v>
      </c>
      <c r="C15" s="11">
        <f>IF(B$50=0,0,B15/B$50)</f>
        <v>0.19558481797056546</v>
      </c>
      <c r="E15" s="44" t="s">
        <v>86</v>
      </c>
      <c r="F15" s="41" t="s">
        <v>41</v>
      </c>
      <c r="G15" s="34">
        <v>28</v>
      </c>
      <c r="H15" s="107">
        <f>IF(B$51=0,0,G15/B$51)</f>
        <v>3.5578144853875476E-2</v>
      </c>
      <c r="I15" s="68">
        <v>14</v>
      </c>
      <c r="K15" s="5">
        <v>13</v>
      </c>
      <c r="L15" s="73">
        <v>13.299999999999994</v>
      </c>
      <c r="N15" s="88" t="s">
        <v>189</v>
      </c>
      <c r="O15" s="98">
        <f>IF(P15=0,0,Q15/P15)</f>
        <v>26.928571428571434</v>
      </c>
      <c r="P15" s="92">
        <v>7</v>
      </c>
      <c r="Q15" s="80">
        <v>188.50000000000003</v>
      </c>
    </row>
    <row r="16" spans="1:17" x14ac:dyDescent="0.45">
      <c r="A16" s="37" t="s">
        <v>118</v>
      </c>
      <c r="B16" s="34">
        <v>743</v>
      </c>
      <c r="C16" s="31">
        <f>IF(B$50=0,0,B16/B$50)</f>
        <v>0.28776142525174281</v>
      </c>
      <c r="E16" s="44" t="s">
        <v>78</v>
      </c>
      <c r="F16" s="41" t="s">
        <v>33</v>
      </c>
      <c r="G16" s="34">
        <v>15</v>
      </c>
      <c r="H16" s="107">
        <f>IF(B$51=0,0,G16/B$51)</f>
        <v>1.9059720457433291E-2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269</v>
      </c>
      <c r="C17" s="4">
        <f>IF(B$15=0,0,B17/B$15)</f>
        <v>0.5326732673267327</v>
      </c>
      <c r="E17" s="44" t="s">
        <v>79</v>
      </c>
      <c r="F17" s="41" t="s">
        <v>34</v>
      </c>
      <c r="G17" s="34">
        <v>13</v>
      </c>
      <c r="H17" s="107">
        <f>IF(B$51=0,0,G17/B$51)</f>
        <v>1.6518424396442185E-2</v>
      </c>
      <c r="I17" s="68">
        <v>10</v>
      </c>
      <c r="K17" s="5">
        <v>15</v>
      </c>
      <c r="L17" s="73">
        <v>-33.700000000000003</v>
      </c>
      <c r="N17" s="89" t="s">
        <v>208</v>
      </c>
      <c r="O17" s="99">
        <f>IF(P17=0,0,Q17/P17)</f>
        <v>17.033333333333331</v>
      </c>
      <c r="P17" s="93">
        <v>3</v>
      </c>
      <c r="Q17" s="81">
        <v>51.099999999999994</v>
      </c>
    </row>
    <row r="18" spans="1:17" x14ac:dyDescent="0.45">
      <c r="A18" s="19" t="s">
        <v>124</v>
      </c>
      <c r="B18" s="13">
        <v>302</v>
      </c>
      <c r="C18" s="4">
        <f>IF(B$16=0,0,B18/B$16)</f>
        <v>0.40646029609690443</v>
      </c>
      <c r="E18" s="44" t="s">
        <v>91</v>
      </c>
      <c r="F18" s="41" t="s">
        <v>46</v>
      </c>
      <c r="G18" s="34">
        <v>9</v>
      </c>
      <c r="H18" s="107">
        <f>IF(B$51=0,0,G18/B$51)</f>
        <v>1.1435832274459974E-2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5.7897435897435878</v>
      </c>
      <c r="P18" s="93">
        <v>117</v>
      </c>
      <c r="Q18" s="81">
        <v>677.39999999999975</v>
      </c>
    </row>
    <row r="19" spans="1:17" x14ac:dyDescent="0.45">
      <c r="A19" s="19" t="s">
        <v>10</v>
      </c>
      <c r="B19" s="13">
        <v>838</v>
      </c>
      <c r="C19" s="4">
        <f>IF(B$3=0,0,B19/B$3)</f>
        <v>0.30340333091962346</v>
      </c>
      <c r="E19" s="44" t="s">
        <v>74</v>
      </c>
      <c r="F19" s="41" t="s">
        <v>29</v>
      </c>
      <c r="G19" s="34">
        <v>5</v>
      </c>
      <c r="H19" s="107">
        <f>IF(B$51=0,0,G19/B$51)</f>
        <v>6.3532401524777635E-3</v>
      </c>
      <c r="I19" s="68">
        <v>2</v>
      </c>
      <c r="K19" s="5">
        <v>17</v>
      </c>
      <c r="L19" s="73">
        <v>-45.000000000000007</v>
      </c>
      <c r="N19" s="89" t="s">
        <v>186</v>
      </c>
      <c r="O19" s="99">
        <f>IF(P19=0,0,Q19/P19)</f>
        <v>5.1315789473684195</v>
      </c>
      <c r="P19" s="93">
        <v>19</v>
      </c>
      <c r="Q19" s="81">
        <v>97.499999999999972</v>
      </c>
    </row>
    <row r="20" spans="1:17" x14ac:dyDescent="0.45">
      <c r="A20" s="37" t="s">
        <v>13</v>
      </c>
      <c r="B20" s="34">
        <v>441</v>
      </c>
      <c r="C20" s="31">
        <f>IF(B$3=0,0,B20/B$3)</f>
        <v>0.15966690803765388</v>
      </c>
      <c r="E20" s="44" t="s">
        <v>75</v>
      </c>
      <c r="F20" s="41" t="s">
        <v>30</v>
      </c>
      <c r="G20" s="34">
        <v>5</v>
      </c>
      <c r="H20" s="107">
        <f>IF(B$51=0,0,G20/B$51)</f>
        <v>6.3532401524777635E-3</v>
      </c>
      <c r="I20" s="68">
        <v>7</v>
      </c>
      <c r="K20" s="5">
        <v>18</v>
      </c>
      <c r="L20" s="73">
        <v>-30.300000000000008</v>
      </c>
      <c r="N20" s="89" t="s">
        <v>187</v>
      </c>
      <c r="O20" s="99">
        <f>IF(P20=0,0,Q20/P20)</f>
        <v>0.48787878787878625</v>
      </c>
      <c r="P20" s="93">
        <v>99</v>
      </c>
      <c r="Q20" s="81">
        <v>48.299999999999841</v>
      </c>
    </row>
    <row r="21" spans="1:17" x14ac:dyDescent="0.45">
      <c r="A21" s="37" t="s">
        <v>12</v>
      </c>
      <c r="B21" s="34">
        <v>361</v>
      </c>
      <c r="C21" s="31">
        <f>IF(B$19=0,0,B21/B$19)</f>
        <v>0.43078758949880669</v>
      </c>
      <c r="E21" s="44" t="s">
        <v>77</v>
      </c>
      <c r="F21" s="41" t="s">
        <v>32</v>
      </c>
      <c r="G21" s="34">
        <v>5</v>
      </c>
      <c r="H21" s="107">
        <f>IF(B$51=0,0,G21/B$51)</f>
        <v>6.3532401524777635E-3</v>
      </c>
      <c r="I21" s="68">
        <v>5</v>
      </c>
      <c r="K21" s="5">
        <v>19</v>
      </c>
      <c r="L21" s="73">
        <v>17.699999999999992</v>
      </c>
      <c r="N21" s="89" t="s">
        <v>190</v>
      </c>
      <c r="O21" s="99">
        <f>IF(P21=0,0,Q21/P21)</f>
        <v>-0.95053763440860439</v>
      </c>
      <c r="P21" s="93">
        <v>93</v>
      </c>
      <c r="Q21" s="81">
        <v>-88.400000000000205</v>
      </c>
    </row>
    <row r="22" spans="1:17" x14ac:dyDescent="0.45">
      <c r="A22" s="37" t="s">
        <v>11</v>
      </c>
      <c r="B22" s="34">
        <v>477</v>
      </c>
      <c r="C22" s="31">
        <f>IF(B$19=0,0,B22/B$19)</f>
        <v>0.56921241050119331</v>
      </c>
      <c r="E22" s="44" t="s">
        <v>88</v>
      </c>
      <c r="F22" s="41" t="s">
        <v>43</v>
      </c>
      <c r="G22" s="34">
        <v>4</v>
      </c>
      <c r="H22" s="107">
        <f>IF(B$51=0,0,G22/B$51)</f>
        <v>5.0825921219822112E-3</v>
      </c>
      <c r="I22" s="68">
        <v>1</v>
      </c>
      <c r="K22" s="5">
        <v>20</v>
      </c>
      <c r="L22" s="73">
        <v>-24.100000000000005</v>
      </c>
      <c r="N22" s="89" t="s">
        <v>191</v>
      </c>
      <c r="O22" s="99">
        <f>IF(P22=0,0,Q22/P22)</f>
        <v>-8.2114942528735639</v>
      </c>
      <c r="P22" s="93">
        <v>87</v>
      </c>
      <c r="Q22" s="81">
        <v>-714.40000000000009</v>
      </c>
    </row>
    <row r="23" spans="1:17" x14ac:dyDescent="0.45">
      <c r="A23" s="37" t="s">
        <v>180</v>
      </c>
      <c r="B23" s="34">
        <v>269</v>
      </c>
      <c r="C23" s="31">
        <f>IF(B$19=0,0,B23/B$19)</f>
        <v>0.32100238663484487</v>
      </c>
      <c r="E23" s="44" t="s">
        <v>85</v>
      </c>
      <c r="F23" s="41" t="s">
        <v>40</v>
      </c>
      <c r="G23" s="34">
        <v>2</v>
      </c>
      <c r="H23" s="107">
        <f>IF(B$51=0,0,G23/B$51)</f>
        <v>2.5412960609911056E-3</v>
      </c>
      <c r="I23" s="68">
        <v>8</v>
      </c>
      <c r="K23" s="5">
        <v>21</v>
      </c>
      <c r="L23" s="73">
        <v>-29.600000000000005</v>
      </c>
      <c r="N23" s="89" t="s">
        <v>197</v>
      </c>
      <c r="O23" s="99">
        <f>IF(P23=0,0,Q23/P23)</f>
        <v>-11.755555555555553</v>
      </c>
      <c r="P23" s="93">
        <v>18</v>
      </c>
      <c r="Q23" s="81">
        <v>-211.59999999999997</v>
      </c>
    </row>
    <row r="24" spans="1:17" x14ac:dyDescent="0.45">
      <c r="A24" s="37" t="s">
        <v>178</v>
      </c>
      <c r="B24" s="34">
        <v>302</v>
      </c>
      <c r="C24" s="31">
        <f>IF(B$19=0,0,B24/B$19)</f>
        <v>0.36038186157517899</v>
      </c>
      <c r="E24" s="44" t="s">
        <v>87</v>
      </c>
      <c r="F24" s="41" t="s">
        <v>42</v>
      </c>
      <c r="G24" s="34">
        <v>2</v>
      </c>
      <c r="H24" s="107">
        <f>IF(B$51=0,0,G24/B$51)</f>
        <v>2.5412960609911056E-3</v>
      </c>
      <c r="I24" s="68">
        <v>3</v>
      </c>
      <c r="K24" s="5">
        <v>22</v>
      </c>
      <c r="L24" s="73">
        <v>-4.7000000000000064</v>
      </c>
      <c r="N24" s="89" t="s">
        <v>199</v>
      </c>
      <c r="O24" s="99">
        <f>IF(P24=0,0,Q24/P24)</f>
        <v>-16.62857142857143</v>
      </c>
      <c r="P24" s="93">
        <v>7</v>
      </c>
      <c r="Q24" s="81">
        <v>-116.40000000000002</v>
      </c>
    </row>
    <row r="25" spans="1:17" x14ac:dyDescent="0.45">
      <c r="A25" s="37" t="s">
        <v>179</v>
      </c>
      <c r="B25" s="34">
        <v>267</v>
      </c>
      <c r="C25" s="31">
        <f>IF(B$19=0,0,B25/B$19)</f>
        <v>0.31861575178997614</v>
      </c>
      <c r="E25" s="44" t="s">
        <v>93</v>
      </c>
      <c r="F25" s="41" t="s">
        <v>48</v>
      </c>
      <c r="G25" s="34">
        <v>2</v>
      </c>
      <c r="H25" s="107">
        <f>IF(B$51=0,0,G25/B$51)</f>
        <v>2.5412960609911056E-3</v>
      </c>
      <c r="I25" s="68">
        <v>4</v>
      </c>
      <c r="K25" s="5">
        <v>23</v>
      </c>
      <c r="L25" s="73">
        <v>-18.600000000000009</v>
      </c>
      <c r="N25" s="89" t="s">
        <v>195</v>
      </c>
      <c r="O25" s="99">
        <f>IF(P25=0,0,Q25/P25)</f>
        <v>-18.868279569892476</v>
      </c>
      <c r="P25" s="93">
        <v>186</v>
      </c>
      <c r="Q25" s="81">
        <v>-3509.5000000000005</v>
      </c>
    </row>
    <row r="26" spans="1:17" x14ac:dyDescent="0.45">
      <c r="A26" s="37" t="s">
        <v>5</v>
      </c>
      <c r="B26" s="17">
        <f>IF(B$19=0,0,C26/B$19)</f>
        <v>7382.3389021479716</v>
      </c>
      <c r="C26" s="8">
        <v>6186400</v>
      </c>
      <c r="E26" s="44" t="s">
        <v>73</v>
      </c>
      <c r="F26" s="41" t="s">
        <v>28</v>
      </c>
      <c r="G26" s="34">
        <v>1</v>
      </c>
      <c r="H26" s="107">
        <f>IF(B$51=0,0,G26/B$51)</f>
        <v>1.2706480304955528E-3</v>
      </c>
      <c r="I26" s="68">
        <v>11</v>
      </c>
      <c r="K26" s="5">
        <v>24</v>
      </c>
      <c r="L26" s="73">
        <v>-26.900000000000009</v>
      </c>
      <c r="N26" s="89" t="s">
        <v>192</v>
      </c>
      <c r="O26" s="99">
        <f>IF(P26=0,0,Q26/P26)</f>
        <v>-26.638888888888889</v>
      </c>
      <c r="P26" s="93">
        <v>18</v>
      </c>
      <c r="Q26" s="81">
        <v>-479.5</v>
      </c>
    </row>
    <row r="27" spans="1:17" x14ac:dyDescent="0.45">
      <c r="A27" s="38" t="s">
        <v>162</v>
      </c>
      <c r="B27" s="114">
        <f>IF($B$19-B$18=0,0,C27/($B$19-B$18))</f>
        <v>8078.9179104477616</v>
      </c>
      <c r="C27" s="115">
        <v>4330300</v>
      </c>
      <c r="E27" s="44" t="s">
        <v>84</v>
      </c>
      <c r="F27" s="41" t="s">
        <v>39</v>
      </c>
      <c r="G27" s="34">
        <v>1</v>
      </c>
      <c r="H27" s="107">
        <f>IF(B$51=0,0,G27/B$51)</f>
        <v>1.2706480304955528E-3</v>
      </c>
      <c r="I27" s="68">
        <v>6</v>
      </c>
      <c r="K27" s="5">
        <v>25</v>
      </c>
      <c r="L27" s="73">
        <v>-37.900000000000006</v>
      </c>
      <c r="N27" s="89" t="s">
        <v>202</v>
      </c>
      <c r="O27" s="99">
        <f>IF(P27=0,0,Q27/P27)</f>
        <v>-38</v>
      </c>
      <c r="P27" s="93">
        <v>1</v>
      </c>
      <c r="Q27" s="81">
        <v>-38</v>
      </c>
    </row>
    <row r="28" spans="1:17" x14ac:dyDescent="0.45">
      <c r="A28" s="38" t="s">
        <v>163</v>
      </c>
      <c r="B28" s="114">
        <f>IF(B$18=0,0,C28/B$18)</f>
        <v>6146.0264900662251</v>
      </c>
      <c r="C28" s="115">
        <v>1856100</v>
      </c>
      <c r="E28" s="44" t="s">
        <v>90</v>
      </c>
      <c r="F28" s="41" t="s">
        <v>45</v>
      </c>
      <c r="G28" s="34">
        <v>1</v>
      </c>
      <c r="H28" s="107">
        <f>IF(B$51=0,0,G28/B$51)</f>
        <v>1.2706480304955528E-3</v>
      </c>
      <c r="I28" s="68">
        <v>6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-8445.5782312925166</v>
      </c>
      <c r="C29" s="115">
        <v>-3724500</v>
      </c>
      <c r="E29" s="44" t="s">
        <v>102</v>
      </c>
      <c r="F29" s="41" t="s">
        <v>57</v>
      </c>
      <c r="G29" s="34">
        <v>1</v>
      </c>
      <c r="H29" s="107">
        <f>IF(B$51=0,0,G29/B$51)</f>
        <v>1.2706480304955528E-3</v>
      </c>
      <c r="I29" s="68">
        <v>1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76</v>
      </c>
      <c r="F30" s="41" t="s">
        <v>31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80</v>
      </c>
      <c r="F31" s="41" t="s">
        <v>35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43">
        <v>7</v>
      </c>
      <c r="C32" s="144"/>
      <c r="E32" s="44" t="s">
        <v>82</v>
      </c>
      <c r="F32" s="41" t="s">
        <v>37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-48.6</v>
      </c>
    </row>
    <row r="33" spans="1:12" x14ac:dyDescent="0.45">
      <c r="A33" s="40" t="s">
        <v>177</v>
      </c>
      <c r="B33" s="141">
        <v>106500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2.1723388848660392E-3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8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5">
        <v>84</v>
      </c>
      <c r="C36" s="119">
        <f>IF(B$19=0,0,B36/B$19)</f>
        <v>0.10023866348448687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172</v>
      </c>
      <c r="C37" s="31">
        <f t="shared" ref="C37:C48" si="2">IF(B$19=0,0,B37/B$19)</f>
        <v>0.2052505966587112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8">
        <v>157</v>
      </c>
      <c r="C38" s="31">
        <f>IF(B$19=0,0,B38/B$19)</f>
        <v>0.18735083532219571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8">
        <v>148</v>
      </c>
      <c r="C39" s="31">
        <f t="shared" si="2"/>
        <v>0.1766109785202864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8">
        <v>113</v>
      </c>
      <c r="C40" s="31">
        <f t="shared" si="2"/>
        <v>0.13484486873508353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8">
        <v>53</v>
      </c>
      <c r="C41" s="31">
        <f t="shared" si="2"/>
        <v>6.3245823389021474E-2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8">
        <v>30</v>
      </c>
      <c r="C42" s="31">
        <f t="shared" si="2"/>
        <v>3.5799522673031027E-2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8">
        <v>18</v>
      </c>
      <c r="C43" s="31">
        <f t="shared" si="2"/>
        <v>2.1479713603818614E-2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8">
        <v>6</v>
      </c>
      <c r="C44" s="31">
        <f t="shared" si="2"/>
        <v>7.1599045346062056E-3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8">
        <v>2</v>
      </c>
      <c r="C45" s="31">
        <f t="shared" si="2"/>
        <v>2.3866348448687352E-3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8">
        <v>1</v>
      </c>
      <c r="C46" s="31">
        <f t="shared" si="2"/>
        <v>1.1933174224343676E-3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4">
        <v>3</v>
      </c>
      <c r="C48" s="32">
        <f t="shared" si="2"/>
        <v>3.5799522673031028E-3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2582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39">
        <v>787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  <row r="296" spans="11:12" x14ac:dyDescent="0.45">
      <c r="K296" s="5">
        <v>294</v>
      </c>
      <c r="L296" s="73">
        <v>-1453.9000000000003</v>
      </c>
    </row>
    <row r="297" spans="11:12" x14ac:dyDescent="0.45">
      <c r="K297" s="5">
        <v>295</v>
      </c>
      <c r="L297" s="73">
        <v>-1477.2000000000003</v>
      </c>
    </row>
    <row r="298" spans="11:12" x14ac:dyDescent="0.45">
      <c r="K298" s="5">
        <v>296</v>
      </c>
      <c r="L298" s="73">
        <v>-1461.1000000000001</v>
      </c>
    </row>
    <row r="299" spans="11:12" x14ac:dyDescent="0.45">
      <c r="K299" s="5">
        <v>297</v>
      </c>
      <c r="L299" s="73">
        <v>-1473.7000000000003</v>
      </c>
    </row>
    <row r="300" spans="11:12" x14ac:dyDescent="0.45">
      <c r="K300" s="5">
        <v>298</v>
      </c>
      <c r="L300" s="73">
        <v>-1422.4000000000003</v>
      </c>
    </row>
    <row r="301" spans="11:12" x14ac:dyDescent="0.45">
      <c r="K301" s="5">
        <v>299</v>
      </c>
      <c r="L301" s="73">
        <v>-1416.1000000000001</v>
      </c>
    </row>
    <row r="302" spans="11:12" x14ac:dyDescent="0.45">
      <c r="K302" s="5">
        <v>300</v>
      </c>
      <c r="L302" s="73">
        <v>-1392.9000000000003</v>
      </c>
    </row>
    <row r="303" spans="11:12" x14ac:dyDescent="0.45">
      <c r="K303" s="5">
        <v>301</v>
      </c>
      <c r="L303" s="73">
        <v>-1386.2000000000003</v>
      </c>
    </row>
    <row r="304" spans="11:12" x14ac:dyDescent="0.45">
      <c r="K304" s="5">
        <v>302</v>
      </c>
      <c r="L304" s="73">
        <v>-1433.8000000000002</v>
      </c>
    </row>
    <row r="305" spans="11:12" x14ac:dyDescent="0.45">
      <c r="K305" s="5">
        <v>303</v>
      </c>
      <c r="L305" s="73">
        <v>-1460.1000000000001</v>
      </c>
    </row>
    <row r="306" spans="11:12" x14ac:dyDescent="0.45">
      <c r="K306" s="5">
        <v>304</v>
      </c>
      <c r="L306" s="73">
        <v>-1405.4000000000003</v>
      </c>
    </row>
    <row r="307" spans="11:12" x14ac:dyDescent="0.45">
      <c r="K307" s="5">
        <v>305</v>
      </c>
      <c r="L307" s="73">
        <v>-1452.7000000000003</v>
      </c>
    </row>
    <row r="308" spans="11:12" x14ac:dyDescent="0.45">
      <c r="K308" s="5">
        <v>306</v>
      </c>
      <c r="L308" s="73">
        <v>-1464.5000000000002</v>
      </c>
    </row>
    <row r="309" spans="11:12" x14ac:dyDescent="0.45">
      <c r="K309" s="5">
        <v>307</v>
      </c>
      <c r="L309" s="73">
        <v>-1415.0000000000002</v>
      </c>
    </row>
    <row r="310" spans="11:12" x14ac:dyDescent="0.45">
      <c r="K310" s="5">
        <v>308</v>
      </c>
      <c r="L310" s="73">
        <v>-1408.5000000000002</v>
      </c>
    </row>
    <row r="311" spans="11:12" x14ac:dyDescent="0.45">
      <c r="K311" s="5">
        <v>309</v>
      </c>
      <c r="L311" s="73">
        <v>-1413.3000000000002</v>
      </c>
    </row>
    <row r="312" spans="11:12" x14ac:dyDescent="0.45">
      <c r="K312" s="5">
        <v>310</v>
      </c>
      <c r="L312" s="73">
        <v>-1464.5000000000002</v>
      </c>
    </row>
    <row r="313" spans="11:12" x14ac:dyDescent="0.45">
      <c r="K313" s="5">
        <v>311</v>
      </c>
      <c r="L313" s="73">
        <v>-1418.7000000000003</v>
      </c>
    </row>
    <row r="314" spans="11:12" x14ac:dyDescent="0.45">
      <c r="K314" s="5">
        <v>312</v>
      </c>
      <c r="L314" s="73">
        <v>-1420.2000000000003</v>
      </c>
    </row>
    <row r="315" spans="11:12" x14ac:dyDescent="0.45">
      <c r="K315" s="5">
        <v>313</v>
      </c>
      <c r="L315" s="73">
        <v>-1455.0000000000002</v>
      </c>
    </row>
    <row r="316" spans="11:12" x14ac:dyDescent="0.45">
      <c r="K316" s="5">
        <v>314</v>
      </c>
      <c r="L316" s="73">
        <v>-1447.9000000000003</v>
      </c>
    </row>
    <row r="317" spans="11:12" x14ac:dyDescent="0.45">
      <c r="K317" s="5">
        <v>315</v>
      </c>
      <c r="L317" s="73">
        <v>-1423.5000000000002</v>
      </c>
    </row>
    <row r="318" spans="11:12" x14ac:dyDescent="0.45">
      <c r="K318" s="5">
        <v>316</v>
      </c>
      <c r="L318" s="73">
        <v>-1423.6000000000001</v>
      </c>
    </row>
    <row r="319" spans="11:12" x14ac:dyDescent="0.45">
      <c r="K319" s="5">
        <v>317</v>
      </c>
      <c r="L319" s="73">
        <v>-1429.4000000000003</v>
      </c>
    </row>
    <row r="320" spans="11:12" x14ac:dyDescent="0.45">
      <c r="K320" s="5">
        <v>318</v>
      </c>
      <c r="L320" s="73">
        <v>-1421.0000000000002</v>
      </c>
    </row>
    <row r="321" spans="11:12" x14ac:dyDescent="0.45">
      <c r="K321" s="5">
        <v>319</v>
      </c>
      <c r="L321" s="73">
        <v>-1441.7000000000003</v>
      </c>
    </row>
    <row r="322" spans="11:12" x14ac:dyDescent="0.45">
      <c r="K322" s="5">
        <v>320</v>
      </c>
      <c r="L322" s="73">
        <v>-1411.1000000000001</v>
      </c>
    </row>
    <row r="323" spans="11:12" x14ac:dyDescent="0.45">
      <c r="K323" s="5">
        <v>321</v>
      </c>
      <c r="L323" s="73">
        <v>-1416.4000000000003</v>
      </c>
    </row>
    <row r="324" spans="11:12" x14ac:dyDescent="0.45">
      <c r="K324" s="5">
        <v>322</v>
      </c>
      <c r="L324" s="73">
        <v>-1399.2000000000003</v>
      </c>
    </row>
    <row r="325" spans="11:12" x14ac:dyDescent="0.45">
      <c r="K325" s="5">
        <v>323</v>
      </c>
      <c r="L325" s="73">
        <v>-1398.6000000000001</v>
      </c>
    </row>
    <row r="326" spans="11:12" x14ac:dyDescent="0.45">
      <c r="K326" s="5">
        <v>324</v>
      </c>
      <c r="L326" s="73">
        <v>-1375.4000000000003</v>
      </c>
    </row>
    <row r="327" spans="11:12" x14ac:dyDescent="0.45">
      <c r="K327" s="5">
        <v>325</v>
      </c>
      <c r="L327" s="73">
        <v>-1421.4000000000003</v>
      </c>
    </row>
    <row r="328" spans="11:12" x14ac:dyDescent="0.45">
      <c r="K328" s="5">
        <v>326</v>
      </c>
      <c r="L328" s="73">
        <v>-1442.2000000000003</v>
      </c>
    </row>
    <row r="329" spans="11:12" x14ac:dyDescent="0.45">
      <c r="K329" s="5">
        <v>327</v>
      </c>
      <c r="L329" s="73">
        <v>-1438.6000000000001</v>
      </c>
    </row>
    <row r="330" spans="11:12" x14ac:dyDescent="0.45">
      <c r="K330" s="5">
        <v>328</v>
      </c>
      <c r="L330" s="73">
        <v>-1441.2000000000003</v>
      </c>
    </row>
    <row r="331" spans="11:12" x14ac:dyDescent="0.45">
      <c r="K331" s="5">
        <v>329</v>
      </c>
      <c r="L331" s="73">
        <v>-1413.3000000000002</v>
      </c>
    </row>
    <row r="332" spans="11:12" x14ac:dyDescent="0.45">
      <c r="K332" s="5">
        <v>330</v>
      </c>
      <c r="L332" s="73">
        <v>-1362.0000000000002</v>
      </c>
    </row>
    <row r="333" spans="11:12" x14ac:dyDescent="0.45">
      <c r="K333" s="5">
        <v>331</v>
      </c>
      <c r="L333" s="73">
        <v>-1322.1000000000001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36F2-1CEF-40AA-AEDC-BC8F48E33C38}">
  <sheetPr codeName="Sheet11"/>
  <dimension ref="A1:Q54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546</v>
      </c>
      <c r="C2" s="132"/>
      <c r="E2" s="43" t="s">
        <v>66</v>
      </c>
      <c r="F2" s="25" t="s">
        <v>22</v>
      </c>
      <c r="G2" s="13">
        <v>993</v>
      </c>
      <c r="H2" s="106">
        <f>IF(B$51=0,0,G2/B$51)</f>
        <v>0.76798143851508116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-541.37291280148418</v>
      </c>
      <c r="P2" s="92">
        <v>539</v>
      </c>
      <c r="Q2" s="76">
        <v>-291800</v>
      </c>
    </row>
    <row r="3" spans="1:17" x14ac:dyDescent="0.45">
      <c r="A3" s="37" t="s">
        <v>8</v>
      </c>
      <c r="B3" s="133">
        <v>4432</v>
      </c>
      <c r="C3" s="134"/>
      <c r="E3" s="44" t="s">
        <v>72</v>
      </c>
      <c r="F3" s="41" t="s">
        <v>27</v>
      </c>
      <c r="G3" s="34">
        <v>680</v>
      </c>
      <c r="H3" s="107">
        <f>IF(B$51=0,0,G3/B$51)</f>
        <v>0.52590873936581595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-212.92775665399239</v>
      </c>
      <c r="P3" s="93">
        <v>526</v>
      </c>
      <c r="Q3" s="77">
        <v>-112000</v>
      </c>
    </row>
    <row r="4" spans="1:17" x14ac:dyDescent="0.45">
      <c r="A4" s="37" t="s">
        <v>6</v>
      </c>
      <c r="B4" s="135">
        <v>-1173.4000000000005</v>
      </c>
      <c r="C4" s="136"/>
      <c r="E4" s="44" t="s">
        <v>64</v>
      </c>
      <c r="F4" s="41" t="s">
        <v>20</v>
      </c>
      <c r="G4" s="34">
        <v>553</v>
      </c>
      <c r="H4" s="107">
        <f>IF(B$51=0,0,G4/B$51)</f>
        <v>0.4276875483372003</v>
      </c>
      <c r="I4" s="68">
        <v>19</v>
      </c>
      <c r="K4" s="5">
        <v>2</v>
      </c>
      <c r="L4" s="73">
        <v>-45.300000000000004</v>
      </c>
      <c r="N4" s="89" t="s">
        <v>128</v>
      </c>
      <c r="O4" s="96">
        <f t="shared" si="0"/>
        <v>190.1010101010101</v>
      </c>
      <c r="P4" s="93">
        <v>495</v>
      </c>
      <c r="Q4" s="77">
        <v>94100</v>
      </c>
    </row>
    <row r="5" spans="1:17" x14ac:dyDescent="0.45">
      <c r="A5" s="37" t="s">
        <v>7</v>
      </c>
      <c r="B5" s="137">
        <f>IF(B$2=0,0,B$4/B$2)</f>
        <v>-2.1490842490842499</v>
      </c>
      <c r="C5" s="138"/>
      <c r="E5" s="44" t="s">
        <v>157</v>
      </c>
      <c r="F5" s="41" t="s">
        <v>158</v>
      </c>
      <c r="G5" s="34">
        <v>426</v>
      </c>
      <c r="H5" s="107">
        <f>IF(B$51=0,0,G5/B$51)</f>
        <v>0.3294663573085847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-905.85683297180049</v>
      </c>
      <c r="P5" s="93">
        <v>461</v>
      </c>
      <c r="Q5" s="77">
        <v>-417600</v>
      </c>
    </row>
    <row r="6" spans="1:17" x14ac:dyDescent="0.45">
      <c r="A6" s="37" t="s">
        <v>1</v>
      </c>
      <c r="B6" s="145">
        <f>IF(B$2=0,0,(B$7*1+B$8*2+B$9*3)/B$2)</f>
        <v>2.0146520146520146</v>
      </c>
      <c r="C6" s="146"/>
      <c r="E6" s="44" t="s">
        <v>68</v>
      </c>
      <c r="F6" s="41" t="s">
        <v>12</v>
      </c>
      <c r="G6" s="34">
        <v>384</v>
      </c>
      <c r="H6" s="107">
        <f>IF(B$51=0,0,G6/B$51)</f>
        <v>0.29698375870069604</v>
      </c>
      <c r="I6" s="68">
        <v>15</v>
      </c>
      <c r="K6" s="5">
        <v>4</v>
      </c>
      <c r="L6" s="73">
        <v>-114.30000000000001</v>
      </c>
      <c r="N6" s="89" t="s">
        <v>130</v>
      </c>
      <c r="O6" s="96">
        <f t="shared" si="0"/>
        <v>-342.44604316546764</v>
      </c>
      <c r="P6" s="93">
        <v>417</v>
      </c>
      <c r="Q6" s="77">
        <v>-142800</v>
      </c>
    </row>
    <row r="7" spans="1:17" x14ac:dyDescent="0.45">
      <c r="A7" s="37" t="s">
        <v>2</v>
      </c>
      <c r="B7" s="34">
        <v>181</v>
      </c>
      <c r="C7" s="31">
        <f t="shared" ref="C7:C14" si="1">IF(B$2=0,0,B7/B$2)</f>
        <v>0.33150183150183149</v>
      </c>
      <c r="E7" s="44" t="s">
        <v>67</v>
      </c>
      <c r="F7" s="41" t="s">
        <v>23</v>
      </c>
      <c r="G7" s="34">
        <v>318</v>
      </c>
      <c r="H7" s="107">
        <f>IF(B$51=0,0,G7/B$51)</f>
        <v>0.24593967517401391</v>
      </c>
      <c r="I7" s="68">
        <v>14</v>
      </c>
      <c r="K7" s="5">
        <v>5</v>
      </c>
      <c r="L7" s="73">
        <v>-136.30000000000001</v>
      </c>
      <c r="N7" s="90" t="s">
        <v>131</v>
      </c>
      <c r="O7" s="97">
        <f t="shared" si="0"/>
        <v>3.943661971830986</v>
      </c>
      <c r="P7" s="94">
        <v>355</v>
      </c>
      <c r="Q7" s="78">
        <v>1400</v>
      </c>
    </row>
    <row r="8" spans="1:17" x14ac:dyDescent="0.45">
      <c r="A8" s="37" t="s">
        <v>3</v>
      </c>
      <c r="B8" s="34">
        <v>176</v>
      </c>
      <c r="C8" s="31">
        <f t="shared" si="1"/>
        <v>0.32234432234432236</v>
      </c>
      <c r="E8" s="44" t="s">
        <v>69</v>
      </c>
      <c r="F8" s="41" t="s">
        <v>24</v>
      </c>
      <c r="G8" s="34">
        <v>181</v>
      </c>
      <c r="H8" s="107">
        <f>IF(B$51=0,0,G8/B$51)</f>
        <v>0.139984532095901</v>
      </c>
      <c r="I8" s="68">
        <v>12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189</v>
      </c>
      <c r="C9" s="7">
        <f t="shared" si="1"/>
        <v>0.34615384615384615</v>
      </c>
      <c r="E9" s="44" t="s">
        <v>89</v>
      </c>
      <c r="F9" s="41" t="s">
        <v>44</v>
      </c>
      <c r="G9" s="34">
        <v>163</v>
      </c>
      <c r="H9" s="107">
        <f>IF(B$51=0,0,G9/B$51)</f>
        <v>0.12606341840680588</v>
      </c>
      <c r="I9" s="68">
        <v>12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35.613812154696141</v>
      </c>
      <c r="C10" s="121">
        <v>6446.1000000000013</v>
      </c>
      <c r="E10" s="44" t="s">
        <v>70</v>
      </c>
      <c r="F10" s="41" t="s">
        <v>25</v>
      </c>
      <c r="G10" s="34">
        <v>145</v>
      </c>
      <c r="H10" s="107">
        <f>IF(B$51=0,0,G10/B$51)</f>
        <v>0.11214230471771075</v>
      </c>
      <c r="I10" s="68">
        <v>8</v>
      </c>
      <c r="K10" s="5">
        <v>8</v>
      </c>
      <c r="L10" s="73">
        <v>-52.300000000000018</v>
      </c>
      <c r="N10" s="88" t="s">
        <v>149</v>
      </c>
      <c r="O10" s="98">
        <f>IF(P10=0,0,Q10/P10)</f>
        <v>-3.2199999999999989</v>
      </c>
      <c r="P10" s="92">
        <v>180</v>
      </c>
      <c r="Q10" s="80">
        <v>-579.5999999999998</v>
      </c>
    </row>
    <row r="11" spans="1:17" x14ac:dyDescent="0.45">
      <c r="A11" s="38" t="s">
        <v>204</v>
      </c>
      <c r="B11" s="120">
        <f>IF(B8=0,0,C11/B8)</f>
        <v>-1.511931818181818</v>
      </c>
      <c r="C11" s="121">
        <v>-266.09999999999997</v>
      </c>
      <c r="E11" s="44" t="s">
        <v>65</v>
      </c>
      <c r="F11" s="41" t="s">
        <v>21</v>
      </c>
      <c r="G11" s="34">
        <v>114</v>
      </c>
      <c r="H11" s="107">
        <f>IF(B$51=0,0,G11/B$51)</f>
        <v>8.8167053364269138E-2</v>
      </c>
      <c r="I11" s="68">
        <v>19</v>
      </c>
      <c r="K11" s="5">
        <v>9</v>
      </c>
      <c r="L11" s="73">
        <v>-53.500000000000021</v>
      </c>
      <c r="N11" s="89" t="s">
        <v>150</v>
      </c>
      <c r="O11" s="99">
        <f>IF(P11=0,0,Q11/P11)</f>
        <v>-0.50276243093922657</v>
      </c>
      <c r="P11" s="93">
        <v>181</v>
      </c>
      <c r="Q11" s="81">
        <v>-91</v>
      </c>
    </row>
    <row r="12" spans="1:17" x14ac:dyDescent="0.45">
      <c r="A12" s="38" t="s">
        <v>205</v>
      </c>
      <c r="B12" s="120">
        <f>IF(B9=0,0,C12/B9)</f>
        <v>-38.906878306878312</v>
      </c>
      <c r="C12" s="121">
        <v>-7353.4000000000015</v>
      </c>
      <c r="E12" s="44" t="s">
        <v>71</v>
      </c>
      <c r="F12" s="41" t="s">
        <v>26</v>
      </c>
      <c r="G12" s="34">
        <v>109</v>
      </c>
      <c r="H12" s="107">
        <f>IF(B$51=0,0,G12/B$51)</f>
        <v>8.4300077339520496E-2</v>
      </c>
      <c r="I12" s="68">
        <v>5</v>
      </c>
      <c r="K12" s="5">
        <v>10</v>
      </c>
      <c r="L12" s="73">
        <v>-72.800000000000026</v>
      </c>
      <c r="N12" s="90" t="s">
        <v>151</v>
      </c>
      <c r="O12" s="100">
        <f>IF(P12=0,0,Q12/P12)</f>
        <v>-2.9371584699453548</v>
      </c>
      <c r="P12" s="94">
        <v>183</v>
      </c>
      <c r="Q12" s="82">
        <v>-537.49999999999989</v>
      </c>
    </row>
    <row r="13" spans="1:17" x14ac:dyDescent="0.45">
      <c r="A13" s="38" t="s">
        <v>206</v>
      </c>
      <c r="B13" s="137">
        <f>AVERAGE(B10:B12)</f>
        <v>-1.6016659901213284</v>
      </c>
      <c r="C13" s="138"/>
      <c r="E13" s="44" t="s">
        <v>86</v>
      </c>
      <c r="F13" s="41" t="s">
        <v>41</v>
      </c>
      <c r="G13" s="34">
        <v>66</v>
      </c>
      <c r="H13" s="107">
        <f>IF(B$51=0,0,G13/B$51)</f>
        <v>5.1044083526682132E-2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63</v>
      </c>
      <c r="C14" s="32">
        <f t="shared" si="1"/>
        <v>0.11538461538461539</v>
      </c>
      <c r="E14" s="44" t="s">
        <v>83</v>
      </c>
      <c r="F14" s="41" t="s">
        <v>38</v>
      </c>
      <c r="G14" s="34">
        <v>52</v>
      </c>
      <c r="H14" s="107">
        <f>IF(B$51=0,0,G14/B$51)</f>
        <v>4.0216550657385927E-2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1039</v>
      </c>
      <c r="C15" s="11">
        <f>IF(B$50=0,0,B15/B$50)</f>
        <v>0.24129122155132374</v>
      </c>
      <c r="E15" s="44" t="s">
        <v>78</v>
      </c>
      <c r="F15" s="41" t="s">
        <v>33</v>
      </c>
      <c r="G15" s="34">
        <v>51</v>
      </c>
      <c r="H15" s="107">
        <f>IF(B$51=0,0,G15/B$51)</f>
        <v>3.9443155452436193E-2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1060</v>
      </c>
      <c r="C16" s="31">
        <f>IF(B$50=0,0,B16/B$50)</f>
        <v>0.24616813748258246</v>
      </c>
      <c r="E16" s="44" t="s">
        <v>81</v>
      </c>
      <c r="F16" s="41" t="s">
        <v>36</v>
      </c>
      <c r="G16" s="34">
        <v>37</v>
      </c>
      <c r="H16" s="107">
        <f>IF(B$51=0,0,G16/B$51)</f>
        <v>2.8615622583139984E-2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565</v>
      </c>
      <c r="C17" s="4">
        <f>IF(B$15=0,0,B17/B$15)</f>
        <v>0.54379210779595766</v>
      </c>
      <c r="E17" s="44" t="s">
        <v>91</v>
      </c>
      <c r="F17" s="41" t="s">
        <v>46</v>
      </c>
      <c r="G17" s="34">
        <v>25</v>
      </c>
      <c r="H17" s="107">
        <f>IF(B$51=0,0,G17/B$51)</f>
        <v>1.9334880123743233E-2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404</v>
      </c>
      <c r="C18" s="4">
        <f>IF(B$16=0,0,B18/B$16)</f>
        <v>0.38113207547169814</v>
      </c>
      <c r="E18" s="44" t="s">
        <v>79</v>
      </c>
      <c r="F18" s="41" t="s">
        <v>34</v>
      </c>
      <c r="G18" s="34">
        <v>16</v>
      </c>
      <c r="H18" s="107">
        <f>IF(B$51=0,0,G18/B$51)</f>
        <v>1.237432327919567E-2</v>
      </c>
      <c r="I18" s="68">
        <v>13</v>
      </c>
      <c r="K18" s="5">
        <v>16</v>
      </c>
      <c r="L18" s="73">
        <v>58.89999999999997</v>
      </c>
      <c r="N18" s="89" t="s">
        <v>190</v>
      </c>
      <c r="O18" s="99">
        <f>IF(P18=0,0,Q18/P18)</f>
        <v>7.8903954802259859</v>
      </c>
      <c r="P18" s="93">
        <v>177</v>
      </c>
      <c r="Q18" s="81">
        <v>1396.5999999999995</v>
      </c>
    </row>
    <row r="19" spans="1:17" x14ac:dyDescent="0.45">
      <c r="A19" s="19" t="s">
        <v>10</v>
      </c>
      <c r="B19" s="13">
        <v>1330</v>
      </c>
      <c r="C19" s="4">
        <f>IF(B$3=0,0,B19/B$3)</f>
        <v>0.30009025270758122</v>
      </c>
      <c r="E19" s="44" t="s">
        <v>77</v>
      </c>
      <c r="F19" s="41" t="s">
        <v>32</v>
      </c>
      <c r="G19" s="34">
        <v>9</v>
      </c>
      <c r="H19" s="107">
        <f>IF(B$51=0,0,G19/B$51)</f>
        <v>6.9605568445475635E-3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752</v>
      </c>
      <c r="C20" s="31">
        <f>IF(B$3=0,0,B20/B$3)</f>
        <v>0.16967509025270758</v>
      </c>
      <c r="E20" s="44" t="s">
        <v>153</v>
      </c>
      <c r="F20" s="41" t="s">
        <v>154</v>
      </c>
      <c r="G20" s="34">
        <v>8</v>
      </c>
      <c r="H20" s="107">
        <f>IF(B$51=0,0,G20/B$51)</f>
        <v>6.1871616395978348E-3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564</v>
      </c>
      <c r="C21" s="31">
        <f>IF(B$19=0,0,B21/B$19)</f>
        <v>0.42406015037593986</v>
      </c>
      <c r="E21" s="44" t="s">
        <v>73</v>
      </c>
      <c r="F21" s="41" t="s">
        <v>28</v>
      </c>
      <c r="G21" s="34">
        <v>7</v>
      </c>
      <c r="H21" s="107">
        <f>IF(B$51=0,0,G21/B$51)</f>
        <v>5.4137664346481052E-3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-7.6315789473683338E-2</v>
      </c>
      <c r="P21" s="93">
        <v>152</v>
      </c>
      <c r="Q21" s="81">
        <v>-11.599999999999866</v>
      </c>
    </row>
    <row r="22" spans="1:17" x14ac:dyDescent="0.45">
      <c r="A22" s="37" t="s">
        <v>11</v>
      </c>
      <c r="B22" s="34">
        <v>766</v>
      </c>
      <c r="C22" s="31">
        <f>IF(B$19=0,0,B22/B$19)</f>
        <v>0.5759398496240602</v>
      </c>
      <c r="E22" s="44" t="s">
        <v>75</v>
      </c>
      <c r="F22" s="41" t="s">
        <v>30</v>
      </c>
      <c r="G22" s="34">
        <v>7</v>
      </c>
      <c r="H22" s="107">
        <f>IF(B$51=0,0,G22/B$51)</f>
        <v>5.4137664346481052E-3</v>
      </c>
      <c r="I22" s="68">
        <v>8</v>
      </c>
      <c r="K22" s="5">
        <v>20</v>
      </c>
      <c r="L22" s="73">
        <v>126.89999999999996</v>
      </c>
      <c r="N22" s="89" t="s">
        <v>191</v>
      </c>
      <c r="O22" s="99">
        <f>IF(P22=0,0,Q22/P22)</f>
        <v>-2.3897590361445764</v>
      </c>
      <c r="P22" s="93">
        <v>166</v>
      </c>
      <c r="Q22" s="81">
        <v>-396.6999999999997</v>
      </c>
    </row>
    <row r="23" spans="1:17" x14ac:dyDescent="0.45">
      <c r="A23" s="37" t="s">
        <v>180</v>
      </c>
      <c r="B23" s="34">
        <v>565</v>
      </c>
      <c r="C23" s="31">
        <f>IF(B$19=0,0,B23/B$19)</f>
        <v>0.42481203007518797</v>
      </c>
      <c r="E23" s="44" t="s">
        <v>74</v>
      </c>
      <c r="F23" s="41" t="s">
        <v>29</v>
      </c>
      <c r="G23" s="34">
        <v>6</v>
      </c>
      <c r="H23" s="107">
        <f>IF(B$51=0,0,G23/B$51)</f>
        <v>4.6403712296983757E-3</v>
      </c>
      <c r="I23" s="68">
        <v>4</v>
      </c>
      <c r="K23" s="5">
        <v>21</v>
      </c>
      <c r="L23" s="73">
        <v>129.69999999999996</v>
      </c>
      <c r="N23" s="89" t="s">
        <v>207</v>
      </c>
      <c r="O23" s="99">
        <f>IF(P23=0,0,Q23/P23)</f>
        <v>-4.8999999999999986</v>
      </c>
      <c r="P23" s="93">
        <v>2</v>
      </c>
      <c r="Q23" s="81">
        <v>-9.7999999999999972</v>
      </c>
    </row>
    <row r="24" spans="1:17" x14ac:dyDescent="0.45">
      <c r="A24" s="37" t="s">
        <v>178</v>
      </c>
      <c r="B24" s="34">
        <v>404</v>
      </c>
      <c r="C24" s="31">
        <f>IF(B$19=0,0,B24/B$19)</f>
        <v>0.30375939849624062</v>
      </c>
      <c r="E24" s="44" t="s">
        <v>92</v>
      </c>
      <c r="F24" s="41" t="s">
        <v>47</v>
      </c>
      <c r="G24" s="34">
        <v>6</v>
      </c>
      <c r="H24" s="107">
        <f>IF(B$51=0,0,G24/B$51)</f>
        <v>4.6403712296983757E-3</v>
      </c>
      <c r="I24" s="68">
        <v>8</v>
      </c>
      <c r="K24" s="5">
        <v>22</v>
      </c>
      <c r="L24" s="73">
        <v>174.29999999999995</v>
      </c>
      <c r="N24" s="89" t="s">
        <v>188</v>
      </c>
      <c r="O24" s="99">
        <f>IF(P24=0,0,Q24/P24)</f>
        <v>-5.7897435897435896</v>
      </c>
      <c r="P24" s="93">
        <v>117</v>
      </c>
      <c r="Q24" s="81">
        <v>-677.4</v>
      </c>
    </row>
    <row r="25" spans="1:17" x14ac:dyDescent="0.45">
      <c r="A25" s="37" t="s">
        <v>179</v>
      </c>
      <c r="B25" s="34">
        <v>361</v>
      </c>
      <c r="C25" s="31">
        <f>IF(B$19=0,0,B25/B$19)</f>
        <v>0.27142857142857141</v>
      </c>
      <c r="E25" s="44" t="s">
        <v>84</v>
      </c>
      <c r="F25" s="41" t="s">
        <v>39</v>
      </c>
      <c r="G25" s="34">
        <v>4</v>
      </c>
      <c r="H25" s="107">
        <f>IF(B$51=0,0,G25/B$51)</f>
        <v>3.0935808197989174E-3</v>
      </c>
      <c r="I25" s="68">
        <v>3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8433.0075187969924</v>
      </c>
      <c r="C26" s="8">
        <v>11215900</v>
      </c>
      <c r="E26" s="44" t="s">
        <v>93</v>
      </c>
      <c r="F26" s="41" t="s">
        <v>48</v>
      </c>
      <c r="G26" s="34">
        <v>4</v>
      </c>
      <c r="H26" s="107">
        <f>IF(B$51=0,0,G26/B$51)</f>
        <v>3.0935808197989174E-3</v>
      </c>
      <c r="I26" s="68">
        <v>3</v>
      </c>
      <c r="K26" s="5">
        <v>24</v>
      </c>
      <c r="L26" s="73">
        <v>133.19999999999993</v>
      </c>
      <c r="N26" s="89" t="s">
        <v>189</v>
      </c>
      <c r="O26" s="99">
        <f>IF(P26=0,0,Q26/P26)</f>
        <v>-12</v>
      </c>
      <c r="P26" s="93">
        <v>6</v>
      </c>
      <c r="Q26" s="81">
        <v>-72</v>
      </c>
    </row>
    <row r="27" spans="1:17" x14ac:dyDescent="0.45">
      <c r="A27" s="38" t="s">
        <v>162</v>
      </c>
      <c r="B27" s="114">
        <f>IF($B$19-B$18=0,0,C27/($B$19-B$18))</f>
        <v>9110.0431965442767</v>
      </c>
      <c r="C27" s="115">
        <v>8435900</v>
      </c>
      <c r="E27" s="44" t="s">
        <v>87</v>
      </c>
      <c r="F27" s="41" t="s">
        <v>42</v>
      </c>
      <c r="G27" s="34">
        <v>3</v>
      </c>
      <c r="H27" s="107">
        <f>IF(B$51=0,0,G27/B$51)</f>
        <v>2.3201856148491878E-3</v>
      </c>
      <c r="I27" s="68">
        <v>5</v>
      </c>
      <c r="K27" s="5">
        <v>25</v>
      </c>
      <c r="L27" s="73">
        <v>117.39999999999993</v>
      </c>
      <c r="N27" s="89" t="s">
        <v>195</v>
      </c>
      <c r="O27" s="99">
        <f>IF(P27=0,0,Q27/P27)</f>
        <v>-12.42297650130549</v>
      </c>
      <c r="P27" s="93">
        <v>383</v>
      </c>
      <c r="Q27" s="81">
        <v>-4758.0000000000027</v>
      </c>
    </row>
    <row r="28" spans="1:17" x14ac:dyDescent="0.45">
      <c r="A28" s="38" t="s">
        <v>163</v>
      </c>
      <c r="B28" s="114">
        <f>IF(B$18=0,0,C28/B$18)</f>
        <v>6881.1881188118814</v>
      </c>
      <c r="C28" s="115">
        <v>2780000</v>
      </c>
      <c r="E28" s="44" t="s">
        <v>90</v>
      </c>
      <c r="F28" s="41" t="s">
        <v>45</v>
      </c>
      <c r="G28" s="34">
        <v>2</v>
      </c>
      <c r="H28" s="107">
        <f>IF(B$51=0,0,G28/B$51)</f>
        <v>1.5467904098994587E-3</v>
      </c>
      <c r="I28" s="68">
        <v>5</v>
      </c>
      <c r="K28" s="5">
        <v>26</v>
      </c>
      <c r="L28" s="73">
        <v>128.69999999999993</v>
      </c>
      <c r="N28" s="89" t="s">
        <v>194</v>
      </c>
      <c r="O28" s="99">
        <f>IF(P28=0,0,Q28/P28)</f>
        <v>-18.00714285714286</v>
      </c>
      <c r="P28" s="93">
        <v>14</v>
      </c>
      <c r="Q28" s="81">
        <v>-252.10000000000002</v>
      </c>
    </row>
    <row r="29" spans="1:17" x14ac:dyDescent="0.45">
      <c r="A29" s="38" t="s">
        <v>161</v>
      </c>
      <c r="B29" s="114">
        <f>IF(B$20=0,0,C29/B$20)</f>
        <v>-8451.728723404256</v>
      </c>
      <c r="C29" s="115">
        <v>-6355700</v>
      </c>
      <c r="E29" s="44" t="s">
        <v>76</v>
      </c>
      <c r="F29" s="41" t="s">
        <v>31</v>
      </c>
      <c r="G29" s="34">
        <v>1</v>
      </c>
      <c r="H29" s="107">
        <f>IF(B$51=0,0,G29/B$51)</f>
        <v>7.7339520494972935E-4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7.7339520494972935E-4</v>
      </c>
      <c r="I30" s="68">
        <v>9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7.7339520494972935E-4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43">
        <v>10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7.7339520494972935E-4</v>
      </c>
      <c r="I32" s="68">
        <v>7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41">
        <v>109300</v>
      </c>
      <c r="C33" s="14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3.1588447653429601E-3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5">
        <v>89</v>
      </c>
      <c r="C36" s="119">
        <f>IF(B$19=0,0,B36/B$19)</f>
        <v>6.6917293233082709E-2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232</v>
      </c>
      <c r="C37" s="31">
        <f t="shared" ref="C37:C48" si="2">IF(B$19=0,0,B37/B$19)</f>
        <v>0.17443609022556392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8">
        <v>271</v>
      </c>
      <c r="C38" s="31">
        <f>IF(B$19=0,0,B38/B$19)</f>
        <v>0.20375939849624061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8">
        <v>249</v>
      </c>
      <c r="C39" s="31">
        <f t="shared" si="2"/>
        <v>0.18721804511278195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8">
        <v>180</v>
      </c>
      <c r="C40" s="31">
        <f t="shared" si="2"/>
        <v>0.13533834586466165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8">
        <v>116</v>
      </c>
      <c r="C41" s="31">
        <f t="shared" si="2"/>
        <v>8.7218045112781958E-2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8">
        <v>56</v>
      </c>
      <c r="C42" s="31">
        <f t="shared" si="2"/>
        <v>4.2105263157894736E-2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8">
        <v>40</v>
      </c>
      <c r="C43" s="31">
        <f t="shared" si="2"/>
        <v>3.007518796992481E-2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8">
        <v>19</v>
      </c>
      <c r="C44" s="31">
        <f t="shared" si="2"/>
        <v>1.4285714285714285E-2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8">
        <v>13</v>
      </c>
      <c r="C45" s="31">
        <f t="shared" si="2"/>
        <v>9.7744360902255641E-3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8">
        <v>11</v>
      </c>
      <c r="C46" s="31">
        <f t="shared" si="2"/>
        <v>8.2706766917293225E-3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8">
        <v>3</v>
      </c>
      <c r="C47" s="31">
        <f t="shared" si="2"/>
        <v>2.255639097744361E-3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4">
        <v>14</v>
      </c>
      <c r="C48" s="32">
        <f t="shared" si="2"/>
        <v>1.0526315789473684E-2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4306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39">
        <v>1293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  <row r="510" spans="11:12" x14ac:dyDescent="0.45">
      <c r="K510" s="5">
        <v>508</v>
      </c>
      <c r="L510" s="73">
        <v>-1021.4000000000007</v>
      </c>
    </row>
    <row r="511" spans="11:12" x14ac:dyDescent="0.45">
      <c r="K511" s="5">
        <v>509</v>
      </c>
      <c r="L511" s="73">
        <v>-1053.1000000000006</v>
      </c>
    </row>
    <row r="512" spans="11:12" x14ac:dyDescent="0.45">
      <c r="K512" s="5">
        <v>510</v>
      </c>
      <c r="L512" s="73">
        <v>-1110.2000000000007</v>
      </c>
    </row>
    <row r="513" spans="11:12" x14ac:dyDescent="0.45">
      <c r="K513" s="5">
        <v>511</v>
      </c>
      <c r="L513" s="73">
        <v>-1163.2000000000007</v>
      </c>
    </row>
    <row r="514" spans="11:12" x14ac:dyDescent="0.45">
      <c r="K514" s="5">
        <v>512</v>
      </c>
      <c r="L514" s="73">
        <v>-1108.8000000000006</v>
      </c>
    </row>
    <row r="515" spans="11:12" x14ac:dyDescent="0.45">
      <c r="K515" s="5">
        <v>513</v>
      </c>
      <c r="L515" s="73">
        <v>-1100.2000000000007</v>
      </c>
    </row>
    <row r="516" spans="11:12" x14ac:dyDescent="0.45">
      <c r="K516" s="5">
        <v>514</v>
      </c>
      <c r="L516" s="73">
        <v>-1093.0000000000007</v>
      </c>
    </row>
    <row r="517" spans="11:12" x14ac:dyDescent="0.45">
      <c r="K517" s="5">
        <v>515</v>
      </c>
      <c r="L517" s="73">
        <v>-1101.2000000000007</v>
      </c>
    </row>
    <row r="518" spans="11:12" x14ac:dyDescent="0.45">
      <c r="K518" s="5">
        <v>516</v>
      </c>
      <c r="L518" s="73">
        <v>-1088.7000000000007</v>
      </c>
    </row>
    <row r="519" spans="11:12" x14ac:dyDescent="0.45">
      <c r="K519" s="5">
        <v>517</v>
      </c>
      <c r="L519" s="73">
        <v>-1043.6000000000006</v>
      </c>
    </row>
    <row r="520" spans="11:12" x14ac:dyDescent="0.45">
      <c r="K520" s="5">
        <v>518</v>
      </c>
      <c r="L520" s="73">
        <v>-1022.6000000000006</v>
      </c>
    </row>
    <row r="521" spans="11:12" x14ac:dyDescent="0.45">
      <c r="K521" s="5">
        <v>519</v>
      </c>
      <c r="L521" s="73">
        <v>-1045.9000000000005</v>
      </c>
    </row>
    <row r="522" spans="11:12" x14ac:dyDescent="0.45">
      <c r="K522" s="5">
        <v>520</v>
      </c>
      <c r="L522" s="73">
        <v>-1085.0000000000007</v>
      </c>
    </row>
    <row r="523" spans="11:12" x14ac:dyDescent="0.45">
      <c r="K523" s="5">
        <v>521</v>
      </c>
      <c r="L523" s="73">
        <v>-1033.1000000000006</v>
      </c>
    </row>
    <row r="524" spans="11:12" x14ac:dyDescent="0.45">
      <c r="K524" s="5">
        <v>522</v>
      </c>
      <c r="L524" s="73">
        <v>-1026.0000000000007</v>
      </c>
    </row>
    <row r="525" spans="11:12" x14ac:dyDescent="0.45">
      <c r="K525" s="5">
        <v>523</v>
      </c>
      <c r="L525" s="73">
        <v>-1047.8000000000006</v>
      </c>
    </row>
    <row r="526" spans="11:12" x14ac:dyDescent="0.45">
      <c r="K526" s="5">
        <v>524</v>
      </c>
      <c r="L526" s="73">
        <v>-1006.9000000000007</v>
      </c>
    </row>
    <row r="527" spans="11:12" x14ac:dyDescent="0.45">
      <c r="K527" s="5">
        <v>525</v>
      </c>
      <c r="L527" s="73">
        <v>-1021.4000000000007</v>
      </c>
    </row>
    <row r="528" spans="11:12" x14ac:dyDescent="0.45">
      <c r="K528" s="5">
        <v>526</v>
      </c>
      <c r="L528" s="73">
        <v>-1018.6000000000006</v>
      </c>
    </row>
    <row r="529" spans="11:12" x14ac:dyDescent="0.45">
      <c r="K529" s="5">
        <v>527</v>
      </c>
      <c r="L529" s="73">
        <v>-1064.1000000000006</v>
      </c>
    </row>
    <row r="530" spans="11:12" x14ac:dyDescent="0.45">
      <c r="K530" s="5">
        <v>528</v>
      </c>
      <c r="L530" s="73">
        <v>-1048.8000000000006</v>
      </c>
    </row>
    <row r="531" spans="11:12" x14ac:dyDescent="0.45">
      <c r="K531" s="5">
        <v>529</v>
      </c>
      <c r="L531" s="73">
        <v>-1029.3000000000006</v>
      </c>
    </row>
    <row r="532" spans="11:12" x14ac:dyDescent="0.45">
      <c r="K532" s="5">
        <v>530</v>
      </c>
      <c r="L532" s="73">
        <v>-1038.2000000000007</v>
      </c>
    </row>
    <row r="533" spans="11:12" x14ac:dyDescent="0.45">
      <c r="K533" s="5">
        <v>531</v>
      </c>
      <c r="L533" s="73">
        <v>-1042.9000000000005</v>
      </c>
    </row>
    <row r="534" spans="11:12" x14ac:dyDescent="0.45">
      <c r="K534" s="5">
        <v>532</v>
      </c>
      <c r="L534" s="73">
        <v>-1084.5000000000007</v>
      </c>
    </row>
    <row r="535" spans="11:12" x14ac:dyDescent="0.45">
      <c r="K535" s="5">
        <v>533</v>
      </c>
      <c r="L535" s="73">
        <v>-1120.7000000000007</v>
      </c>
    </row>
    <row r="536" spans="11:12" x14ac:dyDescent="0.45">
      <c r="K536" s="5">
        <v>534</v>
      </c>
      <c r="L536" s="73">
        <v>-1161.5000000000007</v>
      </c>
    </row>
    <row r="537" spans="11:12" x14ac:dyDescent="0.45">
      <c r="K537" s="5">
        <v>535</v>
      </c>
      <c r="L537" s="73">
        <v>-1160.5000000000007</v>
      </c>
    </row>
    <row r="538" spans="11:12" x14ac:dyDescent="0.45">
      <c r="K538" s="5">
        <v>536</v>
      </c>
      <c r="L538" s="73">
        <v>-1179.8000000000006</v>
      </c>
    </row>
    <row r="539" spans="11:12" x14ac:dyDescent="0.45">
      <c r="K539" s="5">
        <v>537</v>
      </c>
      <c r="L539" s="73">
        <v>-1222.3000000000006</v>
      </c>
    </row>
    <row r="540" spans="11:12" x14ac:dyDescent="0.45">
      <c r="K540" s="5">
        <v>538</v>
      </c>
      <c r="L540" s="73">
        <v>-1218.2000000000007</v>
      </c>
    </row>
    <row r="541" spans="11:12" x14ac:dyDescent="0.45">
      <c r="K541" s="5">
        <v>539</v>
      </c>
      <c r="L541" s="73">
        <v>-1189.7000000000007</v>
      </c>
    </row>
    <row r="542" spans="11:12" x14ac:dyDescent="0.45">
      <c r="K542" s="5">
        <v>540</v>
      </c>
      <c r="L542" s="73">
        <v>-1196.1000000000006</v>
      </c>
    </row>
    <row r="543" spans="11:12" x14ac:dyDescent="0.45">
      <c r="K543" s="5">
        <v>541</v>
      </c>
      <c r="L543" s="73">
        <v>-1202.8000000000006</v>
      </c>
    </row>
    <row r="544" spans="11:12" x14ac:dyDescent="0.45">
      <c r="K544" s="5">
        <v>542</v>
      </c>
      <c r="L544" s="73">
        <v>-1178.4000000000005</v>
      </c>
    </row>
    <row r="545" spans="11:12" x14ac:dyDescent="0.45">
      <c r="K545" s="5">
        <v>543</v>
      </c>
      <c r="L545" s="73">
        <v>-1133.5000000000007</v>
      </c>
    </row>
    <row r="546" spans="11:12" x14ac:dyDescent="0.45">
      <c r="K546" s="5">
        <v>544</v>
      </c>
      <c r="L546" s="73">
        <v>-1133.7000000000007</v>
      </c>
    </row>
    <row r="547" spans="11:12" x14ac:dyDescent="0.45">
      <c r="K547" s="5">
        <v>545</v>
      </c>
      <c r="L547" s="73">
        <v>-1180.5000000000007</v>
      </c>
    </row>
    <row r="548" spans="11:12" x14ac:dyDescent="0.45">
      <c r="K548" s="5">
        <v>546</v>
      </c>
      <c r="L548" s="73">
        <v>-1173.4000000000005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45EF5-7AFA-4063-95F1-F7DB0B01CD03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3">
        <v>316</v>
      </c>
      <c r="C3" s="13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6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5">
        <v>91.000000000000014</v>
      </c>
      <c r="C4" s="13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9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5">
        <f>IF(B$2=0,0,(B$7*1+B$8*2+B$9*3)/B$2)</f>
        <v>2.0256410256410255</v>
      </c>
      <c r="C6" s="14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6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6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16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19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10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17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41">
        <v>109300</v>
      </c>
      <c r="C33" s="14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8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5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8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8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8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8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8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8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8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8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8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4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61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8763-EF12-47F0-A7C5-40D60AEAE661}">
  <sheetPr codeName="Sheet13"/>
  <dimension ref="A1:Q48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481</v>
      </c>
      <c r="C2" s="132"/>
      <c r="E2" s="43" t="s">
        <v>66</v>
      </c>
      <c r="F2" s="25" t="s">
        <v>22</v>
      </c>
      <c r="G2" s="13">
        <v>917</v>
      </c>
      <c r="H2" s="106">
        <f>IF(B$51=0,0,G2/B$51)</f>
        <v>0.84438305709023942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389.0063424947146</v>
      </c>
      <c r="P2" s="92">
        <v>473</v>
      </c>
      <c r="Q2" s="76">
        <v>184000</v>
      </c>
    </row>
    <row r="3" spans="1:17" x14ac:dyDescent="0.45">
      <c r="A3" s="37" t="s">
        <v>8</v>
      </c>
      <c r="B3" s="133">
        <v>3879</v>
      </c>
      <c r="C3" s="134"/>
      <c r="E3" s="44" t="s">
        <v>72</v>
      </c>
      <c r="F3" s="41" t="s">
        <v>27</v>
      </c>
      <c r="G3" s="34">
        <v>617</v>
      </c>
      <c r="H3" s="107">
        <f>IF(B$51=0,0,G3/B$51)</f>
        <v>0.56813996316758753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-591.84549356223181</v>
      </c>
      <c r="P3" s="93">
        <v>466</v>
      </c>
      <c r="Q3" s="77">
        <v>-275800</v>
      </c>
    </row>
    <row r="4" spans="1:17" x14ac:dyDescent="0.45">
      <c r="A4" s="37" t="s">
        <v>6</v>
      </c>
      <c r="B4" s="135">
        <v>572.8000000000003</v>
      </c>
      <c r="C4" s="136"/>
      <c r="E4" s="44" t="s">
        <v>64</v>
      </c>
      <c r="F4" s="41" t="s">
        <v>20</v>
      </c>
      <c r="G4" s="34">
        <v>601</v>
      </c>
      <c r="H4" s="107">
        <f>IF(B$51=0,0,G4/B$51)</f>
        <v>0.55340699815837935</v>
      </c>
      <c r="I4" s="68">
        <v>10</v>
      </c>
      <c r="K4" s="5">
        <v>2</v>
      </c>
      <c r="L4" s="73">
        <v>-33.9</v>
      </c>
      <c r="N4" s="89" t="s">
        <v>128</v>
      </c>
      <c r="O4" s="96">
        <f t="shared" si="0"/>
        <v>330</v>
      </c>
      <c r="P4" s="93">
        <v>430</v>
      </c>
      <c r="Q4" s="77">
        <v>141900</v>
      </c>
    </row>
    <row r="5" spans="1:17" x14ac:dyDescent="0.45">
      <c r="A5" s="37" t="s">
        <v>7</v>
      </c>
      <c r="B5" s="137">
        <f>IF(B$2=0,0,B$4/B$2)</f>
        <v>1.1908523908523914</v>
      </c>
      <c r="C5" s="138"/>
      <c r="E5" s="44" t="s">
        <v>67</v>
      </c>
      <c r="F5" s="41" t="s">
        <v>23</v>
      </c>
      <c r="G5" s="34">
        <v>375</v>
      </c>
      <c r="H5" s="107">
        <f>IF(B$51=0,0,G5/B$51)</f>
        <v>0.34530386740331492</v>
      </c>
      <c r="I5" s="68">
        <v>7</v>
      </c>
      <c r="K5" s="5">
        <v>3</v>
      </c>
      <c r="L5" s="73">
        <v>-70.099999999999994</v>
      </c>
      <c r="N5" s="89" t="s">
        <v>129</v>
      </c>
      <c r="O5" s="96">
        <f t="shared" si="0"/>
        <v>672.12276214833764</v>
      </c>
      <c r="P5" s="93">
        <v>391</v>
      </c>
      <c r="Q5" s="77">
        <v>262800</v>
      </c>
    </row>
    <row r="6" spans="1:17" x14ac:dyDescent="0.45">
      <c r="A6" s="37" t="s">
        <v>1</v>
      </c>
      <c r="B6" s="145">
        <f>IF(B$2=0,0,(B$7*1+B$8*2+B$9*3)/B$2)</f>
        <v>2.0166320166320166</v>
      </c>
      <c r="C6" s="146"/>
      <c r="E6" s="44" t="s">
        <v>68</v>
      </c>
      <c r="F6" s="41" t="s">
        <v>12</v>
      </c>
      <c r="G6" s="34">
        <v>364</v>
      </c>
      <c r="H6" s="107">
        <f>IF(B$51=0,0,G6/B$51)</f>
        <v>0.33517495395948432</v>
      </c>
      <c r="I6" s="68">
        <v>8</v>
      </c>
      <c r="K6" s="5">
        <v>4</v>
      </c>
      <c r="L6" s="73">
        <v>-35.099999999999994</v>
      </c>
      <c r="N6" s="89" t="s">
        <v>130</v>
      </c>
      <c r="O6" s="96">
        <f t="shared" si="0"/>
        <v>-541.11111111111109</v>
      </c>
      <c r="P6" s="93">
        <v>360</v>
      </c>
      <c r="Q6" s="77">
        <v>-194800</v>
      </c>
    </row>
    <row r="7" spans="1:17" x14ac:dyDescent="0.45">
      <c r="A7" s="37" t="s">
        <v>2</v>
      </c>
      <c r="B7" s="34">
        <v>162</v>
      </c>
      <c r="C7" s="31">
        <f t="shared" ref="C7:C14" si="1">IF(B$2=0,0,B7/B$2)</f>
        <v>0.33679833679833682</v>
      </c>
      <c r="E7" s="44" t="s">
        <v>157</v>
      </c>
      <c r="F7" s="41" t="s">
        <v>158</v>
      </c>
      <c r="G7" s="34">
        <v>326</v>
      </c>
      <c r="H7" s="107">
        <f>IF(B$51=0,0,G7/B$51)</f>
        <v>0.30018416206261511</v>
      </c>
      <c r="I7" s="68">
        <v>15</v>
      </c>
      <c r="K7" s="5">
        <v>5</v>
      </c>
      <c r="L7" s="73">
        <v>-80.099999999999994</v>
      </c>
      <c r="N7" s="90" t="s">
        <v>131</v>
      </c>
      <c r="O7" s="97">
        <f t="shared" si="0"/>
        <v>763.35616438356169</v>
      </c>
      <c r="P7" s="94">
        <v>292</v>
      </c>
      <c r="Q7" s="78">
        <v>222900</v>
      </c>
    </row>
    <row r="8" spans="1:17" x14ac:dyDescent="0.45">
      <c r="A8" s="37" t="s">
        <v>3</v>
      </c>
      <c r="B8" s="34">
        <v>149</v>
      </c>
      <c r="C8" s="31">
        <f t="shared" si="1"/>
        <v>0.30977130977130979</v>
      </c>
      <c r="E8" s="44" t="s">
        <v>89</v>
      </c>
      <c r="F8" s="41" t="s">
        <v>44</v>
      </c>
      <c r="G8" s="34">
        <v>195</v>
      </c>
      <c r="H8" s="107">
        <f>IF(B$51=0,0,G8/B$51)</f>
        <v>0.17955801104972377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170</v>
      </c>
      <c r="C9" s="7">
        <f t="shared" si="1"/>
        <v>0.35343035343035345</v>
      </c>
      <c r="E9" s="44" t="s">
        <v>69</v>
      </c>
      <c r="F9" s="41" t="s">
        <v>24</v>
      </c>
      <c r="G9" s="34">
        <v>194</v>
      </c>
      <c r="H9" s="107">
        <f>IF(B$51=0,0,G9/B$51)</f>
        <v>0.17863720073664824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41.96358024691358</v>
      </c>
      <c r="C10" s="121">
        <v>6798.1</v>
      </c>
      <c r="E10" s="44" t="s">
        <v>65</v>
      </c>
      <c r="F10" s="41" t="s">
        <v>21</v>
      </c>
      <c r="G10" s="34">
        <v>132</v>
      </c>
      <c r="H10" s="107">
        <f>IF(B$51=0,0,G10/B$51)</f>
        <v>0.12154696132596685</v>
      </c>
      <c r="I10" s="68">
        <v>10</v>
      </c>
      <c r="K10" s="5">
        <v>8</v>
      </c>
      <c r="L10" s="73">
        <v>-146</v>
      </c>
      <c r="N10" s="88" t="s">
        <v>149</v>
      </c>
      <c r="O10" s="98">
        <f>IF(P10=0,0,Q10/P10)</f>
        <v>-6.2374149659863951</v>
      </c>
      <c r="P10" s="92">
        <v>147</v>
      </c>
      <c r="Q10" s="80">
        <v>-916.90000000000009</v>
      </c>
    </row>
    <row r="11" spans="1:17" x14ac:dyDescent="0.45">
      <c r="A11" s="38" t="s">
        <v>204</v>
      </c>
      <c r="B11" s="120">
        <f>IF(B8=0,0,C11/B8)</f>
        <v>-1.0194630872483228</v>
      </c>
      <c r="C11" s="121">
        <v>-151.90000000000009</v>
      </c>
      <c r="E11" s="44" t="s">
        <v>70</v>
      </c>
      <c r="F11" s="41" t="s">
        <v>25</v>
      </c>
      <c r="G11" s="34">
        <v>126</v>
      </c>
      <c r="H11" s="107">
        <f>IF(B$51=0,0,G11/B$51)</f>
        <v>0.11602209944751381</v>
      </c>
      <c r="I11" s="68">
        <v>7</v>
      </c>
      <c r="K11" s="5">
        <v>9</v>
      </c>
      <c r="L11" s="73">
        <v>-173</v>
      </c>
      <c r="N11" s="89" t="s">
        <v>150</v>
      </c>
      <c r="O11" s="99">
        <f>IF(P11=0,0,Q11/P11)</f>
        <v>5.5312499999999991</v>
      </c>
      <c r="P11" s="93">
        <v>176</v>
      </c>
      <c r="Q11" s="81">
        <v>973.49999999999989</v>
      </c>
    </row>
    <row r="12" spans="1:17" x14ac:dyDescent="0.45">
      <c r="A12" s="38" t="s">
        <v>205</v>
      </c>
      <c r="B12" s="120">
        <f>IF(B9=0,0,C12/B9)</f>
        <v>-35.725882352941177</v>
      </c>
      <c r="C12" s="121">
        <v>-6073.4</v>
      </c>
      <c r="E12" s="44" t="s">
        <v>86</v>
      </c>
      <c r="F12" s="41" t="s">
        <v>41</v>
      </c>
      <c r="G12" s="34">
        <v>70</v>
      </c>
      <c r="H12" s="107">
        <f>IF(B$51=0,0,G12/B$51)</f>
        <v>6.4456721915285453E-2</v>
      </c>
      <c r="I12" s="68">
        <v>8</v>
      </c>
      <c r="K12" s="5">
        <v>10</v>
      </c>
      <c r="L12" s="73">
        <v>-206.1</v>
      </c>
      <c r="N12" s="90" t="s">
        <v>151</v>
      </c>
      <c r="O12" s="100">
        <f>IF(P12=0,0,Q12/P12)</f>
        <v>4.0548387096774192</v>
      </c>
      <c r="P12" s="94">
        <v>155</v>
      </c>
      <c r="Q12" s="82">
        <v>628.5</v>
      </c>
    </row>
    <row r="13" spans="1:17" x14ac:dyDescent="0.45">
      <c r="A13" s="38" t="s">
        <v>206</v>
      </c>
      <c r="B13" s="137">
        <f>AVERAGE(B10:B12)</f>
        <v>1.7394116022413588</v>
      </c>
      <c r="C13" s="138"/>
      <c r="E13" s="44" t="s">
        <v>71</v>
      </c>
      <c r="F13" s="41" t="s">
        <v>26</v>
      </c>
      <c r="G13" s="34">
        <v>61</v>
      </c>
      <c r="H13" s="107">
        <f>IF(B$51=0,0,G13/B$51)</f>
        <v>5.6169429097605895E-2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66</v>
      </c>
      <c r="C14" s="32">
        <f t="shared" si="1"/>
        <v>0.13721413721413722</v>
      </c>
      <c r="E14" s="44" t="s">
        <v>83</v>
      </c>
      <c r="F14" s="41" t="s">
        <v>38</v>
      </c>
      <c r="G14" s="34">
        <v>37</v>
      </c>
      <c r="H14" s="107">
        <f>IF(B$51=0,0,G14/B$51)</f>
        <v>3.4069981583793742E-2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1141</v>
      </c>
      <c r="C15" s="11">
        <f>IF(B$50=0,0,B15/B$50)</f>
        <v>0.29698073919833418</v>
      </c>
      <c r="E15" s="44" t="s">
        <v>91</v>
      </c>
      <c r="F15" s="41" t="s">
        <v>46</v>
      </c>
      <c r="G15" s="34">
        <v>35</v>
      </c>
      <c r="H15" s="107">
        <f>IF(B$51=0,0,G15/B$51)</f>
        <v>3.2228360957642727E-2</v>
      </c>
      <c r="I15" s="68">
        <v>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732</v>
      </c>
      <c r="C16" s="31">
        <f>IF(B$50=0,0,B16/B$50)</f>
        <v>0.19052576782925559</v>
      </c>
      <c r="E16" s="44" t="s">
        <v>78</v>
      </c>
      <c r="F16" s="41" t="s">
        <v>33</v>
      </c>
      <c r="G16" s="34">
        <v>32</v>
      </c>
      <c r="H16" s="107">
        <f>IF(B$51=0,0,G16/B$51)</f>
        <v>2.9465930018416207E-2</v>
      </c>
      <c r="I16" s="68">
        <v>6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631</v>
      </c>
      <c r="C17" s="4">
        <f>IF(B$15=0,0,B17/B$15)</f>
        <v>0.55302366345311127</v>
      </c>
      <c r="E17" s="44" t="s">
        <v>153</v>
      </c>
      <c r="F17" s="41" t="s">
        <v>154</v>
      </c>
      <c r="G17" s="34">
        <v>28</v>
      </c>
      <c r="H17" s="107">
        <f>IF(B$51=0,0,G17/B$51)</f>
        <v>2.5782688766114181E-2</v>
      </c>
      <c r="I17" s="68">
        <v>3</v>
      </c>
      <c r="K17" s="5">
        <v>15</v>
      </c>
      <c r="L17" s="73">
        <v>-212.5</v>
      </c>
      <c r="N17" s="89" t="s">
        <v>186</v>
      </c>
      <c r="O17" s="99">
        <f>IF(P17=0,0,Q17/P17)</f>
        <v>17.893478260869564</v>
      </c>
      <c r="P17" s="93">
        <v>46</v>
      </c>
      <c r="Q17" s="81">
        <v>823.1</v>
      </c>
    </row>
    <row r="18" spans="1:17" x14ac:dyDescent="0.45">
      <c r="A18" s="19" t="s">
        <v>124</v>
      </c>
      <c r="B18" s="13">
        <v>284</v>
      </c>
      <c r="C18" s="4">
        <f>IF(B$16=0,0,B18/B$16)</f>
        <v>0.38797814207650272</v>
      </c>
      <c r="E18" s="44" t="s">
        <v>81</v>
      </c>
      <c r="F18" s="41" t="s">
        <v>36</v>
      </c>
      <c r="G18" s="34">
        <v>27</v>
      </c>
      <c r="H18" s="107">
        <f>IF(B$51=0,0,G18/B$51)</f>
        <v>2.4861878453038673E-2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16.623076923076926</v>
      </c>
      <c r="P18" s="93">
        <v>39</v>
      </c>
      <c r="Q18" s="81">
        <v>648.30000000000018</v>
      </c>
    </row>
    <row r="19" spans="1:17" x14ac:dyDescent="0.45">
      <c r="A19" s="19" t="s">
        <v>10</v>
      </c>
      <c r="B19" s="13">
        <v>1096</v>
      </c>
      <c r="C19" s="4">
        <f>IF(B$3=0,0,B19/B$3)</f>
        <v>0.28254704820830112</v>
      </c>
      <c r="E19" s="44" t="s">
        <v>79</v>
      </c>
      <c r="F19" s="41" t="s">
        <v>34</v>
      </c>
      <c r="G19" s="34">
        <v>18</v>
      </c>
      <c r="H19" s="107">
        <f>IF(B$51=0,0,G19/B$51)</f>
        <v>1.6574585635359115E-2</v>
      </c>
      <c r="I19" s="68">
        <v>9</v>
      </c>
      <c r="K19" s="5">
        <v>17</v>
      </c>
      <c r="L19" s="73">
        <v>-268.7</v>
      </c>
      <c r="N19" s="89" t="s">
        <v>208</v>
      </c>
      <c r="O19" s="99">
        <f>IF(P19=0,0,Q19/P19)</f>
        <v>15.024999999999999</v>
      </c>
      <c r="P19" s="93">
        <v>4</v>
      </c>
      <c r="Q19" s="81">
        <v>60.099999999999994</v>
      </c>
    </row>
    <row r="20" spans="1:17" x14ac:dyDescent="0.45">
      <c r="A20" s="37" t="s">
        <v>13</v>
      </c>
      <c r="B20" s="34">
        <v>698</v>
      </c>
      <c r="C20" s="31">
        <f>IF(B$3=0,0,B20/B$3)</f>
        <v>0.17994328435163701</v>
      </c>
      <c r="E20" s="44" t="s">
        <v>92</v>
      </c>
      <c r="F20" s="41" t="s">
        <v>47</v>
      </c>
      <c r="G20" s="34">
        <v>12</v>
      </c>
      <c r="H20" s="107">
        <f>IF(B$51=0,0,G20/B$51)</f>
        <v>1.1049723756906077E-2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500</v>
      </c>
      <c r="C21" s="31">
        <f>IF(B$19=0,0,B21/B$19)</f>
        <v>0.45620437956204379</v>
      </c>
      <c r="E21" s="44" t="s">
        <v>75</v>
      </c>
      <c r="F21" s="41" t="s">
        <v>30</v>
      </c>
      <c r="G21" s="34">
        <v>10</v>
      </c>
      <c r="H21" s="107">
        <f>IF(B$51=0,0,G21/B$51)</f>
        <v>9.2081031307550652E-3</v>
      </c>
      <c r="I21" s="68">
        <v>2</v>
      </c>
      <c r="K21" s="5">
        <v>19</v>
      </c>
      <c r="L21" s="73">
        <v>-273.2</v>
      </c>
      <c r="N21" s="89" t="s">
        <v>188</v>
      </c>
      <c r="O21" s="99">
        <f>IF(P21=0,0,Q21/P21)</f>
        <v>10.059550561797755</v>
      </c>
      <c r="P21" s="93">
        <v>89</v>
      </c>
      <c r="Q21" s="81">
        <v>895.30000000000018</v>
      </c>
    </row>
    <row r="22" spans="1:17" x14ac:dyDescent="0.45">
      <c r="A22" s="37" t="s">
        <v>11</v>
      </c>
      <c r="B22" s="34">
        <v>596</v>
      </c>
      <c r="C22" s="31">
        <f>IF(B$19=0,0,B22/B$19)</f>
        <v>0.54379562043795615</v>
      </c>
      <c r="E22" s="44" t="s">
        <v>73</v>
      </c>
      <c r="F22" s="41" t="s">
        <v>28</v>
      </c>
      <c r="G22" s="34">
        <v>9</v>
      </c>
      <c r="H22" s="107">
        <f>IF(B$51=0,0,G22/B$51)</f>
        <v>8.2872928176795577E-3</v>
      </c>
      <c r="I22" s="68">
        <v>4</v>
      </c>
      <c r="K22" s="5">
        <v>20</v>
      </c>
      <c r="L22" s="73">
        <v>-270</v>
      </c>
      <c r="N22" s="89" t="s">
        <v>199</v>
      </c>
      <c r="O22" s="99">
        <f>IF(P22=0,0,Q22/P22)</f>
        <v>5.6000000000000014</v>
      </c>
      <c r="P22" s="93">
        <v>8</v>
      </c>
      <c r="Q22" s="81">
        <v>44.800000000000011</v>
      </c>
    </row>
    <row r="23" spans="1:17" x14ac:dyDescent="0.45">
      <c r="A23" s="37" t="s">
        <v>180</v>
      </c>
      <c r="B23" s="34">
        <v>631</v>
      </c>
      <c r="C23" s="31">
        <f>IF(B$19=0,0,B23/B$19)</f>
        <v>0.5757299270072993</v>
      </c>
      <c r="E23" s="44" t="s">
        <v>77</v>
      </c>
      <c r="F23" s="41" t="s">
        <v>32</v>
      </c>
      <c r="G23" s="34">
        <v>6</v>
      </c>
      <c r="H23" s="107">
        <f>IF(B$51=0,0,G23/B$51)</f>
        <v>5.5248618784530384E-3</v>
      </c>
      <c r="I23" s="68">
        <v>6</v>
      </c>
      <c r="K23" s="5">
        <v>21</v>
      </c>
      <c r="L23" s="73">
        <v>-242</v>
      </c>
      <c r="N23" s="89" t="s">
        <v>189</v>
      </c>
      <c r="O23" s="99">
        <f>IF(P23=0,0,Q23/P23)</f>
        <v>3.8647058823529403</v>
      </c>
      <c r="P23" s="93">
        <v>17</v>
      </c>
      <c r="Q23" s="81">
        <v>65.699999999999989</v>
      </c>
    </row>
    <row r="24" spans="1:17" x14ac:dyDescent="0.45">
      <c r="A24" s="37" t="s">
        <v>178</v>
      </c>
      <c r="B24" s="34">
        <v>284</v>
      </c>
      <c r="C24" s="31">
        <f>IF(B$19=0,0,B24/B$19)</f>
        <v>0.25912408759124089</v>
      </c>
      <c r="E24" s="44" t="s">
        <v>84</v>
      </c>
      <c r="F24" s="41" t="s">
        <v>39</v>
      </c>
      <c r="G24" s="34">
        <v>6</v>
      </c>
      <c r="H24" s="107">
        <f>IF(B$51=0,0,G24/B$51)</f>
        <v>5.5248618784530384E-3</v>
      </c>
      <c r="I24" s="68">
        <v>1</v>
      </c>
      <c r="K24" s="5">
        <v>22</v>
      </c>
      <c r="L24" s="73">
        <v>-202.9</v>
      </c>
      <c r="N24" s="89" t="s">
        <v>193</v>
      </c>
      <c r="O24" s="99">
        <f>IF(P24=0,0,Q24/P24)</f>
        <v>2.389759036144576</v>
      </c>
      <c r="P24" s="93">
        <v>166</v>
      </c>
      <c r="Q24" s="81">
        <v>396.69999999999959</v>
      </c>
    </row>
    <row r="25" spans="1:17" x14ac:dyDescent="0.45">
      <c r="A25" s="37" t="s">
        <v>179</v>
      </c>
      <c r="B25" s="34">
        <v>181</v>
      </c>
      <c r="C25" s="31">
        <f>IF(B$19=0,0,B25/B$19)</f>
        <v>0.16514598540145986</v>
      </c>
      <c r="E25" s="44" t="s">
        <v>85</v>
      </c>
      <c r="F25" s="41" t="s">
        <v>40</v>
      </c>
      <c r="G25" s="34">
        <v>5</v>
      </c>
      <c r="H25" s="107">
        <f>IF(B$51=0,0,G25/B$51)</f>
        <v>4.6040515653775326E-3</v>
      </c>
      <c r="I25" s="68">
        <v>5</v>
      </c>
      <c r="K25" s="5">
        <v>23</v>
      </c>
      <c r="L25" s="73">
        <v>-200.9</v>
      </c>
      <c r="N25" s="89" t="s">
        <v>187</v>
      </c>
      <c r="O25" s="99">
        <f>IF(P25=0,0,Q25/P25)</f>
        <v>0.79399999999999826</v>
      </c>
      <c r="P25" s="93">
        <v>150</v>
      </c>
      <c r="Q25" s="81">
        <v>119.09999999999974</v>
      </c>
    </row>
    <row r="26" spans="1:17" x14ac:dyDescent="0.45">
      <c r="A26" s="37" t="s">
        <v>5</v>
      </c>
      <c r="B26" s="17">
        <f>IF(B$19=0,0,C26/B$19)</f>
        <v>10530.109489051094</v>
      </c>
      <c r="C26" s="8">
        <v>11541000</v>
      </c>
      <c r="E26" s="44" t="s">
        <v>93</v>
      </c>
      <c r="F26" s="41" t="s">
        <v>48</v>
      </c>
      <c r="G26" s="34">
        <v>4</v>
      </c>
      <c r="H26" s="107">
        <f>IF(B$51=0,0,G26/B$51)</f>
        <v>3.6832412523020259E-3</v>
      </c>
      <c r="I26" s="68">
        <v>2</v>
      </c>
      <c r="K26" s="5">
        <v>24</v>
      </c>
      <c r="L26" s="73">
        <v>-168.2</v>
      </c>
      <c r="N26" s="89" t="s">
        <v>190</v>
      </c>
      <c r="O26" s="99">
        <f>IF(P26=0,0,Q26/P26)</f>
        <v>-2.6733870967741944</v>
      </c>
      <c r="P26" s="93">
        <v>124</v>
      </c>
      <c r="Q26" s="81">
        <v>-331.50000000000011</v>
      </c>
    </row>
    <row r="27" spans="1:17" x14ac:dyDescent="0.45">
      <c r="A27" s="38" t="s">
        <v>162</v>
      </c>
      <c r="B27" s="114">
        <f>IF($B$19-B$18=0,0,C27/($B$19-B$18))</f>
        <v>11199.261083743842</v>
      </c>
      <c r="C27" s="115">
        <v>9093800</v>
      </c>
      <c r="E27" s="44" t="s">
        <v>90</v>
      </c>
      <c r="F27" s="41" t="s">
        <v>45</v>
      </c>
      <c r="G27" s="34">
        <v>3</v>
      </c>
      <c r="H27" s="107">
        <f>IF(B$51=0,0,G27/B$51)</f>
        <v>2.7624309392265192E-3</v>
      </c>
      <c r="I27" s="68">
        <v>1</v>
      </c>
      <c r="K27" s="5">
        <v>25</v>
      </c>
      <c r="L27" s="73">
        <v>-216.89999999999998</v>
      </c>
      <c r="N27" s="89" t="s">
        <v>195</v>
      </c>
      <c r="O27" s="99">
        <f>IF(P27=0,0,Q27/P27)</f>
        <v>-4.1122448979591821</v>
      </c>
      <c r="P27" s="93">
        <v>294</v>
      </c>
      <c r="Q27" s="81">
        <v>-1208.9999999999995</v>
      </c>
    </row>
    <row r="28" spans="1:17" x14ac:dyDescent="0.45">
      <c r="A28" s="38" t="s">
        <v>163</v>
      </c>
      <c r="B28" s="114">
        <f>IF(B$18=0,0,C28/B$18)</f>
        <v>8616.9014084507035</v>
      </c>
      <c r="C28" s="115">
        <v>2447200</v>
      </c>
      <c r="E28" s="44" t="s">
        <v>74</v>
      </c>
      <c r="F28" s="41" t="s">
        <v>29</v>
      </c>
      <c r="G28" s="34">
        <v>2</v>
      </c>
      <c r="H28" s="107">
        <f>IF(B$51=0,0,G28/B$51)</f>
        <v>1.841620626151013E-3</v>
      </c>
      <c r="I28" s="68">
        <v>9</v>
      </c>
      <c r="K28" s="5">
        <v>26</v>
      </c>
      <c r="L28" s="73">
        <v>-256.29999999999995</v>
      </c>
      <c r="N28" s="89" t="s">
        <v>185</v>
      </c>
      <c r="O28" s="99">
        <f>IF(P28=0,0,Q28/P28)</f>
        <v>-17.200000000000003</v>
      </c>
      <c r="P28" s="93">
        <v>2</v>
      </c>
      <c r="Q28" s="81">
        <v>-34.400000000000006</v>
      </c>
    </row>
    <row r="29" spans="1:17" x14ac:dyDescent="0.45">
      <c r="A29" s="38" t="s">
        <v>161</v>
      </c>
      <c r="B29" s="114">
        <f>IF(B$20=0,0,C29/B$20)</f>
        <v>-8523.0659025787972</v>
      </c>
      <c r="C29" s="115">
        <v>-5949100</v>
      </c>
      <c r="E29" s="44" t="s">
        <v>87</v>
      </c>
      <c r="F29" s="41" t="s">
        <v>42</v>
      </c>
      <c r="G29" s="34">
        <v>2</v>
      </c>
      <c r="H29" s="107">
        <f>IF(B$51=0,0,G29/B$51)</f>
        <v>1.841620626151013E-3</v>
      </c>
      <c r="I29" s="68">
        <v>8</v>
      </c>
      <c r="K29" s="5">
        <v>27</v>
      </c>
      <c r="L29" s="73">
        <v>-296.29999999999995</v>
      </c>
      <c r="N29" s="89" t="s">
        <v>200</v>
      </c>
      <c r="O29" s="99">
        <f>IF(P29=0,0,Q29/P29)</f>
        <v>-69.5</v>
      </c>
      <c r="P29" s="93">
        <v>1</v>
      </c>
      <c r="Q29" s="81">
        <v>-69.5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97</v>
      </c>
      <c r="F30" s="41" t="s">
        <v>52</v>
      </c>
      <c r="G30" s="34">
        <v>2</v>
      </c>
      <c r="H30" s="107">
        <f>IF(B$51=0,0,G30/B$51)</f>
        <v>1.841620626151013E-3</v>
      </c>
      <c r="I30" s="68">
        <v>2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9.2081031307550648E-4</v>
      </c>
      <c r="I31" s="68">
        <v>6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43">
        <v>8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9.2081031307550648E-4</v>
      </c>
      <c r="I32" s="68">
        <v>6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41">
        <v>124700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16</v>
      </c>
      <c r="C34" s="32">
        <f>IF(B$3=0,0,B34/B$3)</f>
        <v>4.1247744263985565E-3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5">
        <v>35</v>
      </c>
      <c r="C36" s="119">
        <f>IF(B$19=0,0,B36/B$19)</f>
        <v>3.1934306569343068E-2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109</v>
      </c>
      <c r="C37" s="31">
        <f t="shared" ref="C37:C48" si="2">IF(B$19=0,0,B37/B$19)</f>
        <v>9.9452554744525551E-2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8">
        <v>158</v>
      </c>
      <c r="C38" s="31">
        <f>IF(B$19=0,0,B38/B$19)</f>
        <v>0.14416058394160583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8">
        <v>219</v>
      </c>
      <c r="C39" s="31">
        <f t="shared" si="2"/>
        <v>0.19981751824817517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8">
        <v>205</v>
      </c>
      <c r="C40" s="31">
        <f t="shared" si="2"/>
        <v>0.18704379562043796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8">
        <v>136</v>
      </c>
      <c r="C41" s="31">
        <f t="shared" si="2"/>
        <v>0.12408759124087591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8">
        <v>85</v>
      </c>
      <c r="C42" s="31">
        <f t="shared" si="2"/>
        <v>7.7554744525547448E-2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8">
        <v>54</v>
      </c>
      <c r="C43" s="31">
        <f t="shared" si="2"/>
        <v>4.9270072992700732E-2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8">
        <v>36</v>
      </c>
      <c r="C44" s="31">
        <f t="shared" si="2"/>
        <v>3.2846715328467155E-2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8">
        <v>12</v>
      </c>
      <c r="C45" s="31">
        <f t="shared" si="2"/>
        <v>1.0948905109489052E-2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8">
        <v>8</v>
      </c>
      <c r="C46" s="31">
        <f t="shared" si="2"/>
        <v>7.2992700729927005E-3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8">
        <v>6</v>
      </c>
      <c r="C47" s="31">
        <f t="shared" si="2"/>
        <v>5.4744525547445258E-3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4">
        <v>23</v>
      </c>
      <c r="C48" s="32">
        <f t="shared" si="2"/>
        <v>2.0985401459854013E-2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3842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39">
        <v>1086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  <row r="424" spans="11:12" x14ac:dyDescent="0.45">
      <c r="K424" s="5">
        <v>422</v>
      </c>
      <c r="L424" s="73">
        <v>578.30000000000041</v>
      </c>
    </row>
    <row r="425" spans="11:12" x14ac:dyDescent="0.45">
      <c r="K425" s="5">
        <v>423</v>
      </c>
      <c r="L425" s="73">
        <v>530.10000000000036</v>
      </c>
    </row>
    <row r="426" spans="11:12" x14ac:dyDescent="0.45">
      <c r="K426" s="5">
        <v>424</v>
      </c>
      <c r="L426" s="73">
        <v>552.40000000000043</v>
      </c>
    </row>
    <row r="427" spans="11:12" x14ac:dyDescent="0.45">
      <c r="K427" s="5">
        <v>425</v>
      </c>
      <c r="L427" s="73">
        <v>530.30000000000041</v>
      </c>
    </row>
    <row r="428" spans="11:12" x14ac:dyDescent="0.45">
      <c r="K428" s="5">
        <v>426</v>
      </c>
      <c r="L428" s="73">
        <v>493.90000000000038</v>
      </c>
    </row>
    <row r="429" spans="11:12" x14ac:dyDescent="0.45">
      <c r="K429" s="5">
        <v>427</v>
      </c>
      <c r="L429" s="73">
        <v>518.70000000000039</v>
      </c>
    </row>
    <row r="430" spans="11:12" x14ac:dyDescent="0.45">
      <c r="K430" s="5">
        <v>428</v>
      </c>
      <c r="L430" s="73">
        <v>491.20000000000039</v>
      </c>
    </row>
    <row r="431" spans="11:12" x14ac:dyDescent="0.45">
      <c r="K431" s="5">
        <v>429</v>
      </c>
      <c r="L431" s="73">
        <v>444.70000000000039</v>
      </c>
    </row>
    <row r="432" spans="11:12" x14ac:dyDescent="0.45">
      <c r="K432" s="5">
        <v>430</v>
      </c>
      <c r="L432" s="73">
        <v>482.00000000000034</v>
      </c>
    </row>
    <row r="433" spans="11:12" x14ac:dyDescent="0.45">
      <c r="K433" s="5">
        <v>431</v>
      </c>
      <c r="L433" s="73">
        <v>483.30000000000035</v>
      </c>
    </row>
    <row r="434" spans="11:12" x14ac:dyDescent="0.45">
      <c r="K434" s="5">
        <v>432</v>
      </c>
      <c r="L434" s="73">
        <v>570.60000000000036</v>
      </c>
    </row>
    <row r="435" spans="11:12" x14ac:dyDescent="0.45">
      <c r="K435" s="5">
        <v>433</v>
      </c>
      <c r="L435" s="73">
        <v>517.70000000000039</v>
      </c>
    </row>
    <row r="436" spans="11:12" x14ac:dyDescent="0.45">
      <c r="K436" s="5">
        <v>434</v>
      </c>
      <c r="L436" s="73">
        <v>445.00000000000034</v>
      </c>
    </row>
    <row r="437" spans="11:12" x14ac:dyDescent="0.45">
      <c r="K437" s="5">
        <v>435</v>
      </c>
      <c r="L437" s="73">
        <v>398.40000000000038</v>
      </c>
    </row>
    <row r="438" spans="11:12" x14ac:dyDescent="0.45">
      <c r="K438" s="5">
        <v>436</v>
      </c>
      <c r="L438" s="73">
        <v>432.00000000000034</v>
      </c>
    </row>
    <row r="439" spans="11:12" x14ac:dyDescent="0.45">
      <c r="K439" s="5">
        <v>437</v>
      </c>
      <c r="L439" s="73">
        <v>473.60000000000036</v>
      </c>
    </row>
    <row r="440" spans="11:12" x14ac:dyDescent="0.45">
      <c r="K440" s="5">
        <v>438</v>
      </c>
      <c r="L440" s="73">
        <v>564.60000000000036</v>
      </c>
    </row>
    <row r="441" spans="11:12" x14ac:dyDescent="0.45">
      <c r="K441" s="5">
        <v>439</v>
      </c>
      <c r="L441" s="73">
        <v>571.40000000000032</v>
      </c>
    </row>
    <row r="442" spans="11:12" x14ac:dyDescent="0.45">
      <c r="K442" s="5">
        <v>440</v>
      </c>
      <c r="L442" s="73">
        <v>544.60000000000036</v>
      </c>
    </row>
    <row r="443" spans="11:12" x14ac:dyDescent="0.45">
      <c r="K443" s="5">
        <v>441</v>
      </c>
      <c r="L443" s="73">
        <v>545.40000000000032</v>
      </c>
    </row>
    <row r="444" spans="11:12" x14ac:dyDescent="0.45">
      <c r="K444" s="5">
        <v>442</v>
      </c>
      <c r="L444" s="73">
        <v>495.10000000000036</v>
      </c>
    </row>
    <row r="445" spans="11:12" x14ac:dyDescent="0.45">
      <c r="K445" s="5">
        <v>443</v>
      </c>
      <c r="L445" s="73">
        <v>533.80000000000041</v>
      </c>
    </row>
    <row r="446" spans="11:12" x14ac:dyDescent="0.45">
      <c r="K446" s="5">
        <v>444</v>
      </c>
      <c r="L446" s="73">
        <v>493.20000000000039</v>
      </c>
    </row>
    <row r="447" spans="11:12" x14ac:dyDescent="0.45">
      <c r="K447" s="5">
        <v>445</v>
      </c>
      <c r="L447" s="73">
        <v>438.80000000000035</v>
      </c>
    </row>
    <row r="448" spans="11:12" x14ac:dyDescent="0.45">
      <c r="K448" s="5">
        <v>446</v>
      </c>
      <c r="L448" s="73">
        <v>402.90000000000032</v>
      </c>
    </row>
    <row r="449" spans="11:12" x14ac:dyDescent="0.45">
      <c r="K449" s="5">
        <v>447</v>
      </c>
      <c r="L449" s="73">
        <v>408.40000000000032</v>
      </c>
    </row>
    <row r="450" spans="11:12" x14ac:dyDescent="0.45">
      <c r="K450" s="5">
        <v>448</v>
      </c>
      <c r="L450" s="73">
        <v>382.50000000000034</v>
      </c>
    </row>
    <row r="451" spans="11:12" x14ac:dyDescent="0.45">
      <c r="K451" s="5">
        <v>449</v>
      </c>
      <c r="L451" s="73">
        <v>415.00000000000034</v>
      </c>
    </row>
    <row r="452" spans="11:12" x14ac:dyDescent="0.45">
      <c r="K452" s="5">
        <v>450</v>
      </c>
      <c r="L452" s="73">
        <v>369.40000000000032</v>
      </c>
    </row>
    <row r="453" spans="11:12" x14ac:dyDescent="0.45">
      <c r="K453" s="5">
        <v>451</v>
      </c>
      <c r="L453" s="73">
        <v>361.10000000000036</v>
      </c>
    </row>
    <row r="454" spans="11:12" x14ac:dyDescent="0.45">
      <c r="K454" s="5">
        <v>452</v>
      </c>
      <c r="L454" s="73">
        <v>379.00000000000034</v>
      </c>
    </row>
    <row r="455" spans="11:12" x14ac:dyDescent="0.45">
      <c r="K455" s="5">
        <v>453</v>
      </c>
      <c r="L455" s="73">
        <v>349.20000000000033</v>
      </c>
    </row>
    <row r="456" spans="11:12" x14ac:dyDescent="0.45">
      <c r="K456" s="5">
        <v>454</v>
      </c>
      <c r="L456" s="73">
        <v>362.70000000000033</v>
      </c>
    </row>
    <row r="457" spans="11:12" x14ac:dyDescent="0.45">
      <c r="K457" s="5">
        <v>455</v>
      </c>
      <c r="L457" s="73">
        <v>406.20000000000033</v>
      </c>
    </row>
    <row r="458" spans="11:12" x14ac:dyDescent="0.45">
      <c r="K458" s="5">
        <v>456</v>
      </c>
      <c r="L458" s="73">
        <v>475.3000000000003</v>
      </c>
    </row>
    <row r="459" spans="11:12" x14ac:dyDescent="0.45">
      <c r="K459" s="5">
        <v>457</v>
      </c>
      <c r="L459" s="73">
        <v>456.60000000000031</v>
      </c>
    </row>
    <row r="460" spans="11:12" x14ac:dyDescent="0.45">
      <c r="K460" s="5">
        <v>458</v>
      </c>
      <c r="L460" s="73">
        <v>440.60000000000031</v>
      </c>
    </row>
    <row r="461" spans="11:12" x14ac:dyDescent="0.45">
      <c r="K461" s="5">
        <v>459</v>
      </c>
      <c r="L461" s="73">
        <v>449.00000000000034</v>
      </c>
    </row>
    <row r="462" spans="11:12" x14ac:dyDescent="0.45">
      <c r="K462" s="5">
        <v>460</v>
      </c>
      <c r="L462" s="73">
        <v>473.3000000000003</v>
      </c>
    </row>
    <row r="463" spans="11:12" x14ac:dyDescent="0.45">
      <c r="K463" s="5">
        <v>461</v>
      </c>
      <c r="L463" s="73">
        <v>501.40000000000032</v>
      </c>
    </row>
    <row r="464" spans="11:12" x14ac:dyDescent="0.45">
      <c r="K464" s="5">
        <v>462</v>
      </c>
      <c r="L464" s="73">
        <v>499.40000000000032</v>
      </c>
    </row>
    <row r="465" spans="11:12" x14ac:dyDescent="0.45">
      <c r="K465" s="5">
        <v>463</v>
      </c>
      <c r="L465" s="73">
        <v>449.10000000000036</v>
      </c>
    </row>
    <row r="466" spans="11:12" x14ac:dyDescent="0.45">
      <c r="K466" s="5">
        <v>464</v>
      </c>
      <c r="L466" s="73">
        <v>452.50000000000034</v>
      </c>
    </row>
    <row r="467" spans="11:12" x14ac:dyDescent="0.45">
      <c r="K467" s="5">
        <v>465</v>
      </c>
      <c r="L467" s="73">
        <v>473.60000000000036</v>
      </c>
    </row>
    <row r="468" spans="11:12" x14ac:dyDescent="0.45">
      <c r="K468" s="5">
        <v>466</v>
      </c>
      <c r="L468" s="73">
        <v>453.20000000000033</v>
      </c>
    </row>
    <row r="469" spans="11:12" x14ac:dyDescent="0.45">
      <c r="K469" s="5">
        <v>467</v>
      </c>
      <c r="L469" s="73">
        <v>458.00000000000034</v>
      </c>
    </row>
    <row r="470" spans="11:12" x14ac:dyDescent="0.45">
      <c r="K470" s="5">
        <v>468</v>
      </c>
      <c r="L470" s="73">
        <v>411.20000000000033</v>
      </c>
    </row>
    <row r="471" spans="11:12" x14ac:dyDescent="0.45">
      <c r="K471" s="5">
        <v>469</v>
      </c>
      <c r="L471" s="73">
        <v>443.60000000000036</v>
      </c>
    </row>
    <row r="472" spans="11:12" x14ac:dyDescent="0.45">
      <c r="K472" s="5">
        <v>470</v>
      </c>
      <c r="L472" s="73">
        <v>450.60000000000036</v>
      </c>
    </row>
    <row r="473" spans="11:12" x14ac:dyDescent="0.45">
      <c r="K473" s="5">
        <v>471</v>
      </c>
      <c r="L473" s="73">
        <v>498.30000000000035</v>
      </c>
    </row>
    <row r="474" spans="11:12" x14ac:dyDescent="0.45">
      <c r="K474" s="5">
        <v>472</v>
      </c>
      <c r="L474" s="73">
        <v>499.50000000000034</v>
      </c>
    </row>
    <row r="475" spans="11:12" x14ac:dyDescent="0.45">
      <c r="K475" s="5">
        <v>473</v>
      </c>
      <c r="L475" s="73">
        <v>484.30000000000035</v>
      </c>
    </row>
    <row r="476" spans="11:12" x14ac:dyDescent="0.45">
      <c r="K476" s="5">
        <v>474</v>
      </c>
      <c r="L476" s="73">
        <v>510.90000000000032</v>
      </c>
    </row>
    <row r="477" spans="11:12" x14ac:dyDescent="0.45">
      <c r="K477" s="5">
        <v>475</v>
      </c>
      <c r="L477" s="73">
        <v>494.00000000000034</v>
      </c>
    </row>
    <row r="478" spans="11:12" x14ac:dyDescent="0.45">
      <c r="K478" s="5">
        <v>476</v>
      </c>
      <c r="L478" s="73">
        <v>489.00000000000034</v>
      </c>
    </row>
    <row r="479" spans="11:12" x14ac:dyDescent="0.45">
      <c r="K479" s="5">
        <v>477</v>
      </c>
      <c r="L479" s="73">
        <v>545.60000000000036</v>
      </c>
    </row>
    <row r="480" spans="11:12" x14ac:dyDescent="0.45">
      <c r="K480" s="5">
        <v>478</v>
      </c>
      <c r="L480" s="73">
        <v>574.00000000000034</v>
      </c>
    </row>
    <row r="481" spans="11:12" x14ac:dyDescent="0.45">
      <c r="K481" s="5">
        <v>479</v>
      </c>
      <c r="L481" s="73">
        <v>581.50000000000034</v>
      </c>
    </row>
    <row r="482" spans="11:12" x14ac:dyDescent="0.45">
      <c r="K482" s="5">
        <v>480</v>
      </c>
      <c r="L482" s="73">
        <v>621.10000000000036</v>
      </c>
    </row>
    <row r="483" spans="11:12" x14ac:dyDescent="0.45">
      <c r="K483" s="5">
        <v>481</v>
      </c>
      <c r="L483" s="73">
        <v>572.8000000000003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20A05-7D20-4363-BEBC-594ADE601849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3">
        <v>69</v>
      </c>
      <c r="C3" s="13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5">
        <v>109</v>
      </c>
      <c r="C4" s="13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11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6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5">
        <f>IF(B$2=0,0,(B$7*1+B$8*2+B$9*3)/B$2)</f>
        <v>1.6666666666666667</v>
      </c>
      <c r="C6" s="14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20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6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8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6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20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16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78000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16A20-0E99-4975-AA16-82D3AFEDF757}">
  <sheetPr codeName="Sheet15"/>
  <dimension ref="A1:Q39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397</v>
      </c>
      <c r="C2" s="132"/>
      <c r="E2" s="43" t="s">
        <v>66</v>
      </c>
      <c r="F2" s="25" t="s">
        <v>22</v>
      </c>
      <c r="G2" s="13">
        <v>582</v>
      </c>
      <c r="H2" s="106">
        <f>IF(B$51=0,0,G2/B$51)</f>
        <v>0.67439165701042869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-221.96969696969697</v>
      </c>
      <c r="P2" s="92">
        <v>396</v>
      </c>
      <c r="Q2" s="76">
        <v>-87900</v>
      </c>
    </row>
    <row r="3" spans="1:17" x14ac:dyDescent="0.45">
      <c r="A3" s="37" t="s">
        <v>8</v>
      </c>
      <c r="B3" s="133">
        <v>3240</v>
      </c>
      <c r="C3" s="134"/>
      <c r="E3" s="44" t="s">
        <v>72</v>
      </c>
      <c r="F3" s="41" t="s">
        <v>27</v>
      </c>
      <c r="G3" s="34">
        <v>476</v>
      </c>
      <c r="H3" s="107">
        <f>IF(B$51=0,0,G3/B$51)</f>
        <v>0.55156431054461186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600</v>
      </c>
      <c r="P3" s="93">
        <v>389</v>
      </c>
      <c r="Q3" s="77">
        <v>233400</v>
      </c>
    </row>
    <row r="4" spans="1:17" x14ac:dyDescent="0.45">
      <c r="A4" s="37" t="s">
        <v>6</v>
      </c>
      <c r="B4" s="135">
        <v>-572.19999999999993</v>
      </c>
      <c r="C4" s="136"/>
      <c r="E4" s="44" t="s">
        <v>64</v>
      </c>
      <c r="F4" s="41" t="s">
        <v>20</v>
      </c>
      <c r="G4" s="34">
        <v>427</v>
      </c>
      <c r="H4" s="107">
        <f>IF(B$51=0,0,G4/B$51)</f>
        <v>0.49478563151796062</v>
      </c>
      <c r="I4" s="68">
        <v>13</v>
      </c>
      <c r="K4" s="5">
        <v>2</v>
      </c>
      <c r="L4" s="73">
        <v>-24.299999999999997</v>
      </c>
      <c r="N4" s="89" t="s">
        <v>128</v>
      </c>
      <c r="O4" s="96">
        <f t="shared" si="0"/>
        <v>-589.34426229508199</v>
      </c>
      <c r="P4" s="93">
        <v>366</v>
      </c>
      <c r="Q4" s="77">
        <v>-215700</v>
      </c>
    </row>
    <row r="5" spans="1:17" x14ac:dyDescent="0.45">
      <c r="A5" s="37" t="s">
        <v>7</v>
      </c>
      <c r="B5" s="137">
        <f>IF(B$2=0,0,B$4/B$2)</f>
        <v>-1.4413098236775816</v>
      </c>
      <c r="C5" s="138"/>
      <c r="E5" s="44" t="s">
        <v>157</v>
      </c>
      <c r="F5" s="41" t="s">
        <v>158</v>
      </c>
      <c r="G5" s="34">
        <v>350</v>
      </c>
      <c r="H5" s="107">
        <f>IF(B$51=0,0,G5/B$51)</f>
        <v>0.40556199304750867</v>
      </c>
      <c r="I5" s="68">
        <v>6</v>
      </c>
      <c r="K5" s="5">
        <v>3</v>
      </c>
      <c r="L5" s="73">
        <v>-15.599999999999998</v>
      </c>
      <c r="N5" s="89" t="s">
        <v>129</v>
      </c>
      <c r="O5" s="96">
        <f t="shared" si="0"/>
        <v>1.7647058823529411</v>
      </c>
      <c r="P5" s="93">
        <v>340</v>
      </c>
      <c r="Q5" s="77">
        <v>600</v>
      </c>
    </row>
    <row r="6" spans="1:17" x14ac:dyDescent="0.45">
      <c r="A6" s="37" t="s">
        <v>1</v>
      </c>
      <c r="B6" s="145">
        <f>IF(B$2=0,0,(B$7*1+B$8*2+B$9*3)/B$2)</f>
        <v>2.0579345088161207</v>
      </c>
      <c r="C6" s="146"/>
      <c r="E6" s="44" t="s">
        <v>67</v>
      </c>
      <c r="F6" s="41" t="s">
        <v>23</v>
      </c>
      <c r="G6" s="34">
        <v>275</v>
      </c>
      <c r="H6" s="107">
        <f>IF(B$51=0,0,G6/B$51)</f>
        <v>0.3186558516801854</v>
      </c>
      <c r="I6" s="68">
        <v>10</v>
      </c>
      <c r="K6" s="5">
        <v>4</v>
      </c>
      <c r="L6" s="73">
        <v>5.1000000000000014</v>
      </c>
      <c r="N6" s="89" t="s">
        <v>130</v>
      </c>
      <c r="O6" s="96">
        <f t="shared" si="0"/>
        <v>-943.18181818181813</v>
      </c>
      <c r="P6" s="93">
        <v>308</v>
      </c>
      <c r="Q6" s="77">
        <v>-290500</v>
      </c>
    </row>
    <row r="7" spans="1:17" x14ac:dyDescent="0.45">
      <c r="A7" s="37" t="s">
        <v>2</v>
      </c>
      <c r="B7" s="34">
        <v>113</v>
      </c>
      <c r="C7" s="31">
        <f t="shared" ref="C7:C14" si="1">IF(B$2=0,0,B7/B$2)</f>
        <v>0.28463476070528965</v>
      </c>
      <c r="E7" s="44" t="s">
        <v>68</v>
      </c>
      <c r="F7" s="41" t="s">
        <v>12</v>
      </c>
      <c r="G7" s="34">
        <v>264</v>
      </c>
      <c r="H7" s="107">
        <f>IF(B$51=0,0,G7/B$51)</f>
        <v>0.30590961761297797</v>
      </c>
      <c r="I7" s="68">
        <v>13</v>
      </c>
      <c r="K7" s="5">
        <v>5</v>
      </c>
      <c r="L7" s="73">
        <v>9.6000000000000014</v>
      </c>
      <c r="N7" s="90" t="s">
        <v>131</v>
      </c>
      <c r="O7" s="97">
        <f t="shared" si="0"/>
        <v>-514.84375</v>
      </c>
      <c r="P7" s="94">
        <v>256</v>
      </c>
      <c r="Q7" s="78">
        <v>-131800</v>
      </c>
    </row>
    <row r="8" spans="1:17" x14ac:dyDescent="0.45">
      <c r="A8" s="37" t="s">
        <v>3</v>
      </c>
      <c r="B8" s="34">
        <v>148</v>
      </c>
      <c r="C8" s="31">
        <f t="shared" si="1"/>
        <v>0.37279596977329976</v>
      </c>
      <c r="E8" s="44" t="s">
        <v>89</v>
      </c>
      <c r="F8" s="41" t="s">
        <v>44</v>
      </c>
      <c r="G8" s="34">
        <v>112</v>
      </c>
      <c r="H8" s="107">
        <f>IF(B$51=0,0,G8/B$51)</f>
        <v>0.12977983777520277</v>
      </c>
      <c r="I8" s="68">
        <v>11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136</v>
      </c>
      <c r="C9" s="7">
        <f t="shared" si="1"/>
        <v>0.34256926952141059</v>
      </c>
      <c r="E9" s="44" t="s">
        <v>69</v>
      </c>
      <c r="F9" s="41" t="s">
        <v>24</v>
      </c>
      <c r="G9" s="34">
        <v>111</v>
      </c>
      <c r="H9" s="107">
        <f>IF(B$51=0,0,G9/B$51)</f>
        <v>0.12862108922363846</v>
      </c>
      <c r="I9" s="68">
        <v>14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39.981415929203543</v>
      </c>
      <c r="C10" s="121">
        <v>4517.9000000000005</v>
      </c>
      <c r="E10" s="44" t="s">
        <v>65</v>
      </c>
      <c r="F10" s="41" t="s">
        <v>21</v>
      </c>
      <c r="G10" s="34">
        <v>77</v>
      </c>
      <c r="H10" s="107">
        <f>IF(B$51=0,0,G10/B$51)</f>
        <v>8.9223638470451908E-2</v>
      </c>
      <c r="I10" s="68">
        <v>17</v>
      </c>
      <c r="K10" s="5">
        <v>8</v>
      </c>
      <c r="L10" s="73">
        <v>-4.4999999999999964</v>
      </c>
      <c r="N10" s="88" t="s">
        <v>149</v>
      </c>
      <c r="O10" s="98">
        <f>IF(P10=0,0,Q10/P10)</f>
        <v>-5.1342465753424671</v>
      </c>
      <c r="P10" s="92">
        <v>146</v>
      </c>
      <c r="Q10" s="80">
        <v>-749.60000000000014</v>
      </c>
    </row>
    <row r="11" spans="1:17" x14ac:dyDescent="0.45">
      <c r="A11" s="38" t="s">
        <v>204</v>
      </c>
      <c r="B11" s="120">
        <f>IF(B8=0,0,C11/B8)</f>
        <v>-0.24189189189189178</v>
      </c>
      <c r="C11" s="121">
        <v>-35.799999999999983</v>
      </c>
      <c r="E11" s="44" t="s">
        <v>71</v>
      </c>
      <c r="F11" s="41" t="s">
        <v>26</v>
      </c>
      <c r="G11" s="34">
        <v>69</v>
      </c>
      <c r="H11" s="107">
        <f>IF(B$51=0,0,G11/B$51)</f>
        <v>7.9953650057937434E-2</v>
      </c>
      <c r="I11" s="68">
        <v>7</v>
      </c>
      <c r="K11" s="5">
        <v>9</v>
      </c>
      <c r="L11" s="73">
        <v>-9.3999999999999968</v>
      </c>
      <c r="N11" s="89" t="s">
        <v>150</v>
      </c>
      <c r="O11" s="99">
        <f>IF(P11=0,0,Q11/P11)</f>
        <v>0.11406250000000001</v>
      </c>
      <c r="P11" s="93">
        <v>128</v>
      </c>
      <c r="Q11" s="81">
        <v>14.600000000000001</v>
      </c>
    </row>
    <row r="12" spans="1:17" x14ac:dyDescent="0.45">
      <c r="A12" s="38" t="s">
        <v>205</v>
      </c>
      <c r="B12" s="120">
        <f>IF(B9=0,0,C12/B9)</f>
        <v>-37.163970588235287</v>
      </c>
      <c r="C12" s="121">
        <v>-5054.2999999999993</v>
      </c>
      <c r="E12" s="44" t="s">
        <v>70</v>
      </c>
      <c r="F12" s="41" t="s">
        <v>25</v>
      </c>
      <c r="G12" s="34">
        <v>66</v>
      </c>
      <c r="H12" s="107">
        <f>IF(B$51=0,0,G12/B$51)</f>
        <v>7.6477404403244492E-2</v>
      </c>
      <c r="I12" s="68">
        <v>15</v>
      </c>
      <c r="K12" s="5">
        <v>10</v>
      </c>
      <c r="L12" s="73">
        <v>-24.299999999999997</v>
      </c>
      <c r="N12" s="90" t="s">
        <v>151</v>
      </c>
      <c r="O12" s="100">
        <f>IF(P12=0,0,Q12/P12)</f>
        <v>1.3235772357723576</v>
      </c>
      <c r="P12" s="94">
        <v>123</v>
      </c>
      <c r="Q12" s="82">
        <v>162.79999999999998</v>
      </c>
    </row>
    <row r="13" spans="1:17" x14ac:dyDescent="0.45">
      <c r="A13" s="38" t="s">
        <v>206</v>
      </c>
      <c r="B13" s="137">
        <f>AVERAGE(B10:B12)</f>
        <v>0.85851781635878888</v>
      </c>
      <c r="C13" s="138"/>
      <c r="E13" s="44" t="s">
        <v>83</v>
      </c>
      <c r="F13" s="41" t="s">
        <v>38</v>
      </c>
      <c r="G13" s="34">
        <v>49</v>
      </c>
      <c r="H13" s="107">
        <f>IF(B$51=0,0,G13/B$51)</f>
        <v>5.6778679026651215E-2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44</v>
      </c>
      <c r="C14" s="32">
        <f t="shared" si="1"/>
        <v>0.11083123425692695</v>
      </c>
      <c r="E14" s="44" t="s">
        <v>86</v>
      </c>
      <c r="F14" s="41" t="s">
        <v>41</v>
      </c>
      <c r="G14" s="34">
        <v>41</v>
      </c>
      <c r="H14" s="107">
        <f>IF(B$51=0,0,G14/B$51)</f>
        <v>4.7508690614136734E-2</v>
      </c>
      <c r="I14" s="68">
        <v>13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780</v>
      </c>
      <c r="C15" s="11">
        <f>IF(B$50=0,0,B15/B$50)</f>
        <v>0.24074074074074073</v>
      </c>
      <c r="E15" s="44" t="s">
        <v>78</v>
      </c>
      <c r="F15" s="41" t="s">
        <v>33</v>
      </c>
      <c r="G15" s="34">
        <v>25</v>
      </c>
      <c r="H15" s="107">
        <f>IF(B$51=0,0,G15/B$51)</f>
        <v>2.8968713789107765E-2</v>
      </c>
      <c r="I15" s="68">
        <v>8</v>
      </c>
      <c r="K15" s="5">
        <v>13</v>
      </c>
      <c r="L15" s="73">
        <v>-11.099999999999994</v>
      </c>
      <c r="N15" s="88" t="s">
        <v>207</v>
      </c>
      <c r="O15" s="98">
        <f>IF(P15=0,0,Q15/P15)</f>
        <v>110.30000000000001</v>
      </c>
      <c r="P15" s="92">
        <v>1</v>
      </c>
      <c r="Q15" s="80">
        <v>110.30000000000001</v>
      </c>
    </row>
    <row r="16" spans="1:17" x14ac:dyDescent="0.45">
      <c r="A16" s="37" t="s">
        <v>118</v>
      </c>
      <c r="B16" s="34">
        <v>741</v>
      </c>
      <c r="C16" s="31">
        <f>IF(B$50=0,0,B16/B$50)</f>
        <v>0.22870370370370371</v>
      </c>
      <c r="E16" s="44" t="s">
        <v>91</v>
      </c>
      <c r="F16" s="41" t="s">
        <v>46</v>
      </c>
      <c r="G16" s="34">
        <v>21</v>
      </c>
      <c r="H16" s="107">
        <f>IF(B$51=0,0,G16/B$51)</f>
        <v>2.4333719582850522E-2</v>
      </c>
      <c r="I16" s="68">
        <v>5</v>
      </c>
      <c r="K16" s="5">
        <v>14</v>
      </c>
      <c r="L16" s="73">
        <v>-5.7999999999999945</v>
      </c>
      <c r="N16" s="89" t="s">
        <v>208</v>
      </c>
      <c r="O16" s="99">
        <f>IF(P16=0,0,Q16/P16)</f>
        <v>41.35</v>
      </c>
      <c r="P16" s="93">
        <v>2</v>
      </c>
      <c r="Q16" s="81">
        <v>82.7</v>
      </c>
    </row>
    <row r="17" spans="1:17" x14ac:dyDescent="0.45">
      <c r="A17" s="19" t="s">
        <v>123</v>
      </c>
      <c r="B17" s="13">
        <v>437</v>
      </c>
      <c r="C17" s="4">
        <f>IF(B$15=0,0,B17/B$15)</f>
        <v>0.56025641025641026</v>
      </c>
      <c r="E17" s="44" t="s">
        <v>79</v>
      </c>
      <c r="F17" s="41" t="s">
        <v>34</v>
      </c>
      <c r="G17" s="34">
        <v>19</v>
      </c>
      <c r="H17" s="107">
        <f>IF(B$51=0,0,G17/B$51)</f>
        <v>2.20162224797219E-2</v>
      </c>
      <c r="I17" s="68">
        <v>8</v>
      </c>
      <c r="K17" s="5">
        <v>15</v>
      </c>
      <c r="L17" s="73">
        <v>-44.199999999999996</v>
      </c>
      <c r="N17" s="89" t="s">
        <v>198</v>
      </c>
      <c r="O17" s="99">
        <f>IF(P17=0,0,Q17/P17)</f>
        <v>36.400000000000006</v>
      </c>
      <c r="P17" s="93">
        <v>4</v>
      </c>
      <c r="Q17" s="81">
        <v>145.60000000000002</v>
      </c>
    </row>
    <row r="18" spans="1:17" x14ac:dyDescent="0.45">
      <c r="A18" s="19" t="s">
        <v>124</v>
      </c>
      <c r="B18" s="13">
        <v>284</v>
      </c>
      <c r="C18" s="4">
        <f>IF(B$16=0,0,B18/B$16)</f>
        <v>0.38326585695006748</v>
      </c>
      <c r="E18" s="44" t="s">
        <v>81</v>
      </c>
      <c r="F18" s="41" t="s">
        <v>36</v>
      </c>
      <c r="G18" s="34">
        <v>19</v>
      </c>
      <c r="H18" s="107">
        <f>IF(B$51=0,0,G18/B$51)</f>
        <v>2.20162224797219E-2</v>
      </c>
      <c r="I18" s="68">
        <v>11</v>
      </c>
      <c r="K18" s="5">
        <v>16</v>
      </c>
      <c r="L18" s="73">
        <v>-25.599999999999994</v>
      </c>
      <c r="N18" s="89" t="s">
        <v>199</v>
      </c>
      <c r="O18" s="99">
        <f>IF(P18=0,0,Q18/P18)</f>
        <v>23.05</v>
      </c>
      <c r="P18" s="93">
        <v>16</v>
      </c>
      <c r="Q18" s="81">
        <v>368.8</v>
      </c>
    </row>
    <row r="19" spans="1:17" x14ac:dyDescent="0.45">
      <c r="A19" s="19" t="s">
        <v>10</v>
      </c>
      <c r="B19" s="13">
        <v>863</v>
      </c>
      <c r="C19" s="4">
        <f>IF(B$3=0,0,B19/B$3)</f>
        <v>0.266358024691358</v>
      </c>
      <c r="E19" s="44" t="s">
        <v>85</v>
      </c>
      <c r="F19" s="41" t="s">
        <v>40</v>
      </c>
      <c r="G19" s="34">
        <v>11</v>
      </c>
      <c r="H19" s="107">
        <f>IF(B$51=0,0,G19/B$51)</f>
        <v>1.2746234067207415E-2</v>
      </c>
      <c r="I19" s="68">
        <v>2</v>
      </c>
      <c r="K19" s="5">
        <v>17</v>
      </c>
      <c r="L19" s="73">
        <v>-39.799999999999997</v>
      </c>
      <c r="N19" s="89" t="s">
        <v>197</v>
      </c>
      <c r="O19" s="99">
        <f>IF(P19=0,0,Q19/P19)</f>
        <v>18.121428571428574</v>
      </c>
      <c r="P19" s="93">
        <v>42</v>
      </c>
      <c r="Q19" s="81">
        <v>761.1</v>
      </c>
    </row>
    <row r="20" spans="1:17" x14ac:dyDescent="0.45">
      <c r="A20" s="37" t="s">
        <v>13</v>
      </c>
      <c r="B20" s="34">
        <v>463</v>
      </c>
      <c r="C20" s="31">
        <f>IF(B$3=0,0,B20/B$3)</f>
        <v>0.14290123456790124</v>
      </c>
      <c r="E20" s="44" t="s">
        <v>92</v>
      </c>
      <c r="F20" s="41" t="s">
        <v>47</v>
      </c>
      <c r="G20" s="34">
        <v>8</v>
      </c>
      <c r="H20" s="107">
        <f>IF(B$51=0,0,G20/B$51)</f>
        <v>9.2699884125144842E-3</v>
      </c>
      <c r="I20" s="68">
        <v>3</v>
      </c>
      <c r="K20" s="5">
        <v>18</v>
      </c>
      <c r="L20" s="73">
        <v>-60.4</v>
      </c>
      <c r="N20" s="89" t="s">
        <v>185</v>
      </c>
      <c r="O20" s="99">
        <f>IF(P20=0,0,Q20/P20)</f>
        <v>13.450000000000001</v>
      </c>
      <c r="P20" s="93">
        <v>2</v>
      </c>
      <c r="Q20" s="81">
        <v>26.900000000000002</v>
      </c>
    </row>
    <row r="21" spans="1:17" x14ac:dyDescent="0.45">
      <c r="A21" s="37" t="s">
        <v>12</v>
      </c>
      <c r="B21" s="34">
        <v>382</v>
      </c>
      <c r="C21" s="31">
        <f>IF(B$19=0,0,B21/B$19)</f>
        <v>0.44264194669756662</v>
      </c>
      <c r="E21" s="44" t="s">
        <v>153</v>
      </c>
      <c r="F21" s="41" t="s">
        <v>154</v>
      </c>
      <c r="G21" s="34">
        <v>8</v>
      </c>
      <c r="H21" s="107">
        <f>IF(B$51=0,0,G21/B$51)</f>
        <v>9.2699884125144842E-3</v>
      </c>
      <c r="I21" s="68">
        <v>7</v>
      </c>
      <c r="K21" s="5">
        <v>19</v>
      </c>
      <c r="L21" s="73">
        <v>-60</v>
      </c>
      <c r="N21" s="89" t="s">
        <v>186</v>
      </c>
      <c r="O21" s="99">
        <f>IF(P21=0,0,Q21/P21)</f>
        <v>12.52</v>
      </c>
      <c r="P21" s="93">
        <v>20</v>
      </c>
      <c r="Q21" s="81">
        <v>250.4</v>
      </c>
    </row>
    <row r="22" spans="1:17" x14ac:dyDescent="0.45">
      <c r="A22" s="37" t="s">
        <v>11</v>
      </c>
      <c r="B22" s="34">
        <v>481</v>
      </c>
      <c r="C22" s="31">
        <f>IF(B$19=0,0,B22/B$19)</f>
        <v>0.55735805330243338</v>
      </c>
      <c r="E22" s="44" t="s">
        <v>75</v>
      </c>
      <c r="F22" s="41" t="s">
        <v>30</v>
      </c>
      <c r="G22" s="34">
        <v>7</v>
      </c>
      <c r="H22" s="107">
        <f>IF(B$51=0,0,G22/B$51)</f>
        <v>8.1112398609501733E-3</v>
      </c>
      <c r="I22" s="68">
        <v>4</v>
      </c>
      <c r="K22" s="5">
        <v>20</v>
      </c>
      <c r="L22" s="73">
        <v>-88.2</v>
      </c>
      <c r="N22" s="89" t="s">
        <v>201</v>
      </c>
      <c r="O22" s="99">
        <f>IF(P22=0,0,Q22/P22)</f>
        <v>4.7999999999999989</v>
      </c>
      <c r="P22" s="93">
        <v>2</v>
      </c>
      <c r="Q22" s="81">
        <v>9.5999999999999979</v>
      </c>
    </row>
    <row r="23" spans="1:17" x14ac:dyDescent="0.45">
      <c r="A23" s="37" t="s">
        <v>180</v>
      </c>
      <c r="B23" s="34">
        <v>437</v>
      </c>
      <c r="C23" s="31">
        <f>IF(B$19=0,0,B23/B$19)</f>
        <v>0.50637311703360366</v>
      </c>
      <c r="E23" s="44" t="s">
        <v>73</v>
      </c>
      <c r="F23" s="41" t="s">
        <v>28</v>
      </c>
      <c r="G23" s="34">
        <v>5</v>
      </c>
      <c r="H23" s="107">
        <f>IF(B$51=0,0,G23/B$51)</f>
        <v>5.7937427578215531E-3</v>
      </c>
      <c r="I23" s="68">
        <v>6</v>
      </c>
      <c r="K23" s="5">
        <v>21</v>
      </c>
      <c r="L23" s="73">
        <v>-125.80000000000001</v>
      </c>
      <c r="N23" s="89" t="s">
        <v>190</v>
      </c>
      <c r="O23" s="99">
        <f>IF(P23=0,0,Q23/P23)</f>
        <v>3.6876543209876549</v>
      </c>
      <c r="P23" s="93">
        <v>81</v>
      </c>
      <c r="Q23" s="81">
        <v>298.70000000000005</v>
      </c>
    </row>
    <row r="24" spans="1:17" x14ac:dyDescent="0.45">
      <c r="A24" s="37" t="s">
        <v>178</v>
      </c>
      <c r="B24" s="34">
        <v>284</v>
      </c>
      <c r="C24" s="31">
        <f>IF(B$19=0,0,B24/B$19)</f>
        <v>0.32908458864426421</v>
      </c>
      <c r="E24" s="44" t="s">
        <v>77</v>
      </c>
      <c r="F24" s="41" t="s">
        <v>32</v>
      </c>
      <c r="G24" s="34">
        <v>4</v>
      </c>
      <c r="H24" s="107">
        <f>IF(B$51=0,0,G24/B$51)</f>
        <v>4.6349942062572421E-3</v>
      </c>
      <c r="I24" s="68">
        <v>9</v>
      </c>
      <c r="K24" s="5">
        <v>22</v>
      </c>
      <c r="L24" s="73">
        <v>-149.30000000000001</v>
      </c>
      <c r="N24" s="89" t="s">
        <v>194</v>
      </c>
      <c r="O24" s="99">
        <f>IF(P24=0,0,Q24/P24)</f>
        <v>0.74444444444444635</v>
      </c>
      <c r="P24" s="93">
        <v>9</v>
      </c>
      <c r="Q24" s="81">
        <v>6.7000000000000171</v>
      </c>
    </row>
    <row r="25" spans="1:17" x14ac:dyDescent="0.45">
      <c r="A25" s="37" t="s">
        <v>179</v>
      </c>
      <c r="B25" s="34">
        <v>142</v>
      </c>
      <c r="C25" s="31">
        <f>IF(B$19=0,0,B25/B$19)</f>
        <v>0.1645422943221321</v>
      </c>
      <c r="E25" s="44" t="s">
        <v>74</v>
      </c>
      <c r="F25" s="41" t="s">
        <v>29</v>
      </c>
      <c r="G25" s="34">
        <v>3</v>
      </c>
      <c r="H25" s="107">
        <f>IF(B$51=0,0,G25/B$51)</f>
        <v>3.4762456546929316E-3</v>
      </c>
      <c r="I25" s="68">
        <v>5</v>
      </c>
      <c r="K25" s="5">
        <v>23</v>
      </c>
      <c r="L25" s="73">
        <v>-150.30000000000001</v>
      </c>
      <c r="N25" s="89" t="s">
        <v>193</v>
      </c>
      <c r="O25" s="99">
        <f>IF(P25=0,0,Q25/P25)</f>
        <v>7.6315789473683893E-2</v>
      </c>
      <c r="P25" s="93">
        <v>152</v>
      </c>
      <c r="Q25" s="81">
        <v>11.599999999999952</v>
      </c>
    </row>
    <row r="26" spans="1:17" x14ac:dyDescent="0.45">
      <c r="A26" s="37" t="s">
        <v>5</v>
      </c>
      <c r="B26" s="17">
        <f>IF(B$19=0,0,C26/B$19)</f>
        <v>8566.3962920046342</v>
      </c>
      <c r="C26" s="8">
        <v>7392800</v>
      </c>
      <c r="E26" s="44" t="s">
        <v>88</v>
      </c>
      <c r="F26" s="41" t="s">
        <v>43</v>
      </c>
      <c r="G26" s="34">
        <v>2</v>
      </c>
      <c r="H26" s="107">
        <f>IF(B$51=0,0,G26/B$51)</f>
        <v>2.3174971031286211E-3</v>
      </c>
      <c r="I26" s="68">
        <v>2</v>
      </c>
      <c r="K26" s="5">
        <v>24</v>
      </c>
      <c r="L26" s="73">
        <v>-196.10000000000002</v>
      </c>
      <c r="N26" s="89" t="s">
        <v>188</v>
      </c>
      <c r="O26" s="99">
        <f>IF(P26=0,0,Q26/P26)</f>
        <v>-0.14999999999999927</v>
      </c>
      <c r="P26" s="93">
        <v>102</v>
      </c>
      <c r="Q26" s="81">
        <v>-15.299999999999926</v>
      </c>
    </row>
    <row r="27" spans="1:17" x14ac:dyDescent="0.45">
      <c r="A27" s="38" t="s">
        <v>162</v>
      </c>
      <c r="B27" s="114">
        <f>IF($B$19-B$18=0,0,C27/($B$19-B$18))</f>
        <v>9309.1537132987905</v>
      </c>
      <c r="C27" s="115">
        <v>5390000</v>
      </c>
      <c r="E27" s="44" t="s">
        <v>90</v>
      </c>
      <c r="F27" s="41" t="s">
        <v>45</v>
      </c>
      <c r="G27" s="34">
        <v>2</v>
      </c>
      <c r="H27" s="107">
        <f>IF(B$51=0,0,G27/B$51)</f>
        <v>2.3174971031286211E-3</v>
      </c>
      <c r="I27" s="68">
        <v>3</v>
      </c>
      <c r="K27" s="5">
        <v>25</v>
      </c>
      <c r="L27" s="73">
        <v>-240.00000000000003</v>
      </c>
      <c r="N27" s="89" t="s">
        <v>191</v>
      </c>
      <c r="O27" s="99">
        <f>IF(P27=0,0,Q27/P27)</f>
        <v>-0.79399999999999737</v>
      </c>
      <c r="P27" s="93">
        <v>150</v>
      </c>
      <c r="Q27" s="81">
        <v>-119.09999999999961</v>
      </c>
    </row>
    <row r="28" spans="1:17" x14ac:dyDescent="0.45">
      <c r="A28" s="38" t="s">
        <v>163</v>
      </c>
      <c r="B28" s="114">
        <f>IF(B$18=0,0,C28/B$18)</f>
        <v>7052.1126760563384</v>
      </c>
      <c r="C28" s="115">
        <v>2002800</v>
      </c>
      <c r="E28" s="44" t="s">
        <v>93</v>
      </c>
      <c r="F28" s="41" t="s">
        <v>48</v>
      </c>
      <c r="G28" s="34">
        <v>2</v>
      </c>
      <c r="H28" s="107">
        <f>IF(B$51=0,0,G28/B$51)</f>
        <v>2.3174971031286211E-3</v>
      </c>
      <c r="I28" s="68">
        <v>7</v>
      </c>
      <c r="K28" s="5">
        <v>26</v>
      </c>
      <c r="L28" s="73">
        <v>-277</v>
      </c>
      <c r="N28" s="89" t="s">
        <v>189</v>
      </c>
      <c r="O28" s="99">
        <f>IF(P28=0,0,Q28/P28)</f>
        <v>-8.3571428571428594</v>
      </c>
      <c r="P28" s="93">
        <v>7</v>
      </c>
      <c r="Q28" s="81">
        <v>-58.500000000000014</v>
      </c>
    </row>
    <row r="29" spans="1:17" x14ac:dyDescent="0.45">
      <c r="A29" s="38" t="s">
        <v>161</v>
      </c>
      <c r="B29" s="114">
        <f>IF(B$20=0,0,C29/B$20)</f>
        <v>-7477.5377969762421</v>
      </c>
      <c r="C29" s="115">
        <v>-3462100</v>
      </c>
      <c r="E29" s="44" t="s">
        <v>101</v>
      </c>
      <c r="F29" s="41" t="s">
        <v>56</v>
      </c>
      <c r="G29" s="34">
        <v>2</v>
      </c>
      <c r="H29" s="107">
        <f>IF(B$51=0,0,G29/B$51)</f>
        <v>2.3174971031286211E-3</v>
      </c>
      <c r="I29" s="68">
        <v>1</v>
      </c>
      <c r="K29" s="5">
        <v>27</v>
      </c>
      <c r="L29" s="73">
        <v>-266.7</v>
      </c>
      <c r="N29" s="89" t="s">
        <v>195</v>
      </c>
      <c r="O29" s="99">
        <f>IF(P29=0,0,Q29/P29)</f>
        <v>-17.208955223880597</v>
      </c>
      <c r="P29" s="93">
        <v>201</v>
      </c>
      <c r="Q29" s="81">
        <v>-3459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1.1587485515643105E-3</v>
      </c>
      <c r="I30" s="68">
        <v>9</v>
      </c>
      <c r="K30" s="5">
        <v>28</v>
      </c>
      <c r="L30" s="73">
        <v>-283.7</v>
      </c>
      <c r="N30" s="89" t="s">
        <v>196</v>
      </c>
      <c r="O30" s="99">
        <f>IF(P30=0,0,Q30/P30)</f>
        <v>-45.699999999999996</v>
      </c>
      <c r="P30" s="93">
        <v>3</v>
      </c>
      <c r="Q30" s="81">
        <v>-137.1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1.1587485515643105E-3</v>
      </c>
      <c r="I31" s="68">
        <v>4</v>
      </c>
      <c r="K31" s="5">
        <v>29</v>
      </c>
      <c r="L31" s="73">
        <v>-251.2</v>
      </c>
    </row>
    <row r="32" spans="1:17" x14ac:dyDescent="0.45">
      <c r="A32" s="64" t="s">
        <v>134</v>
      </c>
      <c r="B32" s="143">
        <v>8</v>
      </c>
      <c r="C32" s="14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41">
        <v>107400</v>
      </c>
      <c r="C33" s="14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2.1604938271604936E-3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-360.79999999999995</v>
      </c>
    </row>
    <row r="35" spans="1:12" x14ac:dyDescent="0.45">
      <c r="E35" s="44" t="s">
        <v>84</v>
      </c>
      <c r="F35" s="41" t="s">
        <v>39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5">
        <v>63</v>
      </c>
      <c r="C36" s="119">
        <f>IF(B$19=0,0,B36/B$19)</f>
        <v>7.3001158748551565E-2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143</v>
      </c>
      <c r="C37" s="31">
        <f t="shared" ref="C37:C48" si="2">IF(B$19=0,0,B37/B$19)</f>
        <v>0.16570104287369641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8">
        <v>168</v>
      </c>
      <c r="C38" s="31">
        <f>IF(B$19=0,0,B38/B$19)</f>
        <v>0.19466975666280417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8">
        <v>153</v>
      </c>
      <c r="C39" s="31">
        <f t="shared" si="2"/>
        <v>0.17728852838933951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8">
        <v>128</v>
      </c>
      <c r="C40" s="31">
        <f t="shared" si="2"/>
        <v>0.14831981460023175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8">
        <v>86</v>
      </c>
      <c r="C41" s="31">
        <f t="shared" si="2"/>
        <v>9.9652375434530704E-2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8">
        <v>52</v>
      </c>
      <c r="C42" s="31">
        <f t="shared" si="2"/>
        <v>6.0254924681344149E-2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8">
        <v>23</v>
      </c>
      <c r="C43" s="31">
        <f t="shared" si="2"/>
        <v>2.6651216685979143E-2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8">
        <v>17</v>
      </c>
      <c r="C44" s="31">
        <f t="shared" si="2"/>
        <v>1.9698725376593278E-2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8">
        <v>12</v>
      </c>
      <c r="C45" s="31">
        <f t="shared" si="2"/>
        <v>1.3904982618771726E-2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8">
        <v>3</v>
      </c>
      <c r="C46" s="31">
        <f t="shared" si="2"/>
        <v>3.4762456546929316E-3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8">
        <v>2</v>
      </c>
      <c r="C47" s="31">
        <f t="shared" si="2"/>
        <v>2.3174971031286211E-3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4">
        <v>13</v>
      </c>
      <c r="C48" s="32">
        <f t="shared" si="2"/>
        <v>1.5063731170336037E-2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3240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39">
        <v>863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  <row r="353" spans="11:12" x14ac:dyDescent="0.45">
      <c r="K353" s="5">
        <v>351</v>
      </c>
      <c r="L353" s="73">
        <v>-522.20000000000005</v>
      </c>
    </row>
    <row r="354" spans="11:12" x14ac:dyDescent="0.45">
      <c r="K354" s="5">
        <v>352</v>
      </c>
      <c r="L354" s="73">
        <v>-488.2</v>
      </c>
    </row>
    <row r="355" spans="11:12" x14ac:dyDescent="0.45">
      <c r="K355" s="5">
        <v>353</v>
      </c>
      <c r="L355" s="73">
        <v>-492.2</v>
      </c>
    </row>
    <row r="356" spans="11:12" x14ac:dyDescent="0.45">
      <c r="K356" s="5">
        <v>354</v>
      </c>
      <c r="L356" s="73">
        <v>-503.7</v>
      </c>
    </row>
    <row r="357" spans="11:12" x14ac:dyDescent="0.45">
      <c r="K357" s="5">
        <v>355</v>
      </c>
      <c r="L357" s="73">
        <v>-537.1</v>
      </c>
    </row>
    <row r="358" spans="11:12" x14ac:dyDescent="0.45">
      <c r="K358" s="5">
        <v>356</v>
      </c>
      <c r="L358" s="73">
        <v>-594.70000000000005</v>
      </c>
    </row>
    <row r="359" spans="11:12" x14ac:dyDescent="0.45">
      <c r="K359" s="5">
        <v>357</v>
      </c>
      <c r="L359" s="73">
        <v>-642.79999999999995</v>
      </c>
    </row>
    <row r="360" spans="11:12" x14ac:dyDescent="0.45">
      <c r="K360" s="5">
        <v>358</v>
      </c>
      <c r="L360" s="73">
        <v>-680</v>
      </c>
    </row>
    <row r="361" spans="11:12" x14ac:dyDescent="0.45">
      <c r="K361" s="5">
        <v>359</v>
      </c>
      <c r="L361" s="73">
        <v>-660.9</v>
      </c>
    </row>
    <row r="362" spans="11:12" x14ac:dyDescent="0.45">
      <c r="K362" s="5">
        <v>360</v>
      </c>
      <c r="L362" s="73">
        <v>-616.5</v>
      </c>
    </row>
    <row r="363" spans="11:12" x14ac:dyDescent="0.45">
      <c r="K363" s="5">
        <v>361</v>
      </c>
      <c r="L363" s="73">
        <v>-621.20000000000005</v>
      </c>
    </row>
    <row r="364" spans="11:12" x14ac:dyDescent="0.45">
      <c r="K364" s="5">
        <v>362</v>
      </c>
      <c r="L364" s="73">
        <v>-637.79999999999995</v>
      </c>
    </row>
    <row r="365" spans="11:12" x14ac:dyDescent="0.45">
      <c r="K365" s="5">
        <v>363</v>
      </c>
      <c r="L365" s="73">
        <v>-661.5</v>
      </c>
    </row>
    <row r="366" spans="11:12" x14ac:dyDescent="0.45">
      <c r="K366" s="5">
        <v>364</v>
      </c>
      <c r="L366" s="73">
        <v>-690.19999999999993</v>
      </c>
    </row>
    <row r="367" spans="11:12" x14ac:dyDescent="0.45">
      <c r="K367" s="5">
        <v>365</v>
      </c>
      <c r="L367" s="73">
        <v>-650.09999999999991</v>
      </c>
    </row>
    <row r="368" spans="11:12" x14ac:dyDescent="0.45">
      <c r="K368" s="5">
        <v>366</v>
      </c>
      <c r="L368" s="73">
        <v>-576.4</v>
      </c>
    </row>
    <row r="369" spans="11:12" x14ac:dyDescent="0.45">
      <c r="K369" s="5">
        <v>367</v>
      </c>
      <c r="L369" s="73">
        <v>-557</v>
      </c>
    </row>
    <row r="370" spans="11:12" x14ac:dyDescent="0.45">
      <c r="K370" s="5">
        <v>368</v>
      </c>
      <c r="L370" s="73">
        <v>-550.5</v>
      </c>
    </row>
    <row r="371" spans="11:12" x14ac:dyDescent="0.45">
      <c r="K371" s="5">
        <v>369</v>
      </c>
      <c r="L371" s="73">
        <v>-585.09999999999991</v>
      </c>
    </row>
    <row r="372" spans="11:12" x14ac:dyDescent="0.45">
      <c r="K372" s="5">
        <v>370</v>
      </c>
      <c r="L372" s="73">
        <v>-571.29999999999995</v>
      </c>
    </row>
    <row r="373" spans="11:12" x14ac:dyDescent="0.45">
      <c r="K373" s="5">
        <v>371</v>
      </c>
      <c r="L373" s="73">
        <v>-597</v>
      </c>
    </row>
    <row r="374" spans="11:12" x14ac:dyDescent="0.45">
      <c r="K374" s="5">
        <v>372</v>
      </c>
      <c r="L374" s="73">
        <v>-573.79999999999995</v>
      </c>
    </row>
    <row r="375" spans="11:12" x14ac:dyDescent="0.45">
      <c r="K375" s="5">
        <v>373</v>
      </c>
      <c r="L375" s="73">
        <v>-539.9</v>
      </c>
    </row>
    <row r="376" spans="11:12" x14ac:dyDescent="0.45">
      <c r="K376" s="5">
        <v>374</v>
      </c>
      <c r="L376" s="73">
        <v>-555.9</v>
      </c>
    </row>
    <row r="377" spans="11:12" x14ac:dyDescent="0.45">
      <c r="K377" s="5">
        <v>375</v>
      </c>
      <c r="L377" s="73">
        <v>-505.09999999999997</v>
      </c>
    </row>
    <row r="378" spans="11:12" x14ac:dyDescent="0.45">
      <c r="K378" s="5">
        <v>376</v>
      </c>
      <c r="L378" s="73">
        <v>-498.9</v>
      </c>
    </row>
    <row r="379" spans="11:12" x14ac:dyDescent="0.45">
      <c r="K379" s="5">
        <v>377</v>
      </c>
      <c r="L379" s="73">
        <v>-465.2</v>
      </c>
    </row>
    <row r="380" spans="11:12" x14ac:dyDescent="0.45">
      <c r="K380" s="5">
        <v>378</v>
      </c>
      <c r="L380" s="73">
        <v>-490.59999999999997</v>
      </c>
    </row>
    <row r="381" spans="11:12" x14ac:dyDescent="0.45">
      <c r="K381" s="5">
        <v>379</v>
      </c>
      <c r="L381" s="73">
        <v>-545.29999999999995</v>
      </c>
    </row>
    <row r="382" spans="11:12" x14ac:dyDescent="0.45">
      <c r="K382" s="5">
        <v>380</v>
      </c>
      <c r="L382" s="73">
        <v>-525.1</v>
      </c>
    </row>
    <row r="383" spans="11:12" x14ac:dyDescent="0.45">
      <c r="K383" s="5">
        <v>381</v>
      </c>
      <c r="L383" s="73">
        <v>-552.6</v>
      </c>
    </row>
    <row r="384" spans="11:12" x14ac:dyDescent="0.45">
      <c r="K384" s="5">
        <v>382</v>
      </c>
      <c r="L384" s="73">
        <v>-583.4</v>
      </c>
    </row>
    <row r="385" spans="11:12" x14ac:dyDescent="0.45">
      <c r="K385" s="5">
        <v>383</v>
      </c>
      <c r="L385" s="73">
        <v>-547.19999999999993</v>
      </c>
    </row>
    <row r="386" spans="11:12" x14ac:dyDescent="0.45">
      <c r="K386" s="5">
        <v>384</v>
      </c>
      <c r="L386" s="73">
        <v>-571.09999999999991</v>
      </c>
    </row>
    <row r="387" spans="11:12" x14ac:dyDescent="0.45">
      <c r="K387" s="5">
        <v>385</v>
      </c>
      <c r="L387" s="73">
        <v>-592</v>
      </c>
    </row>
    <row r="388" spans="11:12" x14ac:dyDescent="0.45">
      <c r="K388" s="5">
        <v>386</v>
      </c>
      <c r="L388" s="73">
        <v>-509.59999999999997</v>
      </c>
    </row>
    <row r="389" spans="11:12" x14ac:dyDescent="0.45">
      <c r="K389" s="5">
        <v>387</v>
      </c>
      <c r="L389" s="73">
        <v>-535.29999999999995</v>
      </c>
    </row>
    <row r="390" spans="11:12" x14ac:dyDescent="0.45">
      <c r="K390" s="5">
        <v>388</v>
      </c>
      <c r="L390" s="73">
        <v>-577.69999999999993</v>
      </c>
    </row>
    <row r="391" spans="11:12" x14ac:dyDescent="0.45">
      <c r="K391" s="5">
        <v>389</v>
      </c>
      <c r="L391" s="73">
        <v>-526.69999999999993</v>
      </c>
    </row>
    <row r="392" spans="11:12" x14ac:dyDescent="0.45">
      <c r="K392" s="5">
        <v>390</v>
      </c>
      <c r="L392" s="73">
        <v>-562.5</v>
      </c>
    </row>
    <row r="393" spans="11:12" x14ac:dyDescent="0.45">
      <c r="K393" s="5">
        <v>391</v>
      </c>
      <c r="L393" s="73">
        <v>-581.59999999999991</v>
      </c>
    </row>
    <row r="394" spans="11:12" x14ac:dyDescent="0.45">
      <c r="K394" s="5">
        <v>392</v>
      </c>
      <c r="L394" s="73">
        <v>-551.29999999999995</v>
      </c>
    </row>
    <row r="395" spans="11:12" x14ac:dyDescent="0.45">
      <c r="K395" s="5">
        <v>393</v>
      </c>
      <c r="L395" s="73">
        <v>-551.59999999999991</v>
      </c>
    </row>
    <row r="396" spans="11:12" x14ac:dyDescent="0.45">
      <c r="K396" s="5">
        <v>394</v>
      </c>
      <c r="L396" s="73">
        <v>-549.9</v>
      </c>
    </row>
    <row r="397" spans="11:12" x14ac:dyDescent="0.45">
      <c r="K397" s="5">
        <v>395</v>
      </c>
      <c r="L397" s="73">
        <v>-529.19999999999993</v>
      </c>
    </row>
    <row r="398" spans="11:12" x14ac:dyDescent="0.45">
      <c r="K398" s="5">
        <v>396</v>
      </c>
      <c r="L398" s="73">
        <v>-532.19999999999993</v>
      </c>
    </row>
    <row r="399" spans="11:12" x14ac:dyDescent="0.45">
      <c r="K399" s="5">
        <v>397</v>
      </c>
      <c r="L399" s="73">
        <v>-572.19999999999993</v>
      </c>
    </row>
  </sheetData>
  <sortState xmlns:xlrd2="http://schemas.microsoft.com/office/spreadsheetml/2017/richdata2" ref="N15:Q3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7DBE7-0602-4764-A1C7-89F013975FF6}">
  <sheetPr codeName="Sheet16"/>
  <dimension ref="A1:Q1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5">
      <c r="A3" s="37" t="s">
        <v>8</v>
      </c>
      <c r="B3" s="133">
        <v>1019</v>
      </c>
      <c r="C3" s="13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5">
      <c r="A4" s="37" t="s">
        <v>6</v>
      </c>
      <c r="B4" s="135">
        <v>-1015.2</v>
      </c>
      <c r="C4" s="13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5">
      <c r="A5" s="37" t="s">
        <v>7</v>
      </c>
      <c r="B5" s="137">
        <f>IF(B$2=0,0,B$4/B$2)</f>
        <v>-8.6033898305084744</v>
      </c>
      <c r="C5" s="138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4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5">
      <c r="A6" s="37" t="s">
        <v>1</v>
      </c>
      <c r="B6" s="145">
        <f>IF(B$2=0,0,(B$7*1+B$8*2+B$9*3)/B$2)</f>
        <v>2.152542372881356</v>
      </c>
      <c r="C6" s="146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8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5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5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10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6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14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5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18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5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13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5">
      <c r="A13" s="38" t="s">
        <v>206</v>
      </c>
      <c r="B13" s="137">
        <f>AVERAGE(B10:B12)</f>
        <v>-2.7244212962962941</v>
      </c>
      <c r="C13" s="138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11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5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5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11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41">
        <v>113300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5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8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8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8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8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8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8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8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8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8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8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4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39">
        <v>269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  <row r="112" spans="11:12" x14ac:dyDescent="0.45">
      <c r="K112" s="5">
        <v>110</v>
      </c>
      <c r="L112" s="73">
        <v>-1000.9</v>
      </c>
    </row>
    <row r="113" spans="11:12" x14ac:dyDescent="0.45">
      <c r="K113" s="5">
        <v>111</v>
      </c>
      <c r="L113" s="73">
        <v>-1010.4</v>
      </c>
    </row>
    <row r="114" spans="11:12" x14ac:dyDescent="0.45">
      <c r="K114" s="5">
        <v>112</v>
      </c>
      <c r="L114" s="73">
        <v>-1035.5999999999999</v>
      </c>
    </row>
    <row r="115" spans="11:12" x14ac:dyDescent="0.45">
      <c r="K115" s="5">
        <v>113</v>
      </c>
      <c r="L115" s="73">
        <v>-1037.9000000000001</v>
      </c>
    </row>
    <row r="116" spans="11:12" x14ac:dyDescent="0.45">
      <c r="K116" s="5">
        <v>114</v>
      </c>
      <c r="L116" s="73">
        <v>-1015.9</v>
      </c>
    </row>
    <row r="117" spans="11:12" x14ac:dyDescent="0.45">
      <c r="K117" s="5">
        <v>115</v>
      </c>
      <c r="L117" s="73">
        <v>-945.9</v>
      </c>
    </row>
    <row r="118" spans="11:12" x14ac:dyDescent="0.45">
      <c r="K118" s="5">
        <v>116</v>
      </c>
      <c r="L118" s="73">
        <v>-977.80000000000007</v>
      </c>
    </row>
    <row r="119" spans="11:12" x14ac:dyDescent="0.45">
      <c r="K119" s="5">
        <v>117</v>
      </c>
      <c r="L119" s="73">
        <v>-992.9</v>
      </c>
    </row>
    <row r="120" spans="11:12" x14ac:dyDescent="0.45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20779-CFE0-451C-9ADB-9037E5F90F5B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3">
        <v>253</v>
      </c>
      <c r="C3" s="13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5">
        <v>-22.000000000000028</v>
      </c>
      <c r="C4" s="13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16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5">
        <f>IF(B$2=0,0,(B$7*1+B$8*2+B$9*3)/B$2)</f>
        <v>1.9285714285714286</v>
      </c>
      <c r="C6" s="14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10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11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13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14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17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7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16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5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106300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C160C-FA38-4FCB-993C-FBD68CAC1434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3">
        <v>13</v>
      </c>
      <c r="C3" s="13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12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5">
        <v>13.3</v>
      </c>
      <c r="C4" s="13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2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21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21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18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17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21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16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18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19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48300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DC9F-8CE4-42C7-93EE-7F40C7BA8F42}">
  <sheetPr codeName="Sheet19"/>
  <dimension ref="A1:Q1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98</v>
      </c>
      <c r="C2" s="132"/>
      <c r="E2" s="43" t="s">
        <v>66</v>
      </c>
      <c r="F2" s="25" t="s">
        <v>22</v>
      </c>
      <c r="G2" s="13">
        <v>127</v>
      </c>
      <c r="H2" s="106">
        <f>IF(B$51=0,0,G2/B$51)</f>
        <v>0.64467005076142136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-2959.1836734693879</v>
      </c>
      <c r="P2" s="92">
        <v>98</v>
      </c>
      <c r="Q2" s="76">
        <v>-290000</v>
      </c>
    </row>
    <row r="3" spans="1:17" x14ac:dyDescent="0.45">
      <c r="A3" s="37" t="s">
        <v>8</v>
      </c>
      <c r="B3" s="133">
        <v>808</v>
      </c>
      <c r="C3" s="134"/>
      <c r="E3" s="44" t="s">
        <v>72</v>
      </c>
      <c r="F3" s="41" t="s">
        <v>27</v>
      </c>
      <c r="G3" s="34">
        <v>119</v>
      </c>
      <c r="H3" s="107">
        <f>IF(B$51=0,0,G3/B$51)</f>
        <v>0.60406091370558379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89.69072164948453</v>
      </c>
      <c r="P3" s="93">
        <v>97</v>
      </c>
      <c r="Q3" s="77">
        <v>8700</v>
      </c>
    </row>
    <row r="4" spans="1:17" x14ac:dyDescent="0.45">
      <c r="A4" s="37" t="s">
        <v>6</v>
      </c>
      <c r="B4" s="135">
        <v>-1202.8000000000002</v>
      </c>
      <c r="C4" s="136"/>
      <c r="E4" s="44" t="s">
        <v>64</v>
      </c>
      <c r="F4" s="41" t="s">
        <v>20</v>
      </c>
      <c r="G4" s="34">
        <v>89</v>
      </c>
      <c r="H4" s="107">
        <f>IF(B$51=0,0,G4/B$51)</f>
        <v>0.45177664974619292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-1415.3846153846155</v>
      </c>
      <c r="P4" s="93">
        <v>91</v>
      </c>
      <c r="Q4" s="77">
        <v>-128800</v>
      </c>
    </row>
    <row r="5" spans="1:17" x14ac:dyDescent="0.45">
      <c r="A5" s="37" t="s">
        <v>7</v>
      </c>
      <c r="B5" s="137">
        <f>IF(B$2=0,0,B$4/B$2)</f>
        <v>-12.273469387755103</v>
      </c>
      <c r="C5" s="138"/>
      <c r="E5" s="44" t="s">
        <v>157</v>
      </c>
      <c r="F5" s="41" t="s">
        <v>158</v>
      </c>
      <c r="G5" s="34">
        <v>75</v>
      </c>
      <c r="H5" s="107">
        <f>IF(B$51=0,0,G5/B$51)</f>
        <v>0.38071065989847713</v>
      </c>
      <c r="I5" s="68">
        <v>7</v>
      </c>
      <c r="K5" s="5">
        <v>3</v>
      </c>
      <c r="L5" s="73">
        <v>-151.9</v>
      </c>
      <c r="N5" s="89" t="s">
        <v>129</v>
      </c>
      <c r="O5" s="96">
        <f t="shared" si="0"/>
        <v>-1553.0864197530864</v>
      </c>
      <c r="P5" s="93">
        <v>81</v>
      </c>
      <c r="Q5" s="77">
        <v>-125800</v>
      </c>
    </row>
    <row r="6" spans="1:17" x14ac:dyDescent="0.45">
      <c r="A6" s="37" t="s">
        <v>1</v>
      </c>
      <c r="B6" s="145">
        <f>IF(B$2=0,0,(B$7*1+B$8*2+B$9*3)/B$2)</f>
        <v>2.2857142857142856</v>
      </c>
      <c r="C6" s="146"/>
      <c r="E6" s="44" t="s">
        <v>68</v>
      </c>
      <c r="F6" s="41" t="s">
        <v>12</v>
      </c>
      <c r="G6" s="34">
        <v>58</v>
      </c>
      <c r="H6" s="107">
        <f>IF(B$51=0,0,G6/B$51)</f>
        <v>0.29441624365482233</v>
      </c>
      <c r="I6" s="68">
        <v>16</v>
      </c>
      <c r="K6" s="5">
        <v>4</v>
      </c>
      <c r="L6" s="73">
        <v>-134.1</v>
      </c>
      <c r="N6" s="89" t="s">
        <v>130</v>
      </c>
      <c r="O6" s="96">
        <f t="shared" si="0"/>
        <v>-1076</v>
      </c>
      <c r="P6" s="93">
        <v>75</v>
      </c>
      <c r="Q6" s="77">
        <v>-80700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0.14285714285714285</v>
      </c>
      <c r="E7" s="44" t="s">
        <v>67</v>
      </c>
      <c r="F7" s="41" t="s">
        <v>23</v>
      </c>
      <c r="G7" s="34">
        <v>46</v>
      </c>
      <c r="H7" s="107">
        <f>IF(B$51=0,0,G7/B$51)</f>
        <v>0.233502538071066</v>
      </c>
      <c r="I7" s="68">
        <v>15</v>
      </c>
      <c r="K7" s="5">
        <v>5</v>
      </c>
      <c r="L7" s="73">
        <v>-152</v>
      </c>
      <c r="N7" s="90" t="s">
        <v>131</v>
      </c>
      <c r="O7" s="97">
        <f t="shared" si="0"/>
        <v>-2091.5254237288136</v>
      </c>
      <c r="P7" s="94">
        <v>59</v>
      </c>
      <c r="Q7" s="78">
        <v>-123400</v>
      </c>
    </row>
    <row r="8" spans="1:17" x14ac:dyDescent="0.45">
      <c r="A8" s="37" t="s">
        <v>3</v>
      </c>
      <c r="B8" s="34">
        <v>42</v>
      </c>
      <c r="C8" s="31">
        <f t="shared" si="1"/>
        <v>0.42857142857142855</v>
      </c>
      <c r="E8" s="44" t="s">
        <v>89</v>
      </c>
      <c r="F8" s="41" t="s">
        <v>44</v>
      </c>
      <c r="G8" s="34">
        <v>29</v>
      </c>
      <c r="H8" s="107">
        <f>IF(B$51=0,0,G8/B$51)</f>
        <v>0.14720812182741116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42</v>
      </c>
      <c r="C9" s="7">
        <f t="shared" si="1"/>
        <v>0.42857142857142855</v>
      </c>
      <c r="E9" s="44" t="s">
        <v>65</v>
      </c>
      <c r="F9" s="41" t="s">
        <v>21</v>
      </c>
      <c r="G9" s="34">
        <v>20</v>
      </c>
      <c r="H9" s="107">
        <f>IF(B$51=0,0,G9/B$51)</f>
        <v>0.10152284263959391</v>
      </c>
      <c r="I9" s="68">
        <v>13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37.49285714285714</v>
      </c>
      <c r="C10" s="121">
        <v>524.9</v>
      </c>
      <c r="E10" s="44" t="s">
        <v>71</v>
      </c>
      <c r="F10" s="41" t="s">
        <v>26</v>
      </c>
      <c r="G10" s="34">
        <v>17</v>
      </c>
      <c r="H10" s="107">
        <f>IF(B$51=0,0,G10/B$51)</f>
        <v>8.6294416243654817E-2</v>
      </c>
      <c r="I10" s="68">
        <v>3</v>
      </c>
      <c r="K10" s="5">
        <v>8</v>
      </c>
      <c r="L10" s="73">
        <v>-289.8</v>
      </c>
      <c r="N10" s="88" t="s">
        <v>149</v>
      </c>
      <c r="O10" s="98">
        <f>IF(P10=0,0,Q10/P10)</f>
        <v>-19.99767441860465</v>
      </c>
      <c r="P10" s="92">
        <v>43</v>
      </c>
      <c r="Q10" s="80">
        <v>-859.9</v>
      </c>
    </row>
    <row r="11" spans="1:17" x14ac:dyDescent="0.45">
      <c r="A11" s="38" t="s">
        <v>204</v>
      </c>
      <c r="B11" s="120">
        <f>IF(B8=0,0,C11/B8)</f>
        <v>-2.211904761904762</v>
      </c>
      <c r="C11" s="121">
        <v>-92.9</v>
      </c>
      <c r="E11" s="44" t="s">
        <v>69</v>
      </c>
      <c r="F11" s="41" t="s">
        <v>24</v>
      </c>
      <c r="G11" s="34">
        <v>16</v>
      </c>
      <c r="H11" s="107">
        <f>IF(B$51=0,0,G11/B$51)</f>
        <v>8.1218274111675121E-2</v>
      </c>
      <c r="I11" s="68">
        <v>20</v>
      </c>
      <c r="K11" s="5">
        <v>9</v>
      </c>
      <c r="L11" s="73">
        <v>-292.60000000000002</v>
      </c>
      <c r="N11" s="89" t="s">
        <v>150</v>
      </c>
      <c r="O11" s="99">
        <f>IF(P11=0,0,Q11/P11)</f>
        <v>-3.276666666666666</v>
      </c>
      <c r="P11" s="93">
        <v>30</v>
      </c>
      <c r="Q11" s="81">
        <v>-98.299999999999983</v>
      </c>
    </row>
    <row r="12" spans="1:17" x14ac:dyDescent="0.45">
      <c r="A12" s="38" t="s">
        <v>205</v>
      </c>
      <c r="B12" s="120">
        <f>IF(B9=0,0,C12/B9)</f>
        <v>-38.923809523809531</v>
      </c>
      <c r="C12" s="121">
        <v>-1634.8000000000002</v>
      </c>
      <c r="E12" s="44" t="s">
        <v>70</v>
      </c>
      <c r="F12" s="41" t="s">
        <v>25</v>
      </c>
      <c r="G12" s="34">
        <v>16</v>
      </c>
      <c r="H12" s="107">
        <f>IF(B$51=0,0,G12/B$51)</f>
        <v>8.1218274111675121E-2</v>
      </c>
      <c r="I12" s="68">
        <v>13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7">
        <f>AVERAGE(B10:B12)</f>
        <v>-1.2142857142857177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6.5989847715736044E-2</v>
      </c>
      <c r="I13" s="68">
        <v>7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0.15306122448979592</v>
      </c>
      <c r="E14" s="44" t="s">
        <v>81</v>
      </c>
      <c r="F14" s="41" t="s">
        <v>36</v>
      </c>
      <c r="G14" s="34">
        <v>10</v>
      </c>
      <c r="H14" s="107">
        <f>IF(B$51=0,0,G14/B$51)</f>
        <v>5.0761421319796954E-2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170</v>
      </c>
      <c r="C15" s="11">
        <f>IF(B$50=0,0,B15/B$50)</f>
        <v>0.21039603960396039</v>
      </c>
      <c r="E15" s="44" t="s">
        <v>83</v>
      </c>
      <c r="F15" s="41" t="s">
        <v>38</v>
      </c>
      <c r="G15" s="34">
        <v>10</v>
      </c>
      <c r="H15" s="107">
        <f>IF(B$51=0,0,G15/B$51)</f>
        <v>5.0761421319796954E-2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183</v>
      </c>
      <c r="C16" s="31">
        <f>IF(B$50=0,0,B16/B$50)</f>
        <v>0.22648514851485149</v>
      </c>
      <c r="E16" s="44" t="s">
        <v>91</v>
      </c>
      <c r="F16" s="41" t="s">
        <v>46</v>
      </c>
      <c r="G16" s="34">
        <v>5</v>
      </c>
      <c r="H16" s="107">
        <f>IF(B$51=0,0,G16/B$51)</f>
        <v>2.5380710659898477E-2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93</v>
      </c>
      <c r="C17" s="4">
        <f>IF(B$15=0,0,B17/B$15)</f>
        <v>0.54705882352941182</v>
      </c>
      <c r="E17" s="44" t="s">
        <v>78</v>
      </c>
      <c r="F17" s="41" t="s">
        <v>33</v>
      </c>
      <c r="G17" s="34">
        <v>4</v>
      </c>
      <c r="H17" s="107">
        <f>IF(B$51=0,0,G17/B$51)</f>
        <v>2.030456852791878E-2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70</v>
      </c>
      <c r="C18" s="4">
        <f>IF(B$16=0,0,B18/B$16)</f>
        <v>0.38251366120218577</v>
      </c>
      <c r="E18" s="44" t="s">
        <v>73</v>
      </c>
      <c r="F18" s="41" t="s">
        <v>28</v>
      </c>
      <c r="G18" s="34">
        <v>2</v>
      </c>
      <c r="H18" s="107">
        <f>IF(B$51=0,0,G18/B$51)</f>
        <v>1.015228426395939E-2</v>
      </c>
      <c r="I18" s="68">
        <v>3</v>
      </c>
      <c r="K18" s="5">
        <v>16</v>
      </c>
      <c r="L18" s="73">
        <v>-392.1</v>
      </c>
      <c r="N18" s="89" t="s">
        <v>191</v>
      </c>
      <c r="O18" s="99">
        <f>IF(P18=0,0,Q18/P18)</f>
        <v>-16.623076923076923</v>
      </c>
      <c r="P18" s="93">
        <v>39</v>
      </c>
      <c r="Q18" s="81">
        <v>-648.29999999999995</v>
      </c>
    </row>
    <row r="19" spans="1:17" x14ac:dyDescent="0.45">
      <c r="A19" s="19" t="s">
        <v>10</v>
      </c>
      <c r="B19" s="13">
        <v>197</v>
      </c>
      <c r="C19" s="4">
        <f>IF(B$3=0,0,B19/B$3)</f>
        <v>0.24381188118811881</v>
      </c>
      <c r="E19" s="44" t="s">
        <v>74</v>
      </c>
      <c r="F19" s="41" t="s">
        <v>29</v>
      </c>
      <c r="G19" s="34">
        <v>1</v>
      </c>
      <c r="H19" s="107">
        <f>IF(B$51=0,0,G19/B$51)</f>
        <v>5.076142131979695E-3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13</v>
      </c>
      <c r="B20" s="34">
        <v>144</v>
      </c>
      <c r="C20" s="31">
        <f>IF(B$3=0,0,B20/B$3)</f>
        <v>0.17821782178217821</v>
      </c>
      <c r="E20" s="44" t="s">
        <v>77</v>
      </c>
      <c r="F20" s="41" t="s">
        <v>32</v>
      </c>
      <c r="G20" s="34">
        <v>1</v>
      </c>
      <c r="H20" s="107">
        <f>IF(B$51=0,0,G20/B$51)</f>
        <v>5.076142131979695E-3</v>
      </c>
      <c r="I20" s="68">
        <v>8</v>
      </c>
      <c r="K20" s="5">
        <v>18</v>
      </c>
      <c r="L20" s="73">
        <v>-443.20000000000005</v>
      </c>
      <c r="N20" s="89" t="s">
        <v>187</v>
      </c>
      <c r="O20" s="99">
        <f>IF(P20=0,0,Q20/P20)</f>
        <v>-18.121428571428574</v>
      </c>
      <c r="P20" s="93">
        <v>42</v>
      </c>
      <c r="Q20" s="81">
        <v>-761.1</v>
      </c>
    </row>
    <row r="21" spans="1:17" x14ac:dyDescent="0.45">
      <c r="A21" s="37" t="s">
        <v>12</v>
      </c>
      <c r="B21" s="34">
        <v>92</v>
      </c>
      <c r="C21" s="31">
        <f>IF(B$19=0,0,B21/B$19)</f>
        <v>0.46700507614213199</v>
      </c>
      <c r="E21" s="44" t="s">
        <v>79</v>
      </c>
      <c r="F21" s="41" t="s">
        <v>34</v>
      </c>
      <c r="G21" s="34">
        <v>1</v>
      </c>
      <c r="H21" s="107">
        <f>IF(B$51=0,0,G21/B$51)</f>
        <v>5.076142131979695E-3</v>
      </c>
      <c r="I21" s="68">
        <v>15</v>
      </c>
      <c r="K21" s="5">
        <v>19</v>
      </c>
      <c r="L21" s="73">
        <v>-443.70000000000005</v>
      </c>
      <c r="N21" s="89" t="s">
        <v>190</v>
      </c>
      <c r="O21" s="99">
        <f>IF(P21=0,0,Q21/P21)</f>
        <v>-20.2</v>
      </c>
      <c r="P21" s="93">
        <v>9</v>
      </c>
      <c r="Q21" s="81">
        <v>-181.79999999999998</v>
      </c>
    </row>
    <row r="22" spans="1:17" x14ac:dyDescent="0.45">
      <c r="A22" s="37" t="s">
        <v>11</v>
      </c>
      <c r="B22" s="34">
        <v>105</v>
      </c>
      <c r="C22" s="31">
        <f>IF(B$19=0,0,B22/B$19)</f>
        <v>0.53299492385786806</v>
      </c>
      <c r="E22" s="44" t="s">
        <v>92</v>
      </c>
      <c r="F22" s="41" t="s">
        <v>47</v>
      </c>
      <c r="G22" s="34">
        <v>1</v>
      </c>
      <c r="H22" s="107">
        <f>IF(B$51=0,0,G22/B$51)</f>
        <v>5.076142131979695E-3</v>
      </c>
      <c r="I22" s="68">
        <v>7</v>
      </c>
      <c r="K22" s="5">
        <v>20</v>
      </c>
      <c r="L22" s="73">
        <v>-467.6</v>
      </c>
      <c r="N22" s="89" t="s">
        <v>193</v>
      </c>
      <c r="O22" s="99">
        <f>IF(P22=0,0,Q22/P22)</f>
        <v>-20.954166666666666</v>
      </c>
      <c r="P22" s="93">
        <v>24</v>
      </c>
      <c r="Q22" s="81">
        <v>-502.9</v>
      </c>
    </row>
    <row r="23" spans="1:17" x14ac:dyDescent="0.45">
      <c r="A23" s="37" t="s">
        <v>180</v>
      </c>
      <c r="B23" s="34">
        <v>93</v>
      </c>
      <c r="C23" s="31">
        <f>IF(B$19=0,0,B23/B$19)</f>
        <v>0.4720812182741117</v>
      </c>
      <c r="E23" s="44" t="s">
        <v>95</v>
      </c>
      <c r="F23" s="41" t="s">
        <v>50</v>
      </c>
      <c r="G23" s="34">
        <v>1</v>
      </c>
      <c r="H23" s="107">
        <f>IF(B$51=0,0,G23/B$51)</f>
        <v>5.076142131979695E-3</v>
      </c>
      <c r="I23" s="68">
        <v>1</v>
      </c>
      <c r="K23" s="5">
        <v>21</v>
      </c>
      <c r="L23" s="73">
        <v>-469.5</v>
      </c>
      <c r="N23" s="89" t="s">
        <v>195</v>
      </c>
      <c r="O23" s="99">
        <f>IF(P23=0,0,Q23/P23)</f>
        <v>-30.474193548387113</v>
      </c>
      <c r="P23" s="93">
        <v>31</v>
      </c>
      <c r="Q23" s="81">
        <v>-944.7000000000005</v>
      </c>
    </row>
    <row r="24" spans="1:17" x14ac:dyDescent="0.45">
      <c r="A24" s="37" t="s">
        <v>178</v>
      </c>
      <c r="B24" s="34">
        <v>70</v>
      </c>
      <c r="C24" s="31">
        <f>IF(B$19=0,0,B24/B$19)</f>
        <v>0.35532994923857869</v>
      </c>
      <c r="E24" s="44" t="s">
        <v>153</v>
      </c>
      <c r="F24" s="41" t="s">
        <v>154</v>
      </c>
      <c r="G24" s="34">
        <v>1</v>
      </c>
      <c r="H24" s="107">
        <f>IF(B$51=0,0,G24/B$51)</f>
        <v>5.076142131979695E-3</v>
      </c>
      <c r="I24" s="68">
        <v>9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34</v>
      </c>
      <c r="C25" s="31">
        <f>IF(B$19=0,0,B25/B$19)</f>
        <v>0.17258883248730963</v>
      </c>
      <c r="E25" s="44" t="s">
        <v>75</v>
      </c>
      <c r="F25" s="41" t="s">
        <v>30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8207.1065989847721</v>
      </c>
      <c r="C26" s="8">
        <v>1616800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8842.5196850393695</v>
      </c>
      <c r="C27" s="115">
        <v>1123000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7054.2857142857147</v>
      </c>
      <c r="C28" s="115">
        <v>493800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-8110.416666666667</v>
      </c>
      <c r="C29" s="115">
        <v>-1167900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29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43">
        <v>6</v>
      </c>
      <c r="C32" s="14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41">
        <v>89000</v>
      </c>
      <c r="C33" s="14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4.9504950495049506E-3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5">
        <v>17</v>
      </c>
      <c r="C36" s="119">
        <f>IF(B$19=0,0,B36/B$19)</f>
        <v>8.6294416243654817E-2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35</v>
      </c>
      <c r="C37" s="31">
        <f t="shared" ref="C37:C48" si="2">IF(B$19=0,0,B37/B$19)</f>
        <v>0.17766497461928935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8">
        <v>42</v>
      </c>
      <c r="C38" s="31">
        <f>IF(B$19=0,0,B38/B$19)</f>
        <v>0.21319796954314721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8">
        <v>36</v>
      </c>
      <c r="C39" s="31">
        <f t="shared" si="2"/>
        <v>0.18274111675126903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8">
        <v>27</v>
      </c>
      <c r="C40" s="31">
        <f t="shared" si="2"/>
        <v>0.13705583756345177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8">
        <v>17</v>
      </c>
      <c r="C41" s="31">
        <f t="shared" si="2"/>
        <v>8.6294416243654817E-2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8">
        <v>10</v>
      </c>
      <c r="C42" s="31">
        <f t="shared" si="2"/>
        <v>5.0761421319796954E-2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8">
        <v>7</v>
      </c>
      <c r="C43" s="31">
        <f t="shared" si="2"/>
        <v>3.553299492385787E-2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8">
        <v>1</v>
      </c>
      <c r="C44" s="31">
        <f t="shared" si="2"/>
        <v>5.076142131979695E-3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8">
        <v>1</v>
      </c>
      <c r="C45" s="31">
        <f t="shared" si="2"/>
        <v>5.076142131979695E-3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8">
        <v>2</v>
      </c>
      <c r="C46" s="31">
        <f t="shared" si="2"/>
        <v>1.015228426395939E-2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4">
        <v>2</v>
      </c>
      <c r="C48" s="32">
        <f t="shared" si="2"/>
        <v>1.015228426395939E-2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808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39">
        <v>197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  <row r="96" spans="11:12" x14ac:dyDescent="0.45">
      <c r="K96" s="5">
        <v>94</v>
      </c>
      <c r="L96" s="73">
        <v>-1287.2</v>
      </c>
    </row>
    <row r="97" spans="11:12" x14ac:dyDescent="0.45">
      <c r="K97" s="5">
        <v>95</v>
      </c>
      <c r="L97" s="73">
        <v>-1245.9000000000001</v>
      </c>
    </row>
    <row r="98" spans="11:12" x14ac:dyDescent="0.45">
      <c r="K98" s="5">
        <v>96</v>
      </c>
      <c r="L98" s="73">
        <v>-1181.9000000000001</v>
      </c>
    </row>
    <row r="99" spans="11:12" x14ac:dyDescent="0.45">
      <c r="K99" s="5">
        <v>97</v>
      </c>
      <c r="L99" s="73">
        <v>-1167.8000000000002</v>
      </c>
    </row>
    <row r="100" spans="11:12" x14ac:dyDescent="0.45">
      <c r="K100" s="5">
        <v>98</v>
      </c>
      <c r="L100" s="73">
        <v>-1202.8000000000002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F597-1759-411E-986C-FCE0651CB031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3">
        <v>32</v>
      </c>
      <c r="C3" s="13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20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5">
        <v>-56.2</v>
      </c>
      <c r="C4" s="13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19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17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5">
        <f>IF(B$2=0,0,(B$7*1+B$8*2+B$9*3)/B$2)</f>
        <v>2.25</v>
      </c>
      <c r="C6" s="14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14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21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21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17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11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16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2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55200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10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9310-5A54-4B99-8BEA-B5EE00398216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3">
        <v>78</v>
      </c>
      <c r="C3" s="13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5">
        <v>9.2999999999999972</v>
      </c>
      <c r="C4" s="13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12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3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20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2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16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70900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82BF-7284-4997-93FC-2708F9C412A5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3">
        <v>40</v>
      </c>
      <c r="C3" s="13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5">
        <v>-80.800000000000011</v>
      </c>
      <c r="C4" s="13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19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2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8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20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16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52000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4D12-801E-4193-ADB4-ECF42A28E032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5</v>
      </c>
      <c r="H2" s="106">
        <f>IF(B$51=0,0,G2/B$51)</f>
        <v>0.7142857142857143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-7160</v>
      </c>
      <c r="P2" s="92">
        <v>5</v>
      </c>
      <c r="Q2" s="76">
        <v>-35800</v>
      </c>
    </row>
    <row r="3" spans="1:17" x14ac:dyDescent="0.45">
      <c r="A3" s="37" t="s">
        <v>8</v>
      </c>
      <c r="B3" s="133">
        <v>41</v>
      </c>
      <c r="C3" s="134"/>
      <c r="E3" s="44" t="s">
        <v>68</v>
      </c>
      <c r="F3" s="41" t="s">
        <v>12</v>
      </c>
      <c r="G3" s="34">
        <v>3</v>
      </c>
      <c r="H3" s="107">
        <f>IF(B$51=0,0,G3/B$51)</f>
        <v>0.42857142857142855</v>
      </c>
      <c r="I3" s="68">
        <v>3</v>
      </c>
      <c r="K3" s="5">
        <v>1</v>
      </c>
      <c r="L3" s="73">
        <v>10.199999999999999</v>
      </c>
      <c r="N3" s="89" t="s">
        <v>127</v>
      </c>
      <c r="O3" s="96">
        <f t="shared" si="0"/>
        <v>-3700</v>
      </c>
      <c r="P3" s="93">
        <v>5</v>
      </c>
      <c r="Q3" s="77">
        <v>-18500</v>
      </c>
    </row>
    <row r="4" spans="1:17" x14ac:dyDescent="0.45">
      <c r="A4" s="37" t="s">
        <v>6</v>
      </c>
      <c r="B4" s="135">
        <v>-113.70000000000002</v>
      </c>
      <c r="C4" s="136"/>
      <c r="E4" s="44" t="s">
        <v>72</v>
      </c>
      <c r="F4" s="41" t="s">
        <v>27</v>
      </c>
      <c r="G4" s="34">
        <v>3</v>
      </c>
      <c r="H4" s="107">
        <f>IF(B$51=0,0,G4/B$51)</f>
        <v>0.42857142857142855</v>
      </c>
      <c r="I4" s="68">
        <v>17</v>
      </c>
      <c r="K4" s="5">
        <v>2</v>
      </c>
      <c r="L4" s="73">
        <v>-29.900000000000002</v>
      </c>
      <c r="N4" s="89" t="s">
        <v>128</v>
      </c>
      <c r="O4" s="96">
        <f t="shared" si="0"/>
        <v>4475</v>
      </c>
      <c r="P4" s="93">
        <v>4</v>
      </c>
      <c r="Q4" s="77">
        <v>17900</v>
      </c>
    </row>
    <row r="5" spans="1:17" x14ac:dyDescent="0.45">
      <c r="A5" s="37" t="s">
        <v>7</v>
      </c>
      <c r="B5" s="137">
        <f>IF(B$2=0,0,B$4/B$2)</f>
        <v>-22.740000000000002</v>
      </c>
      <c r="C5" s="138"/>
      <c r="E5" s="44" t="s">
        <v>157</v>
      </c>
      <c r="F5" s="41" t="s">
        <v>158</v>
      </c>
      <c r="G5" s="34">
        <v>3</v>
      </c>
      <c r="H5" s="107">
        <f>IF(B$51=0,0,G5/B$51)</f>
        <v>0.42857142857142855</v>
      </c>
      <c r="I5" s="68">
        <v>4</v>
      </c>
      <c r="K5" s="5">
        <v>3</v>
      </c>
      <c r="L5" s="73">
        <v>-37.1</v>
      </c>
      <c r="N5" s="89" t="s">
        <v>129</v>
      </c>
      <c r="O5" s="96">
        <f t="shared" si="0"/>
        <v>-10500</v>
      </c>
      <c r="P5" s="93">
        <v>3</v>
      </c>
      <c r="Q5" s="77">
        <v>-31500</v>
      </c>
    </row>
    <row r="6" spans="1:17" x14ac:dyDescent="0.45">
      <c r="A6" s="37" t="s">
        <v>1</v>
      </c>
      <c r="B6" s="145">
        <f>IF(B$2=0,0,(B$7*1+B$8*2+B$9*3)/B$2)</f>
        <v>2.4</v>
      </c>
      <c r="C6" s="146"/>
      <c r="E6" s="44" t="s">
        <v>65</v>
      </c>
      <c r="F6" s="41" t="s">
        <v>21</v>
      </c>
      <c r="G6" s="34">
        <v>2</v>
      </c>
      <c r="H6" s="107">
        <f>IF(B$51=0,0,G6/B$51)</f>
        <v>0.2857142857142857</v>
      </c>
      <c r="I6" s="68">
        <v>2</v>
      </c>
      <c r="K6" s="5">
        <v>4</v>
      </c>
      <c r="L6" s="73">
        <v>-85.800000000000011</v>
      </c>
      <c r="N6" s="89" t="s">
        <v>130</v>
      </c>
      <c r="O6" s="96">
        <f t="shared" si="0"/>
        <v>-400</v>
      </c>
      <c r="P6" s="93">
        <v>2</v>
      </c>
      <c r="Q6" s="77">
        <v>-800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66</v>
      </c>
      <c r="F7" s="41" t="s">
        <v>22</v>
      </c>
      <c r="G7" s="34">
        <v>2</v>
      </c>
      <c r="H7" s="107">
        <f>IF(B$51=0,0,G7/B$51)</f>
        <v>0.2857142857142857</v>
      </c>
      <c r="I7" s="68">
        <v>18</v>
      </c>
      <c r="K7" s="5">
        <v>5</v>
      </c>
      <c r="L7" s="73">
        <v>-113.70000000000002</v>
      </c>
      <c r="N7" s="90" t="s">
        <v>131</v>
      </c>
      <c r="O7" s="97">
        <f t="shared" si="0"/>
        <v>-11000</v>
      </c>
      <c r="P7" s="94">
        <v>2</v>
      </c>
      <c r="Q7" s="78">
        <v>-22000</v>
      </c>
    </row>
    <row r="8" spans="1:17" x14ac:dyDescent="0.45">
      <c r="A8" s="37" t="s">
        <v>3</v>
      </c>
      <c r="B8" s="34">
        <v>3</v>
      </c>
      <c r="C8" s="31">
        <f t="shared" si="1"/>
        <v>0.6</v>
      </c>
      <c r="E8" s="44" t="s">
        <v>67</v>
      </c>
      <c r="F8" s="41" t="s">
        <v>23</v>
      </c>
      <c r="G8" s="34">
        <v>1</v>
      </c>
      <c r="H8" s="107">
        <f>IF(B$51=0,0,G8/B$51)</f>
        <v>0.14285714285714285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0.14285714285714285</v>
      </c>
      <c r="I9" s="68">
        <v>11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1</v>
      </c>
      <c r="H10" s="107">
        <f>IF(B$51=0,0,G10/B$51)</f>
        <v>0.14285714285714285</v>
      </c>
      <c r="I10" s="68">
        <v>3</v>
      </c>
      <c r="N10" s="88" t="s">
        <v>149</v>
      </c>
      <c r="O10" s="98">
        <f>IF(P10=0,0,Q10/P10)</f>
        <v>-40.1</v>
      </c>
      <c r="P10" s="92">
        <v>1</v>
      </c>
      <c r="Q10" s="80">
        <v>-40.1</v>
      </c>
    </row>
    <row r="11" spans="1:17" x14ac:dyDescent="0.45">
      <c r="A11" s="38" t="s">
        <v>204</v>
      </c>
      <c r="B11" s="120">
        <f>IF(B8=0,0,C11/B8)</f>
        <v>-8.2999999999999989</v>
      </c>
      <c r="C11" s="121">
        <v>-24.9</v>
      </c>
      <c r="E11" s="44" t="s">
        <v>79</v>
      </c>
      <c r="F11" s="41" t="s">
        <v>34</v>
      </c>
      <c r="G11" s="34">
        <v>1</v>
      </c>
      <c r="H11" s="107">
        <f>IF(B$51=0,0,G11/B$51)</f>
        <v>0.14285714285714285</v>
      </c>
      <c r="I11" s="68">
        <v>2</v>
      </c>
      <c r="N11" s="89" t="s">
        <v>150</v>
      </c>
      <c r="O11" s="99">
        <f>IF(P11=0,0,Q11/P11)</f>
        <v>-7.2</v>
      </c>
      <c r="P11" s="93">
        <v>1</v>
      </c>
      <c r="Q11" s="81">
        <v>-7.2</v>
      </c>
    </row>
    <row r="12" spans="1:17" x14ac:dyDescent="0.45">
      <c r="A12" s="38" t="s">
        <v>205</v>
      </c>
      <c r="B12" s="120">
        <f>IF(B9=0,0,C12/B9)</f>
        <v>-44.400000000000006</v>
      </c>
      <c r="C12" s="121">
        <v>-88.800000000000011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17</v>
      </c>
      <c r="N12" s="90" t="s">
        <v>151</v>
      </c>
      <c r="O12" s="100">
        <f>IF(P12=0,0,Q12/P12)</f>
        <v>-22.133333333333336</v>
      </c>
      <c r="P12" s="94">
        <v>3</v>
      </c>
      <c r="Q12" s="82">
        <v>-66.400000000000006</v>
      </c>
    </row>
    <row r="13" spans="1:17" x14ac:dyDescent="0.45">
      <c r="A13" s="38" t="s">
        <v>206</v>
      </c>
      <c r="B13" s="137">
        <f>AVERAGE(B10:B12)</f>
        <v>-17.566666666666666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11</v>
      </c>
      <c r="C15" s="11">
        <f>IF(B$50=0,0,B15/B$50)</f>
        <v>0.26829268292682928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193</v>
      </c>
      <c r="O15" s="98">
        <f>IF(P15=0,0,Q15/P15)</f>
        <v>4.8999999999999995</v>
      </c>
      <c r="P15" s="92">
        <v>2</v>
      </c>
      <c r="Q15" s="80">
        <v>9.7999999999999989</v>
      </c>
    </row>
    <row r="16" spans="1:17" x14ac:dyDescent="0.45">
      <c r="A16" s="37" t="s">
        <v>118</v>
      </c>
      <c r="B16" s="34">
        <v>5</v>
      </c>
      <c r="C16" s="31">
        <f>IF(B$50=0,0,B16/B$50)</f>
        <v>0.12195121951219512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190</v>
      </c>
      <c r="O16" s="99">
        <f>IF(P16=0,0,Q16/P16)</f>
        <v>-12.500000000000002</v>
      </c>
      <c r="P16" s="93">
        <v>2</v>
      </c>
      <c r="Q16" s="81">
        <v>-25.000000000000004</v>
      </c>
    </row>
    <row r="17" spans="1:17" x14ac:dyDescent="0.45">
      <c r="A17" s="19" t="s">
        <v>123</v>
      </c>
      <c r="B17" s="13">
        <v>5</v>
      </c>
      <c r="C17" s="4">
        <f>IF(B$15=0,0,B17/B$15)</f>
        <v>0.45454545454545453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195</v>
      </c>
      <c r="O17" s="99">
        <f>IF(P17=0,0,Q17/P17)</f>
        <v>-43.120000000000005</v>
      </c>
      <c r="P17" s="93">
        <v>5</v>
      </c>
      <c r="Q17" s="81">
        <v>-215.60000000000002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187</v>
      </c>
      <c r="O18" s="99">
        <f>IF(P18=0,0,Q18/P18)</f>
        <v>-110.30000000000001</v>
      </c>
      <c r="P18" s="93">
        <v>1</v>
      </c>
      <c r="Q18" s="81">
        <v>-110.30000000000001</v>
      </c>
    </row>
    <row r="19" spans="1:17" x14ac:dyDescent="0.45">
      <c r="A19" s="19" t="s">
        <v>10</v>
      </c>
      <c r="B19" s="13">
        <v>7</v>
      </c>
      <c r="C19" s="4">
        <f>IF(B$3=0,0,B19/B$3)</f>
        <v>0.17073170731707318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</row>
    <row r="20" spans="1:17" x14ac:dyDescent="0.45">
      <c r="A20" s="37" t="s">
        <v>13</v>
      </c>
      <c r="B20" s="34">
        <v>6</v>
      </c>
      <c r="C20" s="31">
        <f>IF(B$3=0,0,B20/B$3)</f>
        <v>0.14634146341463414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0.42857142857142855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4</v>
      </c>
      <c r="C22" s="31">
        <f>IF(B$19=0,0,B22/B$19)</f>
        <v>0.5714285714285714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5</v>
      </c>
      <c r="C23" s="31">
        <f>IF(B$19=0,0,B23/B$19)</f>
        <v>0.7142857142857143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0.14285714285714285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1</v>
      </c>
      <c r="C25" s="31">
        <f>IF(B$19=0,0,B25/B$19)</f>
        <v>0.14285714285714285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18</v>
      </c>
    </row>
    <row r="26" spans="1:17" x14ac:dyDescent="0.45">
      <c r="A26" s="37" t="s">
        <v>5</v>
      </c>
      <c r="B26" s="17">
        <f>IF(B$19=0,0,C26/B$19)</f>
        <v>7142.8571428571431</v>
      </c>
      <c r="C26" s="8">
        <v>50000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6400</v>
      </c>
      <c r="C27" s="115">
        <v>38400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17" x14ac:dyDescent="0.45">
      <c r="A28" s="38" t="s">
        <v>163</v>
      </c>
      <c r="B28" s="114">
        <f>IF(B$18=0,0,C28/B$18)</f>
        <v>11600</v>
      </c>
      <c r="C28" s="115">
        <v>11600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19</v>
      </c>
    </row>
    <row r="29" spans="1:17" x14ac:dyDescent="0.45">
      <c r="A29" s="38" t="s">
        <v>161</v>
      </c>
      <c r="B29" s="114">
        <f>IF(B$20=0,0,C29/B$20)</f>
        <v>-8866.6666666666661</v>
      </c>
      <c r="C29" s="115">
        <v>-53200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2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2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45200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2</v>
      </c>
      <c r="C37" s="31">
        <f t="shared" ref="C37:C48" si="2">IF(B$19=0,0,B37/B$19)</f>
        <v>0.2857142857142857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</v>
      </c>
      <c r="C38" s="31">
        <f>IF(B$19=0,0,B38/B$19)</f>
        <v>0.14285714285714285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4</v>
      </c>
      <c r="C39" s="31">
        <f t="shared" si="2"/>
        <v>0.5714285714285714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41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7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D80D-174C-43C9-9C13-8A4F1EEA0869}">
  <sheetPr codeName="Sheet2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5</v>
      </c>
      <c r="H2" s="106">
        <f>IF(B$51=0,0,G2/B$51)</f>
        <v>0.7142857142857143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-4460</v>
      </c>
      <c r="P2" s="92">
        <v>5</v>
      </c>
      <c r="Q2" s="76">
        <v>-22300</v>
      </c>
    </row>
    <row r="3" spans="1:17" x14ac:dyDescent="0.45">
      <c r="A3" s="37" t="s">
        <v>8</v>
      </c>
      <c r="B3" s="133">
        <v>46</v>
      </c>
      <c r="C3" s="134"/>
      <c r="E3" s="44" t="s">
        <v>68</v>
      </c>
      <c r="F3" s="41" t="s">
        <v>12</v>
      </c>
      <c r="G3" s="34">
        <v>5</v>
      </c>
      <c r="H3" s="107">
        <f>IF(B$51=0,0,G3/B$51)</f>
        <v>0.7142857142857143</v>
      </c>
      <c r="I3" s="68">
        <v>1</v>
      </c>
      <c r="K3" s="5">
        <v>1</v>
      </c>
      <c r="L3" s="73">
        <v>-18.399999999999999</v>
      </c>
      <c r="N3" s="89" t="s">
        <v>127</v>
      </c>
      <c r="O3" s="96">
        <f t="shared" si="0"/>
        <v>-1620</v>
      </c>
      <c r="P3" s="93">
        <v>5</v>
      </c>
      <c r="Q3" s="77">
        <v>-8100</v>
      </c>
    </row>
    <row r="4" spans="1:17" x14ac:dyDescent="0.45">
      <c r="A4" s="37" t="s">
        <v>6</v>
      </c>
      <c r="B4" s="135">
        <v>-70.399999999999991</v>
      </c>
      <c r="C4" s="136"/>
      <c r="E4" s="44" t="s">
        <v>67</v>
      </c>
      <c r="F4" s="41" t="s">
        <v>23</v>
      </c>
      <c r="G4" s="34">
        <v>3</v>
      </c>
      <c r="H4" s="107">
        <f>IF(B$51=0,0,G4/B$51)</f>
        <v>0.42857142857142855</v>
      </c>
      <c r="I4" s="68">
        <v>4</v>
      </c>
      <c r="K4" s="5">
        <v>2</v>
      </c>
      <c r="L4" s="73">
        <v>-3.7999999999999989</v>
      </c>
      <c r="N4" s="89" t="s">
        <v>128</v>
      </c>
      <c r="O4" s="96">
        <f t="shared" si="0"/>
        <v>2620</v>
      </c>
      <c r="P4" s="93">
        <v>5</v>
      </c>
      <c r="Q4" s="77">
        <v>13100</v>
      </c>
    </row>
    <row r="5" spans="1:17" x14ac:dyDescent="0.45">
      <c r="A5" s="37" t="s">
        <v>7</v>
      </c>
      <c r="B5" s="137">
        <f>IF(B$2=0,0,B$4/B$2)</f>
        <v>-14.079999999999998</v>
      </c>
      <c r="C5" s="138"/>
      <c r="E5" s="44" t="s">
        <v>72</v>
      </c>
      <c r="F5" s="41" t="s">
        <v>27</v>
      </c>
      <c r="G5" s="34">
        <v>3</v>
      </c>
      <c r="H5" s="107">
        <f>IF(B$51=0,0,G5/B$51)</f>
        <v>0.42857142857142855</v>
      </c>
      <c r="I5" s="68">
        <v>17</v>
      </c>
      <c r="K5" s="5">
        <v>3</v>
      </c>
      <c r="L5" s="73">
        <v>-10.099999999999998</v>
      </c>
      <c r="N5" s="89" t="s">
        <v>129</v>
      </c>
      <c r="O5" s="96">
        <f t="shared" si="0"/>
        <v>-3880</v>
      </c>
      <c r="P5" s="93">
        <v>5</v>
      </c>
      <c r="Q5" s="77">
        <v>-19400</v>
      </c>
    </row>
    <row r="6" spans="1:17" x14ac:dyDescent="0.45">
      <c r="A6" s="37" t="s">
        <v>1</v>
      </c>
      <c r="B6" s="145">
        <f>IF(B$2=0,0,(B$7*1+B$8*2+B$9*3)/B$2)</f>
        <v>2.4</v>
      </c>
      <c r="C6" s="146"/>
      <c r="E6" s="44" t="s">
        <v>157</v>
      </c>
      <c r="F6" s="41" t="s">
        <v>158</v>
      </c>
      <c r="G6" s="34">
        <v>3</v>
      </c>
      <c r="H6" s="107">
        <f>IF(B$51=0,0,G6/B$51)</f>
        <v>0.42857142857142855</v>
      </c>
      <c r="I6" s="68">
        <v>4</v>
      </c>
      <c r="K6" s="5">
        <v>4</v>
      </c>
      <c r="L6" s="73">
        <v>-51.399999999999991</v>
      </c>
      <c r="N6" s="89" t="s">
        <v>130</v>
      </c>
      <c r="O6" s="96">
        <f t="shared" si="0"/>
        <v>-7200</v>
      </c>
      <c r="P6" s="93">
        <v>5</v>
      </c>
      <c r="Q6" s="77">
        <v>-36000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0.2857142857142857</v>
      </c>
      <c r="I7" s="68">
        <v>1</v>
      </c>
      <c r="K7" s="5">
        <v>5</v>
      </c>
      <c r="L7" s="73">
        <v>-70.399999999999991</v>
      </c>
      <c r="N7" s="90" t="s">
        <v>131</v>
      </c>
      <c r="O7" s="97">
        <f t="shared" si="0"/>
        <v>4460</v>
      </c>
      <c r="P7" s="94">
        <v>5</v>
      </c>
      <c r="Q7" s="78">
        <v>22300</v>
      </c>
    </row>
    <row r="8" spans="1:17" x14ac:dyDescent="0.45">
      <c r="A8" s="37" t="s">
        <v>3</v>
      </c>
      <c r="B8" s="34">
        <v>1</v>
      </c>
      <c r="C8" s="31">
        <f t="shared" si="1"/>
        <v>0.2</v>
      </c>
      <c r="E8" s="44" t="s">
        <v>65</v>
      </c>
      <c r="F8" s="41" t="s">
        <v>21</v>
      </c>
      <c r="G8" s="34">
        <v>1</v>
      </c>
      <c r="H8" s="107">
        <f>IF(B$51=0,0,G8/B$51)</f>
        <v>0.14285714285714285</v>
      </c>
      <c r="I8" s="68">
        <v>5</v>
      </c>
      <c r="N8" s="33"/>
      <c r="O8" s="101"/>
      <c r="P8" s="85"/>
      <c r="Q8" s="83"/>
    </row>
    <row r="9" spans="1:17" x14ac:dyDescent="0.45">
      <c r="A9" s="38" t="s">
        <v>4</v>
      </c>
      <c r="B9" s="35">
        <v>3</v>
      </c>
      <c r="C9" s="7">
        <f t="shared" si="1"/>
        <v>0.6</v>
      </c>
      <c r="E9" s="44" t="s">
        <v>66</v>
      </c>
      <c r="F9" s="41" t="s">
        <v>22</v>
      </c>
      <c r="G9" s="34">
        <v>1</v>
      </c>
      <c r="H9" s="107">
        <f>IF(B$51=0,0,G9/B$51)</f>
        <v>0.14285714285714285</v>
      </c>
      <c r="I9" s="68">
        <v>20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14.6</v>
      </c>
      <c r="C10" s="121">
        <v>14.6</v>
      </c>
      <c r="E10" s="44" t="s">
        <v>70</v>
      </c>
      <c r="F10" s="41" t="s">
        <v>25</v>
      </c>
      <c r="G10" s="34">
        <v>1</v>
      </c>
      <c r="H10" s="107">
        <f>IF(B$51=0,0,G10/B$51)</f>
        <v>0.14285714285714285</v>
      </c>
      <c r="I10" s="68">
        <v>3</v>
      </c>
      <c r="N10" s="88" t="s">
        <v>149</v>
      </c>
      <c r="O10" s="98">
        <f>IF(P10=0,0,Q10/P10)</f>
        <v>-13.349999999999998</v>
      </c>
      <c r="P10" s="92">
        <v>2</v>
      </c>
      <c r="Q10" s="80">
        <v>-26.699999999999996</v>
      </c>
    </row>
    <row r="11" spans="1:17" x14ac:dyDescent="0.45">
      <c r="A11" s="38" t="s">
        <v>204</v>
      </c>
      <c r="B11" s="120">
        <f>IF(B8=0,0,C11/B8)</f>
        <v>-6.3</v>
      </c>
      <c r="C11" s="121">
        <v>-6.3</v>
      </c>
      <c r="E11" s="44" t="s">
        <v>71</v>
      </c>
      <c r="F11" s="41" t="s">
        <v>26</v>
      </c>
      <c r="G11" s="34">
        <v>1</v>
      </c>
      <c r="H11" s="107">
        <f>IF(B$51=0,0,G11/B$51)</f>
        <v>0.14285714285714285</v>
      </c>
      <c r="I11" s="68">
        <v>1</v>
      </c>
      <c r="N11" s="89" t="s">
        <v>150</v>
      </c>
      <c r="O11" s="99">
        <f>IF(P11=0,0,Q11/P11)</f>
        <v>-6.3</v>
      </c>
      <c r="P11" s="93">
        <v>1</v>
      </c>
      <c r="Q11" s="81">
        <v>-6.3</v>
      </c>
    </row>
    <row r="12" spans="1:17" x14ac:dyDescent="0.45">
      <c r="A12" s="38" t="s">
        <v>205</v>
      </c>
      <c r="B12" s="120">
        <f>IF(B9=0,0,C12/B9)</f>
        <v>-26.233333333333331</v>
      </c>
      <c r="C12" s="121">
        <v>-78.699999999999989</v>
      </c>
      <c r="E12" s="44" t="s">
        <v>86</v>
      </c>
      <c r="F12" s="41" t="s">
        <v>41</v>
      </c>
      <c r="G12" s="34">
        <v>1</v>
      </c>
      <c r="H12" s="107">
        <f>IF(B$51=0,0,G12/B$51)</f>
        <v>0.14285714285714285</v>
      </c>
      <c r="I12" s="68">
        <v>2</v>
      </c>
      <c r="N12" s="90" t="s">
        <v>151</v>
      </c>
      <c r="O12" s="100">
        <f>IF(P12=0,0,Q12/P12)</f>
        <v>-18.7</v>
      </c>
      <c r="P12" s="94">
        <v>2</v>
      </c>
      <c r="Q12" s="82">
        <v>-37.4</v>
      </c>
    </row>
    <row r="13" spans="1:17" x14ac:dyDescent="0.45">
      <c r="A13" s="38" t="s">
        <v>206</v>
      </c>
      <c r="B13" s="137">
        <f>AVERAGE(B10:B12)</f>
        <v>-5.977777777777777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0.14285714285714285</v>
      </c>
      <c r="I13" s="68">
        <v>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73</v>
      </c>
      <c r="F14" s="41" t="s">
        <v>28</v>
      </c>
      <c r="G14" s="34">
        <v>0</v>
      </c>
      <c r="H14" s="107">
        <f>IF(B$51=0,0,G14/B$51)</f>
        <v>0</v>
      </c>
      <c r="I14" s="68">
        <v>12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</v>
      </c>
      <c r="C15" s="11">
        <f>IF(B$50=0,0,B15/B$50)</f>
        <v>0.21739130434782608</v>
      </c>
      <c r="E15" s="44" t="s">
        <v>74</v>
      </c>
      <c r="F15" s="41" t="s">
        <v>29</v>
      </c>
      <c r="G15" s="34">
        <v>0</v>
      </c>
      <c r="H15" s="107">
        <f>IF(B$51=0,0,G15/B$51)</f>
        <v>0</v>
      </c>
      <c r="I15" s="68">
        <v>10</v>
      </c>
      <c r="N15" s="88" t="s">
        <v>191</v>
      </c>
      <c r="O15" s="98">
        <f>IF(P15=0,0,Q15/P15)</f>
        <v>-15.024999999999999</v>
      </c>
      <c r="P15" s="92">
        <v>4</v>
      </c>
      <c r="Q15" s="80">
        <v>-60.099999999999994</v>
      </c>
    </row>
    <row r="16" spans="1:17" x14ac:dyDescent="0.45">
      <c r="A16" s="37" t="s">
        <v>118</v>
      </c>
      <c r="B16" s="34">
        <v>5</v>
      </c>
      <c r="C16" s="31">
        <f>IF(B$50=0,0,B16/B$50)</f>
        <v>0.10869565217391304</v>
      </c>
      <c r="E16" s="44" t="s">
        <v>75</v>
      </c>
      <c r="F16" s="41" t="s">
        <v>30</v>
      </c>
      <c r="G16" s="34">
        <v>0</v>
      </c>
      <c r="H16" s="107">
        <f>IF(B$51=0,0,G16/B$51)</f>
        <v>0</v>
      </c>
      <c r="I16" s="68">
        <v>11</v>
      </c>
      <c r="N16" s="89" t="s">
        <v>188</v>
      </c>
      <c r="O16" s="99">
        <f>IF(P16=0,0,Q16/P16)</f>
        <v>-17.033333333333331</v>
      </c>
      <c r="P16" s="93">
        <v>3</v>
      </c>
      <c r="Q16" s="81">
        <v>-51.099999999999994</v>
      </c>
    </row>
    <row r="17" spans="1:17" x14ac:dyDescent="0.45">
      <c r="A17" s="19" t="s">
        <v>123</v>
      </c>
      <c r="B17" s="13">
        <v>5</v>
      </c>
      <c r="C17" s="4">
        <f>IF(B$15=0,0,B17/B$15)</f>
        <v>0.5</v>
      </c>
      <c r="E17" s="44" t="s">
        <v>76</v>
      </c>
      <c r="F17" s="41" t="s">
        <v>31</v>
      </c>
      <c r="G17" s="34">
        <v>0</v>
      </c>
      <c r="H17" s="107">
        <f>IF(B$51=0,0,G17/B$51)</f>
        <v>0</v>
      </c>
      <c r="I17" s="68">
        <v>3</v>
      </c>
      <c r="N17" s="89" t="s">
        <v>195</v>
      </c>
      <c r="O17" s="99">
        <f>IF(P17=0,0,Q17/P17)</f>
        <v>-17.3</v>
      </c>
      <c r="P17" s="93">
        <v>1</v>
      </c>
      <c r="Q17" s="81">
        <v>-17.3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77</v>
      </c>
      <c r="F18" s="41" t="s">
        <v>32</v>
      </c>
      <c r="G18" s="34">
        <v>0</v>
      </c>
      <c r="H18" s="107">
        <f>IF(B$51=0,0,G18/B$51)</f>
        <v>0</v>
      </c>
      <c r="I18" s="68">
        <v>11</v>
      </c>
      <c r="N18" s="89" t="s">
        <v>187</v>
      </c>
      <c r="O18" s="99">
        <f>IF(P18=0,0,Q18/P18)</f>
        <v>-41.35</v>
      </c>
      <c r="P18" s="93">
        <v>2</v>
      </c>
      <c r="Q18" s="81">
        <v>-82.7</v>
      </c>
    </row>
    <row r="19" spans="1:17" x14ac:dyDescent="0.45">
      <c r="A19" s="19" t="s">
        <v>10</v>
      </c>
      <c r="B19" s="13">
        <v>7</v>
      </c>
      <c r="C19" s="4">
        <f>IF(B$3=0,0,B19/B$3)</f>
        <v>0.15217391304347827</v>
      </c>
      <c r="E19" s="44" t="s">
        <v>78</v>
      </c>
      <c r="F19" s="41" t="s">
        <v>33</v>
      </c>
      <c r="G19" s="34">
        <v>0</v>
      </c>
      <c r="H19" s="107">
        <f>IF(B$51=0,0,G19/B$51)</f>
        <v>0</v>
      </c>
      <c r="I19" s="68">
        <v>14</v>
      </c>
    </row>
    <row r="20" spans="1:17" x14ac:dyDescent="0.45">
      <c r="A20" s="37" t="s">
        <v>13</v>
      </c>
      <c r="B20" s="34">
        <v>11</v>
      </c>
      <c r="C20" s="31">
        <f>IF(B$3=0,0,B20/B$3)</f>
        <v>0.2391304347826087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16</v>
      </c>
    </row>
    <row r="21" spans="1:17" x14ac:dyDescent="0.45">
      <c r="A21" s="37" t="s">
        <v>12</v>
      </c>
      <c r="B21" s="34">
        <v>5</v>
      </c>
      <c r="C21" s="31">
        <f>IF(B$19=0,0,B21/B$19)</f>
        <v>0.7142857142857143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2</v>
      </c>
      <c r="C22" s="31">
        <f>IF(B$19=0,0,B22/B$19)</f>
        <v>0.2857142857142857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5</v>
      </c>
      <c r="C23" s="31">
        <f>IF(B$19=0,0,B23/B$19)</f>
        <v>0.7142857142857143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1</v>
      </c>
      <c r="C24" s="31">
        <f>IF(B$19=0,0,B24/B$19)</f>
        <v>0.14285714285714285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1</v>
      </c>
      <c r="C25" s="31">
        <f>IF(B$19=0,0,B25/B$19)</f>
        <v>0.14285714285714285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9742.8571428571431</v>
      </c>
      <c r="C26" s="8">
        <v>68200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11200</v>
      </c>
      <c r="C27" s="115">
        <v>67200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1000</v>
      </c>
      <c r="C28" s="115">
        <v>1000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-4936.363636363636</v>
      </c>
      <c r="C29" s="115">
        <v>-54300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8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3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39600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8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0.14285714285714285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</v>
      </c>
      <c r="C38" s="31">
        <f>IF(B$19=0,0,B38/B$19)</f>
        <v>0.14285714285714285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2</v>
      </c>
      <c r="C39" s="31">
        <f t="shared" si="2"/>
        <v>0.2857142857142857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3</v>
      </c>
      <c r="C41" s="31">
        <f t="shared" si="2"/>
        <v>0.42857142857142855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46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7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1495</vt:i4>
      </vt:variant>
    </vt:vector>
  </HeadingPairs>
  <TitlesOfParts>
    <vt:vector size="1520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いちかわ!newアガリ率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てんちゃん!newアガリ率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2020-07-31T15:09:37Z</dcterms:modified>
</cp:coreProperties>
</file>