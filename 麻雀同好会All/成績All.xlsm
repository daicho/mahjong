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F207FEAA-68A8-4267-AA50-9EEA6F03937E}" xr6:coauthVersionLast="41" xr6:coauthVersionMax="41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509" r:id="rId4"/>
    <sheet name="だいち" sheetId="3510" r:id="rId5"/>
    <sheet name="かこたろう" sheetId="3511" r:id="rId6"/>
    <sheet name="ともき" sheetId="3512" r:id="rId7"/>
    <sheet name="りくと" sheetId="3513" r:id="rId8"/>
    <sheet name="いっしー" sheetId="3514" r:id="rId9"/>
    <sheet name="がくと" sheetId="3515" r:id="rId10"/>
    <sheet name="たかの" sheetId="3516" r:id="rId11"/>
    <sheet name="ただ" sheetId="3517" r:id="rId12"/>
    <sheet name="やがさき" sheetId="3518" r:id="rId13"/>
    <sheet name="れんたろう" sheetId="3519" r:id="rId14"/>
    <sheet name="あさひ" sheetId="3520" r:id="rId15"/>
    <sheet name="まっつん" sheetId="3521" r:id="rId16"/>
    <sheet name="ぱぱ" sheetId="3522" r:id="rId17"/>
    <sheet name="ほたに" sheetId="3523" r:id="rId18"/>
    <sheet name="かわたつ" sheetId="3524" r:id="rId19"/>
    <sheet name="のり" sheetId="3525" r:id="rId20"/>
    <sheet name="ちさと" sheetId="3526" r:id="rId21"/>
    <sheet name="たか" sheetId="3527" r:id="rId22"/>
    <sheet name="ゆう" sheetId="3528" r:id="rId23"/>
  </sheets>
  <definedNames>
    <definedName name="newアガリ数" localSheetId="14">あさひ!$B$47</definedName>
    <definedName name="newアガリ数" localSheetId="8">いっしー!$B$47</definedName>
    <definedName name="newアガリ数" localSheetId="9">がくと!$B$47</definedName>
    <definedName name="newアガリ数" localSheetId="5">かこたろう!$B$47</definedName>
    <definedName name="newアガリ数" localSheetId="18">かわたつ!$B$47</definedName>
    <definedName name="newアガリ数" localSheetId="4">だいち!$B$47</definedName>
    <definedName name="newアガリ数" localSheetId="21">たか!$B$47</definedName>
    <definedName name="newアガリ数" localSheetId="10">たかの!$B$47</definedName>
    <definedName name="newアガリ数" localSheetId="11">ただ!$B$47</definedName>
    <definedName name="newアガリ数" localSheetId="20">ちさと!$B$47</definedName>
    <definedName name="newアガリ数" localSheetId="6">ともき!$B$47</definedName>
    <definedName name="newアガリ数" localSheetId="19">のり!$B$47</definedName>
    <definedName name="newアガリ数" localSheetId="16">ぱぱ!$B$47</definedName>
    <definedName name="newアガリ数" localSheetId="17">ほたに!$B$47</definedName>
    <definedName name="newアガリ数" localSheetId="15">まっつん!$B$47</definedName>
    <definedName name="newアガリ数" localSheetId="12">やがさき!$B$47</definedName>
    <definedName name="newアガリ数" localSheetId="22">ゆう!$B$47</definedName>
    <definedName name="newアガリ数" localSheetId="7">りくと!$B$47</definedName>
    <definedName name="newアガリ数" localSheetId="13">れんたろう!$B$47</definedName>
    <definedName name="newアガリ数" localSheetId="3">全体!$B$47</definedName>
    <definedName name="newアガリ数">Template!$B$47</definedName>
    <definedName name="newアガリ率" localSheetId="14">あさひ!$C$47</definedName>
    <definedName name="newアガリ率" localSheetId="8">いっしー!$C$47</definedName>
    <definedName name="newアガリ率" localSheetId="9">がくと!$C$47</definedName>
    <definedName name="newアガリ率" localSheetId="5">かこたろう!$C$47</definedName>
    <definedName name="newアガリ率" localSheetId="18">かわたつ!$C$47</definedName>
    <definedName name="newアガリ率" localSheetId="4">だいち!$C$47</definedName>
    <definedName name="newアガリ率" localSheetId="21">たか!$C$47</definedName>
    <definedName name="newアガリ率" localSheetId="10">たかの!$C$47</definedName>
    <definedName name="newアガリ率" localSheetId="11">ただ!$C$47</definedName>
    <definedName name="newアガリ率" localSheetId="20">ちさと!$C$47</definedName>
    <definedName name="newアガリ率" localSheetId="6">ともき!$C$47</definedName>
    <definedName name="newアガリ率" localSheetId="19">のり!$C$47</definedName>
    <definedName name="newアガリ率" localSheetId="16">ぱぱ!$C$47</definedName>
    <definedName name="newアガリ率" localSheetId="17">ほたに!$C$47</definedName>
    <definedName name="newアガリ率" localSheetId="15">まっつん!$C$47</definedName>
    <definedName name="newアガリ率" localSheetId="12">やがさき!$C$47</definedName>
    <definedName name="newアガリ率" localSheetId="22">ゆう!$C$47</definedName>
    <definedName name="newアガリ率" localSheetId="7">りくと!$C$47</definedName>
    <definedName name="newアガリ率" localSheetId="13">れんたろう!$C$47</definedName>
    <definedName name="newアガリ率" localSheetId="3">全体!$C$47</definedName>
    <definedName name="newアガリ率">Template!$C$47</definedName>
    <definedName name="new局数" localSheetId="14">あさひ!$B$46</definedName>
    <definedName name="new局数" localSheetId="8">いっしー!$B$46</definedName>
    <definedName name="new局数" localSheetId="9">がくと!$B$46</definedName>
    <definedName name="new局数" localSheetId="5">かこたろう!$B$46</definedName>
    <definedName name="new局数" localSheetId="18">かわたつ!$B$46</definedName>
    <definedName name="new局数" localSheetId="4">だいち!$B$46</definedName>
    <definedName name="new局数" localSheetId="21">たか!$B$46</definedName>
    <definedName name="new局数" localSheetId="10">たかの!$B$46</definedName>
    <definedName name="new局数" localSheetId="11">ただ!$B$46</definedName>
    <definedName name="new局数" localSheetId="20">ちさと!$B$46</definedName>
    <definedName name="new局数" localSheetId="6">ともき!$B$46</definedName>
    <definedName name="new局数" localSheetId="19">のり!$B$46</definedName>
    <definedName name="new局数" localSheetId="16">ぱぱ!$B$46</definedName>
    <definedName name="new局数" localSheetId="17">ほたに!$B$46</definedName>
    <definedName name="new局数" localSheetId="15">まっつん!$B$46</definedName>
    <definedName name="new局数" localSheetId="12">やがさき!$B$46</definedName>
    <definedName name="new局数" localSheetId="22">ゆう!$B$46</definedName>
    <definedName name="new局数" localSheetId="7">りくと!$B$46</definedName>
    <definedName name="new局数" localSheetId="13">れんたろう!$B$46</definedName>
    <definedName name="new局数" localSheetId="3">全体!$B$46</definedName>
    <definedName name="new局数">Template!$B$46</definedName>
    <definedName name="アガリ数" localSheetId="14">あさひ!$B$15</definedName>
    <definedName name="アガリ数" localSheetId="8">いっしー!$B$15</definedName>
    <definedName name="アガリ数" localSheetId="9">がくと!$B$15</definedName>
    <definedName name="アガリ数" localSheetId="5">かこたろう!$B$15</definedName>
    <definedName name="アガリ数" localSheetId="18">かわたつ!$B$15</definedName>
    <definedName name="アガリ数" localSheetId="4">だいち!$B$15</definedName>
    <definedName name="アガリ数" localSheetId="21">たか!$B$15</definedName>
    <definedName name="アガリ数" localSheetId="10">たかの!$B$15</definedName>
    <definedName name="アガリ数" localSheetId="11">ただ!$B$15</definedName>
    <definedName name="アガリ数" localSheetId="20">ちさと!$B$15</definedName>
    <definedName name="アガリ数" localSheetId="6">ともき!$B$15</definedName>
    <definedName name="アガリ数" localSheetId="19">のり!$B$15</definedName>
    <definedName name="アガリ数" localSheetId="16">ぱぱ!$B$15</definedName>
    <definedName name="アガリ数" localSheetId="17">ほたに!$B$15</definedName>
    <definedName name="アガリ数" localSheetId="15">まっつん!$B$15</definedName>
    <definedName name="アガリ数" localSheetId="12">やがさき!$B$15</definedName>
    <definedName name="アガリ数" localSheetId="22">ゆう!$B$15</definedName>
    <definedName name="アガリ数" localSheetId="7">りくと!$B$15</definedName>
    <definedName name="アガリ数" localSheetId="13">れんたろう!$B$15</definedName>
    <definedName name="アガリ数" localSheetId="3">全体!$B$15</definedName>
    <definedName name="アガリ数">Template!$B$15</definedName>
    <definedName name="アガリ率" localSheetId="14">あさひ!$C$15</definedName>
    <definedName name="アガリ率" localSheetId="8">いっしー!$C$15</definedName>
    <definedName name="アガリ率" localSheetId="9">がくと!$C$15</definedName>
    <definedName name="アガリ率" localSheetId="5">かこたろう!$C$15</definedName>
    <definedName name="アガリ率" localSheetId="18">かわたつ!$C$15</definedName>
    <definedName name="アガリ率" localSheetId="4">だいち!$C$15</definedName>
    <definedName name="アガリ率" localSheetId="21">たか!$C$15</definedName>
    <definedName name="アガリ率" localSheetId="10">たかの!$C$15</definedName>
    <definedName name="アガリ率" localSheetId="11">ただ!$C$15</definedName>
    <definedName name="アガリ率" localSheetId="20">ちさと!$C$15</definedName>
    <definedName name="アガリ率" localSheetId="6">ともき!$C$15</definedName>
    <definedName name="アガリ率" localSheetId="19">のり!$C$15</definedName>
    <definedName name="アガリ率" localSheetId="16">ぱぱ!$C$15</definedName>
    <definedName name="アガリ率" localSheetId="17">ほたに!$C$15</definedName>
    <definedName name="アガリ率" localSheetId="15">まっつん!$C$15</definedName>
    <definedName name="アガリ率" localSheetId="12">やがさき!$C$15</definedName>
    <definedName name="アガリ率" localSheetId="22">ゆう!$C$15</definedName>
    <definedName name="アガリ率" localSheetId="7">りくと!$C$15</definedName>
    <definedName name="アガリ率" localSheetId="13">れんたろう!$C$15</definedName>
    <definedName name="アガリ率" localSheetId="3">全体!$C$15</definedName>
    <definedName name="アガリ率">Template!$C$15</definedName>
    <definedName name="ダマアガリ数" localSheetId="14">あさひ!$B$21</definedName>
    <definedName name="ダマアガリ数" localSheetId="8">いっしー!$B$21</definedName>
    <definedName name="ダマアガリ数" localSheetId="9">がくと!$B$21</definedName>
    <definedName name="ダマアガリ数" localSheetId="5">かこたろう!$B$21</definedName>
    <definedName name="ダマアガリ数" localSheetId="18">かわたつ!$B$21</definedName>
    <definedName name="ダマアガリ数" localSheetId="4">だいち!$B$21</definedName>
    <definedName name="ダマアガリ数" localSheetId="21">たか!$B$21</definedName>
    <definedName name="ダマアガリ数" localSheetId="10">たかの!$B$21</definedName>
    <definedName name="ダマアガリ数" localSheetId="11">ただ!$B$21</definedName>
    <definedName name="ダマアガリ数" localSheetId="20">ちさと!$B$21</definedName>
    <definedName name="ダマアガリ数" localSheetId="6">ともき!$B$21</definedName>
    <definedName name="ダマアガリ数" localSheetId="19">のり!$B$21</definedName>
    <definedName name="ダマアガリ数" localSheetId="16">ぱぱ!$B$21</definedName>
    <definedName name="ダマアガリ数" localSheetId="17">ほたに!$B$21</definedName>
    <definedName name="ダマアガリ数" localSheetId="15">まっつん!$B$21</definedName>
    <definedName name="ダマアガリ数" localSheetId="12">やがさき!$B$21</definedName>
    <definedName name="ダマアガリ数" localSheetId="22">ゆう!$B$21</definedName>
    <definedName name="ダマアガリ数" localSheetId="7">りくと!$B$21</definedName>
    <definedName name="ダマアガリ数" localSheetId="13">れんたろう!$B$21</definedName>
    <definedName name="ダマアガリ数" localSheetId="3">全体!$B$21</definedName>
    <definedName name="ダマアガリ数">Template!$B$21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あさひ!$C$21</definedName>
    <definedName name="ダマアガリ率" localSheetId="8">いっしー!$C$21</definedName>
    <definedName name="ダマアガリ率" localSheetId="9">がくと!$C$21</definedName>
    <definedName name="ダマアガリ率" localSheetId="5">かこたろう!$C$21</definedName>
    <definedName name="ダマアガリ率" localSheetId="18">かわたつ!$C$21</definedName>
    <definedName name="ダマアガリ率" localSheetId="4">だいち!$C$21</definedName>
    <definedName name="ダマアガリ率" localSheetId="21">たか!$C$21</definedName>
    <definedName name="ダマアガリ率" localSheetId="10">たかの!$C$21</definedName>
    <definedName name="ダマアガリ率" localSheetId="11">ただ!$C$21</definedName>
    <definedName name="ダマアガリ率" localSheetId="20">ちさと!$C$21</definedName>
    <definedName name="ダマアガリ率" localSheetId="6">ともき!$C$21</definedName>
    <definedName name="ダマアガリ率" localSheetId="19">のり!$C$21</definedName>
    <definedName name="ダマアガリ率" localSheetId="16">ぱぱ!$C$21</definedName>
    <definedName name="ダマアガリ率" localSheetId="17">ほたに!$C$21</definedName>
    <definedName name="ダマアガリ率" localSheetId="15">まっつん!$C$21</definedName>
    <definedName name="ダマアガリ率" localSheetId="12">やがさき!$C$21</definedName>
    <definedName name="ダマアガリ率" localSheetId="22">ゆう!$C$21</definedName>
    <definedName name="ダマアガリ率" localSheetId="7">りくと!$C$21</definedName>
    <definedName name="ダマアガリ率" localSheetId="13">れんたろう!$C$21</definedName>
    <definedName name="ダマアガリ率" localSheetId="3">全体!$C$21</definedName>
    <definedName name="ダマアガリ率">Template!$C$21</definedName>
    <definedName name="チョンボ数" localSheetId="14">あさひ!$B$30</definedName>
    <definedName name="チョンボ数" localSheetId="8">いっしー!$B$30</definedName>
    <definedName name="チョンボ数" localSheetId="9">がくと!$B$30</definedName>
    <definedName name="チョンボ数" localSheetId="5">かこたろう!$B$30</definedName>
    <definedName name="チョンボ数" localSheetId="18">かわたつ!$B$30</definedName>
    <definedName name="チョンボ数" localSheetId="4">だいち!$B$30</definedName>
    <definedName name="チョンボ数" localSheetId="21">たか!$B$30</definedName>
    <definedName name="チョンボ数" localSheetId="10">たかの!$B$30</definedName>
    <definedName name="チョンボ数" localSheetId="11">ただ!$B$30</definedName>
    <definedName name="チョンボ数" localSheetId="20">ちさと!$B$30</definedName>
    <definedName name="チョンボ数" localSheetId="6">ともき!$B$30</definedName>
    <definedName name="チョンボ数" localSheetId="19">のり!$B$30</definedName>
    <definedName name="チョンボ数" localSheetId="16">ぱぱ!$B$30</definedName>
    <definedName name="チョンボ数" localSheetId="17">ほたに!$B$30</definedName>
    <definedName name="チョンボ数" localSheetId="15">まっつん!$B$30</definedName>
    <definedName name="チョンボ数" localSheetId="12">やがさき!$B$30</definedName>
    <definedName name="チョンボ数" localSheetId="22">ゆう!$B$30</definedName>
    <definedName name="チョンボ数" localSheetId="7">りくと!$B$30</definedName>
    <definedName name="チョンボ数" localSheetId="13">れんたろう!$B$30</definedName>
    <definedName name="チョンボ数" localSheetId="3">全体!$B$30</definedName>
    <definedName name="チョンボ数">Template!$B$30</definedName>
    <definedName name="チョンボ率" localSheetId="14">あさひ!$C$30</definedName>
    <definedName name="チョンボ率" localSheetId="8">いっしー!$C$30</definedName>
    <definedName name="チョンボ率" localSheetId="9">がくと!$C$30</definedName>
    <definedName name="チョンボ率" localSheetId="5">かこたろう!$C$30</definedName>
    <definedName name="チョンボ率" localSheetId="18">かわたつ!$C$30</definedName>
    <definedName name="チョンボ率" localSheetId="4">だいち!$C$30</definedName>
    <definedName name="チョンボ率" localSheetId="21">たか!$C$30</definedName>
    <definedName name="チョンボ率" localSheetId="10">たかの!$C$30</definedName>
    <definedName name="チョンボ率" localSheetId="11">ただ!$C$30</definedName>
    <definedName name="チョンボ率" localSheetId="20">ちさと!$C$30</definedName>
    <definedName name="チョンボ率" localSheetId="6">ともき!$C$30</definedName>
    <definedName name="チョンボ率" localSheetId="19">のり!$C$30</definedName>
    <definedName name="チョンボ率" localSheetId="16">ぱぱ!$C$30</definedName>
    <definedName name="チョンボ率" localSheetId="17">ほたに!$C$30</definedName>
    <definedName name="チョンボ率" localSheetId="15">まっつん!$C$30</definedName>
    <definedName name="チョンボ率" localSheetId="12">やがさき!$C$30</definedName>
    <definedName name="チョンボ率" localSheetId="22">ゆう!$C$30</definedName>
    <definedName name="チョンボ率" localSheetId="7">りくと!$C$30</definedName>
    <definedName name="チョンボ率" localSheetId="13">れんたろう!$C$30</definedName>
    <definedName name="チョンボ率" localSheetId="3">全体!$C$30</definedName>
    <definedName name="チョンボ率">Template!$C$30</definedName>
    <definedName name="ツモ数" localSheetId="14">あさひ!$B$17</definedName>
    <definedName name="ツモ数" localSheetId="8">いっしー!$B$17</definedName>
    <definedName name="ツモ数" localSheetId="9">がくと!$B$17</definedName>
    <definedName name="ツモ数" localSheetId="5">かこたろう!$B$17</definedName>
    <definedName name="ツモ数" localSheetId="18">かわたつ!$B$17</definedName>
    <definedName name="ツモ数" localSheetId="4">だいち!$B$17</definedName>
    <definedName name="ツモ数" localSheetId="21">たか!$B$17</definedName>
    <definedName name="ツモ数" localSheetId="10">たかの!$B$17</definedName>
    <definedName name="ツモ数" localSheetId="11">ただ!$B$17</definedName>
    <definedName name="ツモ数" localSheetId="20">ちさと!$B$17</definedName>
    <definedName name="ツモ数" localSheetId="6">ともき!$B$17</definedName>
    <definedName name="ツモ数" localSheetId="19">のり!$B$17</definedName>
    <definedName name="ツモ数" localSheetId="16">ぱぱ!$B$17</definedName>
    <definedName name="ツモ数" localSheetId="17">ほたに!$B$17</definedName>
    <definedName name="ツモ数" localSheetId="15">まっつん!$B$17</definedName>
    <definedName name="ツモ数" localSheetId="12">やがさき!$B$17</definedName>
    <definedName name="ツモ数" localSheetId="22">ゆう!$B$17</definedName>
    <definedName name="ツモ数" localSheetId="7">りくと!$B$17</definedName>
    <definedName name="ツモ数" localSheetId="13">れんたろう!$B$17</definedName>
    <definedName name="ツモ数" localSheetId="3">全体!$B$17</definedName>
    <definedName name="ツモ数">Template!$B$17</definedName>
    <definedName name="ツモ率" localSheetId="14">あさひ!$C$17</definedName>
    <definedName name="ツモ率" localSheetId="8">いっしー!$C$17</definedName>
    <definedName name="ツモ率" localSheetId="9">がくと!$C$17</definedName>
    <definedName name="ツモ率" localSheetId="5">かこたろう!$C$17</definedName>
    <definedName name="ツモ率" localSheetId="18">かわたつ!$C$17</definedName>
    <definedName name="ツモ率" localSheetId="4">だいち!$C$17</definedName>
    <definedName name="ツモ率" localSheetId="21">たか!$C$17</definedName>
    <definedName name="ツモ率" localSheetId="10">たかの!$C$17</definedName>
    <definedName name="ツモ率" localSheetId="11">ただ!$C$17</definedName>
    <definedName name="ツモ率" localSheetId="20">ちさと!$C$17</definedName>
    <definedName name="ツモ率" localSheetId="6">ともき!$C$17</definedName>
    <definedName name="ツモ率" localSheetId="19">のり!$C$17</definedName>
    <definedName name="ツモ率" localSheetId="16">ぱぱ!$C$17</definedName>
    <definedName name="ツモ率" localSheetId="17">ほたに!$C$17</definedName>
    <definedName name="ツモ率" localSheetId="15">まっつん!$C$17</definedName>
    <definedName name="ツモ率" localSheetId="12">やがさき!$C$17</definedName>
    <definedName name="ツモ率" localSheetId="22">ゆう!$C$17</definedName>
    <definedName name="ツモ率" localSheetId="7">りくと!$C$17</definedName>
    <definedName name="ツモ率" localSheetId="13">れんたろう!$C$17</definedName>
    <definedName name="ツモ率" localSheetId="3">全体!$C$17</definedName>
    <definedName name="ツモ率">Template!$C$17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21">たか!$B$10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22">ゆう!$B$10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21">たか!$C$10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22">ゆう!$C$10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あさひ!$B$19</definedName>
    <definedName name="リーチアガリ数" localSheetId="8">いっしー!$B$19</definedName>
    <definedName name="リーチアガリ数" localSheetId="9">がくと!$B$19</definedName>
    <definedName name="リーチアガリ数" localSheetId="5">かこたろう!$B$19</definedName>
    <definedName name="リーチアガリ数" localSheetId="18">かわたつ!$B$19</definedName>
    <definedName name="リーチアガリ数" localSheetId="4">だいち!$B$19</definedName>
    <definedName name="リーチアガリ数" localSheetId="21">たか!$B$19</definedName>
    <definedName name="リーチアガリ数" localSheetId="10">たかの!$B$19</definedName>
    <definedName name="リーチアガリ数" localSheetId="11">ただ!$B$19</definedName>
    <definedName name="リーチアガリ数" localSheetId="20">ちさと!$B$19</definedName>
    <definedName name="リーチアガリ数" localSheetId="6">ともき!$B$19</definedName>
    <definedName name="リーチアガリ数" localSheetId="19">のり!$B$19</definedName>
    <definedName name="リーチアガリ数" localSheetId="16">ぱぱ!$B$19</definedName>
    <definedName name="リーチアガリ数" localSheetId="17">ほたに!$B$19</definedName>
    <definedName name="リーチアガリ数" localSheetId="15">まっつん!$B$19</definedName>
    <definedName name="リーチアガリ数" localSheetId="12">やがさき!$B$19</definedName>
    <definedName name="リーチアガリ数" localSheetId="22">ゆう!$B$19</definedName>
    <definedName name="リーチアガリ数" localSheetId="7">りくと!$B$19</definedName>
    <definedName name="リーチアガリ数" localSheetId="13">れんたろう!$B$19</definedName>
    <definedName name="リーチアガリ数" localSheetId="3">全体!$B$19</definedName>
    <definedName name="リーチアガリ数">Template!$B$19</definedName>
    <definedName name="リーチアガリ率" localSheetId="14">あさひ!$C$19</definedName>
    <definedName name="リーチアガリ率" localSheetId="8">いっしー!$C$19</definedName>
    <definedName name="リーチアガリ率" localSheetId="9">がくと!$C$19</definedName>
    <definedName name="リーチアガリ率" localSheetId="5">かこたろう!$C$19</definedName>
    <definedName name="リーチアガリ率" localSheetId="18">かわたつ!$C$19</definedName>
    <definedName name="リーチアガリ率" localSheetId="4">だいち!$C$19</definedName>
    <definedName name="リーチアガリ率" localSheetId="21">たか!$C$19</definedName>
    <definedName name="リーチアガリ率" localSheetId="10">たかの!$C$19</definedName>
    <definedName name="リーチアガリ率" localSheetId="11">ただ!$C$19</definedName>
    <definedName name="リーチアガリ率" localSheetId="20">ちさと!$C$19</definedName>
    <definedName name="リーチアガリ率" localSheetId="6">ともき!$C$19</definedName>
    <definedName name="リーチアガリ率" localSheetId="19">のり!$C$19</definedName>
    <definedName name="リーチアガリ率" localSheetId="16">ぱぱ!$C$19</definedName>
    <definedName name="リーチアガリ率" localSheetId="17">ほたに!$C$19</definedName>
    <definedName name="リーチアガリ率" localSheetId="15">まっつん!$C$19</definedName>
    <definedName name="リーチアガリ率" localSheetId="12">やがさき!$C$19</definedName>
    <definedName name="リーチアガリ率" localSheetId="22">ゆう!$C$19</definedName>
    <definedName name="リーチアガリ率" localSheetId="7">りくと!$C$19</definedName>
    <definedName name="リーチアガリ率" localSheetId="13">れんたろう!$C$19</definedName>
    <definedName name="リーチアガリ率" localSheetId="3">全体!$C$19</definedName>
    <definedName name="リーチアガリ率">Template!$C$19</definedName>
    <definedName name="リーチ数" localSheetId="14">あさひ!$B$11</definedName>
    <definedName name="リーチ数" localSheetId="8">いっしー!$B$11</definedName>
    <definedName name="リーチ数" localSheetId="9">がくと!$B$11</definedName>
    <definedName name="リーチ数" localSheetId="5">かこたろう!$B$11</definedName>
    <definedName name="リーチ数" localSheetId="18">かわたつ!$B$11</definedName>
    <definedName name="リーチ数" localSheetId="4">だいち!$B$11</definedName>
    <definedName name="リーチ数" localSheetId="21">たか!$B$11</definedName>
    <definedName name="リーチ数" localSheetId="10">たかの!$B$11</definedName>
    <definedName name="リーチ数" localSheetId="11">ただ!$B$11</definedName>
    <definedName name="リーチ数" localSheetId="20">ちさと!$B$11</definedName>
    <definedName name="リーチ数" localSheetId="6">ともき!$B$11</definedName>
    <definedName name="リーチ数" localSheetId="19">のり!$B$11</definedName>
    <definedName name="リーチ数" localSheetId="16">ぱぱ!$B$11</definedName>
    <definedName name="リーチ数" localSheetId="17">ほたに!$B$11</definedName>
    <definedName name="リーチ数" localSheetId="15">まっつん!$B$11</definedName>
    <definedName name="リーチ数" localSheetId="12">やがさき!$B$11</definedName>
    <definedName name="リーチ数" localSheetId="22">ゆう!$B$11</definedName>
    <definedName name="リーチ数" localSheetId="7">りくと!$B$11</definedName>
    <definedName name="リーチ数" localSheetId="13">れんたろう!$B$11</definedName>
    <definedName name="リーチ数" localSheetId="3">全体!$B$11</definedName>
    <definedName name="リーチ数">Template!$B$11</definedName>
    <definedName name="リーチ成功数" localSheetId="14">あさひ!$B$13</definedName>
    <definedName name="リーチ成功数" localSheetId="8">いっしー!$B$13</definedName>
    <definedName name="リーチ成功数" localSheetId="9">がくと!$B$13</definedName>
    <definedName name="リーチ成功数" localSheetId="5">かこたろう!$B$13</definedName>
    <definedName name="リーチ成功数" localSheetId="18">かわたつ!$B$13</definedName>
    <definedName name="リーチ成功数" localSheetId="4">だいち!$B$13</definedName>
    <definedName name="リーチ成功数" localSheetId="21">たか!$B$13</definedName>
    <definedName name="リーチ成功数" localSheetId="10">たかの!$B$13</definedName>
    <definedName name="リーチ成功数" localSheetId="11">ただ!$B$13</definedName>
    <definedName name="リーチ成功数" localSheetId="20">ちさと!$B$13</definedName>
    <definedName name="リーチ成功数" localSheetId="6">ともき!$B$13</definedName>
    <definedName name="リーチ成功数" localSheetId="19">のり!$B$13</definedName>
    <definedName name="リーチ成功数" localSheetId="16">ぱぱ!$B$13</definedName>
    <definedName name="リーチ成功数" localSheetId="17">ほたに!$B$13</definedName>
    <definedName name="リーチ成功数" localSheetId="15">まっつん!$B$13</definedName>
    <definedName name="リーチ成功数" localSheetId="12">やがさき!$B$13</definedName>
    <definedName name="リーチ成功数" localSheetId="22">ゆう!$B$13</definedName>
    <definedName name="リーチ成功数" localSheetId="7">りくと!$B$13</definedName>
    <definedName name="リーチ成功数" localSheetId="13">れんたろう!$B$13</definedName>
    <definedName name="リーチ成功数" localSheetId="3">全体!$B$13</definedName>
    <definedName name="リーチ成功数">Template!$B$13</definedName>
    <definedName name="リーチ成功率" localSheetId="14">あさひ!$C$13</definedName>
    <definedName name="リーチ成功率" localSheetId="8">いっしー!$C$13</definedName>
    <definedName name="リーチ成功率" localSheetId="9">がくと!$C$13</definedName>
    <definedName name="リーチ成功率" localSheetId="5">かこたろう!$C$13</definedName>
    <definedName name="リーチ成功率" localSheetId="18">かわたつ!$C$13</definedName>
    <definedName name="リーチ成功率" localSheetId="4">だいち!$C$13</definedName>
    <definedName name="リーチ成功率" localSheetId="21">たか!$C$13</definedName>
    <definedName name="リーチ成功率" localSheetId="10">たかの!$C$13</definedName>
    <definedName name="リーチ成功率" localSheetId="11">ただ!$C$13</definedName>
    <definedName name="リーチ成功率" localSheetId="20">ちさと!$C$13</definedName>
    <definedName name="リーチ成功率" localSheetId="6">ともき!$C$13</definedName>
    <definedName name="リーチ成功率" localSheetId="19">のり!$C$13</definedName>
    <definedName name="リーチ成功率" localSheetId="16">ぱぱ!$C$13</definedName>
    <definedName name="リーチ成功率" localSheetId="17">ほたに!$C$13</definedName>
    <definedName name="リーチ成功率" localSheetId="15">まっつん!$C$13</definedName>
    <definedName name="リーチ成功率" localSheetId="12">やがさき!$C$13</definedName>
    <definedName name="リーチ成功率" localSheetId="22">ゆう!$C$13</definedName>
    <definedName name="リーチ成功率" localSheetId="7">りくと!$C$13</definedName>
    <definedName name="リーチ成功率" localSheetId="13">れんたろう!$C$13</definedName>
    <definedName name="リーチ成功率" localSheetId="3">全体!$C$13</definedName>
    <definedName name="リーチ成功率">Template!$C$13</definedName>
    <definedName name="リーチ率" localSheetId="14">あさひ!$C$11</definedName>
    <definedName name="リーチ率" localSheetId="8">いっしー!$C$11</definedName>
    <definedName name="リーチ率" localSheetId="9">がくと!$C$11</definedName>
    <definedName name="リーチ率" localSheetId="5">かこたろう!$C$11</definedName>
    <definedName name="リーチ率" localSheetId="18">かわたつ!$C$11</definedName>
    <definedName name="リーチ率" localSheetId="4">だいち!$C$11</definedName>
    <definedName name="リーチ率" localSheetId="21">たか!$C$11</definedName>
    <definedName name="リーチ率" localSheetId="10">たかの!$C$11</definedName>
    <definedName name="リーチ率" localSheetId="11">ただ!$C$11</definedName>
    <definedName name="リーチ率" localSheetId="20">ちさと!$C$11</definedName>
    <definedName name="リーチ率" localSheetId="6">ともき!$C$11</definedName>
    <definedName name="リーチ率" localSheetId="19">のり!$C$11</definedName>
    <definedName name="リーチ率" localSheetId="16">ぱぱ!$C$11</definedName>
    <definedName name="リーチ率" localSheetId="17">ほたに!$C$11</definedName>
    <definedName name="リーチ率" localSheetId="15">まっつん!$C$11</definedName>
    <definedName name="リーチ率" localSheetId="12">やがさき!$C$11</definedName>
    <definedName name="リーチ率" localSheetId="22">ゆう!$C$11</definedName>
    <definedName name="リーチ率" localSheetId="7">りくと!$C$11</definedName>
    <definedName name="リーチ率" localSheetId="13">れんたろう!$C$11</definedName>
    <definedName name="リーチ率" localSheetId="3">全体!$C$11</definedName>
    <definedName name="リーチ率">Template!$C$11</definedName>
    <definedName name="ロン数" localSheetId="14">あさひ!$B$18</definedName>
    <definedName name="ロン数" localSheetId="8">いっしー!$B$18</definedName>
    <definedName name="ロン数" localSheetId="9">がくと!$B$18</definedName>
    <definedName name="ロン数" localSheetId="5">かこたろう!$B$18</definedName>
    <definedName name="ロン数" localSheetId="18">かわたつ!$B$18</definedName>
    <definedName name="ロン数" localSheetId="4">だいち!$B$18</definedName>
    <definedName name="ロン数" localSheetId="21">たか!$B$18</definedName>
    <definedName name="ロン数" localSheetId="10">たかの!$B$18</definedName>
    <definedName name="ロン数" localSheetId="11">ただ!$B$18</definedName>
    <definedName name="ロン数" localSheetId="20">ちさと!$B$18</definedName>
    <definedName name="ロン数" localSheetId="6">ともき!$B$18</definedName>
    <definedName name="ロン数" localSheetId="19">のり!$B$18</definedName>
    <definedName name="ロン数" localSheetId="16">ぱぱ!$B$18</definedName>
    <definedName name="ロン数" localSheetId="17">ほたに!$B$18</definedName>
    <definedName name="ロン数" localSheetId="15">まっつん!$B$18</definedName>
    <definedName name="ロン数" localSheetId="12">やがさき!$B$18</definedName>
    <definedName name="ロン数" localSheetId="22">ゆう!$B$18</definedName>
    <definedName name="ロン数" localSheetId="7">りくと!$B$18</definedName>
    <definedName name="ロン数" localSheetId="13">れんたろう!$B$18</definedName>
    <definedName name="ロン数" localSheetId="3">全体!$B$18</definedName>
    <definedName name="ロン数">Template!$B$18</definedName>
    <definedName name="ロン率" localSheetId="14">あさひ!$C$18</definedName>
    <definedName name="ロン率" localSheetId="8">いっしー!$C$18</definedName>
    <definedName name="ロン率" localSheetId="9">がくと!$C$18</definedName>
    <definedName name="ロン率" localSheetId="5">かこたろう!$C$18</definedName>
    <definedName name="ロン率" localSheetId="18">かわたつ!$C$18</definedName>
    <definedName name="ロン率" localSheetId="4">だいち!$C$18</definedName>
    <definedName name="ロン率" localSheetId="21">たか!$C$18</definedName>
    <definedName name="ロン率" localSheetId="10">たかの!$C$18</definedName>
    <definedName name="ロン率" localSheetId="11">ただ!$C$18</definedName>
    <definedName name="ロン率" localSheetId="20">ちさと!$C$18</definedName>
    <definedName name="ロン率" localSheetId="6">ともき!$C$18</definedName>
    <definedName name="ロン率" localSheetId="19">のり!$C$18</definedName>
    <definedName name="ロン率" localSheetId="16">ぱぱ!$C$18</definedName>
    <definedName name="ロン率" localSheetId="17">ほたに!$C$18</definedName>
    <definedName name="ロン率" localSheetId="15">まっつん!$C$18</definedName>
    <definedName name="ロン率" localSheetId="12">やがさき!$C$18</definedName>
    <definedName name="ロン率" localSheetId="22">ゆう!$C$18</definedName>
    <definedName name="ロン率" localSheetId="7">りくと!$C$18</definedName>
    <definedName name="ロン率" localSheetId="13">れんたろう!$C$18</definedName>
    <definedName name="ロン率" localSheetId="3">全体!$C$18</definedName>
    <definedName name="ロン率">Template!$C$18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あさひ!$C$26</definedName>
    <definedName name="現行連続アガリ" localSheetId="8">いっしー!$C$26</definedName>
    <definedName name="現行連続アガリ" localSheetId="9">がくと!$C$26</definedName>
    <definedName name="現行連続アガリ" localSheetId="5">かこたろう!$C$26</definedName>
    <definedName name="現行連続アガリ" localSheetId="18">かわたつ!$C$26</definedName>
    <definedName name="現行連続アガリ" localSheetId="4">だいち!$C$26</definedName>
    <definedName name="現行連続アガリ" localSheetId="21">たか!$C$26</definedName>
    <definedName name="現行連続アガリ" localSheetId="10">たかの!$C$26</definedName>
    <definedName name="現行連続アガリ" localSheetId="11">ただ!$C$26</definedName>
    <definedName name="現行連続アガリ" localSheetId="20">ちさと!$C$26</definedName>
    <definedName name="現行連続アガリ" localSheetId="6">ともき!$C$26</definedName>
    <definedName name="現行連続アガリ" localSheetId="19">のり!$C$26</definedName>
    <definedName name="現行連続アガリ" localSheetId="16">ぱぱ!$C$26</definedName>
    <definedName name="現行連続アガリ" localSheetId="17">ほたに!$C$26</definedName>
    <definedName name="現行連続アガリ" localSheetId="15">まっつん!$C$26</definedName>
    <definedName name="現行連続アガリ" localSheetId="12">やがさき!$C$26</definedName>
    <definedName name="現行連続アガリ" localSheetId="22">ゆう!$C$26</definedName>
    <definedName name="現行連続アガリ" localSheetId="7">りくと!$C$26</definedName>
    <definedName name="現行連続アガリ" localSheetId="13">れんたろう!$C$26</definedName>
    <definedName name="現行連続アガリ" localSheetId="3">全体!$C$26</definedName>
    <definedName name="現行連続アガリ">Template!$C$26</definedName>
    <definedName name="現行連続無放銃" localSheetId="14">あさひ!$C$27</definedName>
    <definedName name="現行連続無放銃" localSheetId="8">いっしー!$C$27</definedName>
    <definedName name="現行連続無放銃" localSheetId="9">がくと!$C$27</definedName>
    <definedName name="現行連続無放銃" localSheetId="5">かこたろう!$C$27</definedName>
    <definedName name="現行連続無放銃" localSheetId="18">かわたつ!$C$27</definedName>
    <definedName name="現行連続無放銃" localSheetId="4">だいち!$C$27</definedName>
    <definedName name="現行連続無放銃" localSheetId="21">たか!$C$27</definedName>
    <definedName name="現行連続無放銃" localSheetId="10">たかの!$C$27</definedName>
    <definedName name="現行連続無放銃" localSheetId="11">ただ!$C$27</definedName>
    <definedName name="現行連続無放銃" localSheetId="20">ちさと!$C$27</definedName>
    <definedName name="現行連続無放銃" localSheetId="6">ともき!$C$27</definedName>
    <definedName name="現行連続無放銃" localSheetId="19">のり!$C$27</definedName>
    <definedName name="現行連続無放銃" localSheetId="16">ぱぱ!$C$27</definedName>
    <definedName name="現行連続無放銃" localSheetId="17">ほたに!$C$27</definedName>
    <definedName name="現行連続無放銃" localSheetId="15">まっつん!$C$27</definedName>
    <definedName name="現行連続無放銃" localSheetId="12">やがさき!$C$27</definedName>
    <definedName name="現行連続無放銃" localSheetId="22">ゆう!$C$27</definedName>
    <definedName name="現行連続無放銃" localSheetId="7">りくと!$C$27</definedName>
    <definedName name="現行連続無放銃" localSheetId="13">れんたろう!$C$27</definedName>
    <definedName name="現行連続無放銃" localSheetId="3">全体!$C$27</definedName>
    <definedName name="現行連続無放銃">Template!$C$27</definedName>
    <definedName name="最高点" localSheetId="14">あさひ!$B$29</definedName>
    <definedName name="最高点" localSheetId="8">いっしー!$B$29</definedName>
    <definedName name="最高点" localSheetId="9">がくと!$B$29</definedName>
    <definedName name="最高点" localSheetId="5">かこたろう!$B$29</definedName>
    <definedName name="最高点" localSheetId="18">かわたつ!$B$29</definedName>
    <definedName name="最高点" localSheetId="4">だいち!$B$29</definedName>
    <definedName name="最高点" localSheetId="21">たか!$B$29</definedName>
    <definedName name="最高点" localSheetId="10">たかの!$B$29</definedName>
    <definedName name="最高点" localSheetId="11">ただ!$B$29</definedName>
    <definedName name="最高点" localSheetId="20">ちさと!$B$29</definedName>
    <definedName name="最高点" localSheetId="6">ともき!$B$29</definedName>
    <definedName name="最高点" localSheetId="19">のり!$B$29</definedName>
    <definedName name="最高点" localSheetId="16">ぱぱ!$B$29</definedName>
    <definedName name="最高点" localSheetId="17">ほたに!$B$29</definedName>
    <definedName name="最高点" localSheetId="15">まっつん!$B$29</definedName>
    <definedName name="最高点" localSheetId="12">やがさき!$B$29</definedName>
    <definedName name="最高点" localSheetId="22">ゆう!$B$29</definedName>
    <definedName name="最高点" localSheetId="7">りくと!$B$29</definedName>
    <definedName name="最高点" localSheetId="13">れんたろう!$B$29</definedName>
    <definedName name="最高点" localSheetId="3">全体!$B$29</definedName>
    <definedName name="最高点">Template!$B$29</definedName>
    <definedName name="最大ドラ数" localSheetId="14">あさひ!$B$28</definedName>
    <definedName name="最大ドラ数" localSheetId="8">いっしー!$B$28</definedName>
    <definedName name="最大ドラ数" localSheetId="9">がくと!$B$28</definedName>
    <definedName name="最大ドラ数" localSheetId="5">かこたろう!$B$28</definedName>
    <definedName name="最大ドラ数" localSheetId="18">かわたつ!$B$28</definedName>
    <definedName name="最大ドラ数" localSheetId="4">だいち!$B$28</definedName>
    <definedName name="最大ドラ数" localSheetId="21">たか!$B$28</definedName>
    <definedName name="最大ドラ数" localSheetId="10">たかの!$B$28</definedName>
    <definedName name="最大ドラ数" localSheetId="11">ただ!$B$28</definedName>
    <definedName name="最大ドラ数" localSheetId="20">ちさと!$B$28</definedName>
    <definedName name="最大ドラ数" localSheetId="6">ともき!$B$28</definedName>
    <definedName name="最大ドラ数" localSheetId="19">のり!$B$28</definedName>
    <definedName name="最大ドラ数" localSheetId="16">ぱぱ!$B$28</definedName>
    <definedName name="最大ドラ数" localSheetId="17">ほたに!$B$28</definedName>
    <definedName name="最大ドラ数" localSheetId="15">まっつん!$B$28</definedName>
    <definedName name="最大ドラ数" localSheetId="12">やがさき!$B$28</definedName>
    <definedName name="最大ドラ数" localSheetId="22">ゆう!$B$28</definedName>
    <definedName name="最大ドラ数" localSheetId="7">りくと!$B$28</definedName>
    <definedName name="最大ドラ数" localSheetId="13">れんたろう!$B$28</definedName>
    <definedName name="最大ドラ数" localSheetId="3">全体!$B$28</definedName>
    <definedName name="最大ドラ数">Template!$B$28</definedName>
    <definedName name="最大点数" localSheetId="14">あさひ!$B$29</definedName>
    <definedName name="最大点数" localSheetId="8">いっしー!$B$29</definedName>
    <definedName name="最大点数" localSheetId="9">がくと!$B$29</definedName>
    <definedName name="最大点数" localSheetId="5">かこたろう!$B$29</definedName>
    <definedName name="最大点数" localSheetId="18">かわたつ!$B$29</definedName>
    <definedName name="最大点数" localSheetId="4">だいち!$B$29</definedName>
    <definedName name="最大点数" localSheetId="21">たか!$B$29</definedName>
    <definedName name="最大点数" localSheetId="10">たかの!$B$29</definedName>
    <definedName name="最大点数" localSheetId="11">ただ!$B$29</definedName>
    <definedName name="最大点数" localSheetId="20">ちさと!$B$29</definedName>
    <definedName name="最大点数" localSheetId="6">ともき!$B$29</definedName>
    <definedName name="最大点数" localSheetId="19">のり!$B$29</definedName>
    <definedName name="最大点数" localSheetId="16">ぱぱ!$B$29</definedName>
    <definedName name="最大点数" localSheetId="17">ほたに!$B$29</definedName>
    <definedName name="最大点数" localSheetId="15">まっつん!$B$29</definedName>
    <definedName name="最大点数" localSheetId="12">やがさき!$B$29</definedName>
    <definedName name="最大点数" localSheetId="22">ゆう!$B$29</definedName>
    <definedName name="最大点数" localSheetId="7">りくと!$B$29</definedName>
    <definedName name="最大点数" localSheetId="13">れんたろう!$B$29</definedName>
    <definedName name="最大点数" localSheetId="3">全体!$B$29</definedName>
    <definedName name="最大点数">Template!$B$29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あさひ!$C$22</definedName>
    <definedName name="通算アガリ点" localSheetId="8">いっしー!$C$22</definedName>
    <definedName name="通算アガリ点" localSheetId="9">がくと!$C$22</definedName>
    <definedName name="通算アガリ点" localSheetId="5">かこたろう!$C$22</definedName>
    <definedName name="通算アガリ点" localSheetId="18">かわたつ!$C$22</definedName>
    <definedName name="通算アガリ点" localSheetId="4">だいち!$C$22</definedName>
    <definedName name="通算アガリ点" localSheetId="21">たか!$C$22</definedName>
    <definedName name="通算アガリ点" localSheetId="10">たかの!$C$22</definedName>
    <definedName name="通算アガリ点" localSheetId="11">ただ!$C$22</definedName>
    <definedName name="通算アガリ点" localSheetId="20">ちさと!$C$22</definedName>
    <definedName name="通算アガリ点" localSheetId="6">ともき!$C$22</definedName>
    <definedName name="通算アガリ点" localSheetId="19">のり!$C$22</definedName>
    <definedName name="通算アガリ点" localSheetId="16">ぱぱ!$C$22</definedName>
    <definedName name="通算アガリ点" localSheetId="17">ほたに!$C$22</definedName>
    <definedName name="通算アガリ点" localSheetId="15">まっつん!$C$22</definedName>
    <definedName name="通算アガリ点" localSheetId="12">やがさき!$C$22</definedName>
    <definedName name="通算アガリ点" localSheetId="22">ゆう!$C$22</definedName>
    <definedName name="通算アガリ点" localSheetId="7">りくと!$C$22</definedName>
    <definedName name="通算アガリ点" localSheetId="13">れんたろう!$C$22</definedName>
    <definedName name="通算アガリ点" localSheetId="3">全体!$C$22</definedName>
    <definedName name="通算アガリ点">Template!$C$22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あさひ!$C$24</definedName>
    <definedName name="通算副露アガリ点" localSheetId="8">いっしー!$C$24</definedName>
    <definedName name="通算副露アガリ点" localSheetId="9">がくと!$C$24</definedName>
    <definedName name="通算副露アガリ点" localSheetId="5">かこたろう!$C$24</definedName>
    <definedName name="通算副露アガリ点" localSheetId="18">かわたつ!$C$24</definedName>
    <definedName name="通算副露アガリ点" localSheetId="4">だいち!$C$24</definedName>
    <definedName name="通算副露アガリ点" localSheetId="21">たか!$C$24</definedName>
    <definedName name="通算副露アガリ点" localSheetId="10">たかの!$C$24</definedName>
    <definedName name="通算副露アガリ点" localSheetId="11">ただ!$C$24</definedName>
    <definedName name="通算副露アガリ点" localSheetId="20">ちさと!$C$24</definedName>
    <definedName name="通算副露アガリ点" localSheetId="6">ともき!$C$24</definedName>
    <definedName name="通算副露アガリ点" localSheetId="19">のり!$C$24</definedName>
    <definedName name="通算副露アガリ点" localSheetId="16">ぱぱ!$C$24</definedName>
    <definedName name="通算副露アガリ点" localSheetId="17">ほたに!$C$24</definedName>
    <definedName name="通算副露アガリ点" localSheetId="15">まっつん!$C$24</definedName>
    <definedName name="通算副露アガリ点" localSheetId="12">やがさき!$C$24</definedName>
    <definedName name="通算副露アガリ点" localSheetId="22">ゆう!$C$24</definedName>
    <definedName name="通算副露アガリ点" localSheetId="7">りくと!$C$24</definedName>
    <definedName name="通算副露アガリ点" localSheetId="13">れんたろう!$C$24</definedName>
    <definedName name="通算副露アガリ点" localSheetId="3">全体!$C$24</definedName>
    <definedName name="通算副露アガリ点">Template!$C$24</definedName>
    <definedName name="通算放銃点" localSheetId="14">あさひ!$C$25</definedName>
    <definedName name="通算放銃点" localSheetId="8">いっしー!$C$25</definedName>
    <definedName name="通算放銃点" localSheetId="9">がくと!$C$25</definedName>
    <definedName name="通算放銃点" localSheetId="5">かこたろう!$C$25</definedName>
    <definedName name="通算放銃点" localSheetId="18">かわたつ!$C$25</definedName>
    <definedName name="通算放銃点" localSheetId="4">だいち!$C$25</definedName>
    <definedName name="通算放銃点" localSheetId="21">たか!$C$25</definedName>
    <definedName name="通算放銃点" localSheetId="10">たかの!$C$25</definedName>
    <definedName name="通算放銃点" localSheetId="11">ただ!$C$25</definedName>
    <definedName name="通算放銃点" localSheetId="20">ちさと!$C$25</definedName>
    <definedName name="通算放銃点" localSheetId="6">ともき!$C$25</definedName>
    <definedName name="通算放銃点" localSheetId="19">のり!$C$25</definedName>
    <definedName name="通算放銃点" localSheetId="16">ぱぱ!$C$25</definedName>
    <definedName name="通算放銃点" localSheetId="17">ほたに!$C$25</definedName>
    <definedName name="通算放銃点" localSheetId="15">まっつん!$C$25</definedName>
    <definedName name="通算放銃点" localSheetId="12">やがさき!$C$25</definedName>
    <definedName name="通算放銃点" localSheetId="22">ゆう!$C$25</definedName>
    <definedName name="通算放銃点" localSheetId="7">りくと!$C$25</definedName>
    <definedName name="通算放銃点" localSheetId="13">れんたろう!$C$25</definedName>
    <definedName name="通算放銃点" localSheetId="3">全体!$C$25</definedName>
    <definedName name="通算放銃点">Template!$C$25</definedName>
    <definedName name="通算門前アガリ点" localSheetId="14">あさひ!$C$23</definedName>
    <definedName name="通算門前アガリ点" localSheetId="8">いっしー!$C$23</definedName>
    <definedName name="通算門前アガリ点" localSheetId="9">がくと!$C$23</definedName>
    <definedName name="通算門前アガリ点" localSheetId="5">かこたろう!$C$23</definedName>
    <definedName name="通算門前アガリ点" localSheetId="18">かわたつ!$C$23</definedName>
    <definedName name="通算門前アガリ点" localSheetId="4">だいち!$C$23</definedName>
    <definedName name="通算門前アガリ点" localSheetId="21">たか!$C$23</definedName>
    <definedName name="通算門前アガリ点" localSheetId="10">たかの!$C$23</definedName>
    <definedName name="通算門前アガリ点" localSheetId="11">ただ!$C$23</definedName>
    <definedName name="通算門前アガリ点" localSheetId="20">ちさと!$C$23</definedName>
    <definedName name="通算門前アガリ点" localSheetId="6">ともき!$C$23</definedName>
    <definedName name="通算門前アガリ点" localSheetId="19">のり!$C$23</definedName>
    <definedName name="通算門前アガリ点" localSheetId="16">ぱぱ!$C$23</definedName>
    <definedName name="通算門前アガリ点" localSheetId="17">ほたに!$C$23</definedName>
    <definedName name="通算門前アガリ点" localSheetId="15">まっつん!$C$23</definedName>
    <definedName name="通算門前アガリ点" localSheetId="12">やがさき!$C$23</definedName>
    <definedName name="通算門前アガリ点" localSheetId="22">ゆう!$C$23</definedName>
    <definedName name="通算門前アガリ点" localSheetId="7">りくと!$C$23</definedName>
    <definedName name="通算門前アガリ点" localSheetId="13">れんたろう!$C$23</definedName>
    <definedName name="通算門前アガリ点" localSheetId="3">全体!$C$23</definedName>
    <definedName name="通算門前アガリ点">Template!$C$23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あさひ!$B$20</definedName>
    <definedName name="副露アガリ数" localSheetId="8">いっしー!$B$20</definedName>
    <definedName name="副露アガリ数" localSheetId="9">がくと!$B$20</definedName>
    <definedName name="副露アガリ数" localSheetId="5">かこたろう!$B$20</definedName>
    <definedName name="副露アガリ数" localSheetId="18">かわたつ!$B$20</definedName>
    <definedName name="副露アガリ数" localSheetId="4">だいち!$B$20</definedName>
    <definedName name="副露アガリ数" localSheetId="21">たか!$B$20</definedName>
    <definedName name="副露アガリ数" localSheetId="10">たかの!$B$20</definedName>
    <definedName name="副露アガリ数" localSheetId="11">ただ!$B$20</definedName>
    <definedName name="副露アガリ数" localSheetId="20">ちさと!$B$20</definedName>
    <definedName name="副露アガリ数" localSheetId="6">ともき!$B$20</definedName>
    <definedName name="副露アガリ数" localSheetId="19">のり!$B$20</definedName>
    <definedName name="副露アガリ数" localSheetId="16">ぱぱ!$B$20</definedName>
    <definedName name="副露アガリ数" localSheetId="17">ほたに!$B$20</definedName>
    <definedName name="副露アガリ数" localSheetId="15">まっつん!$B$20</definedName>
    <definedName name="副露アガリ数" localSheetId="12">やがさき!$B$20</definedName>
    <definedName name="副露アガリ数" localSheetId="22">ゆう!$B$20</definedName>
    <definedName name="副露アガリ数" localSheetId="7">りくと!$B$20</definedName>
    <definedName name="副露アガリ数" localSheetId="13">れんたろう!$B$20</definedName>
    <definedName name="副露アガリ数" localSheetId="3">全体!$B$20</definedName>
    <definedName name="副露アガリ数">Template!$B$20</definedName>
    <definedName name="副露アガリ点" localSheetId="14">あさひ!$B$24</definedName>
    <definedName name="副露アガリ点" localSheetId="8">いっしー!$B$24</definedName>
    <definedName name="副露アガリ点" localSheetId="9">がくと!$B$24</definedName>
    <definedName name="副露アガリ点" localSheetId="5">かこたろう!$B$24</definedName>
    <definedName name="副露アガリ点" localSheetId="18">かわたつ!$B$24</definedName>
    <definedName name="副露アガリ点" localSheetId="4">だいち!$B$24</definedName>
    <definedName name="副露アガリ点" localSheetId="21">たか!$B$24</definedName>
    <definedName name="副露アガリ点" localSheetId="10">たかの!$B$24</definedName>
    <definedName name="副露アガリ点" localSheetId="11">ただ!$B$24</definedName>
    <definedName name="副露アガリ点" localSheetId="20">ちさと!$B$24</definedName>
    <definedName name="副露アガリ点" localSheetId="6">ともき!$B$24</definedName>
    <definedName name="副露アガリ点" localSheetId="19">のり!$B$24</definedName>
    <definedName name="副露アガリ点" localSheetId="16">ぱぱ!$B$24</definedName>
    <definedName name="副露アガリ点" localSheetId="17">ほたに!$B$24</definedName>
    <definedName name="副露アガリ点" localSheetId="15">まっつん!$B$24</definedName>
    <definedName name="副露アガリ点" localSheetId="12">やがさき!$B$24</definedName>
    <definedName name="副露アガリ点" localSheetId="22">ゆう!$B$24</definedName>
    <definedName name="副露アガリ点" localSheetId="7">りくと!$B$24</definedName>
    <definedName name="副露アガリ点" localSheetId="13">れんたろう!$B$24</definedName>
    <definedName name="副露アガリ点" localSheetId="3">全体!$B$24</definedName>
    <definedName name="副露アガリ点">Template!$B$24</definedName>
    <definedName name="副露アガリ率" localSheetId="14">あさひ!$C$20</definedName>
    <definedName name="副露アガリ率" localSheetId="8">いっしー!$C$20</definedName>
    <definedName name="副露アガリ率" localSheetId="9">がくと!$C$20</definedName>
    <definedName name="副露アガリ率" localSheetId="5">かこたろう!$C$20</definedName>
    <definedName name="副露アガリ率" localSheetId="18">かわたつ!$C$20</definedName>
    <definedName name="副露アガリ率" localSheetId="4">だいち!$C$20</definedName>
    <definedName name="副露アガリ率" localSheetId="21">たか!$C$20</definedName>
    <definedName name="副露アガリ率" localSheetId="10">たかの!$C$20</definedName>
    <definedName name="副露アガリ率" localSheetId="11">ただ!$C$20</definedName>
    <definedName name="副露アガリ率" localSheetId="20">ちさと!$C$20</definedName>
    <definedName name="副露アガリ率" localSheetId="6">ともき!$C$20</definedName>
    <definedName name="副露アガリ率" localSheetId="19">のり!$C$20</definedName>
    <definedName name="副露アガリ率" localSheetId="16">ぱぱ!$C$20</definedName>
    <definedName name="副露アガリ率" localSheetId="17">ほたに!$C$20</definedName>
    <definedName name="副露アガリ率" localSheetId="15">まっつん!$C$20</definedName>
    <definedName name="副露アガリ率" localSheetId="12">やがさき!$C$20</definedName>
    <definedName name="副露アガリ率" localSheetId="22">ゆう!$C$20</definedName>
    <definedName name="副露アガリ率" localSheetId="7">りくと!$C$20</definedName>
    <definedName name="副露アガリ率" localSheetId="13">れんたろう!$C$20</definedName>
    <definedName name="副露アガリ率" localSheetId="3">全体!$C$20</definedName>
    <definedName name="副露アガリ率">Template!$C$20</definedName>
    <definedName name="副露数" localSheetId="14">あさひ!$B$12</definedName>
    <definedName name="副露数" localSheetId="8">いっしー!$B$12</definedName>
    <definedName name="副露数" localSheetId="9">がくと!$B$12</definedName>
    <definedName name="副露数" localSheetId="5">かこたろう!$B$12</definedName>
    <definedName name="副露数" localSheetId="18">かわたつ!$B$12</definedName>
    <definedName name="副露数" localSheetId="4">だいち!$B$12</definedName>
    <definedName name="副露数" localSheetId="21">たか!$B$12</definedName>
    <definedName name="副露数" localSheetId="10">たかの!$B$12</definedName>
    <definedName name="副露数" localSheetId="11">ただ!$B$12</definedName>
    <definedName name="副露数" localSheetId="20">ちさと!$B$12</definedName>
    <definedName name="副露数" localSheetId="6">ともき!$B$12</definedName>
    <definedName name="副露数" localSheetId="19">のり!$B$12</definedName>
    <definedName name="副露数" localSheetId="16">ぱぱ!$B$12</definedName>
    <definedName name="副露数" localSheetId="17">ほたに!$B$12</definedName>
    <definedName name="副露数" localSheetId="15">まっつん!$B$12</definedName>
    <definedName name="副露数" localSheetId="12">やがさき!$B$12</definedName>
    <definedName name="副露数" localSheetId="22">ゆう!$B$12</definedName>
    <definedName name="副露数" localSheetId="7">りくと!$B$12</definedName>
    <definedName name="副露数" localSheetId="13">れんたろう!$B$12</definedName>
    <definedName name="副露数" localSheetId="3">全体!$B$12</definedName>
    <definedName name="副露数">Template!$B$12</definedName>
    <definedName name="副露成功数" localSheetId="14">あさひ!$B$14</definedName>
    <definedName name="副露成功数" localSheetId="8">いっしー!$B$14</definedName>
    <definedName name="副露成功数" localSheetId="9">がくと!$B$14</definedName>
    <definedName name="副露成功数" localSheetId="5">かこたろう!$B$14</definedName>
    <definedName name="副露成功数" localSheetId="18">かわたつ!$B$14</definedName>
    <definedName name="副露成功数" localSheetId="4">だいち!$B$14</definedName>
    <definedName name="副露成功数" localSheetId="21">たか!$B$14</definedName>
    <definedName name="副露成功数" localSheetId="10">たかの!$B$14</definedName>
    <definedName name="副露成功数" localSheetId="11">ただ!$B$14</definedName>
    <definedName name="副露成功数" localSheetId="20">ちさと!$B$14</definedName>
    <definedName name="副露成功数" localSheetId="6">ともき!$B$14</definedName>
    <definedName name="副露成功数" localSheetId="19">のり!$B$14</definedName>
    <definedName name="副露成功数" localSheetId="16">ぱぱ!$B$14</definedName>
    <definedName name="副露成功数" localSheetId="17">ほたに!$B$14</definedName>
    <definedName name="副露成功数" localSheetId="15">まっつん!$B$14</definedName>
    <definedName name="副露成功数" localSheetId="12">やがさき!$B$14</definedName>
    <definedName name="副露成功数" localSheetId="22">ゆう!$B$14</definedName>
    <definedName name="副露成功数" localSheetId="7">りくと!$B$14</definedName>
    <definedName name="副露成功数" localSheetId="13">れんたろう!$B$14</definedName>
    <definedName name="副露成功数" localSheetId="3">全体!$B$14</definedName>
    <definedName name="副露成功数">Template!$B$14</definedName>
    <definedName name="副露成功率" localSheetId="14">あさひ!$C$14</definedName>
    <definedName name="副露成功率" localSheetId="8">いっしー!$C$14</definedName>
    <definedName name="副露成功率" localSheetId="9">がくと!$C$14</definedName>
    <definedName name="副露成功率" localSheetId="5">かこたろう!$C$14</definedName>
    <definedName name="副露成功率" localSheetId="18">かわたつ!$C$14</definedName>
    <definedName name="副露成功率" localSheetId="4">だいち!$C$14</definedName>
    <definedName name="副露成功率" localSheetId="21">たか!$C$14</definedName>
    <definedName name="副露成功率" localSheetId="10">たかの!$C$14</definedName>
    <definedName name="副露成功率" localSheetId="11">ただ!$C$14</definedName>
    <definedName name="副露成功率" localSheetId="20">ちさと!$C$14</definedName>
    <definedName name="副露成功率" localSheetId="6">ともき!$C$14</definedName>
    <definedName name="副露成功率" localSheetId="19">のり!$C$14</definedName>
    <definedName name="副露成功率" localSheetId="16">ぱぱ!$C$14</definedName>
    <definedName name="副露成功率" localSheetId="17">ほたに!$C$14</definedName>
    <definedName name="副露成功率" localSheetId="15">まっつん!$C$14</definedName>
    <definedName name="副露成功率" localSheetId="12">やがさき!$C$14</definedName>
    <definedName name="副露成功率" localSheetId="22">ゆう!$C$14</definedName>
    <definedName name="副露成功率" localSheetId="7">りくと!$C$14</definedName>
    <definedName name="副露成功率" localSheetId="13">れんたろう!$C$14</definedName>
    <definedName name="副露成功率" localSheetId="3">全体!$C$14</definedName>
    <definedName name="副露成功率">Template!$C$14</definedName>
    <definedName name="副露率" localSheetId="14">あさひ!$C$12</definedName>
    <definedName name="副露率" localSheetId="8">いっしー!$C$12</definedName>
    <definedName name="副露率" localSheetId="9">がくと!$C$12</definedName>
    <definedName name="副露率" localSheetId="5">かこたろう!$C$12</definedName>
    <definedName name="副露率" localSheetId="18">かわたつ!$C$12</definedName>
    <definedName name="副露率" localSheetId="4">だいち!$C$12</definedName>
    <definedName name="副露率" localSheetId="21">たか!$C$12</definedName>
    <definedName name="副露率" localSheetId="10">たかの!$C$12</definedName>
    <definedName name="副露率" localSheetId="11">ただ!$C$12</definedName>
    <definedName name="副露率" localSheetId="20">ちさと!$C$12</definedName>
    <definedName name="副露率" localSheetId="6">ともき!$C$12</definedName>
    <definedName name="副露率" localSheetId="19">のり!$C$12</definedName>
    <definedName name="副露率" localSheetId="16">ぱぱ!$C$12</definedName>
    <definedName name="副露率" localSheetId="17">ほたに!$C$12</definedName>
    <definedName name="副露率" localSheetId="15">まっつん!$C$12</definedName>
    <definedName name="副露率" localSheetId="12">やがさき!$C$12</definedName>
    <definedName name="副露率" localSheetId="22">ゆう!$C$12</definedName>
    <definedName name="副露率" localSheetId="7">りくと!$C$12</definedName>
    <definedName name="副露率" localSheetId="13">れんたろう!$C$12</definedName>
    <definedName name="副露率" localSheetId="3">全体!$C$12</definedName>
    <definedName name="副露率">Template!$C$12</definedName>
    <definedName name="平均アガリ点" localSheetId="14">あさひ!$B$22</definedName>
    <definedName name="平均アガリ点" localSheetId="8">いっしー!$B$22</definedName>
    <definedName name="平均アガリ点" localSheetId="9">がくと!$B$22</definedName>
    <definedName name="平均アガリ点" localSheetId="5">かこたろう!$B$22</definedName>
    <definedName name="平均アガリ点" localSheetId="18">かわたつ!$B$22</definedName>
    <definedName name="平均アガリ点" localSheetId="4">だいち!$B$22</definedName>
    <definedName name="平均アガリ点" localSheetId="21">たか!$B$22</definedName>
    <definedName name="平均アガリ点" localSheetId="10">たかの!$B$22</definedName>
    <definedName name="平均アガリ点" localSheetId="11">ただ!$B$22</definedName>
    <definedName name="平均アガリ点" localSheetId="20">ちさと!$B$22</definedName>
    <definedName name="平均アガリ点" localSheetId="6">ともき!$B$22</definedName>
    <definedName name="平均アガリ点" localSheetId="19">のり!$B$22</definedName>
    <definedName name="平均アガリ点" localSheetId="16">ぱぱ!$B$22</definedName>
    <definedName name="平均アガリ点" localSheetId="17">ほたに!$B$22</definedName>
    <definedName name="平均アガリ点" localSheetId="15">まっつん!$B$22</definedName>
    <definedName name="平均アガリ点" localSheetId="12">やがさき!$B$22</definedName>
    <definedName name="平均アガリ点" localSheetId="22">ゆう!$B$22</definedName>
    <definedName name="平均アガリ点" localSheetId="7">りくと!$B$22</definedName>
    <definedName name="平均アガリ点" localSheetId="13">れんたろう!$B$22</definedName>
    <definedName name="平均アガリ点" localSheetId="3">全体!$B$22</definedName>
    <definedName name="平均アガリ点">Template!$B$22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あさひ!$B$25</definedName>
    <definedName name="平均放銃点" localSheetId="8">いっしー!$B$25</definedName>
    <definedName name="平均放銃点" localSheetId="9">がくと!$B$25</definedName>
    <definedName name="平均放銃点" localSheetId="5">かこたろう!$B$25</definedName>
    <definedName name="平均放銃点" localSheetId="18">かわたつ!$B$25</definedName>
    <definedName name="平均放銃点" localSheetId="4">だいち!$B$25</definedName>
    <definedName name="平均放銃点" localSheetId="21">たか!$B$25</definedName>
    <definedName name="平均放銃点" localSheetId="10">たかの!$B$25</definedName>
    <definedName name="平均放銃点" localSheetId="11">ただ!$B$25</definedName>
    <definedName name="平均放銃点" localSheetId="20">ちさと!$B$25</definedName>
    <definedName name="平均放銃点" localSheetId="6">ともき!$B$25</definedName>
    <definedName name="平均放銃点" localSheetId="19">のり!$B$25</definedName>
    <definedName name="平均放銃点" localSheetId="16">ぱぱ!$B$25</definedName>
    <definedName name="平均放銃点" localSheetId="17">ほたに!$B$25</definedName>
    <definedName name="平均放銃点" localSheetId="15">まっつん!$B$25</definedName>
    <definedName name="平均放銃点" localSheetId="12">やがさき!$B$25</definedName>
    <definedName name="平均放銃点" localSheetId="22">ゆう!$B$25</definedName>
    <definedName name="平均放銃点" localSheetId="7">りくと!$B$25</definedName>
    <definedName name="平均放銃点" localSheetId="13">れんたろう!$B$25</definedName>
    <definedName name="平均放銃点" localSheetId="3">全体!$B$25</definedName>
    <definedName name="平均放銃点">Template!$B$25</definedName>
    <definedName name="放銃数" localSheetId="14">あさひ!$B$16</definedName>
    <definedName name="放銃数" localSheetId="8">いっしー!$B$16</definedName>
    <definedName name="放銃数" localSheetId="9">がくと!$B$16</definedName>
    <definedName name="放銃数" localSheetId="5">かこたろう!$B$16</definedName>
    <definedName name="放銃数" localSheetId="18">かわたつ!$B$16</definedName>
    <definedName name="放銃数" localSheetId="4">だいち!$B$16</definedName>
    <definedName name="放銃数" localSheetId="21">たか!$B$16</definedName>
    <definedName name="放銃数" localSheetId="10">たかの!$B$16</definedName>
    <definedName name="放銃数" localSheetId="11">ただ!$B$16</definedName>
    <definedName name="放銃数" localSheetId="20">ちさと!$B$16</definedName>
    <definedName name="放銃数" localSheetId="6">ともき!$B$16</definedName>
    <definedName name="放銃数" localSheetId="19">のり!$B$16</definedName>
    <definedName name="放銃数" localSheetId="16">ぱぱ!$B$16</definedName>
    <definedName name="放銃数" localSheetId="17">ほたに!$B$16</definedName>
    <definedName name="放銃数" localSheetId="15">まっつん!$B$16</definedName>
    <definedName name="放銃数" localSheetId="12">やがさき!$B$16</definedName>
    <definedName name="放銃数" localSheetId="22">ゆう!$B$16</definedName>
    <definedName name="放銃数" localSheetId="7">りくと!$B$16</definedName>
    <definedName name="放銃数" localSheetId="13">れんたろう!$B$16</definedName>
    <definedName name="放銃数" localSheetId="3">全体!$B$16</definedName>
    <definedName name="放銃数">Template!$B$16</definedName>
    <definedName name="放銃率" localSheetId="14">あさひ!$C$16</definedName>
    <definedName name="放銃率" localSheetId="8">いっしー!$C$16</definedName>
    <definedName name="放銃率" localSheetId="9">がくと!$C$16</definedName>
    <definedName name="放銃率" localSheetId="5">かこたろう!$C$16</definedName>
    <definedName name="放銃率" localSheetId="18">かわたつ!$C$16</definedName>
    <definedName name="放銃率" localSheetId="4">だいち!$C$16</definedName>
    <definedName name="放銃率" localSheetId="21">たか!$C$16</definedName>
    <definedName name="放銃率" localSheetId="10">たかの!$C$16</definedName>
    <definedName name="放銃率" localSheetId="11">ただ!$C$16</definedName>
    <definedName name="放銃率" localSheetId="20">ちさと!$C$16</definedName>
    <definedName name="放銃率" localSheetId="6">ともき!$C$16</definedName>
    <definedName name="放銃率" localSheetId="19">のり!$C$16</definedName>
    <definedName name="放銃率" localSheetId="16">ぱぱ!$C$16</definedName>
    <definedName name="放銃率" localSheetId="17">ほたに!$C$16</definedName>
    <definedName name="放銃率" localSheetId="15">まっつん!$C$16</definedName>
    <definedName name="放銃率" localSheetId="12">やがさき!$C$16</definedName>
    <definedName name="放銃率" localSheetId="22">ゆう!$C$16</definedName>
    <definedName name="放銃率" localSheetId="7">りくと!$C$16</definedName>
    <definedName name="放銃率" localSheetId="13">れんたろう!$C$16</definedName>
    <definedName name="放銃率" localSheetId="3">全体!$C$16</definedName>
    <definedName name="放銃率">Template!$C$16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あさひ!$B$23</definedName>
    <definedName name="門前アガリ点" localSheetId="8">いっしー!$B$23</definedName>
    <definedName name="門前アガリ点" localSheetId="9">がくと!$B$23</definedName>
    <definedName name="門前アガリ点" localSheetId="5">かこたろう!$B$23</definedName>
    <definedName name="門前アガリ点" localSheetId="18">かわたつ!$B$23</definedName>
    <definedName name="門前アガリ点" localSheetId="4">だいち!$B$23</definedName>
    <definedName name="門前アガリ点" localSheetId="21">たか!$B$23</definedName>
    <definedName name="門前アガリ点" localSheetId="10">たかの!$B$23</definedName>
    <definedName name="門前アガリ点" localSheetId="11">ただ!$B$23</definedName>
    <definedName name="門前アガリ点" localSheetId="20">ちさと!$B$23</definedName>
    <definedName name="門前アガリ点" localSheetId="6">ともき!$B$23</definedName>
    <definedName name="門前アガリ点" localSheetId="19">のり!$B$23</definedName>
    <definedName name="門前アガリ点" localSheetId="16">ぱぱ!$B$23</definedName>
    <definedName name="門前アガリ点" localSheetId="17">ほたに!$B$23</definedName>
    <definedName name="門前アガリ点" localSheetId="15">まっつん!$B$23</definedName>
    <definedName name="門前アガリ点" localSheetId="12">やがさき!$B$23</definedName>
    <definedName name="門前アガリ点" localSheetId="22">ゆう!$B$23</definedName>
    <definedName name="門前アガリ点" localSheetId="7">りくと!$B$23</definedName>
    <definedName name="門前アガリ点" localSheetId="13">れんたろう!$B$23</definedName>
    <definedName name="門前アガリ点" localSheetId="3">全体!$B$23</definedName>
    <definedName name="門前アガリ点">Template!$B$23</definedName>
    <definedName name="連続アガリ" localSheetId="14">あさひ!$B$26</definedName>
    <definedName name="連続アガリ" localSheetId="8">いっしー!$B$26</definedName>
    <definedName name="連続アガリ" localSheetId="9">がくと!$B$26</definedName>
    <definedName name="連続アガリ" localSheetId="5">かこたろう!$B$26</definedName>
    <definedName name="連続アガリ" localSheetId="18">かわたつ!$B$26</definedName>
    <definedName name="連続アガリ" localSheetId="4">だいち!$B$26</definedName>
    <definedName name="連続アガリ" localSheetId="21">たか!$B$26</definedName>
    <definedName name="連続アガリ" localSheetId="10">たかの!$B$26</definedName>
    <definedName name="連続アガリ" localSheetId="11">ただ!$B$26</definedName>
    <definedName name="連続アガリ" localSheetId="20">ちさと!$B$26</definedName>
    <definedName name="連続アガリ" localSheetId="6">ともき!$B$26</definedName>
    <definedName name="連続アガリ" localSheetId="19">のり!$B$26</definedName>
    <definedName name="連続アガリ" localSheetId="16">ぱぱ!$B$26</definedName>
    <definedName name="連続アガリ" localSheetId="17">ほたに!$B$26</definedName>
    <definedName name="連続アガリ" localSheetId="15">まっつん!$B$26</definedName>
    <definedName name="連続アガリ" localSheetId="12">やがさき!$B$26</definedName>
    <definedName name="連続アガリ" localSheetId="22">ゆう!$B$26</definedName>
    <definedName name="連続アガリ" localSheetId="7">りくと!$B$26</definedName>
    <definedName name="連続アガリ" localSheetId="13">れんたろう!$B$26</definedName>
    <definedName name="連続アガリ" localSheetId="3">全体!$B$26</definedName>
    <definedName name="連続アガリ">Template!$B$26</definedName>
    <definedName name="連続無放銃" localSheetId="14">あさひ!$B$27</definedName>
    <definedName name="連続無放銃" localSheetId="8">いっしー!$B$27</definedName>
    <definedName name="連続無放銃" localSheetId="9">がくと!$B$27</definedName>
    <definedName name="連続無放銃" localSheetId="5">かこたろう!$B$27</definedName>
    <definedName name="連続無放銃" localSheetId="18">かわたつ!$B$27</definedName>
    <definedName name="連続無放銃" localSheetId="4">だいち!$B$27</definedName>
    <definedName name="連続無放銃" localSheetId="21">たか!$B$27</definedName>
    <definedName name="連続無放銃" localSheetId="10">たかの!$B$27</definedName>
    <definedName name="連続無放銃" localSheetId="11">ただ!$B$27</definedName>
    <definedName name="連続無放銃" localSheetId="20">ちさと!$B$27</definedName>
    <definedName name="連続無放銃" localSheetId="6">ともき!$B$27</definedName>
    <definedName name="連続無放銃" localSheetId="19">のり!$B$27</definedName>
    <definedName name="連続無放銃" localSheetId="16">ぱぱ!$B$27</definedName>
    <definedName name="連続無放銃" localSheetId="17">ほたに!$B$27</definedName>
    <definedName name="連続無放銃" localSheetId="15">まっつん!$B$27</definedName>
    <definedName name="連続無放銃" localSheetId="12">やがさき!$B$27</definedName>
    <definedName name="連続無放銃" localSheetId="22">ゆう!$B$27</definedName>
    <definedName name="連続無放銃" localSheetId="7">りくと!$B$27</definedName>
    <definedName name="連続無放銃" localSheetId="13">れんたろう!$B$27</definedName>
    <definedName name="連続無放銃" localSheetId="3">全体!$B$27</definedName>
    <definedName name="連続無放銃">Template!$B$27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528" l="1"/>
  <c r="O16" i="3528"/>
  <c r="O15" i="3528"/>
  <c r="H52" i="3528"/>
  <c r="H4" i="3528"/>
  <c r="H51" i="3528"/>
  <c r="H50" i="3528"/>
  <c r="H49" i="3528"/>
  <c r="H48" i="3528"/>
  <c r="H47" i="3528"/>
  <c r="H46" i="3528"/>
  <c r="H45" i="3528"/>
  <c r="C44" i="3528"/>
  <c r="H44" i="3528"/>
  <c r="C43" i="3528"/>
  <c r="H43" i="3528"/>
  <c r="C42" i="3528"/>
  <c r="H42" i="3528"/>
  <c r="C41" i="3528"/>
  <c r="H41" i="3528"/>
  <c r="C40" i="3528"/>
  <c r="H40" i="3528"/>
  <c r="C39" i="3528"/>
  <c r="H39" i="3528"/>
  <c r="C38" i="3528"/>
  <c r="H38" i="3528"/>
  <c r="C37" i="3528"/>
  <c r="H37" i="3528"/>
  <c r="C36" i="3528"/>
  <c r="H36" i="3528"/>
  <c r="C35" i="3528"/>
  <c r="H35" i="3528"/>
  <c r="C34" i="3528"/>
  <c r="H34" i="3528"/>
  <c r="C33" i="3528"/>
  <c r="H33" i="3528"/>
  <c r="C32" i="3528"/>
  <c r="H32" i="3528"/>
  <c r="H31" i="3528"/>
  <c r="C30" i="3528"/>
  <c r="H30" i="3528"/>
  <c r="H29" i="3528"/>
  <c r="H9" i="3528"/>
  <c r="H28" i="3528"/>
  <c r="H12" i="3528"/>
  <c r="B25" i="3528"/>
  <c r="H27" i="3528"/>
  <c r="B24" i="3528"/>
  <c r="H26" i="3528"/>
  <c r="B23" i="3528"/>
  <c r="H25" i="3528"/>
  <c r="B22" i="3528"/>
  <c r="H24" i="3528"/>
  <c r="C21" i="3528"/>
  <c r="H23" i="3528"/>
  <c r="C20" i="3528"/>
  <c r="H22" i="3528"/>
  <c r="C19" i="3528"/>
  <c r="H21" i="3528"/>
  <c r="C18" i="3528"/>
  <c r="H20" i="3528"/>
  <c r="C17" i="3528"/>
  <c r="H5" i="3528"/>
  <c r="C16" i="3528"/>
  <c r="H19" i="3528"/>
  <c r="C15" i="3528"/>
  <c r="H18" i="3528"/>
  <c r="C14" i="3528"/>
  <c r="H17" i="3528"/>
  <c r="C13" i="3528"/>
  <c r="O12" i="3528"/>
  <c r="H16" i="3528"/>
  <c r="C12" i="3528"/>
  <c r="O11" i="3528"/>
  <c r="H15" i="3528"/>
  <c r="C11" i="3528"/>
  <c r="O10" i="3528"/>
  <c r="H8" i="3528"/>
  <c r="C10" i="3528"/>
  <c r="H14" i="3528"/>
  <c r="C9" i="3528"/>
  <c r="H13" i="3528"/>
  <c r="C8" i="3528"/>
  <c r="O7" i="3528"/>
  <c r="H7" i="3528"/>
  <c r="C7" i="3528"/>
  <c r="O6" i="3528"/>
  <c r="H6" i="3528"/>
  <c r="B6" i="3528"/>
  <c r="O5" i="3528"/>
  <c r="H11" i="3528"/>
  <c r="B5" i="3528"/>
  <c r="O4" i="3528"/>
  <c r="H3" i="3528"/>
  <c r="O3" i="3528"/>
  <c r="H10" i="3528"/>
  <c r="O2" i="3528"/>
  <c r="H2" i="3528"/>
  <c r="O19" i="3527"/>
  <c r="O18" i="3527"/>
  <c r="O17" i="3527"/>
  <c r="O16" i="3527"/>
  <c r="O15" i="3527"/>
  <c r="H52" i="3527"/>
  <c r="H5" i="3527"/>
  <c r="H51" i="3527"/>
  <c r="H50" i="3527"/>
  <c r="H49" i="3527"/>
  <c r="H48" i="3527"/>
  <c r="H47" i="3527"/>
  <c r="H46" i="3527"/>
  <c r="H45" i="3527"/>
  <c r="C44" i="3527"/>
  <c r="H44" i="3527"/>
  <c r="C43" i="3527"/>
  <c r="H43" i="3527"/>
  <c r="C42" i="3527"/>
  <c r="H42" i="3527"/>
  <c r="C41" i="3527"/>
  <c r="H41" i="3527"/>
  <c r="C40" i="3527"/>
  <c r="H40" i="3527"/>
  <c r="C39" i="3527"/>
  <c r="H39" i="3527"/>
  <c r="C38" i="3527"/>
  <c r="H38" i="3527"/>
  <c r="C37" i="3527"/>
  <c r="H37" i="3527"/>
  <c r="C36" i="3527"/>
  <c r="H36" i="3527"/>
  <c r="C35" i="3527"/>
  <c r="H35" i="3527"/>
  <c r="C34" i="3527"/>
  <c r="H34" i="3527"/>
  <c r="C33" i="3527"/>
  <c r="H33" i="3527"/>
  <c r="C32" i="3527"/>
  <c r="H32" i="3527"/>
  <c r="H31" i="3527"/>
  <c r="C30" i="3527"/>
  <c r="H14" i="3527"/>
  <c r="H30" i="3527"/>
  <c r="H13" i="3527"/>
  <c r="H29" i="3527"/>
  <c r="H28" i="3527"/>
  <c r="B25" i="3527"/>
  <c r="H27" i="3527"/>
  <c r="B24" i="3527"/>
  <c r="H26" i="3527"/>
  <c r="B23" i="3527"/>
  <c r="H25" i="3527"/>
  <c r="B22" i="3527"/>
  <c r="H24" i="3527"/>
  <c r="C21" i="3527"/>
  <c r="H23" i="3527"/>
  <c r="C20" i="3527"/>
  <c r="H12" i="3527"/>
  <c r="C19" i="3527"/>
  <c r="H22" i="3527"/>
  <c r="C18" i="3527"/>
  <c r="H21" i="3527"/>
  <c r="C17" i="3527"/>
  <c r="H20" i="3527"/>
  <c r="C16" i="3527"/>
  <c r="H19" i="3527"/>
  <c r="C15" i="3527"/>
  <c r="H18" i="3527"/>
  <c r="C14" i="3527"/>
  <c r="H17" i="3527"/>
  <c r="C13" i="3527"/>
  <c r="O12" i="3527"/>
  <c r="H16" i="3527"/>
  <c r="C12" i="3527"/>
  <c r="O11" i="3527"/>
  <c r="H15" i="3527"/>
  <c r="C11" i="3527"/>
  <c r="O10" i="3527"/>
  <c r="H8" i="3527"/>
  <c r="C10" i="3527"/>
  <c r="H11" i="3527"/>
  <c r="C9" i="3527"/>
  <c r="H10" i="3527"/>
  <c r="C8" i="3527"/>
  <c r="O7" i="3527"/>
  <c r="H7" i="3527"/>
  <c r="C7" i="3527"/>
  <c r="O6" i="3527"/>
  <c r="H6" i="3527"/>
  <c r="B6" i="3527"/>
  <c r="O5" i="3527"/>
  <c r="H4" i="3527"/>
  <c r="B5" i="3527"/>
  <c r="O4" i="3527"/>
  <c r="H2" i="3527"/>
  <c r="O3" i="3527"/>
  <c r="H9" i="3527"/>
  <c r="O2" i="3527"/>
  <c r="H3" i="3527"/>
  <c r="O23" i="3512"/>
  <c r="O20" i="3512"/>
  <c r="O19" i="3512"/>
  <c r="O16" i="3512"/>
  <c r="O15" i="3512"/>
  <c r="O19" i="3514"/>
  <c r="O25" i="3522"/>
  <c r="O22" i="3525"/>
  <c r="O21" i="3525"/>
  <c r="O19" i="3525"/>
  <c r="O18" i="3525"/>
  <c r="O17" i="3525"/>
  <c r="O16" i="3525"/>
  <c r="O15" i="3525"/>
  <c r="O27" i="3521"/>
  <c r="O21" i="3521"/>
  <c r="O19" i="3519"/>
  <c r="O15" i="3513"/>
  <c r="O24" i="3517"/>
  <c r="O20" i="3510"/>
  <c r="O26" i="3516"/>
  <c r="O25" i="3516"/>
  <c r="O15" i="3516"/>
  <c r="O17" i="3509"/>
  <c r="O16" i="3526" l="1"/>
  <c r="O15" i="3526"/>
  <c r="H52" i="3526"/>
  <c r="H5" i="3526"/>
  <c r="H51" i="3526"/>
  <c r="H50" i="3526"/>
  <c r="H49" i="3526"/>
  <c r="H48" i="3526"/>
  <c r="H47" i="3526"/>
  <c r="H46" i="3526"/>
  <c r="H45" i="3526"/>
  <c r="C44" i="3526"/>
  <c r="H44" i="3526"/>
  <c r="C43" i="3526"/>
  <c r="H43" i="3526"/>
  <c r="C42" i="3526"/>
  <c r="H42" i="3526"/>
  <c r="C41" i="3526"/>
  <c r="H41" i="3526"/>
  <c r="C40" i="3526"/>
  <c r="H40" i="3526"/>
  <c r="C39" i="3526"/>
  <c r="H39" i="3526"/>
  <c r="C38" i="3526"/>
  <c r="H38" i="3526"/>
  <c r="C37" i="3526"/>
  <c r="H37" i="3526"/>
  <c r="C36" i="3526"/>
  <c r="H36" i="3526"/>
  <c r="C35" i="3526"/>
  <c r="H35" i="3526"/>
  <c r="C34" i="3526"/>
  <c r="H34" i="3526"/>
  <c r="C33" i="3526"/>
  <c r="H33" i="3526"/>
  <c r="C32" i="3526"/>
  <c r="H32" i="3526"/>
  <c r="H31" i="3526"/>
  <c r="C30" i="3526"/>
  <c r="H30" i="3526"/>
  <c r="H29" i="3526"/>
  <c r="H13" i="3526"/>
  <c r="H28" i="3526"/>
  <c r="H27" i="3526"/>
  <c r="B25" i="3526"/>
  <c r="H12" i="3526"/>
  <c r="B24" i="3526"/>
  <c r="H26" i="3526"/>
  <c r="B23" i="3526"/>
  <c r="H25" i="3526"/>
  <c r="B22" i="3526"/>
  <c r="H11" i="3526"/>
  <c r="C21" i="3526"/>
  <c r="H24" i="3526"/>
  <c r="C20" i="3526"/>
  <c r="H10" i="3526"/>
  <c r="C19" i="3526"/>
  <c r="H23" i="3526"/>
  <c r="C18" i="3526"/>
  <c r="H22" i="3526"/>
  <c r="C17" i="3526"/>
  <c r="H21" i="3526"/>
  <c r="C16" i="3526"/>
  <c r="H20" i="3526"/>
  <c r="C15" i="3526"/>
  <c r="H19" i="3526"/>
  <c r="C14" i="3526"/>
  <c r="H18" i="3526"/>
  <c r="C13" i="3526"/>
  <c r="O12" i="3526"/>
  <c r="H17" i="3526"/>
  <c r="C12" i="3526"/>
  <c r="O11" i="3526"/>
  <c r="H16" i="3526"/>
  <c r="C11" i="3526"/>
  <c r="O10" i="3526"/>
  <c r="H2" i="3526"/>
  <c r="C10" i="3526"/>
  <c r="H15" i="3526"/>
  <c r="C9" i="3526"/>
  <c r="H14" i="3526"/>
  <c r="C8" i="3526"/>
  <c r="O7" i="3526"/>
  <c r="H9" i="3526"/>
  <c r="C7" i="3526"/>
  <c r="O6" i="3526"/>
  <c r="H8" i="3526"/>
  <c r="B6" i="3526"/>
  <c r="O5" i="3526"/>
  <c r="H7" i="3526"/>
  <c r="B5" i="3526"/>
  <c r="O4" i="3526"/>
  <c r="H4" i="3526"/>
  <c r="O3" i="3526"/>
  <c r="H6" i="3526"/>
  <c r="O2" i="3526"/>
  <c r="H3" i="3526"/>
  <c r="O25" i="3525"/>
  <c r="O23" i="3525"/>
  <c r="O20" i="3525"/>
  <c r="O24" i="3525"/>
  <c r="H52" i="3525"/>
  <c r="H5" i="3525"/>
  <c r="H21" i="3525"/>
  <c r="H51" i="3525"/>
  <c r="H50" i="3525"/>
  <c r="H49" i="3525"/>
  <c r="H48" i="3525"/>
  <c r="H47" i="3525"/>
  <c r="H46" i="3525"/>
  <c r="C44" i="3525"/>
  <c r="H45" i="3525"/>
  <c r="C43" i="3525"/>
  <c r="H44" i="3525"/>
  <c r="C42" i="3525"/>
  <c r="H43" i="3525"/>
  <c r="C41" i="3525"/>
  <c r="H42" i="3525"/>
  <c r="C40" i="3525"/>
  <c r="H41" i="3525"/>
  <c r="C39" i="3525"/>
  <c r="H40" i="3525"/>
  <c r="C38" i="3525"/>
  <c r="H39" i="3525"/>
  <c r="C37" i="3525"/>
  <c r="H38" i="3525"/>
  <c r="C36" i="3525"/>
  <c r="H37" i="3525"/>
  <c r="C35" i="3525"/>
  <c r="H36" i="3525"/>
  <c r="C34" i="3525"/>
  <c r="H20" i="3525"/>
  <c r="C33" i="3525"/>
  <c r="H35" i="3525"/>
  <c r="C32" i="3525"/>
  <c r="H34" i="3525"/>
  <c r="H19" i="3525"/>
  <c r="C30" i="3525"/>
  <c r="H17" i="3525"/>
  <c r="H33" i="3525"/>
  <c r="H8" i="3525"/>
  <c r="H32" i="3525"/>
  <c r="H31" i="3525"/>
  <c r="B25" i="3525"/>
  <c r="H13" i="3525"/>
  <c r="B24" i="3525"/>
  <c r="H30" i="3525"/>
  <c r="B23" i="3525"/>
  <c r="H29" i="3525"/>
  <c r="B22" i="3525"/>
  <c r="H14" i="3525"/>
  <c r="C21" i="3525"/>
  <c r="H28" i="3525"/>
  <c r="C20" i="3525"/>
  <c r="H16" i="3525"/>
  <c r="C19" i="3525"/>
  <c r="H27" i="3525"/>
  <c r="C18" i="3525"/>
  <c r="H26" i="3525"/>
  <c r="C17" i="3525"/>
  <c r="H15" i="3525"/>
  <c r="C16" i="3525"/>
  <c r="H25" i="3525"/>
  <c r="C15" i="3525"/>
  <c r="H24" i="3525"/>
  <c r="C14" i="3525"/>
  <c r="H23" i="3525"/>
  <c r="C13" i="3525"/>
  <c r="O12" i="3525"/>
  <c r="H18" i="3525"/>
  <c r="C12" i="3525"/>
  <c r="O11" i="3525"/>
  <c r="H22" i="3525"/>
  <c r="C11" i="3525"/>
  <c r="O10" i="3525"/>
  <c r="H3" i="3525"/>
  <c r="C10" i="3525"/>
  <c r="H12" i="3525"/>
  <c r="C9" i="3525"/>
  <c r="H10" i="3525"/>
  <c r="C8" i="3525"/>
  <c r="O7" i="3525"/>
  <c r="H11" i="3525"/>
  <c r="C7" i="3525"/>
  <c r="O6" i="3525"/>
  <c r="H6" i="3525"/>
  <c r="B6" i="3525"/>
  <c r="O5" i="3525"/>
  <c r="H7" i="3525"/>
  <c r="B5" i="3525"/>
  <c r="O4" i="3525"/>
  <c r="H2" i="3525"/>
  <c r="O3" i="3525"/>
  <c r="H9" i="3525"/>
  <c r="O2" i="3525"/>
  <c r="H4" i="3525"/>
  <c r="O16" i="3524"/>
  <c r="O15" i="3524"/>
  <c r="H52" i="3524"/>
  <c r="H7" i="3524"/>
  <c r="H51" i="3524"/>
  <c r="H50" i="3524"/>
  <c r="H49" i="3524"/>
  <c r="H48" i="3524"/>
  <c r="H47" i="3524"/>
  <c r="H46" i="3524"/>
  <c r="H45" i="3524"/>
  <c r="C44" i="3524"/>
  <c r="H44" i="3524"/>
  <c r="C43" i="3524"/>
  <c r="H43" i="3524"/>
  <c r="C42" i="3524"/>
  <c r="H42" i="3524"/>
  <c r="C41" i="3524"/>
  <c r="H41" i="3524"/>
  <c r="C40" i="3524"/>
  <c r="H40" i="3524"/>
  <c r="C39" i="3524"/>
  <c r="H39" i="3524"/>
  <c r="C38" i="3524"/>
  <c r="H38" i="3524"/>
  <c r="C37" i="3524"/>
  <c r="H37" i="3524"/>
  <c r="C36" i="3524"/>
  <c r="H36" i="3524"/>
  <c r="C35" i="3524"/>
  <c r="H35" i="3524"/>
  <c r="C34" i="3524"/>
  <c r="H34" i="3524"/>
  <c r="C33" i="3524"/>
  <c r="H33" i="3524"/>
  <c r="C32" i="3524"/>
  <c r="H32" i="3524"/>
  <c r="H31" i="3524"/>
  <c r="C30" i="3524"/>
  <c r="H30" i="3524"/>
  <c r="H29" i="3524"/>
  <c r="H28" i="3524"/>
  <c r="H27" i="3524"/>
  <c r="H26" i="3524"/>
  <c r="B25" i="3524"/>
  <c r="H25" i="3524"/>
  <c r="B24" i="3524"/>
  <c r="H24" i="3524"/>
  <c r="B23" i="3524"/>
  <c r="H23" i="3524"/>
  <c r="B22" i="3524"/>
  <c r="H22" i="3524"/>
  <c r="C21" i="3524"/>
  <c r="H21" i="3524"/>
  <c r="C20" i="3524"/>
  <c r="H6" i="3524"/>
  <c r="C19" i="3524"/>
  <c r="H20" i="3524"/>
  <c r="C18" i="3524"/>
  <c r="H19" i="3524"/>
  <c r="C17" i="3524"/>
  <c r="H18" i="3524"/>
  <c r="C16" i="3524"/>
  <c r="H17" i="3524"/>
  <c r="C15" i="3524"/>
  <c r="H16" i="3524"/>
  <c r="C14" i="3524"/>
  <c r="H15" i="3524"/>
  <c r="C13" i="3524"/>
  <c r="O12" i="3524"/>
  <c r="H14" i="3524"/>
  <c r="C12" i="3524"/>
  <c r="O11" i="3524"/>
  <c r="H13" i="3524"/>
  <c r="C11" i="3524"/>
  <c r="O10" i="3524"/>
  <c r="H12" i="3524"/>
  <c r="C10" i="3524"/>
  <c r="H11" i="3524"/>
  <c r="C9" i="3524"/>
  <c r="H10" i="3524"/>
  <c r="C8" i="3524"/>
  <c r="O7" i="3524"/>
  <c r="H9" i="3524"/>
  <c r="C7" i="3524"/>
  <c r="O6" i="3524"/>
  <c r="H5" i="3524"/>
  <c r="B6" i="3524"/>
  <c r="O5" i="3524"/>
  <c r="H4" i="3524"/>
  <c r="B5" i="3524"/>
  <c r="O4" i="3524"/>
  <c r="H2" i="3524"/>
  <c r="O3" i="3524"/>
  <c r="H8" i="3524"/>
  <c r="O2" i="3524"/>
  <c r="H3" i="3524"/>
  <c r="O22" i="3523"/>
  <c r="O21" i="3523"/>
  <c r="O17" i="3523"/>
  <c r="O20" i="3523"/>
  <c r="O19" i="3523"/>
  <c r="O18" i="3523"/>
  <c r="O16" i="3523"/>
  <c r="O15" i="3523"/>
  <c r="H52" i="3523"/>
  <c r="H7" i="3523"/>
  <c r="H51" i="3523"/>
  <c r="H50" i="3523"/>
  <c r="H49" i="3523"/>
  <c r="H48" i="3523"/>
  <c r="H47" i="3523"/>
  <c r="H46" i="3523"/>
  <c r="H45" i="3523"/>
  <c r="C44" i="3523"/>
  <c r="H44" i="3523"/>
  <c r="C43" i="3523"/>
  <c r="H43" i="3523"/>
  <c r="C42" i="3523"/>
  <c r="H42" i="3523"/>
  <c r="C41" i="3523"/>
  <c r="H41" i="3523"/>
  <c r="C40" i="3523"/>
  <c r="H40" i="3523"/>
  <c r="C39" i="3523"/>
  <c r="H39" i="3523"/>
  <c r="C38" i="3523"/>
  <c r="H38" i="3523"/>
  <c r="C37" i="3523"/>
  <c r="H37" i="3523"/>
  <c r="C36" i="3523"/>
  <c r="H36" i="3523"/>
  <c r="C35" i="3523"/>
  <c r="H35" i="3523"/>
  <c r="C34" i="3523"/>
  <c r="H34" i="3523"/>
  <c r="C33" i="3523"/>
  <c r="H33" i="3523"/>
  <c r="C32" i="3523"/>
  <c r="H32" i="3523"/>
  <c r="H31" i="3523"/>
  <c r="C30" i="3523"/>
  <c r="H30" i="3523"/>
  <c r="H29" i="3523"/>
  <c r="H8" i="3523"/>
  <c r="H28" i="3523"/>
  <c r="H27" i="3523"/>
  <c r="B25" i="3523"/>
  <c r="H11" i="3523"/>
  <c r="B24" i="3523"/>
  <c r="H26" i="3523"/>
  <c r="B23" i="3523"/>
  <c r="H25" i="3523"/>
  <c r="B22" i="3523"/>
  <c r="H14" i="3523"/>
  <c r="C21" i="3523"/>
  <c r="H24" i="3523"/>
  <c r="C20" i="3523"/>
  <c r="H18" i="3523"/>
  <c r="C19" i="3523"/>
  <c r="H23" i="3523"/>
  <c r="C18" i="3523"/>
  <c r="H17" i="3523"/>
  <c r="C17" i="3523"/>
  <c r="H13" i="3523"/>
  <c r="C16" i="3523"/>
  <c r="H15" i="3523"/>
  <c r="C15" i="3523"/>
  <c r="H22" i="3523"/>
  <c r="C14" i="3523"/>
  <c r="H21" i="3523"/>
  <c r="C13" i="3523"/>
  <c r="O12" i="3523"/>
  <c r="H20" i="3523"/>
  <c r="C12" i="3523"/>
  <c r="O11" i="3523"/>
  <c r="H19" i="3523"/>
  <c r="C11" i="3523"/>
  <c r="O10" i="3523"/>
  <c r="H2" i="3523"/>
  <c r="C10" i="3523"/>
  <c r="H16" i="3523"/>
  <c r="C9" i="3523"/>
  <c r="H12" i="3523"/>
  <c r="C8" i="3523"/>
  <c r="O7" i="3523"/>
  <c r="H9" i="3523"/>
  <c r="C7" i="3523"/>
  <c r="O6" i="3523"/>
  <c r="H6" i="3523"/>
  <c r="B6" i="3523"/>
  <c r="O5" i="3523"/>
  <c r="H5" i="3523"/>
  <c r="B5" i="3523"/>
  <c r="O4" i="3523"/>
  <c r="H3" i="3523"/>
  <c r="O3" i="3523"/>
  <c r="H10" i="3523"/>
  <c r="O2" i="3523"/>
  <c r="H4" i="3523"/>
  <c r="O22" i="3520"/>
  <c r="O16" i="3520"/>
  <c r="O15" i="3520"/>
  <c r="O28" i="3521"/>
  <c r="O17" i="3521"/>
  <c r="O15" i="3521"/>
  <c r="O16" i="3521"/>
  <c r="O23" i="3522"/>
  <c r="O24" i="3522"/>
  <c r="O18" i="3522"/>
  <c r="O15" i="3522"/>
  <c r="O22" i="3516"/>
  <c r="O18" i="3516"/>
  <c r="O28" i="3519"/>
  <c r="O21" i="3519"/>
  <c r="O19" i="3517"/>
  <c r="O15" i="3517"/>
  <c r="O16" i="3517"/>
  <c r="O25" i="3513"/>
  <c r="O29" i="3510"/>
  <c r="O19" i="3510"/>
  <c r="O17" i="3510"/>
  <c r="O32" i="3509"/>
  <c r="O25" i="3509"/>
  <c r="O19" i="3509"/>
  <c r="O18" i="3509"/>
  <c r="O21" i="3522" l="1"/>
  <c r="O17" i="3522"/>
  <c r="O20" i="3522"/>
  <c r="O22" i="3522"/>
  <c r="O26" i="3522"/>
  <c r="O16" i="3522"/>
  <c r="O19" i="3522"/>
  <c r="H52" i="3522"/>
  <c r="H6" i="3522"/>
  <c r="H17" i="3522"/>
  <c r="H51" i="3522"/>
  <c r="H50" i="3522"/>
  <c r="H49" i="3522"/>
  <c r="H48" i="3522"/>
  <c r="H47" i="3522"/>
  <c r="H24" i="3522"/>
  <c r="C44" i="3522"/>
  <c r="H46" i="3522"/>
  <c r="C43" i="3522"/>
  <c r="H45" i="3522"/>
  <c r="C42" i="3522"/>
  <c r="H44" i="3522"/>
  <c r="C41" i="3522"/>
  <c r="H43" i="3522"/>
  <c r="C40" i="3522"/>
  <c r="H42" i="3522"/>
  <c r="C39" i="3522"/>
  <c r="H41" i="3522"/>
  <c r="C38" i="3522"/>
  <c r="H40" i="3522"/>
  <c r="C37" i="3522"/>
  <c r="H39" i="3522"/>
  <c r="C36" i="3522"/>
  <c r="H38" i="3522"/>
  <c r="C35" i="3522"/>
  <c r="H37" i="3522"/>
  <c r="C34" i="3522"/>
  <c r="H36" i="3522"/>
  <c r="C33" i="3522"/>
  <c r="H35" i="3522"/>
  <c r="C32" i="3522"/>
  <c r="H34" i="3522"/>
  <c r="H33" i="3522"/>
  <c r="C30" i="3522"/>
  <c r="H21" i="3522"/>
  <c r="H32" i="3522"/>
  <c r="H10" i="3522"/>
  <c r="H31" i="3522"/>
  <c r="H20" i="3522"/>
  <c r="B25" i="3522"/>
  <c r="H13" i="3522"/>
  <c r="B24" i="3522"/>
  <c r="H23" i="3522"/>
  <c r="B23" i="3522"/>
  <c r="H30" i="3522"/>
  <c r="B22" i="3522"/>
  <c r="H15" i="3522"/>
  <c r="C21" i="3522"/>
  <c r="H29" i="3522"/>
  <c r="C20" i="3522"/>
  <c r="H19" i="3522"/>
  <c r="C19" i="3522"/>
  <c r="H28" i="3522"/>
  <c r="C18" i="3522"/>
  <c r="H16" i="3522"/>
  <c r="C17" i="3522"/>
  <c r="H14" i="3522"/>
  <c r="C16" i="3522"/>
  <c r="H27" i="3522"/>
  <c r="C15" i="3522"/>
  <c r="H26" i="3522"/>
  <c r="C14" i="3522"/>
  <c r="H22" i="3522"/>
  <c r="C13" i="3522"/>
  <c r="O12" i="3522"/>
  <c r="H25" i="3522"/>
  <c r="C12" i="3522"/>
  <c r="O11" i="3522"/>
  <c r="H18" i="3522"/>
  <c r="C11" i="3522"/>
  <c r="O10" i="3522"/>
  <c r="H4" i="3522"/>
  <c r="C10" i="3522"/>
  <c r="H12" i="3522"/>
  <c r="C9" i="3522"/>
  <c r="H9" i="3522"/>
  <c r="C8" i="3522"/>
  <c r="O7" i="3522"/>
  <c r="H8" i="3522"/>
  <c r="C7" i="3522"/>
  <c r="O6" i="3522"/>
  <c r="H5" i="3522"/>
  <c r="B6" i="3522"/>
  <c r="O5" i="3522"/>
  <c r="H7" i="3522"/>
  <c r="B5" i="3522"/>
  <c r="O4" i="3522"/>
  <c r="H2" i="3522"/>
  <c r="O3" i="3522"/>
  <c r="H11" i="3522"/>
  <c r="O2" i="3522"/>
  <c r="H3" i="3522"/>
  <c r="O26" i="3521"/>
  <c r="O25" i="3521"/>
  <c r="O23" i="3521"/>
  <c r="O19" i="3521"/>
  <c r="O24" i="3521"/>
  <c r="O22" i="3521"/>
  <c r="O20" i="3521"/>
  <c r="O18" i="3521"/>
  <c r="H52" i="3521"/>
  <c r="H5" i="3521"/>
  <c r="H20" i="3521"/>
  <c r="H51" i="3521"/>
  <c r="H50" i="3521"/>
  <c r="H49" i="3521"/>
  <c r="H48" i="3521"/>
  <c r="H47" i="3521"/>
  <c r="H46" i="3521"/>
  <c r="C44" i="3521"/>
  <c r="H45" i="3521"/>
  <c r="C43" i="3521"/>
  <c r="H44" i="3521"/>
  <c r="C42" i="3521"/>
  <c r="H43" i="3521"/>
  <c r="C41" i="3521"/>
  <c r="H42" i="3521"/>
  <c r="C40" i="3521"/>
  <c r="H28" i="3521"/>
  <c r="C39" i="3521"/>
  <c r="H41" i="3521"/>
  <c r="C38" i="3521"/>
  <c r="H40" i="3521"/>
  <c r="C37" i="3521"/>
  <c r="H39" i="3521"/>
  <c r="C36" i="3521"/>
  <c r="H38" i="3521"/>
  <c r="C35" i="3521"/>
  <c r="H37" i="3521"/>
  <c r="C34" i="3521"/>
  <c r="H36" i="3521"/>
  <c r="C33" i="3521"/>
  <c r="H35" i="3521"/>
  <c r="C32" i="3521"/>
  <c r="H27" i="3521"/>
  <c r="H26" i="3521"/>
  <c r="C30" i="3521"/>
  <c r="H18" i="3521"/>
  <c r="H25" i="3521"/>
  <c r="H9" i="3521"/>
  <c r="H30" i="3521"/>
  <c r="H29" i="3521"/>
  <c r="B25" i="3521"/>
  <c r="H14" i="3521"/>
  <c r="B24" i="3521"/>
  <c r="H19" i="3521"/>
  <c r="B23" i="3521"/>
  <c r="H34" i="3521"/>
  <c r="B22" i="3521"/>
  <c r="H13" i="3521"/>
  <c r="C21" i="3521"/>
  <c r="H33" i="3521"/>
  <c r="C20" i="3521"/>
  <c r="H16" i="3521"/>
  <c r="C19" i="3521"/>
  <c r="H32" i="3521"/>
  <c r="C18" i="3521"/>
  <c r="H17" i="3521"/>
  <c r="C17" i="3521"/>
  <c r="H15" i="3521"/>
  <c r="C16" i="3521"/>
  <c r="H24" i="3521"/>
  <c r="C15" i="3521"/>
  <c r="H31" i="3521"/>
  <c r="C14" i="3521"/>
  <c r="H23" i="3521"/>
  <c r="C13" i="3521"/>
  <c r="O12" i="3521"/>
  <c r="H22" i="3521"/>
  <c r="C12" i="3521"/>
  <c r="O11" i="3521"/>
  <c r="H21" i="3521"/>
  <c r="C11" i="3521"/>
  <c r="O10" i="3521"/>
  <c r="H3" i="3521"/>
  <c r="C10" i="3521"/>
  <c r="H12" i="3521"/>
  <c r="C9" i="3521"/>
  <c r="H11" i="3521"/>
  <c r="C8" i="3521"/>
  <c r="O7" i="3521"/>
  <c r="H8" i="3521"/>
  <c r="C7" i="3521"/>
  <c r="O6" i="3521"/>
  <c r="H7" i="3521"/>
  <c r="B6" i="3521"/>
  <c r="O5" i="3521"/>
  <c r="H6" i="3521"/>
  <c r="B5" i="3521"/>
  <c r="O4" i="3521"/>
  <c r="H2" i="3521"/>
  <c r="O3" i="3521"/>
  <c r="H10" i="3521"/>
  <c r="O2" i="3521"/>
  <c r="H4" i="3521"/>
  <c r="O21" i="3520"/>
  <c r="O19" i="3520"/>
  <c r="O20" i="3520"/>
  <c r="O18" i="3520"/>
  <c r="O17" i="3520"/>
  <c r="H52" i="3520"/>
  <c r="H13" i="3520"/>
  <c r="H51" i="3520"/>
  <c r="H50" i="3520"/>
  <c r="H49" i="3520"/>
  <c r="H48" i="3520"/>
  <c r="H47" i="3520"/>
  <c r="H46" i="3520"/>
  <c r="H45" i="3520"/>
  <c r="C44" i="3520"/>
  <c r="H44" i="3520"/>
  <c r="C43" i="3520"/>
  <c r="H43" i="3520"/>
  <c r="C42" i="3520"/>
  <c r="H42" i="3520"/>
  <c r="C41" i="3520"/>
  <c r="H41" i="3520"/>
  <c r="C40" i="3520"/>
  <c r="H40" i="3520"/>
  <c r="C39" i="3520"/>
  <c r="H39" i="3520"/>
  <c r="C38" i="3520"/>
  <c r="H38" i="3520"/>
  <c r="C37" i="3520"/>
  <c r="H37" i="3520"/>
  <c r="C36" i="3520"/>
  <c r="H36" i="3520"/>
  <c r="C35" i="3520"/>
  <c r="H35" i="3520"/>
  <c r="C34" i="3520"/>
  <c r="H34" i="3520"/>
  <c r="C33" i="3520"/>
  <c r="H33" i="3520"/>
  <c r="C32" i="3520"/>
  <c r="H32" i="3520"/>
  <c r="H31" i="3520"/>
  <c r="C30" i="3520"/>
  <c r="H14" i="3520"/>
  <c r="H30" i="3520"/>
  <c r="H7" i="3520"/>
  <c r="H29" i="3520"/>
  <c r="H28" i="3520"/>
  <c r="B25" i="3520"/>
  <c r="H10" i="3520"/>
  <c r="B24" i="3520"/>
  <c r="H27" i="3520"/>
  <c r="B23" i="3520"/>
  <c r="H26" i="3520"/>
  <c r="B22" i="3520"/>
  <c r="H25" i="3520"/>
  <c r="C21" i="3520"/>
  <c r="H24" i="3520"/>
  <c r="C20" i="3520"/>
  <c r="H23" i="3520"/>
  <c r="C19" i="3520"/>
  <c r="H22" i="3520"/>
  <c r="C18" i="3520"/>
  <c r="H21" i="3520"/>
  <c r="C17" i="3520"/>
  <c r="H20" i="3520"/>
  <c r="C16" i="3520"/>
  <c r="H19" i="3520"/>
  <c r="C15" i="3520"/>
  <c r="H18" i="3520"/>
  <c r="C14" i="3520"/>
  <c r="H17" i="3520"/>
  <c r="C13" i="3520"/>
  <c r="O12" i="3520"/>
  <c r="H16" i="3520"/>
  <c r="C12" i="3520"/>
  <c r="O11" i="3520"/>
  <c r="H15" i="3520"/>
  <c r="C11" i="3520"/>
  <c r="O10" i="3520"/>
  <c r="H4" i="3520"/>
  <c r="C10" i="3520"/>
  <c r="H12" i="3520"/>
  <c r="C9" i="3520"/>
  <c r="H9" i="3520"/>
  <c r="C8" i="3520"/>
  <c r="O7" i="3520"/>
  <c r="H8" i="3520"/>
  <c r="C7" i="3520"/>
  <c r="O6" i="3520"/>
  <c r="H6" i="3520"/>
  <c r="B6" i="3520"/>
  <c r="O5" i="3520"/>
  <c r="H5" i="3520"/>
  <c r="B5" i="3520"/>
  <c r="O4" i="3520"/>
  <c r="H3" i="3520"/>
  <c r="O3" i="3520"/>
  <c r="H11" i="3520"/>
  <c r="O2" i="3520"/>
  <c r="H2" i="3520"/>
  <c r="O26" i="3519"/>
  <c r="O22" i="3519"/>
  <c r="O25" i="3519"/>
  <c r="O27" i="3519"/>
  <c r="O24" i="3519"/>
  <c r="O17" i="3519"/>
  <c r="O18" i="3519"/>
  <c r="O23" i="3519"/>
  <c r="O16" i="3519"/>
  <c r="O15" i="3519"/>
  <c r="O20" i="3519"/>
  <c r="H52" i="3519"/>
  <c r="H7" i="3519"/>
  <c r="H16" i="3519"/>
  <c r="H51" i="3519"/>
  <c r="H50" i="3519"/>
  <c r="H49" i="3519"/>
  <c r="H48" i="3519"/>
  <c r="H47" i="3519"/>
  <c r="H46" i="3519"/>
  <c r="C44" i="3519"/>
  <c r="H45" i="3519"/>
  <c r="C43" i="3519"/>
  <c r="H44" i="3519"/>
  <c r="C42" i="3519"/>
  <c r="H43" i="3519"/>
  <c r="C41" i="3519"/>
  <c r="H42" i="3519"/>
  <c r="C40" i="3519"/>
  <c r="H41" i="3519"/>
  <c r="C39" i="3519"/>
  <c r="H40" i="3519"/>
  <c r="C38" i="3519"/>
  <c r="H39" i="3519"/>
  <c r="C37" i="3519"/>
  <c r="H38" i="3519"/>
  <c r="C36" i="3519"/>
  <c r="H30" i="3519"/>
  <c r="C35" i="3519"/>
  <c r="H37" i="3519"/>
  <c r="C34" i="3519"/>
  <c r="H36" i="3519"/>
  <c r="C33" i="3519"/>
  <c r="H35" i="3519"/>
  <c r="C32" i="3519"/>
  <c r="H25" i="3519"/>
  <c r="H21" i="3519"/>
  <c r="C30" i="3519"/>
  <c r="H17" i="3519"/>
  <c r="H26" i="3519"/>
  <c r="H9" i="3519"/>
  <c r="H34" i="3519"/>
  <c r="H28" i="3519"/>
  <c r="B25" i="3519"/>
  <c r="H12" i="3519"/>
  <c r="B24" i="3519"/>
  <c r="H27" i="3519"/>
  <c r="B23" i="3519"/>
  <c r="H24" i="3519"/>
  <c r="B22" i="3519"/>
  <c r="H15" i="3519"/>
  <c r="C21" i="3519"/>
  <c r="H33" i="3519"/>
  <c r="C20" i="3519"/>
  <c r="H18" i="3519"/>
  <c r="C19" i="3519"/>
  <c r="H32" i="3519"/>
  <c r="C18" i="3519"/>
  <c r="H19" i="3519"/>
  <c r="C17" i="3519"/>
  <c r="H14" i="3519"/>
  <c r="C16" i="3519"/>
  <c r="H23" i="3519"/>
  <c r="C15" i="3519"/>
  <c r="H31" i="3519"/>
  <c r="C14" i="3519"/>
  <c r="H22" i="3519"/>
  <c r="C13" i="3519"/>
  <c r="O12" i="3519"/>
  <c r="H29" i="3519"/>
  <c r="C12" i="3519"/>
  <c r="O11" i="3519"/>
  <c r="H20" i="3519"/>
  <c r="C11" i="3519"/>
  <c r="O10" i="3519"/>
  <c r="H4" i="3519"/>
  <c r="C10" i="3519"/>
  <c r="H13" i="3519"/>
  <c r="C9" i="3519"/>
  <c r="H11" i="3519"/>
  <c r="C8" i="3519"/>
  <c r="O7" i="3519"/>
  <c r="H8" i="3519"/>
  <c r="C7" i="3519"/>
  <c r="O6" i="3519"/>
  <c r="H6" i="3519"/>
  <c r="B6" i="3519"/>
  <c r="O5" i="3519"/>
  <c r="H5" i="3519"/>
  <c r="B5" i="3519"/>
  <c r="O4" i="3519"/>
  <c r="H2" i="3519"/>
  <c r="O3" i="3519"/>
  <c r="H10" i="3519"/>
  <c r="O2" i="3519"/>
  <c r="H3" i="3519"/>
  <c r="O15" i="3518"/>
  <c r="O21" i="3518"/>
  <c r="O19" i="3518"/>
  <c r="O20" i="3518"/>
  <c r="O18" i="3518"/>
  <c r="O17" i="3518"/>
  <c r="O16" i="3518"/>
  <c r="H52" i="3518"/>
  <c r="H10" i="3518"/>
  <c r="H16" i="3518"/>
  <c r="H51" i="3518"/>
  <c r="H50" i="3518"/>
  <c r="H49" i="3518"/>
  <c r="H48" i="3518"/>
  <c r="H47" i="3518"/>
  <c r="H46" i="3518"/>
  <c r="C44" i="3518"/>
  <c r="H45" i="3518"/>
  <c r="C43" i="3518"/>
  <c r="H44" i="3518"/>
  <c r="C42" i="3518"/>
  <c r="H43" i="3518"/>
  <c r="C41" i="3518"/>
  <c r="H42" i="3518"/>
  <c r="C40" i="3518"/>
  <c r="H41" i="3518"/>
  <c r="C39" i="3518"/>
  <c r="H40" i="3518"/>
  <c r="C38" i="3518"/>
  <c r="H39" i="3518"/>
  <c r="C37" i="3518"/>
  <c r="H38" i="3518"/>
  <c r="C36" i="3518"/>
  <c r="H37" i="3518"/>
  <c r="C35" i="3518"/>
  <c r="H36" i="3518"/>
  <c r="C34" i="3518"/>
  <c r="H35" i="3518"/>
  <c r="C33" i="3518"/>
  <c r="H34" i="3518"/>
  <c r="C32" i="3518"/>
  <c r="H33" i="3518"/>
  <c r="H20" i="3518"/>
  <c r="C30" i="3518"/>
  <c r="H19" i="3518"/>
  <c r="H32" i="3518"/>
  <c r="H7" i="3518"/>
  <c r="H31" i="3518"/>
  <c r="H30" i="3518"/>
  <c r="B25" i="3518"/>
  <c r="H18" i="3518"/>
  <c r="B24" i="3518"/>
  <c r="H29" i="3518"/>
  <c r="B23" i="3518"/>
  <c r="H28" i="3518"/>
  <c r="B22" i="3518"/>
  <c r="H15" i="3518"/>
  <c r="C21" i="3518"/>
  <c r="H27" i="3518"/>
  <c r="C20" i="3518"/>
  <c r="H26" i="3518"/>
  <c r="C19" i="3518"/>
  <c r="H25" i="3518"/>
  <c r="C18" i="3518"/>
  <c r="H14" i="3518"/>
  <c r="C17" i="3518"/>
  <c r="H13" i="3518"/>
  <c r="C16" i="3518"/>
  <c r="H24" i="3518"/>
  <c r="C15" i="3518"/>
  <c r="H23" i="3518"/>
  <c r="C14" i="3518"/>
  <c r="H22" i="3518"/>
  <c r="C13" i="3518"/>
  <c r="O12" i="3518"/>
  <c r="H21" i="3518"/>
  <c r="C12" i="3518"/>
  <c r="O11" i="3518"/>
  <c r="H17" i="3518"/>
  <c r="C11" i="3518"/>
  <c r="O10" i="3518"/>
  <c r="H3" i="3518"/>
  <c r="C10" i="3518"/>
  <c r="H12" i="3518"/>
  <c r="C9" i="3518"/>
  <c r="H11" i="3518"/>
  <c r="C8" i="3518"/>
  <c r="O7" i="3518"/>
  <c r="H9" i="3518"/>
  <c r="C7" i="3518"/>
  <c r="O6" i="3518"/>
  <c r="H6" i="3518"/>
  <c r="B6" i="3518"/>
  <c r="O5" i="3518"/>
  <c r="H5" i="3518"/>
  <c r="B5" i="3518"/>
  <c r="O4" i="3518"/>
  <c r="H2" i="3518"/>
  <c r="O3" i="3518"/>
  <c r="H8" i="3518"/>
  <c r="O2" i="3518"/>
  <c r="H4" i="3518"/>
  <c r="O27" i="3517"/>
  <c r="O25" i="3517"/>
  <c r="O23" i="3517"/>
  <c r="O26" i="3517"/>
  <c r="O17" i="3517"/>
  <c r="O18" i="3517"/>
  <c r="O22" i="3517"/>
  <c r="O21" i="3517"/>
  <c r="O20" i="3517"/>
  <c r="H52" i="3517"/>
  <c r="H6" i="3517"/>
  <c r="H20" i="3517"/>
  <c r="H51" i="3517"/>
  <c r="H50" i="3517"/>
  <c r="H49" i="3517"/>
  <c r="H48" i="3517"/>
  <c r="H47" i="3517"/>
  <c r="H46" i="3517"/>
  <c r="C44" i="3517"/>
  <c r="H45" i="3517"/>
  <c r="C43" i="3517"/>
  <c r="H44" i="3517"/>
  <c r="C42" i="3517"/>
  <c r="H43" i="3517"/>
  <c r="C41" i="3517"/>
  <c r="H42" i="3517"/>
  <c r="C40" i="3517"/>
  <c r="H41" i="3517"/>
  <c r="C39" i="3517"/>
  <c r="H40" i="3517"/>
  <c r="C38" i="3517"/>
  <c r="H39" i="3517"/>
  <c r="C37" i="3517"/>
  <c r="H38" i="3517"/>
  <c r="C36" i="3517"/>
  <c r="H37" i="3517"/>
  <c r="C35" i="3517"/>
  <c r="H36" i="3517"/>
  <c r="C34" i="3517"/>
  <c r="H31" i="3517"/>
  <c r="C33" i="3517"/>
  <c r="H35" i="3517"/>
  <c r="C32" i="3517"/>
  <c r="H26" i="3517"/>
  <c r="H25" i="3517"/>
  <c r="C30" i="3517"/>
  <c r="H17" i="3517"/>
  <c r="H30" i="3517"/>
  <c r="H9" i="3517"/>
  <c r="H29" i="3517"/>
  <c r="H27" i="3517"/>
  <c r="B25" i="3517"/>
  <c r="H13" i="3517"/>
  <c r="B24" i="3517"/>
  <c r="H28" i="3517"/>
  <c r="B23" i="3517"/>
  <c r="H24" i="3517"/>
  <c r="B22" i="3517"/>
  <c r="H14" i="3517"/>
  <c r="C21" i="3517"/>
  <c r="H34" i="3517"/>
  <c r="C20" i="3517"/>
  <c r="H16" i="3517"/>
  <c r="C19" i="3517"/>
  <c r="H33" i="3517"/>
  <c r="C18" i="3517"/>
  <c r="H18" i="3517"/>
  <c r="C17" i="3517"/>
  <c r="H15" i="3517"/>
  <c r="C16" i="3517"/>
  <c r="H19" i="3517"/>
  <c r="C15" i="3517"/>
  <c r="H32" i="3517"/>
  <c r="C14" i="3517"/>
  <c r="H23" i="3517"/>
  <c r="C13" i="3517"/>
  <c r="O12" i="3517"/>
  <c r="H22" i="3517"/>
  <c r="C12" i="3517"/>
  <c r="O11" i="3517"/>
  <c r="H21" i="3517"/>
  <c r="C11" i="3517"/>
  <c r="O10" i="3517"/>
  <c r="H3" i="3517"/>
  <c r="C10" i="3517"/>
  <c r="H12" i="3517"/>
  <c r="C9" i="3517"/>
  <c r="H10" i="3517"/>
  <c r="C8" i="3517"/>
  <c r="O7" i="3517"/>
  <c r="H8" i="3517"/>
  <c r="C7" i="3517"/>
  <c r="O6" i="3517"/>
  <c r="H5" i="3517"/>
  <c r="B6" i="3517"/>
  <c r="O5" i="3517"/>
  <c r="H7" i="3517"/>
  <c r="B5" i="3517"/>
  <c r="O4" i="3517"/>
  <c r="H2" i="3517"/>
  <c r="O3" i="3517"/>
  <c r="H11" i="3517"/>
  <c r="O2" i="3517"/>
  <c r="H4" i="3517"/>
  <c r="O24" i="3516"/>
  <c r="O20" i="3516"/>
  <c r="O23" i="3516"/>
  <c r="O16" i="3516"/>
  <c r="O21" i="3516"/>
  <c r="O17" i="3516"/>
  <c r="O19" i="3516"/>
  <c r="H52" i="3516"/>
  <c r="H5" i="3516"/>
  <c r="H51" i="3516"/>
  <c r="H50" i="3516"/>
  <c r="H49" i="3516"/>
  <c r="H48" i="3516"/>
  <c r="H47" i="3516"/>
  <c r="H46" i="3516"/>
  <c r="H45" i="3516"/>
  <c r="C44" i="3516"/>
  <c r="H44" i="3516"/>
  <c r="C43" i="3516"/>
  <c r="H43" i="3516"/>
  <c r="C42" i="3516"/>
  <c r="H42" i="3516"/>
  <c r="C41" i="3516"/>
  <c r="H41" i="3516"/>
  <c r="C40" i="3516"/>
  <c r="H40" i="3516"/>
  <c r="C39" i="3516"/>
  <c r="H39" i="3516"/>
  <c r="C38" i="3516"/>
  <c r="H38" i="3516"/>
  <c r="C37" i="3516"/>
  <c r="H37" i="3516"/>
  <c r="C36" i="3516"/>
  <c r="H36" i="3516"/>
  <c r="C35" i="3516"/>
  <c r="H35" i="3516"/>
  <c r="C34" i="3516"/>
  <c r="H34" i="3516"/>
  <c r="C33" i="3516"/>
  <c r="H33" i="3516"/>
  <c r="C32" i="3516"/>
  <c r="H27" i="3516"/>
  <c r="H32" i="3516"/>
  <c r="C30" i="3516"/>
  <c r="H18" i="3516"/>
  <c r="H26" i="3516"/>
  <c r="H12" i="3516"/>
  <c r="H22" i="3516"/>
  <c r="H25" i="3516"/>
  <c r="B25" i="3516"/>
  <c r="H14" i="3516"/>
  <c r="B24" i="3516"/>
  <c r="H31" i="3516"/>
  <c r="B23" i="3516"/>
  <c r="H24" i="3516"/>
  <c r="B22" i="3516"/>
  <c r="H13" i="3516"/>
  <c r="C21" i="3516"/>
  <c r="H30" i="3516"/>
  <c r="C20" i="3516"/>
  <c r="H15" i="3516"/>
  <c r="C19" i="3516"/>
  <c r="H29" i="3516"/>
  <c r="C18" i="3516"/>
  <c r="H17" i="3516"/>
  <c r="C17" i="3516"/>
  <c r="H16" i="3516"/>
  <c r="C16" i="3516"/>
  <c r="H21" i="3516"/>
  <c r="C15" i="3516"/>
  <c r="H28" i="3516"/>
  <c r="C14" i="3516"/>
  <c r="H20" i="3516"/>
  <c r="C13" i="3516"/>
  <c r="O12" i="3516"/>
  <c r="H19" i="3516"/>
  <c r="C12" i="3516"/>
  <c r="O11" i="3516"/>
  <c r="H23" i="3516"/>
  <c r="C11" i="3516"/>
  <c r="O10" i="3516"/>
  <c r="H3" i="3516"/>
  <c r="C10" i="3516"/>
  <c r="H11" i="3516"/>
  <c r="C9" i="3516"/>
  <c r="H10" i="3516"/>
  <c r="C8" i="3516"/>
  <c r="O7" i="3516"/>
  <c r="H8" i="3516"/>
  <c r="C7" i="3516"/>
  <c r="O6" i="3516"/>
  <c r="H6" i="3516"/>
  <c r="B6" i="3516"/>
  <c r="O5" i="3516"/>
  <c r="H7" i="3516"/>
  <c r="B5" i="3516"/>
  <c r="O4" i="3516"/>
  <c r="H2" i="3516"/>
  <c r="O3" i="3516"/>
  <c r="H9" i="3516"/>
  <c r="O2" i="3516"/>
  <c r="H4" i="3516"/>
  <c r="O19" i="3515"/>
  <c r="O18" i="3515"/>
  <c r="O17" i="3515"/>
  <c r="O16" i="3515"/>
  <c r="O15" i="3515"/>
  <c r="H52" i="3515"/>
  <c r="H51" i="3515"/>
  <c r="H50" i="3515"/>
  <c r="H49" i="3515"/>
  <c r="H48" i="3515"/>
  <c r="H47" i="3515"/>
  <c r="H46" i="3515"/>
  <c r="H45" i="3515"/>
  <c r="H44" i="3515"/>
  <c r="C44" i="3515"/>
  <c r="H43" i="3515"/>
  <c r="C43" i="3515"/>
  <c r="H42" i="3515"/>
  <c r="C42" i="3515"/>
  <c r="H41" i="3515"/>
  <c r="C41" i="3515"/>
  <c r="H40" i="3515"/>
  <c r="C40" i="3515"/>
  <c r="H39" i="3515"/>
  <c r="C39" i="3515"/>
  <c r="H38" i="3515"/>
  <c r="C38" i="3515"/>
  <c r="H37" i="3515"/>
  <c r="C37" i="3515"/>
  <c r="H36" i="3515"/>
  <c r="C36" i="3515"/>
  <c r="H35" i="3515"/>
  <c r="C35" i="3515"/>
  <c r="H34" i="3515"/>
  <c r="C34" i="3515"/>
  <c r="H33" i="3515"/>
  <c r="C33" i="3515"/>
  <c r="H32" i="3515"/>
  <c r="C32" i="3515"/>
  <c r="H31" i="3515"/>
  <c r="H30" i="3515"/>
  <c r="C30" i="3515"/>
  <c r="H29" i="3515"/>
  <c r="H28" i="3515"/>
  <c r="H27" i="3515"/>
  <c r="H26" i="3515"/>
  <c r="H25" i="3515"/>
  <c r="B25" i="3515"/>
  <c r="H10" i="3515"/>
  <c r="B24" i="3515"/>
  <c r="H24" i="3515"/>
  <c r="B23" i="3515"/>
  <c r="H23" i="3515"/>
  <c r="B22" i="3515"/>
  <c r="H22" i="3515"/>
  <c r="C21" i="3515"/>
  <c r="H21" i="3515"/>
  <c r="C20" i="3515"/>
  <c r="H20" i="3515"/>
  <c r="C19" i="3515"/>
  <c r="H19" i="3515"/>
  <c r="C18" i="3515"/>
  <c r="H7" i="3515"/>
  <c r="C17" i="3515"/>
  <c r="H18" i="3515"/>
  <c r="C16" i="3515"/>
  <c r="H17" i="3515"/>
  <c r="C15" i="3515"/>
  <c r="H16" i="3515"/>
  <c r="C14" i="3515"/>
  <c r="H15" i="3515"/>
  <c r="C13" i="3515"/>
  <c r="O12" i="3515"/>
  <c r="H14" i="3515"/>
  <c r="C12" i="3515"/>
  <c r="O11" i="3515"/>
  <c r="H13" i="3515"/>
  <c r="C11" i="3515"/>
  <c r="O10" i="3515"/>
  <c r="H4" i="3515"/>
  <c r="C10" i="3515"/>
  <c r="H12" i="3515"/>
  <c r="C9" i="3515"/>
  <c r="H11" i="3515"/>
  <c r="C8" i="3515"/>
  <c r="O7" i="3515"/>
  <c r="H9" i="3515"/>
  <c r="C7" i="3515"/>
  <c r="O6" i="3515"/>
  <c r="H5" i="3515"/>
  <c r="B6" i="3515"/>
  <c r="O5" i="3515"/>
  <c r="H6" i="3515"/>
  <c r="B5" i="3515"/>
  <c r="O4" i="3515"/>
  <c r="H8" i="3515"/>
  <c r="O3" i="3515"/>
  <c r="H3" i="3515"/>
  <c r="O2" i="3515"/>
  <c r="H2" i="3515"/>
  <c r="O23" i="3514"/>
  <c r="O25" i="3514"/>
  <c r="O22" i="3514"/>
  <c r="O18" i="3514"/>
  <c r="O15" i="3514"/>
  <c r="O20" i="3514"/>
  <c r="O24" i="3514"/>
  <c r="O17" i="3514"/>
  <c r="O21" i="3514"/>
  <c r="O16" i="3514"/>
  <c r="O26" i="3514"/>
  <c r="H52" i="3514"/>
  <c r="H7" i="3514"/>
  <c r="H51" i="3514"/>
  <c r="H50" i="3514"/>
  <c r="H49" i="3514"/>
  <c r="H48" i="3514"/>
  <c r="H47" i="3514"/>
  <c r="H46" i="3514"/>
  <c r="H45" i="3514"/>
  <c r="C44" i="3514"/>
  <c r="H44" i="3514"/>
  <c r="C43" i="3514"/>
  <c r="H43" i="3514"/>
  <c r="C42" i="3514"/>
  <c r="H42" i="3514"/>
  <c r="C41" i="3514"/>
  <c r="H41" i="3514"/>
  <c r="C40" i="3514"/>
  <c r="H40" i="3514"/>
  <c r="C39" i="3514"/>
  <c r="H39" i="3514"/>
  <c r="C38" i="3514"/>
  <c r="H38" i="3514"/>
  <c r="C37" i="3514"/>
  <c r="H37" i="3514"/>
  <c r="C36" i="3514"/>
  <c r="H23" i="3514"/>
  <c r="C35" i="3514"/>
  <c r="H36" i="3514"/>
  <c r="C34" i="3514"/>
  <c r="H35" i="3514"/>
  <c r="C33" i="3514"/>
  <c r="H34" i="3514"/>
  <c r="C32" i="3514"/>
  <c r="H22" i="3514"/>
  <c r="H33" i="3514"/>
  <c r="C30" i="3514"/>
  <c r="H17" i="3514"/>
  <c r="H32" i="3514"/>
  <c r="H11" i="3514"/>
  <c r="H31" i="3514"/>
  <c r="H30" i="3514"/>
  <c r="B25" i="3514"/>
  <c r="H16" i="3514"/>
  <c r="B24" i="3514"/>
  <c r="H29" i="3514"/>
  <c r="B23" i="3514"/>
  <c r="H28" i="3514"/>
  <c r="B22" i="3514"/>
  <c r="H9" i="3514"/>
  <c r="C21" i="3514"/>
  <c r="H27" i="3514"/>
  <c r="C20" i="3514"/>
  <c r="H14" i="3514"/>
  <c r="C19" i="3514"/>
  <c r="H26" i="3514"/>
  <c r="C18" i="3514"/>
  <c r="H15" i="3514"/>
  <c r="C17" i="3514"/>
  <c r="H21" i="3514"/>
  <c r="C16" i="3514"/>
  <c r="H25" i="3514"/>
  <c r="C15" i="3514"/>
  <c r="H24" i="3514"/>
  <c r="C14" i="3514"/>
  <c r="H20" i="3514"/>
  <c r="C13" i="3514"/>
  <c r="O12" i="3514"/>
  <c r="H19" i="3514"/>
  <c r="C12" i="3514"/>
  <c r="O11" i="3514"/>
  <c r="H18" i="3514"/>
  <c r="C11" i="3514"/>
  <c r="O10" i="3514"/>
  <c r="H3" i="3514"/>
  <c r="C10" i="3514"/>
  <c r="H13" i="3514"/>
  <c r="C9" i="3514"/>
  <c r="H10" i="3514"/>
  <c r="C8" i="3514"/>
  <c r="O7" i="3514"/>
  <c r="H8" i="3514"/>
  <c r="C7" i="3514"/>
  <c r="O6" i="3514"/>
  <c r="H5" i="3514"/>
  <c r="B6" i="3514"/>
  <c r="O5" i="3514"/>
  <c r="H6" i="3514"/>
  <c r="B5" i="3514"/>
  <c r="O4" i="3514"/>
  <c r="H2" i="3514"/>
  <c r="O3" i="3514"/>
  <c r="H12" i="3514"/>
  <c r="O2" i="3514"/>
  <c r="H4" i="3514"/>
  <c r="O26" i="3513"/>
  <c r="O23" i="3513"/>
  <c r="O22" i="3513"/>
  <c r="O21" i="3513"/>
  <c r="O24" i="3513"/>
  <c r="O19" i="3513"/>
  <c r="O18" i="3513"/>
  <c r="O17" i="3513"/>
  <c r="O20" i="3513"/>
  <c r="O16" i="3513"/>
  <c r="H52" i="3513"/>
  <c r="H7" i="3513"/>
  <c r="H19" i="3513"/>
  <c r="H51" i="3513"/>
  <c r="H50" i="3513"/>
  <c r="H49" i="3513"/>
  <c r="H48" i="3513"/>
  <c r="H47" i="3513"/>
  <c r="H46" i="3513"/>
  <c r="C44" i="3513"/>
  <c r="H45" i="3513"/>
  <c r="C43" i="3513"/>
  <c r="H44" i="3513"/>
  <c r="C42" i="3513"/>
  <c r="H43" i="3513"/>
  <c r="C41" i="3513"/>
  <c r="H42" i="3513"/>
  <c r="C40" i="3513"/>
  <c r="H41" i="3513"/>
  <c r="C39" i="3513"/>
  <c r="H40" i="3513"/>
  <c r="C38" i="3513"/>
  <c r="H39" i="3513"/>
  <c r="C37" i="3513"/>
  <c r="H38" i="3513"/>
  <c r="C36" i="3513"/>
  <c r="H37" i="3513"/>
  <c r="C35" i="3513"/>
  <c r="H36" i="3513"/>
  <c r="C34" i="3513"/>
  <c r="H31" i="3513"/>
  <c r="C33" i="3513"/>
  <c r="H35" i="3513"/>
  <c r="C32" i="3513"/>
  <c r="H30" i="3513"/>
  <c r="H24" i="3513"/>
  <c r="C30" i="3513"/>
  <c r="H17" i="3513"/>
  <c r="H34" i="3513"/>
  <c r="H10" i="3513"/>
  <c r="H26" i="3513"/>
  <c r="H29" i="3513"/>
  <c r="B25" i="3513"/>
  <c r="H12" i="3513"/>
  <c r="B24" i="3513"/>
  <c r="H25" i="3513"/>
  <c r="B23" i="3513"/>
  <c r="H23" i="3513"/>
  <c r="B22" i="3513"/>
  <c r="H13" i="3513"/>
  <c r="C21" i="3513"/>
  <c r="H33" i="3513"/>
  <c r="C20" i="3513"/>
  <c r="H15" i="3513"/>
  <c r="C19" i="3513"/>
  <c r="H28" i="3513"/>
  <c r="C18" i="3513"/>
  <c r="H18" i="3513"/>
  <c r="C17" i="3513"/>
  <c r="H16" i="3513"/>
  <c r="C16" i="3513"/>
  <c r="H27" i="3513"/>
  <c r="C15" i="3513"/>
  <c r="H32" i="3513"/>
  <c r="C14" i="3513"/>
  <c r="H20" i="3513"/>
  <c r="C13" i="3513"/>
  <c r="O12" i="3513"/>
  <c r="H22" i="3513"/>
  <c r="C12" i="3513"/>
  <c r="O11" i="3513"/>
  <c r="H21" i="3513"/>
  <c r="C11" i="3513"/>
  <c r="O10" i="3513"/>
  <c r="H4" i="3513"/>
  <c r="C10" i="3513"/>
  <c r="H14" i="3513"/>
  <c r="C9" i="3513"/>
  <c r="H11" i="3513"/>
  <c r="C8" i="3513"/>
  <c r="O7" i="3513"/>
  <c r="H8" i="3513"/>
  <c r="C7" i="3513"/>
  <c r="O6" i="3513"/>
  <c r="H5" i="3513"/>
  <c r="B6" i="3513"/>
  <c r="O5" i="3513"/>
  <c r="H6" i="3513"/>
  <c r="B5" i="3513"/>
  <c r="O4" i="3513"/>
  <c r="H2" i="3513"/>
  <c r="O3" i="3513"/>
  <c r="H9" i="3513"/>
  <c r="O2" i="3513"/>
  <c r="H3" i="3513"/>
  <c r="O21" i="3512"/>
  <c r="O22" i="3512"/>
  <c r="O18" i="3512"/>
  <c r="O17" i="3512"/>
  <c r="H52" i="3512"/>
  <c r="H7" i="3512"/>
  <c r="H51" i="3512"/>
  <c r="H50" i="3512"/>
  <c r="H49" i="3512"/>
  <c r="H48" i="3512"/>
  <c r="H47" i="3512"/>
  <c r="H46" i="3512"/>
  <c r="H45" i="3512"/>
  <c r="C44" i="3512"/>
  <c r="H44" i="3512"/>
  <c r="C43" i="3512"/>
  <c r="H43" i="3512"/>
  <c r="C42" i="3512"/>
  <c r="H42" i="3512"/>
  <c r="C41" i="3512"/>
  <c r="H41" i="3512"/>
  <c r="C40" i="3512"/>
  <c r="H40" i="3512"/>
  <c r="C39" i="3512"/>
  <c r="H39" i="3512"/>
  <c r="C38" i="3512"/>
  <c r="H38" i="3512"/>
  <c r="C37" i="3512"/>
  <c r="H37" i="3512"/>
  <c r="C36" i="3512"/>
  <c r="H36" i="3512"/>
  <c r="C35" i="3512"/>
  <c r="H35" i="3512"/>
  <c r="C34" i="3512"/>
  <c r="H34" i="3512"/>
  <c r="C33" i="3512"/>
  <c r="H33" i="3512"/>
  <c r="C32" i="3512"/>
  <c r="H32" i="3512"/>
  <c r="H31" i="3512"/>
  <c r="C30" i="3512"/>
  <c r="H30" i="3512"/>
  <c r="H29" i="3512"/>
  <c r="H9" i="3512"/>
  <c r="H28" i="3512"/>
  <c r="H27" i="3512"/>
  <c r="B25" i="3512"/>
  <c r="H15" i="3512"/>
  <c r="B24" i="3512"/>
  <c r="H14" i="3512"/>
  <c r="B23" i="3512"/>
  <c r="H26" i="3512"/>
  <c r="B22" i="3512"/>
  <c r="H12" i="3512"/>
  <c r="C21" i="3512"/>
  <c r="H25" i="3512"/>
  <c r="C20" i="3512"/>
  <c r="H24" i="3512"/>
  <c r="C19" i="3512"/>
  <c r="H23" i="3512"/>
  <c r="C18" i="3512"/>
  <c r="H17" i="3512"/>
  <c r="C17" i="3512"/>
  <c r="H22" i="3512"/>
  <c r="C16" i="3512"/>
  <c r="H21" i="3512"/>
  <c r="C15" i="3512"/>
  <c r="H20" i="3512"/>
  <c r="C14" i="3512"/>
  <c r="H16" i="3512"/>
  <c r="C13" i="3512"/>
  <c r="O12" i="3512"/>
  <c r="H19" i="3512"/>
  <c r="C12" i="3512"/>
  <c r="O11" i="3512"/>
  <c r="H18" i="3512"/>
  <c r="C11" i="3512"/>
  <c r="O10" i="3512"/>
  <c r="H4" i="3512"/>
  <c r="C10" i="3512"/>
  <c r="H13" i="3512"/>
  <c r="C9" i="3512"/>
  <c r="H11" i="3512"/>
  <c r="C8" i="3512"/>
  <c r="O7" i="3512"/>
  <c r="H10" i="3512"/>
  <c r="C7" i="3512"/>
  <c r="O6" i="3512"/>
  <c r="H6" i="3512"/>
  <c r="B6" i="3512"/>
  <c r="O5" i="3512"/>
  <c r="H5" i="3512"/>
  <c r="B5" i="3512"/>
  <c r="O4" i="3512"/>
  <c r="H3" i="3512"/>
  <c r="O3" i="3512"/>
  <c r="H8" i="3512"/>
  <c r="O2" i="3512"/>
  <c r="H2" i="3512"/>
  <c r="O17" i="3511"/>
  <c r="O16" i="3511"/>
  <c r="O15" i="3511"/>
  <c r="H52" i="3511"/>
  <c r="H51" i="3511"/>
  <c r="H50" i="3511"/>
  <c r="H49" i="3511"/>
  <c r="H48" i="3511"/>
  <c r="H47" i="3511"/>
  <c r="H46" i="3511"/>
  <c r="H45" i="3511"/>
  <c r="H44" i="3511"/>
  <c r="C44" i="3511"/>
  <c r="H43" i="3511"/>
  <c r="C43" i="3511"/>
  <c r="H42" i="3511"/>
  <c r="C42" i="3511"/>
  <c r="H41" i="3511"/>
  <c r="C41" i="3511"/>
  <c r="H40" i="3511"/>
  <c r="C40" i="3511"/>
  <c r="H39" i="3511"/>
  <c r="C39" i="3511"/>
  <c r="H38" i="3511"/>
  <c r="C38" i="3511"/>
  <c r="H37" i="3511"/>
  <c r="C37" i="3511"/>
  <c r="H36" i="3511"/>
  <c r="C36" i="3511"/>
  <c r="H35" i="3511"/>
  <c r="C35" i="3511"/>
  <c r="H34" i="3511"/>
  <c r="C34" i="3511"/>
  <c r="H33" i="3511"/>
  <c r="C33" i="3511"/>
  <c r="H32" i="3511"/>
  <c r="C32" i="3511"/>
  <c r="H31" i="3511"/>
  <c r="H30" i="3511"/>
  <c r="C30" i="3511"/>
  <c r="H29" i="3511"/>
  <c r="H28" i="3511"/>
  <c r="H27" i="3511"/>
  <c r="H26" i="3511"/>
  <c r="H25" i="3511"/>
  <c r="B25" i="3511"/>
  <c r="H24" i="3511"/>
  <c r="B24" i="3511"/>
  <c r="H23" i="3511"/>
  <c r="B23" i="3511"/>
  <c r="H22" i="3511"/>
  <c r="B22" i="3511"/>
  <c r="H21" i="3511"/>
  <c r="C21" i="3511"/>
  <c r="H20" i="3511"/>
  <c r="C20" i="3511"/>
  <c r="H19" i="3511"/>
  <c r="C19" i="3511"/>
  <c r="H18" i="3511"/>
  <c r="C18" i="3511"/>
  <c r="H17" i="3511"/>
  <c r="C17" i="3511"/>
  <c r="H16" i="3511"/>
  <c r="C16" i="3511"/>
  <c r="H15" i="3511"/>
  <c r="C15" i="3511"/>
  <c r="H14" i="3511"/>
  <c r="C14" i="3511"/>
  <c r="H13" i="3511"/>
  <c r="C13" i="3511"/>
  <c r="O12" i="3511"/>
  <c r="H12" i="3511"/>
  <c r="C12" i="3511"/>
  <c r="O11" i="3511"/>
  <c r="H11" i="3511"/>
  <c r="C11" i="3511"/>
  <c r="O10" i="3511"/>
  <c r="H10" i="3511"/>
  <c r="C10" i="3511"/>
  <c r="H9" i="3511"/>
  <c r="C9" i="3511"/>
  <c r="H8" i="3511"/>
  <c r="C8" i="3511"/>
  <c r="O7" i="3511"/>
  <c r="H7" i="3511"/>
  <c r="C7" i="3511"/>
  <c r="O6" i="3511"/>
  <c r="H6" i="3511"/>
  <c r="B6" i="3511"/>
  <c r="O5" i="3511"/>
  <c r="H5" i="3511"/>
  <c r="B5" i="3511"/>
  <c r="O4" i="3511"/>
  <c r="H4" i="3511"/>
  <c r="O3" i="3511"/>
  <c r="H3" i="3511"/>
  <c r="O2" i="3511"/>
  <c r="H2" i="3511"/>
  <c r="O26" i="3510"/>
  <c r="O25" i="3510"/>
  <c r="O21" i="3510"/>
  <c r="O27" i="3510"/>
  <c r="O24" i="3510"/>
  <c r="O28" i="3510"/>
  <c r="O22" i="3510"/>
  <c r="O18" i="3510"/>
  <c r="O23" i="3510"/>
  <c r="O16" i="3510"/>
  <c r="O15" i="3510"/>
  <c r="H52" i="3510"/>
  <c r="H7" i="3510"/>
  <c r="H15" i="3510"/>
  <c r="H51" i="3510"/>
  <c r="H50" i="3510"/>
  <c r="H49" i="3510"/>
  <c r="H48" i="3510"/>
  <c r="H47" i="3510"/>
  <c r="H32" i="3510"/>
  <c r="C44" i="3510"/>
  <c r="H46" i="3510"/>
  <c r="C43" i="3510"/>
  <c r="H45" i="3510"/>
  <c r="C42" i="3510"/>
  <c r="H44" i="3510"/>
  <c r="C41" i="3510"/>
  <c r="H43" i="3510"/>
  <c r="C40" i="3510"/>
  <c r="H42" i="3510"/>
  <c r="C39" i="3510"/>
  <c r="H41" i="3510"/>
  <c r="C38" i="3510"/>
  <c r="H40" i="3510"/>
  <c r="C37" i="3510"/>
  <c r="H39" i="3510"/>
  <c r="C36" i="3510"/>
  <c r="H38" i="3510"/>
  <c r="C35" i="3510"/>
  <c r="H37" i="3510"/>
  <c r="C34" i="3510"/>
  <c r="H29" i="3510"/>
  <c r="C33" i="3510"/>
  <c r="H36" i="3510"/>
  <c r="C32" i="3510"/>
  <c r="H31" i="3510"/>
  <c r="H23" i="3510"/>
  <c r="C30" i="3510"/>
  <c r="H18" i="3510"/>
  <c r="H25" i="3510"/>
  <c r="H8" i="3510"/>
  <c r="H28" i="3510"/>
  <c r="H30" i="3510"/>
  <c r="B25" i="3510"/>
  <c r="H12" i="3510"/>
  <c r="B24" i="3510"/>
  <c r="H21" i="3510"/>
  <c r="B23" i="3510"/>
  <c r="H27" i="3510"/>
  <c r="B22" i="3510"/>
  <c r="H14" i="3510"/>
  <c r="C21" i="3510"/>
  <c r="H35" i="3510"/>
  <c r="C20" i="3510"/>
  <c r="H17" i="3510"/>
  <c r="C19" i="3510"/>
  <c r="H34" i="3510"/>
  <c r="C18" i="3510"/>
  <c r="H19" i="3510"/>
  <c r="C17" i="3510"/>
  <c r="H16" i="3510"/>
  <c r="C16" i="3510"/>
  <c r="H20" i="3510"/>
  <c r="C15" i="3510"/>
  <c r="H33" i="3510"/>
  <c r="C14" i="3510"/>
  <c r="H22" i="3510"/>
  <c r="C13" i="3510"/>
  <c r="O12" i="3510"/>
  <c r="H26" i="3510"/>
  <c r="C12" i="3510"/>
  <c r="O11" i="3510"/>
  <c r="H24" i="3510"/>
  <c r="C11" i="3510"/>
  <c r="O10" i="3510"/>
  <c r="H3" i="3510"/>
  <c r="C10" i="3510"/>
  <c r="H13" i="3510"/>
  <c r="C9" i="3510"/>
  <c r="H11" i="3510"/>
  <c r="C8" i="3510"/>
  <c r="O7" i="3510"/>
  <c r="H9" i="3510"/>
  <c r="C7" i="3510"/>
  <c r="O6" i="3510"/>
  <c r="H6" i="3510"/>
  <c r="B6" i="3510"/>
  <c r="O5" i="3510"/>
  <c r="H5" i="3510"/>
  <c r="B5" i="3510"/>
  <c r="O4" i="3510"/>
  <c r="H2" i="3510"/>
  <c r="O3" i="3510"/>
  <c r="H10" i="3510"/>
  <c r="O2" i="3510"/>
  <c r="H4" i="3510"/>
  <c r="O31" i="3509"/>
  <c r="O30" i="3509"/>
  <c r="O26" i="3509"/>
  <c r="O23" i="3509"/>
  <c r="O28" i="3509"/>
  <c r="O27" i="3509"/>
  <c r="O22" i="3509"/>
  <c r="O29" i="3509"/>
  <c r="O21" i="3509"/>
  <c r="O24" i="3509"/>
  <c r="O20" i="3509"/>
  <c r="O16" i="3509"/>
  <c r="O15" i="3509"/>
  <c r="H52" i="3509"/>
  <c r="H7" i="3509"/>
  <c r="H18" i="3509"/>
  <c r="H51" i="3509"/>
  <c r="H50" i="3509"/>
  <c r="H49" i="3509"/>
  <c r="H48" i="3509"/>
  <c r="H47" i="3509"/>
  <c r="H32" i="3509"/>
  <c r="C44" i="3509"/>
  <c r="H46" i="3509"/>
  <c r="C43" i="3509"/>
  <c r="H45" i="3509"/>
  <c r="C42" i="3509"/>
  <c r="H44" i="3509"/>
  <c r="C41" i="3509"/>
  <c r="H43" i="3509"/>
  <c r="C40" i="3509"/>
  <c r="H34" i="3509"/>
  <c r="C39" i="3509"/>
  <c r="H42" i="3509"/>
  <c r="C38" i="3509"/>
  <c r="H41" i="3509"/>
  <c r="C37" i="3509"/>
  <c r="H40" i="3509"/>
  <c r="C36" i="3509"/>
  <c r="H33" i="3509"/>
  <c r="C35" i="3509"/>
  <c r="H39" i="3509"/>
  <c r="C34" i="3509"/>
  <c r="H31" i="3509"/>
  <c r="C33" i="3509"/>
  <c r="H38" i="3509"/>
  <c r="C32" i="3509"/>
  <c r="H27" i="3509"/>
  <c r="H23" i="3509"/>
  <c r="C30" i="3509"/>
  <c r="H17" i="3509"/>
  <c r="H29" i="3509"/>
  <c r="H9" i="3509"/>
  <c r="H30" i="3509"/>
  <c r="H28" i="3509"/>
  <c r="B25" i="3509"/>
  <c r="H13" i="3509"/>
  <c r="B24" i="3509"/>
  <c r="H24" i="3509"/>
  <c r="B23" i="3509"/>
  <c r="H26" i="3509"/>
  <c r="B22" i="3509"/>
  <c r="H14" i="3509"/>
  <c r="C21" i="3509"/>
  <c r="H37" i="3509"/>
  <c r="C20" i="3509"/>
  <c r="H16" i="3509"/>
  <c r="C19" i="3509"/>
  <c r="H35" i="3509"/>
  <c r="C18" i="3509"/>
  <c r="H19" i="3509"/>
  <c r="C17" i="3509"/>
  <c r="H15" i="3509"/>
  <c r="C16" i="3509"/>
  <c r="H22" i="3509"/>
  <c r="C15" i="3509"/>
  <c r="H36" i="3509"/>
  <c r="C14" i="3509"/>
  <c r="H20" i="3509"/>
  <c r="C13" i="3509"/>
  <c r="O12" i="3509"/>
  <c r="H25" i="3509"/>
  <c r="C12" i="3509"/>
  <c r="O11" i="3509"/>
  <c r="H21" i="3509"/>
  <c r="C11" i="3509"/>
  <c r="O10" i="3509"/>
  <c r="H3" i="3509"/>
  <c r="C10" i="3509"/>
  <c r="H12" i="3509"/>
  <c r="C9" i="3509"/>
  <c r="H11" i="3509"/>
  <c r="C8" i="3509"/>
  <c r="O7" i="3509"/>
  <c r="H8" i="3509"/>
  <c r="C7" i="3509"/>
  <c r="O6" i="3509"/>
  <c r="H5" i="3509"/>
  <c r="B6" i="3509"/>
  <c r="O5" i="3509"/>
  <c r="H6" i="3509"/>
  <c r="B5" i="3509"/>
  <c r="O4" i="3509"/>
  <c r="H2" i="3509"/>
  <c r="O3" i="3509"/>
  <c r="H10" i="3509"/>
  <c r="O2" i="3509"/>
  <c r="H4" i="3509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5" i="2228" l="1"/>
  <c r="C16" i="2228"/>
  <c r="B25" i="2228"/>
  <c r="C8" i="2228"/>
  <c r="B24" i="2228" l="1"/>
  <c r="C30" i="2228" l="1"/>
  <c r="C2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<sst xmlns="http://schemas.openxmlformats.org/spreadsheetml/2006/main" count="4237" uniqueCount="203">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</sst>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全体!$K$2:$K$2720</c:f>
              <c:numCache>
                <c:formatCode>General</c:formatCode>
                <c:ptCount val="2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</c:numCache>
            </c:numRef>
          </c:xVal>
          <c:yVal>
            <c:numRef>
              <c:f>全体!$L$2:$L$2720</c:f>
              <c:numCache>
                <c:formatCode>\+0.0;\-0.0;\±0</c:formatCode>
                <c:ptCount val="271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0-4DCD-B24E-AA9F5CCE5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-20.37037037037037</c:v>
                </c:pt>
                <c:pt idx="1">
                  <c:v>-0.37965072133637057</c:v>
                </c:pt>
                <c:pt idx="2">
                  <c:v>5.2525252525252526</c:v>
                </c:pt>
                <c:pt idx="3">
                  <c:v>5.7017543859649127</c:v>
                </c:pt>
                <c:pt idx="4">
                  <c:v>0.9760858955588092</c:v>
                </c:pt>
                <c:pt idx="5">
                  <c:v>15.652173913043478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CEB-A06A-09A6A782E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413</c:v>
                </c:pt>
                <c:pt idx="1">
                  <c:v>923</c:v>
                </c:pt>
                <c:pt idx="2">
                  <c:v>1163</c:v>
                </c:pt>
                <c:pt idx="3">
                  <c:v>1147</c:v>
                </c:pt>
                <c:pt idx="4">
                  <c:v>967</c:v>
                </c:pt>
                <c:pt idx="5">
                  <c:v>630</c:v>
                </c:pt>
                <c:pt idx="6">
                  <c:v>386</c:v>
                </c:pt>
                <c:pt idx="7">
                  <c:v>206</c:v>
                </c:pt>
                <c:pt idx="8">
                  <c:v>122</c:v>
                </c:pt>
                <c:pt idx="9">
                  <c:v>56</c:v>
                </c:pt>
                <c:pt idx="10">
                  <c:v>31</c:v>
                </c:pt>
                <c:pt idx="11">
                  <c:v>15</c:v>
                </c:pt>
                <c:pt idx="12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3-494C-A845-A2902DA37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だいち!$K$2:$K$633</c:f>
              <c:numCache>
                <c:formatCode>General</c:formatCode>
                <c:ptCount val="6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</c:numCache>
            </c:numRef>
          </c:xVal>
          <c:yVal>
            <c:numRef>
              <c:f>だいち!$L$2:$L$633</c:f>
              <c:numCache>
                <c:formatCode>\+0.0;\-0.0;\±0</c:formatCode>
                <c:ptCount val="63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D8-4A92-B832-CC2C60BF6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1326.4</c:v>
                </c:pt>
                <c:pt idx="1">
                  <c:v>1156.0855263157894</c:v>
                </c:pt>
                <c:pt idx="2">
                  <c:v>1249.3934142114385</c:v>
                </c:pt>
                <c:pt idx="3">
                  <c:v>1685.9582542694498</c:v>
                </c:pt>
                <c:pt idx="4">
                  <c:v>1498.9384288747347</c:v>
                </c:pt>
                <c:pt idx="5">
                  <c:v>1568.542199488491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D-48D2-B14C-0C70F7590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105</c:v>
                </c:pt>
                <c:pt idx="1">
                  <c:v>216</c:v>
                </c:pt>
                <c:pt idx="2">
                  <c:v>302</c:v>
                </c:pt>
                <c:pt idx="3">
                  <c:v>315</c:v>
                </c:pt>
                <c:pt idx="4">
                  <c:v>231</c:v>
                </c:pt>
                <c:pt idx="5">
                  <c:v>170</c:v>
                </c:pt>
                <c:pt idx="6">
                  <c:v>110</c:v>
                </c:pt>
                <c:pt idx="7">
                  <c:v>49</c:v>
                </c:pt>
                <c:pt idx="8">
                  <c:v>33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E-4A1F-959D-029F04DEC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F8-476A-A3D6-16685F26D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B-4F4A-9E4D-435596C4A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1-44AF-A0A3-D3D11B0CB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3B-4385-9D43-DE2037BE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-2514.2857142857142</c:v>
                </c:pt>
                <c:pt idx="1">
                  <c:v>-438.46153846153845</c:v>
                </c:pt>
                <c:pt idx="2">
                  <c:v>-1423.0769230769231</c:v>
                </c:pt>
                <c:pt idx="3">
                  <c:v>2258.3333333333335</c:v>
                </c:pt>
                <c:pt idx="4">
                  <c:v>4909.090909090909</c:v>
                </c:pt>
                <c:pt idx="5">
                  <c:v>355.55555555555554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7-4462-9E06-4FFD3FD80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9</c:v>
                </c:pt>
                <c:pt idx="4">
                  <c:v>7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6-439E-A4B8-C173A39BD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りくと!$K$2:$K$398</c:f>
              <c:numCache>
                <c:formatCode>General</c:formatCode>
                <c:ptCount val="3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</c:numCache>
            </c:numRef>
          </c:xVal>
          <c:yVal>
            <c:numRef>
              <c:f>りくと!$L$2:$L$398</c:f>
              <c:numCache>
                <c:formatCode>\+0.0;\-0.0;\±0</c:formatCode>
                <c:ptCount val="39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99-4F40-9233-03D1F57AC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-121.11959287531806</c:v>
                </c:pt>
                <c:pt idx="1">
                  <c:v>-1364.5833333333333</c:v>
                </c:pt>
                <c:pt idx="2">
                  <c:v>377.86885245901641</c:v>
                </c:pt>
                <c:pt idx="3">
                  <c:v>-622.02380952380952</c:v>
                </c:pt>
                <c:pt idx="4">
                  <c:v>-1272.9096989966556</c:v>
                </c:pt>
                <c:pt idx="5">
                  <c:v>-905.51181102362204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4-46A5-9213-E54BB1EBD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44</c:v>
                </c:pt>
                <c:pt idx="1">
                  <c:v>108</c:v>
                </c:pt>
                <c:pt idx="2">
                  <c:v>161</c:v>
                </c:pt>
                <c:pt idx="3">
                  <c:v>146</c:v>
                </c:pt>
                <c:pt idx="4">
                  <c:v>134</c:v>
                </c:pt>
                <c:pt idx="5">
                  <c:v>96</c:v>
                </c:pt>
                <c:pt idx="6">
                  <c:v>59</c:v>
                </c:pt>
                <c:pt idx="7">
                  <c:v>27</c:v>
                </c:pt>
                <c:pt idx="8">
                  <c:v>14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A-468A-8BD8-C5D96038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2D-4A98-B736-6CB12B7FD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8-44B7-AE61-58807D12D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F7-477F-B4F2-E1B053DA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4D-47E2-9DDB-5EA21FAE9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AB-4F81-B5B2-E4EE020C4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B-450E-BC1E-10B4D777A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たかの!$K$2:$K$260</c:f>
              <c:numCache>
                <c:formatCode>General</c:formatCode>
                <c:ptCount val="2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</c:numCache>
            </c:numRef>
          </c:xVal>
          <c:yVal>
            <c:numRef>
              <c:f>たかの!$L$2:$L$260</c:f>
              <c:numCache>
                <c:formatCode>\+0.0;\-0.0;\±0</c:formatCode>
                <c:ptCount val="25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C-4DEA-973B-EA7A162CC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89.922480620155042</c:v>
                </c:pt>
                <c:pt idx="1">
                  <c:v>-1859.1269841269841</c:v>
                </c:pt>
                <c:pt idx="2">
                  <c:v>-1222.4137931034484</c:v>
                </c:pt>
                <c:pt idx="3">
                  <c:v>-96.818181818181813</c:v>
                </c:pt>
                <c:pt idx="4">
                  <c:v>-586.13861386138615</c:v>
                </c:pt>
                <c:pt idx="5">
                  <c:v>-1188.8235294117646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1-4CBC-88ED-90DFEBF1B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62</c:v>
                </c:pt>
                <c:pt idx="1">
                  <c:v>131</c:v>
                </c:pt>
                <c:pt idx="2">
                  <c:v>117</c:v>
                </c:pt>
                <c:pt idx="3">
                  <c:v>112</c:v>
                </c:pt>
                <c:pt idx="4">
                  <c:v>85</c:v>
                </c:pt>
                <c:pt idx="5">
                  <c:v>40</c:v>
                </c:pt>
                <c:pt idx="6">
                  <c:v>23</c:v>
                </c:pt>
                <c:pt idx="7">
                  <c:v>16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4-4324-9D9E-DA82F4542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ただ!$K$2:$K$441</c:f>
              <c:numCache>
                <c:formatCode>General</c:formatCode>
                <c:ptCount val="4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</c:numCache>
            </c:numRef>
          </c:xVal>
          <c:yVal>
            <c:numRef>
              <c:f>ただ!$L$2:$L$441</c:f>
              <c:numCache>
                <c:formatCode>\+0.0;\-0.0;\±0</c:formatCode>
                <c:ptCount val="44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A-4C06-83AA-5830CF7E8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-897.93103448275861</c:v>
                </c:pt>
                <c:pt idx="1">
                  <c:v>-34.597156398104268</c:v>
                </c:pt>
                <c:pt idx="2">
                  <c:v>330.88607594936707</c:v>
                </c:pt>
                <c:pt idx="3">
                  <c:v>-1122.6158038147139</c:v>
                </c:pt>
                <c:pt idx="4">
                  <c:v>24.012158054711247</c:v>
                </c:pt>
                <c:pt idx="5">
                  <c:v>121.98581560283688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0E-4A13-A2A6-78339ACCC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56</c:v>
                </c:pt>
                <c:pt idx="1">
                  <c:v>163</c:v>
                </c:pt>
                <c:pt idx="2">
                  <c:v>213</c:v>
                </c:pt>
                <c:pt idx="3">
                  <c:v>201</c:v>
                </c:pt>
                <c:pt idx="4">
                  <c:v>142</c:v>
                </c:pt>
                <c:pt idx="5">
                  <c:v>98</c:v>
                </c:pt>
                <c:pt idx="6">
                  <c:v>48</c:v>
                </c:pt>
                <c:pt idx="7">
                  <c:v>35</c:v>
                </c:pt>
                <c:pt idx="8">
                  <c:v>17</c:v>
                </c:pt>
                <c:pt idx="9">
                  <c:v>12</c:v>
                </c:pt>
                <c:pt idx="10">
                  <c:v>8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D-4D1F-929C-54D01E2E6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57-4B49-884D-1469A959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D-4A64-B3A3-A90379A8D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D-4821-B667-F5E45B9C2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れんたろう!$K$2:$K$349</c:f>
              <c:numCache>
                <c:formatCode>General</c:formatCode>
                <c:ptCount val="3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</c:numCache>
            </c:numRef>
          </c:xVal>
          <c:yVal>
            <c:numRef>
              <c:f>れんたろう!$L$2:$L$349</c:f>
              <c:numCache>
                <c:formatCode>\+0.0;\-0.0;\±0</c:formatCode>
                <c:ptCount val="34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55-40F1-B4D6-CC8EC096D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201.74927113702623</c:v>
                </c:pt>
                <c:pt idx="1">
                  <c:v>62.5</c:v>
                </c:pt>
                <c:pt idx="2">
                  <c:v>263.14102564102564</c:v>
                </c:pt>
                <c:pt idx="3">
                  <c:v>787.01754385964909</c:v>
                </c:pt>
                <c:pt idx="4">
                  <c:v>-1480.6949806949806</c:v>
                </c:pt>
                <c:pt idx="5">
                  <c:v>247.24770642201835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C-43E4-9012-7E15F4058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26</c:v>
                </c:pt>
                <c:pt idx="1">
                  <c:v>79</c:v>
                </c:pt>
                <c:pt idx="2">
                  <c:v>115</c:v>
                </c:pt>
                <c:pt idx="3">
                  <c:v>155</c:v>
                </c:pt>
                <c:pt idx="4">
                  <c:v>151</c:v>
                </c:pt>
                <c:pt idx="5">
                  <c:v>90</c:v>
                </c:pt>
                <c:pt idx="6">
                  <c:v>65</c:v>
                </c:pt>
                <c:pt idx="7">
                  <c:v>37</c:v>
                </c:pt>
                <c:pt idx="8">
                  <c:v>26</c:v>
                </c:pt>
                <c:pt idx="9">
                  <c:v>11</c:v>
                </c:pt>
                <c:pt idx="10">
                  <c:v>7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EB-4A3C-A158-07560427E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70-4DA6-A47E-A469D217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5-4B20-9338-A9D460ECA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C-4B06-82E2-46CBA3537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まっつん!$K$2:$K$279</c:f>
              <c:numCache>
                <c:formatCode>General</c:formatCode>
                <c:ptCount val="2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</c:numCache>
            </c:numRef>
          </c:xVal>
          <c:yVal>
            <c:numRef>
              <c:f>まっつん!$L$2:$L$279</c:f>
              <c:numCache>
                <c:formatCode>\+0.0;\-0.0;\±0</c:formatCode>
                <c:ptCount val="27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9-4116-A2BC-02410BE0D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-10.469314079422382</c:v>
                </c:pt>
                <c:pt idx="1">
                  <c:v>551.11111111111109</c:v>
                </c:pt>
                <c:pt idx="2">
                  <c:v>-549.40711462450588</c:v>
                </c:pt>
                <c:pt idx="3">
                  <c:v>-105.53191489361703</c:v>
                </c:pt>
                <c:pt idx="4">
                  <c:v>-1188.7323943661972</c:v>
                </c:pt>
                <c:pt idx="5">
                  <c:v>-312.35955056179773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3-4A5E-90C0-84E9ED459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45</c:v>
                </c:pt>
                <c:pt idx="1">
                  <c:v>95</c:v>
                </c:pt>
                <c:pt idx="2">
                  <c:v>118</c:v>
                </c:pt>
                <c:pt idx="3">
                  <c:v>105</c:v>
                </c:pt>
                <c:pt idx="4">
                  <c:v>100</c:v>
                </c:pt>
                <c:pt idx="5">
                  <c:v>64</c:v>
                </c:pt>
                <c:pt idx="6">
                  <c:v>36</c:v>
                </c:pt>
                <c:pt idx="7">
                  <c:v>16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E-42C0-8CE4-136F1AC97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ぱぱ!$L$2:$L$100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43-48A0-888D-31A263752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-2813.4020618556701</c:v>
                </c:pt>
                <c:pt idx="1">
                  <c:v>375.25773195876286</c:v>
                </c:pt>
                <c:pt idx="2">
                  <c:v>-1567.741935483871</c:v>
                </c:pt>
                <c:pt idx="3">
                  <c:v>-3352.9411764705883</c:v>
                </c:pt>
                <c:pt idx="4">
                  <c:v>1114.4736842105262</c:v>
                </c:pt>
                <c:pt idx="5">
                  <c:v>-35.820895522388057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3-49FB-B84B-1FD15C04F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26</c:v>
                </c:pt>
                <c:pt idx="1">
                  <c:v>44</c:v>
                </c:pt>
                <c:pt idx="2">
                  <c:v>40</c:v>
                </c:pt>
                <c:pt idx="3">
                  <c:v>38</c:v>
                </c:pt>
                <c:pt idx="4">
                  <c:v>34</c:v>
                </c:pt>
                <c:pt idx="5">
                  <c:v>22</c:v>
                </c:pt>
                <c:pt idx="6">
                  <c:v>9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9C9-985D-EC244758F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CB-4B41-BC52-CA3179F43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2-4FB7-AAC1-95D52516F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7-4490-9713-83469007D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9-40D1-8258-7E5B01844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9-4CBB-B63E-B803EF11E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4-4608-B1ED-5356D56AA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のり!$L$2:$L$66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99-4EC6-92CE-4C8F17C39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-2568.75</c:v>
                </c:pt>
                <c:pt idx="1">
                  <c:v>-728.125</c:v>
                </c:pt>
                <c:pt idx="2">
                  <c:v>-1175.4098360655737</c:v>
                </c:pt>
                <c:pt idx="3">
                  <c:v>-1392.8571428571429</c:v>
                </c:pt>
                <c:pt idx="4">
                  <c:v>-2115.0943396226417</c:v>
                </c:pt>
                <c:pt idx="5">
                  <c:v>-2460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4-4387-A6DA-3A2D8FB41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13</c:v>
                </c:pt>
                <c:pt idx="1">
                  <c:v>28</c:v>
                </c:pt>
                <c:pt idx="2">
                  <c:v>29</c:v>
                </c:pt>
                <c:pt idx="3">
                  <c:v>19</c:v>
                </c:pt>
                <c:pt idx="4">
                  <c:v>20</c:v>
                </c:pt>
                <c:pt idx="5">
                  <c:v>9</c:v>
                </c:pt>
                <c:pt idx="6">
                  <c:v>9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2-4E35-A53D-34BAA19E6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4-43A8-9173-8EE666AB2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4-49A3-A176-DE930EA92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4-48D4-B7E0-1C9803E32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E3-4117-8364-D5D927221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A9-4104-98A9-B809FFD9F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5-460E-873B-8501063E1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7-445F-B881-8D8D5C62C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C5-4AC0-97F0-DE5BFA2A9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9-48BD-B0C6-E69B868FD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3DF8A5-507D-4D6A-88C5-CB39EA08D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B69119-5E89-4A9E-A5A3-8F404717B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D1DC323-C7F2-4C70-95B6-B0461A6DB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147F34-74E4-40B7-996B-0EFF199A2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2E6AF3-C586-4C10-8F76-A1147F748E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680DB3-7C0E-45EA-BA66-3D2B30025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334A10-7E06-40BE-B02C-8BD8901B9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EC349E-B23D-4238-BBD7-5C33D860D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B9789B-891B-478F-A3AC-F5D0588A3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2D0EF5-3BC5-42B7-A462-879142F3E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892CB9-BBEE-4345-834B-AE7742197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25C6EA-E708-468B-BF71-F946DF02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9C99E8-B752-4D71-B6B9-FA4A58067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4B4CE3-49EA-4B4C-924E-72B134FAA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583984-3E34-45DD-BBB8-F93957720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D795B9-E607-47B3-90E1-543C9BFB3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C509CD-6DD9-417B-802F-F478FB58B7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27408E-77A3-4D3A-9C98-1FE8123AF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533053-E3CF-4F06-BBDF-87ED1E726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1F17C4-580D-4201-8D0F-E920D4C642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B9CA48-BFE7-4583-8CDB-174C8BA37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2BF535-C1EF-40FB-A4C1-65BF3D31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2F3570-C730-432B-9EF7-F5C3C3AED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BACD6A-D139-4752-9D8C-BCE44CF38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35116C-8EF6-4E85-A06B-7B70BF211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115F8D-2AC1-4FE5-9747-0355CD023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5D1995-041B-4696-9245-8E8C3F8F4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FEBB71-D8E0-4BD5-997A-A31FFAB3D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AF1AE6-2ACA-41F2-B244-DBA40F39D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586B5E-B5A9-459E-8133-44C75D98B4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001843-802E-4D79-9D97-AD42823BD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25ABF4-E8D3-4398-B863-C6D44F773D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C70F2D7-FC32-4C61-BE9C-7B0D5C4A2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F0E26B-4C29-49D9-A2BC-ED8B763C36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460A38-C5C3-4297-AA02-E09313D5E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31FF819-FBF0-42B5-9C96-AFEDC60F8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7A279B-86FD-4236-B9A2-757DC04BB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33E482-BEFA-46DD-AF9E-4CBDB10933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0C7BAA-0080-41F4-A489-750BA6F4E7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C6A01E-4F50-4E61-B390-57D4BAB3D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E84851-CD4F-43FC-BDE7-690E427463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58D077-20D5-4066-BF82-2B722420C8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7898EC-8306-48D3-8254-3C6FB4E2C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49912F-3720-4401-8478-48E3060C6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CC31A1-5E2F-47A2-9CC7-FABE14FC5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002F34-D341-47E0-8997-7D10BF337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89836E-CB24-471A-9652-B555206DED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372159-E8F3-40E4-915A-26681F140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7157C6-C7F2-47AF-B177-EE5FC6B2A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E59EAF-0CBC-4DA8-9266-15D2B7140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C110164-A1EB-45F2-BBFC-AB4586C5B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866458-E4D9-4F76-907A-5AE67183BF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B31A5A-7112-44B1-9218-CC7E10FD6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6E5D46-239A-451E-97A2-957727D4C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6CDFB1-AE02-4F12-B3E1-74360605A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4AC29A-A176-42D2-96AF-790560813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BDFE57-4CB0-42D7-A298-E0387E13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6819E6-5C95-4855-B296-863C0042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E44273-74CA-412B-8928-F67FD63757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902800-7630-49BE-9471-D637FA9DA5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25"/>
      <c r="C1" s="12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29">
        <v>0</v>
      </c>
      <c r="C3" s="130"/>
      <c r="E3" s="44" t="s">
        <v>65</v>
      </c>
      <c r="F3" s="26" t="s">
        <v>21</v>
      </c>
      <c r="G3" s="14">
        <v>0</v>
      </c>
      <c r="H3" s="107">
        <f t="shared" ref="H3:H52" si="1">IF(B$47=0,0,G3/B$47)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5">
      <c r="A4" s="20" t="s">
        <v>6</v>
      </c>
      <c r="B4" s="131">
        <v>0</v>
      </c>
      <c r="C4" s="132"/>
      <c r="E4" s="44" t="s">
        <v>66</v>
      </c>
      <c r="F4" s="26" t="s">
        <v>22</v>
      </c>
      <c r="G4" s="14">
        <v>0</v>
      </c>
      <c r="H4" s="107">
        <f t="shared" si="1"/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5">
      <c r="A5" s="20" t="s">
        <v>7</v>
      </c>
      <c r="B5" s="133">
        <f>IF(B$2=0,0,B$4/B$2)</f>
        <v>0</v>
      </c>
      <c r="C5" s="134"/>
      <c r="E5" s="44" t="s">
        <v>67</v>
      </c>
      <c r="F5" s="26" t="s">
        <v>23</v>
      </c>
      <c r="G5" s="14">
        <v>0</v>
      </c>
      <c r="H5" s="107">
        <f t="shared" si="1"/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5">
      <c r="A6" s="20" t="s">
        <v>1</v>
      </c>
      <c r="B6" s="141">
        <f>IF(B$2=0,0,(B$7*1+B$8*2+B$9*3)/B$2)</f>
        <v>0</v>
      </c>
      <c r="C6" s="142"/>
      <c r="E6" s="44" t="s">
        <v>68</v>
      </c>
      <c r="F6" s="26" t="s">
        <v>12</v>
      </c>
      <c r="G6" s="14">
        <v>0</v>
      </c>
      <c r="H6" s="107">
        <f t="shared" si="1"/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1"/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1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1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2"/>
        <v>0</v>
      </c>
      <c r="E10" s="44" t="s">
        <v>72</v>
      </c>
      <c r="F10" s="26" t="s">
        <v>27</v>
      </c>
      <c r="G10" s="14">
        <v>0</v>
      </c>
      <c r="H10" s="107">
        <f t="shared" si="1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23" t="s">
        <v>121</v>
      </c>
      <c r="B11" s="16">
        <v>0</v>
      </c>
      <c r="C11" s="11">
        <f>IF(B$46=0,0,B11/B$46)</f>
        <v>0</v>
      </c>
      <c r="E11" s="44" t="s">
        <v>73</v>
      </c>
      <c r="F11" s="26" t="s">
        <v>28</v>
      </c>
      <c r="G11" s="14">
        <v>0</v>
      </c>
      <c r="H11" s="107">
        <f t="shared" si="1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20" t="s">
        <v>118</v>
      </c>
      <c r="B12" s="14">
        <v>0</v>
      </c>
      <c r="C12" s="6">
        <f>IF(B$46=0,0,B12/B$46)</f>
        <v>0</v>
      </c>
      <c r="E12" s="44" t="s">
        <v>74</v>
      </c>
      <c r="F12" s="26" t="s">
        <v>29</v>
      </c>
      <c r="G12" s="14">
        <v>0</v>
      </c>
      <c r="H12" s="107">
        <f t="shared" si="1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26" t="s">
        <v>30</v>
      </c>
      <c r="G13" s="14">
        <v>0</v>
      </c>
      <c r="H13" s="107">
        <f t="shared" si="1"/>
        <v>0</v>
      </c>
      <c r="I13" s="68"/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26" t="s">
        <v>31</v>
      </c>
      <c r="G14" s="14">
        <v>0</v>
      </c>
      <c r="H14" s="107">
        <f>IF(B$47=0,0,G14/B$47)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19" t="s">
        <v>10</v>
      </c>
      <c r="B15" s="13">
        <v>0</v>
      </c>
      <c r="C15" s="4">
        <f>IF(B$3=0,0,B15/B$3)</f>
        <v>0</v>
      </c>
      <c r="E15" s="44" t="s">
        <v>77</v>
      </c>
      <c r="F15" s="26" t="s">
        <v>32</v>
      </c>
      <c r="G15" s="14">
        <v>0</v>
      </c>
      <c r="H15" s="107">
        <f t="shared" si="1"/>
        <v>0</v>
      </c>
      <c r="I15" s="68"/>
      <c r="N15" s="88"/>
      <c r="O15" s="98"/>
      <c r="P15" s="92"/>
      <c r="Q15" s="80"/>
    </row>
    <row r="16" spans="1:17" x14ac:dyDescent="0.45">
      <c r="A16" s="37" t="s">
        <v>13</v>
      </c>
      <c r="B16" s="34">
        <v>0</v>
      </c>
      <c r="C16" s="31">
        <f>IF(B$3=0,0,B16/B$3)</f>
        <v>0</v>
      </c>
      <c r="E16" s="44" t="s">
        <v>78</v>
      </c>
      <c r="F16" s="26" t="s">
        <v>33</v>
      </c>
      <c r="G16" s="14">
        <v>0</v>
      </c>
      <c r="H16" s="107">
        <f t="shared" si="1"/>
        <v>0</v>
      </c>
      <c r="I16" s="68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1"/>
        <v>0</v>
      </c>
      <c r="I17" s="68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44" t="s">
        <v>80</v>
      </c>
      <c r="F18" s="26" t="s">
        <v>35</v>
      </c>
      <c r="G18" s="14">
        <v>0</v>
      </c>
      <c r="H18" s="107">
        <f t="shared" si="1"/>
        <v>0</v>
      </c>
      <c r="I18" s="68"/>
    </row>
    <row r="19" spans="1:9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26" t="s">
        <v>36</v>
      </c>
      <c r="G19" s="14">
        <v>0</v>
      </c>
      <c r="H19" s="107">
        <f t="shared" si="1"/>
        <v>0</v>
      </c>
      <c r="I19" s="68"/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26" t="s">
        <v>37</v>
      </c>
      <c r="G20" s="14">
        <v>0</v>
      </c>
      <c r="H20" s="107">
        <f t="shared" si="1"/>
        <v>0</v>
      </c>
      <c r="I20" s="68"/>
    </row>
    <row r="21" spans="1:9" x14ac:dyDescent="0.45">
      <c r="A21" s="20" t="s">
        <v>179</v>
      </c>
      <c r="B21" s="34">
        <v>0</v>
      </c>
      <c r="C21" s="31">
        <f>IF(B$15=0,0,B21/B$15)</f>
        <v>0</v>
      </c>
      <c r="E21" s="44" t="s">
        <v>83</v>
      </c>
      <c r="F21" s="26" t="s">
        <v>38</v>
      </c>
      <c r="G21" s="14">
        <v>0</v>
      </c>
      <c r="H21" s="107">
        <f t="shared" si="1"/>
        <v>0</v>
      </c>
      <c r="I21" s="68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44" t="s">
        <v>84</v>
      </c>
      <c r="F22" s="26" t="s">
        <v>39</v>
      </c>
      <c r="G22" s="14">
        <v>0</v>
      </c>
      <c r="H22" s="107">
        <f t="shared" si="1"/>
        <v>0</v>
      </c>
      <c r="I22" s="68"/>
    </row>
    <row r="23" spans="1:9" x14ac:dyDescent="0.45">
      <c r="A23" s="38" t="s">
        <v>162</v>
      </c>
      <c r="B23" s="114">
        <f>IF($B$15-B$14=0,0,C23/($B$15-B$14))</f>
        <v>0</v>
      </c>
      <c r="C23" s="115">
        <v>0</v>
      </c>
      <c r="E23" s="44" t="s">
        <v>85</v>
      </c>
      <c r="F23" s="26" t="s">
        <v>40</v>
      </c>
      <c r="G23" s="14">
        <v>0</v>
      </c>
      <c r="H23" s="107">
        <f t="shared" si="1"/>
        <v>0</v>
      </c>
      <c r="I23" s="68"/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26" t="s">
        <v>41</v>
      </c>
      <c r="G24" s="14">
        <v>0</v>
      </c>
      <c r="H24" s="107">
        <f t="shared" si="1"/>
        <v>0</v>
      </c>
      <c r="I24" s="68"/>
    </row>
    <row r="25" spans="1:9" x14ac:dyDescent="0.45">
      <c r="A25" s="38" t="s">
        <v>161</v>
      </c>
      <c r="B25" s="114">
        <f>IF(B$16=0,0,C25/B$16)</f>
        <v>0</v>
      </c>
      <c r="C25" s="115">
        <v>0</v>
      </c>
      <c r="E25" s="44" t="s">
        <v>87</v>
      </c>
      <c r="F25" s="26" t="s">
        <v>42</v>
      </c>
      <c r="G25" s="14">
        <v>0</v>
      </c>
      <c r="H25" s="107">
        <f t="shared" si="1"/>
        <v>0</v>
      </c>
      <c r="I25" s="68"/>
    </row>
    <row r="26" spans="1:9" x14ac:dyDescent="0.45">
      <c r="A26" s="37" t="s">
        <v>155</v>
      </c>
      <c r="B26" s="34">
        <v>0</v>
      </c>
      <c r="C26" s="109">
        <v>0</v>
      </c>
      <c r="E26" s="44" t="s">
        <v>88</v>
      </c>
      <c r="F26" s="26" t="s">
        <v>43</v>
      </c>
      <c r="G26" s="14">
        <v>0</v>
      </c>
      <c r="H26" s="107">
        <f t="shared" si="1"/>
        <v>0</v>
      </c>
      <c r="I26" s="68"/>
    </row>
    <row r="27" spans="1:9" x14ac:dyDescent="0.45">
      <c r="A27" s="37" t="s">
        <v>156</v>
      </c>
      <c r="B27" s="34">
        <v>0</v>
      </c>
      <c r="C27" s="109">
        <v>0</v>
      </c>
      <c r="E27" s="44" t="s">
        <v>89</v>
      </c>
      <c r="F27" s="26" t="s">
        <v>44</v>
      </c>
      <c r="G27" s="14">
        <v>0</v>
      </c>
      <c r="H27" s="107">
        <f t="shared" si="1"/>
        <v>0</v>
      </c>
      <c r="I27" s="68"/>
    </row>
    <row r="28" spans="1:9" x14ac:dyDescent="0.45">
      <c r="A28" s="64" t="s">
        <v>134</v>
      </c>
      <c r="B28" s="139">
        <v>0</v>
      </c>
      <c r="C28" s="140"/>
      <c r="E28" s="44" t="s">
        <v>90</v>
      </c>
      <c r="F28" s="26" t="s">
        <v>45</v>
      </c>
      <c r="G28" s="14">
        <v>0</v>
      </c>
      <c r="H28" s="107">
        <f t="shared" si="1"/>
        <v>0</v>
      </c>
      <c r="I28" s="68"/>
    </row>
    <row r="29" spans="1:9" x14ac:dyDescent="0.45">
      <c r="A29" s="40" t="s">
        <v>177</v>
      </c>
      <c r="B29" s="137">
        <v>-1000000</v>
      </c>
      <c r="C29" s="138"/>
      <c r="E29" s="44" t="s">
        <v>91</v>
      </c>
      <c r="F29" s="26" t="s">
        <v>46</v>
      </c>
      <c r="G29" s="14">
        <v>0</v>
      </c>
      <c r="H29" s="107">
        <f t="shared" si="1"/>
        <v>0</v>
      </c>
      <c r="I29" s="68"/>
    </row>
    <row r="30" spans="1:9" x14ac:dyDescent="0.45">
      <c r="A30" s="22" t="s">
        <v>135</v>
      </c>
      <c r="B30" s="27">
        <v>0</v>
      </c>
      <c r="C30" s="9">
        <f>IF(B$3=0,0,B30/B$3)</f>
        <v>0</v>
      </c>
      <c r="E30" s="44" t="s">
        <v>92</v>
      </c>
      <c r="F30" s="26" t="s">
        <v>47</v>
      </c>
      <c r="G30" s="14">
        <v>0</v>
      </c>
      <c r="H30" s="107">
        <f t="shared" si="1"/>
        <v>0</v>
      </c>
      <c r="I30" s="68"/>
    </row>
    <row r="31" spans="1:9" x14ac:dyDescent="0.45">
      <c r="E31" s="44" t="s">
        <v>93</v>
      </c>
      <c r="F31" s="26" t="s">
        <v>48</v>
      </c>
      <c r="G31" s="14">
        <v>0</v>
      </c>
      <c r="H31" s="107">
        <f t="shared" si="1"/>
        <v>0</v>
      </c>
      <c r="I31" s="68"/>
    </row>
    <row r="32" spans="1:9" x14ac:dyDescent="0.45">
      <c r="A32" s="64" t="s">
        <v>168</v>
      </c>
      <c r="B32" s="116">
        <v>0</v>
      </c>
      <c r="C32" s="119">
        <f>IF(B$15=0,0,B32/B$15)</f>
        <v>0</v>
      </c>
      <c r="E32" s="44" t="s">
        <v>94</v>
      </c>
      <c r="F32" s="26" t="s">
        <v>49</v>
      </c>
      <c r="G32" s="14">
        <v>0</v>
      </c>
      <c r="H32" s="107">
        <f t="shared" si="1"/>
        <v>0</v>
      </c>
      <c r="I32" s="68"/>
    </row>
    <row r="33" spans="1:9" x14ac:dyDescent="0.45">
      <c r="A33" s="37" t="s">
        <v>164</v>
      </c>
      <c r="B33" s="34">
        <v>0</v>
      </c>
      <c r="C33" s="31">
        <f t="shared" ref="C33:C44" si="3">IF(B$15=0,0,B33/B$15)</f>
        <v>0</v>
      </c>
      <c r="E33" s="44" t="s">
        <v>95</v>
      </c>
      <c r="F33" s="26" t="s">
        <v>50</v>
      </c>
      <c r="G33" s="14">
        <v>0</v>
      </c>
      <c r="H33" s="107">
        <f t="shared" si="1"/>
        <v>0</v>
      </c>
      <c r="I33" s="68"/>
    </row>
    <row r="34" spans="1:9" x14ac:dyDescent="0.45">
      <c r="A34" s="37" t="s">
        <v>165</v>
      </c>
      <c r="B34" s="117">
        <v>0</v>
      </c>
      <c r="C34" s="31">
        <f>IF(B$15=0,0,B34/B$15)</f>
        <v>0</v>
      </c>
      <c r="E34" s="44" t="s">
        <v>96</v>
      </c>
      <c r="F34" s="26" t="s">
        <v>51</v>
      </c>
      <c r="G34" s="14">
        <v>0</v>
      </c>
      <c r="H34" s="107">
        <f t="shared" si="1"/>
        <v>0</v>
      </c>
      <c r="I34" s="68"/>
    </row>
    <row r="35" spans="1:9" x14ac:dyDescent="0.45">
      <c r="A35" s="37" t="s">
        <v>166</v>
      </c>
      <c r="B35" s="117">
        <v>0</v>
      </c>
      <c r="C35" s="31">
        <f t="shared" si="3"/>
        <v>0</v>
      </c>
      <c r="E35" s="44" t="s">
        <v>97</v>
      </c>
      <c r="F35" s="26" t="s">
        <v>52</v>
      </c>
      <c r="G35" s="14">
        <v>0</v>
      </c>
      <c r="H35" s="107">
        <f t="shared" si="1"/>
        <v>0</v>
      </c>
      <c r="I35" s="68"/>
    </row>
    <row r="36" spans="1:9" x14ac:dyDescent="0.45">
      <c r="A36" s="37" t="s">
        <v>167</v>
      </c>
      <c r="B36" s="117">
        <v>0</v>
      </c>
      <c r="C36" s="31">
        <f t="shared" si="3"/>
        <v>0</v>
      </c>
      <c r="E36" s="44" t="s">
        <v>98</v>
      </c>
      <c r="F36" s="26" t="s">
        <v>53</v>
      </c>
      <c r="G36" s="14">
        <v>0</v>
      </c>
      <c r="H36" s="107">
        <f t="shared" si="1"/>
        <v>0</v>
      </c>
      <c r="I36" s="68"/>
    </row>
    <row r="37" spans="1:9" x14ac:dyDescent="0.45">
      <c r="A37" s="37" t="s">
        <v>169</v>
      </c>
      <c r="B37" s="117">
        <v>0</v>
      </c>
      <c r="C37" s="31">
        <f t="shared" si="3"/>
        <v>0</v>
      </c>
      <c r="E37" s="44" t="s">
        <v>99</v>
      </c>
      <c r="F37" s="26" t="s">
        <v>54</v>
      </c>
      <c r="G37" s="14">
        <v>0</v>
      </c>
      <c r="H37" s="107">
        <f t="shared" si="1"/>
        <v>0</v>
      </c>
      <c r="I37" s="68"/>
    </row>
    <row r="38" spans="1:9" x14ac:dyDescent="0.45">
      <c r="A38" s="37" t="s">
        <v>170</v>
      </c>
      <c r="B38" s="117">
        <v>0</v>
      </c>
      <c r="C38" s="31">
        <f t="shared" si="3"/>
        <v>0</v>
      </c>
      <c r="E38" s="44" t="s">
        <v>100</v>
      </c>
      <c r="F38" s="26" t="s">
        <v>55</v>
      </c>
      <c r="G38" s="14">
        <v>0</v>
      </c>
      <c r="H38" s="107">
        <f t="shared" si="1"/>
        <v>0</v>
      </c>
      <c r="I38" s="68"/>
    </row>
    <row r="39" spans="1:9" x14ac:dyDescent="0.45">
      <c r="A39" s="37" t="s">
        <v>171</v>
      </c>
      <c r="B39" s="117">
        <v>0</v>
      </c>
      <c r="C39" s="31">
        <f t="shared" si="3"/>
        <v>0</v>
      </c>
      <c r="E39" s="44" t="s">
        <v>101</v>
      </c>
      <c r="F39" s="26" t="s">
        <v>56</v>
      </c>
      <c r="G39" s="14">
        <v>0</v>
      </c>
      <c r="H39" s="107">
        <f t="shared" si="1"/>
        <v>0</v>
      </c>
      <c r="I39" s="68"/>
    </row>
    <row r="40" spans="1:9" x14ac:dyDescent="0.45">
      <c r="A40" s="37" t="s">
        <v>172</v>
      </c>
      <c r="B40" s="117">
        <v>0</v>
      </c>
      <c r="C40" s="31">
        <f t="shared" si="3"/>
        <v>0</v>
      </c>
      <c r="E40" s="44" t="s">
        <v>102</v>
      </c>
      <c r="F40" s="26" t="s">
        <v>57</v>
      </c>
      <c r="G40" s="14">
        <v>0</v>
      </c>
      <c r="H40" s="107">
        <f t="shared" si="1"/>
        <v>0</v>
      </c>
      <c r="I40" s="68"/>
    </row>
    <row r="41" spans="1:9" x14ac:dyDescent="0.45">
      <c r="A41" s="37" t="s">
        <v>173</v>
      </c>
      <c r="B41" s="117">
        <v>0</v>
      </c>
      <c r="C41" s="31">
        <f t="shared" si="3"/>
        <v>0</v>
      </c>
      <c r="E41" s="44" t="s">
        <v>103</v>
      </c>
      <c r="F41" s="26" t="s">
        <v>58</v>
      </c>
      <c r="G41" s="14">
        <v>0</v>
      </c>
      <c r="H41" s="107">
        <f t="shared" si="1"/>
        <v>0</v>
      </c>
      <c r="I41" s="68"/>
    </row>
    <row r="42" spans="1:9" x14ac:dyDescent="0.45">
      <c r="A42" s="37" t="s">
        <v>174</v>
      </c>
      <c r="B42" s="117">
        <v>0</v>
      </c>
      <c r="C42" s="31">
        <f t="shared" si="3"/>
        <v>0</v>
      </c>
      <c r="E42" s="44" t="s">
        <v>104</v>
      </c>
      <c r="F42" s="26" t="s">
        <v>59</v>
      </c>
      <c r="G42" s="14">
        <v>0</v>
      </c>
      <c r="H42" s="107">
        <f t="shared" si="1"/>
        <v>0</v>
      </c>
      <c r="I42" s="68"/>
    </row>
    <row r="43" spans="1:9" x14ac:dyDescent="0.45">
      <c r="A43" s="37" t="s">
        <v>175</v>
      </c>
      <c r="B43" s="117">
        <v>0</v>
      </c>
      <c r="C43" s="31">
        <f t="shared" si="3"/>
        <v>0</v>
      </c>
      <c r="E43" s="44" t="s">
        <v>105</v>
      </c>
      <c r="F43" s="26" t="s">
        <v>112</v>
      </c>
      <c r="G43" s="14">
        <v>0</v>
      </c>
      <c r="H43" s="107">
        <f t="shared" si="1"/>
        <v>0</v>
      </c>
      <c r="I43" s="68"/>
    </row>
    <row r="44" spans="1:9" x14ac:dyDescent="0.45">
      <c r="A44" s="39" t="s">
        <v>176</v>
      </c>
      <c r="B44" s="118">
        <v>0</v>
      </c>
      <c r="C44" s="32">
        <f t="shared" si="3"/>
        <v>0</v>
      </c>
      <c r="E44" s="44" t="s">
        <v>106</v>
      </c>
      <c r="F44" s="26" t="s">
        <v>113</v>
      </c>
      <c r="G44" s="14">
        <v>0</v>
      </c>
      <c r="H44" s="107">
        <f t="shared" si="1"/>
        <v>0</v>
      </c>
      <c r="I44" s="68"/>
    </row>
    <row r="45" spans="1:9" x14ac:dyDescent="0.45">
      <c r="E45" s="44" t="s">
        <v>107</v>
      </c>
      <c r="F45" s="26" t="s">
        <v>114</v>
      </c>
      <c r="G45" s="14">
        <v>0</v>
      </c>
      <c r="H45" s="107">
        <f t="shared" si="1"/>
        <v>0</v>
      </c>
      <c r="I45" s="68"/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26" t="s">
        <v>60</v>
      </c>
      <c r="G46" s="14">
        <v>0</v>
      </c>
      <c r="H46" s="107">
        <f t="shared" si="1"/>
        <v>0</v>
      </c>
      <c r="I46" s="68"/>
    </row>
    <row r="47" spans="1:9" x14ac:dyDescent="0.45">
      <c r="A47" s="39" t="s">
        <v>182</v>
      </c>
      <c r="B47" s="135">
        <v>0</v>
      </c>
      <c r="C47" s="136"/>
      <c r="E47" s="44" t="s">
        <v>109</v>
      </c>
      <c r="F47" s="26" t="s">
        <v>61</v>
      </c>
      <c r="G47" s="14">
        <v>0</v>
      </c>
      <c r="H47" s="107">
        <f t="shared" si="1"/>
        <v>0</v>
      </c>
      <c r="I47" s="68"/>
    </row>
    <row r="48" spans="1:9" x14ac:dyDescent="0.45">
      <c r="E48" s="44" t="s">
        <v>110</v>
      </c>
      <c r="F48" s="26" t="s">
        <v>62</v>
      </c>
      <c r="G48" s="14">
        <v>0</v>
      </c>
      <c r="H48" s="107">
        <f t="shared" si="1"/>
        <v>0</v>
      </c>
      <c r="I48" s="68"/>
    </row>
    <row r="49" spans="5:9" x14ac:dyDescent="0.45">
      <c r="E49" s="44" t="s">
        <v>111</v>
      </c>
      <c r="F49" s="41" t="s">
        <v>63</v>
      </c>
      <c r="G49" s="34">
        <v>0</v>
      </c>
      <c r="H49" s="107">
        <f t="shared" si="1"/>
        <v>0</v>
      </c>
      <c r="I49" s="68"/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/>
    </row>
    <row r="51" spans="5:9" x14ac:dyDescent="0.45">
      <c r="E51" s="110" t="s">
        <v>157</v>
      </c>
      <c r="F51" s="111" t="s">
        <v>158</v>
      </c>
      <c r="G51" s="35">
        <v>0</v>
      </c>
      <c r="H51" s="112">
        <f t="shared" si="1"/>
        <v>0</v>
      </c>
      <c r="I51" s="113"/>
    </row>
    <row r="52" spans="5:9" x14ac:dyDescent="0.45">
      <c r="E52" s="45" t="s">
        <v>159</v>
      </c>
      <c r="F52" s="42" t="s">
        <v>160</v>
      </c>
      <c r="G52" s="36">
        <v>0</v>
      </c>
      <c r="H52" s="108">
        <f t="shared" si="1"/>
        <v>0</v>
      </c>
      <c r="I52" s="69"/>
    </row>
  </sheetData>
  <mergeCells count="10">
    <mergeCell ref="B47:C47"/>
    <mergeCell ref="B46:C46"/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7" customWidth="1"/>
    <col min="3" max="3" width="10.69921875" style="58" customWidth="1"/>
    <col min="4" max="4" width="10.69921875" style="59" customWidth="1"/>
    <col min="5" max="5" width="10.69921875" style="71" customWidth="1"/>
    <col min="6" max="6" width="10.69921875" style="59" customWidth="1"/>
    <col min="7" max="7" width="10.69921875" style="60" customWidth="1"/>
    <col min="8" max="8" width="10.69921875" style="59" customWidth="1"/>
    <col min="9" max="9" width="10.69921875" style="61" customWidth="1"/>
    <col min="10" max="10" width="10.69921875" style="59" customWidth="1"/>
    <col min="11" max="11" width="10.69921875" style="61" customWidth="1"/>
    <col min="12" max="12" width="10.69921875" style="59" customWidth="1"/>
    <col min="13" max="13" width="10.69921875" style="62" customWidth="1"/>
    <col min="14" max="14" width="10.69921875" style="59" customWidth="1"/>
    <col min="15" max="15" width="10.69921875" style="62" customWidth="1"/>
    <col min="16" max="16" width="10.69921875" style="59" customWidth="1"/>
    <col min="17" max="17" width="10.69921875" style="63" customWidth="1"/>
    <col min="18" max="18" width="10.69921875" style="59" customWidth="1"/>
    <col min="19" max="19" width="10.69921875" style="63" customWidth="1"/>
    <col min="20" max="20" width="10.69921875" style="59" customWidth="1"/>
    <col min="21" max="21" width="10.69921875" style="61" customWidth="1"/>
    <col min="22" max="22" width="10.69921875" style="59" customWidth="1"/>
    <col min="23" max="23" width="10.69921875" style="62" customWidth="1"/>
    <col min="24" max="24" width="10.69921875" style="59" customWidth="1"/>
    <col min="25" max="25" width="10.69921875" style="62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6" customWidth="1"/>
    <col min="34" max="16384" width="9" style="47"/>
  </cols>
  <sheetData>
    <row r="1" spans="1:33" x14ac:dyDescent="0.45">
      <c r="A1" s="46"/>
      <c r="B1" s="145" t="s">
        <v>6</v>
      </c>
      <c r="C1" s="146"/>
      <c r="D1" s="145" t="s">
        <v>7</v>
      </c>
      <c r="E1" s="146"/>
      <c r="F1" s="145" t="s">
        <v>15</v>
      </c>
      <c r="G1" s="146"/>
      <c r="H1" s="145" t="s">
        <v>14</v>
      </c>
      <c r="I1" s="146"/>
      <c r="J1" s="145" t="s">
        <v>147</v>
      </c>
      <c r="K1" s="146"/>
      <c r="L1" s="145" t="s">
        <v>137</v>
      </c>
      <c r="M1" s="146"/>
      <c r="N1" s="145" t="s">
        <v>138</v>
      </c>
      <c r="O1" s="146"/>
      <c r="P1" s="145" t="s">
        <v>5</v>
      </c>
      <c r="Q1" s="146"/>
      <c r="R1" s="145" t="s">
        <v>16</v>
      </c>
      <c r="S1" s="146"/>
      <c r="T1" s="145" t="s">
        <v>17</v>
      </c>
      <c r="U1" s="146"/>
      <c r="V1" s="145" t="s">
        <v>122</v>
      </c>
      <c r="W1" s="146"/>
      <c r="X1" s="145" t="s">
        <v>119</v>
      </c>
      <c r="Y1" s="146"/>
      <c r="Z1" s="145" t="s">
        <v>125</v>
      </c>
      <c r="AA1" s="146"/>
      <c r="AB1" s="145" t="s">
        <v>139</v>
      </c>
      <c r="AC1" s="146"/>
      <c r="AD1" s="145" t="s">
        <v>136</v>
      </c>
      <c r="AE1" s="146"/>
      <c r="AF1" s="145" t="s">
        <v>177</v>
      </c>
      <c r="AG1" s="146"/>
    </row>
    <row r="2" spans="1:33" x14ac:dyDescent="0.45">
      <c r="A2" s="46" t="s">
        <v>146</v>
      </c>
      <c r="B2" s="147"/>
      <c r="C2" s="148"/>
      <c r="D2" s="147"/>
      <c r="E2" s="148"/>
      <c r="F2" s="143">
        <v>0.94572135450891404</v>
      </c>
      <c r="G2" s="144"/>
      <c r="H2" s="143">
        <v>0.95118783125121109</v>
      </c>
      <c r="I2" s="144"/>
      <c r="J2" s="143">
        <v>0.89631784725502217</v>
      </c>
      <c r="K2" s="144"/>
      <c r="L2" s="143">
        <v>0.7730163292397898</v>
      </c>
      <c r="M2" s="144"/>
      <c r="N2" s="143">
        <v>0.76829316110900048</v>
      </c>
      <c r="O2" s="144"/>
      <c r="P2" s="143">
        <v>0.43398523650546345</v>
      </c>
      <c r="Q2" s="144"/>
      <c r="R2" s="143">
        <v>-0.49970559102773221</v>
      </c>
      <c r="S2" s="144"/>
      <c r="T2" s="143">
        <v>0.4615801380580889</v>
      </c>
      <c r="U2" s="144"/>
      <c r="V2" s="143">
        <v>0.70169380815530935</v>
      </c>
      <c r="W2" s="144"/>
      <c r="X2" s="143">
        <v>-0.20518048909470391</v>
      </c>
      <c r="Y2" s="144"/>
      <c r="Z2" s="143">
        <v>0.37328591928344279</v>
      </c>
      <c r="AA2" s="144"/>
      <c r="AB2" s="143">
        <v>0.48289356662537214</v>
      </c>
      <c r="AC2" s="144"/>
      <c r="AD2" s="143">
        <v>-0.21940608588618996</v>
      </c>
      <c r="AE2" s="144"/>
      <c r="AF2" s="143">
        <v>0.36631088074503276</v>
      </c>
      <c r="AG2" s="144"/>
    </row>
    <row r="3" spans="1:33" x14ac:dyDescent="0.45">
      <c r="A3" s="48">
        <v>1</v>
      </c>
      <c r="B3" s="49" t="s">
        <v>195</v>
      </c>
      <c r="C3" s="50">
        <v>5850.7</v>
      </c>
      <c r="D3" s="51" t="s">
        <v>202</v>
      </c>
      <c r="E3" s="70">
        <v>13.3125</v>
      </c>
      <c r="F3" s="51" t="s">
        <v>196</v>
      </c>
      <c r="G3" s="52">
        <v>1.6666666666666667</v>
      </c>
      <c r="H3" s="51" t="s">
        <v>202</v>
      </c>
      <c r="I3" s="53">
        <v>0.625</v>
      </c>
      <c r="J3" s="51" t="s">
        <v>200</v>
      </c>
      <c r="K3" s="53">
        <v>0</v>
      </c>
      <c r="L3" s="51" t="s">
        <v>202</v>
      </c>
      <c r="M3" s="54">
        <v>0.37681159420289856</v>
      </c>
      <c r="N3" s="51" t="s">
        <v>200</v>
      </c>
      <c r="O3" s="54">
        <v>7.6923076923076927E-2</v>
      </c>
      <c r="P3" s="51" t="s">
        <v>200</v>
      </c>
      <c r="Q3" s="55">
        <v>13800</v>
      </c>
      <c r="R3" s="51" t="s">
        <v>187</v>
      </c>
      <c r="S3" s="55">
        <v>-7415.2238805970146</v>
      </c>
      <c r="T3" s="51" t="s">
        <v>200</v>
      </c>
      <c r="U3" s="53">
        <v>0</v>
      </c>
      <c r="V3" s="51" t="s">
        <v>202</v>
      </c>
      <c r="W3" s="54">
        <v>0.40579710144927539</v>
      </c>
      <c r="X3" s="51" t="s">
        <v>198</v>
      </c>
      <c r="Y3" s="54">
        <v>0.375</v>
      </c>
      <c r="Z3" s="51" t="s">
        <v>185</v>
      </c>
      <c r="AA3" s="54">
        <v>0.75</v>
      </c>
      <c r="AB3" s="51" t="s">
        <v>189</v>
      </c>
      <c r="AC3" s="54">
        <v>0.76923076923076927</v>
      </c>
      <c r="AD3" s="51" t="s">
        <v>184</v>
      </c>
      <c r="AE3" s="54">
        <v>1</v>
      </c>
      <c r="AF3" s="51" t="s">
        <v>195</v>
      </c>
      <c r="AG3" s="65">
        <v>149100</v>
      </c>
    </row>
    <row r="4" spans="1:33" x14ac:dyDescent="0.45">
      <c r="A4" s="56">
        <v>2</v>
      </c>
      <c r="B4" s="57" t="s">
        <v>196</v>
      </c>
      <c r="C4" s="58">
        <v>109</v>
      </c>
      <c r="D4" s="59" t="s">
        <v>200</v>
      </c>
      <c r="E4" s="71">
        <v>13.3</v>
      </c>
      <c r="F4" s="59" t="s">
        <v>202</v>
      </c>
      <c r="G4" s="60">
        <v>1.75</v>
      </c>
      <c r="H4" s="59" t="s">
        <v>196</v>
      </c>
      <c r="I4" s="61">
        <v>0.55555555555555558</v>
      </c>
      <c r="J4" s="59" t="s">
        <v>189</v>
      </c>
      <c r="K4" s="61">
        <v>0.21428571428571427</v>
      </c>
      <c r="L4" s="59" t="s">
        <v>189</v>
      </c>
      <c r="M4" s="62">
        <v>0.35087719298245612</v>
      </c>
      <c r="N4" s="59" t="s">
        <v>196</v>
      </c>
      <c r="O4" s="62">
        <v>8.6956521739130432E-2</v>
      </c>
      <c r="P4" s="59" t="s">
        <v>192</v>
      </c>
      <c r="Q4" s="63">
        <v>11250.561797752809</v>
      </c>
      <c r="R4" s="59" t="s">
        <v>197</v>
      </c>
      <c r="S4" s="63">
        <v>-7952.4271844660198</v>
      </c>
      <c r="T4" s="59" t="s">
        <v>202</v>
      </c>
      <c r="U4" s="61">
        <v>0</v>
      </c>
      <c r="V4" s="59" t="s">
        <v>196</v>
      </c>
      <c r="W4" s="62">
        <v>0.37681159420289856</v>
      </c>
      <c r="X4" s="59" t="s">
        <v>199</v>
      </c>
      <c r="Y4" s="62">
        <v>0.33201581027667987</v>
      </c>
      <c r="Z4" s="59" t="s">
        <v>202</v>
      </c>
      <c r="AA4" s="62">
        <v>0.6785714285714286</v>
      </c>
      <c r="AB4" s="59" t="s">
        <v>196</v>
      </c>
      <c r="AC4" s="62">
        <v>0.5</v>
      </c>
      <c r="AD4" s="59" t="s">
        <v>186</v>
      </c>
      <c r="AE4" s="62">
        <v>0.51541850220264318</v>
      </c>
      <c r="AF4" s="59" t="s">
        <v>183</v>
      </c>
      <c r="AG4" s="66">
        <v>149100</v>
      </c>
    </row>
    <row r="5" spans="1:33" x14ac:dyDescent="0.45">
      <c r="A5" s="56">
        <v>3</v>
      </c>
      <c r="B5" s="57" t="s">
        <v>202</v>
      </c>
      <c r="C5" s="58">
        <v>106.5</v>
      </c>
      <c r="D5" s="59" t="s">
        <v>196</v>
      </c>
      <c r="E5" s="71">
        <v>12.111111111111111</v>
      </c>
      <c r="F5" s="59" t="s">
        <v>195</v>
      </c>
      <c r="G5" s="60">
        <v>1.7670364500792393</v>
      </c>
      <c r="H5" s="59" t="s">
        <v>195</v>
      </c>
      <c r="I5" s="61">
        <v>0.46117274167987321</v>
      </c>
      <c r="J5" s="59" t="s">
        <v>196</v>
      </c>
      <c r="K5" s="61">
        <v>0.22222222222222221</v>
      </c>
      <c r="L5" s="59" t="s">
        <v>196</v>
      </c>
      <c r="M5" s="62">
        <v>0.34782608695652173</v>
      </c>
      <c r="N5" s="59" t="s">
        <v>189</v>
      </c>
      <c r="O5" s="62">
        <v>0.13157894736842105</v>
      </c>
      <c r="P5" s="59" t="s">
        <v>191</v>
      </c>
      <c r="Q5" s="63">
        <v>10453.037974683544</v>
      </c>
      <c r="R5" s="59" t="s">
        <v>186</v>
      </c>
      <c r="S5" s="63">
        <v>-7967.6646706586826</v>
      </c>
      <c r="T5" s="59" t="s">
        <v>189</v>
      </c>
      <c r="U5" s="61">
        <v>7.1428571428571425E-2</v>
      </c>
      <c r="V5" s="59" t="s">
        <v>201</v>
      </c>
      <c r="W5" s="62">
        <v>0.375</v>
      </c>
      <c r="X5" s="59" t="s">
        <v>194</v>
      </c>
      <c r="Y5" s="62">
        <v>0.27777777777777779</v>
      </c>
      <c r="Z5" s="59" t="s">
        <v>196</v>
      </c>
      <c r="AA5" s="62">
        <v>0.61538461538461542</v>
      </c>
      <c r="AB5" s="59" t="s">
        <v>195</v>
      </c>
      <c r="AC5" s="62">
        <v>0.49497991967871485</v>
      </c>
      <c r="AD5" s="59" t="s">
        <v>199</v>
      </c>
      <c r="AE5" s="62">
        <v>0.51249999999999996</v>
      </c>
      <c r="AF5" s="59" t="s">
        <v>191</v>
      </c>
      <c r="AG5" s="66">
        <v>124700</v>
      </c>
    </row>
    <row r="6" spans="1:33" x14ac:dyDescent="0.45">
      <c r="A6" s="56">
        <v>4</v>
      </c>
      <c r="B6" s="57" t="s">
        <v>192</v>
      </c>
      <c r="C6" s="58">
        <v>91.000000000000014</v>
      </c>
      <c r="D6" s="59" t="s">
        <v>195</v>
      </c>
      <c r="E6" s="71">
        <v>9.272107765451663</v>
      </c>
      <c r="F6" s="59" t="s">
        <v>189</v>
      </c>
      <c r="G6" s="60">
        <v>1.7857142857142858</v>
      </c>
      <c r="H6" s="59" t="s">
        <v>189</v>
      </c>
      <c r="I6" s="61">
        <v>0.42857142857142855</v>
      </c>
      <c r="J6" s="59" t="s">
        <v>195</v>
      </c>
      <c r="K6" s="61">
        <v>0.22820919175911253</v>
      </c>
      <c r="L6" s="59" t="s">
        <v>195</v>
      </c>
      <c r="M6" s="62">
        <v>0.3461768816130964</v>
      </c>
      <c r="N6" s="59" t="s">
        <v>195</v>
      </c>
      <c r="O6" s="62">
        <v>0.14174485925334399</v>
      </c>
      <c r="P6" s="59" t="s">
        <v>202</v>
      </c>
      <c r="Q6" s="63">
        <v>9534.6153846153848</v>
      </c>
      <c r="R6" s="59" t="s">
        <v>201</v>
      </c>
      <c r="S6" s="63">
        <v>-7987.5</v>
      </c>
      <c r="T6" s="59" t="s">
        <v>195</v>
      </c>
      <c r="U6" s="61">
        <v>7.9239302694136288E-2</v>
      </c>
      <c r="V6" s="59" t="s">
        <v>189</v>
      </c>
      <c r="W6" s="62">
        <v>0.3669724770642202</v>
      </c>
      <c r="X6" s="59" t="s">
        <v>188</v>
      </c>
      <c r="Y6" s="62">
        <v>0.2738336713995943</v>
      </c>
      <c r="Z6" s="59" t="s">
        <v>194</v>
      </c>
      <c r="AA6" s="62">
        <v>0.61386138613861385</v>
      </c>
      <c r="AB6" s="59" t="s">
        <v>202</v>
      </c>
      <c r="AC6" s="62">
        <v>0.45454545454545453</v>
      </c>
      <c r="AD6" s="59" t="s">
        <v>200</v>
      </c>
      <c r="AE6" s="62">
        <v>0.5</v>
      </c>
      <c r="AF6" s="59" t="s">
        <v>194</v>
      </c>
      <c r="AG6" s="66">
        <v>118000</v>
      </c>
    </row>
    <row r="7" spans="1:33" x14ac:dyDescent="0.45">
      <c r="A7" s="56">
        <v>5</v>
      </c>
      <c r="B7" s="57" t="s">
        <v>191</v>
      </c>
      <c r="C7" s="58">
        <v>70.800000000000352</v>
      </c>
      <c r="D7" s="59" t="s">
        <v>189</v>
      </c>
      <c r="E7" s="71">
        <v>5.0428571428571427</v>
      </c>
      <c r="F7" s="59" t="s">
        <v>199</v>
      </c>
      <c r="G7" s="60">
        <v>1.9285714285714286</v>
      </c>
      <c r="H7" s="59" t="s">
        <v>192</v>
      </c>
      <c r="I7" s="61">
        <v>0.35897435897435898</v>
      </c>
      <c r="J7" s="59" t="s">
        <v>199</v>
      </c>
      <c r="K7" s="61">
        <v>0.2857142857142857</v>
      </c>
      <c r="L7" s="59" t="s">
        <v>194</v>
      </c>
      <c r="M7" s="62">
        <v>0.32835820895522388</v>
      </c>
      <c r="N7" s="59" t="s">
        <v>187</v>
      </c>
      <c r="O7" s="62">
        <v>0.14816452896948254</v>
      </c>
      <c r="P7" s="59" t="s">
        <v>194</v>
      </c>
      <c r="Q7" s="63">
        <v>9344.0909090909099</v>
      </c>
      <c r="R7" s="59" t="s">
        <v>184</v>
      </c>
      <c r="S7" s="63">
        <v>-8240</v>
      </c>
      <c r="T7" s="59" t="s">
        <v>188</v>
      </c>
      <c r="U7" s="61">
        <v>0.10465116279069768</v>
      </c>
      <c r="V7" s="59" t="s">
        <v>191</v>
      </c>
      <c r="W7" s="62">
        <v>0.2983666061705989</v>
      </c>
      <c r="X7" s="59" t="s">
        <v>197</v>
      </c>
      <c r="Y7" s="62">
        <v>0.24015009380863039</v>
      </c>
      <c r="Z7" s="59" t="s">
        <v>195</v>
      </c>
      <c r="AA7" s="62">
        <v>0.61215303825956491</v>
      </c>
      <c r="AB7" s="59" t="s">
        <v>194</v>
      </c>
      <c r="AC7" s="62">
        <v>0.43333333333333335</v>
      </c>
      <c r="AD7" s="59" t="s">
        <v>192</v>
      </c>
      <c r="AE7" s="62">
        <v>0.48314606741573035</v>
      </c>
      <c r="AF7" s="59" t="s">
        <v>186</v>
      </c>
      <c r="AG7" s="66">
        <v>113300</v>
      </c>
    </row>
    <row r="8" spans="1:33" x14ac:dyDescent="0.45">
      <c r="A8" s="56">
        <v>6</v>
      </c>
      <c r="B8" s="57" t="s">
        <v>189</v>
      </c>
      <c r="C8" s="58">
        <v>70.599999999999994</v>
      </c>
      <c r="D8" s="59" t="s">
        <v>192</v>
      </c>
      <c r="E8" s="71">
        <v>2.3333333333333335</v>
      </c>
      <c r="F8" s="59" t="s">
        <v>194</v>
      </c>
      <c r="G8" s="60">
        <v>1.9890109890109891</v>
      </c>
      <c r="H8" s="59" t="s">
        <v>199</v>
      </c>
      <c r="I8" s="61">
        <v>0.35714285714285715</v>
      </c>
      <c r="J8" s="59" t="s">
        <v>194</v>
      </c>
      <c r="K8" s="61">
        <v>0.32967032967032966</v>
      </c>
      <c r="L8" s="59" t="s">
        <v>199</v>
      </c>
      <c r="M8" s="62">
        <v>0.31620553359683795</v>
      </c>
      <c r="N8" s="59" t="s">
        <v>198</v>
      </c>
      <c r="O8" s="62">
        <v>0.15625</v>
      </c>
      <c r="P8" s="59" t="s">
        <v>190</v>
      </c>
      <c r="Q8" s="63">
        <v>9247.5917431192665</v>
      </c>
      <c r="R8" s="59" t="s">
        <v>190</v>
      </c>
      <c r="S8" s="63">
        <v>-8317.5585284280933</v>
      </c>
      <c r="T8" s="59" t="s">
        <v>196</v>
      </c>
      <c r="U8" s="61">
        <v>0.1111111111111111</v>
      </c>
      <c r="V8" s="59" t="s">
        <v>195</v>
      </c>
      <c r="W8" s="62">
        <v>0.29277399516802111</v>
      </c>
      <c r="X8" s="59" t="s">
        <v>192</v>
      </c>
      <c r="Y8" s="62">
        <v>0.23931623931623933</v>
      </c>
      <c r="Z8" s="59" t="s">
        <v>199</v>
      </c>
      <c r="AA8" s="62">
        <v>0.58730158730158732</v>
      </c>
      <c r="AB8" s="59" t="s">
        <v>183</v>
      </c>
      <c r="AC8" s="62">
        <v>0.40644307149161518</v>
      </c>
      <c r="AD8" s="59" t="s">
        <v>202</v>
      </c>
      <c r="AE8" s="62">
        <v>0.46153846153846156</v>
      </c>
      <c r="AF8" s="59" t="s">
        <v>193</v>
      </c>
      <c r="AG8" s="66">
        <v>109300</v>
      </c>
    </row>
    <row r="9" spans="1:33" x14ac:dyDescent="0.45">
      <c r="A9" s="56">
        <v>7</v>
      </c>
      <c r="B9" s="57" t="s">
        <v>200</v>
      </c>
      <c r="C9" s="58">
        <v>13.3</v>
      </c>
      <c r="D9" s="59" t="s">
        <v>191</v>
      </c>
      <c r="E9" s="71">
        <v>0.20403458213256587</v>
      </c>
      <c r="F9" s="59" t="s">
        <v>183</v>
      </c>
      <c r="G9" s="60">
        <v>2</v>
      </c>
      <c r="H9" s="59" t="s">
        <v>194</v>
      </c>
      <c r="I9" s="61">
        <v>0.34065934065934067</v>
      </c>
      <c r="J9" s="59" t="s">
        <v>183</v>
      </c>
      <c r="K9" s="61">
        <v>0.33333333333333331</v>
      </c>
      <c r="L9" s="59" t="s">
        <v>198</v>
      </c>
      <c r="M9" s="62">
        <v>0.3125</v>
      </c>
      <c r="N9" s="59" t="s">
        <v>188</v>
      </c>
      <c r="O9" s="62">
        <v>0.16310408921933087</v>
      </c>
      <c r="P9" s="59" t="s">
        <v>195</v>
      </c>
      <c r="Q9" s="63">
        <v>9242.0415224913486</v>
      </c>
      <c r="R9" s="59" t="s">
        <v>196</v>
      </c>
      <c r="S9" s="63">
        <v>-8400</v>
      </c>
      <c r="T9" s="59" t="s">
        <v>187</v>
      </c>
      <c r="U9" s="61">
        <v>0.11913357400722022</v>
      </c>
      <c r="V9" s="59" t="s">
        <v>190</v>
      </c>
      <c r="W9" s="62">
        <v>0.28934010152284262</v>
      </c>
      <c r="X9" s="59" t="s">
        <v>193</v>
      </c>
      <c r="Y9" s="62">
        <v>0.23765521224371933</v>
      </c>
      <c r="Z9" s="59" t="s">
        <v>187</v>
      </c>
      <c r="AA9" s="62">
        <v>0.57597173144876324</v>
      </c>
      <c r="AB9" s="59" t="s">
        <v>188</v>
      </c>
      <c r="AC9" s="62">
        <v>0.40370370370370373</v>
      </c>
      <c r="AD9" s="59" t="s">
        <v>190</v>
      </c>
      <c r="AE9" s="62">
        <v>0.45298165137614677</v>
      </c>
      <c r="AF9" s="59" t="s">
        <v>192</v>
      </c>
      <c r="AG9" s="66">
        <v>109300</v>
      </c>
    </row>
    <row r="10" spans="1:33" x14ac:dyDescent="0.45">
      <c r="A10" s="56">
        <v>8</v>
      </c>
      <c r="B10" s="57" t="s">
        <v>183</v>
      </c>
      <c r="C10" s="58">
        <v>5.3290705182007514E-14</v>
      </c>
      <c r="D10" s="59" t="s">
        <v>183</v>
      </c>
      <c r="E10" s="71">
        <v>1.9606587631349344E-17</v>
      </c>
      <c r="F10" s="59" t="s">
        <v>200</v>
      </c>
      <c r="G10" s="60">
        <v>2</v>
      </c>
      <c r="H10" s="59" t="s">
        <v>193</v>
      </c>
      <c r="I10" s="61">
        <v>0.33485193621867881</v>
      </c>
      <c r="J10" s="59" t="s">
        <v>187</v>
      </c>
      <c r="K10" s="61">
        <v>0.33574007220216606</v>
      </c>
      <c r="L10" s="59" t="s">
        <v>188</v>
      </c>
      <c r="M10" s="62">
        <v>0.2992565055762082</v>
      </c>
      <c r="N10" s="59" t="s">
        <v>183</v>
      </c>
      <c r="O10" s="62">
        <v>0.16682541842427542</v>
      </c>
      <c r="P10" s="59" t="s">
        <v>183</v>
      </c>
      <c r="Q10" s="63">
        <v>9001.4313994213499</v>
      </c>
      <c r="R10" s="59" t="s">
        <v>183</v>
      </c>
      <c r="S10" s="63">
        <v>-8409.2985318107676</v>
      </c>
      <c r="T10" s="59" t="s">
        <v>183</v>
      </c>
      <c r="U10" s="61">
        <v>0.12178072111846946</v>
      </c>
      <c r="V10" s="59" t="s">
        <v>192</v>
      </c>
      <c r="W10" s="62">
        <v>0.27777777777777779</v>
      </c>
      <c r="X10" s="59" t="s">
        <v>187</v>
      </c>
      <c r="Y10" s="62">
        <v>0.22423706324635118</v>
      </c>
      <c r="Z10" s="59" t="s">
        <v>189</v>
      </c>
      <c r="AA10" s="62">
        <v>0.57499999999999996</v>
      </c>
      <c r="AB10" s="59" t="s">
        <v>191</v>
      </c>
      <c r="AC10" s="62">
        <v>0.39292730844793711</v>
      </c>
      <c r="AD10" s="59" t="s">
        <v>191</v>
      </c>
      <c r="AE10" s="62">
        <v>0.45063291139240508</v>
      </c>
      <c r="AF10" s="59" t="s">
        <v>190</v>
      </c>
      <c r="AG10" s="66">
        <v>107600</v>
      </c>
    </row>
    <row r="11" spans="1:33" x14ac:dyDescent="0.45">
      <c r="A11" s="56">
        <v>9</v>
      </c>
      <c r="B11" s="57" t="s">
        <v>194</v>
      </c>
      <c r="C11" s="58">
        <v>-3.4999999999999893</v>
      </c>
      <c r="D11" s="59" t="s">
        <v>194</v>
      </c>
      <c r="E11" s="71">
        <v>-3.8461538461538346E-2</v>
      </c>
      <c r="F11" s="59" t="s">
        <v>193</v>
      </c>
      <c r="G11" s="60">
        <v>2.0091116173120729</v>
      </c>
      <c r="H11" s="59" t="s">
        <v>183</v>
      </c>
      <c r="I11" s="61">
        <v>0.33333333333333331</v>
      </c>
      <c r="J11" s="59" t="s">
        <v>193</v>
      </c>
      <c r="K11" s="61">
        <v>0.3439635535307517</v>
      </c>
      <c r="L11" s="59" t="s">
        <v>183</v>
      </c>
      <c r="M11" s="62">
        <v>0.2978636549190366</v>
      </c>
      <c r="N11" s="59" t="s">
        <v>192</v>
      </c>
      <c r="O11" s="62">
        <v>0.16772151898734178</v>
      </c>
      <c r="P11" s="59" t="s">
        <v>196</v>
      </c>
      <c r="Q11" s="63">
        <v>8891.6666666666661</v>
      </c>
      <c r="R11" s="59" t="s">
        <v>193</v>
      </c>
      <c r="S11" s="63">
        <v>-8428.8924558587478</v>
      </c>
      <c r="T11" s="59" t="s">
        <v>191</v>
      </c>
      <c r="U11" s="61">
        <v>0.12968299711815562</v>
      </c>
      <c r="V11" s="59" t="s">
        <v>183</v>
      </c>
      <c r="W11" s="62">
        <v>0.26760699917599728</v>
      </c>
      <c r="X11" s="59" t="s">
        <v>183</v>
      </c>
      <c r="Y11" s="62">
        <v>0.21966942949929719</v>
      </c>
      <c r="Z11" s="59" t="s">
        <v>190</v>
      </c>
      <c r="AA11" s="62">
        <v>0.57426900584795326</v>
      </c>
      <c r="AB11" s="59" t="s">
        <v>199</v>
      </c>
      <c r="AC11" s="62">
        <v>0.39285714285714285</v>
      </c>
      <c r="AD11" s="59" t="s">
        <v>189</v>
      </c>
      <c r="AE11" s="62">
        <v>0.45</v>
      </c>
      <c r="AF11" s="59" t="s">
        <v>199</v>
      </c>
      <c r="AG11" s="66">
        <v>106300</v>
      </c>
    </row>
    <row r="12" spans="1:33" x14ac:dyDescent="0.45">
      <c r="A12" s="56">
        <v>10</v>
      </c>
      <c r="B12" s="57" t="s">
        <v>199</v>
      </c>
      <c r="C12" s="58">
        <v>-22.000000000000028</v>
      </c>
      <c r="D12" s="59" t="s">
        <v>199</v>
      </c>
      <c r="E12" s="71">
        <v>-0.7857142857142867</v>
      </c>
      <c r="F12" s="59" t="s">
        <v>192</v>
      </c>
      <c r="G12" s="60">
        <v>2.0256410256410255</v>
      </c>
      <c r="H12" s="59" t="s">
        <v>191</v>
      </c>
      <c r="I12" s="61">
        <v>0.31412103746397696</v>
      </c>
      <c r="J12" s="59" t="s">
        <v>191</v>
      </c>
      <c r="K12" s="61">
        <v>0.35446685878962536</v>
      </c>
      <c r="L12" s="59" t="s">
        <v>193</v>
      </c>
      <c r="M12" s="62">
        <v>0.2908888269713012</v>
      </c>
      <c r="N12" s="59" t="s">
        <v>199</v>
      </c>
      <c r="O12" s="62">
        <v>0.16996047430830039</v>
      </c>
      <c r="P12" s="59" t="s">
        <v>193</v>
      </c>
      <c r="Q12" s="63">
        <v>8802.1072796934859</v>
      </c>
      <c r="R12" s="59" t="s">
        <v>202</v>
      </c>
      <c r="S12" s="63">
        <v>-8437.5</v>
      </c>
      <c r="T12" s="59" t="s">
        <v>193</v>
      </c>
      <c r="U12" s="61">
        <v>0.12984054669703873</v>
      </c>
      <c r="V12" s="59" t="s">
        <v>185</v>
      </c>
      <c r="W12" s="62">
        <v>0.25806451612903225</v>
      </c>
      <c r="X12" s="59" t="s">
        <v>195</v>
      </c>
      <c r="Y12" s="62">
        <v>0.21875686360641336</v>
      </c>
      <c r="Z12" s="59" t="s">
        <v>186</v>
      </c>
      <c r="AA12" s="62">
        <v>0.57291666666666663</v>
      </c>
      <c r="AB12" s="59" t="s">
        <v>197</v>
      </c>
      <c r="AC12" s="62">
        <v>0.390625</v>
      </c>
      <c r="AD12" s="59" t="s">
        <v>197</v>
      </c>
      <c r="AE12" s="62">
        <v>0.44117647058823528</v>
      </c>
      <c r="AF12" s="59" t="s">
        <v>188</v>
      </c>
      <c r="AG12" s="66">
        <v>103200</v>
      </c>
    </row>
    <row r="13" spans="1:33" x14ac:dyDescent="0.45">
      <c r="A13" s="56">
        <v>11</v>
      </c>
      <c r="B13" s="57" t="s">
        <v>198</v>
      </c>
      <c r="C13" s="58">
        <v>-56.2</v>
      </c>
      <c r="D13" s="59" t="s">
        <v>187</v>
      </c>
      <c r="E13" s="71">
        <v>-1.1942238267148013</v>
      </c>
      <c r="F13" s="59" t="s">
        <v>191</v>
      </c>
      <c r="G13" s="60">
        <v>2.0403458213256482</v>
      </c>
      <c r="H13" s="59" t="s">
        <v>187</v>
      </c>
      <c r="I13" s="61">
        <v>0.27797833935018051</v>
      </c>
      <c r="J13" s="59" t="s">
        <v>190</v>
      </c>
      <c r="K13" s="61">
        <v>0.37373737373737376</v>
      </c>
      <c r="L13" s="59" t="s">
        <v>191</v>
      </c>
      <c r="M13" s="62">
        <v>0.28295128939828079</v>
      </c>
      <c r="N13" s="59" t="s">
        <v>194</v>
      </c>
      <c r="O13" s="62">
        <v>0.17164179104477612</v>
      </c>
      <c r="P13" s="59" t="s">
        <v>187</v>
      </c>
      <c r="Q13" s="63">
        <v>8607.5409836065573</v>
      </c>
      <c r="R13" s="59" t="s">
        <v>195</v>
      </c>
      <c r="S13" s="63">
        <v>-8494.5070422535209</v>
      </c>
      <c r="T13" s="59" t="s">
        <v>190</v>
      </c>
      <c r="U13" s="61">
        <v>0.14141414141414141</v>
      </c>
      <c r="V13" s="59" t="s">
        <v>193</v>
      </c>
      <c r="W13" s="62">
        <v>0.25324862835691597</v>
      </c>
      <c r="X13" s="59" t="s">
        <v>186</v>
      </c>
      <c r="Y13" s="62">
        <v>0.20303383897316218</v>
      </c>
      <c r="Z13" s="59" t="s">
        <v>183</v>
      </c>
      <c r="AA13" s="62">
        <v>0.57254120630320593</v>
      </c>
      <c r="AB13" s="59" t="s">
        <v>187</v>
      </c>
      <c r="AC13" s="62">
        <v>0.378698224852071</v>
      </c>
      <c r="AD13" s="59" t="s">
        <v>187</v>
      </c>
      <c r="AE13" s="62">
        <v>0.43770491803278688</v>
      </c>
      <c r="AF13" s="59" t="s">
        <v>187</v>
      </c>
      <c r="AG13" s="66">
        <v>103000</v>
      </c>
    </row>
    <row r="14" spans="1:33" x14ac:dyDescent="0.45">
      <c r="A14" s="56">
        <v>12</v>
      </c>
      <c r="B14" s="57" t="s">
        <v>201</v>
      </c>
      <c r="C14" s="58">
        <v>-80.800000000000011</v>
      </c>
      <c r="D14" s="59" t="s">
        <v>193</v>
      </c>
      <c r="E14" s="71">
        <v>-2.1482915717539877</v>
      </c>
      <c r="F14" s="59" t="s">
        <v>187</v>
      </c>
      <c r="G14" s="60">
        <v>2.0577617328519855</v>
      </c>
      <c r="H14" s="59" t="s">
        <v>186</v>
      </c>
      <c r="I14" s="61">
        <v>0.27551020408163263</v>
      </c>
      <c r="J14" s="59" t="s">
        <v>202</v>
      </c>
      <c r="K14" s="61">
        <v>0.375</v>
      </c>
      <c r="L14" s="59" t="s">
        <v>192</v>
      </c>
      <c r="M14" s="62">
        <v>0.28164556962025317</v>
      </c>
      <c r="N14" s="59" t="s">
        <v>193</v>
      </c>
      <c r="O14" s="62">
        <v>0.17358595709111174</v>
      </c>
      <c r="P14" s="59" t="s">
        <v>201</v>
      </c>
      <c r="Q14" s="63">
        <v>8512.5</v>
      </c>
      <c r="R14" s="59" t="s">
        <v>188</v>
      </c>
      <c r="S14" s="63">
        <v>-8601.1396011396009</v>
      </c>
      <c r="T14" s="59" t="s">
        <v>194</v>
      </c>
      <c r="U14" s="61">
        <v>0.15384615384615385</v>
      </c>
      <c r="V14" s="59" t="s">
        <v>187</v>
      </c>
      <c r="W14" s="62">
        <v>0.25033171163202123</v>
      </c>
      <c r="X14" s="59" t="s">
        <v>191</v>
      </c>
      <c r="Y14" s="62">
        <v>0.18475499092558983</v>
      </c>
      <c r="Z14" s="59" t="s">
        <v>191</v>
      </c>
      <c r="AA14" s="62">
        <v>0.56812652068126523</v>
      </c>
      <c r="AB14" s="59" t="s">
        <v>193</v>
      </c>
      <c r="AC14" s="62">
        <v>0.3730255164034022</v>
      </c>
      <c r="AD14" s="59" t="s">
        <v>194</v>
      </c>
      <c r="AE14" s="62">
        <v>0.43636363636363634</v>
      </c>
      <c r="AF14" s="59" t="s">
        <v>197</v>
      </c>
      <c r="AG14" s="66">
        <v>85100</v>
      </c>
    </row>
    <row r="15" spans="1:33" x14ac:dyDescent="0.45">
      <c r="A15" s="56">
        <v>13</v>
      </c>
      <c r="B15" s="57" t="s">
        <v>185</v>
      </c>
      <c r="C15" s="58">
        <v>-86.4</v>
      </c>
      <c r="D15" s="59" t="s">
        <v>190</v>
      </c>
      <c r="E15" s="71">
        <v>-4.1946969696969694</v>
      </c>
      <c r="F15" s="59" t="s">
        <v>190</v>
      </c>
      <c r="G15" s="60">
        <v>2.1085858585858586</v>
      </c>
      <c r="H15" s="59" t="s">
        <v>190</v>
      </c>
      <c r="I15" s="61">
        <v>0.26515151515151514</v>
      </c>
      <c r="J15" s="59" t="s">
        <v>192</v>
      </c>
      <c r="K15" s="61">
        <v>0.38461538461538464</v>
      </c>
      <c r="L15" s="59" t="s">
        <v>190</v>
      </c>
      <c r="M15" s="62">
        <v>0.27114427860696516</v>
      </c>
      <c r="N15" s="59" t="s">
        <v>191</v>
      </c>
      <c r="O15" s="62">
        <v>0.18302292263610315</v>
      </c>
      <c r="P15" s="59" t="s">
        <v>189</v>
      </c>
      <c r="Q15" s="63">
        <v>7925</v>
      </c>
      <c r="R15" s="59" t="s">
        <v>191</v>
      </c>
      <c r="S15" s="63">
        <v>-8744.2270058708418</v>
      </c>
      <c r="T15" s="59" t="s">
        <v>192</v>
      </c>
      <c r="U15" s="61">
        <v>0.15384615384615385</v>
      </c>
      <c r="V15" s="59" t="s">
        <v>199</v>
      </c>
      <c r="W15" s="62">
        <v>0.24901185770750989</v>
      </c>
      <c r="X15" s="59" t="s">
        <v>190</v>
      </c>
      <c r="Y15" s="62">
        <v>0.1817258883248731</v>
      </c>
      <c r="Z15" s="59" t="s">
        <v>197</v>
      </c>
      <c r="AA15" s="62">
        <v>0.5625</v>
      </c>
      <c r="AB15" s="59" t="s">
        <v>190</v>
      </c>
      <c r="AC15" s="62">
        <v>0.36312849162011174</v>
      </c>
      <c r="AD15" s="59" t="s">
        <v>183</v>
      </c>
      <c r="AE15" s="62">
        <v>0.43170397441754227</v>
      </c>
      <c r="AF15" s="59" t="s">
        <v>196</v>
      </c>
      <c r="AG15" s="66">
        <v>78000</v>
      </c>
    </row>
    <row r="16" spans="1:33" x14ac:dyDescent="0.45">
      <c r="A16" s="56">
        <v>14</v>
      </c>
      <c r="B16" s="57" t="s">
        <v>184</v>
      </c>
      <c r="C16" s="58">
        <v>-132.1</v>
      </c>
      <c r="D16" s="59" t="s">
        <v>188</v>
      </c>
      <c r="E16" s="71">
        <v>-5.0988372093023262</v>
      </c>
      <c r="F16" s="59" t="s">
        <v>188</v>
      </c>
      <c r="G16" s="60">
        <v>2.13953488372093</v>
      </c>
      <c r="H16" s="59" t="s">
        <v>188</v>
      </c>
      <c r="I16" s="61">
        <v>0.2558139534883721</v>
      </c>
      <c r="J16" s="59" t="s">
        <v>188</v>
      </c>
      <c r="K16" s="61">
        <v>0.39534883720930231</v>
      </c>
      <c r="L16" s="59" t="s">
        <v>185</v>
      </c>
      <c r="M16" s="62">
        <v>0.27027027027027029</v>
      </c>
      <c r="N16" s="59" t="s">
        <v>190</v>
      </c>
      <c r="O16" s="62">
        <v>0.1859452736318408</v>
      </c>
      <c r="P16" s="59" t="s">
        <v>186</v>
      </c>
      <c r="Q16" s="63">
        <v>7904.8458149779735</v>
      </c>
      <c r="R16" s="59" t="s">
        <v>199</v>
      </c>
      <c r="S16" s="63">
        <v>-8765.1162790697672</v>
      </c>
      <c r="T16" s="59" t="s">
        <v>197</v>
      </c>
      <c r="U16" s="61">
        <v>0.171875</v>
      </c>
      <c r="V16" s="59" t="s">
        <v>194</v>
      </c>
      <c r="W16" s="62">
        <v>0.23379629629629631</v>
      </c>
      <c r="X16" s="59" t="s">
        <v>185</v>
      </c>
      <c r="Y16" s="62">
        <v>0.16129032258064516</v>
      </c>
      <c r="Z16" s="59" t="s">
        <v>192</v>
      </c>
      <c r="AA16" s="62">
        <v>0.53846153846153844</v>
      </c>
      <c r="AB16" s="59" t="s">
        <v>186</v>
      </c>
      <c r="AC16" s="62">
        <v>0.33333333333333331</v>
      </c>
      <c r="AD16" s="59" t="s">
        <v>188</v>
      </c>
      <c r="AE16" s="62">
        <v>0.42080745341614906</v>
      </c>
      <c r="AF16" s="59" t="s">
        <v>202</v>
      </c>
      <c r="AG16" s="66">
        <v>70900</v>
      </c>
    </row>
    <row r="17" spans="1:33" x14ac:dyDescent="0.45">
      <c r="A17" s="56">
        <v>15</v>
      </c>
      <c r="B17" s="57" t="s">
        <v>187</v>
      </c>
      <c r="C17" s="58">
        <v>-330.79999999999995</v>
      </c>
      <c r="D17" s="59" t="s">
        <v>186</v>
      </c>
      <c r="E17" s="71">
        <v>-7.7693877551020414</v>
      </c>
      <c r="F17" s="59" t="s">
        <v>186</v>
      </c>
      <c r="G17" s="60">
        <v>2.1530612244897958</v>
      </c>
      <c r="H17" s="59" t="s">
        <v>198</v>
      </c>
      <c r="I17" s="61">
        <v>0.25</v>
      </c>
      <c r="J17" s="59" t="s">
        <v>185</v>
      </c>
      <c r="K17" s="61">
        <v>0.4</v>
      </c>
      <c r="L17" s="59" t="s">
        <v>187</v>
      </c>
      <c r="M17" s="62">
        <v>0.26979212737726671</v>
      </c>
      <c r="N17" s="59" t="s">
        <v>197</v>
      </c>
      <c r="O17" s="62">
        <v>0.19324577861163228</v>
      </c>
      <c r="P17" s="59" t="s">
        <v>199</v>
      </c>
      <c r="Q17" s="63">
        <v>7901.25</v>
      </c>
      <c r="R17" s="59" t="s">
        <v>192</v>
      </c>
      <c r="S17" s="63">
        <v>-9054.7169811320746</v>
      </c>
      <c r="T17" s="59" t="s">
        <v>186</v>
      </c>
      <c r="U17" s="61">
        <v>0.17346938775510204</v>
      </c>
      <c r="V17" s="59" t="s">
        <v>200</v>
      </c>
      <c r="W17" s="62">
        <v>0.23076923076923078</v>
      </c>
      <c r="X17" s="59" t="s">
        <v>202</v>
      </c>
      <c r="Y17" s="62">
        <v>0.15942028985507245</v>
      </c>
      <c r="Z17" s="59" t="s">
        <v>193</v>
      </c>
      <c r="AA17" s="62">
        <v>0.53363740022805017</v>
      </c>
      <c r="AB17" s="59" t="s">
        <v>201</v>
      </c>
      <c r="AC17" s="62">
        <v>0.33333333333333331</v>
      </c>
      <c r="AD17" s="59" t="s">
        <v>193</v>
      </c>
      <c r="AE17" s="62">
        <v>0.42049808429118773</v>
      </c>
      <c r="AF17" s="59" t="s">
        <v>189</v>
      </c>
      <c r="AG17" s="66">
        <v>65900</v>
      </c>
    </row>
    <row r="18" spans="1:33" x14ac:dyDescent="0.45">
      <c r="A18" s="56">
        <v>16</v>
      </c>
      <c r="B18" s="57" t="s">
        <v>186</v>
      </c>
      <c r="C18" s="58">
        <v>-761.40000000000009</v>
      </c>
      <c r="D18" s="59" t="s">
        <v>198</v>
      </c>
      <c r="E18" s="71">
        <v>-14.05</v>
      </c>
      <c r="F18" s="59" t="s">
        <v>185</v>
      </c>
      <c r="G18" s="60">
        <v>2.2000000000000002</v>
      </c>
      <c r="H18" s="59" t="s">
        <v>185</v>
      </c>
      <c r="I18" s="61">
        <v>0.2</v>
      </c>
      <c r="J18" s="59" t="s">
        <v>201</v>
      </c>
      <c r="K18" s="61">
        <v>0.4</v>
      </c>
      <c r="L18" s="59" t="s">
        <v>186</v>
      </c>
      <c r="M18" s="62">
        <v>0.26487747957992996</v>
      </c>
      <c r="N18" s="59" t="s">
        <v>186</v>
      </c>
      <c r="O18" s="62">
        <v>0.19486581096849476</v>
      </c>
      <c r="P18" s="59" t="s">
        <v>197</v>
      </c>
      <c r="Q18" s="63">
        <v>7808.088235294118</v>
      </c>
      <c r="R18" s="59" t="s">
        <v>189</v>
      </c>
      <c r="S18" s="63">
        <v>-9060</v>
      </c>
      <c r="T18" s="59" t="s">
        <v>201</v>
      </c>
      <c r="U18" s="61">
        <v>0.2</v>
      </c>
      <c r="V18" s="59" t="s">
        <v>186</v>
      </c>
      <c r="W18" s="62">
        <v>0.22403733955659277</v>
      </c>
      <c r="X18" s="59" t="s">
        <v>201</v>
      </c>
      <c r="Y18" s="62">
        <v>0.15</v>
      </c>
      <c r="Z18" s="59" t="s">
        <v>188</v>
      </c>
      <c r="AA18" s="62">
        <v>0.51960784313725494</v>
      </c>
      <c r="AB18" s="59" t="s">
        <v>192</v>
      </c>
      <c r="AC18" s="62">
        <v>0.32142857142857145</v>
      </c>
      <c r="AD18" s="59" t="s">
        <v>195</v>
      </c>
      <c r="AE18" s="62">
        <v>0.40542099192618225</v>
      </c>
      <c r="AF18" s="59" t="s">
        <v>185</v>
      </c>
      <c r="AG18" s="66">
        <v>57800</v>
      </c>
    </row>
    <row r="19" spans="1:33" x14ac:dyDescent="0.45">
      <c r="A19" s="56">
        <v>17</v>
      </c>
      <c r="B19" s="57" t="s">
        <v>197</v>
      </c>
      <c r="C19" s="58">
        <v>-919</v>
      </c>
      <c r="D19" s="59" t="s">
        <v>197</v>
      </c>
      <c r="E19" s="71">
        <v>-14.359375</v>
      </c>
      <c r="F19" s="59" t="s">
        <v>201</v>
      </c>
      <c r="G19" s="60">
        <v>2.2000000000000002</v>
      </c>
      <c r="H19" s="59" t="s">
        <v>201</v>
      </c>
      <c r="I19" s="61">
        <v>0.2</v>
      </c>
      <c r="J19" s="59" t="s">
        <v>186</v>
      </c>
      <c r="K19" s="61">
        <v>0.42857142857142855</v>
      </c>
      <c r="L19" s="59" t="s">
        <v>197</v>
      </c>
      <c r="M19" s="62">
        <v>0.25515947467166977</v>
      </c>
      <c r="N19" s="59" t="s">
        <v>201</v>
      </c>
      <c r="O19" s="62">
        <v>0.2</v>
      </c>
      <c r="P19" s="59" t="s">
        <v>184</v>
      </c>
      <c r="Q19" s="63">
        <v>7800</v>
      </c>
      <c r="R19" s="59" t="s">
        <v>194</v>
      </c>
      <c r="S19" s="63">
        <v>-9212.173913043478</v>
      </c>
      <c r="T19" s="59" t="s">
        <v>199</v>
      </c>
      <c r="U19" s="61">
        <v>0.25</v>
      </c>
      <c r="V19" s="59" t="s">
        <v>198</v>
      </c>
      <c r="W19" s="62">
        <v>0.21875</v>
      </c>
      <c r="X19" s="59" t="s">
        <v>196</v>
      </c>
      <c r="Y19" s="62">
        <v>0.14492753623188406</v>
      </c>
      <c r="Z19" s="59" t="s">
        <v>198</v>
      </c>
      <c r="AA19" s="62">
        <v>0.42857142857142855</v>
      </c>
      <c r="AB19" s="59" t="s">
        <v>198</v>
      </c>
      <c r="AC19" s="62">
        <v>0.25</v>
      </c>
      <c r="AD19" s="59" t="s">
        <v>185</v>
      </c>
      <c r="AE19" s="62">
        <v>0.3</v>
      </c>
      <c r="AF19" s="59" t="s">
        <v>198</v>
      </c>
      <c r="AG19" s="66">
        <v>55200</v>
      </c>
    </row>
    <row r="20" spans="1:33" x14ac:dyDescent="0.45">
      <c r="A20" s="56">
        <v>18</v>
      </c>
      <c r="B20" s="57" t="s">
        <v>193</v>
      </c>
      <c r="C20" s="58">
        <v>-943.10000000000059</v>
      </c>
      <c r="D20" s="59" t="s">
        <v>201</v>
      </c>
      <c r="E20" s="71">
        <v>-16.160000000000004</v>
      </c>
      <c r="F20" s="59" t="s">
        <v>198</v>
      </c>
      <c r="G20" s="60">
        <v>2.25</v>
      </c>
      <c r="H20" s="59" t="s">
        <v>197</v>
      </c>
      <c r="I20" s="61">
        <v>0.15625</v>
      </c>
      <c r="J20" s="59" t="s">
        <v>197</v>
      </c>
      <c r="K20" s="61">
        <v>0.5</v>
      </c>
      <c r="L20" s="59" t="s">
        <v>201</v>
      </c>
      <c r="M20" s="62">
        <v>0.2</v>
      </c>
      <c r="N20" s="59" t="s">
        <v>185</v>
      </c>
      <c r="O20" s="62">
        <v>0.21621621621621623</v>
      </c>
      <c r="P20" s="59" t="s">
        <v>188</v>
      </c>
      <c r="Q20" s="63">
        <v>7418.1677018633536</v>
      </c>
      <c r="R20" s="59" t="s">
        <v>198</v>
      </c>
      <c r="S20" s="63">
        <v>-11280</v>
      </c>
      <c r="T20" s="59" t="s">
        <v>198</v>
      </c>
      <c r="U20" s="61">
        <v>0.25</v>
      </c>
      <c r="V20" s="59" t="s">
        <v>197</v>
      </c>
      <c r="W20" s="62">
        <v>0.21013133208255161</v>
      </c>
      <c r="X20" s="59" t="s">
        <v>189</v>
      </c>
      <c r="Y20" s="62">
        <v>0.11926605504587157</v>
      </c>
      <c r="Z20" s="59" t="s">
        <v>201</v>
      </c>
      <c r="AA20" s="62">
        <v>0.4</v>
      </c>
      <c r="AB20" s="59" t="s">
        <v>185</v>
      </c>
      <c r="AC20" s="62">
        <v>0.2</v>
      </c>
      <c r="AD20" s="59" t="s">
        <v>198</v>
      </c>
      <c r="AE20" s="62">
        <v>0.3</v>
      </c>
      <c r="AF20" s="59" t="s">
        <v>201</v>
      </c>
      <c r="AG20" s="66">
        <v>52000</v>
      </c>
    </row>
    <row r="21" spans="1:33" x14ac:dyDescent="0.45">
      <c r="A21" s="56">
        <v>19</v>
      </c>
      <c r="B21" s="57" t="s">
        <v>188</v>
      </c>
      <c r="C21" s="58">
        <v>-1315.5000000000002</v>
      </c>
      <c r="D21" s="59" t="s">
        <v>185</v>
      </c>
      <c r="E21" s="71">
        <v>-17.28</v>
      </c>
      <c r="F21" s="59" t="s">
        <v>197</v>
      </c>
      <c r="G21" s="60">
        <v>2.34375</v>
      </c>
      <c r="H21" s="59" t="s">
        <v>184</v>
      </c>
      <c r="I21" s="61">
        <v>0</v>
      </c>
      <c r="J21" s="59" t="s">
        <v>198</v>
      </c>
      <c r="K21" s="61">
        <v>0.5</v>
      </c>
      <c r="L21" s="59" t="s">
        <v>200</v>
      </c>
      <c r="M21" s="62">
        <v>0.15384615384615385</v>
      </c>
      <c r="N21" s="59" t="s">
        <v>202</v>
      </c>
      <c r="O21" s="62">
        <v>0.2318840579710145</v>
      </c>
      <c r="P21" s="59" t="s">
        <v>185</v>
      </c>
      <c r="Q21" s="63">
        <v>7100</v>
      </c>
      <c r="R21" s="59" t="s">
        <v>200</v>
      </c>
      <c r="S21" s="63">
        <v>-12000</v>
      </c>
      <c r="T21" s="59" t="s">
        <v>185</v>
      </c>
      <c r="U21" s="61">
        <v>0.4</v>
      </c>
      <c r="V21" s="59" t="s">
        <v>188</v>
      </c>
      <c r="W21" s="62">
        <v>0.20689655172413793</v>
      </c>
      <c r="X21" s="59" t="s">
        <v>200</v>
      </c>
      <c r="Y21" s="62">
        <v>7.6923076923076927E-2</v>
      </c>
      <c r="Z21" s="59" t="s">
        <v>200</v>
      </c>
      <c r="AA21" s="62">
        <v>0.33333333333333331</v>
      </c>
      <c r="AB21" s="59" t="s">
        <v>184</v>
      </c>
      <c r="AC21" s="62">
        <v>0</v>
      </c>
      <c r="AD21" s="59" t="s">
        <v>196</v>
      </c>
      <c r="AE21" s="62">
        <v>0.29166666666666669</v>
      </c>
      <c r="AF21" s="59" t="s">
        <v>200</v>
      </c>
      <c r="AG21" s="66">
        <v>48300</v>
      </c>
    </row>
    <row r="22" spans="1:33" x14ac:dyDescent="0.45">
      <c r="A22" s="56">
        <v>20</v>
      </c>
      <c r="B22" s="57" t="s">
        <v>190</v>
      </c>
      <c r="C22" s="58">
        <v>-1661.1</v>
      </c>
      <c r="D22" s="59" t="s">
        <v>184</v>
      </c>
      <c r="E22" s="71">
        <v>-33.024999999999999</v>
      </c>
      <c r="F22" s="59" t="s">
        <v>184</v>
      </c>
      <c r="G22" s="60">
        <v>3</v>
      </c>
      <c r="H22" s="59" t="s">
        <v>200</v>
      </c>
      <c r="I22" s="61">
        <v>0</v>
      </c>
      <c r="J22" s="59" t="s">
        <v>184</v>
      </c>
      <c r="K22" s="61">
        <v>1</v>
      </c>
      <c r="L22" s="59" t="s">
        <v>184</v>
      </c>
      <c r="M22" s="62">
        <v>0.04</v>
      </c>
      <c r="N22" s="59" t="s">
        <v>184</v>
      </c>
      <c r="O22" s="62">
        <v>0.4</v>
      </c>
      <c r="P22" s="59" t="s">
        <v>198</v>
      </c>
      <c r="Q22" s="63">
        <v>4940</v>
      </c>
      <c r="R22" s="59" t="s">
        <v>185</v>
      </c>
      <c r="S22" s="63">
        <v>-12487.5</v>
      </c>
      <c r="T22" s="59" t="s">
        <v>184</v>
      </c>
      <c r="U22" s="61">
        <v>0.5</v>
      </c>
      <c r="V22" s="59" t="s">
        <v>184</v>
      </c>
      <c r="W22" s="62">
        <v>0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200</v>
      </c>
      <c r="AC22" s="62">
        <v>0</v>
      </c>
      <c r="AD22" s="59" t="s">
        <v>201</v>
      </c>
      <c r="AE22" s="62">
        <v>0.25</v>
      </c>
      <c r="AF22" s="59" t="s">
        <v>184</v>
      </c>
      <c r="AG22" s="66">
        <v>13000</v>
      </c>
    </row>
  </sheetData>
  <sortState xmlns:xlrd2="http://schemas.microsoft.com/office/spreadsheetml/2017/richdata2" ref="AF3:AG58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C3B1B-B6E8-4108-BCF8-8C60007C4117}">
  <sheetPr codeName="Sheet3"/>
  <dimension ref="A1:Q272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183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2718</v>
      </c>
      <c r="C2" s="128"/>
      <c r="E2" s="43" t="s">
        <v>66</v>
      </c>
      <c r="F2" s="25" t="s">
        <v>22</v>
      </c>
      <c r="G2" s="13">
        <v>4496</v>
      </c>
      <c r="H2" s="106">
        <f>IF(B$47=0,0,G2/B$47)</f>
        <v>0.73308331974563834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-20.37037037037037</v>
      </c>
      <c r="P2" s="92">
        <v>2700</v>
      </c>
      <c r="Q2" s="76">
        <v>-55000</v>
      </c>
    </row>
    <row r="3" spans="1:17" x14ac:dyDescent="0.45">
      <c r="A3" s="37" t="s">
        <v>8</v>
      </c>
      <c r="B3" s="129">
        <v>22047</v>
      </c>
      <c r="C3" s="130"/>
      <c r="E3" s="44" t="s">
        <v>72</v>
      </c>
      <c r="F3" s="41" t="s">
        <v>27</v>
      </c>
      <c r="G3" s="34">
        <v>3282</v>
      </c>
      <c r="H3" s="107">
        <f>IF(B$47=0,0,G3/B$47)</f>
        <v>0.5351377792271319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-0.37965072133637057</v>
      </c>
      <c r="P3" s="93">
        <v>2634</v>
      </c>
      <c r="Q3" s="77">
        <v>-1000</v>
      </c>
    </row>
    <row r="4" spans="1:17" x14ac:dyDescent="0.45">
      <c r="A4" s="37" t="s">
        <v>6</v>
      </c>
      <c r="B4" s="131">
        <v>5.3290705182007514E-14</v>
      </c>
      <c r="C4" s="132"/>
      <c r="E4" s="44" t="s">
        <v>64</v>
      </c>
      <c r="F4" s="41" t="s">
        <v>20</v>
      </c>
      <c r="G4" s="34">
        <v>3049</v>
      </c>
      <c r="H4" s="107">
        <f>IF(B$47=0,0,G4/B$47)</f>
        <v>0.49714658405348117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5.2525252525252526</v>
      </c>
      <c r="P4" s="93">
        <v>2475</v>
      </c>
      <c r="Q4" s="77">
        <v>13000</v>
      </c>
    </row>
    <row r="5" spans="1:17" x14ac:dyDescent="0.45">
      <c r="A5" s="37" t="s">
        <v>7</v>
      </c>
      <c r="B5" s="133">
        <f>IF(B$2=0,0,B$4/B$2)</f>
        <v>1.9606587631349344E-17</v>
      </c>
      <c r="C5" s="134"/>
      <c r="E5" s="44" t="s">
        <v>68</v>
      </c>
      <c r="F5" s="41" t="s">
        <v>12</v>
      </c>
      <c r="G5" s="34">
        <v>1903</v>
      </c>
      <c r="H5" s="107">
        <f>IF(B$47=0,0,G5/B$47)</f>
        <v>0.31028860264144792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5.7017543859649127</v>
      </c>
      <c r="P5" s="93">
        <v>2280</v>
      </c>
      <c r="Q5" s="77">
        <v>13000</v>
      </c>
    </row>
    <row r="6" spans="1:17" x14ac:dyDescent="0.45">
      <c r="A6" s="37" t="s">
        <v>1</v>
      </c>
      <c r="B6" s="141">
        <f>IF(B$2=0,0,(B$7*1+B$8*2+B$9*3)/B$2)</f>
        <v>2</v>
      </c>
      <c r="C6" s="142"/>
      <c r="E6" s="44" t="s">
        <v>67</v>
      </c>
      <c r="F6" s="41" t="s">
        <v>23</v>
      </c>
      <c r="G6" s="34">
        <v>1815</v>
      </c>
      <c r="H6" s="107">
        <f>IF(B$47=0,0,G6/B$47)</f>
        <v>0.29593999673895321</v>
      </c>
      <c r="I6" s="68">
        <v>10</v>
      </c>
      <c r="K6" s="5">
        <v>4</v>
      </c>
      <c r="L6" s="73">
        <v>-1</v>
      </c>
      <c r="N6" s="89" t="s">
        <v>130</v>
      </c>
      <c r="O6" s="96">
        <f t="shared" si="0"/>
        <v>0.9760858955588092</v>
      </c>
      <c r="P6" s="93">
        <v>2049</v>
      </c>
      <c r="Q6" s="77">
        <v>2000</v>
      </c>
    </row>
    <row r="7" spans="1:17" x14ac:dyDescent="0.45">
      <c r="A7" s="37" t="s">
        <v>2</v>
      </c>
      <c r="B7" s="34">
        <v>906</v>
      </c>
      <c r="C7" s="31">
        <f t="shared" ref="C7:C10" si="1">IF(B$2=0,0,B7/B$2)</f>
        <v>0.33333333333333331</v>
      </c>
      <c r="E7" s="44" t="s">
        <v>157</v>
      </c>
      <c r="F7" s="41" t="s">
        <v>158</v>
      </c>
      <c r="G7" s="34">
        <v>1791</v>
      </c>
      <c r="H7" s="107">
        <f>IF(B$47=0,0,G7/B$47)</f>
        <v>0.29202674058372735</v>
      </c>
      <c r="I7" s="68">
        <v>11</v>
      </c>
      <c r="K7" s="5">
        <v>5</v>
      </c>
      <c r="L7" s="73">
        <v>39.9</v>
      </c>
      <c r="N7" s="90" t="s">
        <v>131</v>
      </c>
      <c r="O7" s="97">
        <f t="shared" si="0"/>
        <v>15.652173913043478</v>
      </c>
      <c r="P7" s="94">
        <v>1725</v>
      </c>
      <c r="Q7" s="78">
        <v>27000</v>
      </c>
    </row>
    <row r="8" spans="1:17" x14ac:dyDescent="0.45">
      <c r="A8" s="37" t="s">
        <v>3</v>
      </c>
      <c r="B8" s="34">
        <v>906</v>
      </c>
      <c r="C8" s="31">
        <f t="shared" si="1"/>
        <v>0.33333333333333331</v>
      </c>
      <c r="E8" s="44" t="s">
        <v>69</v>
      </c>
      <c r="F8" s="41" t="s">
        <v>24</v>
      </c>
      <c r="G8" s="34">
        <v>939</v>
      </c>
      <c r="H8" s="107">
        <f>IF(B$47=0,0,G8/B$47)</f>
        <v>0.15310614707321049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906</v>
      </c>
      <c r="C9" s="7">
        <f t="shared" si="1"/>
        <v>0.33333333333333331</v>
      </c>
      <c r="E9" s="44" t="s">
        <v>89</v>
      </c>
      <c r="F9" s="41" t="s">
        <v>44</v>
      </c>
      <c r="G9" s="34">
        <v>840</v>
      </c>
      <c r="H9" s="107">
        <f>IF(B$47=0,0,G9/B$47)</f>
        <v>0.13696396543290396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331</v>
      </c>
      <c r="C10" s="32">
        <f t="shared" si="1"/>
        <v>0.12178072111846946</v>
      </c>
      <c r="E10" s="44" t="s">
        <v>65</v>
      </c>
      <c r="F10" s="41" t="s">
        <v>21</v>
      </c>
      <c r="G10" s="34">
        <v>693</v>
      </c>
      <c r="H10" s="107">
        <f>IF(B$47=0,0,G10/B$47)</f>
        <v>0.11299527148214576</v>
      </c>
      <c r="I10" s="68">
        <v>11</v>
      </c>
      <c r="K10" s="5">
        <v>8</v>
      </c>
      <c r="L10" s="73">
        <v>-26.699999999999996</v>
      </c>
      <c r="N10" s="88" t="s">
        <v>149</v>
      </c>
      <c r="O10" s="98">
        <f>IF(P10=0,0,Q10/P10)</f>
        <v>-2.0955703211517158</v>
      </c>
      <c r="P10" s="92">
        <v>903</v>
      </c>
      <c r="Q10" s="80">
        <v>-1892.2999999999993</v>
      </c>
    </row>
    <row r="11" spans="1:17" x14ac:dyDescent="0.45">
      <c r="A11" s="40" t="s">
        <v>121</v>
      </c>
      <c r="B11" s="16">
        <v>5521</v>
      </c>
      <c r="C11" s="11">
        <f>IF(B$46=0,0,B11/B$46)</f>
        <v>0.26760699917599728</v>
      </c>
      <c r="E11" s="44" t="s">
        <v>70</v>
      </c>
      <c r="F11" s="41" t="s">
        <v>25</v>
      </c>
      <c r="G11" s="34">
        <v>597</v>
      </c>
      <c r="H11" s="107">
        <f>IF(B$47=0,0,G11/B$47)</f>
        <v>9.734224686124246E-2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0.47552602436323405</v>
      </c>
      <c r="P11" s="93">
        <v>903</v>
      </c>
      <c r="Q11" s="81">
        <v>429.40000000000032</v>
      </c>
    </row>
    <row r="12" spans="1:17" x14ac:dyDescent="0.45">
      <c r="A12" s="37" t="s">
        <v>118</v>
      </c>
      <c r="B12" s="34">
        <v>4532</v>
      </c>
      <c r="C12" s="31">
        <f>IF(B$46=0,0,B12/B$46)</f>
        <v>0.21966942949929719</v>
      </c>
      <c r="E12" s="44" t="s">
        <v>71</v>
      </c>
      <c r="F12" s="41" t="s">
        <v>26</v>
      </c>
      <c r="G12" s="34">
        <v>405</v>
      </c>
      <c r="H12" s="107">
        <f>IF(B$47=0,0,G12/B$47)</f>
        <v>6.6036197619435841E-2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1.6200442967884834</v>
      </c>
      <c r="P12" s="94">
        <v>903</v>
      </c>
      <c r="Q12" s="82">
        <v>1462.9000000000005</v>
      </c>
    </row>
    <row r="13" spans="1:17" x14ac:dyDescent="0.45">
      <c r="A13" s="19" t="s">
        <v>123</v>
      </c>
      <c r="B13" s="13">
        <v>3161</v>
      </c>
      <c r="C13" s="4">
        <f>IF(B$11=0,0,B13/B$11)</f>
        <v>0.57254120630320593</v>
      </c>
      <c r="E13" s="44" t="s">
        <v>86</v>
      </c>
      <c r="F13" s="41" t="s">
        <v>41</v>
      </c>
      <c r="G13" s="34">
        <v>367</v>
      </c>
      <c r="H13" s="107">
        <f>IF(B$47=0,0,G13/B$47)</f>
        <v>5.9840208706994948E-2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1842</v>
      </c>
      <c r="C14" s="4">
        <f>IF(B$12=0,0,B14/B$12)</f>
        <v>0.40644307149161518</v>
      </c>
      <c r="E14" s="44" t="s">
        <v>83</v>
      </c>
      <c r="F14" s="41" t="s">
        <v>38</v>
      </c>
      <c r="G14" s="34">
        <v>293</v>
      </c>
      <c r="H14" s="107">
        <f>IF(B$47=0,0,G14/B$47)</f>
        <v>4.7774335561715307E-2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6567</v>
      </c>
      <c r="C15" s="4">
        <f>IF(B$3=0,0,B15/B$3)</f>
        <v>0.2978636549190366</v>
      </c>
      <c r="E15" s="44" t="s">
        <v>78</v>
      </c>
      <c r="F15" s="41" t="s">
        <v>33</v>
      </c>
      <c r="G15" s="34">
        <v>165</v>
      </c>
      <c r="H15" s="107">
        <f>IF(B$47=0,0,G15/B$47)</f>
        <v>2.6903636067177564E-2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13</v>
      </c>
      <c r="B16" s="34">
        <v>3678</v>
      </c>
      <c r="C16" s="31">
        <f>IF(B$3=0,0,B16/B$3)</f>
        <v>0.16682541842427542</v>
      </c>
      <c r="E16" s="44" t="s">
        <v>81</v>
      </c>
      <c r="F16" s="41" t="s">
        <v>36</v>
      </c>
      <c r="G16" s="34">
        <v>150</v>
      </c>
      <c r="H16" s="107">
        <f>IF(B$47=0,0,G16/B$47)</f>
        <v>2.4457850970161423E-2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37" t="s">
        <v>12</v>
      </c>
      <c r="B17" s="34">
        <v>2835</v>
      </c>
      <c r="C17" s="31">
        <f>IF(B$15=0,0,B17/B$15)</f>
        <v>0.43170397441754227</v>
      </c>
      <c r="E17" s="44" t="s">
        <v>91</v>
      </c>
      <c r="F17" s="41" t="s">
        <v>46</v>
      </c>
      <c r="G17" s="34">
        <v>112</v>
      </c>
      <c r="H17" s="107">
        <f>IF(B$47=0,0,G17/B$47)</f>
        <v>1.826186205772053E-2</v>
      </c>
      <c r="I17" s="68">
        <v>8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37" t="s">
        <v>11</v>
      </c>
      <c r="B18" s="34">
        <v>3732</v>
      </c>
      <c r="C18" s="31">
        <f>IF(B$15=0,0,B18/B$15)</f>
        <v>0.56829602558245773</v>
      </c>
      <c r="E18" s="44" t="s">
        <v>153</v>
      </c>
      <c r="F18" s="41" t="s">
        <v>154</v>
      </c>
      <c r="G18" s="34">
        <v>92</v>
      </c>
      <c r="H18" s="107">
        <f>IF(B$47=0,0,G18/B$47)</f>
        <v>1.5000815261699005E-2</v>
      </c>
      <c r="I18" s="68">
        <v>5</v>
      </c>
      <c r="K18" s="5">
        <v>16</v>
      </c>
      <c r="L18" s="73">
        <v>-48</v>
      </c>
      <c r="N18" s="89" t="s">
        <v>197</v>
      </c>
      <c r="O18" s="99">
        <f>IF(P18=0,0,Q18/P18)</f>
        <v>21.539062499999989</v>
      </c>
      <c r="P18" s="93">
        <v>128</v>
      </c>
      <c r="Q18" s="81">
        <v>2756.9999999999986</v>
      </c>
    </row>
    <row r="19" spans="1:17" x14ac:dyDescent="0.45">
      <c r="A19" s="37" t="s">
        <v>180</v>
      </c>
      <c r="B19" s="34">
        <v>3161</v>
      </c>
      <c r="C19" s="31">
        <f>IF(B$15=0,0,B19/B$15)</f>
        <v>0.48134612456220499</v>
      </c>
      <c r="E19" s="44" t="s">
        <v>79</v>
      </c>
      <c r="F19" s="41" t="s">
        <v>34</v>
      </c>
      <c r="G19" s="34">
        <v>91</v>
      </c>
      <c r="H19" s="107">
        <f>IF(B$47=0,0,G19/B$47)</f>
        <v>1.4837762921897929E-2</v>
      </c>
      <c r="I19" s="68">
        <v>11</v>
      </c>
      <c r="K19" s="5">
        <v>17</v>
      </c>
      <c r="L19" s="73">
        <v>-8</v>
      </c>
      <c r="N19" s="89" t="s">
        <v>198</v>
      </c>
      <c r="O19" s="99">
        <f>IF(P19=0,0,Q19/P19)</f>
        <v>21.074999999999996</v>
      </c>
      <c r="P19" s="93">
        <v>8</v>
      </c>
      <c r="Q19" s="81">
        <v>168.59999999999997</v>
      </c>
    </row>
    <row r="20" spans="1:17" x14ac:dyDescent="0.45">
      <c r="A20" s="37" t="s">
        <v>178</v>
      </c>
      <c r="B20" s="34">
        <v>1842</v>
      </c>
      <c r="C20" s="31">
        <f>IF(B$15=0,0,B20/B$15)</f>
        <v>0.2804933759707629</v>
      </c>
      <c r="E20" s="44" t="s">
        <v>75</v>
      </c>
      <c r="F20" s="41" t="s">
        <v>30</v>
      </c>
      <c r="G20" s="34">
        <v>40</v>
      </c>
      <c r="H20" s="107">
        <f>IF(B$47=0,0,G20/B$47)</f>
        <v>6.5220935920430462E-3</v>
      </c>
      <c r="I20" s="68">
        <v>5</v>
      </c>
      <c r="K20" s="5">
        <v>18</v>
      </c>
      <c r="L20" s="73">
        <v>0</v>
      </c>
      <c r="N20" s="89" t="s">
        <v>186</v>
      </c>
      <c r="O20" s="99">
        <f>IF(P20=0,0,Q20/P20)</f>
        <v>11.654081632653059</v>
      </c>
      <c r="P20" s="93">
        <v>196</v>
      </c>
      <c r="Q20" s="81">
        <v>2284.1999999999994</v>
      </c>
    </row>
    <row r="21" spans="1:17" x14ac:dyDescent="0.45">
      <c r="A21" s="37" t="s">
        <v>179</v>
      </c>
      <c r="B21" s="34">
        <v>1564</v>
      </c>
      <c r="C21" s="31">
        <f>IF(B$15=0,0,B21/B$15)</f>
        <v>0.23816049946703213</v>
      </c>
      <c r="E21" s="44" t="s">
        <v>73</v>
      </c>
      <c r="F21" s="41" t="s">
        <v>28</v>
      </c>
      <c r="G21" s="34">
        <v>37</v>
      </c>
      <c r="H21" s="107">
        <f>IF(B$47=0,0,G21/B$47)</f>
        <v>6.0329365726398175E-3</v>
      </c>
      <c r="I21" s="68">
        <v>6</v>
      </c>
      <c r="K21" s="5">
        <v>19</v>
      </c>
      <c r="L21" s="73">
        <v>-6.1</v>
      </c>
      <c r="N21" s="89" t="s">
        <v>188</v>
      </c>
      <c r="O21" s="99">
        <f>IF(P21=0,0,Q21/P21)</f>
        <v>6.8176691729323284</v>
      </c>
      <c r="P21" s="93">
        <v>532</v>
      </c>
      <c r="Q21" s="81">
        <v>3626.9999999999986</v>
      </c>
    </row>
    <row r="22" spans="1:17" x14ac:dyDescent="0.45">
      <c r="A22" s="37" t="s">
        <v>5</v>
      </c>
      <c r="B22" s="17">
        <f>IF(B$15=0,0,C22/B$15)</f>
        <v>9001.4313994213499</v>
      </c>
      <c r="C22" s="8">
        <v>59112400</v>
      </c>
      <c r="E22" s="44" t="s">
        <v>77</v>
      </c>
      <c r="F22" s="41" t="s">
        <v>32</v>
      </c>
      <c r="G22" s="34">
        <v>35</v>
      </c>
      <c r="H22" s="107">
        <f>IF(B$47=0,0,G22/B$47)</f>
        <v>5.7068318930376654E-3</v>
      </c>
      <c r="I22" s="68">
        <v>5</v>
      </c>
      <c r="K22" s="5">
        <v>20</v>
      </c>
      <c r="L22" s="73">
        <v>4.9000000000000004</v>
      </c>
      <c r="N22" s="89" t="s">
        <v>190</v>
      </c>
      <c r="O22" s="99">
        <f>IF(P22=0,0,Q22/P22)</f>
        <v>6.2920454545454536</v>
      </c>
      <c r="P22" s="93">
        <v>792</v>
      </c>
      <c r="Q22" s="81">
        <v>4983.2999999999993</v>
      </c>
    </row>
    <row r="23" spans="1:17" x14ac:dyDescent="0.45">
      <c r="A23" s="38" t="s">
        <v>162</v>
      </c>
      <c r="B23" s="114">
        <f>IF($B$15-B$14=0,0,C23/($B$15-B$14))</f>
        <v>9572.5079365079364</v>
      </c>
      <c r="C23" s="115">
        <v>45230100</v>
      </c>
      <c r="E23" s="44" t="s">
        <v>92</v>
      </c>
      <c r="F23" s="41" t="s">
        <v>47</v>
      </c>
      <c r="G23" s="34">
        <v>29</v>
      </c>
      <c r="H23" s="107">
        <f>IF(B$47=0,0,G23/B$47)</f>
        <v>4.7285178542312081E-3</v>
      </c>
      <c r="I23" s="68">
        <v>5</v>
      </c>
      <c r="K23" s="5">
        <v>21</v>
      </c>
      <c r="L23" s="73">
        <v>0</v>
      </c>
      <c r="N23" s="89" t="s">
        <v>193</v>
      </c>
      <c r="O23" s="99">
        <f>IF(P23=0,0,Q23/P23)</f>
        <v>3.2224373576309882</v>
      </c>
      <c r="P23" s="93">
        <v>878</v>
      </c>
      <c r="Q23" s="81">
        <v>2829.3000000000075</v>
      </c>
    </row>
    <row r="24" spans="1:17" x14ac:dyDescent="0.45">
      <c r="A24" s="38" t="s">
        <v>163</v>
      </c>
      <c r="B24" s="114">
        <f>IF(B$14=0,0,C24/B$14)</f>
        <v>7536.5363735070578</v>
      </c>
      <c r="C24" s="115">
        <v>13882300</v>
      </c>
      <c r="E24" s="44" t="s">
        <v>85</v>
      </c>
      <c r="F24" s="41" t="s">
        <v>40</v>
      </c>
      <c r="G24" s="34">
        <v>28</v>
      </c>
      <c r="H24" s="107">
        <f>IF(B$47=0,0,G24/B$47)</f>
        <v>4.5654655144301325E-3</v>
      </c>
      <c r="I24" s="68">
        <v>4</v>
      </c>
      <c r="K24" s="5">
        <v>22</v>
      </c>
      <c r="L24" s="73">
        <v>-36</v>
      </c>
      <c r="N24" s="89" t="s">
        <v>187</v>
      </c>
      <c r="O24" s="99">
        <f>IF(P24=0,0,Q24/P24)</f>
        <v>1.7913357400722023</v>
      </c>
      <c r="P24" s="93">
        <v>554</v>
      </c>
      <c r="Q24" s="81">
        <v>992.40000000000009</v>
      </c>
    </row>
    <row r="25" spans="1:17" x14ac:dyDescent="0.45">
      <c r="A25" s="38" t="s">
        <v>161</v>
      </c>
      <c r="B25" s="114">
        <f>IF(B$16=0,0,C25/B$16)</f>
        <v>-8409.2985318107676</v>
      </c>
      <c r="C25" s="115">
        <v>-30929400</v>
      </c>
      <c r="E25" s="44" t="s">
        <v>74</v>
      </c>
      <c r="F25" s="41" t="s">
        <v>29</v>
      </c>
      <c r="G25" s="34">
        <v>23</v>
      </c>
      <c r="H25" s="107">
        <f>IF(B$47=0,0,G25/B$47)</f>
        <v>3.7502038154247513E-3</v>
      </c>
      <c r="I25" s="68">
        <v>6</v>
      </c>
      <c r="K25" s="5">
        <v>23</v>
      </c>
      <c r="L25" s="73">
        <v>-3</v>
      </c>
      <c r="N25" s="89" t="s">
        <v>199</v>
      </c>
      <c r="O25" s="99">
        <f>IF(P25=0,0,Q25/P25)</f>
        <v>1.1785714285714317</v>
      </c>
      <c r="P25" s="93">
        <v>56</v>
      </c>
      <c r="Q25" s="81">
        <v>66.000000000000171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17</v>
      </c>
      <c r="H26" s="107">
        <f>IF(B$47=0,0,G26/B$47)</f>
        <v>2.7718897766182945E-3</v>
      </c>
      <c r="I26" s="68">
        <v>4</v>
      </c>
      <c r="K26" s="5">
        <v>24</v>
      </c>
      <c r="L26" s="73">
        <v>0</v>
      </c>
      <c r="N26" s="89" t="s">
        <v>194</v>
      </c>
      <c r="O26" s="99">
        <f>IF(P26=0,0,Q26/P26)</f>
        <v>5.7692307692313316E-2</v>
      </c>
      <c r="P26" s="93">
        <v>182</v>
      </c>
      <c r="Q26" s="81">
        <v>10.500000000001023</v>
      </c>
    </row>
    <row r="27" spans="1:17" x14ac:dyDescent="0.45">
      <c r="A27" s="37" t="s">
        <v>156</v>
      </c>
      <c r="B27" s="34">
        <v>35</v>
      </c>
      <c r="C27" s="109">
        <v>0</v>
      </c>
      <c r="E27" s="44" t="s">
        <v>93</v>
      </c>
      <c r="F27" s="41" t="s">
        <v>48</v>
      </c>
      <c r="G27" s="34">
        <v>16</v>
      </c>
      <c r="H27" s="107">
        <f>IF(B$47=0,0,G27/B$47)</f>
        <v>2.6088374368172184E-3</v>
      </c>
      <c r="I27" s="68">
        <v>5</v>
      </c>
      <c r="K27" s="5">
        <v>25</v>
      </c>
      <c r="L27" s="73">
        <v>-41</v>
      </c>
      <c r="N27" s="89" t="s">
        <v>191</v>
      </c>
      <c r="O27" s="99">
        <f>IF(P27=0,0,Q27/P27)</f>
        <v>-0.30605187319884575</v>
      </c>
      <c r="P27" s="93">
        <v>694</v>
      </c>
      <c r="Q27" s="81">
        <v>-212.39999999999895</v>
      </c>
    </row>
    <row r="28" spans="1:17" x14ac:dyDescent="0.45">
      <c r="A28" s="64" t="s">
        <v>134</v>
      </c>
      <c r="B28" s="139">
        <v>10</v>
      </c>
      <c r="C28" s="140"/>
      <c r="E28" s="44" t="s">
        <v>87</v>
      </c>
      <c r="F28" s="41" t="s">
        <v>42</v>
      </c>
      <c r="G28" s="34">
        <v>14</v>
      </c>
      <c r="H28" s="107">
        <f>IF(B$47=0,0,G28/B$47)</f>
        <v>2.2827327572150662E-3</v>
      </c>
      <c r="I28" s="68">
        <v>5</v>
      </c>
      <c r="K28" s="5">
        <v>26</v>
      </c>
      <c r="L28" s="73">
        <v>11.5</v>
      </c>
      <c r="N28" s="89" t="s">
        <v>192</v>
      </c>
      <c r="O28" s="99">
        <f>IF(P28=0,0,Q28/P28)</f>
        <v>-3.4999999999999987</v>
      </c>
      <c r="P28" s="93">
        <v>78</v>
      </c>
      <c r="Q28" s="81">
        <v>-272.99999999999989</v>
      </c>
    </row>
    <row r="29" spans="1:17" x14ac:dyDescent="0.45">
      <c r="A29" s="40" t="s">
        <v>177</v>
      </c>
      <c r="B29" s="137">
        <v>149100</v>
      </c>
      <c r="C29" s="138"/>
      <c r="E29" s="44" t="s">
        <v>90</v>
      </c>
      <c r="F29" s="41" t="s">
        <v>45</v>
      </c>
      <c r="G29" s="34">
        <v>12</v>
      </c>
      <c r="H29" s="107">
        <f>IF(B$47=0,0,G29/B$47)</f>
        <v>1.9566280776129137E-3</v>
      </c>
      <c r="I29" s="68">
        <v>4</v>
      </c>
      <c r="K29" s="5">
        <v>27</v>
      </c>
      <c r="L29" s="73">
        <v>0</v>
      </c>
      <c r="N29" s="89" t="s">
        <v>189</v>
      </c>
      <c r="O29" s="99">
        <f>IF(P29=0,0,Q29/P29)</f>
        <v>-7.5642857142857167</v>
      </c>
      <c r="P29" s="93">
        <v>28</v>
      </c>
      <c r="Q29" s="81">
        <v>-211.80000000000007</v>
      </c>
    </row>
    <row r="30" spans="1:17" x14ac:dyDescent="0.45">
      <c r="A30" s="39" t="s">
        <v>135</v>
      </c>
      <c r="B30" s="27">
        <v>60</v>
      </c>
      <c r="C30" s="32">
        <f>IF(B$3=0,0,B30/B$3)</f>
        <v>2.7214587018641991E-3</v>
      </c>
      <c r="E30" s="44" t="s">
        <v>88</v>
      </c>
      <c r="F30" s="41" t="s">
        <v>43</v>
      </c>
      <c r="G30" s="34">
        <v>10</v>
      </c>
      <c r="H30" s="107">
        <f>IF(B$47=0,0,G30/B$47)</f>
        <v>1.6305233980107615E-3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-13.908161648177492</v>
      </c>
      <c r="P30" s="93">
        <v>1262</v>
      </c>
      <c r="Q30" s="81">
        <v>-17552.099999999995</v>
      </c>
    </row>
    <row r="31" spans="1:17" x14ac:dyDescent="0.45">
      <c r="E31" s="44" t="s">
        <v>95</v>
      </c>
      <c r="F31" s="41" t="s">
        <v>50</v>
      </c>
      <c r="G31" s="34">
        <v>7</v>
      </c>
      <c r="H31" s="107">
        <f>IF(B$47=0,0,G31/B$47)</f>
        <v>1.1413663786075331E-3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168</v>
      </c>
      <c r="B32" s="121">
        <v>413</v>
      </c>
      <c r="C32" s="119">
        <f>IF(B$15=0,0,B32/B$15)</f>
        <v>6.2890208618851834E-2</v>
      </c>
      <c r="E32" s="44" t="s">
        <v>106</v>
      </c>
      <c r="F32" s="41" t="s">
        <v>113</v>
      </c>
      <c r="G32" s="34">
        <v>3</v>
      </c>
      <c r="H32" s="107">
        <f>IF(B$47=0,0,G32/B$47)</f>
        <v>4.8915701940322842E-4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37" t="s">
        <v>164</v>
      </c>
      <c r="B33" s="34">
        <v>923</v>
      </c>
      <c r="C33" s="31">
        <f t="shared" ref="C33:C44" si="2">IF(B$15=0,0,B33/B$15)</f>
        <v>0.14055124105375361</v>
      </c>
      <c r="E33" s="44" t="s">
        <v>97</v>
      </c>
      <c r="F33" s="41" t="s">
        <v>52</v>
      </c>
      <c r="G33" s="34">
        <v>2</v>
      </c>
      <c r="H33" s="107">
        <f>IF(B$47=0,0,G33/B$47)</f>
        <v>3.261046796021523E-4</v>
      </c>
      <c r="I33" s="68">
        <v>3</v>
      </c>
      <c r="K33" s="5">
        <v>31</v>
      </c>
      <c r="L33" s="73">
        <v>18.3</v>
      </c>
    </row>
    <row r="34" spans="1:12" x14ac:dyDescent="0.45">
      <c r="A34" s="37" t="s">
        <v>165</v>
      </c>
      <c r="B34" s="124">
        <v>1163</v>
      </c>
      <c r="C34" s="31">
        <f>IF(B$15=0,0,B34/B$15)</f>
        <v>0.17709760925841328</v>
      </c>
      <c r="E34" s="44" t="s">
        <v>101</v>
      </c>
      <c r="F34" s="41" t="s">
        <v>56</v>
      </c>
      <c r="G34" s="34">
        <v>2</v>
      </c>
      <c r="H34" s="107">
        <f>IF(B$47=0,0,G34/B$47)</f>
        <v>3.261046796021523E-4</v>
      </c>
      <c r="I34" s="68">
        <v>2</v>
      </c>
      <c r="K34" s="5">
        <v>32</v>
      </c>
      <c r="L34" s="73">
        <v>8.6000000000000014</v>
      </c>
    </row>
    <row r="35" spans="1:12" x14ac:dyDescent="0.45">
      <c r="A35" s="37" t="s">
        <v>166</v>
      </c>
      <c r="B35" s="124">
        <v>1147</v>
      </c>
      <c r="C35" s="31">
        <f t="shared" si="2"/>
        <v>0.17466118471143596</v>
      </c>
      <c r="E35" s="44" t="s">
        <v>80</v>
      </c>
      <c r="F35" s="41" t="s">
        <v>35</v>
      </c>
      <c r="G35" s="34">
        <v>1</v>
      </c>
      <c r="H35" s="107">
        <f>IF(B$47=0,0,G35/B$47)</f>
        <v>1.6305233980107615E-4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37" t="s">
        <v>167</v>
      </c>
      <c r="B36" s="124">
        <v>967</v>
      </c>
      <c r="C36" s="31">
        <f t="shared" si="2"/>
        <v>0.14725140855794122</v>
      </c>
      <c r="E36" s="44" t="s">
        <v>76</v>
      </c>
      <c r="F36" s="41" t="s">
        <v>31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12.800000000000002</v>
      </c>
    </row>
    <row r="37" spans="1:12" x14ac:dyDescent="0.45">
      <c r="A37" s="37" t="s">
        <v>169</v>
      </c>
      <c r="B37" s="124">
        <v>630</v>
      </c>
      <c r="C37" s="31">
        <f t="shared" si="2"/>
        <v>9.5934216537231609E-2</v>
      </c>
      <c r="E37" s="44" t="s">
        <v>82</v>
      </c>
      <c r="F37" s="41" t="s">
        <v>37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170</v>
      </c>
      <c r="B38" s="124">
        <v>386</v>
      </c>
      <c r="C38" s="31">
        <f t="shared" si="2"/>
        <v>5.877874219582762E-2</v>
      </c>
      <c r="E38" s="44" t="s">
        <v>94</v>
      </c>
      <c r="F38" s="41" t="s">
        <v>49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171</v>
      </c>
      <c r="B39" s="124">
        <v>206</v>
      </c>
      <c r="C39" s="31">
        <f t="shared" si="2"/>
        <v>3.1368966042332878E-2</v>
      </c>
      <c r="E39" s="44" t="s">
        <v>96</v>
      </c>
      <c r="F39" s="41" t="s">
        <v>51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172</v>
      </c>
      <c r="B40" s="124">
        <v>122</v>
      </c>
      <c r="C40" s="31">
        <f t="shared" si="2"/>
        <v>1.8577737170701995E-2</v>
      </c>
      <c r="E40" s="44" t="s">
        <v>98</v>
      </c>
      <c r="F40" s="41" t="s">
        <v>53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173</v>
      </c>
      <c r="B41" s="124">
        <v>56</v>
      </c>
      <c r="C41" s="31">
        <f t="shared" si="2"/>
        <v>8.5274859144205874E-3</v>
      </c>
      <c r="E41" s="44" t="s">
        <v>99</v>
      </c>
      <c r="F41" s="41" t="s">
        <v>54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174</v>
      </c>
      <c r="B42" s="124">
        <v>31</v>
      </c>
      <c r="C42" s="31">
        <f t="shared" si="2"/>
        <v>4.7205725597685398E-3</v>
      </c>
      <c r="E42" s="44" t="s">
        <v>100</v>
      </c>
      <c r="F42" s="41" t="s">
        <v>55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175</v>
      </c>
      <c r="B43" s="124">
        <v>15</v>
      </c>
      <c r="C43" s="31">
        <f t="shared" si="2"/>
        <v>2.2841480127912287E-3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9" t="s">
        <v>176</v>
      </c>
      <c r="B44" s="120">
        <v>74</v>
      </c>
      <c r="C44" s="32">
        <f t="shared" si="2"/>
        <v>1.1268463529770062E-2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64" t="s">
        <v>181</v>
      </c>
      <c r="B46" s="127">
        <v>20631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9" t="s">
        <v>182</v>
      </c>
      <c r="B47" s="135">
        <v>6133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1.6000000000000072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5.4000000000000075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7.1054273576010019E-15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-21.399999999999991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-53.899999999999991</v>
      </c>
    </row>
    <row r="53" spans="5:12" x14ac:dyDescent="0.45">
      <c r="K53" s="5">
        <v>51</v>
      </c>
      <c r="L53" s="73">
        <v>7.1054273576010019E-15</v>
      </c>
    </row>
    <row r="54" spans="5:12" x14ac:dyDescent="0.45">
      <c r="K54" s="5">
        <v>52</v>
      </c>
      <c r="L54" s="73">
        <v>14.900000000000007</v>
      </c>
    </row>
    <row r="55" spans="5:12" x14ac:dyDescent="0.45">
      <c r="K55" s="5">
        <v>53</v>
      </c>
      <c r="L55" s="73">
        <v>1.2000000000000082</v>
      </c>
    </row>
    <row r="56" spans="5:12" x14ac:dyDescent="0.45">
      <c r="K56" s="5">
        <v>54</v>
      </c>
      <c r="L56" s="73">
        <v>8.2156503822261584E-15</v>
      </c>
    </row>
    <row r="57" spans="5:12" x14ac:dyDescent="0.45">
      <c r="K57" s="5">
        <v>55</v>
      </c>
      <c r="L57" s="73">
        <v>57.20000000000001</v>
      </c>
    </row>
    <row r="58" spans="5:12" x14ac:dyDescent="0.45">
      <c r="K58" s="5">
        <v>56</v>
      </c>
      <c r="L58" s="73">
        <v>18.800000000000011</v>
      </c>
    </row>
    <row r="59" spans="5:12" x14ac:dyDescent="0.45">
      <c r="K59" s="5">
        <v>57</v>
      </c>
      <c r="L59" s="73">
        <v>1.0658141036401503E-14</v>
      </c>
    </row>
    <row r="60" spans="5:12" x14ac:dyDescent="0.45">
      <c r="K60" s="5">
        <v>58</v>
      </c>
      <c r="L60" s="73">
        <v>26.20000000000001</v>
      </c>
    </row>
    <row r="61" spans="5:12" x14ac:dyDescent="0.45">
      <c r="K61" s="5">
        <v>59</v>
      </c>
      <c r="L61" s="73">
        <v>1.0000000000000107</v>
      </c>
    </row>
    <row r="62" spans="5:12" x14ac:dyDescent="0.45">
      <c r="K62" s="5">
        <v>60</v>
      </c>
      <c r="L62" s="73">
        <v>1.0658141036401503E-14</v>
      </c>
    </row>
    <row r="63" spans="5:12" x14ac:dyDescent="0.45">
      <c r="K63" s="5">
        <v>61</v>
      </c>
      <c r="L63" s="73">
        <v>56.500000000000014</v>
      </c>
    </row>
    <row r="64" spans="5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</sheetData>
  <sortState xmlns:xlrd2="http://schemas.microsoft.com/office/spreadsheetml/2017/richdata2" ref="N15:Q3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DCB8A-7980-4FE9-BDA7-01C09AD03BCC}">
  <sheetPr codeName="Sheet4"/>
  <dimension ref="A1:Q63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195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631</v>
      </c>
      <c r="C2" s="128"/>
      <c r="E2" s="43" t="s">
        <v>66</v>
      </c>
      <c r="F2" s="25" t="s">
        <v>22</v>
      </c>
      <c r="G2" s="13">
        <v>1150</v>
      </c>
      <c r="H2" s="106">
        <f>IF(B$47=0,0,G2/B$47)</f>
        <v>0.72877059569074776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1326.4</v>
      </c>
      <c r="P2" s="92">
        <v>625</v>
      </c>
      <c r="Q2" s="76">
        <v>829000</v>
      </c>
    </row>
    <row r="3" spans="1:17" x14ac:dyDescent="0.45">
      <c r="A3" s="37" t="s">
        <v>8</v>
      </c>
      <c r="B3" s="129">
        <v>5009</v>
      </c>
      <c r="C3" s="130"/>
      <c r="E3" s="44" t="s">
        <v>72</v>
      </c>
      <c r="F3" s="41" t="s">
        <v>27</v>
      </c>
      <c r="G3" s="34">
        <v>856</v>
      </c>
      <c r="H3" s="107">
        <f>IF(B$47=0,0,G3/B$47)</f>
        <v>0.54245880861850448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1156.0855263157894</v>
      </c>
      <c r="P3" s="93">
        <v>608</v>
      </c>
      <c r="Q3" s="77">
        <v>702900</v>
      </c>
    </row>
    <row r="4" spans="1:17" x14ac:dyDescent="0.45">
      <c r="A4" s="37" t="s">
        <v>6</v>
      </c>
      <c r="B4" s="131">
        <v>5850.7</v>
      </c>
      <c r="C4" s="132"/>
      <c r="E4" s="44" t="s">
        <v>64</v>
      </c>
      <c r="F4" s="41" t="s">
        <v>20</v>
      </c>
      <c r="G4" s="34">
        <v>774</v>
      </c>
      <c r="H4" s="107">
        <f>IF(B$47=0,0,G4/B$47)</f>
        <v>0.49049429657794674</v>
      </c>
      <c r="I4" s="68">
        <v>12</v>
      </c>
      <c r="K4" s="5">
        <v>2</v>
      </c>
      <c r="L4" s="73">
        <v>14</v>
      </c>
      <c r="N4" s="89" t="s">
        <v>128</v>
      </c>
      <c r="O4" s="96">
        <f t="shared" si="0"/>
        <v>1249.3934142114385</v>
      </c>
      <c r="P4" s="93">
        <v>577</v>
      </c>
      <c r="Q4" s="77">
        <v>720900</v>
      </c>
    </row>
    <row r="5" spans="1:17" x14ac:dyDescent="0.45">
      <c r="A5" s="37" t="s">
        <v>7</v>
      </c>
      <c r="B5" s="133">
        <f>IF(B$2=0,0,B$4/B$2)</f>
        <v>9.272107765451663</v>
      </c>
      <c r="C5" s="134"/>
      <c r="E5" s="44" t="s">
        <v>67</v>
      </c>
      <c r="F5" s="41" t="s">
        <v>23</v>
      </c>
      <c r="G5" s="34">
        <v>461</v>
      </c>
      <c r="H5" s="107">
        <f>IF(B$47=0,0,G5/B$47)</f>
        <v>0.29214195183776931</v>
      </c>
      <c r="I5" s="68">
        <v>11</v>
      </c>
      <c r="K5" s="5">
        <v>3</v>
      </c>
      <c r="L5" s="73">
        <v>29.1</v>
      </c>
      <c r="N5" s="89" t="s">
        <v>129</v>
      </c>
      <c r="O5" s="96">
        <f t="shared" si="0"/>
        <v>1685.9582542694498</v>
      </c>
      <c r="P5" s="93">
        <v>527</v>
      </c>
      <c r="Q5" s="77">
        <v>888500</v>
      </c>
    </row>
    <row r="6" spans="1:17" x14ac:dyDescent="0.45">
      <c r="A6" s="37" t="s">
        <v>1</v>
      </c>
      <c r="B6" s="141">
        <f>IF(B$2=0,0,(B$7*1+B$8*2+B$9*3)/B$2)</f>
        <v>1.7670364500792393</v>
      </c>
      <c r="C6" s="142"/>
      <c r="E6" s="44" t="s">
        <v>68</v>
      </c>
      <c r="F6" s="41" t="s">
        <v>12</v>
      </c>
      <c r="G6" s="34">
        <v>450</v>
      </c>
      <c r="H6" s="107">
        <f>IF(B$47=0,0,G6/B$47)</f>
        <v>0.28517110266159695</v>
      </c>
      <c r="I6" s="68">
        <v>13</v>
      </c>
      <c r="K6" s="5">
        <v>4</v>
      </c>
      <c r="L6" s="73">
        <v>114.30000000000001</v>
      </c>
      <c r="N6" s="89" t="s">
        <v>130</v>
      </c>
      <c r="O6" s="96">
        <f t="shared" si="0"/>
        <v>1498.9384288747347</v>
      </c>
      <c r="P6" s="93">
        <v>471</v>
      </c>
      <c r="Q6" s="77">
        <v>706000</v>
      </c>
    </row>
    <row r="7" spans="1:17" x14ac:dyDescent="0.45">
      <c r="A7" s="37" t="s">
        <v>2</v>
      </c>
      <c r="B7" s="34">
        <v>291</v>
      </c>
      <c r="C7" s="31">
        <f t="shared" ref="C7:C10" si="1">IF(B$2=0,0,B7/B$2)</f>
        <v>0.46117274167987321</v>
      </c>
      <c r="E7" s="44" t="s">
        <v>157</v>
      </c>
      <c r="F7" s="41" t="s">
        <v>158</v>
      </c>
      <c r="G7" s="34">
        <v>405</v>
      </c>
      <c r="H7" s="107">
        <f>IF(B$47=0,0,G7/B$47)</f>
        <v>0.25665399239543724</v>
      </c>
      <c r="I7" s="68">
        <v>12</v>
      </c>
      <c r="K7" s="5">
        <v>5</v>
      </c>
      <c r="L7" s="73">
        <v>145.80000000000001</v>
      </c>
      <c r="N7" s="90" t="s">
        <v>131</v>
      </c>
      <c r="O7" s="97">
        <f t="shared" si="0"/>
        <v>1568.542199488491</v>
      </c>
      <c r="P7" s="94">
        <v>391</v>
      </c>
      <c r="Q7" s="78">
        <v>613300</v>
      </c>
    </row>
    <row r="8" spans="1:17" x14ac:dyDescent="0.45">
      <c r="A8" s="37" t="s">
        <v>3</v>
      </c>
      <c r="B8" s="34">
        <v>196</v>
      </c>
      <c r="C8" s="31">
        <f t="shared" si="1"/>
        <v>0.31061806656101426</v>
      </c>
      <c r="E8" s="44" t="s">
        <v>89</v>
      </c>
      <c r="F8" s="41" t="s">
        <v>44</v>
      </c>
      <c r="G8" s="34">
        <v>258</v>
      </c>
      <c r="H8" s="107">
        <f>IF(B$47=0,0,G8/B$47)</f>
        <v>0.1634980988593156</v>
      </c>
      <c r="I8" s="68">
        <v>5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144</v>
      </c>
      <c r="C9" s="7">
        <f t="shared" si="1"/>
        <v>0.22820919175911253</v>
      </c>
      <c r="E9" s="44" t="s">
        <v>69</v>
      </c>
      <c r="F9" s="41" t="s">
        <v>24</v>
      </c>
      <c r="G9" s="34">
        <v>236</v>
      </c>
      <c r="H9" s="107">
        <f>IF(B$47=0,0,G9/B$47)</f>
        <v>0.14955640050697086</v>
      </c>
      <c r="I9" s="68">
        <v>8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50</v>
      </c>
      <c r="C10" s="32">
        <f t="shared" si="1"/>
        <v>7.9239302694136288E-2</v>
      </c>
      <c r="E10" s="44" t="s">
        <v>65</v>
      </c>
      <c r="F10" s="41" t="s">
        <v>21</v>
      </c>
      <c r="G10" s="34">
        <v>189</v>
      </c>
      <c r="H10" s="107">
        <f>IF(B$47=0,0,G10/B$47)</f>
        <v>0.11977186311787072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13.491715976331363</v>
      </c>
      <c r="P10" s="92">
        <v>169</v>
      </c>
      <c r="Q10" s="80">
        <v>2280.1000000000004</v>
      </c>
    </row>
    <row r="11" spans="1:17" x14ac:dyDescent="0.45">
      <c r="A11" s="40" t="s">
        <v>121</v>
      </c>
      <c r="B11" s="16">
        <v>1333</v>
      </c>
      <c r="C11" s="11">
        <f>IF(B$46=0,0,B11/B$46)</f>
        <v>0.29277399516802111</v>
      </c>
      <c r="E11" s="44" t="s">
        <v>70</v>
      </c>
      <c r="F11" s="41" t="s">
        <v>25</v>
      </c>
      <c r="G11" s="34">
        <v>115</v>
      </c>
      <c r="H11" s="107">
        <f>IF(B$47=0,0,G11/B$47)</f>
        <v>7.2877059569074781E-2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6.3893939393939405</v>
      </c>
      <c r="P11" s="93">
        <v>198</v>
      </c>
      <c r="Q11" s="81">
        <v>1265.1000000000001</v>
      </c>
    </row>
    <row r="12" spans="1:17" x14ac:dyDescent="0.45">
      <c r="A12" s="37" t="s">
        <v>118</v>
      </c>
      <c r="B12" s="34">
        <v>996</v>
      </c>
      <c r="C12" s="31">
        <f>IF(B$46=0,0,B12/B$46)</f>
        <v>0.21875686360641336</v>
      </c>
      <c r="E12" s="44" t="s">
        <v>86</v>
      </c>
      <c r="F12" s="41" t="s">
        <v>41</v>
      </c>
      <c r="G12" s="34">
        <v>109</v>
      </c>
      <c r="H12" s="107">
        <f>IF(B$47=0,0,G12/B$47)</f>
        <v>6.9074778200253484E-2</v>
      </c>
      <c r="I12" s="68">
        <v>7</v>
      </c>
      <c r="K12" s="5">
        <v>10</v>
      </c>
      <c r="L12" s="73">
        <v>-16.799999999999983</v>
      </c>
      <c r="N12" s="90" t="s">
        <v>151</v>
      </c>
      <c r="O12" s="100">
        <f>IF(P12=0,0,Q12/P12)</f>
        <v>8.7275862068965537</v>
      </c>
      <c r="P12" s="94">
        <v>261</v>
      </c>
      <c r="Q12" s="82">
        <v>2277.9000000000005</v>
      </c>
    </row>
    <row r="13" spans="1:17" x14ac:dyDescent="0.45">
      <c r="A13" s="19" t="s">
        <v>123</v>
      </c>
      <c r="B13" s="13">
        <v>816</v>
      </c>
      <c r="C13" s="4">
        <f>IF(B$11=0,0,B13/B$11)</f>
        <v>0.61215303825956491</v>
      </c>
      <c r="E13" s="44" t="s">
        <v>71</v>
      </c>
      <c r="F13" s="41" t="s">
        <v>26</v>
      </c>
      <c r="G13" s="34">
        <v>101</v>
      </c>
      <c r="H13" s="107">
        <f>IF(B$47=0,0,G13/B$47)</f>
        <v>6.4005069708491763E-2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493</v>
      </c>
      <c r="C14" s="4">
        <f>IF(B$12=0,0,B14/B$12)</f>
        <v>0.49497991967871485</v>
      </c>
      <c r="E14" s="44" t="s">
        <v>83</v>
      </c>
      <c r="F14" s="41" t="s">
        <v>38</v>
      </c>
      <c r="G14" s="34">
        <v>69</v>
      </c>
      <c r="H14" s="107">
        <f>IF(B$47=0,0,G14/B$47)</f>
        <v>4.3726235741444866E-2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1734</v>
      </c>
      <c r="C15" s="4">
        <f>IF(B$3=0,0,B15/B$3)</f>
        <v>0.3461768816130964</v>
      </c>
      <c r="E15" s="44" t="s">
        <v>153</v>
      </c>
      <c r="F15" s="41" t="s">
        <v>154</v>
      </c>
      <c r="G15" s="34">
        <v>38</v>
      </c>
      <c r="H15" s="107">
        <f>IF(B$47=0,0,G15/B$47)</f>
        <v>2.4081115335868188E-2</v>
      </c>
      <c r="I15" s="68">
        <v>3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13</v>
      </c>
      <c r="B16" s="34">
        <v>710</v>
      </c>
      <c r="C16" s="31">
        <f>IF(B$3=0,0,B16/B$3)</f>
        <v>0.14174485925334399</v>
      </c>
      <c r="E16" s="44" t="s">
        <v>78</v>
      </c>
      <c r="F16" s="41" t="s">
        <v>33</v>
      </c>
      <c r="G16" s="34">
        <v>37</v>
      </c>
      <c r="H16" s="107">
        <f>IF(B$47=0,0,G16/B$47)</f>
        <v>2.3447401774397972E-2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37" t="s">
        <v>12</v>
      </c>
      <c r="B17" s="34">
        <v>703</v>
      </c>
      <c r="C17" s="31">
        <f>IF(B$15=0,0,B17/B$15)</f>
        <v>0.40542099192618225</v>
      </c>
      <c r="E17" s="44" t="s">
        <v>81</v>
      </c>
      <c r="F17" s="41" t="s">
        <v>36</v>
      </c>
      <c r="G17" s="34">
        <v>29</v>
      </c>
      <c r="H17" s="107">
        <f>IF(B$47=0,0,G17/B$47)</f>
        <v>1.8377693282636248E-2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37" t="s">
        <v>11</v>
      </c>
      <c r="B18" s="34">
        <v>1031</v>
      </c>
      <c r="C18" s="31">
        <f>IF(B$15=0,0,B18/B$15)</f>
        <v>0.59457900807381781</v>
      </c>
      <c r="E18" s="44" t="s">
        <v>91</v>
      </c>
      <c r="F18" s="41" t="s">
        <v>46</v>
      </c>
      <c r="G18" s="34">
        <v>26</v>
      </c>
      <c r="H18" s="107">
        <f>IF(B$47=0,0,G18/B$47)</f>
        <v>1.6476552598225603E-2</v>
      </c>
      <c r="I18" s="68">
        <v>9</v>
      </c>
      <c r="K18" s="5">
        <v>16</v>
      </c>
      <c r="L18" s="73">
        <v>-8.099999999999989</v>
      </c>
      <c r="N18" s="89" t="s">
        <v>186</v>
      </c>
      <c r="O18" s="99">
        <f>IF(P18=0,0,Q18/P18)</f>
        <v>29.822222222222223</v>
      </c>
      <c r="P18" s="93">
        <v>45</v>
      </c>
      <c r="Q18" s="81">
        <v>1342</v>
      </c>
    </row>
    <row r="19" spans="1:17" x14ac:dyDescent="0.45">
      <c r="A19" s="37" t="s">
        <v>180</v>
      </c>
      <c r="B19" s="34">
        <v>816</v>
      </c>
      <c r="C19" s="31">
        <f>IF(B$15=0,0,B19/B$15)</f>
        <v>0.47058823529411764</v>
      </c>
      <c r="E19" s="44" t="s">
        <v>79</v>
      </c>
      <c r="F19" s="41" t="s">
        <v>34</v>
      </c>
      <c r="G19" s="34">
        <v>16</v>
      </c>
      <c r="H19" s="107">
        <f>IF(B$47=0,0,G19/B$47)</f>
        <v>1.0139416983523447E-2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5">
      <c r="A20" s="37" t="s">
        <v>178</v>
      </c>
      <c r="B20" s="34">
        <v>493</v>
      </c>
      <c r="C20" s="31">
        <f>IF(B$15=0,0,B20/B$15)</f>
        <v>0.28431372549019607</v>
      </c>
      <c r="E20" s="44" t="s">
        <v>77</v>
      </c>
      <c r="F20" s="41" t="s">
        <v>32</v>
      </c>
      <c r="G20" s="34">
        <v>11</v>
      </c>
      <c r="H20" s="107">
        <f>IF(B$47=0,0,G20/B$47)</f>
        <v>6.9708491761723704E-3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27.288235294117644</v>
      </c>
      <c r="P20" s="93">
        <v>17</v>
      </c>
      <c r="Q20" s="81">
        <v>463.9</v>
      </c>
    </row>
    <row r="21" spans="1:17" x14ac:dyDescent="0.45">
      <c r="A21" s="37" t="s">
        <v>179</v>
      </c>
      <c r="B21" s="34">
        <v>425</v>
      </c>
      <c r="C21" s="31">
        <f>IF(B$15=0,0,B21/B$15)</f>
        <v>0.24509803921568626</v>
      </c>
      <c r="E21" s="44" t="s">
        <v>85</v>
      </c>
      <c r="F21" s="41" t="s">
        <v>40</v>
      </c>
      <c r="G21" s="34">
        <v>11</v>
      </c>
      <c r="H21" s="107">
        <f>IF(B$47=0,0,G21/B$47)</f>
        <v>6.9708491761723704E-3</v>
      </c>
      <c r="I21" s="68">
        <v>3</v>
      </c>
      <c r="K21" s="5">
        <v>19</v>
      </c>
      <c r="L21" s="73">
        <v>42.600000000000016</v>
      </c>
      <c r="N21" s="89" t="s">
        <v>189</v>
      </c>
      <c r="O21" s="99">
        <f>IF(P21=0,0,Q21/P21)</f>
        <v>22.633333333333329</v>
      </c>
      <c r="P21" s="93">
        <v>3</v>
      </c>
      <c r="Q21" s="81">
        <v>67.899999999999991</v>
      </c>
    </row>
    <row r="22" spans="1:17" x14ac:dyDescent="0.45">
      <c r="A22" s="37" t="s">
        <v>5</v>
      </c>
      <c r="B22" s="17">
        <f>IF(B$15=0,0,C22/B$15)</f>
        <v>9242.0415224913486</v>
      </c>
      <c r="C22" s="8">
        <v>16025700</v>
      </c>
      <c r="E22" s="44" t="s">
        <v>75</v>
      </c>
      <c r="F22" s="41" t="s">
        <v>30</v>
      </c>
      <c r="G22" s="34">
        <v>10</v>
      </c>
      <c r="H22" s="107">
        <f>IF(B$47=0,0,G22/B$47)</f>
        <v>6.3371356147021544E-3</v>
      </c>
      <c r="I22" s="68">
        <v>6</v>
      </c>
      <c r="K22" s="5">
        <v>20</v>
      </c>
      <c r="L22" s="73">
        <v>68.800000000000011</v>
      </c>
      <c r="N22" s="89" t="s">
        <v>188</v>
      </c>
      <c r="O22" s="99">
        <f>IF(P22=0,0,Q22/P22)</f>
        <v>19.494904458598725</v>
      </c>
      <c r="P22" s="93">
        <v>157</v>
      </c>
      <c r="Q22" s="81">
        <v>3060.7</v>
      </c>
    </row>
    <row r="23" spans="1:17" x14ac:dyDescent="0.45">
      <c r="A23" s="38" t="s">
        <v>162</v>
      </c>
      <c r="B23" s="114">
        <f>IF($B$15-B$14=0,0,C23/($B$15-B$14))</f>
        <v>9588.9605157131355</v>
      </c>
      <c r="C23" s="115">
        <v>11899900</v>
      </c>
      <c r="E23" s="44" t="s">
        <v>92</v>
      </c>
      <c r="F23" s="41" t="s">
        <v>47</v>
      </c>
      <c r="G23" s="34">
        <v>10</v>
      </c>
      <c r="H23" s="107">
        <f>IF(B$47=0,0,G23/B$47)</f>
        <v>6.3371356147021544E-3</v>
      </c>
      <c r="I23" s="68">
        <v>4</v>
      </c>
      <c r="K23" s="5">
        <v>21</v>
      </c>
      <c r="L23" s="73">
        <v>125.30000000000001</v>
      </c>
      <c r="N23" s="89" t="s">
        <v>187</v>
      </c>
      <c r="O23" s="99">
        <f>IF(P23=0,0,Q23/P23)</f>
        <v>19.270454545454548</v>
      </c>
      <c r="P23" s="93">
        <v>132</v>
      </c>
      <c r="Q23" s="81">
        <v>2543.7000000000003</v>
      </c>
    </row>
    <row r="24" spans="1:17" x14ac:dyDescent="0.45">
      <c r="A24" s="38" t="s">
        <v>163</v>
      </c>
      <c r="B24" s="114">
        <f>IF(B$14=0,0,C24/B$14)</f>
        <v>8368.7626774847868</v>
      </c>
      <c r="C24" s="115">
        <v>4125800</v>
      </c>
      <c r="E24" s="44" t="s">
        <v>73</v>
      </c>
      <c r="F24" s="41" t="s">
        <v>28</v>
      </c>
      <c r="G24" s="34">
        <v>7</v>
      </c>
      <c r="H24" s="107">
        <f>IF(B$47=0,0,G24/B$47)</f>
        <v>4.4359949302915083E-3</v>
      </c>
      <c r="I24" s="68">
        <v>9</v>
      </c>
      <c r="K24" s="5">
        <v>22</v>
      </c>
      <c r="L24" s="73">
        <v>99.800000000000011</v>
      </c>
      <c r="N24" s="89" t="s">
        <v>190</v>
      </c>
      <c r="O24" s="99">
        <f>IF(P24=0,0,Q24/P24)</f>
        <v>14.296167247386759</v>
      </c>
      <c r="P24" s="93">
        <v>287</v>
      </c>
      <c r="Q24" s="81">
        <v>4103</v>
      </c>
    </row>
    <row r="25" spans="1:17" x14ac:dyDescent="0.45">
      <c r="A25" s="38" t="s">
        <v>161</v>
      </c>
      <c r="B25" s="114">
        <f>IF(B$16=0,0,C25/B$16)</f>
        <v>-8494.5070422535209</v>
      </c>
      <c r="C25" s="115">
        <v>-6031100</v>
      </c>
      <c r="E25" s="44" t="s">
        <v>90</v>
      </c>
      <c r="F25" s="41" t="s">
        <v>45</v>
      </c>
      <c r="G25" s="34">
        <v>5</v>
      </c>
      <c r="H25" s="107">
        <f>IF(B$47=0,0,G25/B$47)</f>
        <v>3.1685678073510772E-3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12.986754966887419</v>
      </c>
      <c r="P25" s="93">
        <v>302</v>
      </c>
      <c r="Q25" s="81">
        <v>3922.0000000000009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74</v>
      </c>
      <c r="F26" s="41" t="s">
        <v>29</v>
      </c>
      <c r="G26" s="34">
        <v>4</v>
      </c>
      <c r="H26" s="107">
        <f>IF(B$47=0,0,G26/B$47)</f>
        <v>2.5348542458808617E-3</v>
      </c>
      <c r="I26" s="68">
        <v>8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7" t="s">
        <v>156</v>
      </c>
      <c r="B27" s="34">
        <v>43</v>
      </c>
      <c r="C27" s="109">
        <v>0</v>
      </c>
      <c r="E27" s="44" t="s">
        <v>84</v>
      </c>
      <c r="F27" s="41" t="s">
        <v>39</v>
      </c>
      <c r="G27" s="34">
        <v>4</v>
      </c>
      <c r="H27" s="107">
        <f>IF(B$47=0,0,G27/B$47)</f>
        <v>2.5348542458808617E-3</v>
      </c>
      <c r="I27" s="68">
        <v>5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64" t="s">
        <v>134</v>
      </c>
      <c r="B28" s="139">
        <v>10</v>
      </c>
      <c r="C28" s="140"/>
      <c r="E28" s="44" t="s">
        <v>88</v>
      </c>
      <c r="F28" s="41" t="s">
        <v>43</v>
      </c>
      <c r="G28" s="34">
        <v>4</v>
      </c>
      <c r="H28" s="107">
        <f>IF(B$47=0,0,G28/B$47)</f>
        <v>2.5348542458808617E-3</v>
      </c>
      <c r="I28" s="68">
        <v>2</v>
      </c>
      <c r="K28" s="5">
        <v>26</v>
      </c>
      <c r="L28" s="73">
        <v>108.20000000000002</v>
      </c>
      <c r="N28" s="89" t="s">
        <v>191</v>
      </c>
      <c r="O28" s="99">
        <f>IF(P28=0,0,Q28/P28)</f>
        <v>4.8185714285714285</v>
      </c>
      <c r="P28" s="93">
        <v>210</v>
      </c>
      <c r="Q28" s="81">
        <v>1011.9</v>
      </c>
    </row>
    <row r="29" spans="1:17" x14ac:dyDescent="0.45">
      <c r="A29" s="40" t="s">
        <v>177</v>
      </c>
      <c r="B29" s="137">
        <v>149100</v>
      </c>
      <c r="C29" s="138"/>
      <c r="E29" s="44" t="s">
        <v>95</v>
      </c>
      <c r="F29" s="41" t="s">
        <v>50</v>
      </c>
      <c r="G29" s="34">
        <v>4</v>
      </c>
      <c r="H29" s="107">
        <f>IF(B$47=0,0,G29/B$47)</f>
        <v>2.5348542458808617E-3</v>
      </c>
      <c r="I29" s="68">
        <v>2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9" t="s">
        <v>135</v>
      </c>
      <c r="B30" s="27">
        <v>4</v>
      </c>
      <c r="C30" s="32">
        <f>IF(B$3=0,0,B30/B$3)</f>
        <v>7.9856258734278297E-4</v>
      </c>
      <c r="E30" s="44" t="s">
        <v>87</v>
      </c>
      <c r="F30" s="41" t="s">
        <v>42</v>
      </c>
      <c r="G30" s="34">
        <v>3</v>
      </c>
      <c r="H30" s="107">
        <f>IF(B$47=0,0,G30/B$47)</f>
        <v>1.9011406844106464E-3</v>
      </c>
      <c r="I30" s="68">
        <v>6</v>
      </c>
      <c r="K30" s="5">
        <v>28</v>
      </c>
      <c r="L30" s="73">
        <v>129.20000000000002</v>
      </c>
    </row>
    <row r="31" spans="1:17" x14ac:dyDescent="0.45">
      <c r="E31" s="44" t="s">
        <v>93</v>
      </c>
      <c r="F31" s="41" t="s">
        <v>48</v>
      </c>
      <c r="G31" s="34">
        <v>3</v>
      </c>
      <c r="H31" s="107">
        <f>IF(B$47=0,0,G31/B$47)</f>
        <v>1.9011406844106464E-3</v>
      </c>
      <c r="I31" s="68">
        <v>6</v>
      </c>
      <c r="K31" s="5">
        <v>29</v>
      </c>
      <c r="L31" s="73">
        <v>120.80000000000001</v>
      </c>
    </row>
    <row r="32" spans="1:17" x14ac:dyDescent="0.45">
      <c r="A32" s="64" t="s">
        <v>168</v>
      </c>
      <c r="B32" s="121">
        <v>105</v>
      </c>
      <c r="C32" s="119">
        <f>IF(B$15=0,0,B32/B$15)</f>
        <v>6.0553633217993078E-2</v>
      </c>
      <c r="E32" s="44" t="s">
        <v>106</v>
      </c>
      <c r="F32" s="41" t="s">
        <v>113</v>
      </c>
      <c r="G32" s="34">
        <v>2</v>
      </c>
      <c r="H32" s="107">
        <f>IF(B$47=0,0,G32/B$47)</f>
        <v>1.2674271229404308E-3</v>
      </c>
      <c r="I32" s="68">
        <v>2</v>
      </c>
      <c r="K32" s="5">
        <v>30</v>
      </c>
      <c r="L32" s="73">
        <v>174.10000000000002</v>
      </c>
    </row>
    <row r="33" spans="1:12" x14ac:dyDescent="0.45">
      <c r="A33" s="37" t="s">
        <v>164</v>
      </c>
      <c r="B33" s="34">
        <v>216</v>
      </c>
      <c r="C33" s="31">
        <f t="shared" ref="C33:C44" si="2">IF(B$15=0,0,B33/B$15)</f>
        <v>0.1245674740484429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160.10000000000002</v>
      </c>
    </row>
    <row r="34" spans="1:12" x14ac:dyDescent="0.45">
      <c r="A34" s="37" t="s">
        <v>165</v>
      </c>
      <c r="B34" s="124">
        <v>302</v>
      </c>
      <c r="C34" s="31">
        <f>IF(B$15=0,0,B34/B$15)</f>
        <v>0.17416378316032297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220.8</v>
      </c>
    </row>
    <row r="35" spans="1:12" x14ac:dyDescent="0.45">
      <c r="A35" s="37" t="s">
        <v>166</v>
      </c>
      <c r="B35" s="124">
        <v>315</v>
      </c>
      <c r="C35" s="31">
        <f t="shared" si="2"/>
        <v>0.18166089965397925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37" t="s">
        <v>167</v>
      </c>
      <c r="B36" s="124">
        <v>231</v>
      </c>
      <c r="C36" s="31">
        <f t="shared" si="2"/>
        <v>0.13321799307958476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169</v>
      </c>
      <c r="B37" s="124">
        <v>170</v>
      </c>
      <c r="C37" s="31">
        <f t="shared" si="2"/>
        <v>9.8039215686274508E-2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170</v>
      </c>
      <c r="B38" s="124">
        <v>110</v>
      </c>
      <c r="C38" s="31">
        <f t="shared" si="2"/>
        <v>6.3437139561707032E-2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171</v>
      </c>
      <c r="B39" s="124">
        <v>49</v>
      </c>
      <c r="C39" s="31">
        <f t="shared" si="2"/>
        <v>2.8258362168396771E-2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172</v>
      </c>
      <c r="B40" s="124">
        <v>33</v>
      </c>
      <c r="C40" s="31">
        <f t="shared" si="2"/>
        <v>1.9031141868512111E-2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173</v>
      </c>
      <c r="B41" s="124">
        <v>12</v>
      </c>
      <c r="C41" s="31">
        <f t="shared" si="2"/>
        <v>6.920415224913495E-3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174</v>
      </c>
      <c r="B42" s="124">
        <v>8</v>
      </c>
      <c r="C42" s="31">
        <f t="shared" si="2"/>
        <v>4.61361014994233E-3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175</v>
      </c>
      <c r="B43" s="124">
        <v>3</v>
      </c>
      <c r="C43" s="31">
        <f t="shared" si="2"/>
        <v>1.7301038062283738E-3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9" t="s">
        <v>176</v>
      </c>
      <c r="B44" s="120">
        <v>24</v>
      </c>
      <c r="C44" s="32">
        <f t="shared" si="2"/>
        <v>1.384083044982699E-2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64" t="s">
        <v>181</v>
      </c>
      <c r="B46" s="127">
        <v>4553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9" t="s">
        <v>182</v>
      </c>
      <c r="B47" s="135">
        <v>1578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152.10000000000005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121.00000000000006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137.20000000000005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132.30000000000004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145.10000000000005</v>
      </c>
    </row>
    <row r="53" spans="5:12" x14ac:dyDescent="0.45">
      <c r="K53" s="5">
        <v>51</v>
      </c>
      <c r="L53" s="73">
        <v>145.80000000000004</v>
      </c>
    </row>
    <row r="54" spans="5:12" x14ac:dyDescent="0.45">
      <c r="K54" s="5">
        <v>52</v>
      </c>
      <c r="L54" s="73">
        <v>139.10000000000005</v>
      </c>
    </row>
    <row r="55" spans="5:12" x14ac:dyDescent="0.45">
      <c r="K55" s="5">
        <v>53</v>
      </c>
      <c r="L55" s="73">
        <v>111.10000000000005</v>
      </c>
    </row>
    <row r="56" spans="5:12" x14ac:dyDescent="0.45">
      <c r="K56" s="5">
        <v>54</v>
      </c>
      <c r="L56" s="73">
        <v>127.80000000000005</v>
      </c>
    </row>
    <row r="57" spans="5:12" x14ac:dyDescent="0.45">
      <c r="K57" s="5">
        <v>55</v>
      </c>
      <c r="L57" s="73">
        <v>120.80000000000005</v>
      </c>
    </row>
    <row r="58" spans="5:12" x14ac:dyDescent="0.45">
      <c r="K58" s="5">
        <v>56</v>
      </c>
      <c r="L58" s="73">
        <v>152.40000000000006</v>
      </c>
    </row>
    <row r="59" spans="5:12" x14ac:dyDescent="0.45">
      <c r="K59" s="5">
        <v>57</v>
      </c>
      <c r="L59" s="73">
        <v>168.20000000000007</v>
      </c>
    </row>
    <row r="60" spans="5:12" x14ac:dyDescent="0.45">
      <c r="K60" s="5">
        <v>58</v>
      </c>
      <c r="L60" s="73">
        <v>225.20000000000007</v>
      </c>
    </row>
    <row r="61" spans="5:12" x14ac:dyDescent="0.45">
      <c r="K61" s="5">
        <v>59</v>
      </c>
      <c r="L61" s="73">
        <v>230.50000000000009</v>
      </c>
    </row>
    <row r="62" spans="5:12" x14ac:dyDescent="0.45">
      <c r="K62" s="5">
        <v>60</v>
      </c>
      <c r="L62" s="73">
        <v>184.40000000000009</v>
      </c>
    </row>
    <row r="63" spans="5:12" x14ac:dyDescent="0.45">
      <c r="K63" s="5">
        <v>61</v>
      </c>
      <c r="L63" s="73">
        <v>205.50000000000009</v>
      </c>
    </row>
    <row r="64" spans="5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</sheetData>
  <sortState xmlns:xlrd2="http://schemas.microsoft.com/office/spreadsheetml/2017/richdata2" ref="N15:Q2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E1E5D-45AB-4DE4-9604-A6B3898EF907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184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29">
        <v>25</v>
      </c>
      <c r="C3" s="130"/>
      <c r="E3" s="44" t="s">
        <v>65</v>
      </c>
      <c r="F3" s="41" t="s">
        <v>21</v>
      </c>
      <c r="G3" s="34">
        <v>0</v>
      </c>
      <c r="H3" s="107">
        <f>IF(B$47=0,0,G3/B$47)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1">
        <v>-132.1</v>
      </c>
      <c r="C4" s="132"/>
      <c r="E4" s="44" t="s">
        <v>66</v>
      </c>
      <c r="F4" s="41" t="s">
        <v>22</v>
      </c>
      <c r="G4" s="34">
        <v>0</v>
      </c>
      <c r="H4" s="107">
        <f>IF(B$47=0,0,G4/B$47)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3">
        <f>IF(B$2=0,0,B$4/B$2)</f>
        <v>-33.024999999999999</v>
      </c>
      <c r="C5" s="134"/>
      <c r="E5" s="44" t="s">
        <v>67</v>
      </c>
      <c r="F5" s="41" t="s">
        <v>23</v>
      </c>
      <c r="G5" s="34">
        <v>0</v>
      </c>
      <c r="H5" s="107">
        <f>IF(B$47=0,0,G5/B$47)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41">
        <f>IF(B$2=0,0,(B$7*1+B$8*2+B$9*3)/B$2)</f>
        <v>3</v>
      </c>
      <c r="C6" s="142"/>
      <c r="E6" s="44" t="s">
        <v>68</v>
      </c>
      <c r="F6" s="41" t="s">
        <v>12</v>
      </c>
      <c r="G6" s="34">
        <v>0</v>
      </c>
      <c r="H6" s="107">
        <f>IF(B$47=0,0,G6/B$47)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69</v>
      </c>
      <c r="F7" s="41" t="s">
        <v>24</v>
      </c>
      <c r="G7" s="34">
        <v>0</v>
      </c>
      <c r="H7" s="107">
        <f>IF(B$47=0,0,G7/B$47)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IF(B$47=0,0,G8/B$47)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IF(B$47=0,0,G9/B$47)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0.5</v>
      </c>
      <c r="E10" s="44" t="s">
        <v>72</v>
      </c>
      <c r="F10" s="41" t="s">
        <v>27</v>
      </c>
      <c r="G10" s="34">
        <v>0</v>
      </c>
      <c r="H10" s="107">
        <f>IF(B$47=0,0,G10/B$47)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40" t="s">
        <v>121</v>
      </c>
      <c r="B11" s="16">
        <v>0</v>
      </c>
      <c r="C11" s="11">
        <f>IF(B$46=0,0,B11/B$46)</f>
        <v>0</v>
      </c>
      <c r="E11" s="44" t="s">
        <v>73</v>
      </c>
      <c r="F11" s="41" t="s">
        <v>28</v>
      </c>
      <c r="G11" s="34">
        <v>0</v>
      </c>
      <c r="H11" s="107">
        <f>IF(B$47=0,0,G11/B$47)</f>
        <v>0</v>
      </c>
      <c r="I11" s="68">
        <v>11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7" t="s">
        <v>118</v>
      </c>
      <c r="B12" s="34">
        <v>0</v>
      </c>
      <c r="C12" s="31">
        <f>IF(B$46=0,0,B12/B$46)</f>
        <v>0</v>
      </c>
      <c r="E12" s="44" t="s">
        <v>74</v>
      </c>
      <c r="F12" s="41" t="s">
        <v>29</v>
      </c>
      <c r="G12" s="34">
        <v>0</v>
      </c>
      <c r="H12" s="107">
        <f>IF(B$47=0,0,G12/B$47)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41" t="s">
        <v>30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41" t="s">
        <v>31</v>
      </c>
      <c r="G14" s="34">
        <v>0</v>
      </c>
      <c r="H14" s="107">
        <f>IF(B$47=0,0,G14/B$47)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</v>
      </c>
      <c r="C15" s="4">
        <f>IF(B$3=0,0,B15/B$3)</f>
        <v>0.04</v>
      </c>
      <c r="E15" s="44" t="s">
        <v>77</v>
      </c>
      <c r="F15" s="41" t="s">
        <v>32</v>
      </c>
      <c r="G15" s="34">
        <v>0</v>
      </c>
      <c r="H15" s="107">
        <f>IF(B$47=0,0,G15/B$47)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13</v>
      </c>
      <c r="B16" s="34">
        <v>10</v>
      </c>
      <c r="C16" s="31">
        <f>IF(B$3=0,0,B16/B$3)</f>
        <v>0.4</v>
      </c>
      <c r="E16" s="44" t="s">
        <v>78</v>
      </c>
      <c r="F16" s="41" t="s">
        <v>33</v>
      </c>
      <c r="G16" s="34">
        <v>0</v>
      </c>
      <c r="H16" s="107">
        <f>IF(B$47=0,0,G16/B$47)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37" t="s">
        <v>12</v>
      </c>
      <c r="B17" s="34">
        <v>1</v>
      </c>
      <c r="C17" s="31">
        <f>IF(B$15=0,0,B17/B$15)</f>
        <v>1</v>
      </c>
      <c r="E17" s="44" t="s">
        <v>79</v>
      </c>
      <c r="F17" s="41" t="s">
        <v>34</v>
      </c>
      <c r="G17" s="34">
        <v>0</v>
      </c>
      <c r="H17" s="107">
        <f>IF(B$47=0,0,G17/B$47)</f>
        <v>0</v>
      </c>
      <c r="I17" s="68">
        <v>14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37" t="s">
        <v>11</v>
      </c>
      <c r="B18" s="34">
        <v>0</v>
      </c>
      <c r="C18" s="31">
        <f>IF(B$15=0,0,B18/B$15)</f>
        <v>0</v>
      </c>
      <c r="E18" s="44" t="s">
        <v>80</v>
      </c>
      <c r="F18" s="41" t="s">
        <v>35</v>
      </c>
      <c r="G18" s="34">
        <v>0</v>
      </c>
      <c r="H18" s="107">
        <f>IF(B$47=0,0,G18/B$47)</f>
        <v>0</v>
      </c>
      <c r="I18" s="68">
        <v>3</v>
      </c>
    </row>
    <row r="19" spans="1:17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41" t="s">
        <v>36</v>
      </c>
      <c r="G19" s="34">
        <v>0</v>
      </c>
      <c r="H19" s="107">
        <f>IF(B$47=0,0,G19/B$47)</f>
        <v>0</v>
      </c>
      <c r="I19" s="68">
        <v>15</v>
      </c>
    </row>
    <row r="20" spans="1:17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41" t="s">
        <v>37</v>
      </c>
      <c r="G20" s="34">
        <v>0</v>
      </c>
      <c r="H20" s="107">
        <f>IF(B$47=0,0,G20/B$47)</f>
        <v>0</v>
      </c>
      <c r="I20" s="68">
        <v>1</v>
      </c>
    </row>
    <row r="21" spans="1:17" x14ac:dyDescent="0.45">
      <c r="A21" s="37" t="s">
        <v>179</v>
      </c>
      <c r="B21" s="34">
        <v>1</v>
      </c>
      <c r="C21" s="31">
        <f>IF(B$15=0,0,B21/B$15)</f>
        <v>1</v>
      </c>
      <c r="E21" s="44" t="s">
        <v>83</v>
      </c>
      <c r="F21" s="41" t="s">
        <v>38</v>
      </c>
      <c r="G21" s="34">
        <v>0</v>
      </c>
      <c r="H21" s="107">
        <f>IF(B$47=0,0,G21/B$47)</f>
        <v>0</v>
      </c>
      <c r="I21" s="68">
        <v>15</v>
      </c>
    </row>
    <row r="22" spans="1:17" x14ac:dyDescent="0.45">
      <c r="A22" s="37" t="s">
        <v>5</v>
      </c>
      <c r="B22" s="17">
        <f>IF(B$15=0,0,C22/B$15)</f>
        <v>7800</v>
      </c>
      <c r="C22" s="8">
        <v>7800</v>
      </c>
      <c r="E22" s="44" t="s">
        <v>84</v>
      </c>
      <c r="F22" s="41" t="s">
        <v>39</v>
      </c>
      <c r="G22" s="34">
        <v>0</v>
      </c>
      <c r="H22" s="107">
        <f>IF(B$47=0,0,G22/B$47)</f>
        <v>0</v>
      </c>
      <c r="I22" s="68">
        <v>7</v>
      </c>
    </row>
    <row r="23" spans="1:17" x14ac:dyDescent="0.45">
      <c r="A23" s="38" t="s">
        <v>162</v>
      </c>
      <c r="B23" s="114">
        <f>IF($B$15-B$14=0,0,C23/($B$15-B$14))</f>
        <v>7800</v>
      </c>
      <c r="C23" s="115">
        <v>7800</v>
      </c>
      <c r="E23" s="44" t="s">
        <v>85</v>
      </c>
      <c r="F23" s="41" t="s">
        <v>40</v>
      </c>
      <c r="G23" s="34">
        <v>0</v>
      </c>
      <c r="H23" s="107">
        <f>IF(B$47=0,0,G23/B$47)</f>
        <v>0</v>
      </c>
      <c r="I23" s="68">
        <v>9</v>
      </c>
    </row>
    <row r="24" spans="1:17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41" t="s">
        <v>41</v>
      </c>
      <c r="G24" s="34">
        <v>0</v>
      </c>
      <c r="H24" s="107">
        <f>IF(B$47=0,0,G24/B$47)</f>
        <v>0</v>
      </c>
      <c r="I24" s="68">
        <v>17</v>
      </c>
    </row>
    <row r="25" spans="1:17" x14ac:dyDescent="0.45">
      <c r="A25" s="38" t="s">
        <v>161</v>
      </c>
      <c r="B25" s="114">
        <f>IF(B$16=0,0,C25/B$16)</f>
        <v>-8240</v>
      </c>
      <c r="C25" s="115">
        <v>-82400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10</v>
      </c>
    </row>
    <row r="26" spans="1:17" x14ac:dyDescent="0.45">
      <c r="A26" s="37" t="s">
        <v>155</v>
      </c>
      <c r="B26" s="34">
        <v>1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4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18</v>
      </c>
    </row>
    <row r="28" spans="1:17" x14ac:dyDescent="0.45">
      <c r="A28" s="64" t="s">
        <v>134</v>
      </c>
      <c r="B28" s="139">
        <v>0</v>
      </c>
      <c r="C28" s="140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37">
        <v>13000</v>
      </c>
      <c r="C29" s="138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14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4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4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4">
        <v>0</v>
      </c>
      <c r="C36" s="31">
        <f t="shared" si="2"/>
        <v>0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4">
        <v>0</v>
      </c>
      <c r="C37" s="31">
        <f t="shared" si="2"/>
        <v>0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0</v>
      </c>
      <c r="C47" s="13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10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C90E-8E72-493B-B973-CC14A32A294D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189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14</v>
      </c>
      <c r="C2" s="128"/>
      <c r="E2" s="43" t="s">
        <v>64</v>
      </c>
      <c r="F2" s="25" t="s">
        <v>20</v>
      </c>
      <c r="G2" s="13">
        <v>24</v>
      </c>
      <c r="H2" s="106">
        <f>IF(B$47=0,0,G2/B$47)</f>
        <v>0.63157894736842102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-2514.2857142857142</v>
      </c>
      <c r="P2" s="92">
        <v>14</v>
      </c>
      <c r="Q2" s="76">
        <v>-35200</v>
      </c>
    </row>
    <row r="3" spans="1:17" x14ac:dyDescent="0.45">
      <c r="A3" s="37" t="s">
        <v>8</v>
      </c>
      <c r="B3" s="129">
        <v>114</v>
      </c>
      <c r="C3" s="130"/>
      <c r="E3" s="44" t="s">
        <v>66</v>
      </c>
      <c r="F3" s="41" t="s">
        <v>22</v>
      </c>
      <c r="G3" s="34">
        <v>24</v>
      </c>
      <c r="H3" s="107">
        <f>IF(B$47=0,0,G3/B$47)</f>
        <v>0.63157894736842102</v>
      </c>
      <c r="I3" s="68">
        <v>12</v>
      </c>
      <c r="K3" s="5">
        <v>1</v>
      </c>
      <c r="L3" s="73">
        <v>7</v>
      </c>
      <c r="N3" s="89" t="s">
        <v>127</v>
      </c>
      <c r="O3" s="96">
        <f t="shared" si="0"/>
        <v>-438.46153846153845</v>
      </c>
      <c r="P3" s="93">
        <v>13</v>
      </c>
      <c r="Q3" s="77">
        <v>-5700</v>
      </c>
    </row>
    <row r="4" spans="1:17" x14ac:dyDescent="0.45">
      <c r="A4" s="37" t="s">
        <v>6</v>
      </c>
      <c r="B4" s="131">
        <v>70.599999999999994</v>
      </c>
      <c r="C4" s="132"/>
      <c r="E4" s="44" t="s">
        <v>72</v>
      </c>
      <c r="F4" s="41" t="s">
        <v>27</v>
      </c>
      <c r="G4" s="34">
        <v>19</v>
      </c>
      <c r="H4" s="107">
        <f>IF(B$47=0,0,G4/B$47)</f>
        <v>0.5</v>
      </c>
      <c r="I4" s="68">
        <v>13</v>
      </c>
      <c r="K4" s="5">
        <v>2</v>
      </c>
      <c r="L4" s="73">
        <v>-24.5</v>
      </c>
      <c r="N4" s="89" t="s">
        <v>128</v>
      </c>
      <c r="O4" s="96">
        <f t="shared" si="0"/>
        <v>-1423.0769230769231</v>
      </c>
      <c r="P4" s="93">
        <v>13</v>
      </c>
      <c r="Q4" s="77">
        <v>-18500</v>
      </c>
    </row>
    <row r="5" spans="1:17" x14ac:dyDescent="0.45">
      <c r="A5" s="37" t="s">
        <v>7</v>
      </c>
      <c r="B5" s="133">
        <f>IF(B$2=0,0,B$4/B$2)</f>
        <v>5.0428571428571427</v>
      </c>
      <c r="C5" s="134"/>
      <c r="E5" s="44" t="s">
        <v>67</v>
      </c>
      <c r="F5" s="41" t="s">
        <v>23</v>
      </c>
      <c r="G5" s="34">
        <v>15</v>
      </c>
      <c r="H5" s="107">
        <f>IF(B$47=0,0,G5/B$47)</f>
        <v>0.39473684210526316</v>
      </c>
      <c r="I5" s="68">
        <v>4</v>
      </c>
      <c r="K5" s="5">
        <v>3</v>
      </c>
      <c r="L5" s="73">
        <v>-26.5</v>
      </c>
      <c r="N5" s="89" t="s">
        <v>129</v>
      </c>
      <c r="O5" s="96">
        <f t="shared" si="0"/>
        <v>2258.3333333333335</v>
      </c>
      <c r="P5" s="93">
        <v>12</v>
      </c>
      <c r="Q5" s="77">
        <v>27100</v>
      </c>
    </row>
    <row r="6" spans="1:17" x14ac:dyDescent="0.45">
      <c r="A6" s="37" t="s">
        <v>1</v>
      </c>
      <c r="B6" s="141">
        <f>IF(B$2=0,0,(B$7*1+B$8*2+B$9*3)/B$2)</f>
        <v>1.7857142857142858</v>
      </c>
      <c r="C6" s="142"/>
      <c r="E6" s="44" t="s">
        <v>68</v>
      </c>
      <c r="F6" s="41" t="s">
        <v>12</v>
      </c>
      <c r="G6" s="34">
        <v>13</v>
      </c>
      <c r="H6" s="107">
        <f>IF(B$47=0,0,G6/B$47)</f>
        <v>0.34210526315789475</v>
      </c>
      <c r="I6" s="68">
        <v>5</v>
      </c>
      <c r="K6" s="5">
        <v>4</v>
      </c>
      <c r="L6" s="73">
        <v>-15.5</v>
      </c>
      <c r="N6" s="89" t="s">
        <v>130</v>
      </c>
      <c r="O6" s="96">
        <f t="shared" si="0"/>
        <v>4909.090909090909</v>
      </c>
      <c r="P6" s="93">
        <v>11</v>
      </c>
      <c r="Q6" s="77">
        <v>54000</v>
      </c>
    </row>
    <row r="7" spans="1:17" x14ac:dyDescent="0.45">
      <c r="A7" s="37" t="s">
        <v>2</v>
      </c>
      <c r="B7" s="34">
        <v>6</v>
      </c>
      <c r="C7" s="31">
        <f t="shared" ref="C7:C10" si="1">IF(B$2=0,0,B7/B$2)</f>
        <v>0.42857142857142855</v>
      </c>
      <c r="E7" s="44" t="s">
        <v>157</v>
      </c>
      <c r="F7" s="41" t="s">
        <v>158</v>
      </c>
      <c r="G7" s="34">
        <v>9</v>
      </c>
      <c r="H7" s="107">
        <f>IF(B$47=0,0,G7/B$47)</f>
        <v>0.23684210526315788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355.55555555555554</v>
      </c>
      <c r="P7" s="94">
        <v>9</v>
      </c>
      <c r="Q7" s="78">
        <v>3200</v>
      </c>
    </row>
    <row r="8" spans="1:17" x14ac:dyDescent="0.45">
      <c r="A8" s="37" t="s">
        <v>3</v>
      </c>
      <c r="B8" s="34">
        <v>5</v>
      </c>
      <c r="C8" s="31">
        <f t="shared" si="1"/>
        <v>0.35714285714285715</v>
      </c>
      <c r="E8" s="44" t="s">
        <v>65</v>
      </c>
      <c r="F8" s="41" t="s">
        <v>21</v>
      </c>
      <c r="G8" s="34">
        <v>6</v>
      </c>
      <c r="H8" s="107">
        <f>IF(B$47=0,0,G8/B$47)</f>
        <v>0.15789473684210525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3</v>
      </c>
      <c r="C9" s="7">
        <f t="shared" si="1"/>
        <v>0.21428571428571427</v>
      </c>
      <c r="E9" s="44" t="s">
        <v>89</v>
      </c>
      <c r="F9" s="41" t="s">
        <v>44</v>
      </c>
      <c r="G9" s="34">
        <v>5</v>
      </c>
      <c r="H9" s="107">
        <f>IF(B$47=0,0,G9/B$47)</f>
        <v>0.13157894736842105</v>
      </c>
      <c r="I9" s="68">
        <v>10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7.1428571428571425E-2</v>
      </c>
      <c r="E10" s="44" t="s">
        <v>69</v>
      </c>
      <c r="F10" s="41" t="s">
        <v>24</v>
      </c>
      <c r="G10" s="34">
        <v>4</v>
      </c>
      <c r="H10" s="107">
        <f>IF(B$47=0,0,G10/B$47)</f>
        <v>0.10526315789473684</v>
      </c>
      <c r="I10" s="68">
        <v>16</v>
      </c>
      <c r="K10" s="5">
        <v>8</v>
      </c>
      <c r="L10" s="73">
        <v>37.6</v>
      </c>
      <c r="N10" s="88" t="s">
        <v>149</v>
      </c>
      <c r="O10" s="98">
        <f>IF(P10=0,0,Q10/P10)</f>
        <v>1.3999999999999995</v>
      </c>
      <c r="P10" s="92">
        <v>2</v>
      </c>
      <c r="Q10" s="80">
        <v>2.7999999999999989</v>
      </c>
    </row>
    <row r="11" spans="1:17" x14ac:dyDescent="0.45">
      <c r="A11" s="40" t="s">
        <v>121</v>
      </c>
      <c r="B11" s="16">
        <v>40</v>
      </c>
      <c r="C11" s="11">
        <f>IF(B$46=0,0,B11/B$46)</f>
        <v>0.3669724770642202</v>
      </c>
      <c r="E11" s="44" t="s">
        <v>70</v>
      </c>
      <c r="F11" s="41" t="s">
        <v>25</v>
      </c>
      <c r="G11" s="34">
        <v>3</v>
      </c>
      <c r="H11" s="107">
        <f>IF(B$47=0,0,G11/B$47)</f>
        <v>7.8947368421052627E-2</v>
      </c>
      <c r="I11" s="68">
        <v>13</v>
      </c>
      <c r="K11" s="5">
        <v>9</v>
      </c>
      <c r="L11" s="73">
        <v>13.100000000000001</v>
      </c>
      <c r="N11" s="89" t="s">
        <v>150</v>
      </c>
      <c r="O11" s="99">
        <f>IF(P11=0,0,Q11/P11)</f>
        <v>3.4625000000000004</v>
      </c>
      <c r="P11" s="93">
        <v>8</v>
      </c>
      <c r="Q11" s="81">
        <v>27.700000000000003</v>
      </c>
    </row>
    <row r="12" spans="1:17" x14ac:dyDescent="0.45">
      <c r="A12" s="37" t="s">
        <v>118</v>
      </c>
      <c r="B12" s="34">
        <v>13</v>
      </c>
      <c r="C12" s="31">
        <f>IF(B$46=0,0,B12/B$46)</f>
        <v>0.11926605504587157</v>
      </c>
      <c r="E12" s="44" t="s">
        <v>83</v>
      </c>
      <c r="F12" s="41" t="s">
        <v>38</v>
      </c>
      <c r="G12" s="34">
        <v>3</v>
      </c>
      <c r="H12" s="107">
        <f>IF(B$47=0,0,G12/B$47)</f>
        <v>7.8947368421052627E-2</v>
      </c>
      <c r="I12" s="68">
        <v>3</v>
      </c>
      <c r="K12" s="5">
        <v>10</v>
      </c>
      <c r="L12" s="73">
        <v>-33.299999999999997</v>
      </c>
      <c r="N12" s="90" t="s">
        <v>151</v>
      </c>
      <c r="O12" s="100">
        <f>IF(P12=0,0,Q12/P12)</f>
        <v>10.024999999999999</v>
      </c>
      <c r="P12" s="94">
        <v>4</v>
      </c>
      <c r="Q12" s="82">
        <v>40.099999999999994</v>
      </c>
    </row>
    <row r="13" spans="1:17" x14ac:dyDescent="0.45">
      <c r="A13" s="19" t="s">
        <v>123</v>
      </c>
      <c r="B13" s="13">
        <v>23</v>
      </c>
      <c r="C13" s="4">
        <f>IF(B$11=0,0,B13/B$11)</f>
        <v>0.57499999999999996</v>
      </c>
      <c r="E13" s="44" t="s">
        <v>71</v>
      </c>
      <c r="F13" s="41" t="s">
        <v>26</v>
      </c>
      <c r="G13" s="34">
        <v>2</v>
      </c>
      <c r="H13" s="107">
        <f>IF(B$47=0,0,G13/B$47)</f>
        <v>5.2631578947368418E-2</v>
      </c>
      <c r="I13" s="68">
        <v>11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10</v>
      </c>
      <c r="C14" s="4">
        <f>IF(B$12=0,0,B14/B$12)</f>
        <v>0.76923076923076927</v>
      </c>
      <c r="E14" s="44" t="s">
        <v>85</v>
      </c>
      <c r="F14" s="41" t="s">
        <v>40</v>
      </c>
      <c r="G14" s="34">
        <v>2</v>
      </c>
      <c r="H14" s="107">
        <f>IF(B$47=0,0,G14/B$47)</f>
        <v>5.2631578947368418E-2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40</v>
      </c>
      <c r="C15" s="4">
        <f>IF(B$3=0,0,B15/B$3)</f>
        <v>0.35087719298245612</v>
      </c>
      <c r="E15" s="44" t="s">
        <v>86</v>
      </c>
      <c r="F15" s="41" t="s">
        <v>41</v>
      </c>
      <c r="G15" s="34">
        <v>2</v>
      </c>
      <c r="H15" s="107">
        <f>IF(B$47=0,0,G15/B$47)</f>
        <v>5.2631578947368418E-2</v>
      </c>
      <c r="I15" s="68">
        <v>13</v>
      </c>
      <c r="K15" s="5">
        <v>13</v>
      </c>
      <c r="L15" s="73">
        <v>64.199999999999989</v>
      </c>
      <c r="N15" s="88" t="s">
        <v>186</v>
      </c>
      <c r="O15" s="98">
        <f>IF(P15=0,0,Q15/P15)</f>
        <v>58.099999999999994</v>
      </c>
      <c r="P15" s="92">
        <v>1</v>
      </c>
      <c r="Q15" s="80">
        <v>58.099999999999994</v>
      </c>
    </row>
    <row r="16" spans="1:17" x14ac:dyDescent="0.45">
      <c r="A16" s="37" t="s">
        <v>13</v>
      </c>
      <c r="B16" s="34">
        <v>15</v>
      </c>
      <c r="C16" s="31">
        <f>IF(B$3=0,0,B16/B$3)</f>
        <v>0.13157894736842105</v>
      </c>
      <c r="E16" s="44" t="s">
        <v>75</v>
      </c>
      <c r="F16" s="41" t="s">
        <v>30</v>
      </c>
      <c r="G16" s="34">
        <v>1</v>
      </c>
      <c r="H16" s="107">
        <f>IF(B$47=0,0,G16/B$47)</f>
        <v>2.6315789473684209E-2</v>
      </c>
      <c r="I16" s="68">
        <v>1</v>
      </c>
      <c r="K16" s="5">
        <v>14</v>
      </c>
      <c r="L16" s="73">
        <v>70.599999999999994</v>
      </c>
      <c r="N16" s="89" t="s">
        <v>187</v>
      </c>
      <c r="O16" s="99">
        <f>IF(P16=0,0,Q16/P16)</f>
        <v>38.25</v>
      </c>
      <c r="P16" s="93">
        <v>2</v>
      </c>
      <c r="Q16" s="81">
        <v>76.5</v>
      </c>
    </row>
    <row r="17" spans="1:17" x14ac:dyDescent="0.45">
      <c r="A17" s="37" t="s">
        <v>12</v>
      </c>
      <c r="B17" s="34">
        <v>18</v>
      </c>
      <c r="C17" s="31">
        <f>IF(B$15=0,0,B17/B$15)</f>
        <v>0.45</v>
      </c>
      <c r="E17" s="44" t="s">
        <v>79</v>
      </c>
      <c r="F17" s="41" t="s">
        <v>34</v>
      </c>
      <c r="G17" s="34">
        <v>1</v>
      </c>
      <c r="H17" s="107">
        <f>IF(B$47=0,0,G17/B$47)</f>
        <v>2.6315789473684209E-2</v>
      </c>
      <c r="I17" s="68">
        <v>3</v>
      </c>
      <c r="N17" s="89" t="s">
        <v>184</v>
      </c>
      <c r="O17" s="99">
        <f>IF(P17=0,0,Q17/P17)</f>
        <v>29</v>
      </c>
      <c r="P17" s="93">
        <v>1</v>
      </c>
      <c r="Q17" s="81">
        <v>29</v>
      </c>
    </row>
    <row r="18" spans="1:17" x14ac:dyDescent="0.45">
      <c r="A18" s="37" t="s">
        <v>11</v>
      </c>
      <c r="B18" s="34">
        <v>22</v>
      </c>
      <c r="C18" s="31">
        <f>IF(B$15=0,0,B18/B$15)</f>
        <v>0.55000000000000004</v>
      </c>
      <c r="E18" s="44" t="s">
        <v>73</v>
      </c>
      <c r="F18" s="41" t="s">
        <v>28</v>
      </c>
      <c r="G18" s="34">
        <v>0</v>
      </c>
      <c r="H18" s="107">
        <f>IF(B$47=0,0,G18/B$47)</f>
        <v>0</v>
      </c>
      <c r="I18" s="68">
        <v>11</v>
      </c>
      <c r="N18" s="89" t="s">
        <v>191</v>
      </c>
      <c r="O18" s="99">
        <f>IF(P18=0,0,Q18/P18)</f>
        <v>18.200000000000003</v>
      </c>
      <c r="P18" s="93">
        <v>9</v>
      </c>
      <c r="Q18" s="81">
        <v>163.80000000000001</v>
      </c>
    </row>
    <row r="19" spans="1:17" x14ac:dyDescent="0.45">
      <c r="A19" s="37" t="s">
        <v>180</v>
      </c>
      <c r="B19" s="34">
        <v>23</v>
      </c>
      <c r="C19" s="31">
        <f>IF(B$15=0,0,B19/B$15)</f>
        <v>0.57499999999999996</v>
      </c>
      <c r="E19" s="44" t="s">
        <v>74</v>
      </c>
      <c r="F19" s="41" t="s">
        <v>29</v>
      </c>
      <c r="G19" s="34">
        <v>0</v>
      </c>
      <c r="H19" s="107">
        <f>IF(B$47=0,0,G19/B$47)</f>
        <v>0</v>
      </c>
      <c r="I19" s="68">
        <v>10</v>
      </c>
      <c r="N19" s="89" t="s">
        <v>197</v>
      </c>
      <c r="O19" s="99">
        <f>IF(P19=0,0,Q19/P19)</f>
        <v>12.000000000000002</v>
      </c>
      <c r="P19" s="93">
        <v>1</v>
      </c>
      <c r="Q19" s="81">
        <v>12.000000000000002</v>
      </c>
    </row>
    <row r="20" spans="1:17" x14ac:dyDescent="0.45">
      <c r="A20" s="37" t="s">
        <v>178</v>
      </c>
      <c r="B20" s="34">
        <v>10</v>
      </c>
      <c r="C20" s="31">
        <f>IF(B$15=0,0,B20/B$15)</f>
        <v>0.25</v>
      </c>
      <c r="E20" s="44" t="s">
        <v>76</v>
      </c>
      <c r="F20" s="41" t="s">
        <v>31</v>
      </c>
      <c r="G20" s="34">
        <v>0</v>
      </c>
      <c r="H20" s="107">
        <f>IF(B$47=0,0,G20/B$47)</f>
        <v>0</v>
      </c>
      <c r="I20" s="68">
        <v>1</v>
      </c>
      <c r="N20" s="89" t="s">
        <v>193</v>
      </c>
      <c r="O20" s="99">
        <f>IF(P20=0,0,Q20/P20)</f>
        <v>6.2333333333333343</v>
      </c>
      <c r="P20" s="93">
        <v>3</v>
      </c>
      <c r="Q20" s="81">
        <v>18.700000000000003</v>
      </c>
    </row>
    <row r="21" spans="1:17" x14ac:dyDescent="0.45">
      <c r="A21" s="37" t="s">
        <v>179</v>
      </c>
      <c r="B21" s="34">
        <v>7</v>
      </c>
      <c r="C21" s="31">
        <f>IF(B$15=0,0,B21/B$15)</f>
        <v>0.17499999999999999</v>
      </c>
      <c r="E21" s="44" t="s">
        <v>77</v>
      </c>
      <c r="F21" s="41" t="s">
        <v>32</v>
      </c>
      <c r="G21" s="34">
        <v>0</v>
      </c>
      <c r="H21" s="107">
        <f>IF(B$47=0,0,G21/B$47)</f>
        <v>0</v>
      </c>
      <c r="I21" s="68">
        <v>9</v>
      </c>
      <c r="N21" s="89" t="s">
        <v>190</v>
      </c>
      <c r="O21" s="99">
        <f>IF(P21=0,0,Q21/P21)</f>
        <v>4.1166666666666645</v>
      </c>
      <c r="P21" s="93">
        <v>6</v>
      </c>
      <c r="Q21" s="81">
        <v>24.699999999999989</v>
      </c>
    </row>
    <row r="22" spans="1:17" x14ac:dyDescent="0.45">
      <c r="A22" s="37" t="s">
        <v>5</v>
      </c>
      <c r="B22" s="17">
        <f>IF(B$15=0,0,C22/B$15)</f>
        <v>7925</v>
      </c>
      <c r="C22" s="8">
        <v>317000</v>
      </c>
      <c r="E22" s="44" t="s">
        <v>78</v>
      </c>
      <c r="F22" s="41" t="s">
        <v>33</v>
      </c>
      <c r="G22" s="34">
        <v>0</v>
      </c>
      <c r="H22" s="107">
        <f>IF(B$47=0,0,G22/B$47)</f>
        <v>0</v>
      </c>
      <c r="I22" s="68">
        <v>14</v>
      </c>
      <c r="N22" s="89" t="s">
        <v>195</v>
      </c>
      <c r="O22" s="99">
        <f>IF(P22=0,0,Q22/P22)</f>
        <v>-22.633333333333329</v>
      </c>
      <c r="P22" s="93">
        <v>3</v>
      </c>
      <c r="Q22" s="81">
        <v>-67.899999999999991</v>
      </c>
    </row>
    <row r="23" spans="1:17" x14ac:dyDescent="0.45">
      <c r="A23" s="38" t="s">
        <v>162</v>
      </c>
      <c r="B23" s="114">
        <f>IF($B$15-B$14=0,0,C23/($B$15-B$14))</f>
        <v>8156.666666666667</v>
      </c>
      <c r="C23" s="115">
        <v>244700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N23" s="89" t="s">
        <v>188</v>
      </c>
      <c r="O23" s="99">
        <f>IF(P23=0,0,Q23/P23)</f>
        <v>-51.55</v>
      </c>
      <c r="P23" s="93">
        <v>2</v>
      </c>
      <c r="Q23" s="81">
        <v>-103.1</v>
      </c>
    </row>
    <row r="24" spans="1:17" x14ac:dyDescent="0.45">
      <c r="A24" s="38" t="s">
        <v>163</v>
      </c>
      <c r="B24" s="114">
        <f>IF(B$14=0,0,C24/B$14)</f>
        <v>7230</v>
      </c>
      <c r="C24" s="115">
        <v>72300</v>
      </c>
      <c r="E24" s="44" t="s">
        <v>81</v>
      </c>
      <c r="F24" s="41" t="s">
        <v>36</v>
      </c>
      <c r="G24" s="34">
        <v>0</v>
      </c>
      <c r="H24" s="107">
        <f>IF(B$47=0,0,G24/B$47)</f>
        <v>0</v>
      </c>
      <c r="I24" s="68">
        <v>15</v>
      </c>
    </row>
    <row r="25" spans="1:17" x14ac:dyDescent="0.45">
      <c r="A25" s="38" t="s">
        <v>161</v>
      </c>
      <c r="B25" s="114">
        <f>IF(B$16=0,0,C25/B$16)</f>
        <v>-9060</v>
      </c>
      <c r="C25" s="115">
        <v>-135900</v>
      </c>
      <c r="E25" s="44" t="s">
        <v>82</v>
      </c>
      <c r="F25" s="41" t="s">
        <v>37</v>
      </c>
      <c r="G25" s="34">
        <v>0</v>
      </c>
      <c r="H25" s="107">
        <f>IF(B$47=0,0,G25/B$47)</f>
        <v>0</v>
      </c>
      <c r="I25" s="68">
        <v>1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20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</row>
    <row r="28" spans="1:17" x14ac:dyDescent="0.45">
      <c r="A28" s="64" t="s">
        <v>134</v>
      </c>
      <c r="B28" s="139">
        <v>4</v>
      </c>
      <c r="C28" s="140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37">
        <v>65900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3</v>
      </c>
      <c r="C32" s="119">
        <f>IF(B$15=0,0,B32/B$15)</f>
        <v>7.4999999999999997E-2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8</v>
      </c>
      <c r="C33" s="31">
        <f t="shared" ref="C33:C44" si="2">IF(B$15=0,0,B33/B$15)</f>
        <v>0.2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5</v>
      </c>
      <c r="C34" s="31">
        <f>IF(B$15=0,0,B34/B$15)</f>
        <v>0.125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9</v>
      </c>
      <c r="C35" s="31">
        <f t="shared" si="2"/>
        <v>0.22500000000000001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7</v>
      </c>
      <c r="C36" s="31">
        <f t="shared" si="2"/>
        <v>0.17499999999999999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2</v>
      </c>
      <c r="C37" s="31">
        <f t="shared" si="2"/>
        <v>0.05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2</v>
      </c>
      <c r="C38" s="31">
        <f t="shared" si="2"/>
        <v>0.05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1</v>
      </c>
      <c r="C39" s="31">
        <f t="shared" si="2"/>
        <v>2.5000000000000001E-2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1</v>
      </c>
      <c r="C41" s="31">
        <f t="shared" si="2"/>
        <v>2.5000000000000001E-2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109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38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4A864-1A4E-4233-B6B4-90B277EBAE43}">
  <sheetPr codeName="Sheet7"/>
  <dimension ref="A1:Q39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190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396</v>
      </c>
      <c r="C2" s="128"/>
      <c r="E2" s="43" t="s">
        <v>66</v>
      </c>
      <c r="F2" s="25" t="s">
        <v>22</v>
      </c>
      <c r="G2" s="13">
        <v>588</v>
      </c>
      <c r="H2" s="106">
        <f>IF(B$47=0,0,G2/B$47)</f>
        <v>0.72503082614056724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-121.11959287531806</v>
      </c>
      <c r="P2" s="92">
        <v>393</v>
      </c>
      <c r="Q2" s="76">
        <v>-47600</v>
      </c>
    </row>
    <row r="3" spans="1:17" x14ac:dyDescent="0.45">
      <c r="A3" s="37" t="s">
        <v>8</v>
      </c>
      <c r="B3" s="129">
        <v>3216</v>
      </c>
      <c r="C3" s="130"/>
      <c r="E3" s="44" t="s">
        <v>64</v>
      </c>
      <c r="F3" s="41" t="s">
        <v>20</v>
      </c>
      <c r="G3" s="34">
        <v>477</v>
      </c>
      <c r="H3" s="107">
        <f>IF(B$47=0,0,G3/B$47)</f>
        <v>0.58816276202219486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-1364.5833333333333</v>
      </c>
      <c r="P3" s="93">
        <v>384</v>
      </c>
      <c r="Q3" s="77">
        <v>-524000</v>
      </c>
    </row>
    <row r="4" spans="1:17" x14ac:dyDescent="0.45">
      <c r="A4" s="37" t="s">
        <v>6</v>
      </c>
      <c r="B4" s="131">
        <v>-1661.1</v>
      </c>
      <c r="C4" s="132"/>
      <c r="E4" s="44" t="s">
        <v>72</v>
      </c>
      <c r="F4" s="41" t="s">
        <v>27</v>
      </c>
      <c r="G4" s="34">
        <v>388</v>
      </c>
      <c r="H4" s="107">
        <f>IF(B$47=0,0,G4/B$47)</f>
        <v>0.47842170160295933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377.86885245901641</v>
      </c>
      <c r="P4" s="93">
        <v>366</v>
      </c>
      <c r="Q4" s="77">
        <v>138300</v>
      </c>
    </row>
    <row r="5" spans="1:17" x14ac:dyDescent="0.45">
      <c r="A5" s="37" t="s">
        <v>7</v>
      </c>
      <c r="B5" s="133">
        <f>IF(B$2=0,0,B$4/B$2)</f>
        <v>-4.1946969696969694</v>
      </c>
      <c r="C5" s="134"/>
      <c r="E5" s="44" t="s">
        <v>68</v>
      </c>
      <c r="F5" s="41" t="s">
        <v>12</v>
      </c>
      <c r="G5" s="34">
        <v>289</v>
      </c>
      <c r="H5" s="107">
        <f>IF(B$47=0,0,G5/B$47)</f>
        <v>0.3563501849568434</v>
      </c>
      <c r="I5" s="68">
        <v>4</v>
      </c>
      <c r="K5" s="5">
        <v>3</v>
      </c>
      <c r="L5" s="73">
        <v>-36.4</v>
      </c>
      <c r="N5" s="89" t="s">
        <v>129</v>
      </c>
      <c r="O5" s="96">
        <f t="shared" si="0"/>
        <v>-622.02380952380952</v>
      </c>
      <c r="P5" s="93">
        <v>336</v>
      </c>
      <c r="Q5" s="77">
        <v>-209000</v>
      </c>
    </row>
    <row r="6" spans="1:17" x14ac:dyDescent="0.45">
      <c r="A6" s="37" t="s">
        <v>1</v>
      </c>
      <c r="B6" s="141">
        <f>IF(B$2=0,0,(B$7*1+B$8*2+B$9*3)/B$2)</f>
        <v>2.1085858585858586</v>
      </c>
      <c r="C6" s="142"/>
      <c r="E6" s="44" t="s">
        <v>67</v>
      </c>
      <c r="F6" s="41" t="s">
        <v>23</v>
      </c>
      <c r="G6" s="34">
        <v>272</v>
      </c>
      <c r="H6" s="107">
        <f>IF(B$47=0,0,G6/B$47)</f>
        <v>0.33538840937114672</v>
      </c>
      <c r="I6" s="68">
        <v>9</v>
      </c>
      <c r="K6" s="5">
        <v>4</v>
      </c>
      <c r="L6" s="73">
        <v>3.6000000000000014</v>
      </c>
      <c r="N6" s="89" t="s">
        <v>130</v>
      </c>
      <c r="O6" s="96">
        <f t="shared" si="0"/>
        <v>-1272.9096989966556</v>
      </c>
      <c r="P6" s="93">
        <v>299</v>
      </c>
      <c r="Q6" s="77">
        <v>-380600</v>
      </c>
    </row>
    <row r="7" spans="1:17" x14ac:dyDescent="0.45">
      <c r="A7" s="37" t="s">
        <v>2</v>
      </c>
      <c r="B7" s="34">
        <v>105</v>
      </c>
      <c r="C7" s="31">
        <f t="shared" ref="C7:C10" si="1">IF(B$2=0,0,B7/B$2)</f>
        <v>0.26515151515151514</v>
      </c>
      <c r="E7" s="44" t="s">
        <v>157</v>
      </c>
      <c r="F7" s="41" t="s">
        <v>158</v>
      </c>
      <c r="G7" s="34">
        <v>246</v>
      </c>
      <c r="H7" s="107">
        <f>IF(B$47=0,0,G7/B$47)</f>
        <v>0.30332922318125771</v>
      </c>
      <c r="I7" s="68">
        <v>9</v>
      </c>
      <c r="K7" s="5">
        <v>5</v>
      </c>
      <c r="L7" s="73">
        <v>14.600000000000001</v>
      </c>
      <c r="N7" s="90" t="s">
        <v>131</v>
      </c>
      <c r="O7" s="97">
        <f t="shared" si="0"/>
        <v>-905.51181102362204</v>
      </c>
      <c r="P7" s="94">
        <v>254</v>
      </c>
      <c r="Q7" s="78">
        <v>-230000</v>
      </c>
    </row>
    <row r="8" spans="1:17" x14ac:dyDescent="0.45">
      <c r="A8" s="37" t="s">
        <v>3</v>
      </c>
      <c r="B8" s="34">
        <v>143</v>
      </c>
      <c r="C8" s="31">
        <f t="shared" si="1"/>
        <v>0.3611111111111111</v>
      </c>
      <c r="E8" s="44" t="s">
        <v>69</v>
      </c>
      <c r="F8" s="41" t="s">
        <v>24</v>
      </c>
      <c r="G8" s="34">
        <v>146</v>
      </c>
      <c r="H8" s="107">
        <f>IF(B$47=0,0,G8/B$47)</f>
        <v>0.18002466091245375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148</v>
      </c>
      <c r="C9" s="7">
        <f t="shared" si="1"/>
        <v>0.37373737373737376</v>
      </c>
      <c r="E9" s="44" t="s">
        <v>65</v>
      </c>
      <c r="F9" s="41" t="s">
        <v>21</v>
      </c>
      <c r="G9" s="34">
        <v>111</v>
      </c>
      <c r="H9" s="107">
        <f>IF(B$47=0,0,G9/B$47)</f>
        <v>0.13686806411837238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56</v>
      </c>
      <c r="C10" s="32">
        <f t="shared" si="1"/>
        <v>0.14141414141414141</v>
      </c>
      <c r="E10" s="44" t="s">
        <v>89</v>
      </c>
      <c r="F10" s="41" t="s">
        <v>44</v>
      </c>
      <c r="G10" s="34">
        <v>108</v>
      </c>
      <c r="H10" s="107">
        <f>IF(B$47=0,0,G10/B$47)</f>
        <v>0.13316892725030827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-6.4306250000000009</v>
      </c>
      <c r="P10" s="92">
        <v>160</v>
      </c>
      <c r="Q10" s="80">
        <v>-1028.9000000000001</v>
      </c>
    </row>
    <row r="11" spans="1:17" x14ac:dyDescent="0.45">
      <c r="A11" s="40" t="s">
        <v>121</v>
      </c>
      <c r="B11" s="16">
        <v>855</v>
      </c>
      <c r="C11" s="11">
        <f>IF(B$46=0,0,B11/B$46)</f>
        <v>0.28934010152284262</v>
      </c>
      <c r="E11" s="44" t="s">
        <v>70</v>
      </c>
      <c r="F11" s="41" t="s">
        <v>25</v>
      </c>
      <c r="G11" s="34">
        <v>104</v>
      </c>
      <c r="H11" s="107">
        <f>IF(B$47=0,0,G11/B$47)</f>
        <v>0.1282367447595561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-4.7225806451612904</v>
      </c>
      <c r="P11" s="93">
        <v>124</v>
      </c>
      <c r="Q11" s="81">
        <v>-585.6</v>
      </c>
    </row>
    <row r="12" spans="1:17" x14ac:dyDescent="0.45">
      <c r="A12" s="37" t="s">
        <v>118</v>
      </c>
      <c r="B12" s="34">
        <v>537</v>
      </c>
      <c r="C12" s="31">
        <f>IF(B$46=0,0,B12/B$46)</f>
        <v>0.1817258883248731</v>
      </c>
      <c r="E12" s="44" t="s">
        <v>86</v>
      </c>
      <c r="F12" s="41" t="s">
        <v>41</v>
      </c>
      <c r="G12" s="34">
        <v>49</v>
      </c>
      <c r="H12" s="107">
        <f>IF(B$47=0,0,G12/B$47)</f>
        <v>6.0419235511713937E-2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-0.87027027027026982</v>
      </c>
      <c r="P12" s="94">
        <v>111</v>
      </c>
      <c r="Q12" s="82">
        <v>-96.599999999999952</v>
      </c>
    </row>
    <row r="13" spans="1:17" x14ac:dyDescent="0.45">
      <c r="A13" s="19" t="s">
        <v>123</v>
      </c>
      <c r="B13" s="13">
        <v>491</v>
      </c>
      <c r="C13" s="4">
        <f>IF(B$11=0,0,B13/B$11)</f>
        <v>0.57426900584795326</v>
      </c>
      <c r="E13" s="44" t="s">
        <v>83</v>
      </c>
      <c r="F13" s="41" t="s">
        <v>38</v>
      </c>
      <c r="G13" s="34">
        <v>42</v>
      </c>
      <c r="H13" s="107">
        <f>IF(B$47=0,0,G13/B$47)</f>
        <v>5.1787916152897656E-2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195</v>
      </c>
      <c r="C14" s="4">
        <f>IF(B$12=0,0,B14/B$12)</f>
        <v>0.36312849162011174</v>
      </c>
      <c r="E14" s="44" t="s">
        <v>71</v>
      </c>
      <c r="F14" s="41" t="s">
        <v>26</v>
      </c>
      <c r="G14" s="34">
        <v>34</v>
      </c>
      <c r="H14" s="107">
        <f>IF(B$47=0,0,G14/B$47)</f>
        <v>4.192355117139334E-2</v>
      </c>
      <c r="I14" s="68">
        <v>14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872</v>
      </c>
      <c r="C15" s="4">
        <f>IF(B$3=0,0,B15/B$3)</f>
        <v>0.27114427860696516</v>
      </c>
      <c r="E15" s="44" t="s">
        <v>81</v>
      </c>
      <c r="F15" s="41" t="s">
        <v>36</v>
      </c>
      <c r="G15" s="34">
        <v>24</v>
      </c>
      <c r="H15" s="107">
        <f>IF(B$47=0,0,G15/B$47)</f>
        <v>2.9593094944512947E-2</v>
      </c>
      <c r="I15" s="68">
        <v>6</v>
      </c>
      <c r="K15" s="5">
        <v>13</v>
      </c>
      <c r="L15" s="73">
        <v>49.5</v>
      </c>
      <c r="N15" s="88" t="s">
        <v>197</v>
      </c>
      <c r="O15" s="98">
        <f>IF(P15=0,0,Q15/P15)</f>
        <v>24.274999999999999</v>
      </c>
      <c r="P15" s="92">
        <v>4</v>
      </c>
      <c r="Q15" s="80">
        <v>97.1</v>
      </c>
    </row>
    <row r="16" spans="1:17" x14ac:dyDescent="0.45">
      <c r="A16" s="37" t="s">
        <v>13</v>
      </c>
      <c r="B16" s="34">
        <v>598</v>
      </c>
      <c r="C16" s="31">
        <f>IF(B$3=0,0,B16/B$3)</f>
        <v>0.1859452736318408</v>
      </c>
      <c r="E16" s="44" t="s">
        <v>78</v>
      </c>
      <c r="F16" s="41" t="s">
        <v>33</v>
      </c>
      <c r="G16" s="34">
        <v>20</v>
      </c>
      <c r="H16" s="107">
        <f>IF(B$47=0,0,G16/B$47)</f>
        <v>2.4660912453760789E-2</v>
      </c>
      <c r="I16" s="68">
        <v>8</v>
      </c>
      <c r="K16" s="5">
        <v>14</v>
      </c>
      <c r="L16" s="73">
        <v>33</v>
      </c>
      <c r="N16" s="89" t="s">
        <v>186</v>
      </c>
      <c r="O16" s="99">
        <f>IF(P16=0,0,Q16/P16)</f>
        <v>9.1657894736842103</v>
      </c>
      <c r="P16" s="93">
        <v>38</v>
      </c>
      <c r="Q16" s="81">
        <v>348.3</v>
      </c>
    </row>
    <row r="17" spans="1:17" x14ac:dyDescent="0.45">
      <c r="A17" s="37" t="s">
        <v>12</v>
      </c>
      <c r="B17" s="34">
        <v>395</v>
      </c>
      <c r="C17" s="31">
        <f>IF(B$15=0,0,B17/B$15)</f>
        <v>0.45298165137614677</v>
      </c>
      <c r="E17" s="44" t="s">
        <v>91</v>
      </c>
      <c r="F17" s="41" t="s">
        <v>46</v>
      </c>
      <c r="G17" s="34">
        <v>15</v>
      </c>
      <c r="H17" s="107">
        <f>IF(B$47=0,0,G17/B$47)</f>
        <v>1.8495684340320593E-2</v>
      </c>
      <c r="I17" s="68">
        <v>7</v>
      </c>
      <c r="K17" s="5">
        <v>15</v>
      </c>
      <c r="L17" s="73">
        <v>38.5</v>
      </c>
      <c r="N17" s="89" t="s">
        <v>188</v>
      </c>
      <c r="O17" s="99">
        <f>IF(P17=0,0,Q17/P17)</f>
        <v>7.6493333333333338</v>
      </c>
      <c r="P17" s="93">
        <v>75</v>
      </c>
      <c r="Q17" s="81">
        <v>573.70000000000005</v>
      </c>
    </row>
    <row r="18" spans="1:17" x14ac:dyDescent="0.45">
      <c r="A18" s="37" t="s">
        <v>11</v>
      </c>
      <c r="B18" s="34">
        <v>477</v>
      </c>
      <c r="C18" s="31">
        <f>IF(B$15=0,0,B18/B$15)</f>
        <v>0.54701834862385323</v>
      </c>
      <c r="E18" s="44" t="s">
        <v>79</v>
      </c>
      <c r="F18" s="41" t="s">
        <v>34</v>
      </c>
      <c r="G18" s="34">
        <v>13</v>
      </c>
      <c r="H18" s="107">
        <f>IF(B$47=0,0,G18/B$47)</f>
        <v>1.6029593094944512E-2</v>
      </c>
      <c r="I18" s="68">
        <v>8</v>
      </c>
      <c r="K18" s="5">
        <v>16</v>
      </c>
      <c r="L18" s="73">
        <v>14.600000000000001</v>
      </c>
      <c r="N18" s="89" t="s">
        <v>191</v>
      </c>
      <c r="O18" s="99">
        <f>IF(P18=0,0,Q18/P18)</f>
        <v>1.8000000000000012</v>
      </c>
      <c r="P18" s="93">
        <v>106</v>
      </c>
      <c r="Q18" s="81">
        <v>190.80000000000013</v>
      </c>
    </row>
    <row r="19" spans="1:17" x14ac:dyDescent="0.45">
      <c r="A19" s="37" t="s">
        <v>180</v>
      </c>
      <c r="B19" s="34">
        <v>491</v>
      </c>
      <c r="C19" s="31">
        <f>IF(B$15=0,0,B19/B$15)</f>
        <v>0.56307339449541283</v>
      </c>
      <c r="E19" s="44" t="s">
        <v>153</v>
      </c>
      <c r="F19" s="41" t="s">
        <v>154</v>
      </c>
      <c r="G19" s="34">
        <v>12</v>
      </c>
      <c r="H19" s="107">
        <f>IF(B$47=0,0,G19/B$47)</f>
        <v>1.4796547472256474E-2</v>
      </c>
      <c r="I19" s="68">
        <v>6</v>
      </c>
      <c r="K19" s="5">
        <v>17</v>
      </c>
      <c r="L19" s="73">
        <v>13.900000000000002</v>
      </c>
      <c r="N19" s="89" t="s">
        <v>192</v>
      </c>
      <c r="O19" s="99">
        <f>IF(P19=0,0,Q19/P19)</f>
        <v>-0.14444444444444493</v>
      </c>
      <c r="P19" s="93">
        <v>9</v>
      </c>
      <c r="Q19" s="81">
        <v>-1.3000000000000043</v>
      </c>
    </row>
    <row r="20" spans="1:17" x14ac:dyDescent="0.45">
      <c r="A20" s="37" t="s">
        <v>178</v>
      </c>
      <c r="B20" s="34">
        <v>195</v>
      </c>
      <c r="C20" s="31">
        <f>IF(B$15=0,0,B20/B$15)</f>
        <v>0.22362385321100917</v>
      </c>
      <c r="E20" s="44" t="s">
        <v>75</v>
      </c>
      <c r="F20" s="41" t="s">
        <v>30</v>
      </c>
      <c r="G20" s="34">
        <v>8</v>
      </c>
      <c r="H20" s="107">
        <f>IF(B$47=0,0,G20/B$47)</f>
        <v>9.8643649815043158E-3</v>
      </c>
      <c r="I20" s="68">
        <v>2</v>
      </c>
      <c r="K20" s="5">
        <v>18</v>
      </c>
      <c r="L20" s="73">
        <v>-21.999999999999996</v>
      </c>
      <c r="N20" s="89" t="s">
        <v>189</v>
      </c>
      <c r="O20" s="99">
        <f>IF(P20=0,0,Q20/P20)</f>
        <v>-4.1166666666666645</v>
      </c>
      <c r="P20" s="93">
        <v>6</v>
      </c>
      <c r="Q20" s="81">
        <v>-24.699999999999989</v>
      </c>
    </row>
    <row r="21" spans="1:17" x14ac:dyDescent="0.45">
      <c r="A21" s="37" t="s">
        <v>179</v>
      </c>
      <c r="B21" s="34">
        <v>186</v>
      </c>
      <c r="C21" s="31">
        <f>IF(B$15=0,0,B21/B$15)</f>
        <v>0.21330275229357798</v>
      </c>
      <c r="E21" s="44" t="s">
        <v>73</v>
      </c>
      <c r="F21" s="41" t="s">
        <v>28</v>
      </c>
      <c r="G21" s="34">
        <v>4</v>
      </c>
      <c r="H21" s="107">
        <f>IF(B$47=0,0,G21/B$47)</f>
        <v>4.9321824907521579E-3</v>
      </c>
      <c r="I21" s="68">
        <v>8</v>
      </c>
      <c r="K21" s="5">
        <v>19</v>
      </c>
      <c r="L21" s="73">
        <v>-26.699999999999996</v>
      </c>
      <c r="N21" s="89" t="s">
        <v>187</v>
      </c>
      <c r="O21" s="99">
        <f>IF(P21=0,0,Q21/P21)</f>
        <v>-5.5333333333333332</v>
      </c>
      <c r="P21" s="93">
        <v>60</v>
      </c>
      <c r="Q21" s="81">
        <v>-332</v>
      </c>
    </row>
    <row r="22" spans="1:17" x14ac:dyDescent="0.45">
      <c r="A22" s="37" t="s">
        <v>5</v>
      </c>
      <c r="B22" s="17">
        <f>IF(B$15=0,0,C22/B$15)</f>
        <v>9247.5917431192665</v>
      </c>
      <c r="C22" s="8">
        <v>8063900</v>
      </c>
      <c r="E22" s="44" t="s">
        <v>74</v>
      </c>
      <c r="F22" s="41" t="s">
        <v>29</v>
      </c>
      <c r="G22" s="34">
        <v>3</v>
      </c>
      <c r="H22" s="107">
        <f>IF(B$47=0,0,G22/B$47)</f>
        <v>3.6991368680641184E-3</v>
      </c>
      <c r="I22" s="68">
        <v>7</v>
      </c>
      <c r="K22" s="5">
        <v>20</v>
      </c>
      <c r="L22" s="73">
        <v>-57.899999999999991</v>
      </c>
      <c r="N22" s="89" t="s">
        <v>193</v>
      </c>
      <c r="O22" s="99">
        <f>IF(P22=0,0,Q22/P22)</f>
        <v>-7.6572368421052603</v>
      </c>
      <c r="P22" s="93">
        <v>152</v>
      </c>
      <c r="Q22" s="81">
        <v>-1163.8999999999996</v>
      </c>
    </row>
    <row r="23" spans="1:17" x14ac:dyDescent="0.45">
      <c r="A23" s="38" t="s">
        <v>162</v>
      </c>
      <c r="B23" s="114">
        <f>IF($B$15-B$14=0,0,C23/($B$15-B$14))</f>
        <v>9641.3589364844902</v>
      </c>
      <c r="C23" s="115">
        <v>6527200</v>
      </c>
      <c r="E23" s="44" t="s">
        <v>84</v>
      </c>
      <c r="F23" s="41" t="s">
        <v>39</v>
      </c>
      <c r="G23" s="34">
        <v>3</v>
      </c>
      <c r="H23" s="107">
        <f>IF(B$47=0,0,G23/B$47)</f>
        <v>3.6991368680641184E-3</v>
      </c>
      <c r="I23" s="68">
        <v>3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8" t="s">
        <v>163</v>
      </c>
      <c r="B24" s="114">
        <f>IF(B$14=0,0,C24/B$14)</f>
        <v>7880.5128205128203</v>
      </c>
      <c r="C24" s="115">
        <v>1536700</v>
      </c>
      <c r="E24" s="44" t="s">
        <v>92</v>
      </c>
      <c r="F24" s="41" t="s">
        <v>47</v>
      </c>
      <c r="G24" s="34">
        <v>3</v>
      </c>
      <c r="H24" s="107">
        <f>IF(B$47=0,0,G24/B$47)</f>
        <v>3.6991368680641184E-3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-14.296167247386759</v>
      </c>
      <c r="P24" s="93">
        <v>287</v>
      </c>
      <c r="Q24" s="81">
        <v>-4103</v>
      </c>
    </row>
    <row r="25" spans="1:17" x14ac:dyDescent="0.45">
      <c r="A25" s="38" t="s">
        <v>161</v>
      </c>
      <c r="B25" s="114">
        <f>IF(B$16=0,0,C25/B$16)</f>
        <v>-8317.5585284280933</v>
      </c>
      <c r="C25" s="115">
        <v>-4973900</v>
      </c>
      <c r="E25" s="44" t="s">
        <v>85</v>
      </c>
      <c r="F25" s="41" t="s">
        <v>40</v>
      </c>
      <c r="G25" s="34">
        <v>2</v>
      </c>
      <c r="H25" s="107">
        <f>IF(B$47=0,0,G25/B$47)</f>
        <v>2.4660912453760789E-3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2.4660912453760789E-3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7" t="s">
        <v>156</v>
      </c>
      <c r="B27" s="34">
        <v>31</v>
      </c>
      <c r="C27" s="109">
        <v>0</v>
      </c>
      <c r="E27" s="44" t="s">
        <v>77</v>
      </c>
      <c r="F27" s="41" t="s">
        <v>32</v>
      </c>
      <c r="G27" s="34">
        <v>1</v>
      </c>
      <c r="H27" s="107">
        <f>IF(B$47=0,0,G27/B$47)</f>
        <v>1.2330456226880395E-3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64" t="s">
        <v>134</v>
      </c>
      <c r="B28" s="139">
        <v>10</v>
      </c>
      <c r="C28" s="140"/>
      <c r="E28" s="44" t="s">
        <v>80</v>
      </c>
      <c r="F28" s="41" t="s">
        <v>35</v>
      </c>
      <c r="G28" s="34">
        <v>1</v>
      </c>
      <c r="H28" s="107">
        <f>IF(B$47=0,0,G28/B$47)</f>
        <v>1.2330456226880395E-3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40" t="s">
        <v>177</v>
      </c>
      <c r="B29" s="137">
        <v>107600</v>
      </c>
      <c r="C29" s="138"/>
      <c r="E29" s="44" t="s">
        <v>87</v>
      </c>
      <c r="F29" s="41" t="s">
        <v>42</v>
      </c>
      <c r="G29" s="34">
        <v>1</v>
      </c>
      <c r="H29" s="107">
        <f>IF(B$47=0,0,G29/B$47)</f>
        <v>1.2330456226880395E-3</v>
      </c>
      <c r="I29" s="68">
        <v>9</v>
      </c>
      <c r="K29" s="5">
        <v>27</v>
      </c>
      <c r="L29" s="73">
        <v>-163.6</v>
      </c>
    </row>
    <row r="30" spans="1:17" x14ac:dyDescent="0.45">
      <c r="A30" s="39" t="s">
        <v>135</v>
      </c>
      <c r="B30" s="27">
        <v>13</v>
      </c>
      <c r="C30" s="32">
        <f>IF(B$3=0,0,B30/B$3)</f>
        <v>4.0422885572139302E-3</v>
      </c>
      <c r="E30" s="44" t="s">
        <v>93</v>
      </c>
      <c r="F30" s="41" t="s">
        <v>48</v>
      </c>
      <c r="G30" s="34">
        <v>1</v>
      </c>
      <c r="H30" s="107">
        <f>IF(B$47=0,0,G30/B$47)</f>
        <v>1.2330456226880395E-3</v>
      </c>
      <c r="I30" s="68">
        <v>8</v>
      </c>
      <c r="K30" s="5">
        <v>28</v>
      </c>
      <c r="L30" s="73">
        <v>-169.5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1.2330456226880395E-3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168</v>
      </c>
      <c r="B32" s="121">
        <v>44</v>
      </c>
      <c r="C32" s="119">
        <f>IF(B$15=0,0,B32/B$15)</f>
        <v>5.0458715596330278E-2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-209.4</v>
      </c>
    </row>
    <row r="33" spans="1:12" x14ac:dyDescent="0.45">
      <c r="A33" s="37" t="s">
        <v>164</v>
      </c>
      <c r="B33" s="34">
        <v>108</v>
      </c>
      <c r="C33" s="31">
        <f t="shared" ref="C33:C44" si="2">IF(B$15=0,0,B33/B$15)</f>
        <v>0.12385321100917432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7" t="s">
        <v>165</v>
      </c>
      <c r="B34" s="124">
        <v>161</v>
      </c>
      <c r="C34" s="31">
        <f>IF(B$15=0,0,B34/B$15)</f>
        <v>0.18463302752293578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A35" s="37" t="s">
        <v>166</v>
      </c>
      <c r="B35" s="124">
        <v>146</v>
      </c>
      <c r="C35" s="31">
        <f t="shared" si="2"/>
        <v>0.16743119266055045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37" t="s">
        <v>167</v>
      </c>
      <c r="B36" s="124">
        <v>134</v>
      </c>
      <c r="C36" s="31">
        <f t="shared" si="2"/>
        <v>0.1536697247706422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169</v>
      </c>
      <c r="B37" s="124">
        <v>96</v>
      </c>
      <c r="C37" s="31">
        <f t="shared" si="2"/>
        <v>0.11009174311926606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170</v>
      </c>
      <c r="B38" s="124">
        <v>59</v>
      </c>
      <c r="C38" s="31">
        <f t="shared" si="2"/>
        <v>6.7660550458715593E-2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171</v>
      </c>
      <c r="B39" s="124">
        <v>27</v>
      </c>
      <c r="C39" s="31">
        <f t="shared" si="2"/>
        <v>3.096330275229358E-2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172</v>
      </c>
      <c r="B40" s="124">
        <v>14</v>
      </c>
      <c r="C40" s="31">
        <f t="shared" si="2"/>
        <v>1.6055045871559634E-2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173</v>
      </c>
      <c r="B41" s="124">
        <v>6</v>
      </c>
      <c r="C41" s="31">
        <f t="shared" si="2"/>
        <v>6.8807339449541288E-3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174</v>
      </c>
      <c r="B42" s="124">
        <v>3</v>
      </c>
      <c r="C42" s="31">
        <f t="shared" si="2"/>
        <v>3.4403669724770644E-3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175</v>
      </c>
      <c r="B43" s="124">
        <v>5</v>
      </c>
      <c r="C43" s="31">
        <f t="shared" si="2"/>
        <v>5.7339449541284407E-3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9" t="s">
        <v>176</v>
      </c>
      <c r="B44" s="120">
        <v>8</v>
      </c>
      <c r="C44" s="32">
        <f t="shared" si="2"/>
        <v>9.1743119266055051E-3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64" t="s">
        <v>181</v>
      </c>
      <c r="B46" s="127">
        <v>2955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9" t="s">
        <v>182</v>
      </c>
      <c r="B47" s="135">
        <v>811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-280.59999999999997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-264.59999999999997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-288.79999999999995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-282.99999999999994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-287.09999999999997</v>
      </c>
    </row>
    <row r="53" spans="5:12" x14ac:dyDescent="0.45">
      <c r="K53" s="5">
        <v>51</v>
      </c>
      <c r="L53" s="73">
        <v>-269.59999999999997</v>
      </c>
    </row>
    <row r="54" spans="5:12" x14ac:dyDescent="0.45">
      <c r="K54" s="5">
        <v>52</v>
      </c>
      <c r="L54" s="73">
        <v>-308.09999999999997</v>
      </c>
    </row>
    <row r="55" spans="5:12" x14ac:dyDescent="0.45">
      <c r="K55" s="5">
        <v>53</v>
      </c>
      <c r="L55" s="73">
        <v>-336.49999999999994</v>
      </c>
    </row>
    <row r="56" spans="5:12" x14ac:dyDescent="0.45">
      <c r="K56" s="5">
        <v>54</v>
      </c>
      <c r="L56" s="73">
        <v>-378.89999999999992</v>
      </c>
    </row>
    <row r="57" spans="5:12" x14ac:dyDescent="0.45">
      <c r="K57" s="5">
        <v>55</v>
      </c>
      <c r="L57" s="73">
        <v>-364.2999999999999</v>
      </c>
    </row>
    <row r="58" spans="5:12" x14ac:dyDescent="0.45">
      <c r="K58" s="5">
        <v>56</v>
      </c>
      <c r="L58" s="73">
        <v>-316.2999999999999</v>
      </c>
    </row>
    <row r="59" spans="5:12" x14ac:dyDescent="0.45">
      <c r="K59" s="5">
        <v>57</v>
      </c>
      <c r="L59" s="73">
        <v>-312.49999999999989</v>
      </c>
    </row>
    <row r="60" spans="5:12" x14ac:dyDescent="0.45">
      <c r="K60" s="5">
        <v>58</v>
      </c>
      <c r="L60" s="73">
        <v>-254.59999999999988</v>
      </c>
    </row>
    <row r="61" spans="5:12" x14ac:dyDescent="0.45">
      <c r="K61" s="5">
        <v>59</v>
      </c>
      <c r="L61" s="73">
        <v>-205.09999999999988</v>
      </c>
    </row>
    <row r="62" spans="5:12" x14ac:dyDescent="0.45">
      <c r="K62" s="5">
        <v>60</v>
      </c>
      <c r="L62" s="73">
        <v>-214.59999999999988</v>
      </c>
    </row>
    <row r="63" spans="5:12" x14ac:dyDescent="0.45">
      <c r="K63" s="5">
        <v>61</v>
      </c>
      <c r="L63" s="73">
        <v>-211.89999999999989</v>
      </c>
    </row>
    <row r="64" spans="5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E4AB0-C332-4D2A-A031-56C0C5764407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194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IF(B$47=0,0,G2/B$47)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29">
        <v>670</v>
      </c>
      <c r="C3" s="130"/>
      <c r="E3" s="44" t="s">
        <v>72</v>
      </c>
      <c r="F3" s="41" t="s">
        <v>27</v>
      </c>
      <c r="G3" s="34">
        <v>86</v>
      </c>
      <c r="H3" s="107">
        <f>IF(B$47=0,0,G3/B$47)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1">
        <v>-3.4999999999999893</v>
      </c>
      <c r="C4" s="132"/>
      <c r="E4" s="44" t="s">
        <v>64</v>
      </c>
      <c r="F4" s="41" t="s">
        <v>20</v>
      </c>
      <c r="G4" s="34">
        <v>60</v>
      </c>
      <c r="H4" s="107">
        <f>IF(B$47=0,0,G4/B$47)</f>
        <v>0.45112781954887216</v>
      </c>
      <c r="I4" s="68">
        <v>16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3">
        <f>IF(B$2=0,0,B$4/B$2)</f>
        <v>-3.8461538461538346E-2</v>
      </c>
      <c r="C5" s="134"/>
      <c r="E5" s="44" t="s">
        <v>68</v>
      </c>
      <c r="F5" s="41" t="s">
        <v>12</v>
      </c>
      <c r="G5" s="34">
        <v>37</v>
      </c>
      <c r="H5" s="107">
        <f>IF(B$47=0,0,G5/B$47)</f>
        <v>0.2781954887218045</v>
      </c>
      <c r="I5" s="68">
        <v>14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41">
        <f>IF(B$2=0,0,(B$7*1+B$8*2+B$9*3)/B$2)</f>
        <v>1.9890109890109891</v>
      </c>
      <c r="C6" s="142"/>
      <c r="E6" s="44" t="s">
        <v>67</v>
      </c>
      <c r="F6" s="41" t="s">
        <v>23</v>
      </c>
      <c r="G6" s="34">
        <v>34</v>
      </c>
      <c r="H6" s="107">
        <f>IF(B$47=0,0,G6/B$47)</f>
        <v>0.25563909774436089</v>
      </c>
      <c r="I6" s="68">
        <v>13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0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IF(B$47=0,0,G7/B$47)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IF(B$47=0,0,G8/B$47)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IF(B$47=0,0,G9/B$47)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14</v>
      </c>
      <c r="C10" s="32">
        <f t="shared" si="1"/>
        <v>0.15384615384615385</v>
      </c>
      <c r="E10" s="44" t="s">
        <v>70</v>
      </c>
      <c r="F10" s="41" t="s">
        <v>25</v>
      </c>
      <c r="G10" s="34">
        <v>14</v>
      </c>
      <c r="H10" s="107">
        <f>IF(B$47=0,0,G10/B$47)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40" t="s">
        <v>121</v>
      </c>
      <c r="B11" s="16">
        <v>101</v>
      </c>
      <c r="C11" s="11">
        <f>IF(B$46=0,0,B11/B$46)</f>
        <v>0.23379629629629631</v>
      </c>
      <c r="E11" s="44" t="s">
        <v>89</v>
      </c>
      <c r="F11" s="41" t="s">
        <v>44</v>
      </c>
      <c r="G11" s="34">
        <v>14</v>
      </c>
      <c r="H11" s="107">
        <f>IF(B$47=0,0,G11/B$47)</f>
        <v>0.10526315789473684</v>
      </c>
      <c r="I11" s="68">
        <v>14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7" t="s">
        <v>118</v>
      </c>
      <c r="B12" s="34">
        <v>120</v>
      </c>
      <c r="C12" s="31">
        <f>IF(B$46=0,0,B12/B$46)</f>
        <v>0.27777777777777779</v>
      </c>
      <c r="E12" s="44" t="s">
        <v>65</v>
      </c>
      <c r="F12" s="41" t="s">
        <v>21</v>
      </c>
      <c r="G12" s="34">
        <v>9</v>
      </c>
      <c r="H12" s="107">
        <f>IF(B$47=0,0,G12/B$47)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19" t="s">
        <v>123</v>
      </c>
      <c r="B13" s="13">
        <v>62</v>
      </c>
      <c r="C13" s="4">
        <f>IF(B$11=0,0,B13/B$11)</f>
        <v>0.61386138613861385</v>
      </c>
      <c r="E13" s="44" t="s">
        <v>71</v>
      </c>
      <c r="F13" s="41" t="s">
        <v>26</v>
      </c>
      <c r="G13" s="34">
        <v>6</v>
      </c>
      <c r="H13" s="107">
        <f>IF(B$47=0,0,G13/B$47)</f>
        <v>4.5112781954887216E-2</v>
      </c>
      <c r="I13" s="68">
        <v>13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52</v>
      </c>
      <c r="C14" s="4">
        <f>IF(B$12=0,0,B14/B$12)</f>
        <v>0.43333333333333335</v>
      </c>
      <c r="E14" s="44" t="s">
        <v>81</v>
      </c>
      <c r="F14" s="41" t="s">
        <v>36</v>
      </c>
      <c r="G14" s="34">
        <v>5</v>
      </c>
      <c r="H14" s="107">
        <f>IF(B$47=0,0,G14/B$47)</f>
        <v>3.7593984962406013E-2</v>
      </c>
      <c r="I14" s="68">
        <v>4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220</v>
      </c>
      <c r="C15" s="4">
        <f>IF(B$3=0,0,B15/B$3)</f>
        <v>0.32835820895522388</v>
      </c>
      <c r="E15" s="44" t="s">
        <v>79</v>
      </c>
      <c r="F15" s="41" t="s">
        <v>34</v>
      </c>
      <c r="G15" s="34">
        <v>3</v>
      </c>
      <c r="H15" s="107">
        <f>IF(B$47=0,0,G15/B$47)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13</v>
      </c>
      <c r="B16" s="34">
        <v>115</v>
      </c>
      <c r="C16" s="31">
        <f>IF(B$3=0,0,B16/B$3)</f>
        <v>0.17164179104477612</v>
      </c>
      <c r="E16" s="44" t="s">
        <v>86</v>
      </c>
      <c r="F16" s="41" t="s">
        <v>41</v>
      </c>
      <c r="G16" s="34">
        <v>3</v>
      </c>
      <c r="H16" s="107">
        <f>IF(B$47=0,0,G16/B$47)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37" t="s">
        <v>12</v>
      </c>
      <c r="B17" s="34">
        <v>96</v>
      </c>
      <c r="C17" s="31">
        <f>IF(B$15=0,0,B17/B$15)</f>
        <v>0.43636363636363634</v>
      </c>
      <c r="E17" s="44" t="s">
        <v>91</v>
      </c>
      <c r="F17" s="41" t="s">
        <v>46</v>
      </c>
      <c r="G17" s="34">
        <v>2</v>
      </c>
      <c r="H17" s="107">
        <f>IF(B$47=0,0,G17/B$47)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37" t="s">
        <v>11</v>
      </c>
      <c r="B18" s="34">
        <v>124</v>
      </c>
      <c r="C18" s="31">
        <f>IF(B$15=0,0,B18/B$15)</f>
        <v>0.5636363636363636</v>
      </c>
      <c r="E18" s="44" t="s">
        <v>73</v>
      </c>
      <c r="F18" s="41" t="s">
        <v>28</v>
      </c>
      <c r="G18" s="34">
        <v>1</v>
      </c>
      <c r="H18" s="107">
        <f>IF(B$47=0,0,G18/B$47)</f>
        <v>7.5187969924812026E-3</v>
      </c>
      <c r="I18" s="68">
        <v>5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37" t="s">
        <v>180</v>
      </c>
      <c r="B19" s="34">
        <v>62</v>
      </c>
      <c r="C19" s="31">
        <f>IF(B$15=0,0,B19/B$15)</f>
        <v>0.2818181818181818</v>
      </c>
      <c r="E19" s="44" t="s">
        <v>74</v>
      </c>
      <c r="F19" s="41" t="s">
        <v>29</v>
      </c>
      <c r="G19" s="34">
        <v>1</v>
      </c>
      <c r="H19" s="107">
        <f>IF(B$47=0,0,G19/B$47)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178</v>
      </c>
      <c r="B20" s="34">
        <v>52</v>
      </c>
      <c r="C20" s="31">
        <f>IF(B$15=0,0,B20/B$15)</f>
        <v>0.23636363636363636</v>
      </c>
      <c r="E20" s="44" t="s">
        <v>75</v>
      </c>
      <c r="F20" s="41" t="s">
        <v>30</v>
      </c>
      <c r="G20" s="34">
        <v>1</v>
      </c>
      <c r="H20" s="107">
        <f>IF(B$47=0,0,G20/B$47)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179</v>
      </c>
      <c r="B21" s="34">
        <v>106</v>
      </c>
      <c r="C21" s="31">
        <f>IF(B$15=0,0,B21/B$15)</f>
        <v>0.48181818181818181</v>
      </c>
      <c r="E21" s="44" t="s">
        <v>78</v>
      </c>
      <c r="F21" s="41" t="s">
        <v>33</v>
      </c>
      <c r="G21" s="34">
        <v>1</v>
      </c>
      <c r="H21" s="107">
        <f>IF(B$47=0,0,G21/B$47)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5</v>
      </c>
      <c r="B22" s="17">
        <f>IF(B$15=0,0,C22/B$15)</f>
        <v>9344.0909090909099</v>
      </c>
      <c r="C22" s="8">
        <v>2055700</v>
      </c>
      <c r="E22" s="44" t="s">
        <v>93</v>
      </c>
      <c r="F22" s="41" t="s">
        <v>48</v>
      </c>
      <c r="G22" s="34">
        <v>1</v>
      </c>
      <c r="H22" s="107">
        <f>IF(B$47=0,0,G22/B$47)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8" t="s">
        <v>162</v>
      </c>
      <c r="B23" s="114">
        <f>IF($B$15-B$14=0,0,C23/($B$15-B$14))</f>
        <v>9553.5714285714294</v>
      </c>
      <c r="C23" s="115">
        <v>1605000</v>
      </c>
      <c r="E23" s="44" t="s">
        <v>97</v>
      </c>
      <c r="F23" s="41" t="s">
        <v>52</v>
      </c>
      <c r="G23" s="34">
        <v>1</v>
      </c>
      <c r="H23" s="107">
        <f>IF(B$47=0,0,G23/B$47)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8" t="s">
        <v>163</v>
      </c>
      <c r="B24" s="114">
        <f>IF(B$14=0,0,C24/B$14)</f>
        <v>8667.3076923076915</v>
      </c>
      <c r="C24" s="115">
        <v>450700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8" t="s">
        <v>161</v>
      </c>
      <c r="B25" s="114">
        <f>IF(B$16=0,0,C25/B$16)</f>
        <v>-9212.173913043478</v>
      </c>
      <c r="C25" s="115">
        <v>-1059400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7" t="s">
        <v>156</v>
      </c>
      <c r="B27" s="34">
        <v>28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64" t="s">
        <v>134</v>
      </c>
      <c r="B28" s="139">
        <v>7</v>
      </c>
      <c r="C28" s="140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40" t="s">
        <v>177</v>
      </c>
      <c r="B29" s="137">
        <v>118000</v>
      </c>
      <c r="C29" s="138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9" t="s">
        <v>135</v>
      </c>
      <c r="B30" s="27">
        <v>2</v>
      </c>
      <c r="C30" s="32">
        <f>IF(B$3=0,0,B30/B$3)</f>
        <v>2.9850746268656717E-3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10</v>
      </c>
      <c r="K30" s="5">
        <v>28</v>
      </c>
      <c r="L30" s="73">
        <v>177.7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208</v>
      </c>
    </row>
    <row r="32" spans="1:17" x14ac:dyDescent="0.45">
      <c r="A32" s="64" t="s">
        <v>168</v>
      </c>
      <c r="B32" s="121">
        <v>15</v>
      </c>
      <c r="C32" s="119">
        <f>IF(B$15=0,0,B32/B$15)</f>
        <v>6.8181818181818177E-2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37" t="s">
        <v>164</v>
      </c>
      <c r="B33" s="34">
        <v>18</v>
      </c>
      <c r="C33" s="31">
        <f t="shared" ref="C33:C44" si="2">IF(B$15=0,0,B33/B$15)</f>
        <v>8.1818181818181818E-2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7" t="s">
        <v>165</v>
      </c>
      <c r="B34" s="124">
        <v>26</v>
      </c>
      <c r="C34" s="31">
        <f>IF(B$15=0,0,B34/B$15)</f>
        <v>0.11818181818181818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207.4</v>
      </c>
    </row>
    <row r="35" spans="1:12" x14ac:dyDescent="0.45">
      <c r="A35" s="37" t="s">
        <v>166</v>
      </c>
      <c r="B35" s="124">
        <v>16</v>
      </c>
      <c r="C35" s="31">
        <f t="shared" si="2"/>
        <v>7.2727272727272724E-2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248.4</v>
      </c>
    </row>
    <row r="36" spans="1:12" x14ac:dyDescent="0.45">
      <c r="A36" s="37" t="s">
        <v>167</v>
      </c>
      <c r="B36" s="124">
        <v>20</v>
      </c>
      <c r="C36" s="31">
        <f t="shared" si="2"/>
        <v>9.0909090909090912E-2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169</v>
      </c>
      <c r="B37" s="124">
        <v>10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170</v>
      </c>
      <c r="B38" s="124">
        <v>14</v>
      </c>
      <c r="C38" s="31">
        <f t="shared" si="2"/>
        <v>6.363636363636363E-2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171</v>
      </c>
      <c r="B39" s="124">
        <v>4</v>
      </c>
      <c r="C39" s="31">
        <f t="shared" si="2"/>
        <v>1.8181818181818181E-2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172</v>
      </c>
      <c r="B40" s="124">
        <v>6</v>
      </c>
      <c r="C40" s="31">
        <f t="shared" si="2"/>
        <v>2.7272727272727271E-2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173</v>
      </c>
      <c r="B41" s="124">
        <v>2</v>
      </c>
      <c r="C41" s="31">
        <f t="shared" si="2"/>
        <v>9.0909090909090905E-3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9" t="s">
        <v>176</v>
      </c>
      <c r="B44" s="120">
        <v>2</v>
      </c>
      <c r="C44" s="32">
        <f t="shared" si="2"/>
        <v>9.0909090909090905E-3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258.3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64" t="s">
        <v>181</v>
      </c>
      <c r="B46" s="127">
        <v>432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9" t="s">
        <v>182</v>
      </c>
      <c r="B47" s="135">
        <v>133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215.60000000000002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194.90000000000003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216.70000000000005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  <c r="K51" s="5">
        <v>49</v>
      </c>
      <c r="L51" s="73">
        <v>213.90000000000003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213.90000000000003</v>
      </c>
    </row>
    <row r="53" spans="5:12" x14ac:dyDescent="0.45">
      <c r="K53" s="5">
        <v>51</v>
      </c>
      <c r="L53" s="73">
        <v>292.60000000000002</v>
      </c>
    </row>
    <row r="54" spans="5:12" x14ac:dyDescent="0.45">
      <c r="K54" s="5">
        <v>52</v>
      </c>
      <c r="L54" s="73">
        <v>319.10000000000002</v>
      </c>
    </row>
    <row r="55" spans="5:12" x14ac:dyDescent="0.45">
      <c r="K55" s="5">
        <v>53</v>
      </c>
      <c r="L55" s="73">
        <v>268.60000000000002</v>
      </c>
    </row>
    <row r="56" spans="5:12" x14ac:dyDescent="0.45">
      <c r="K56" s="5">
        <v>54</v>
      </c>
      <c r="L56" s="73">
        <v>253.50000000000003</v>
      </c>
    </row>
    <row r="57" spans="5:12" x14ac:dyDescent="0.45">
      <c r="K57" s="5">
        <v>55</v>
      </c>
      <c r="L57" s="73">
        <v>269.40000000000003</v>
      </c>
    </row>
    <row r="58" spans="5:12" x14ac:dyDescent="0.45">
      <c r="K58" s="5">
        <v>56</v>
      </c>
      <c r="L58" s="73">
        <v>273.8</v>
      </c>
    </row>
    <row r="59" spans="5:12" x14ac:dyDescent="0.45">
      <c r="K59" s="5">
        <v>57</v>
      </c>
      <c r="L59" s="73">
        <v>260.3</v>
      </c>
    </row>
    <row r="60" spans="5:12" x14ac:dyDescent="0.45">
      <c r="K60" s="5">
        <v>58</v>
      </c>
      <c r="L60" s="73">
        <v>293.3</v>
      </c>
    </row>
    <row r="61" spans="5:12" x14ac:dyDescent="0.45">
      <c r="K61" s="5">
        <v>59</v>
      </c>
      <c r="L61" s="73">
        <v>283.3</v>
      </c>
    </row>
    <row r="62" spans="5:12" x14ac:dyDescent="0.45">
      <c r="K62" s="5">
        <v>60</v>
      </c>
      <c r="L62" s="73">
        <v>272.60000000000002</v>
      </c>
    </row>
    <row r="63" spans="5:12" x14ac:dyDescent="0.45">
      <c r="K63" s="5">
        <v>61</v>
      </c>
      <c r="L63" s="73">
        <v>259.20000000000005</v>
      </c>
    </row>
    <row r="64" spans="5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05E35-0DB7-45BC-85A8-F7D3E708449A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185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29">
        <v>37</v>
      </c>
      <c r="C3" s="130"/>
      <c r="E3" s="44" t="s">
        <v>65</v>
      </c>
      <c r="F3" s="41" t="s">
        <v>21</v>
      </c>
      <c r="G3" s="34">
        <v>4</v>
      </c>
      <c r="H3" s="107">
        <f>IF(B$47=0,0,G3/B$47)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1">
        <v>-86.4</v>
      </c>
      <c r="C4" s="132"/>
      <c r="E4" s="44" t="s">
        <v>72</v>
      </c>
      <c r="F4" s="41" t="s">
        <v>27</v>
      </c>
      <c r="G4" s="34">
        <v>4</v>
      </c>
      <c r="H4" s="107">
        <f>IF(B$47=0,0,G4/B$47)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3">
        <f>IF(B$2=0,0,B$4/B$2)</f>
        <v>-17.28</v>
      </c>
      <c r="C5" s="134"/>
      <c r="E5" s="44" t="s">
        <v>68</v>
      </c>
      <c r="F5" s="41" t="s">
        <v>12</v>
      </c>
      <c r="G5" s="34">
        <v>3</v>
      </c>
      <c r="H5" s="107">
        <f>IF(B$47=0,0,G5/B$47)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41">
        <f>IF(B$2=0,0,(B$7*1+B$8*2+B$9*3)/B$2)</f>
        <v>2.2000000000000002</v>
      </c>
      <c r="C6" s="142"/>
      <c r="E6" s="44" t="s">
        <v>67</v>
      </c>
      <c r="F6" s="41" t="s">
        <v>23</v>
      </c>
      <c r="G6" s="34">
        <v>2</v>
      </c>
      <c r="H6" s="107">
        <f>IF(B$47=0,0,G6/B$47)</f>
        <v>0.22222222222222221</v>
      </c>
      <c r="I6" s="68">
        <v>14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</v>
      </c>
      <c r="E7" s="44" t="s">
        <v>79</v>
      </c>
      <c r="F7" s="41" t="s">
        <v>34</v>
      </c>
      <c r="G7" s="34">
        <v>2</v>
      </c>
      <c r="H7" s="107">
        <f>IF(B$47=0,0,G7/B$47)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IF(B$47=0,0,G8/B$47)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IF(B$47=0,0,G9/B$47)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0.4</v>
      </c>
      <c r="E10" s="44" t="s">
        <v>86</v>
      </c>
      <c r="F10" s="41" t="s">
        <v>41</v>
      </c>
      <c r="G10" s="34">
        <v>1</v>
      </c>
      <c r="H10" s="107">
        <f>IF(B$47=0,0,G10/B$47)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40" t="s">
        <v>121</v>
      </c>
      <c r="B11" s="16">
        <v>8</v>
      </c>
      <c r="C11" s="11">
        <f>IF(B$46=0,0,B11/B$46)</f>
        <v>0.25806451612903225</v>
      </c>
      <c r="E11" s="44" t="s">
        <v>70</v>
      </c>
      <c r="F11" s="41" t="s">
        <v>25</v>
      </c>
      <c r="G11" s="34">
        <v>0</v>
      </c>
      <c r="H11" s="107">
        <f>IF(B$47=0,0,G11/B$47)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7" t="s">
        <v>118</v>
      </c>
      <c r="B12" s="34">
        <v>5</v>
      </c>
      <c r="C12" s="31">
        <f>IF(B$46=0,0,B12/B$46)</f>
        <v>0.16129032258064516</v>
      </c>
      <c r="E12" s="44" t="s">
        <v>71</v>
      </c>
      <c r="F12" s="41" t="s">
        <v>26</v>
      </c>
      <c r="G12" s="34">
        <v>0</v>
      </c>
      <c r="H12" s="107">
        <f>IF(B$47=0,0,G12/B$47)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6</v>
      </c>
      <c r="C13" s="4">
        <f>IF(B$11=0,0,B13/B$11)</f>
        <v>0.75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</v>
      </c>
      <c r="C14" s="4">
        <f>IF(B$12=0,0,B14/B$12)</f>
        <v>0.2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0.27027027027027029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13</v>
      </c>
      <c r="B16" s="34">
        <v>8</v>
      </c>
      <c r="C16" s="31">
        <f>IF(B$3=0,0,B16/B$3)</f>
        <v>0.21621621621621623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37" t="s">
        <v>12</v>
      </c>
      <c r="B17" s="34">
        <v>3</v>
      </c>
      <c r="C17" s="31">
        <f>IF(B$15=0,0,B17/B$15)</f>
        <v>0.3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37" t="s">
        <v>11</v>
      </c>
      <c r="B18" s="34">
        <v>7</v>
      </c>
      <c r="C18" s="31">
        <f>IF(B$15=0,0,B18/B$15)</f>
        <v>0.7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37" t="s">
        <v>180</v>
      </c>
      <c r="B19" s="34">
        <v>6</v>
      </c>
      <c r="C19" s="31">
        <f>IF(B$15=0,0,B19/B$15)</f>
        <v>0.6</v>
      </c>
      <c r="E19" s="44" t="s">
        <v>80</v>
      </c>
      <c r="F19" s="41" t="s">
        <v>35</v>
      </c>
      <c r="G19" s="34">
        <v>0</v>
      </c>
      <c r="H19" s="107">
        <f>IF(B$47=0,0,G19/B$47)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178</v>
      </c>
      <c r="B20" s="34">
        <v>1</v>
      </c>
      <c r="C20" s="31">
        <f>IF(B$15=0,0,B20/B$15)</f>
        <v>0.1</v>
      </c>
      <c r="E20" s="44" t="s">
        <v>81</v>
      </c>
      <c r="F20" s="41" t="s">
        <v>36</v>
      </c>
      <c r="G20" s="34">
        <v>0</v>
      </c>
      <c r="H20" s="107">
        <f>IF(B$47=0,0,G20/B$47)</f>
        <v>0</v>
      </c>
      <c r="I20" s="68">
        <v>15</v>
      </c>
    </row>
    <row r="21" spans="1:17" x14ac:dyDescent="0.45">
      <c r="A21" s="37" t="s">
        <v>179</v>
      </c>
      <c r="B21" s="34">
        <v>3</v>
      </c>
      <c r="C21" s="31">
        <f>IF(B$15=0,0,B21/B$15)</f>
        <v>0.3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17" x14ac:dyDescent="0.45">
      <c r="A22" s="37" t="s">
        <v>5</v>
      </c>
      <c r="B22" s="17">
        <f>IF(B$15=0,0,C22/B$15)</f>
        <v>7100</v>
      </c>
      <c r="C22" s="8">
        <v>71000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17" x14ac:dyDescent="0.45">
      <c r="A23" s="38" t="s">
        <v>162</v>
      </c>
      <c r="B23" s="114">
        <f>IF($B$15-B$14=0,0,C23/($B$15-B$14))</f>
        <v>7666.666666666667</v>
      </c>
      <c r="C23" s="115">
        <v>69000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17" x14ac:dyDescent="0.45">
      <c r="A24" s="38" t="s">
        <v>163</v>
      </c>
      <c r="B24" s="114">
        <f>IF(B$14=0,0,C24/B$14)</f>
        <v>2000</v>
      </c>
      <c r="C24" s="115">
        <v>2000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9</v>
      </c>
    </row>
    <row r="25" spans="1:17" x14ac:dyDescent="0.45">
      <c r="A25" s="38" t="s">
        <v>161</v>
      </c>
      <c r="B25" s="114">
        <f>IF(B$16=0,0,C25/B$16)</f>
        <v>-12487.5</v>
      </c>
      <c r="C25" s="115">
        <v>-99900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10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10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18</v>
      </c>
    </row>
    <row r="28" spans="1:17" x14ac:dyDescent="0.45">
      <c r="A28" s="64" t="s">
        <v>134</v>
      </c>
      <c r="B28" s="139">
        <v>3</v>
      </c>
      <c r="C28" s="140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37">
        <v>57800</v>
      </c>
      <c r="C29" s="138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14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1</v>
      </c>
      <c r="C33" s="31">
        <f t="shared" ref="C33:C44" si="2">IF(B$15=0,0,B33/B$15)</f>
        <v>0.1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4">
        <v>5</v>
      </c>
      <c r="C34" s="31">
        <f>IF(B$15=0,0,B34/B$15)</f>
        <v>0.5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4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4">
        <v>2</v>
      </c>
      <c r="C36" s="31">
        <f t="shared" si="2"/>
        <v>0.2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4">
        <v>1</v>
      </c>
      <c r="C37" s="31">
        <f t="shared" si="2"/>
        <v>0.1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31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9</v>
      </c>
      <c r="C47" s="13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10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E577-D948-4149-AC39-2D8DD60219E4}">
  <sheetPr codeName="Sheet10"/>
  <dimension ref="A1:Q26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188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258</v>
      </c>
      <c r="C2" s="128"/>
      <c r="E2" s="43" t="s">
        <v>66</v>
      </c>
      <c r="F2" s="25" t="s">
        <v>22</v>
      </c>
      <c r="G2" s="13">
        <v>407</v>
      </c>
      <c r="H2" s="106">
        <f>IF(B$47=0,0,G2/B$47)</f>
        <v>0.68634064080944346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89.922480620155042</v>
      </c>
      <c r="P2" s="92">
        <v>258</v>
      </c>
      <c r="Q2" s="76">
        <v>23200</v>
      </c>
    </row>
    <row r="3" spans="1:17" x14ac:dyDescent="0.45">
      <c r="A3" s="37" t="s">
        <v>8</v>
      </c>
      <c r="B3" s="129">
        <v>2152</v>
      </c>
      <c r="C3" s="130"/>
      <c r="E3" s="44" t="s">
        <v>72</v>
      </c>
      <c r="F3" s="41" t="s">
        <v>27</v>
      </c>
      <c r="G3" s="34">
        <v>337</v>
      </c>
      <c r="H3" s="107">
        <f>IF(B$47=0,0,G3/B$47)</f>
        <v>0.56829679595278249</v>
      </c>
      <c r="I3" s="68">
        <v>6</v>
      </c>
      <c r="K3" s="5">
        <v>1</v>
      </c>
      <c r="L3" s="73">
        <v>68.2</v>
      </c>
      <c r="N3" s="89" t="s">
        <v>127</v>
      </c>
      <c r="O3" s="96">
        <f t="shared" si="0"/>
        <v>-1859.1269841269841</v>
      </c>
      <c r="P3" s="93">
        <v>252</v>
      </c>
      <c r="Q3" s="77">
        <v>-468500</v>
      </c>
    </row>
    <row r="4" spans="1:17" x14ac:dyDescent="0.45">
      <c r="A4" s="37" t="s">
        <v>6</v>
      </c>
      <c r="B4" s="131">
        <v>-1315.5000000000002</v>
      </c>
      <c r="C4" s="132"/>
      <c r="E4" s="44" t="s">
        <v>64</v>
      </c>
      <c r="F4" s="41" t="s">
        <v>20</v>
      </c>
      <c r="G4" s="34">
        <v>210</v>
      </c>
      <c r="H4" s="107">
        <f>IF(B$47=0,0,G4/B$47)</f>
        <v>0.35413153456998314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-1222.4137931034484</v>
      </c>
      <c r="P4" s="93">
        <v>232</v>
      </c>
      <c r="Q4" s="77">
        <v>-283600</v>
      </c>
    </row>
    <row r="5" spans="1:17" x14ac:dyDescent="0.45">
      <c r="A5" s="37" t="s">
        <v>7</v>
      </c>
      <c r="B5" s="133">
        <f>IF(B$2=0,0,B$4/B$2)</f>
        <v>-5.0988372093023262</v>
      </c>
      <c r="C5" s="134"/>
      <c r="E5" s="44" t="s">
        <v>157</v>
      </c>
      <c r="F5" s="41" t="s">
        <v>158</v>
      </c>
      <c r="G5" s="34">
        <v>193</v>
      </c>
      <c r="H5" s="107">
        <f>IF(B$47=0,0,G5/B$47)</f>
        <v>0.32546374367622261</v>
      </c>
      <c r="I5" s="68">
        <v>7</v>
      </c>
      <c r="K5" s="5">
        <v>3</v>
      </c>
      <c r="L5" s="73">
        <v>82.1</v>
      </c>
      <c r="N5" s="89" t="s">
        <v>129</v>
      </c>
      <c r="O5" s="96">
        <f t="shared" si="0"/>
        <v>-96.818181818181813</v>
      </c>
      <c r="P5" s="93">
        <v>220</v>
      </c>
      <c r="Q5" s="77">
        <v>-21300</v>
      </c>
    </row>
    <row r="6" spans="1:17" x14ac:dyDescent="0.45">
      <c r="A6" s="37" t="s">
        <v>1</v>
      </c>
      <c r="B6" s="141">
        <f>IF(B$2=0,0,(B$7*1+B$8*2+B$9*3)/B$2)</f>
        <v>2.13953488372093</v>
      </c>
      <c r="C6" s="142"/>
      <c r="E6" s="44" t="s">
        <v>68</v>
      </c>
      <c r="F6" s="41" t="s">
        <v>12</v>
      </c>
      <c r="G6" s="34">
        <v>159</v>
      </c>
      <c r="H6" s="107">
        <f>IF(B$47=0,0,G6/B$47)</f>
        <v>0.26812816188870153</v>
      </c>
      <c r="I6" s="68">
        <v>15</v>
      </c>
      <c r="K6" s="5">
        <v>4</v>
      </c>
      <c r="L6" s="73">
        <v>57.699999999999996</v>
      </c>
      <c r="N6" s="89" t="s">
        <v>130</v>
      </c>
      <c r="O6" s="96">
        <f t="shared" si="0"/>
        <v>-586.13861386138615</v>
      </c>
      <c r="P6" s="93">
        <v>202</v>
      </c>
      <c r="Q6" s="77">
        <v>-118400</v>
      </c>
    </row>
    <row r="7" spans="1:17" x14ac:dyDescent="0.45">
      <c r="A7" s="37" t="s">
        <v>2</v>
      </c>
      <c r="B7" s="34">
        <v>66</v>
      </c>
      <c r="C7" s="31">
        <f t="shared" ref="C7:C10" si="1">IF(B$2=0,0,B7/B$2)</f>
        <v>0.2558139534883721</v>
      </c>
      <c r="E7" s="44" t="s">
        <v>67</v>
      </c>
      <c r="F7" s="41" t="s">
        <v>23</v>
      </c>
      <c r="G7" s="34">
        <v>96</v>
      </c>
      <c r="H7" s="107">
        <f>IF(B$47=0,0,G7/B$47)</f>
        <v>0.16188870151770657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-1188.8235294117646</v>
      </c>
      <c r="P7" s="94">
        <v>170</v>
      </c>
      <c r="Q7" s="78">
        <v>-202100</v>
      </c>
    </row>
    <row r="8" spans="1:17" x14ac:dyDescent="0.45">
      <c r="A8" s="37" t="s">
        <v>3</v>
      </c>
      <c r="B8" s="34">
        <v>90</v>
      </c>
      <c r="C8" s="31">
        <f t="shared" si="1"/>
        <v>0.34883720930232559</v>
      </c>
      <c r="E8" s="44" t="s">
        <v>69</v>
      </c>
      <c r="F8" s="41" t="s">
        <v>24</v>
      </c>
      <c r="G8" s="34">
        <v>95</v>
      </c>
      <c r="H8" s="107">
        <f>IF(B$47=0,0,G8/B$47)</f>
        <v>0.16020236087689713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102</v>
      </c>
      <c r="C9" s="7">
        <f t="shared" si="1"/>
        <v>0.39534883720930231</v>
      </c>
      <c r="E9" s="44" t="s">
        <v>65</v>
      </c>
      <c r="F9" s="41" t="s">
        <v>21</v>
      </c>
      <c r="G9" s="34">
        <v>61</v>
      </c>
      <c r="H9" s="107">
        <f>IF(B$47=0,0,G9/B$47)</f>
        <v>0.10286677908937605</v>
      </c>
      <c r="I9" s="68">
        <v>12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27</v>
      </c>
      <c r="C10" s="32">
        <f t="shared" si="1"/>
        <v>0.10465116279069768</v>
      </c>
      <c r="E10" s="44" t="s">
        <v>70</v>
      </c>
      <c r="F10" s="41" t="s">
        <v>25</v>
      </c>
      <c r="G10" s="34">
        <v>51</v>
      </c>
      <c r="H10" s="107">
        <f>IF(B$47=0,0,G10/B$47)</f>
        <v>8.6003372681281623E-2</v>
      </c>
      <c r="I10" s="68">
        <v>10</v>
      </c>
      <c r="K10" s="5">
        <v>8</v>
      </c>
      <c r="L10" s="73">
        <v>96.5</v>
      </c>
      <c r="N10" s="88" t="s">
        <v>149</v>
      </c>
      <c r="O10" s="98">
        <f>IF(P10=0,0,Q10/P10)</f>
        <v>-8.264285714285716</v>
      </c>
      <c r="P10" s="92">
        <v>98</v>
      </c>
      <c r="Q10" s="80">
        <v>-809.9000000000002</v>
      </c>
    </row>
    <row r="11" spans="1:17" x14ac:dyDescent="0.45">
      <c r="A11" s="40" t="s">
        <v>121</v>
      </c>
      <c r="B11" s="16">
        <v>408</v>
      </c>
      <c r="C11" s="11">
        <f>IF(B$46=0,0,B11/B$46)</f>
        <v>0.20689655172413793</v>
      </c>
      <c r="E11" s="44" t="s">
        <v>71</v>
      </c>
      <c r="F11" s="41" t="s">
        <v>26</v>
      </c>
      <c r="G11" s="34">
        <v>48</v>
      </c>
      <c r="H11" s="107">
        <f>IF(B$47=0,0,G11/B$47)</f>
        <v>8.0944350758853284E-2</v>
      </c>
      <c r="I11" s="68">
        <v>5</v>
      </c>
      <c r="K11" s="5">
        <v>9</v>
      </c>
      <c r="L11" s="73">
        <v>82.8</v>
      </c>
      <c r="N11" s="89" t="s">
        <v>150</v>
      </c>
      <c r="O11" s="99">
        <f>IF(P11=0,0,Q11/P11)</f>
        <v>-3.0972602739726023</v>
      </c>
      <c r="P11" s="93">
        <v>73</v>
      </c>
      <c r="Q11" s="81">
        <v>-226.09999999999997</v>
      </c>
    </row>
    <row r="12" spans="1:17" x14ac:dyDescent="0.45">
      <c r="A12" s="37" t="s">
        <v>118</v>
      </c>
      <c r="B12" s="34">
        <v>540</v>
      </c>
      <c r="C12" s="31">
        <f>IF(B$46=0,0,B12/B$46)</f>
        <v>0.2738336713995943</v>
      </c>
      <c r="E12" s="44" t="s">
        <v>89</v>
      </c>
      <c r="F12" s="41" t="s">
        <v>44</v>
      </c>
      <c r="G12" s="34">
        <v>44</v>
      </c>
      <c r="H12" s="107">
        <f>IF(B$47=0,0,G12/B$47)</f>
        <v>7.4198988195615517E-2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-3.2126436781609193</v>
      </c>
      <c r="P12" s="94">
        <v>87</v>
      </c>
      <c r="Q12" s="82">
        <v>-279.5</v>
      </c>
    </row>
    <row r="13" spans="1:17" x14ac:dyDescent="0.45">
      <c r="A13" s="19" t="s">
        <v>123</v>
      </c>
      <c r="B13" s="13">
        <v>212</v>
      </c>
      <c r="C13" s="4">
        <f>IF(B$11=0,0,B13/B$11)</f>
        <v>0.51960784313725494</v>
      </c>
      <c r="E13" s="44" t="s">
        <v>83</v>
      </c>
      <c r="F13" s="41" t="s">
        <v>38</v>
      </c>
      <c r="G13" s="34">
        <v>36</v>
      </c>
      <c r="H13" s="107">
        <f>IF(B$47=0,0,G13/B$47)</f>
        <v>6.0708263069139963E-2</v>
      </c>
      <c r="I13" s="68">
        <v>4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218</v>
      </c>
      <c r="C14" s="4">
        <f>IF(B$12=0,0,B14/B$12)</f>
        <v>0.40370370370370373</v>
      </c>
      <c r="E14" s="44" t="s">
        <v>86</v>
      </c>
      <c r="F14" s="41" t="s">
        <v>41</v>
      </c>
      <c r="G14" s="34">
        <v>23</v>
      </c>
      <c r="H14" s="107">
        <f>IF(B$47=0,0,G14/B$47)</f>
        <v>3.87858347386172E-2</v>
      </c>
      <c r="I14" s="68">
        <v>14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644</v>
      </c>
      <c r="C15" s="4">
        <f>IF(B$3=0,0,B15/B$3)</f>
        <v>0.2992565055762082</v>
      </c>
      <c r="E15" s="44" t="s">
        <v>81</v>
      </c>
      <c r="F15" s="41" t="s">
        <v>36</v>
      </c>
      <c r="G15" s="34">
        <v>19</v>
      </c>
      <c r="H15" s="107">
        <f>IF(B$47=0,0,G15/B$47)</f>
        <v>3.2040472175379427E-2</v>
      </c>
      <c r="I15" s="68">
        <v>5</v>
      </c>
      <c r="K15" s="5">
        <v>13</v>
      </c>
      <c r="L15" s="73">
        <v>13.299999999999994</v>
      </c>
      <c r="N15" s="88" t="s">
        <v>189</v>
      </c>
      <c r="O15" s="98">
        <f>IF(P15=0,0,Q15/P15)</f>
        <v>51.55</v>
      </c>
      <c r="P15" s="92">
        <v>2</v>
      </c>
      <c r="Q15" s="80">
        <v>103.1</v>
      </c>
    </row>
    <row r="16" spans="1:17" x14ac:dyDescent="0.45">
      <c r="A16" s="37" t="s">
        <v>13</v>
      </c>
      <c r="B16" s="34">
        <v>351</v>
      </c>
      <c r="C16" s="31">
        <f>IF(B$3=0,0,B16/B$3)</f>
        <v>0.16310408921933087</v>
      </c>
      <c r="E16" s="44" t="s">
        <v>78</v>
      </c>
      <c r="F16" s="41" t="s">
        <v>33</v>
      </c>
      <c r="G16" s="34">
        <v>10</v>
      </c>
      <c r="H16" s="107">
        <f>IF(B$47=0,0,G16/B$47)</f>
        <v>1.6863406408094434E-2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37" t="s">
        <v>12</v>
      </c>
      <c r="B17" s="34">
        <v>271</v>
      </c>
      <c r="C17" s="31">
        <f>IF(B$15=0,0,B17/B$15)</f>
        <v>0.42080745341614906</v>
      </c>
      <c r="E17" s="44" t="s">
        <v>79</v>
      </c>
      <c r="F17" s="41" t="s">
        <v>34</v>
      </c>
      <c r="G17" s="34">
        <v>9</v>
      </c>
      <c r="H17" s="107">
        <f>IF(B$47=0,0,G17/B$47)</f>
        <v>1.5177065767284991E-2</v>
      </c>
      <c r="I17" s="68">
        <v>10</v>
      </c>
      <c r="K17" s="5">
        <v>15</v>
      </c>
      <c r="L17" s="73">
        <v>-33.700000000000003</v>
      </c>
      <c r="N17" s="89" t="s">
        <v>193</v>
      </c>
      <c r="O17" s="99">
        <f>IF(P17=0,0,Q17/P17)</f>
        <v>9.3460784313725469</v>
      </c>
      <c r="P17" s="93">
        <v>102</v>
      </c>
      <c r="Q17" s="81">
        <v>953.29999999999973</v>
      </c>
    </row>
    <row r="18" spans="1:17" x14ac:dyDescent="0.45">
      <c r="A18" s="37" t="s">
        <v>11</v>
      </c>
      <c r="B18" s="34">
        <v>373</v>
      </c>
      <c r="C18" s="31">
        <f>IF(B$15=0,0,B18/B$15)</f>
        <v>0.57919254658385089</v>
      </c>
      <c r="E18" s="44" t="s">
        <v>91</v>
      </c>
      <c r="F18" s="41" t="s">
        <v>46</v>
      </c>
      <c r="G18" s="34">
        <v>7</v>
      </c>
      <c r="H18" s="107">
        <f>IF(B$47=0,0,G18/B$47)</f>
        <v>1.1804384485666104E-2</v>
      </c>
      <c r="I18" s="68">
        <v>12</v>
      </c>
      <c r="K18" s="5">
        <v>16</v>
      </c>
      <c r="L18" s="73">
        <v>-45.300000000000004</v>
      </c>
      <c r="N18" s="89" t="s">
        <v>186</v>
      </c>
      <c r="O18" s="99">
        <f>IF(P18=0,0,Q18/P18)</f>
        <v>5.1315789473684195</v>
      </c>
      <c r="P18" s="93">
        <v>19</v>
      </c>
      <c r="Q18" s="81">
        <v>97.499999999999972</v>
      </c>
    </row>
    <row r="19" spans="1:17" x14ac:dyDescent="0.45">
      <c r="A19" s="37" t="s">
        <v>180</v>
      </c>
      <c r="B19" s="34">
        <v>212</v>
      </c>
      <c r="C19" s="31">
        <f>IF(B$15=0,0,B19/B$15)</f>
        <v>0.32919254658385094</v>
      </c>
      <c r="E19" s="44" t="s">
        <v>74</v>
      </c>
      <c r="F19" s="41" t="s">
        <v>29</v>
      </c>
      <c r="G19" s="34">
        <v>4</v>
      </c>
      <c r="H19" s="107">
        <f>IF(B$47=0,0,G19/B$47)</f>
        <v>6.7453625632377737E-3</v>
      </c>
      <c r="I19" s="68">
        <v>3</v>
      </c>
      <c r="K19" s="5">
        <v>17</v>
      </c>
      <c r="L19" s="73">
        <v>-45.000000000000007</v>
      </c>
      <c r="N19" s="89" t="s">
        <v>187</v>
      </c>
      <c r="O19" s="99">
        <f>IF(P19=0,0,Q19/P19)</f>
        <v>2.1131147540983592</v>
      </c>
      <c r="P19" s="93">
        <v>61</v>
      </c>
      <c r="Q19" s="81">
        <v>128.89999999999992</v>
      </c>
    </row>
    <row r="20" spans="1:17" x14ac:dyDescent="0.45">
      <c r="A20" s="37" t="s">
        <v>178</v>
      </c>
      <c r="B20" s="34">
        <v>218</v>
      </c>
      <c r="C20" s="31">
        <f>IF(B$15=0,0,B20/B$15)</f>
        <v>0.33850931677018631</v>
      </c>
      <c r="E20" s="44" t="s">
        <v>75</v>
      </c>
      <c r="F20" s="41" t="s">
        <v>30</v>
      </c>
      <c r="G20" s="34">
        <v>3</v>
      </c>
      <c r="H20" s="107">
        <f>IF(B$47=0,0,G20/B$47)</f>
        <v>5.0590219224283303E-3</v>
      </c>
      <c r="I20" s="68">
        <v>8</v>
      </c>
      <c r="K20" s="5">
        <v>18</v>
      </c>
      <c r="L20" s="73">
        <v>-30.300000000000008</v>
      </c>
      <c r="N20" s="89" t="s">
        <v>190</v>
      </c>
      <c r="O20" s="99">
        <f>IF(P20=0,0,Q20/P20)</f>
        <v>-7.6493333333333373</v>
      </c>
      <c r="P20" s="93">
        <v>75</v>
      </c>
      <c r="Q20" s="81">
        <v>-573.70000000000027</v>
      </c>
    </row>
    <row r="21" spans="1:17" x14ac:dyDescent="0.45">
      <c r="A21" s="37" t="s">
        <v>179</v>
      </c>
      <c r="B21" s="34">
        <v>214</v>
      </c>
      <c r="C21" s="31">
        <f>IF(B$15=0,0,B21/B$15)</f>
        <v>0.33229813664596275</v>
      </c>
      <c r="E21" s="44" t="s">
        <v>77</v>
      </c>
      <c r="F21" s="41" t="s">
        <v>32</v>
      </c>
      <c r="G21" s="34">
        <v>3</v>
      </c>
      <c r="H21" s="107">
        <f>IF(B$47=0,0,G21/B$47)</f>
        <v>5.0590219224283303E-3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-14.047457627118645</v>
      </c>
      <c r="P21" s="93">
        <v>59</v>
      </c>
      <c r="Q21" s="81">
        <v>-828.80000000000007</v>
      </c>
    </row>
    <row r="22" spans="1:17" x14ac:dyDescent="0.45">
      <c r="A22" s="37" t="s">
        <v>5</v>
      </c>
      <c r="B22" s="17">
        <f>IF(B$15=0,0,C22/B$15)</f>
        <v>7418.1677018633536</v>
      </c>
      <c r="C22" s="8">
        <v>4777300</v>
      </c>
      <c r="E22" s="44" t="s">
        <v>88</v>
      </c>
      <c r="F22" s="41" t="s">
        <v>43</v>
      </c>
      <c r="G22" s="34">
        <v>2</v>
      </c>
      <c r="H22" s="107">
        <f>IF(B$47=0,0,G22/B$47)</f>
        <v>3.3726812816188868E-3</v>
      </c>
      <c r="I22" s="68">
        <v>1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5">
      <c r="A23" s="38" t="s">
        <v>162</v>
      </c>
      <c r="B23" s="114">
        <f>IF($B$15-B$14=0,0,C23/($B$15-B$14))</f>
        <v>8073.2394366197186</v>
      </c>
      <c r="C23" s="115">
        <v>3439200</v>
      </c>
      <c r="E23" s="44" t="s">
        <v>73</v>
      </c>
      <c r="F23" s="41" t="s">
        <v>28</v>
      </c>
      <c r="G23" s="34">
        <v>1</v>
      </c>
      <c r="H23" s="107">
        <f>IF(B$47=0,0,G23/B$47)</f>
        <v>1.6863406408094434E-3</v>
      </c>
      <c r="I23" s="68">
        <v>10</v>
      </c>
      <c r="K23" s="5">
        <v>21</v>
      </c>
      <c r="L23" s="73">
        <v>-29.600000000000005</v>
      </c>
      <c r="N23" s="89" t="s">
        <v>195</v>
      </c>
      <c r="O23" s="99">
        <f>IF(P23=0,0,Q23/P23)</f>
        <v>-19.419871794871796</v>
      </c>
      <c r="P23" s="93">
        <v>156</v>
      </c>
      <c r="Q23" s="81">
        <v>-3029.5</v>
      </c>
    </row>
    <row r="24" spans="1:17" x14ac:dyDescent="0.45">
      <c r="A24" s="38" t="s">
        <v>163</v>
      </c>
      <c r="B24" s="114">
        <f>IF(B$14=0,0,C24/B$14)</f>
        <v>6138.0733944954127</v>
      </c>
      <c r="C24" s="115">
        <v>1338100</v>
      </c>
      <c r="E24" s="44" t="s">
        <v>84</v>
      </c>
      <c r="F24" s="41" t="s">
        <v>39</v>
      </c>
      <c r="G24" s="34">
        <v>1</v>
      </c>
      <c r="H24" s="107">
        <f>IF(B$47=0,0,G24/B$47)</f>
        <v>1.6863406408094434E-3</v>
      </c>
      <c r="I24" s="68">
        <v>6</v>
      </c>
      <c r="K24" s="5">
        <v>22</v>
      </c>
      <c r="L24" s="73">
        <v>-4.7000000000000064</v>
      </c>
      <c r="N24" s="89" t="s">
        <v>192</v>
      </c>
      <c r="O24" s="99">
        <f>IF(P24=0,0,Q24/P24)</f>
        <v>-26.638888888888889</v>
      </c>
      <c r="P24" s="93">
        <v>18</v>
      </c>
      <c r="Q24" s="81">
        <v>-479.5</v>
      </c>
    </row>
    <row r="25" spans="1:17" x14ac:dyDescent="0.45">
      <c r="A25" s="38" t="s">
        <v>161</v>
      </c>
      <c r="B25" s="114">
        <f>IF(B$16=0,0,C25/B$16)</f>
        <v>-8601.1396011396009</v>
      </c>
      <c r="C25" s="115">
        <v>-3019000</v>
      </c>
      <c r="E25" s="44" t="s">
        <v>87</v>
      </c>
      <c r="F25" s="41" t="s">
        <v>42</v>
      </c>
      <c r="G25" s="34">
        <v>1</v>
      </c>
      <c r="H25" s="107">
        <f>IF(B$47=0,0,G25/B$47)</f>
        <v>1.6863406408094434E-3</v>
      </c>
      <c r="I25" s="68">
        <v>7</v>
      </c>
      <c r="K25" s="5">
        <v>23</v>
      </c>
      <c r="L25" s="73">
        <v>-18.600000000000009</v>
      </c>
      <c r="N25" s="89" t="s">
        <v>197</v>
      </c>
      <c r="O25" s="99">
        <f>IF(P25=0,0,Q25/P25)</f>
        <v>-32.455555555555549</v>
      </c>
      <c r="P25" s="93">
        <v>9</v>
      </c>
      <c r="Q25" s="81">
        <v>-292.09999999999997</v>
      </c>
    </row>
    <row r="26" spans="1:17" x14ac:dyDescent="0.45">
      <c r="A26" s="37" t="s">
        <v>155</v>
      </c>
      <c r="B26" s="34">
        <v>10</v>
      </c>
      <c r="C26" s="109">
        <v>0</v>
      </c>
      <c r="E26" s="44" t="s">
        <v>90</v>
      </c>
      <c r="F26" s="41" t="s">
        <v>45</v>
      </c>
      <c r="G26" s="34">
        <v>1</v>
      </c>
      <c r="H26" s="107">
        <f>IF(B$47=0,0,G26/B$47)</f>
        <v>1.6863406408094434E-3</v>
      </c>
      <c r="I26" s="68">
        <v>5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93</v>
      </c>
      <c r="F27" s="41" t="s">
        <v>48</v>
      </c>
      <c r="G27" s="34">
        <v>1</v>
      </c>
      <c r="H27" s="107">
        <f>IF(B$47=0,0,G27/B$47)</f>
        <v>1.6863406408094434E-3</v>
      </c>
      <c r="I27" s="68">
        <v>7</v>
      </c>
      <c r="K27" s="5">
        <v>25</v>
      </c>
      <c r="L27" s="73">
        <v>-37.900000000000006</v>
      </c>
    </row>
    <row r="28" spans="1:17" x14ac:dyDescent="0.45">
      <c r="A28" s="64" t="s">
        <v>134</v>
      </c>
      <c r="B28" s="139">
        <v>7</v>
      </c>
      <c r="C28" s="140"/>
      <c r="E28" s="44" t="s">
        <v>76</v>
      </c>
      <c r="F28" s="41" t="s">
        <v>31</v>
      </c>
      <c r="G28" s="34">
        <v>0</v>
      </c>
      <c r="H28" s="107">
        <f>IF(B$47=0,0,G28/B$47)</f>
        <v>0</v>
      </c>
      <c r="I28" s="68">
        <v>1</v>
      </c>
      <c r="K28" s="5">
        <v>26</v>
      </c>
      <c r="L28" s="73">
        <v>-59.800000000000004</v>
      </c>
    </row>
    <row r="29" spans="1:17" x14ac:dyDescent="0.45">
      <c r="A29" s="40" t="s">
        <v>177</v>
      </c>
      <c r="B29" s="137">
        <v>103200</v>
      </c>
      <c r="C29" s="138"/>
      <c r="E29" s="44" t="s">
        <v>80</v>
      </c>
      <c r="F29" s="41" t="s">
        <v>35</v>
      </c>
      <c r="G29" s="34">
        <v>0</v>
      </c>
      <c r="H29" s="107">
        <f>IF(B$47=0,0,G29/B$47)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9" t="s">
        <v>135</v>
      </c>
      <c r="B30" s="27">
        <v>5</v>
      </c>
      <c r="C30" s="32">
        <f>IF(B$3=0,0,B30/B$3)</f>
        <v>2.3234200743494425E-3</v>
      </c>
      <c r="E30" s="44" t="s">
        <v>82</v>
      </c>
      <c r="F30" s="41" t="s">
        <v>37</v>
      </c>
      <c r="G30" s="34">
        <v>0</v>
      </c>
      <c r="H30" s="107">
        <f>IF(B$47=0,0,G30/B$47)</f>
        <v>0</v>
      </c>
      <c r="I30" s="68">
        <v>1</v>
      </c>
      <c r="K30" s="5">
        <v>28</v>
      </c>
      <c r="L30" s="73">
        <v>-53.1</v>
      </c>
    </row>
    <row r="31" spans="1:17" x14ac:dyDescent="0.45">
      <c r="E31" s="44" t="s">
        <v>85</v>
      </c>
      <c r="F31" s="41" t="s">
        <v>40</v>
      </c>
      <c r="G31" s="34">
        <v>0</v>
      </c>
      <c r="H31" s="107">
        <f>IF(B$47=0,0,G31/B$47)</f>
        <v>0</v>
      </c>
      <c r="I31" s="68">
        <v>9</v>
      </c>
      <c r="K31" s="5">
        <v>29</v>
      </c>
      <c r="L31" s="73">
        <v>-12.899999999999999</v>
      </c>
    </row>
    <row r="32" spans="1:17" x14ac:dyDescent="0.45">
      <c r="A32" s="64" t="s">
        <v>168</v>
      </c>
      <c r="B32" s="121">
        <v>62</v>
      </c>
      <c r="C32" s="119">
        <f>IF(B$15=0,0,B32/B$15)</f>
        <v>9.627329192546584E-2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37" t="s">
        <v>164</v>
      </c>
      <c r="B33" s="34">
        <v>131</v>
      </c>
      <c r="C33" s="31">
        <f t="shared" ref="C33:C44" si="2">IF(B$15=0,0,B33/B$15)</f>
        <v>0.20341614906832298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7" t="s">
        <v>165</v>
      </c>
      <c r="B34" s="124">
        <v>117</v>
      </c>
      <c r="C34" s="31">
        <f>IF(B$15=0,0,B34/B$15)</f>
        <v>0.18167701863354038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-70.399999999999991</v>
      </c>
    </row>
    <row r="35" spans="1:12" x14ac:dyDescent="0.45">
      <c r="A35" s="37" t="s">
        <v>166</v>
      </c>
      <c r="B35" s="124">
        <v>112</v>
      </c>
      <c r="C35" s="31">
        <f t="shared" si="2"/>
        <v>0.17391304347826086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37" t="s">
        <v>167</v>
      </c>
      <c r="B36" s="124">
        <v>85</v>
      </c>
      <c r="C36" s="31">
        <f t="shared" si="2"/>
        <v>0.13198757763975155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169</v>
      </c>
      <c r="B37" s="124">
        <v>40</v>
      </c>
      <c r="C37" s="31">
        <f t="shared" si="2"/>
        <v>6.2111801242236024E-2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170</v>
      </c>
      <c r="B38" s="124">
        <v>23</v>
      </c>
      <c r="C38" s="31">
        <f t="shared" si="2"/>
        <v>3.5714285714285712E-2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171</v>
      </c>
      <c r="B39" s="124">
        <v>16</v>
      </c>
      <c r="C39" s="31">
        <f t="shared" si="2"/>
        <v>2.4844720496894408E-2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172</v>
      </c>
      <c r="B40" s="124">
        <v>4</v>
      </c>
      <c r="C40" s="31">
        <f t="shared" si="2"/>
        <v>6.2111801242236021E-3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173</v>
      </c>
      <c r="B41" s="124">
        <v>1</v>
      </c>
      <c r="C41" s="31">
        <f t="shared" si="2"/>
        <v>1.5527950310559005E-3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174</v>
      </c>
      <c r="B42" s="124">
        <v>1</v>
      </c>
      <c r="C42" s="31">
        <f t="shared" si="2"/>
        <v>1.5527950310559005E-3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9" t="s">
        <v>176</v>
      </c>
      <c r="B44" s="120">
        <v>1</v>
      </c>
      <c r="C44" s="32">
        <f t="shared" si="2"/>
        <v>1.5527950310559005E-3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64" t="s">
        <v>181</v>
      </c>
      <c r="B46" s="127">
        <v>1972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9" t="s">
        <v>182</v>
      </c>
      <c r="B47" s="135">
        <v>593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-321.89999999999998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-326.09999999999997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-386.4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  <c r="K51" s="5">
        <v>49</v>
      </c>
      <c r="L51" s="73">
        <v>-402.29999999999995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-396.29999999999995</v>
      </c>
    </row>
    <row r="53" spans="5:12" x14ac:dyDescent="0.45">
      <c r="K53" s="5">
        <v>51</v>
      </c>
      <c r="L53" s="73">
        <v>-417.29999999999995</v>
      </c>
    </row>
    <row r="54" spans="5:12" x14ac:dyDescent="0.45">
      <c r="K54" s="5">
        <v>52</v>
      </c>
      <c r="L54" s="73">
        <v>-421.29999999999995</v>
      </c>
    </row>
    <row r="55" spans="5:12" x14ac:dyDescent="0.45">
      <c r="K55" s="5">
        <v>53</v>
      </c>
      <c r="L55" s="73">
        <v>-451.69999999999993</v>
      </c>
    </row>
    <row r="56" spans="5:12" x14ac:dyDescent="0.45">
      <c r="K56" s="5">
        <v>54</v>
      </c>
      <c r="L56" s="73">
        <v>-445.09999999999991</v>
      </c>
    </row>
    <row r="57" spans="5:12" x14ac:dyDescent="0.45">
      <c r="K57" s="5">
        <v>55</v>
      </c>
      <c r="L57" s="73">
        <v>-465.59999999999991</v>
      </c>
    </row>
    <row r="58" spans="5:12" x14ac:dyDescent="0.45">
      <c r="K58" s="5">
        <v>56</v>
      </c>
      <c r="L58" s="73">
        <v>-502.59999999999991</v>
      </c>
    </row>
    <row r="59" spans="5:12" x14ac:dyDescent="0.45">
      <c r="K59" s="5">
        <v>57</v>
      </c>
      <c r="L59" s="73">
        <v>-533.29999999999995</v>
      </c>
    </row>
    <row r="60" spans="5:12" x14ac:dyDescent="0.45">
      <c r="K60" s="5">
        <v>58</v>
      </c>
      <c r="L60" s="73">
        <v>-573.29999999999995</v>
      </c>
    </row>
    <row r="61" spans="5:12" x14ac:dyDescent="0.45">
      <c r="K61" s="5">
        <v>59</v>
      </c>
      <c r="L61" s="73">
        <v>-550.79999999999995</v>
      </c>
    </row>
    <row r="62" spans="5:12" x14ac:dyDescent="0.45">
      <c r="K62" s="5">
        <v>60</v>
      </c>
      <c r="L62" s="73">
        <v>-535.29999999999995</v>
      </c>
    </row>
    <row r="63" spans="5:12" x14ac:dyDescent="0.45">
      <c r="K63" s="5">
        <v>61</v>
      </c>
      <c r="L63" s="73">
        <v>-492.29999999999995</v>
      </c>
    </row>
    <row r="64" spans="5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EC27E-A4D2-4245-BEE5-FDF7D409635B}">
  <sheetPr codeName="Sheet11"/>
  <dimension ref="A1:Q44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193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439</v>
      </c>
      <c r="C2" s="128"/>
      <c r="E2" s="43" t="s">
        <v>66</v>
      </c>
      <c r="F2" s="25" t="s">
        <v>22</v>
      </c>
      <c r="G2" s="13">
        <v>798</v>
      </c>
      <c r="H2" s="106">
        <f>IF(B$47=0,0,G2/B$47)</f>
        <v>0.79245283018867929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-897.93103448275861</v>
      </c>
      <c r="P2" s="92">
        <v>435</v>
      </c>
      <c r="Q2" s="76">
        <v>-390600</v>
      </c>
    </row>
    <row r="3" spans="1:17" x14ac:dyDescent="0.45">
      <c r="A3" s="37" t="s">
        <v>8</v>
      </c>
      <c r="B3" s="129">
        <v>3589</v>
      </c>
      <c r="C3" s="130"/>
      <c r="E3" s="44" t="s">
        <v>72</v>
      </c>
      <c r="F3" s="41" t="s">
        <v>27</v>
      </c>
      <c r="G3" s="34">
        <v>525</v>
      </c>
      <c r="H3" s="107">
        <f>IF(B$47=0,0,G3/B$47)</f>
        <v>0.52135054617676269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-34.597156398104268</v>
      </c>
      <c r="P3" s="93">
        <v>422</v>
      </c>
      <c r="Q3" s="77">
        <v>-14600</v>
      </c>
    </row>
    <row r="4" spans="1:17" x14ac:dyDescent="0.45">
      <c r="A4" s="37" t="s">
        <v>6</v>
      </c>
      <c r="B4" s="131">
        <v>-943.10000000000059</v>
      </c>
      <c r="C4" s="132"/>
      <c r="E4" s="44" t="s">
        <v>64</v>
      </c>
      <c r="F4" s="41" t="s">
        <v>20</v>
      </c>
      <c r="G4" s="34">
        <v>456</v>
      </c>
      <c r="H4" s="107">
        <f>IF(B$47=0,0,G4/B$47)</f>
        <v>0.45283018867924529</v>
      </c>
      <c r="I4" s="68">
        <v>15</v>
      </c>
      <c r="K4" s="5">
        <v>2</v>
      </c>
      <c r="L4" s="73">
        <v>-45.300000000000004</v>
      </c>
      <c r="N4" s="89" t="s">
        <v>128</v>
      </c>
      <c r="O4" s="96">
        <f t="shared" si="0"/>
        <v>330.88607594936707</v>
      </c>
      <c r="P4" s="93">
        <v>395</v>
      </c>
      <c r="Q4" s="77">
        <v>130700</v>
      </c>
    </row>
    <row r="5" spans="1:17" x14ac:dyDescent="0.45">
      <c r="A5" s="37" t="s">
        <v>7</v>
      </c>
      <c r="B5" s="133">
        <f>IF(B$2=0,0,B$4/B$2)</f>
        <v>-2.1482915717539877</v>
      </c>
      <c r="C5" s="134"/>
      <c r="E5" s="44" t="s">
        <v>68</v>
      </c>
      <c r="F5" s="41" t="s">
        <v>12</v>
      </c>
      <c r="G5" s="34">
        <v>309</v>
      </c>
      <c r="H5" s="107">
        <f>IF(B$47=0,0,G5/B$47)</f>
        <v>0.30685203574975173</v>
      </c>
      <c r="I5" s="68">
        <v>12</v>
      </c>
      <c r="K5" s="5">
        <v>3</v>
      </c>
      <c r="L5" s="73">
        <v>-81.7</v>
      </c>
      <c r="N5" s="89" t="s">
        <v>129</v>
      </c>
      <c r="O5" s="96">
        <f t="shared" si="0"/>
        <v>-1122.6158038147139</v>
      </c>
      <c r="P5" s="93">
        <v>367</v>
      </c>
      <c r="Q5" s="77">
        <v>-412000</v>
      </c>
    </row>
    <row r="6" spans="1:17" x14ac:dyDescent="0.45">
      <c r="A6" s="37" t="s">
        <v>1</v>
      </c>
      <c r="B6" s="141">
        <f>IF(B$2=0,0,(B$7*1+B$8*2+B$9*3)/B$2)</f>
        <v>2.0091116173120729</v>
      </c>
      <c r="C6" s="142"/>
      <c r="E6" s="44" t="s">
        <v>157</v>
      </c>
      <c r="F6" s="41" t="s">
        <v>158</v>
      </c>
      <c r="G6" s="34">
        <v>297</v>
      </c>
      <c r="H6" s="107">
        <f>IF(B$47=0,0,G6/B$47)</f>
        <v>0.29493545183714004</v>
      </c>
      <c r="I6" s="68">
        <v>10</v>
      </c>
      <c r="K6" s="5">
        <v>4</v>
      </c>
      <c r="L6" s="73">
        <v>-114.30000000000001</v>
      </c>
      <c r="N6" s="89" t="s">
        <v>130</v>
      </c>
      <c r="O6" s="96">
        <f t="shared" si="0"/>
        <v>24.012158054711247</v>
      </c>
      <c r="P6" s="93">
        <v>329</v>
      </c>
      <c r="Q6" s="77">
        <v>7900</v>
      </c>
    </row>
    <row r="7" spans="1:17" x14ac:dyDescent="0.45">
      <c r="A7" s="37" t="s">
        <v>2</v>
      </c>
      <c r="B7" s="34">
        <v>147</v>
      </c>
      <c r="C7" s="31">
        <f t="shared" ref="C7:C10" si="1">IF(B$2=0,0,B7/B$2)</f>
        <v>0.33485193621867881</v>
      </c>
      <c r="E7" s="44" t="s">
        <v>67</v>
      </c>
      <c r="F7" s="41" t="s">
        <v>23</v>
      </c>
      <c r="G7" s="34">
        <v>261</v>
      </c>
      <c r="H7" s="107">
        <f>IF(B$47=0,0,G7/B$47)</f>
        <v>0.25918570009930486</v>
      </c>
      <c r="I7" s="68">
        <v>12</v>
      </c>
      <c r="K7" s="5">
        <v>5</v>
      </c>
      <c r="L7" s="73">
        <v>-136.30000000000001</v>
      </c>
      <c r="N7" s="90" t="s">
        <v>131</v>
      </c>
      <c r="O7" s="97">
        <f t="shared" si="0"/>
        <v>121.98581560283688</v>
      </c>
      <c r="P7" s="94">
        <v>282</v>
      </c>
      <c r="Q7" s="78">
        <v>34400</v>
      </c>
    </row>
    <row r="8" spans="1:17" x14ac:dyDescent="0.45">
      <c r="A8" s="37" t="s">
        <v>3</v>
      </c>
      <c r="B8" s="34">
        <v>141</v>
      </c>
      <c r="C8" s="31">
        <f t="shared" si="1"/>
        <v>0.32118451025056949</v>
      </c>
      <c r="E8" s="44" t="s">
        <v>69</v>
      </c>
      <c r="F8" s="41" t="s">
        <v>24</v>
      </c>
      <c r="G8" s="34">
        <v>145</v>
      </c>
      <c r="H8" s="107">
        <f>IF(B$47=0,0,G8/B$47)</f>
        <v>0.14399205561072492</v>
      </c>
      <c r="I8" s="68">
        <v>9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151</v>
      </c>
      <c r="C9" s="7">
        <f t="shared" si="1"/>
        <v>0.3439635535307517</v>
      </c>
      <c r="E9" s="44" t="s">
        <v>89</v>
      </c>
      <c r="F9" s="41" t="s">
        <v>44</v>
      </c>
      <c r="G9" s="34">
        <v>126</v>
      </c>
      <c r="H9" s="107">
        <f>IF(B$47=0,0,G9/B$47)</f>
        <v>0.12512413108242304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57</v>
      </c>
      <c r="C10" s="32">
        <f t="shared" si="1"/>
        <v>0.12984054669703873</v>
      </c>
      <c r="E10" s="44" t="s">
        <v>70</v>
      </c>
      <c r="F10" s="41" t="s">
        <v>25</v>
      </c>
      <c r="G10" s="34">
        <v>117</v>
      </c>
      <c r="H10" s="107">
        <f>IF(B$47=0,0,G10/B$47)</f>
        <v>0.11618669314796425</v>
      </c>
      <c r="I10" s="68">
        <v>5</v>
      </c>
      <c r="K10" s="5">
        <v>8</v>
      </c>
      <c r="L10" s="73">
        <v>-52.300000000000018</v>
      </c>
      <c r="N10" s="88" t="s">
        <v>149</v>
      </c>
      <c r="O10" s="98">
        <f>IF(P10=0,0,Q10/P10)</f>
        <v>-2.3335664335664319</v>
      </c>
      <c r="P10" s="92">
        <v>143</v>
      </c>
      <c r="Q10" s="80">
        <v>-333.69999999999976</v>
      </c>
    </row>
    <row r="11" spans="1:17" x14ac:dyDescent="0.45">
      <c r="A11" s="40" t="s">
        <v>121</v>
      </c>
      <c r="B11" s="16">
        <v>877</v>
      </c>
      <c r="C11" s="11">
        <f>IF(B$46=0,0,B11/B$46)</f>
        <v>0.25324862835691597</v>
      </c>
      <c r="E11" s="44" t="s">
        <v>65</v>
      </c>
      <c r="F11" s="41" t="s">
        <v>21</v>
      </c>
      <c r="G11" s="34">
        <v>95</v>
      </c>
      <c r="H11" s="107">
        <f>IF(B$47=0,0,G11/B$47)</f>
        <v>9.4339622641509441E-2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-1.6910344827586212</v>
      </c>
      <c r="P11" s="93">
        <v>145</v>
      </c>
      <c r="Q11" s="81">
        <v>-245.20000000000007</v>
      </c>
    </row>
    <row r="12" spans="1:17" x14ac:dyDescent="0.45">
      <c r="A12" s="37" t="s">
        <v>118</v>
      </c>
      <c r="B12" s="34">
        <v>823</v>
      </c>
      <c r="C12" s="31">
        <f>IF(B$46=0,0,B12/B$46)</f>
        <v>0.23765521224371933</v>
      </c>
      <c r="E12" s="44" t="s">
        <v>71</v>
      </c>
      <c r="F12" s="41" t="s">
        <v>26</v>
      </c>
      <c r="G12" s="34">
        <v>92</v>
      </c>
      <c r="H12" s="107">
        <f>IF(B$47=0,0,G12/B$47)</f>
        <v>9.1360476663356505E-2</v>
      </c>
      <c r="I12" s="68">
        <v>2</v>
      </c>
      <c r="K12" s="5">
        <v>10</v>
      </c>
      <c r="L12" s="73">
        <v>-72.800000000000026</v>
      </c>
      <c r="N12" s="90" t="s">
        <v>151</v>
      </c>
      <c r="O12" s="100">
        <f>IF(P12=0,0,Q12/P12)</f>
        <v>-2.6771812080536903</v>
      </c>
      <c r="P12" s="94">
        <v>149</v>
      </c>
      <c r="Q12" s="82">
        <v>-398.89999999999986</v>
      </c>
    </row>
    <row r="13" spans="1:17" x14ac:dyDescent="0.45">
      <c r="A13" s="19" t="s">
        <v>123</v>
      </c>
      <c r="B13" s="13">
        <v>468</v>
      </c>
      <c r="C13" s="4">
        <f>IF(B$11=0,0,B13/B$11)</f>
        <v>0.53363740022805017</v>
      </c>
      <c r="E13" s="44" t="s">
        <v>86</v>
      </c>
      <c r="F13" s="41" t="s">
        <v>41</v>
      </c>
      <c r="G13" s="34">
        <v>56</v>
      </c>
      <c r="H13" s="107">
        <f>IF(B$47=0,0,G13/B$47)</f>
        <v>5.5610724925521347E-2</v>
      </c>
      <c r="I13" s="68">
        <v>10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307</v>
      </c>
      <c r="C14" s="4">
        <f>IF(B$12=0,0,B14/B$12)</f>
        <v>0.3730255164034022</v>
      </c>
      <c r="E14" s="44" t="s">
        <v>83</v>
      </c>
      <c r="F14" s="41" t="s">
        <v>38</v>
      </c>
      <c r="G14" s="34">
        <v>43</v>
      </c>
      <c r="H14" s="107">
        <f>IF(B$47=0,0,G14/B$47)</f>
        <v>4.2701092353525323E-2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1044</v>
      </c>
      <c r="C15" s="4">
        <f>IF(B$3=0,0,B15/B$3)</f>
        <v>0.2908888269713012</v>
      </c>
      <c r="E15" s="44" t="s">
        <v>78</v>
      </c>
      <c r="F15" s="41" t="s">
        <v>33</v>
      </c>
      <c r="G15" s="34">
        <v>36</v>
      </c>
      <c r="H15" s="107">
        <f>IF(B$47=0,0,G15/B$47)</f>
        <v>3.5749751737835157E-2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13</v>
      </c>
      <c r="B16" s="34">
        <v>623</v>
      </c>
      <c r="C16" s="31">
        <f>IF(B$3=0,0,B16/B$3)</f>
        <v>0.17358595709111174</v>
      </c>
      <c r="E16" s="44" t="s">
        <v>81</v>
      </c>
      <c r="F16" s="41" t="s">
        <v>36</v>
      </c>
      <c r="G16" s="34">
        <v>29</v>
      </c>
      <c r="H16" s="107">
        <f>IF(B$47=0,0,G16/B$47)</f>
        <v>2.8798411122144985E-2</v>
      </c>
      <c r="I16" s="68">
        <v>7</v>
      </c>
      <c r="K16" s="5">
        <v>14</v>
      </c>
      <c r="L16" s="73">
        <v>-50.400000000000027</v>
      </c>
      <c r="N16" s="89" t="s">
        <v>197</v>
      </c>
      <c r="O16" s="99">
        <f>IF(P16=0,0,Q16/P16)</f>
        <v>23.085000000000001</v>
      </c>
      <c r="P16" s="93">
        <v>20</v>
      </c>
      <c r="Q16" s="81">
        <v>461.7</v>
      </c>
    </row>
    <row r="17" spans="1:17" x14ac:dyDescent="0.45">
      <c r="A17" s="37" t="s">
        <v>12</v>
      </c>
      <c r="B17" s="34">
        <v>439</v>
      </c>
      <c r="C17" s="31">
        <f>IF(B$15=0,0,B17/B$15)</f>
        <v>0.42049808429118773</v>
      </c>
      <c r="E17" s="44" t="s">
        <v>91</v>
      </c>
      <c r="F17" s="41" t="s">
        <v>46</v>
      </c>
      <c r="G17" s="34">
        <v>22</v>
      </c>
      <c r="H17" s="107">
        <f>IF(B$47=0,0,G17/B$47)</f>
        <v>2.1847070506454815E-2</v>
      </c>
      <c r="I17" s="68">
        <v>5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37" t="s">
        <v>11</v>
      </c>
      <c r="B18" s="34">
        <v>605</v>
      </c>
      <c r="C18" s="31">
        <f>IF(B$15=0,0,B18/B$15)</f>
        <v>0.57950191570881227</v>
      </c>
      <c r="E18" s="44" t="s">
        <v>79</v>
      </c>
      <c r="F18" s="41" t="s">
        <v>34</v>
      </c>
      <c r="G18" s="34">
        <v>14</v>
      </c>
      <c r="H18" s="107">
        <f>IF(B$47=0,0,G18/B$47)</f>
        <v>1.3902681231380337E-2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7.6572368421052603</v>
      </c>
      <c r="P18" s="93">
        <v>152</v>
      </c>
      <c r="Q18" s="81">
        <v>1163.8999999999996</v>
      </c>
    </row>
    <row r="19" spans="1:17" x14ac:dyDescent="0.45">
      <c r="A19" s="37" t="s">
        <v>180</v>
      </c>
      <c r="B19" s="34">
        <v>468</v>
      </c>
      <c r="C19" s="31">
        <f>IF(B$15=0,0,B19/B$15)</f>
        <v>0.44827586206896552</v>
      </c>
      <c r="E19" s="44" t="s">
        <v>77</v>
      </c>
      <c r="F19" s="41" t="s">
        <v>32</v>
      </c>
      <c r="G19" s="34">
        <v>9</v>
      </c>
      <c r="H19" s="107">
        <f>IF(B$47=0,0,G19/B$47)</f>
        <v>8.9374379344587893E-3</v>
      </c>
      <c r="I19" s="68">
        <v>2</v>
      </c>
      <c r="K19" s="5">
        <v>17</v>
      </c>
      <c r="L19" s="73">
        <v>58.599999999999973</v>
      </c>
      <c r="N19" s="89" t="s">
        <v>198</v>
      </c>
      <c r="O19" s="99">
        <f>IF(P19=0,0,Q19/P19)</f>
        <v>5.75</v>
      </c>
      <c r="P19" s="93">
        <v>4</v>
      </c>
      <c r="Q19" s="81">
        <v>23</v>
      </c>
    </row>
    <row r="20" spans="1:17" x14ac:dyDescent="0.45">
      <c r="A20" s="37" t="s">
        <v>178</v>
      </c>
      <c r="B20" s="34">
        <v>307</v>
      </c>
      <c r="C20" s="31">
        <f>IF(B$15=0,0,B20/B$15)</f>
        <v>0.29406130268199232</v>
      </c>
      <c r="E20" s="44" t="s">
        <v>153</v>
      </c>
      <c r="F20" s="41" t="s">
        <v>154</v>
      </c>
      <c r="G20" s="34">
        <v>7</v>
      </c>
      <c r="H20" s="107">
        <f>IF(B$47=0,0,G20/B$47)</f>
        <v>6.9513406156901684E-3</v>
      </c>
      <c r="I20" s="68">
        <v>9</v>
      </c>
      <c r="K20" s="5">
        <v>18</v>
      </c>
      <c r="L20" s="73">
        <v>122.59999999999997</v>
      </c>
      <c r="N20" s="89" t="s">
        <v>186</v>
      </c>
      <c r="O20" s="99">
        <f>IF(P20=0,0,Q20/P20)</f>
        <v>3.5652173913043526</v>
      </c>
      <c r="P20" s="93">
        <v>23</v>
      </c>
      <c r="Q20" s="81">
        <v>82.000000000000114</v>
      </c>
    </row>
    <row r="21" spans="1:17" x14ac:dyDescent="0.45">
      <c r="A21" s="37" t="s">
        <v>179</v>
      </c>
      <c r="B21" s="34">
        <v>269</v>
      </c>
      <c r="C21" s="31">
        <f>IF(B$15=0,0,B21/B$15)</f>
        <v>0.25766283524904215</v>
      </c>
      <c r="E21" s="44" t="s">
        <v>73</v>
      </c>
      <c r="F21" s="41" t="s">
        <v>28</v>
      </c>
      <c r="G21" s="34">
        <v>6</v>
      </c>
      <c r="H21" s="107">
        <f>IF(B$47=0,0,G21/B$47)</f>
        <v>5.9582919563058593E-3</v>
      </c>
      <c r="I21" s="68">
        <v>7</v>
      </c>
      <c r="K21" s="5">
        <v>19</v>
      </c>
      <c r="L21" s="73">
        <v>125.69999999999996</v>
      </c>
      <c r="N21" s="89" t="s">
        <v>187</v>
      </c>
      <c r="O21" s="99">
        <f>IF(P21=0,0,Q21/P21)</f>
        <v>0.91754385964912455</v>
      </c>
      <c r="P21" s="93">
        <v>114</v>
      </c>
      <c r="Q21" s="81">
        <v>104.60000000000019</v>
      </c>
    </row>
    <row r="22" spans="1:17" x14ac:dyDescent="0.45">
      <c r="A22" s="37" t="s">
        <v>5</v>
      </c>
      <c r="B22" s="17">
        <f>IF(B$15=0,0,C22/B$15)</f>
        <v>8802.1072796934859</v>
      </c>
      <c r="C22" s="8">
        <v>9189400</v>
      </c>
      <c r="E22" s="44" t="s">
        <v>74</v>
      </c>
      <c r="F22" s="41" t="s">
        <v>29</v>
      </c>
      <c r="G22" s="34">
        <v>6</v>
      </c>
      <c r="H22" s="107">
        <f>IF(B$47=0,0,G22/B$47)</f>
        <v>5.9582919563058593E-3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-0.51951219512194813</v>
      </c>
      <c r="P22" s="93">
        <v>123</v>
      </c>
      <c r="Q22" s="81">
        <v>-63.899999999999615</v>
      </c>
    </row>
    <row r="23" spans="1:17" x14ac:dyDescent="0.45">
      <c r="A23" s="38" t="s">
        <v>162</v>
      </c>
      <c r="B23" s="114">
        <f>IF($B$15-B$14=0,0,C23/($B$15-B$14))</f>
        <v>9469.7421981004063</v>
      </c>
      <c r="C23" s="115">
        <v>6979200</v>
      </c>
      <c r="E23" s="44" t="s">
        <v>75</v>
      </c>
      <c r="F23" s="41" t="s">
        <v>30</v>
      </c>
      <c r="G23" s="34">
        <v>6</v>
      </c>
      <c r="H23" s="107">
        <f>IF(B$47=0,0,G23/B$47)</f>
        <v>5.9582919563058593E-3</v>
      </c>
      <c r="I23" s="68">
        <v>7</v>
      </c>
      <c r="K23" s="5">
        <v>21</v>
      </c>
      <c r="L23" s="73">
        <v>129.69999999999996</v>
      </c>
      <c r="N23" s="89" t="s">
        <v>196</v>
      </c>
      <c r="O23" s="99">
        <f>IF(P23=0,0,Q23/P23)</f>
        <v>-6.2</v>
      </c>
      <c r="P23" s="93">
        <v>3</v>
      </c>
      <c r="Q23" s="81">
        <v>-18.600000000000001</v>
      </c>
    </row>
    <row r="24" spans="1:17" x14ac:dyDescent="0.45">
      <c r="A24" s="38" t="s">
        <v>163</v>
      </c>
      <c r="B24" s="114">
        <f>IF(B$14=0,0,C24/B$14)</f>
        <v>7199.348534201954</v>
      </c>
      <c r="C24" s="115">
        <v>2210200</v>
      </c>
      <c r="E24" s="44" t="s">
        <v>84</v>
      </c>
      <c r="F24" s="41" t="s">
        <v>39</v>
      </c>
      <c r="G24" s="34">
        <v>4</v>
      </c>
      <c r="H24" s="107">
        <f>IF(B$47=0,0,G24/B$47)</f>
        <v>3.9721946375372392E-3</v>
      </c>
      <c r="I24" s="68">
        <v>2</v>
      </c>
      <c r="K24" s="5">
        <v>22</v>
      </c>
      <c r="L24" s="73">
        <v>174.29999999999995</v>
      </c>
      <c r="N24" s="89" t="s">
        <v>189</v>
      </c>
      <c r="O24" s="99">
        <f>IF(P24=0,0,Q24/P24)</f>
        <v>-6.2333333333333316</v>
      </c>
      <c r="P24" s="93">
        <v>3</v>
      </c>
      <c r="Q24" s="81">
        <v>-18.699999999999996</v>
      </c>
    </row>
    <row r="25" spans="1:17" x14ac:dyDescent="0.45">
      <c r="A25" s="38" t="s">
        <v>161</v>
      </c>
      <c r="B25" s="114">
        <f>IF(B$16=0,0,C25/B$16)</f>
        <v>-8428.8924558587478</v>
      </c>
      <c r="C25" s="115">
        <v>-5251200</v>
      </c>
      <c r="E25" s="44" t="s">
        <v>92</v>
      </c>
      <c r="F25" s="41" t="s">
        <v>47</v>
      </c>
      <c r="G25" s="34">
        <v>4</v>
      </c>
      <c r="H25" s="107">
        <f>IF(B$47=0,0,G25/B$47)</f>
        <v>3.9721946375372392E-3</v>
      </c>
      <c r="I25" s="68">
        <v>6</v>
      </c>
      <c r="K25" s="5">
        <v>23</v>
      </c>
      <c r="L25" s="73">
        <v>172.89999999999995</v>
      </c>
      <c r="N25" s="89" t="s">
        <v>188</v>
      </c>
      <c r="O25" s="99">
        <f>IF(P25=0,0,Q25/P25)</f>
        <v>-9.3460784313725487</v>
      </c>
      <c r="P25" s="93">
        <v>102</v>
      </c>
      <c r="Q25" s="81">
        <v>-953.3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3.9721946375372392E-3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-12.986754966887423</v>
      </c>
      <c r="P26" s="93">
        <v>302</v>
      </c>
      <c r="Q26" s="81">
        <v>-3922.0000000000018</v>
      </c>
    </row>
    <row r="27" spans="1:17" x14ac:dyDescent="0.45">
      <c r="A27" s="37" t="s">
        <v>156</v>
      </c>
      <c r="B27" s="34">
        <v>39</v>
      </c>
      <c r="C27" s="109">
        <v>0</v>
      </c>
      <c r="E27" s="44" t="s">
        <v>87</v>
      </c>
      <c r="F27" s="41" t="s">
        <v>42</v>
      </c>
      <c r="G27" s="34">
        <v>3</v>
      </c>
      <c r="H27" s="107">
        <f>IF(B$47=0,0,G27/B$47)</f>
        <v>2.9791459781529296E-3</v>
      </c>
      <c r="I27" s="68">
        <v>3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64" t="s">
        <v>134</v>
      </c>
      <c r="B28" s="139">
        <v>9</v>
      </c>
      <c r="C28" s="140"/>
      <c r="E28" s="44" t="s">
        <v>85</v>
      </c>
      <c r="F28" s="41" t="s">
        <v>40</v>
      </c>
      <c r="G28" s="34">
        <v>1</v>
      </c>
      <c r="H28" s="107">
        <f>IF(B$47=0,0,G28/B$47)</f>
        <v>9.930486593843098E-4</v>
      </c>
      <c r="I28" s="68">
        <v>8</v>
      </c>
      <c r="K28" s="5">
        <v>26</v>
      </c>
      <c r="L28" s="73">
        <v>128.69999999999993</v>
      </c>
    </row>
    <row r="29" spans="1:17" x14ac:dyDescent="0.45">
      <c r="A29" s="40" t="s">
        <v>177</v>
      </c>
      <c r="B29" s="137">
        <v>109300</v>
      </c>
      <c r="C29" s="138"/>
      <c r="E29" s="44" t="s">
        <v>88</v>
      </c>
      <c r="F29" s="41" t="s">
        <v>43</v>
      </c>
      <c r="G29" s="34">
        <v>1</v>
      </c>
      <c r="H29" s="107">
        <f>IF(B$47=0,0,G29/B$47)</f>
        <v>9.930486593843098E-4</v>
      </c>
      <c r="I29" s="68">
        <v>6</v>
      </c>
      <c r="K29" s="5">
        <v>27</v>
      </c>
      <c r="L29" s="73">
        <v>84.699999999999932</v>
      </c>
    </row>
    <row r="30" spans="1:17" x14ac:dyDescent="0.45">
      <c r="A30" s="39" t="s">
        <v>135</v>
      </c>
      <c r="B30" s="27">
        <v>10</v>
      </c>
      <c r="C30" s="32">
        <f>IF(B$3=0,0,B30/B$3)</f>
        <v>2.7862914460852605E-3</v>
      </c>
      <c r="E30" s="44" t="s">
        <v>90</v>
      </c>
      <c r="F30" s="41" t="s">
        <v>45</v>
      </c>
      <c r="G30" s="34">
        <v>1</v>
      </c>
      <c r="H30" s="107">
        <f>IF(B$47=0,0,G30/B$47)</f>
        <v>9.930486593843098E-4</v>
      </c>
      <c r="I30" s="68">
        <v>6</v>
      </c>
      <c r="K30" s="5">
        <v>28</v>
      </c>
      <c r="L30" s="73">
        <v>43.699999999999932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9.930486593843098E-4</v>
      </c>
      <c r="I31" s="68">
        <v>5</v>
      </c>
      <c r="K31" s="5">
        <v>29</v>
      </c>
      <c r="L31" s="73">
        <v>32.899999999999935</v>
      </c>
    </row>
    <row r="32" spans="1:17" x14ac:dyDescent="0.45">
      <c r="A32" s="64" t="s">
        <v>168</v>
      </c>
      <c r="B32" s="121">
        <v>56</v>
      </c>
      <c r="C32" s="119">
        <f>IF(B$15=0,0,B32/B$15)</f>
        <v>5.3639846743295021E-2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48.499999999999936</v>
      </c>
    </row>
    <row r="33" spans="1:12" x14ac:dyDescent="0.45">
      <c r="A33" s="37" t="s">
        <v>164</v>
      </c>
      <c r="B33" s="34">
        <v>163</v>
      </c>
      <c r="C33" s="31">
        <f t="shared" ref="C33:C44" si="2">IF(B$15=0,0,B33/B$15)</f>
        <v>0.15613026819923373</v>
      </c>
      <c r="E33" s="44" t="s">
        <v>80</v>
      </c>
      <c r="F33" s="41" t="s">
        <v>35</v>
      </c>
      <c r="G33" s="34">
        <v>0</v>
      </c>
      <c r="H33" s="107">
        <f>IF(B$47=0,0,G33/B$47)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7" t="s">
        <v>165</v>
      </c>
      <c r="B34" s="124">
        <v>213</v>
      </c>
      <c r="C34" s="31">
        <f>IF(B$15=0,0,B34/B$15)</f>
        <v>0.20402298850574713</v>
      </c>
      <c r="E34" s="44" t="s">
        <v>82</v>
      </c>
      <c r="F34" s="41" t="s">
        <v>37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A35" s="37" t="s">
        <v>166</v>
      </c>
      <c r="B35" s="124">
        <v>201</v>
      </c>
      <c r="C35" s="31">
        <f t="shared" si="2"/>
        <v>0.19252873563218389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37" t="s">
        <v>167</v>
      </c>
      <c r="B36" s="124">
        <v>142</v>
      </c>
      <c r="C36" s="31">
        <f t="shared" si="2"/>
        <v>0.13601532567049809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169</v>
      </c>
      <c r="B37" s="124">
        <v>98</v>
      </c>
      <c r="C37" s="31">
        <f t="shared" si="2"/>
        <v>9.3869731800766285E-2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170</v>
      </c>
      <c r="B38" s="124">
        <v>48</v>
      </c>
      <c r="C38" s="31">
        <f t="shared" si="2"/>
        <v>4.5977011494252873E-2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171</v>
      </c>
      <c r="B39" s="124">
        <v>35</v>
      </c>
      <c r="C39" s="31">
        <f t="shared" si="2"/>
        <v>3.3524904214559385E-2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172</v>
      </c>
      <c r="B40" s="124">
        <v>17</v>
      </c>
      <c r="C40" s="31">
        <f t="shared" si="2"/>
        <v>1.6283524904214558E-2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173</v>
      </c>
      <c r="B41" s="124">
        <v>12</v>
      </c>
      <c r="C41" s="31">
        <f t="shared" si="2"/>
        <v>1.1494252873563218E-2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174</v>
      </c>
      <c r="B42" s="124">
        <v>8</v>
      </c>
      <c r="C42" s="31">
        <f t="shared" si="2"/>
        <v>7.6628352490421452E-3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175</v>
      </c>
      <c r="B43" s="124">
        <v>2</v>
      </c>
      <c r="C43" s="31">
        <f t="shared" si="2"/>
        <v>1.9157088122605363E-3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9" t="s">
        <v>176</v>
      </c>
      <c r="B44" s="120">
        <v>12</v>
      </c>
      <c r="C44" s="32">
        <f t="shared" si="2"/>
        <v>1.1494252873563218E-2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64" t="s">
        <v>181</v>
      </c>
      <c r="B46" s="127">
        <v>3463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9" t="s">
        <v>182</v>
      </c>
      <c r="B47" s="135">
        <v>1007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218.99999999999994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198.99999999999994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194.09999999999994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211.89999999999995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185.49999999999994</v>
      </c>
    </row>
    <row r="53" spans="5:12" x14ac:dyDescent="0.45">
      <c r="K53" s="5">
        <v>51</v>
      </c>
      <c r="L53" s="73">
        <v>196.99999999999994</v>
      </c>
    </row>
    <row r="54" spans="5:12" x14ac:dyDescent="0.45">
      <c r="K54" s="5">
        <v>52</v>
      </c>
      <c r="L54" s="73">
        <v>196.59999999999994</v>
      </c>
    </row>
    <row r="55" spans="5:12" x14ac:dyDescent="0.45">
      <c r="K55" s="5">
        <v>53</v>
      </c>
      <c r="L55" s="73">
        <v>214.69999999999993</v>
      </c>
    </row>
    <row r="56" spans="5:12" x14ac:dyDescent="0.45">
      <c r="K56" s="5">
        <v>54</v>
      </c>
      <c r="L56" s="73">
        <v>237.49999999999994</v>
      </c>
    </row>
    <row r="57" spans="5:12" x14ac:dyDescent="0.45">
      <c r="K57" s="5">
        <v>55</v>
      </c>
      <c r="L57" s="73">
        <v>224.69999999999993</v>
      </c>
    </row>
    <row r="58" spans="5:12" x14ac:dyDescent="0.45">
      <c r="K58" s="5">
        <v>56</v>
      </c>
      <c r="L58" s="73">
        <v>260.69999999999993</v>
      </c>
    </row>
    <row r="59" spans="5:12" x14ac:dyDescent="0.45">
      <c r="K59" s="5">
        <v>57</v>
      </c>
      <c r="L59" s="73">
        <v>211.59999999999994</v>
      </c>
    </row>
    <row r="60" spans="5:12" x14ac:dyDescent="0.45">
      <c r="K60" s="5">
        <v>58</v>
      </c>
      <c r="L60" s="73">
        <v>208.99999999999994</v>
      </c>
    </row>
    <row r="61" spans="5:12" x14ac:dyDescent="0.45">
      <c r="K61" s="5">
        <v>59</v>
      </c>
      <c r="L61" s="73">
        <v>221.49999999999994</v>
      </c>
    </row>
    <row r="62" spans="5:12" x14ac:dyDescent="0.45">
      <c r="K62" s="5">
        <v>60</v>
      </c>
      <c r="L62" s="73">
        <v>233.79999999999995</v>
      </c>
    </row>
    <row r="63" spans="5:12" x14ac:dyDescent="0.45">
      <c r="K63" s="5">
        <v>61</v>
      </c>
      <c r="L63" s="73">
        <v>234.69999999999996</v>
      </c>
    </row>
    <row r="64" spans="5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</sheetData>
  <sortState xmlns:xlrd2="http://schemas.microsoft.com/office/spreadsheetml/2017/richdata2" ref="N15:Q2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08085-794C-4C17-9E31-0267982D16C9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192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IF(B$47=0,0,G2/B$47)</f>
        <v>0.62295081967213117</v>
      </c>
      <c r="I2" s="67">
        <v>15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29">
        <v>316</v>
      </c>
      <c r="C3" s="130"/>
      <c r="E3" s="44" t="s">
        <v>72</v>
      </c>
      <c r="F3" s="41" t="s">
        <v>27</v>
      </c>
      <c r="G3" s="34">
        <v>35</v>
      </c>
      <c r="H3" s="107">
        <f>IF(B$47=0,0,G3/B$47)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1">
        <v>91.000000000000014</v>
      </c>
      <c r="C4" s="132"/>
      <c r="E4" s="44" t="s">
        <v>64</v>
      </c>
      <c r="F4" s="41" t="s">
        <v>20</v>
      </c>
      <c r="G4" s="34">
        <v>34</v>
      </c>
      <c r="H4" s="107">
        <f>IF(B$47=0,0,G4/B$47)</f>
        <v>0.55737704918032782</v>
      </c>
      <c r="I4" s="68">
        <v>8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3">
        <f>IF(B$2=0,0,B$4/B$2)</f>
        <v>2.3333333333333335</v>
      </c>
      <c r="C5" s="134"/>
      <c r="E5" s="44" t="s">
        <v>67</v>
      </c>
      <c r="F5" s="41" t="s">
        <v>23</v>
      </c>
      <c r="G5" s="34">
        <v>28</v>
      </c>
      <c r="H5" s="107">
        <f>IF(B$47=0,0,G5/B$47)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41">
        <f>IF(B$2=0,0,(B$7*1+B$8*2+B$9*3)/B$2)</f>
        <v>2.0256410256410255</v>
      </c>
      <c r="C6" s="142"/>
      <c r="E6" s="44" t="s">
        <v>68</v>
      </c>
      <c r="F6" s="41" t="s">
        <v>12</v>
      </c>
      <c r="G6" s="34">
        <v>22</v>
      </c>
      <c r="H6" s="107">
        <f>IF(B$47=0,0,G6/B$47)</f>
        <v>0.36065573770491804</v>
      </c>
      <c r="I6" s="68">
        <v>3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0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IF(B$47=0,0,G7/B$47)</f>
        <v>0.16393442622950818</v>
      </c>
      <c r="I7" s="68">
        <v>4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IF(B$47=0,0,G8/B$47)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IF(B$47=0,0,G9/B$47)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6</v>
      </c>
      <c r="C10" s="32">
        <f t="shared" si="1"/>
        <v>0.15384615384615385</v>
      </c>
      <c r="E10" s="44" t="s">
        <v>157</v>
      </c>
      <c r="F10" s="41" t="s">
        <v>158</v>
      </c>
      <c r="G10" s="34">
        <v>6</v>
      </c>
      <c r="H10" s="107">
        <f>IF(B$47=0,0,G10/B$47)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40" t="s">
        <v>121</v>
      </c>
      <c r="B11" s="16">
        <v>65</v>
      </c>
      <c r="C11" s="11">
        <f>IF(B$46=0,0,B11/B$46)</f>
        <v>0.27777777777777779</v>
      </c>
      <c r="E11" s="44" t="s">
        <v>70</v>
      </c>
      <c r="F11" s="41" t="s">
        <v>25</v>
      </c>
      <c r="G11" s="34">
        <v>5</v>
      </c>
      <c r="H11" s="107">
        <f>IF(B$47=0,0,G11/B$47)</f>
        <v>8.1967213114754092E-2</v>
      </c>
      <c r="I11" s="68">
        <v>12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7" t="s">
        <v>118</v>
      </c>
      <c r="B12" s="34">
        <v>56</v>
      </c>
      <c r="C12" s="31">
        <f>IF(B$46=0,0,B12/B$46)</f>
        <v>0.23931623931623933</v>
      </c>
      <c r="E12" s="44" t="s">
        <v>71</v>
      </c>
      <c r="F12" s="41" t="s">
        <v>26</v>
      </c>
      <c r="G12" s="34">
        <v>4</v>
      </c>
      <c r="H12" s="107">
        <f>IF(B$47=0,0,G12/B$47)</f>
        <v>6.5573770491803282E-2</v>
      </c>
      <c r="I12" s="68">
        <v>8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19" t="s">
        <v>123</v>
      </c>
      <c r="B13" s="13">
        <v>35</v>
      </c>
      <c r="C13" s="4">
        <f>IF(B$11=0,0,B13/B$11)</f>
        <v>0.53846153846153844</v>
      </c>
      <c r="E13" s="44" t="s">
        <v>78</v>
      </c>
      <c r="F13" s="41" t="s">
        <v>33</v>
      </c>
      <c r="G13" s="34">
        <v>3</v>
      </c>
      <c r="H13" s="107">
        <f>IF(B$47=0,0,G13/B$47)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</v>
      </c>
      <c r="C14" s="4">
        <f>IF(B$12=0,0,B14/B$12)</f>
        <v>0.32142857142857145</v>
      </c>
      <c r="E14" s="44" t="s">
        <v>79</v>
      </c>
      <c r="F14" s="41" t="s">
        <v>34</v>
      </c>
      <c r="G14" s="34">
        <v>2</v>
      </c>
      <c r="H14" s="107">
        <f>IF(B$47=0,0,G14/B$47)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89</v>
      </c>
      <c r="C15" s="4">
        <f>IF(B$3=0,0,B15/B$3)</f>
        <v>0.28164556962025317</v>
      </c>
      <c r="E15" s="44" t="s">
        <v>83</v>
      </c>
      <c r="F15" s="41" t="s">
        <v>38</v>
      </c>
      <c r="G15" s="34">
        <v>2</v>
      </c>
      <c r="H15" s="107">
        <f>IF(B$47=0,0,G15/B$47)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13</v>
      </c>
      <c r="B16" s="34">
        <v>53</v>
      </c>
      <c r="C16" s="31">
        <f>IF(B$3=0,0,B16/B$3)</f>
        <v>0.16772151898734178</v>
      </c>
      <c r="E16" s="44" t="s">
        <v>153</v>
      </c>
      <c r="F16" s="41" t="s">
        <v>154</v>
      </c>
      <c r="G16" s="34">
        <v>2</v>
      </c>
      <c r="H16" s="107">
        <f>IF(B$47=0,0,G16/B$47)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37" t="s">
        <v>12</v>
      </c>
      <c r="B17" s="34">
        <v>43</v>
      </c>
      <c r="C17" s="31">
        <f>IF(B$15=0,0,B17/B$15)</f>
        <v>0.48314606741573035</v>
      </c>
      <c r="E17" s="44" t="s">
        <v>73</v>
      </c>
      <c r="F17" s="41" t="s">
        <v>28</v>
      </c>
      <c r="G17" s="34">
        <v>1</v>
      </c>
      <c r="H17" s="107">
        <f>IF(B$47=0,0,G17/B$47)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37" t="s">
        <v>11</v>
      </c>
      <c r="B18" s="34">
        <v>46</v>
      </c>
      <c r="C18" s="31">
        <f>IF(B$15=0,0,B18/B$15)</f>
        <v>0.5168539325842697</v>
      </c>
      <c r="E18" s="44" t="s">
        <v>86</v>
      </c>
      <c r="F18" s="41" t="s">
        <v>41</v>
      </c>
      <c r="G18" s="34">
        <v>1</v>
      </c>
      <c r="H18" s="107">
        <f>IF(B$47=0,0,G18/B$47)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37" t="s">
        <v>180</v>
      </c>
      <c r="B19" s="34">
        <v>35</v>
      </c>
      <c r="C19" s="31">
        <f>IF(B$15=0,0,B19/B$15)</f>
        <v>0.39325842696629215</v>
      </c>
      <c r="E19" s="44" t="s">
        <v>91</v>
      </c>
      <c r="F19" s="41" t="s">
        <v>46</v>
      </c>
      <c r="G19" s="34">
        <v>1</v>
      </c>
      <c r="H19" s="107">
        <f>IF(B$47=0,0,G19/B$47)</f>
        <v>1.6393442622950821E-2</v>
      </c>
      <c r="I19" s="68">
        <v>10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178</v>
      </c>
      <c r="B20" s="34">
        <v>18</v>
      </c>
      <c r="C20" s="31">
        <f>IF(B$15=0,0,B20/B$15)</f>
        <v>0.20224719101123595</v>
      </c>
      <c r="E20" s="44" t="s">
        <v>92</v>
      </c>
      <c r="F20" s="41" t="s">
        <v>47</v>
      </c>
      <c r="G20" s="34">
        <v>1</v>
      </c>
      <c r="H20" s="107">
        <f>IF(B$47=0,0,G20/B$47)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179</v>
      </c>
      <c r="B21" s="34">
        <v>36</v>
      </c>
      <c r="C21" s="31">
        <f>IF(B$15=0,0,B21/B$15)</f>
        <v>0.4044943820224719</v>
      </c>
      <c r="E21" s="44" t="s">
        <v>74</v>
      </c>
      <c r="F21" s="41" t="s">
        <v>29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5</v>
      </c>
      <c r="B22" s="17">
        <f>IF(B$15=0,0,C22/B$15)</f>
        <v>11250.561797752809</v>
      </c>
      <c r="C22" s="8">
        <v>1001300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8" t="s">
        <v>162</v>
      </c>
      <c r="B23" s="114">
        <f>IF($B$15-B$14=0,0,C23/($B$15-B$14))</f>
        <v>11712.676056338029</v>
      </c>
      <c r="C23" s="115">
        <v>831600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138.00000000000003</v>
      </c>
    </row>
    <row r="24" spans="1:17" x14ac:dyDescent="0.45">
      <c r="A24" s="38" t="s">
        <v>163</v>
      </c>
      <c r="B24" s="114">
        <f>IF(B$14=0,0,C24/B$14)</f>
        <v>9427.7777777777774</v>
      </c>
      <c r="C24" s="115">
        <v>169700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8" t="s">
        <v>161</v>
      </c>
      <c r="B25" s="114">
        <f>IF(B$16=0,0,C25/B$16)</f>
        <v>-9054.7169811320746</v>
      </c>
      <c r="C25" s="115">
        <v>-479900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81</v>
      </c>
      <c r="F26" s="41" t="s">
        <v>36</v>
      </c>
      <c r="G26" s="34">
        <v>0</v>
      </c>
      <c r="H26" s="107">
        <f>IF(B$47=0,0,G26/B$47)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7" t="s">
        <v>156</v>
      </c>
      <c r="B27" s="34">
        <v>23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64" t="s">
        <v>134</v>
      </c>
      <c r="B28" s="139">
        <v>7</v>
      </c>
      <c r="C28" s="140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40" t="s">
        <v>177</v>
      </c>
      <c r="B29" s="137">
        <v>109300</v>
      </c>
      <c r="C29" s="138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15.400000000000027</v>
      </c>
    </row>
    <row r="32" spans="1:17" x14ac:dyDescent="0.45">
      <c r="A32" s="64" t="s">
        <v>168</v>
      </c>
      <c r="B32" s="121">
        <v>5</v>
      </c>
      <c r="C32" s="119">
        <f>IF(B$15=0,0,B32/B$15)</f>
        <v>5.6179775280898875E-2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37" t="s">
        <v>164</v>
      </c>
      <c r="B33" s="34">
        <v>7</v>
      </c>
      <c r="C33" s="31">
        <f t="shared" ref="C33:C44" si="2">IF(B$15=0,0,B33/B$15)</f>
        <v>7.8651685393258425E-2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7" t="s">
        <v>165</v>
      </c>
      <c r="B34" s="124">
        <v>7</v>
      </c>
      <c r="C34" s="31">
        <f>IF(B$15=0,0,B34/B$15)</f>
        <v>7.8651685393258425E-2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A35" s="37" t="s">
        <v>166</v>
      </c>
      <c r="B35" s="124">
        <v>9</v>
      </c>
      <c r="C35" s="31">
        <f t="shared" si="2"/>
        <v>0.10112359550561797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-9.3999999999999773</v>
      </c>
    </row>
    <row r="36" spans="1:12" x14ac:dyDescent="0.45">
      <c r="A36" s="37" t="s">
        <v>167</v>
      </c>
      <c r="B36" s="124">
        <v>8</v>
      </c>
      <c r="C36" s="31">
        <f t="shared" si="2"/>
        <v>8.98876404494382E-2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169</v>
      </c>
      <c r="B37" s="124">
        <v>7</v>
      </c>
      <c r="C37" s="31">
        <f t="shared" si="2"/>
        <v>7.8651685393258425E-2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170</v>
      </c>
      <c r="B38" s="124">
        <v>7</v>
      </c>
      <c r="C38" s="31">
        <f t="shared" si="2"/>
        <v>7.8651685393258425E-2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171</v>
      </c>
      <c r="B39" s="124">
        <v>4</v>
      </c>
      <c r="C39" s="31">
        <f t="shared" si="2"/>
        <v>4.49438202247191E-2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172</v>
      </c>
      <c r="B40" s="124">
        <v>4</v>
      </c>
      <c r="C40" s="31">
        <f t="shared" si="2"/>
        <v>4.49438202247191E-2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173</v>
      </c>
      <c r="B41" s="124">
        <v>0</v>
      </c>
      <c r="C41" s="31">
        <f t="shared" si="2"/>
        <v>0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174</v>
      </c>
      <c r="B42" s="124">
        <v>1</v>
      </c>
      <c r="C42" s="31">
        <f t="shared" si="2"/>
        <v>1.1235955056179775E-2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</row>
    <row r="44" spans="1:12" x14ac:dyDescent="0.45">
      <c r="A44" s="39" t="s">
        <v>176</v>
      </c>
      <c r="B44" s="120">
        <v>2</v>
      </c>
      <c r="C44" s="32">
        <f t="shared" si="2"/>
        <v>2.247191011235955E-2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</row>
    <row r="46" spans="1:12" x14ac:dyDescent="0.45">
      <c r="A46" s="64" t="s">
        <v>181</v>
      </c>
      <c r="B46" s="127">
        <v>234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</row>
    <row r="47" spans="1:12" x14ac:dyDescent="0.45">
      <c r="A47" s="39" t="s">
        <v>182</v>
      </c>
      <c r="B47" s="135">
        <v>61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EFAD-0A14-4925-A6AD-90A17894EC7F}">
  <sheetPr codeName="Sheet13"/>
  <dimension ref="A1:Q34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191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347</v>
      </c>
      <c r="C2" s="128"/>
      <c r="E2" s="43" t="s">
        <v>66</v>
      </c>
      <c r="F2" s="25" t="s">
        <v>22</v>
      </c>
      <c r="G2" s="13">
        <v>619</v>
      </c>
      <c r="H2" s="106">
        <f>IF(B$47=0,0,G2/B$47)</f>
        <v>0.79358974358974355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201.74927113702623</v>
      </c>
      <c r="P2" s="92">
        <v>343</v>
      </c>
      <c r="Q2" s="76">
        <v>69200</v>
      </c>
    </row>
    <row r="3" spans="1:17" x14ac:dyDescent="0.45">
      <c r="A3" s="37" t="s">
        <v>8</v>
      </c>
      <c r="B3" s="129">
        <v>2792</v>
      </c>
      <c r="C3" s="130"/>
      <c r="E3" s="44" t="s">
        <v>64</v>
      </c>
      <c r="F3" s="41" t="s">
        <v>20</v>
      </c>
      <c r="G3" s="34">
        <v>438</v>
      </c>
      <c r="H3" s="107">
        <f>IF(B$47=0,0,G3/B$47)</f>
        <v>0.56153846153846154</v>
      </c>
      <c r="I3" s="68">
        <v>7</v>
      </c>
      <c r="K3" s="5">
        <v>1</v>
      </c>
      <c r="L3" s="73">
        <v>3.9</v>
      </c>
      <c r="N3" s="89" t="s">
        <v>127</v>
      </c>
      <c r="O3" s="96">
        <f t="shared" si="0"/>
        <v>62.5</v>
      </c>
      <c r="P3" s="93">
        <v>336</v>
      </c>
      <c r="Q3" s="77">
        <v>21000</v>
      </c>
    </row>
    <row r="4" spans="1:17" x14ac:dyDescent="0.45">
      <c r="A4" s="37" t="s">
        <v>6</v>
      </c>
      <c r="B4" s="131">
        <v>70.800000000000352</v>
      </c>
      <c r="C4" s="132"/>
      <c r="E4" s="44" t="s">
        <v>72</v>
      </c>
      <c r="F4" s="41" t="s">
        <v>27</v>
      </c>
      <c r="G4" s="34">
        <v>438</v>
      </c>
      <c r="H4" s="107">
        <f>IF(B$47=0,0,G4/B$47)</f>
        <v>0.56153846153846154</v>
      </c>
      <c r="I4" s="68">
        <v>7</v>
      </c>
      <c r="K4" s="5">
        <v>2</v>
      </c>
      <c r="L4" s="73">
        <v>-33.9</v>
      </c>
      <c r="N4" s="89" t="s">
        <v>128</v>
      </c>
      <c r="O4" s="96">
        <f t="shared" si="0"/>
        <v>263.14102564102564</v>
      </c>
      <c r="P4" s="93">
        <v>312</v>
      </c>
      <c r="Q4" s="77">
        <v>82100</v>
      </c>
    </row>
    <row r="5" spans="1:17" x14ac:dyDescent="0.45">
      <c r="A5" s="37" t="s">
        <v>7</v>
      </c>
      <c r="B5" s="133">
        <f>IF(B$2=0,0,B$4/B$2)</f>
        <v>0.20403458213256587</v>
      </c>
      <c r="C5" s="134"/>
      <c r="E5" s="44" t="s">
        <v>67</v>
      </c>
      <c r="F5" s="41" t="s">
        <v>23</v>
      </c>
      <c r="G5" s="34">
        <v>293</v>
      </c>
      <c r="H5" s="107">
        <f>IF(B$47=0,0,G5/B$47)</f>
        <v>0.37564102564102564</v>
      </c>
      <c r="I5" s="68">
        <v>5</v>
      </c>
      <c r="K5" s="5">
        <v>3</v>
      </c>
      <c r="L5" s="73">
        <v>-70.099999999999994</v>
      </c>
      <c r="N5" s="89" t="s">
        <v>129</v>
      </c>
      <c r="O5" s="96">
        <f t="shared" si="0"/>
        <v>787.01754385964909</v>
      </c>
      <c r="P5" s="93">
        <v>285</v>
      </c>
      <c r="Q5" s="77">
        <v>224300</v>
      </c>
    </row>
    <row r="6" spans="1:17" x14ac:dyDescent="0.45">
      <c r="A6" s="37" t="s">
        <v>1</v>
      </c>
      <c r="B6" s="141">
        <f>IF(B$2=0,0,(B$7*1+B$8*2+B$9*3)/B$2)</f>
        <v>2.0403458213256482</v>
      </c>
      <c r="C6" s="142"/>
      <c r="E6" s="44" t="s">
        <v>68</v>
      </c>
      <c r="F6" s="41" t="s">
        <v>12</v>
      </c>
      <c r="G6" s="34">
        <v>261</v>
      </c>
      <c r="H6" s="107">
        <f>IF(B$47=0,0,G6/B$47)</f>
        <v>0.33461538461538459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-1480.6949806949806</v>
      </c>
      <c r="P6" s="93">
        <v>259</v>
      </c>
      <c r="Q6" s="77">
        <v>-383500</v>
      </c>
    </row>
    <row r="7" spans="1:17" x14ac:dyDescent="0.45">
      <c r="A7" s="37" t="s">
        <v>2</v>
      </c>
      <c r="B7" s="34">
        <v>109</v>
      </c>
      <c r="C7" s="31">
        <f t="shared" ref="C7:C10" si="1">IF(B$2=0,0,B7/B$2)</f>
        <v>0.31412103746397696</v>
      </c>
      <c r="E7" s="44" t="s">
        <v>157</v>
      </c>
      <c r="F7" s="41" t="s">
        <v>158</v>
      </c>
      <c r="G7" s="34">
        <v>200</v>
      </c>
      <c r="H7" s="107">
        <f>IF(B$47=0,0,G7/B$47)</f>
        <v>0.25641025641025639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247.24770642201835</v>
      </c>
      <c r="P7" s="94">
        <v>218</v>
      </c>
      <c r="Q7" s="78">
        <v>53900</v>
      </c>
    </row>
    <row r="8" spans="1:17" x14ac:dyDescent="0.45">
      <c r="A8" s="37" t="s">
        <v>3</v>
      </c>
      <c r="B8" s="34">
        <v>115</v>
      </c>
      <c r="C8" s="31">
        <f t="shared" si="1"/>
        <v>0.33141210374639768</v>
      </c>
      <c r="E8" s="44" t="s">
        <v>69</v>
      </c>
      <c r="F8" s="41" t="s">
        <v>24</v>
      </c>
      <c r="G8" s="34">
        <v>143</v>
      </c>
      <c r="H8" s="107">
        <f>IF(B$47=0,0,G8/B$47)</f>
        <v>0.18333333333333332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123</v>
      </c>
      <c r="C9" s="7">
        <f t="shared" si="1"/>
        <v>0.35446685878962536</v>
      </c>
      <c r="E9" s="44" t="s">
        <v>89</v>
      </c>
      <c r="F9" s="41" t="s">
        <v>44</v>
      </c>
      <c r="G9" s="34">
        <v>135</v>
      </c>
      <c r="H9" s="107">
        <f>IF(B$47=0,0,G9/B$47)</f>
        <v>0.17307692307692307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45</v>
      </c>
      <c r="C10" s="32">
        <f t="shared" si="1"/>
        <v>0.12968299711815562</v>
      </c>
      <c r="E10" s="44" t="s">
        <v>65</v>
      </c>
      <c r="F10" s="41" t="s">
        <v>21</v>
      </c>
      <c r="G10" s="34">
        <v>98</v>
      </c>
      <c r="H10" s="107">
        <f>IF(B$47=0,0,G10/B$47)</f>
        <v>0.12564102564102564</v>
      </c>
      <c r="I10" s="68">
        <v>6</v>
      </c>
      <c r="K10" s="5">
        <v>8</v>
      </c>
      <c r="L10" s="73">
        <v>-146</v>
      </c>
      <c r="N10" s="88" t="s">
        <v>149</v>
      </c>
      <c r="O10" s="98">
        <f>IF(P10=0,0,Q10/P10)</f>
        <v>-3.3561904761904771</v>
      </c>
      <c r="P10" s="92">
        <v>105</v>
      </c>
      <c r="Q10" s="80">
        <v>-352.40000000000009</v>
      </c>
    </row>
    <row r="11" spans="1:17" x14ac:dyDescent="0.45">
      <c r="A11" s="40" t="s">
        <v>121</v>
      </c>
      <c r="B11" s="16">
        <v>822</v>
      </c>
      <c r="C11" s="11">
        <f>IF(B$46=0,0,B11/B$46)</f>
        <v>0.2983666061705989</v>
      </c>
      <c r="E11" s="44" t="s">
        <v>70</v>
      </c>
      <c r="F11" s="41" t="s">
        <v>25</v>
      </c>
      <c r="G11" s="34">
        <v>85</v>
      </c>
      <c r="H11" s="107">
        <f>IF(B$47=0,0,G11/B$47)</f>
        <v>0.10897435897435898</v>
      </c>
      <c r="I11" s="68">
        <v>6</v>
      </c>
      <c r="K11" s="5">
        <v>9</v>
      </c>
      <c r="L11" s="73">
        <v>-173</v>
      </c>
      <c r="N11" s="89" t="s">
        <v>150</v>
      </c>
      <c r="O11" s="99">
        <f>IF(P11=0,0,Q11/P11)</f>
        <v>2.5454545454545454</v>
      </c>
      <c r="P11" s="93">
        <v>132</v>
      </c>
      <c r="Q11" s="81">
        <v>336</v>
      </c>
    </row>
    <row r="12" spans="1:17" x14ac:dyDescent="0.45">
      <c r="A12" s="37" t="s">
        <v>118</v>
      </c>
      <c r="B12" s="34">
        <v>509</v>
      </c>
      <c r="C12" s="31">
        <f>IF(B$46=0,0,B12/B$46)</f>
        <v>0.18475499092558983</v>
      </c>
      <c r="E12" s="44" t="s">
        <v>86</v>
      </c>
      <c r="F12" s="41" t="s">
        <v>41</v>
      </c>
      <c r="G12" s="34">
        <v>54</v>
      </c>
      <c r="H12" s="107">
        <f>IF(B$47=0,0,G12/B$47)</f>
        <v>6.9230769230769235E-2</v>
      </c>
      <c r="I12" s="68">
        <v>6</v>
      </c>
      <c r="K12" s="5">
        <v>10</v>
      </c>
      <c r="L12" s="73">
        <v>-206.1</v>
      </c>
      <c r="N12" s="90" t="s">
        <v>151</v>
      </c>
      <c r="O12" s="100">
        <f>IF(P12=0,0,Q12/P12)</f>
        <v>1.8644859813084116</v>
      </c>
      <c r="P12" s="94">
        <v>107</v>
      </c>
      <c r="Q12" s="82">
        <v>199.50000000000003</v>
      </c>
    </row>
    <row r="13" spans="1:17" x14ac:dyDescent="0.45">
      <c r="A13" s="19" t="s">
        <v>123</v>
      </c>
      <c r="B13" s="13">
        <v>467</v>
      </c>
      <c r="C13" s="4">
        <f>IF(B$11=0,0,B13/B$11)</f>
        <v>0.56812652068126523</v>
      </c>
      <c r="E13" s="44" t="s">
        <v>71</v>
      </c>
      <c r="F13" s="41" t="s">
        <v>26</v>
      </c>
      <c r="G13" s="34">
        <v>37</v>
      </c>
      <c r="H13" s="107">
        <f>IF(B$47=0,0,G13/B$47)</f>
        <v>4.7435897435897434E-2</v>
      </c>
      <c r="I13" s="68">
        <v>12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200</v>
      </c>
      <c r="C14" s="4">
        <f>IF(B$12=0,0,B14/B$12)</f>
        <v>0.39292730844793711</v>
      </c>
      <c r="E14" s="44" t="s">
        <v>78</v>
      </c>
      <c r="F14" s="41" t="s">
        <v>33</v>
      </c>
      <c r="G14" s="34">
        <v>26</v>
      </c>
      <c r="H14" s="107">
        <f>IF(B$47=0,0,G14/B$47)</f>
        <v>3.3333333333333333E-2</v>
      </c>
      <c r="I14" s="68">
        <v>5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790</v>
      </c>
      <c r="C15" s="4">
        <f>IF(B$3=0,0,B15/B$3)</f>
        <v>0.28295128939828079</v>
      </c>
      <c r="E15" s="44" t="s">
        <v>83</v>
      </c>
      <c r="F15" s="41" t="s">
        <v>38</v>
      </c>
      <c r="G15" s="34">
        <v>26</v>
      </c>
      <c r="H15" s="107">
        <f>IF(B$47=0,0,G15/B$47)</f>
        <v>3.3333333333333333E-2</v>
      </c>
      <c r="I15" s="68">
        <v>12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13</v>
      </c>
      <c r="B16" s="34">
        <v>511</v>
      </c>
      <c r="C16" s="31">
        <f>IF(B$3=0,0,B16/B$3)</f>
        <v>0.18302292263610315</v>
      </c>
      <c r="E16" s="44" t="s">
        <v>153</v>
      </c>
      <c r="F16" s="41" t="s">
        <v>154</v>
      </c>
      <c r="G16" s="34">
        <v>22</v>
      </c>
      <c r="H16" s="107">
        <f>IF(B$47=0,0,G16/B$47)</f>
        <v>2.8205128205128206E-2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37" t="s">
        <v>12</v>
      </c>
      <c r="B17" s="34">
        <v>356</v>
      </c>
      <c r="C17" s="31">
        <f>IF(B$15=0,0,B17/B$15)</f>
        <v>0.45063291139240508</v>
      </c>
      <c r="E17" s="44" t="s">
        <v>91</v>
      </c>
      <c r="F17" s="41" t="s">
        <v>46</v>
      </c>
      <c r="G17" s="34">
        <v>20</v>
      </c>
      <c r="H17" s="107">
        <f>IF(B$47=0,0,G17/B$47)</f>
        <v>2.564102564102564E-2</v>
      </c>
      <c r="I17" s="68">
        <v>3</v>
      </c>
      <c r="K17" s="5">
        <v>15</v>
      </c>
      <c r="L17" s="73">
        <v>-212.5</v>
      </c>
      <c r="N17" s="89" t="s">
        <v>188</v>
      </c>
      <c r="O17" s="99">
        <f>IF(P17=0,0,Q17/P17)</f>
        <v>14.047457627118643</v>
      </c>
      <c r="P17" s="93">
        <v>59</v>
      </c>
      <c r="Q17" s="81">
        <v>828.8</v>
      </c>
    </row>
    <row r="18" spans="1:17" x14ac:dyDescent="0.45">
      <c r="A18" s="37" t="s">
        <v>11</v>
      </c>
      <c r="B18" s="34">
        <v>434</v>
      </c>
      <c r="C18" s="31">
        <f>IF(B$15=0,0,B18/B$15)</f>
        <v>0.54936708860759498</v>
      </c>
      <c r="E18" s="44" t="s">
        <v>81</v>
      </c>
      <c r="F18" s="41" t="s">
        <v>36</v>
      </c>
      <c r="G18" s="34">
        <v>18</v>
      </c>
      <c r="H18" s="107">
        <f>IF(B$47=0,0,G18/B$47)</f>
        <v>2.3076923076923078E-2</v>
      </c>
      <c r="I18" s="68">
        <v>10</v>
      </c>
      <c r="K18" s="5">
        <v>16</v>
      </c>
      <c r="L18" s="73">
        <v>-233.2</v>
      </c>
      <c r="N18" s="89" t="s">
        <v>194</v>
      </c>
      <c r="O18" s="99">
        <f>IF(P18=0,0,Q18/P18)</f>
        <v>11.2125</v>
      </c>
      <c r="P18" s="93">
        <v>16</v>
      </c>
      <c r="Q18" s="81">
        <v>179.4</v>
      </c>
    </row>
    <row r="19" spans="1:17" x14ac:dyDescent="0.45">
      <c r="A19" s="37" t="s">
        <v>180</v>
      </c>
      <c r="B19" s="34">
        <v>467</v>
      </c>
      <c r="C19" s="31">
        <f>IF(B$15=0,0,B19/B$15)</f>
        <v>0.59113924050632916</v>
      </c>
      <c r="E19" s="44" t="s">
        <v>79</v>
      </c>
      <c r="F19" s="41" t="s">
        <v>34</v>
      </c>
      <c r="G19" s="34">
        <v>12</v>
      </c>
      <c r="H19" s="107">
        <f>IF(B$47=0,0,G19/B$47)</f>
        <v>1.5384615384615385E-2</v>
      </c>
      <c r="I19" s="68">
        <v>9</v>
      </c>
      <c r="K19" s="5">
        <v>17</v>
      </c>
      <c r="L19" s="73">
        <v>-268.7</v>
      </c>
      <c r="N19" s="89" t="s">
        <v>197</v>
      </c>
      <c r="O19" s="99">
        <f>IF(P19=0,0,Q19/P19)</f>
        <v>9.4086956521739165</v>
      </c>
      <c r="P19" s="93">
        <v>23</v>
      </c>
      <c r="Q19" s="81">
        <v>216.40000000000006</v>
      </c>
    </row>
    <row r="20" spans="1:17" x14ac:dyDescent="0.45">
      <c r="A20" s="37" t="s">
        <v>178</v>
      </c>
      <c r="B20" s="34">
        <v>200</v>
      </c>
      <c r="C20" s="31">
        <f>IF(B$15=0,0,B20/B$15)</f>
        <v>0.25316455696202533</v>
      </c>
      <c r="E20" s="44" t="s">
        <v>73</v>
      </c>
      <c r="F20" s="41" t="s">
        <v>28</v>
      </c>
      <c r="G20" s="34">
        <v>9</v>
      </c>
      <c r="H20" s="107">
        <f>IF(B$47=0,0,G20/B$47)</f>
        <v>1.1538461538461539E-2</v>
      </c>
      <c r="I20" s="68">
        <v>3</v>
      </c>
      <c r="K20" s="5">
        <v>18</v>
      </c>
      <c r="L20" s="73">
        <v>-295.8</v>
      </c>
      <c r="N20" s="89" t="s">
        <v>186</v>
      </c>
      <c r="O20" s="99">
        <f>IF(P20=0,0,Q20/P20)</f>
        <v>9.15625</v>
      </c>
      <c r="P20" s="93">
        <v>32</v>
      </c>
      <c r="Q20" s="81">
        <v>293</v>
      </c>
    </row>
    <row r="21" spans="1:17" x14ac:dyDescent="0.45">
      <c r="A21" s="37" t="s">
        <v>179</v>
      </c>
      <c r="B21" s="34">
        <v>123</v>
      </c>
      <c r="C21" s="31">
        <f>IF(B$15=0,0,B21/B$15)</f>
        <v>0.15569620253164557</v>
      </c>
      <c r="E21" s="44" t="s">
        <v>92</v>
      </c>
      <c r="F21" s="41" t="s">
        <v>47</v>
      </c>
      <c r="G21" s="34">
        <v>8</v>
      </c>
      <c r="H21" s="107">
        <f>IF(B$47=0,0,G21/B$47)</f>
        <v>1.0256410256410256E-2</v>
      </c>
      <c r="I21" s="68">
        <v>2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5</v>
      </c>
      <c r="B22" s="17">
        <f>IF(B$15=0,0,C22/B$15)</f>
        <v>10453.037974683544</v>
      </c>
      <c r="C22" s="8">
        <v>8257900</v>
      </c>
      <c r="E22" s="44" t="s">
        <v>75</v>
      </c>
      <c r="F22" s="41" t="s">
        <v>30</v>
      </c>
      <c r="G22" s="34">
        <v>7</v>
      </c>
      <c r="H22" s="107">
        <f>IF(B$47=0,0,G22/B$47)</f>
        <v>8.9743589743589737E-3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0.51951219512194724</v>
      </c>
      <c r="P22" s="93">
        <v>123</v>
      </c>
      <c r="Q22" s="81">
        <v>63.899999999999508</v>
      </c>
    </row>
    <row r="23" spans="1:17" x14ac:dyDescent="0.45">
      <c r="A23" s="38" t="s">
        <v>162</v>
      </c>
      <c r="B23" s="114">
        <f>IF($B$15-B$14=0,0,C23/($B$15-B$14))</f>
        <v>11195.423728813559</v>
      </c>
      <c r="C23" s="115">
        <v>6605300</v>
      </c>
      <c r="E23" s="44" t="s">
        <v>77</v>
      </c>
      <c r="F23" s="41" t="s">
        <v>32</v>
      </c>
      <c r="G23" s="34">
        <v>5</v>
      </c>
      <c r="H23" s="107">
        <f>IF(B$47=0,0,G23/B$47)</f>
        <v>6.41025641025641E-3</v>
      </c>
      <c r="I23" s="68">
        <v>4</v>
      </c>
      <c r="K23" s="5">
        <v>21</v>
      </c>
      <c r="L23" s="73">
        <v>-242</v>
      </c>
      <c r="N23" s="89" t="s">
        <v>187</v>
      </c>
      <c r="O23" s="99">
        <f>IF(P23=0,0,Q23/P23)</f>
        <v>-0.74545454545454559</v>
      </c>
      <c r="P23" s="93">
        <v>99</v>
      </c>
      <c r="Q23" s="81">
        <v>-73.800000000000011</v>
      </c>
    </row>
    <row r="24" spans="1:17" x14ac:dyDescent="0.45">
      <c r="A24" s="38" t="s">
        <v>163</v>
      </c>
      <c r="B24" s="114">
        <f>IF(B$14=0,0,C24/B$14)</f>
        <v>8263</v>
      </c>
      <c r="C24" s="115">
        <v>1652600</v>
      </c>
      <c r="E24" s="44" t="s">
        <v>84</v>
      </c>
      <c r="F24" s="41" t="s">
        <v>39</v>
      </c>
      <c r="G24" s="34">
        <v>5</v>
      </c>
      <c r="H24" s="107">
        <f>IF(B$47=0,0,G24/B$47)</f>
        <v>6.41025641025641E-3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-1.8000000000000007</v>
      </c>
      <c r="P24" s="93">
        <v>106</v>
      </c>
      <c r="Q24" s="81">
        <v>-190.80000000000007</v>
      </c>
    </row>
    <row r="25" spans="1:17" x14ac:dyDescent="0.45">
      <c r="A25" s="38" t="s">
        <v>161</v>
      </c>
      <c r="B25" s="114">
        <f>IF(B$16=0,0,C25/B$16)</f>
        <v>-8744.2270058708418</v>
      </c>
      <c r="C25" s="115">
        <v>-4468300</v>
      </c>
      <c r="E25" s="44" t="s">
        <v>93</v>
      </c>
      <c r="F25" s="41" t="s">
        <v>48</v>
      </c>
      <c r="G25" s="34">
        <v>4</v>
      </c>
      <c r="H25" s="107">
        <f>IF(B$47=0,0,G25/B$47)</f>
        <v>5.1282051282051282E-3</v>
      </c>
      <c r="I25" s="68">
        <v>2</v>
      </c>
      <c r="K25" s="5">
        <v>23</v>
      </c>
      <c r="L25" s="73">
        <v>-200.9</v>
      </c>
      <c r="N25" s="89" t="s">
        <v>195</v>
      </c>
      <c r="O25" s="99">
        <f>IF(P25=0,0,Q25/P25)</f>
        <v>-4.8185714285714276</v>
      </c>
      <c r="P25" s="93">
        <v>210</v>
      </c>
      <c r="Q25" s="81">
        <v>-1011.8999999999999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90</v>
      </c>
      <c r="F26" s="41" t="s">
        <v>45</v>
      </c>
      <c r="G26" s="34">
        <v>3</v>
      </c>
      <c r="H26" s="107">
        <f>IF(B$47=0,0,G26/B$47)</f>
        <v>3.8461538461538464E-3</v>
      </c>
      <c r="I26" s="68">
        <v>1</v>
      </c>
      <c r="K26" s="5">
        <v>24</v>
      </c>
      <c r="L26" s="73">
        <v>-168.2</v>
      </c>
      <c r="N26" s="89" t="s">
        <v>185</v>
      </c>
      <c r="O26" s="99">
        <f>IF(P26=0,0,Q26/P26)</f>
        <v>-17.200000000000003</v>
      </c>
      <c r="P26" s="93">
        <v>2</v>
      </c>
      <c r="Q26" s="81">
        <v>-34.400000000000006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85</v>
      </c>
      <c r="F27" s="41" t="s">
        <v>40</v>
      </c>
      <c r="G27" s="34">
        <v>2</v>
      </c>
      <c r="H27" s="107">
        <f>IF(B$47=0,0,G27/B$47)</f>
        <v>2.5641025641025641E-3</v>
      </c>
      <c r="I27" s="68">
        <v>6</v>
      </c>
      <c r="K27" s="5">
        <v>25</v>
      </c>
      <c r="L27" s="73">
        <v>-216.89999999999998</v>
      </c>
      <c r="N27" s="89" t="s">
        <v>189</v>
      </c>
      <c r="O27" s="99">
        <f>IF(P27=0,0,Q27/P27)</f>
        <v>-18.200000000000003</v>
      </c>
      <c r="P27" s="93">
        <v>9</v>
      </c>
      <c r="Q27" s="81">
        <v>-163.80000000000001</v>
      </c>
    </row>
    <row r="28" spans="1:17" x14ac:dyDescent="0.45">
      <c r="A28" s="64" t="s">
        <v>134</v>
      </c>
      <c r="B28" s="139">
        <v>8</v>
      </c>
      <c r="C28" s="140"/>
      <c r="E28" s="44" t="s">
        <v>87</v>
      </c>
      <c r="F28" s="41" t="s">
        <v>42</v>
      </c>
      <c r="G28" s="34">
        <v>2</v>
      </c>
      <c r="H28" s="107">
        <f>IF(B$47=0,0,G28/B$47)</f>
        <v>2.5641025641025641E-3</v>
      </c>
      <c r="I28" s="68">
        <v>4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40" t="s">
        <v>177</v>
      </c>
      <c r="B29" s="137">
        <v>124700</v>
      </c>
      <c r="C29" s="138"/>
      <c r="E29" s="44" t="s">
        <v>74</v>
      </c>
      <c r="F29" s="41" t="s">
        <v>29</v>
      </c>
      <c r="G29" s="34">
        <v>1</v>
      </c>
      <c r="H29" s="107">
        <f>IF(B$47=0,0,G29/B$47)</f>
        <v>1.2820512820512821E-3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9" t="s">
        <v>135</v>
      </c>
      <c r="B30" s="27">
        <v>10</v>
      </c>
      <c r="C30" s="32">
        <f>IF(B$3=0,0,B30/B$3)</f>
        <v>3.5816618911174787E-3</v>
      </c>
      <c r="E30" s="44" t="s">
        <v>97</v>
      </c>
      <c r="F30" s="41" t="s">
        <v>52</v>
      </c>
      <c r="G30" s="34">
        <v>1</v>
      </c>
      <c r="H30" s="107">
        <f>IF(B$47=0,0,G30/B$47)</f>
        <v>1.2820512820512821E-3</v>
      </c>
      <c r="I30" s="68">
        <v>2</v>
      </c>
      <c r="K30" s="5">
        <v>28</v>
      </c>
      <c r="L30" s="73">
        <v>-290.19999999999993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-239.19999999999993</v>
      </c>
    </row>
    <row r="32" spans="1:17" x14ac:dyDescent="0.45">
      <c r="A32" s="64" t="s">
        <v>168</v>
      </c>
      <c r="B32" s="121">
        <v>26</v>
      </c>
      <c r="C32" s="119">
        <f>IF(B$15=0,0,B32/B$15)</f>
        <v>3.2911392405063293E-2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-257.29999999999995</v>
      </c>
    </row>
    <row r="33" spans="1:12" x14ac:dyDescent="0.45">
      <c r="A33" s="37" t="s">
        <v>164</v>
      </c>
      <c r="B33" s="34">
        <v>79</v>
      </c>
      <c r="C33" s="31">
        <f t="shared" ref="C33:C44" si="2">IF(B$15=0,0,B33/B$15)</f>
        <v>0.1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-265.39999999999998</v>
      </c>
    </row>
    <row r="34" spans="1:12" x14ac:dyDescent="0.45">
      <c r="A34" s="37" t="s">
        <v>165</v>
      </c>
      <c r="B34" s="124">
        <v>115</v>
      </c>
      <c r="C34" s="31">
        <f>IF(B$15=0,0,B34/B$15)</f>
        <v>0.14556962025316456</v>
      </c>
      <c r="E34" s="44" t="s">
        <v>88</v>
      </c>
      <c r="F34" s="41" t="s">
        <v>43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-283.89999999999998</v>
      </c>
    </row>
    <row r="35" spans="1:12" x14ac:dyDescent="0.45">
      <c r="A35" s="37" t="s">
        <v>166</v>
      </c>
      <c r="B35" s="124">
        <v>155</v>
      </c>
      <c r="C35" s="31">
        <f t="shared" si="2"/>
        <v>0.19620253164556961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37" t="s">
        <v>167</v>
      </c>
      <c r="B36" s="124">
        <v>151</v>
      </c>
      <c r="C36" s="31">
        <f t="shared" si="2"/>
        <v>0.19113924050632911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-301.69999999999993</v>
      </c>
    </row>
    <row r="37" spans="1:12" x14ac:dyDescent="0.45">
      <c r="A37" s="37" t="s">
        <v>169</v>
      </c>
      <c r="B37" s="124">
        <v>90</v>
      </c>
      <c r="C37" s="31">
        <f t="shared" si="2"/>
        <v>0.11392405063291139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170</v>
      </c>
      <c r="B38" s="124">
        <v>65</v>
      </c>
      <c r="C38" s="31">
        <f t="shared" si="2"/>
        <v>8.2278481012658222E-2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171</v>
      </c>
      <c r="B39" s="124">
        <v>37</v>
      </c>
      <c r="C39" s="31">
        <f t="shared" si="2"/>
        <v>4.6835443037974683E-2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172</v>
      </c>
      <c r="B40" s="124">
        <v>26</v>
      </c>
      <c r="C40" s="31">
        <f t="shared" si="2"/>
        <v>3.2911392405063293E-2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173</v>
      </c>
      <c r="B41" s="124">
        <v>11</v>
      </c>
      <c r="C41" s="31">
        <f t="shared" si="2"/>
        <v>1.3924050632911392E-2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174</v>
      </c>
      <c r="B42" s="124">
        <v>7</v>
      </c>
      <c r="C42" s="31">
        <f t="shared" si="2"/>
        <v>8.8607594936708865E-3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175</v>
      </c>
      <c r="B43" s="124">
        <v>3</v>
      </c>
      <c r="C43" s="31">
        <f t="shared" si="2"/>
        <v>3.7974683544303796E-3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9" t="s">
        <v>176</v>
      </c>
      <c r="B44" s="120">
        <v>15</v>
      </c>
      <c r="C44" s="32">
        <f t="shared" si="2"/>
        <v>1.8987341772151899E-2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64" t="s">
        <v>181</v>
      </c>
      <c r="B46" s="127">
        <v>2755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9" t="s">
        <v>182</v>
      </c>
      <c r="B47" s="135">
        <v>780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-363.39999999999992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-351.39999999999992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-359.19999999999993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-364.49999999999994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-399.99999999999994</v>
      </c>
    </row>
    <row r="53" spans="5:12" x14ac:dyDescent="0.45">
      <c r="K53" s="5">
        <v>51</v>
      </c>
      <c r="L53" s="73">
        <v>-409.99999999999994</v>
      </c>
    </row>
    <row r="54" spans="5:12" x14ac:dyDescent="0.45">
      <c r="K54" s="5">
        <v>52</v>
      </c>
      <c r="L54" s="73">
        <v>-426.39999999999992</v>
      </c>
    </row>
    <row r="55" spans="5:12" x14ac:dyDescent="0.45">
      <c r="K55" s="5">
        <v>53</v>
      </c>
      <c r="L55" s="73">
        <v>-399.89999999999992</v>
      </c>
    </row>
    <row r="56" spans="5:12" x14ac:dyDescent="0.45">
      <c r="K56" s="5">
        <v>54</v>
      </c>
      <c r="L56" s="73">
        <v>-411.19999999999993</v>
      </c>
    </row>
    <row r="57" spans="5:12" x14ac:dyDescent="0.45">
      <c r="K57" s="5">
        <v>55</v>
      </c>
      <c r="L57" s="73">
        <v>-420.49999999999994</v>
      </c>
    </row>
    <row r="58" spans="5:12" x14ac:dyDescent="0.45">
      <c r="K58" s="5">
        <v>56</v>
      </c>
      <c r="L58" s="73">
        <v>-395.39999999999992</v>
      </c>
    </row>
    <row r="59" spans="5:12" x14ac:dyDescent="0.45">
      <c r="K59" s="5">
        <v>57</v>
      </c>
      <c r="L59" s="73">
        <v>-428.89999999999992</v>
      </c>
    </row>
    <row r="60" spans="5:12" x14ac:dyDescent="0.45">
      <c r="K60" s="5">
        <v>58</v>
      </c>
      <c r="L60" s="73">
        <v>-466.39999999999992</v>
      </c>
    </row>
    <row r="61" spans="5:12" x14ac:dyDescent="0.45">
      <c r="K61" s="5">
        <v>59</v>
      </c>
      <c r="L61" s="73">
        <v>-475.7999999999999</v>
      </c>
    </row>
    <row r="62" spans="5:12" x14ac:dyDescent="0.45">
      <c r="K62" s="5">
        <v>60</v>
      </c>
      <c r="L62" s="73">
        <v>-475.2999999999999</v>
      </c>
    </row>
    <row r="63" spans="5:12" x14ac:dyDescent="0.45">
      <c r="K63" s="5">
        <v>61</v>
      </c>
      <c r="L63" s="73">
        <v>-487.39999999999992</v>
      </c>
    </row>
    <row r="64" spans="5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C9007-B57F-4970-99CD-7E06EB922D47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196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IF(B$47=0,0,G2/B$47)</f>
        <v>0.625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29">
        <v>69</v>
      </c>
      <c r="C3" s="130"/>
      <c r="E3" s="44" t="s">
        <v>66</v>
      </c>
      <c r="F3" s="41" t="s">
        <v>22</v>
      </c>
      <c r="G3" s="34">
        <v>15</v>
      </c>
      <c r="H3" s="107">
        <f>IF(B$47=0,0,G3/B$47)</f>
        <v>0.625</v>
      </c>
      <c r="I3" s="68">
        <v>13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1">
        <v>109</v>
      </c>
      <c r="C4" s="132"/>
      <c r="E4" s="44" t="s">
        <v>72</v>
      </c>
      <c r="F4" s="41" t="s">
        <v>27</v>
      </c>
      <c r="G4" s="34">
        <v>13</v>
      </c>
      <c r="H4" s="107">
        <f>IF(B$47=0,0,G4/B$47)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3">
        <f>IF(B$2=0,0,B$4/B$2)</f>
        <v>12.111111111111111</v>
      </c>
      <c r="C5" s="134"/>
      <c r="E5" s="44" t="s">
        <v>67</v>
      </c>
      <c r="F5" s="41" t="s">
        <v>23</v>
      </c>
      <c r="G5" s="34">
        <v>9</v>
      </c>
      <c r="H5" s="107">
        <f>IF(B$47=0,0,G5/B$47)</f>
        <v>0.375</v>
      </c>
      <c r="I5" s="68">
        <v>6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41">
        <f>IF(B$2=0,0,(B$7*1+B$8*2+B$9*3)/B$2)</f>
        <v>1.6666666666666667</v>
      </c>
      <c r="C6" s="142"/>
      <c r="E6" s="44" t="s">
        <v>68</v>
      </c>
      <c r="F6" s="41" t="s">
        <v>12</v>
      </c>
      <c r="G6" s="34">
        <v>5</v>
      </c>
      <c r="H6" s="107">
        <f>IF(B$47=0,0,G6/B$47)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0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IF(B$47=0,0,G7/B$47)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IF(B$47=0,0,G8/B$47)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IF(B$47=0,0,G9/B$47)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0.1111111111111111</v>
      </c>
      <c r="E10" s="44" t="s">
        <v>86</v>
      </c>
      <c r="F10" s="41" t="s">
        <v>41</v>
      </c>
      <c r="G10" s="34">
        <v>4</v>
      </c>
      <c r="H10" s="107">
        <f>IF(B$47=0,0,G10/B$47)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40" t="s">
        <v>121</v>
      </c>
      <c r="B11" s="16">
        <v>26</v>
      </c>
      <c r="C11" s="11">
        <f>IF(B$46=0,0,B11/B$46)</f>
        <v>0.37681159420289856</v>
      </c>
      <c r="E11" s="44" t="s">
        <v>65</v>
      </c>
      <c r="F11" s="41" t="s">
        <v>21</v>
      </c>
      <c r="G11" s="34">
        <v>3</v>
      </c>
      <c r="H11" s="107">
        <f>IF(B$47=0,0,G11/B$47)</f>
        <v>0.125</v>
      </c>
      <c r="I11" s="68">
        <v>7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7" t="s">
        <v>118</v>
      </c>
      <c r="B12" s="34">
        <v>10</v>
      </c>
      <c r="C12" s="31">
        <f>IF(B$46=0,0,B12/B$46)</f>
        <v>0.14492753623188406</v>
      </c>
      <c r="E12" s="44" t="s">
        <v>71</v>
      </c>
      <c r="F12" s="41" t="s">
        <v>26</v>
      </c>
      <c r="G12" s="34">
        <v>2</v>
      </c>
      <c r="H12" s="107">
        <f>IF(B$47=0,0,G12/B$47)</f>
        <v>8.3333333333333329E-2</v>
      </c>
      <c r="I12" s="68">
        <v>3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19" t="s">
        <v>123</v>
      </c>
      <c r="B13" s="13">
        <v>16</v>
      </c>
      <c r="C13" s="4">
        <f>IF(B$11=0,0,B13/B$11)</f>
        <v>0.61538461538461542</v>
      </c>
      <c r="E13" s="44" t="s">
        <v>157</v>
      </c>
      <c r="F13" s="41" t="s">
        <v>158</v>
      </c>
      <c r="G13" s="34">
        <v>2</v>
      </c>
      <c r="H13" s="107">
        <f>IF(B$47=0,0,G13/B$47)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0.5</v>
      </c>
      <c r="E14" s="44" t="s">
        <v>91</v>
      </c>
      <c r="F14" s="41" t="s">
        <v>46</v>
      </c>
      <c r="G14" s="34">
        <v>1</v>
      </c>
      <c r="H14" s="107">
        <f>IF(B$47=0,0,G14/B$47)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24</v>
      </c>
      <c r="C15" s="4">
        <f>IF(B$3=0,0,B15/B$3)</f>
        <v>0.34782608695652173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13</v>
      </c>
      <c r="B16" s="34">
        <v>6</v>
      </c>
      <c r="C16" s="31">
        <f>IF(B$3=0,0,B16/B$3)</f>
        <v>8.6956521739130432E-2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37" t="s">
        <v>12</v>
      </c>
      <c r="B17" s="34">
        <v>7</v>
      </c>
      <c r="C17" s="31">
        <f>IF(B$15=0,0,B17/B$15)</f>
        <v>0.29166666666666669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37" t="s">
        <v>11</v>
      </c>
      <c r="B18" s="34">
        <v>17</v>
      </c>
      <c r="C18" s="31">
        <f>IF(B$15=0,0,B18/B$15)</f>
        <v>0.70833333333333337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37" t="s">
        <v>180</v>
      </c>
      <c r="B19" s="34">
        <v>16</v>
      </c>
      <c r="C19" s="31">
        <f>IF(B$15=0,0,B19/B$15)</f>
        <v>0.66666666666666663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178</v>
      </c>
      <c r="B20" s="34">
        <v>5</v>
      </c>
      <c r="C20" s="31">
        <f>IF(B$15=0,0,B20/B$15)</f>
        <v>0.20833333333333334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179</v>
      </c>
      <c r="B21" s="34">
        <v>3</v>
      </c>
      <c r="C21" s="31">
        <f>IF(B$15=0,0,B21/B$15)</f>
        <v>0.125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14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5</v>
      </c>
      <c r="B22" s="17">
        <f>IF(B$15=0,0,C22/B$15)</f>
        <v>8891.6666666666661</v>
      </c>
      <c r="C22" s="8">
        <v>213400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8" t="s">
        <v>162</v>
      </c>
      <c r="B23" s="114">
        <f>IF($B$15-B$14=0,0,C23/($B$15-B$14))</f>
        <v>9610.5263157894733</v>
      </c>
      <c r="C23" s="115">
        <v>182600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15</v>
      </c>
    </row>
    <row r="24" spans="1:17" x14ac:dyDescent="0.45">
      <c r="A24" s="38" t="s">
        <v>163</v>
      </c>
      <c r="B24" s="114">
        <f>IF(B$14=0,0,C24/B$14)</f>
        <v>6160</v>
      </c>
      <c r="C24" s="115">
        <v>30800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5">
      <c r="A25" s="38" t="s">
        <v>161</v>
      </c>
      <c r="B25" s="114">
        <f>IF(B$16=0,0,C25/B$16)</f>
        <v>-8400</v>
      </c>
      <c r="C25" s="115">
        <v>-50400</v>
      </c>
      <c r="E25" s="44" t="s">
        <v>83</v>
      </c>
      <c r="F25" s="41" t="s">
        <v>38</v>
      </c>
      <c r="G25" s="34">
        <v>0</v>
      </c>
      <c r="H25" s="107">
        <f>IF(B$47=0,0,G25/B$47)</f>
        <v>0</v>
      </c>
      <c r="I25" s="68">
        <v>15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17</v>
      </c>
      <c r="C27" s="109">
        <v>0</v>
      </c>
      <c r="E27" s="44" t="s">
        <v>85</v>
      </c>
      <c r="F27" s="41" t="s">
        <v>40</v>
      </c>
      <c r="G27" s="34">
        <v>0</v>
      </c>
      <c r="H27" s="107">
        <f>IF(B$47=0,0,G27/B$47)</f>
        <v>0</v>
      </c>
      <c r="I27" s="68">
        <v>9</v>
      </c>
    </row>
    <row r="28" spans="1:17" x14ac:dyDescent="0.45">
      <c r="A28" s="64" t="s">
        <v>134</v>
      </c>
      <c r="B28" s="139">
        <v>5</v>
      </c>
      <c r="C28" s="140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10</v>
      </c>
    </row>
    <row r="29" spans="1:17" x14ac:dyDescent="0.45">
      <c r="A29" s="40" t="s">
        <v>177</v>
      </c>
      <c r="B29" s="137">
        <v>78000</v>
      </c>
      <c r="C29" s="138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7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4</v>
      </c>
      <c r="C33" s="31">
        <f t="shared" ref="C33:C44" si="2">IF(B$15=0,0,B33/B$15)</f>
        <v>0.16666666666666666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4</v>
      </c>
      <c r="C34" s="31">
        <f>IF(B$15=0,0,B34/B$15)</f>
        <v>0.16666666666666666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6</v>
      </c>
      <c r="C35" s="31">
        <f t="shared" si="2"/>
        <v>0.25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6</v>
      </c>
      <c r="C36" s="31">
        <f t="shared" si="2"/>
        <v>0.25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2</v>
      </c>
      <c r="C37" s="31">
        <f t="shared" si="2"/>
        <v>8.3333333333333329E-2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1</v>
      </c>
      <c r="C39" s="31">
        <f t="shared" si="2"/>
        <v>4.1666666666666664E-2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1</v>
      </c>
      <c r="C44" s="32">
        <f t="shared" si="2"/>
        <v>4.1666666666666664E-2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24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3F708-FA71-4A87-9D51-E2B0A09E21C8}">
  <sheetPr codeName="Sheet15"/>
  <dimension ref="A1:Q27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187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277</v>
      </c>
      <c r="C2" s="128"/>
      <c r="E2" s="43" t="s">
        <v>66</v>
      </c>
      <c r="F2" s="25" t="s">
        <v>22</v>
      </c>
      <c r="G2" s="13">
        <v>411</v>
      </c>
      <c r="H2" s="106">
        <f>IF(B$47=0,0,G2/B$47)</f>
        <v>0.67377049180327864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-10.469314079422382</v>
      </c>
      <c r="P2" s="92">
        <v>277</v>
      </c>
      <c r="Q2" s="76">
        <v>-2900</v>
      </c>
    </row>
    <row r="3" spans="1:17" x14ac:dyDescent="0.45">
      <c r="A3" s="37" t="s">
        <v>8</v>
      </c>
      <c r="B3" s="129">
        <v>2261</v>
      </c>
      <c r="C3" s="130"/>
      <c r="E3" s="44" t="s">
        <v>72</v>
      </c>
      <c r="F3" s="41" t="s">
        <v>27</v>
      </c>
      <c r="G3" s="34">
        <v>325</v>
      </c>
      <c r="H3" s="107">
        <f>IF(B$47=0,0,G3/B$47)</f>
        <v>0.53278688524590168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551.11111111111109</v>
      </c>
      <c r="P3" s="93">
        <v>270</v>
      </c>
      <c r="Q3" s="77">
        <v>148800</v>
      </c>
    </row>
    <row r="4" spans="1:17" x14ac:dyDescent="0.45">
      <c r="A4" s="37" t="s">
        <v>6</v>
      </c>
      <c r="B4" s="131">
        <v>-330.79999999999995</v>
      </c>
      <c r="C4" s="132"/>
      <c r="E4" s="44" t="s">
        <v>64</v>
      </c>
      <c r="F4" s="41" t="s">
        <v>20</v>
      </c>
      <c r="G4" s="34">
        <v>320</v>
      </c>
      <c r="H4" s="107">
        <f>IF(B$47=0,0,G4/B$47)</f>
        <v>0.52459016393442626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-549.40711462450588</v>
      </c>
      <c r="P4" s="93">
        <v>253</v>
      </c>
      <c r="Q4" s="77">
        <v>-139000</v>
      </c>
    </row>
    <row r="5" spans="1:17" x14ac:dyDescent="0.45">
      <c r="A5" s="37" t="s">
        <v>7</v>
      </c>
      <c r="B5" s="133">
        <f>IF(B$2=0,0,B$4/B$2)</f>
        <v>-1.1942238267148013</v>
      </c>
      <c r="C5" s="134"/>
      <c r="E5" s="44" t="s">
        <v>157</v>
      </c>
      <c r="F5" s="41" t="s">
        <v>158</v>
      </c>
      <c r="G5" s="34">
        <v>241</v>
      </c>
      <c r="H5" s="107">
        <f>IF(B$47=0,0,G5/B$47)</f>
        <v>0.39508196721311473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-105.53191489361703</v>
      </c>
      <c r="P5" s="93">
        <v>235</v>
      </c>
      <c r="Q5" s="77">
        <v>-24800</v>
      </c>
    </row>
    <row r="6" spans="1:17" x14ac:dyDescent="0.45">
      <c r="A6" s="37" t="s">
        <v>1</v>
      </c>
      <c r="B6" s="141">
        <f>IF(B$2=0,0,(B$7*1+B$8*2+B$9*3)/B$2)</f>
        <v>2.0577617328519855</v>
      </c>
      <c r="C6" s="142"/>
      <c r="E6" s="44" t="s">
        <v>67</v>
      </c>
      <c r="F6" s="41" t="s">
        <v>23</v>
      </c>
      <c r="G6" s="34">
        <v>217</v>
      </c>
      <c r="H6" s="107">
        <f>IF(B$47=0,0,G6/B$47)</f>
        <v>0.3557377049180328</v>
      </c>
      <c r="I6" s="68">
        <v>7</v>
      </c>
      <c r="K6" s="5">
        <v>4</v>
      </c>
      <c r="L6" s="73">
        <v>5.1000000000000014</v>
      </c>
      <c r="N6" s="89" t="s">
        <v>130</v>
      </c>
      <c r="O6" s="96">
        <f t="shared" si="0"/>
        <v>-1188.7323943661972</v>
      </c>
      <c r="P6" s="93">
        <v>213</v>
      </c>
      <c r="Q6" s="77">
        <v>-253200</v>
      </c>
    </row>
    <row r="7" spans="1:17" x14ac:dyDescent="0.45">
      <c r="A7" s="37" t="s">
        <v>2</v>
      </c>
      <c r="B7" s="34">
        <v>77</v>
      </c>
      <c r="C7" s="31">
        <f t="shared" ref="C7:C10" si="1">IF(B$2=0,0,B7/B$2)</f>
        <v>0.27797833935018051</v>
      </c>
      <c r="E7" s="44" t="s">
        <v>68</v>
      </c>
      <c r="F7" s="41" t="s">
        <v>12</v>
      </c>
      <c r="G7" s="34">
        <v>194</v>
      </c>
      <c r="H7" s="107">
        <f>IF(B$47=0,0,G7/B$47)</f>
        <v>0.31803278688524589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-312.35955056179773</v>
      </c>
      <c r="P7" s="94">
        <v>178</v>
      </c>
      <c r="Q7" s="78">
        <v>-55600</v>
      </c>
    </row>
    <row r="8" spans="1:17" x14ac:dyDescent="0.45">
      <c r="A8" s="37" t="s">
        <v>3</v>
      </c>
      <c r="B8" s="34">
        <v>107</v>
      </c>
      <c r="C8" s="31">
        <f t="shared" si="1"/>
        <v>0.38628158844765342</v>
      </c>
      <c r="E8" s="44" t="s">
        <v>69</v>
      </c>
      <c r="F8" s="41" t="s">
        <v>24</v>
      </c>
      <c r="G8" s="34">
        <v>80</v>
      </c>
      <c r="H8" s="107">
        <f>IF(B$47=0,0,G8/B$47)</f>
        <v>0.13114754098360656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93</v>
      </c>
      <c r="C9" s="7">
        <f t="shared" si="1"/>
        <v>0.33574007220216606</v>
      </c>
      <c r="E9" s="44" t="s">
        <v>89</v>
      </c>
      <c r="F9" s="41" t="s">
        <v>44</v>
      </c>
      <c r="G9" s="34">
        <v>74</v>
      </c>
      <c r="H9" s="107">
        <f>IF(B$47=0,0,G9/B$47)</f>
        <v>0.12131147540983607</v>
      </c>
      <c r="I9" s="68">
        <v>12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33</v>
      </c>
      <c r="C10" s="32">
        <f t="shared" si="1"/>
        <v>0.11913357400722022</v>
      </c>
      <c r="E10" s="44" t="s">
        <v>65</v>
      </c>
      <c r="F10" s="41" t="s">
        <v>21</v>
      </c>
      <c r="G10" s="34">
        <v>59</v>
      </c>
      <c r="H10" s="107">
        <f>IF(B$47=0,0,G10/B$47)</f>
        <v>9.6721311475409841E-2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-3.2009523809523817</v>
      </c>
      <c r="P10" s="92">
        <v>105</v>
      </c>
      <c r="Q10" s="80">
        <v>-336.10000000000008</v>
      </c>
    </row>
    <row r="11" spans="1:17" x14ac:dyDescent="0.45">
      <c r="A11" s="40" t="s">
        <v>121</v>
      </c>
      <c r="B11" s="16">
        <v>566</v>
      </c>
      <c r="C11" s="11">
        <f>IF(B$46=0,0,B11/B$46)</f>
        <v>0.25033171163202123</v>
      </c>
      <c r="E11" s="44" t="s">
        <v>70</v>
      </c>
      <c r="F11" s="41" t="s">
        <v>25</v>
      </c>
      <c r="G11" s="34">
        <v>51</v>
      </c>
      <c r="H11" s="107">
        <f>IF(B$47=0,0,G11/B$47)</f>
        <v>8.3606557377049182E-2</v>
      </c>
      <c r="I11" s="68">
        <v>11</v>
      </c>
      <c r="K11" s="5">
        <v>9</v>
      </c>
      <c r="L11" s="73">
        <v>-9.3999999999999968</v>
      </c>
      <c r="N11" s="89" t="s">
        <v>150</v>
      </c>
      <c r="O11" s="99">
        <f>IF(P11=0,0,Q11/P11)</f>
        <v>0.76976744186046497</v>
      </c>
      <c r="P11" s="93">
        <v>86</v>
      </c>
      <c r="Q11" s="81">
        <v>66.199999999999989</v>
      </c>
    </row>
    <row r="12" spans="1:17" x14ac:dyDescent="0.45">
      <c r="A12" s="37" t="s">
        <v>118</v>
      </c>
      <c r="B12" s="34">
        <v>507</v>
      </c>
      <c r="C12" s="31">
        <f>IF(B$46=0,0,B12/B$46)</f>
        <v>0.22423706324635118</v>
      </c>
      <c r="E12" s="44" t="s">
        <v>71</v>
      </c>
      <c r="F12" s="41" t="s">
        <v>26</v>
      </c>
      <c r="G12" s="34">
        <v>50</v>
      </c>
      <c r="H12" s="107">
        <f>IF(B$47=0,0,G12/B$47)</f>
        <v>8.1967213114754092E-2</v>
      </c>
      <c r="I12" s="68">
        <v>4</v>
      </c>
      <c r="K12" s="5">
        <v>10</v>
      </c>
      <c r="L12" s="73">
        <v>-24.299999999999997</v>
      </c>
      <c r="N12" s="90" t="s">
        <v>151</v>
      </c>
      <c r="O12" s="100">
        <f>IF(P12=0,0,Q12/P12)</f>
        <v>-0.70813953488372128</v>
      </c>
      <c r="P12" s="94">
        <v>86</v>
      </c>
      <c r="Q12" s="82">
        <v>-60.900000000000034</v>
      </c>
    </row>
    <row r="13" spans="1:17" x14ac:dyDescent="0.45">
      <c r="A13" s="19" t="s">
        <v>123</v>
      </c>
      <c r="B13" s="13">
        <v>326</v>
      </c>
      <c r="C13" s="4">
        <f>IF(B$11=0,0,B13/B$11)</f>
        <v>0.57597173144876324</v>
      </c>
      <c r="E13" s="44" t="s">
        <v>83</v>
      </c>
      <c r="F13" s="41" t="s">
        <v>38</v>
      </c>
      <c r="G13" s="34">
        <v>36</v>
      </c>
      <c r="H13" s="107">
        <f>IF(B$47=0,0,G13/B$47)</f>
        <v>5.9016393442622953E-2</v>
      </c>
      <c r="I13" s="68">
        <v>5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192</v>
      </c>
      <c r="C14" s="4">
        <f>IF(B$12=0,0,B14/B$12)</f>
        <v>0.378698224852071</v>
      </c>
      <c r="E14" s="44" t="s">
        <v>86</v>
      </c>
      <c r="F14" s="41" t="s">
        <v>41</v>
      </c>
      <c r="G14" s="34">
        <v>33</v>
      </c>
      <c r="H14" s="107">
        <f>IF(B$47=0,0,G14/B$47)</f>
        <v>5.4098360655737705E-2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610</v>
      </c>
      <c r="C15" s="4">
        <f>IF(B$3=0,0,B15/B$3)</f>
        <v>0.26979212737726671</v>
      </c>
      <c r="E15" s="44" t="s">
        <v>78</v>
      </c>
      <c r="F15" s="41" t="s">
        <v>33</v>
      </c>
      <c r="G15" s="34">
        <v>15</v>
      </c>
      <c r="H15" s="107">
        <f>IF(B$47=0,0,G15/B$47)</f>
        <v>2.4590163934426229E-2</v>
      </c>
      <c r="I15" s="68">
        <v>9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13</v>
      </c>
      <c r="B16" s="34">
        <v>335</v>
      </c>
      <c r="C16" s="31">
        <f>IF(B$3=0,0,B16/B$3)</f>
        <v>0.14816452896948254</v>
      </c>
      <c r="E16" s="44" t="s">
        <v>81</v>
      </c>
      <c r="F16" s="41" t="s">
        <v>36</v>
      </c>
      <c r="G16" s="34">
        <v>15</v>
      </c>
      <c r="H16" s="107">
        <f>IF(B$47=0,0,G16/B$47)</f>
        <v>2.4590163934426229E-2</v>
      </c>
      <c r="I16" s="68">
        <v>8</v>
      </c>
      <c r="K16" s="5">
        <v>14</v>
      </c>
      <c r="L16" s="73">
        <v>-5.7999999999999945</v>
      </c>
      <c r="N16" s="89" t="s">
        <v>197</v>
      </c>
      <c r="O16" s="99">
        <f>IF(P16=0,0,Q16/P16)</f>
        <v>30.68965517241379</v>
      </c>
      <c r="P16" s="93">
        <v>29</v>
      </c>
      <c r="Q16" s="81">
        <v>889.99999999999989</v>
      </c>
    </row>
    <row r="17" spans="1:17" x14ac:dyDescent="0.45">
      <c r="A17" s="37" t="s">
        <v>12</v>
      </c>
      <c r="B17" s="34">
        <v>267</v>
      </c>
      <c r="C17" s="31">
        <f>IF(B$15=0,0,B17/B$15)</f>
        <v>0.43770491803278688</v>
      </c>
      <c r="E17" s="44" t="s">
        <v>79</v>
      </c>
      <c r="F17" s="41" t="s">
        <v>34</v>
      </c>
      <c r="G17" s="34">
        <v>13</v>
      </c>
      <c r="H17" s="107">
        <f>IF(B$47=0,0,G17/B$47)</f>
        <v>2.1311475409836064E-2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37" t="s">
        <v>11</v>
      </c>
      <c r="B18" s="34">
        <v>343</v>
      </c>
      <c r="C18" s="31">
        <f>IF(B$15=0,0,B18/B$15)</f>
        <v>0.56229508196721312</v>
      </c>
      <c r="E18" s="44" t="s">
        <v>91</v>
      </c>
      <c r="F18" s="41" t="s">
        <v>46</v>
      </c>
      <c r="G18" s="34">
        <v>12</v>
      </c>
      <c r="H18" s="107">
        <f>IF(B$47=0,0,G18/B$47)</f>
        <v>1.9672131147540985E-2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37" t="s">
        <v>180</v>
      </c>
      <c r="B19" s="34">
        <v>326</v>
      </c>
      <c r="C19" s="31">
        <f>IF(B$15=0,0,B19/B$15)</f>
        <v>0.53442622950819674</v>
      </c>
      <c r="E19" s="44" t="s">
        <v>85</v>
      </c>
      <c r="F19" s="41" t="s">
        <v>40</v>
      </c>
      <c r="G19" s="34">
        <v>9</v>
      </c>
      <c r="H19" s="107">
        <f>IF(B$47=0,0,G19/B$47)</f>
        <v>1.4754098360655738E-2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6.2222222222222241</v>
      </c>
      <c r="P19" s="93">
        <v>18</v>
      </c>
      <c r="Q19" s="81">
        <v>112.00000000000003</v>
      </c>
    </row>
    <row r="20" spans="1:17" x14ac:dyDescent="0.45">
      <c r="A20" s="37" t="s">
        <v>178</v>
      </c>
      <c r="B20" s="34">
        <v>192</v>
      </c>
      <c r="C20" s="31">
        <f>IF(B$15=0,0,B20/B$15)</f>
        <v>0.31475409836065577</v>
      </c>
      <c r="E20" s="44" t="s">
        <v>153</v>
      </c>
      <c r="F20" s="41" t="s">
        <v>154</v>
      </c>
      <c r="G20" s="34">
        <v>6</v>
      </c>
      <c r="H20" s="107">
        <f>IF(B$47=0,0,G20/B$47)</f>
        <v>9.8360655737704927E-3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5.5333333333333341</v>
      </c>
      <c r="P20" s="93">
        <v>60</v>
      </c>
      <c r="Q20" s="81">
        <v>332.00000000000006</v>
      </c>
    </row>
    <row r="21" spans="1:17" x14ac:dyDescent="0.45">
      <c r="A21" s="37" t="s">
        <v>179</v>
      </c>
      <c r="B21" s="34">
        <v>92</v>
      </c>
      <c r="C21" s="31">
        <f>IF(B$15=0,0,B21/B$15)</f>
        <v>0.15081967213114755</v>
      </c>
      <c r="E21" s="44" t="s">
        <v>73</v>
      </c>
      <c r="F21" s="41" t="s">
        <v>28</v>
      </c>
      <c r="G21" s="34">
        <v>5</v>
      </c>
      <c r="H21" s="107">
        <f>IF(B$47=0,0,G21/B$47)</f>
        <v>8.1967213114754103E-3</v>
      </c>
      <c r="I21" s="68">
        <v>4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5">
      <c r="A22" s="37" t="s">
        <v>5</v>
      </c>
      <c r="B22" s="17">
        <f>IF(B$15=0,0,C22/B$15)</f>
        <v>8607.5409836065573</v>
      </c>
      <c r="C22" s="8">
        <v>5250600</v>
      </c>
      <c r="E22" s="44" t="s">
        <v>74</v>
      </c>
      <c r="F22" s="41" t="s">
        <v>29</v>
      </c>
      <c r="G22" s="34">
        <v>3</v>
      </c>
      <c r="H22" s="107">
        <f>IF(B$47=0,0,G22/B$47)</f>
        <v>4.9180327868852463E-3</v>
      </c>
      <c r="I22" s="68">
        <v>5</v>
      </c>
      <c r="K22" s="5">
        <v>20</v>
      </c>
      <c r="L22" s="73">
        <v>-88.2</v>
      </c>
      <c r="N22" s="89" t="s">
        <v>191</v>
      </c>
      <c r="O22" s="99">
        <f>IF(P22=0,0,Q22/P22)</f>
        <v>0.74545454545454615</v>
      </c>
      <c r="P22" s="93">
        <v>99</v>
      </c>
      <c r="Q22" s="81">
        <v>73.800000000000068</v>
      </c>
    </row>
    <row r="23" spans="1:17" x14ac:dyDescent="0.45">
      <c r="A23" s="38" t="s">
        <v>162</v>
      </c>
      <c r="B23" s="114">
        <f>IF($B$15-B$14=0,0,C23/($B$15-B$14))</f>
        <v>9349.5215311004777</v>
      </c>
      <c r="C23" s="115">
        <v>3908100</v>
      </c>
      <c r="E23" s="44" t="s">
        <v>75</v>
      </c>
      <c r="F23" s="41" t="s">
        <v>30</v>
      </c>
      <c r="G23" s="34">
        <v>3</v>
      </c>
      <c r="H23" s="107">
        <f>IF(B$47=0,0,G23/B$47)</f>
        <v>4.9180327868852463E-3</v>
      </c>
      <c r="I23" s="68">
        <v>9</v>
      </c>
      <c r="K23" s="5">
        <v>21</v>
      </c>
      <c r="L23" s="73">
        <v>-125.80000000000001</v>
      </c>
      <c r="N23" s="89" t="s">
        <v>194</v>
      </c>
      <c r="O23" s="99">
        <f>IF(P23=0,0,Q23/P23)</f>
        <v>0.74444444444444635</v>
      </c>
      <c r="P23" s="93">
        <v>9</v>
      </c>
      <c r="Q23" s="81">
        <v>6.7000000000000171</v>
      </c>
    </row>
    <row r="24" spans="1:17" x14ac:dyDescent="0.45">
      <c r="A24" s="38" t="s">
        <v>163</v>
      </c>
      <c r="B24" s="114">
        <f>IF(B$14=0,0,C24/B$14)</f>
        <v>6992.1875</v>
      </c>
      <c r="C24" s="115">
        <v>1342500</v>
      </c>
      <c r="E24" s="44" t="s">
        <v>77</v>
      </c>
      <c r="F24" s="41" t="s">
        <v>32</v>
      </c>
      <c r="G24" s="34">
        <v>3</v>
      </c>
      <c r="H24" s="107">
        <f>IF(B$47=0,0,G24/B$47)</f>
        <v>4.9180327868852463E-3</v>
      </c>
      <c r="I24" s="68">
        <v>7</v>
      </c>
      <c r="K24" s="5">
        <v>22</v>
      </c>
      <c r="L24" s="73">
        <v>-149.30000000000001</v>
      </c>
      <c r="N24" s="89" t="s">
        <v>193</v>
      </c>
      <c r="O24" s="99">
        <f>IF(P24=0,0,Q24/P24)</f>
        <v>-0.91754385964912322</v>
      </c>
      <c r="P24" s="93">
        <v>114</v>
      </c>
      <c r="Q24" s="81">
        <v>-104.60000000000005</v>
      </c>
    </row>
    <row r="25" spans="1:17" x14ac:dyDescent="0.45">
      <c r="A25" s="38" t="s">
        <v>161</v>
      </c>
      <c r="B25" s="114">
        <f>IF(B$16=0,0,C25/B$16)</f>
        <v>-7415.2238805970146</v>
      </c>
      <c r="C25" s="115">
        <v>-2484100</v>
      </c>
      <c r="E25" s="44" t="s">
        <v>90</v>
      </c>
      <c r="F25" s="41" t="s">
        <v>45</v>
      </c>
      <c r="G25" s="34">
        <v>2</v>
      </c>
      <c r="H25" s="107">
        <f>IF(B$47=0,0,G25/B$47)</f>
        <v>3.2786885245901639E-3</v>
      </c>
      <c r="I25" s="68">
        <v>2</v>
      </c>
      <c r="K25" s="5">
        <v>23</v>
      </c>
      <c r="L25" s="73">
        <v>-150.30000000000001</v>
      </c>
      <c r="N25" s="89" t="s">
        <v>188</v>
      </c>
      <c r="O25" s="99">
        <f>IF(P25=0,0,Q25/P25)</f>
        <v>-1.4984375000000001</v>
      </c>
      <c r="P25" s="93">
        <v>64</v>
      </c>
      <c r="Q25" s="81">
        <v>-95.9</v>
      </c>
    </row>
    <row r="26" spans="1:17" x14ac:dyDescent="0.45">
      <c r="A26" s="37" t="s">
        <v>155</v>
      </c>
      <c r="B26" s="34">
        <v>6</v>
      </c>
      <c r="C26" s="109">
        <v>0</v>
      </c>
      <c r="E26" s="44" t="s">
        <v>92</v>
      </c>
      <c r="F26" s="41" t="s">
        <v>47</v>
      </c>
      <c r="G26" s="34">
        <v>2</v>
      </c>
      <c r="H26" s="107">
        <f>IF(B$47=0,0,G26/B$47)</f>
        <v>3.2786885245901639E-3</v>
      </c>
      <c r="I26" s="68">
        <v>8</v>
      </c>
      <c r="K26" s="5">
        <v>24</v>
      </c>
      <c r="L26" s="73">
        <v>-196.10000000000002</v>
      </c>
      <c r="N26" s="89" t="s">
        <v>195</v>
      </c>
      <c r="O26" s="99">
        <f>IF(P26=0,0,Q26/P26)</f>
        <v>-19.270454545454548</v>
      </c>
      <c r="P26" s="93">
        <v>132</v>
      </c>
      <c r="Q26" s="81">
        <v>-2543.7000000000003</v>
      </c>
    </row>
    <row r="27" spans="1:17" x14ac:dyDescent="0.45">
      <c r="A27" s="37" t="s">
        <v>156</v>
      </c>
      <c r="B27" s="34">
        <v>45</v>
      </c>
      <c r="C27" s="109">
        <v>0</v>
      </c>
      <c r="E27" s="44" t="s">
        <v>93</v>
      </c>
      <c r="F27" s="41" t="s">
        <v>48</v>
      </c>
      <c r="G27" s="34">
        <v>2</v>
      </c>
      <c r="H27" s="107">
        <f>IF(B$47=0,0,G27/B$47)</f>
        <v>3.2786885245901639E-3</v>
      </c>
      <c r="I27" s="68">
        <v>4</v>
      </c>
      <c r="K27" s="5">
        <v>25</v>
      </c>
      <c r="L27" s="73">
        <v>-240.00000000000003</v>
      </c>
      <c r="N27" s="89" t="s">
        <v>189</v>
      </c>
      <c r="O27" s="99">
        <f>IF(P27=0,0,Q27/P27)</f>
        <v>-38.25</v>
      </c>
      <c r="P27" s="93">
        <v>2</v>
      </c>
      <c r="Q27" s="81">
        <v>-76.5</v>
      </c>
    </row>
    <row r="28" spans="1:17" x14ac:dyDescent="0.45">
      <c r="A28" s="64" t="s">
        <v>134</v>
      </c>
      <c r="B28" s="139">
        <v>8</v>
      </c>
      <c r="C28" s="140"/>
      <c r="E28" s="44" t="s">
        <v>101</v>
      </c>
      <c r="F28" s="41" t="s">
        <v>56</v>
      </c>
      <c r="G28" s="34">
        <v>2</v>
      </c>
      <c r="H28" s="107">
        <f>IF(B$47=0,0,G28/B$47)</f>
        <v>3.2786885245901639E-3</v>
      </c>
      <c r="I28" s="68">
        <v>1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40" t="s">
        <v>177</v>
      </c>
      <c r="B29" s="137">
        <v>103000</v>
      </c>
      <c r="C29" s="138"/>
      <c r="E29" s="44" t="s">
        <v>87</v>
      </c>
      <c r="F29" s="41" t="s">
        <v>42</v>
      </c>
      <c r="G29" s="34">
        <v>1</v>
      </c>
      <c r="H29" s="107">
        <f>IF(B$47=0,0,G29/B$47)</f>
        <v>1.639344262295082E-3</v>
      </c>
      <c r="I29" s="68">
        <v>8</v>
      </c>
      <c r="K29" s="5">
        <v>27</v>
      </c>
      <c r="L29" s="73">
        <v>-266.7</v>
      </c>
    </row>
    <row r="30" spans="1:17" x14ac:dyDescent="0.45">
      <c r="A30" s="39" t="s">
        <v>135</v>
      </c>
      <c r="B30" s="27">
        <v>7</v>
      </c>
      <c r="C30" s="32">
        <f>IF(B$3=0,0,B30/B$3)</f>
        <v>3.0959752321981426E-3</v>
      </c>
      <c r="E30" s="44" t="s">
        <v>88</v>
      </c>
      <c r="F30" s="41" t="s">
        <v>43</v>
      </c>
      <c r="G30" s="34">
        <v>1</v>
      </c>
      <c r="H30" s="107">
        <f>IF(B$47=0,0,G30/B$47)</f>
        <v>1.639344262295082E-3</v>
      </c>
      <c r="I30" s="68">
        <v>4</v>
      </c>
      <c r="K30" s="5">
        <v>28</v>
      </c>
      <c r="L30" s="73">
        <v>-283.7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-251.2</v>
      </c>
    </row>
    <row r="32" spans="1:17" x14ac:dyDescent="0.45">
      <c r="A32" s="64" t="s">
        <v>168</v>
      </c>
      <c r="B32" s="121">
        <v>45</v>
      </c>
      <c r="C32" s="119">
        <f>IF(B$15=0,0,B32/B$15)</f>
        <v>7.3770491803278687E-2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37" t="s">
        <v>164</v>
      </c>
      <c r="B33" s="34">
        <v>95</v>
      </c>
      <c r="C33" s="31">
        <f t="shared" ref="C33:C44" si="2">IF(B$15=0,0,B33/B$15)</f>
        <v>0.15573770491803279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7" t="s">
        <v>165</v>
      </c>
      <c r="B34" s="124">
        <v>118</v>
      </c>
      <c r="C34" s="31">
        <f>IF(B$15=0,0,B34/B$15)</f>
        <v>0.19344262295081968</v>
      </c>
      <c r="E34" s="44" t="s">
        <v>84</v>
      </c>
      <c r="F34" s="41" t="s">
        <v>39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A35" s="37" t="s">
        <v>166</v>
      </c>
      <c r="B35" s="124">
        <v>105</v>
      </c>
      <c r="C35" s="31">
        <f t="shared" si="2"/>
        <v>0.1721311475409836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37" t="s">
        <v>167</v>
      </c>
      <c r="B36" s="124">
        <v>100</v>
      </c>
      <c r="C36" s="31">
        <f t="shared" si="2"/>
        <v>0.16393442622950818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-412.99999999999994</v>
      </c>
    </row>
    <row r="37" spans="1:12" x14ac:dyDescent="0.45">
      <c r="A37" s="37" t="s">
        <v>169</v>
      </c>
      <c r="B37" s="124">
        <v>64</v>
      </c>
      <c r="C37" s="31">
        <f t="shared" si="2"/>
        <v>0.10491803278688525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170</v>
      </c>
      <c r="B38" s="124">
        <v>36</v>
      </c>
      <c r="C38" s="31">
        <f t="shared" si="2"/>
        <v>5.9016393442622953E-2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171</v>
      </c>
      <c r="B39" s="124">
        <v>16</v>
      </c>
      <c r="C39" s="31">
        <f t="shared" si="2"/>
        <v>2.6229508196721311E-2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172</v>
      </c>
      <c r="B40" s="124">
        <v>13</v>
      </c>
      <c r="C40" s="31">
        <f t="shared" si="2"/>
        <v>2.1311475409836064E-2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173</v>
      </c>
      <c r="B41" s="124">
        <v>8</v>
      </c>
      <c r="C41" s="31">
        <f t="shared" si="2"/>
        <v>1.3114754098360656E-2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174</v>
      </c>
      <c r="B42" s="124">
        <v>2</v>
      </c>
      <c r="C42" s="31">
        <f t="shared" si="2"/>
        <v>3.2786885245901639E-3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175</v>
      </c>
      <c r="B43" s="124">
        <v>2</v>
      </c>
      <c r="C43" s="31">
        <f t="shared" si="2"/>
        <v>3.2786885245901639E-3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9" t="s">
        <v>176</v>
      </c>
      <c r="B44" s="120">
        <v>6</v>
      </c>
      <c r="C44" s="32">
        <f t="shared" si="2"/>
        <v>9.8360655737704927E-3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64" t="s">
        <v>181</v>
      </c>
      <c r="B46" s="127">
        <v>2261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9" t="s">
        <v>182</v>
      </c>
      <c r="B47" s="135">
        <v>610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-638.59999999999991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-607.79999999999995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-662.99999999999989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-664.49999999999989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-633.39999999999986</v>
      </c>
    </row>
    <row r="53" spans="5:12" x14ac:dyDescent="0.45">
      <c r="K53" s="5">
        <v>51</v>
      </c>
      <c r="L53" s="73">
        <v>-601.09999999999991</v>
      </c>
    </row>
    <row r="54" spans="5:12" x14ac:dyDescent="0.45">
      <c r="K54" s="5">
        <v>52</v>
      </c>
      <c r="L54" s="73">
        <v>-608.19999999999993</v>
      </c>
    </row>
    <row r="55" spans="5:12" x14ac:dyDescent="0.45">
      <c r="K55" s="5">
        <v>53</v>
      </c>
      <c r="L55" s="73">
        <v>-616.09999999999991</v>
      </c>
    </row>
    <row r="56" spans="5:12" x14ac:dyDescent="0.45">
      <c r="K56" s="5">
        <v>54</v>
      </c>
      <c r="L56" s="73">
        <v>-613.89999999999986</v>
      </c>
    </row>
    <row r="57" spans="5:12" x14ac:dyDescent="0.45">
      <c r="K57" s="5">
        <v>55</v>
      </c>
      <c r="L57" s="73">
        <v>-690.49999999999989</v>
      </c>
    </row>
    <row r="58" spans="5:12" x14ac:dyDescent="0.45">
      <c r="K58" s="5">
        <v>56</v>
      </c>
      <c r="L58" s="73">
        <v>-655.69999999999993</v>
      </c>
    </row>
    <row r="59" spans="5:12" x14ac:dyDescent="0.45">
      <c r="K59" s="5">
        <v>57</v>
      </c>
      <c r="L59" s="73">
        <v>-643.5</v>
      </c>
    </row>
    <row r="60" spans="5:12" x14ac:dyDescent="0.45">
      <c r="K60" s="5">
        <v>58</v>
      </c>
      <c r="L60" s="73">
        <v>-597.5</v>
      </c>
    </row>
    <row r="61" spans="5:12" x14ac:dyDescent="0.45">
      <c r="K61" s="5">
        <v>59</v>
      </c>
      <c r="L61" s="73">
        <v>-600.69999999999993</v>
      </c>
    </row>
    <row r="62" spans="5:12" x14ac:dyDescent="0.45">
      <c r="K62" s="5">
        <v>60</v>
      </c>
      <c r="L62" s="73">
        <v>-658.89999999999986</v>
      </c>
    </row>
    <row r="63" spans="5:12" x14ac:dyDescent="0.45">
      <c r="K63" s="5">
        <v>61</v>
      </c>
      <c r="L63" s="73">
        <v>-606.39999999999986</v>
      </c>
    </row>
    <row r="64" spans="5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178C9-BA35-451A-B706-3542CC70B4C2}">
  <sheetPr codeName="Sheet16"/>
  <dimension ref="A1:Q10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186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98</v>
      </c>
      <c r="C2" s="128"/>
      <c r="E2" s="43" t="s">
        <v>66</v>
      </c>
      <c r="F2" s="25" t="s">
        <v>22</v>
      </c>
      <c r="G2" s="13">
        <v>170</v>
      </c>
      <c r="H2" s="106">
        <f>IF(B$47=0,0,G2/B$47)</f>
        <v>0.74889867841409696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-2813.4020618556701</v>
      </c>
      <c r="P2" s="92">
        <v>97</v>
      </c>
      <c r="Q2" s="76">
        <v>-272900</v>
      </c>
    </row>
    <row r="3" spans="1:17" x14ac:dyDescent="0.45">
      <c r="A3" s="37" t="s">
        <v>8</v>
      </c>
      <c r="B3" s="129">
        <v>857</v>
      </c>
      <c r="C3" s="130"/>
      <c r="E3" s="44" t="s">
        <v>64</v>
      </c>
      <c r="F3" s="41" t="s">
        <v>20</v>
      </c>
      <c r="G3" s="34">
        <v>107</v>
      </c>
      <c r="H3" s="107">
        <f>IF(B$47=0,0,G3/B$47)</f>
        <v>0.47136563876651982</v>
      </c>
      <c r="I3" s="68">
        <v>13</v>
      </c>
      <c r="K3" s="5">
        <v>1</v>
      </c>
      <c r="L3" s="73">
        <v>4</v>
      </c>
      <c r="N3" s="89" t="s">
        <v>127</v>
      </c>
      <c r="O3" s="96">
        <f t="shared" si="0"/>
        <v>375.25773195876286</v>
      </c>
      <c r="P3" s="93">
        <v>97</v>
      </c>
      <c r="Q3" s="77">
        <v>36400</v>
      </c>
    </row>
    <row r="4" spans="1:17" x14ac:dyDescent="0.45">
      <c r="A4" s="37" t="s">
        <v>6</v>
      </c>
      <c r="B4" s="131">
        <v>-761.40000000000009</v>
      </c>
      <c r="C4" s="132"/>
      <c r="E4" s="44" t="s">
        <v>72</v>
      </c>
      <c r="F4" s="41" t="s">
        <v>27</v>
      </c>
      <c r="G4" s="34">
        <v>105</v>
      </c>
      <c r="H4" s="107">
        <f>IF(B$47=0,0,G4/B$47)</f>
        <v>0.46255506607929514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-1567.741935483871</v>
      </c>
      <c r="P4" s="93">
        <v>93</v>
      </c>
      <c r="Q4" s="77">
        <v>-145800</v>
      </c>
    </row>
    <row r="5" spans="1:17" x14ac:dyDescent="0.45">
      <c r="A5" s="37" t="s">
        <v>7</v>
      </c>
      <c r="B5" s="133">
        <f>IF(B$2=0,0,B$4/B$2)</f>
        <v>-7.7693877551020414</v>
      </c>
      <c r="C5" s="134"/>
      <c r="E5" s="44" t="s">
        <v>68</v>
      </c>
      <c r="F5" s="41" t="s">
        <v>12</v>
      </c>
      <c r="G5" s="34">
        <v>89</v>
      </c>
      <c r="H5" s="107">
        <f>IF(B$47=0,0,G5/B$47)</f>
        <v>0.39207048458149779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-3352.9411764705883</v>
      </c>
      <c r="P5" s="93">
        <v>85</v>
      </c>
      <c r="Q5" s="77">
        <v>-285000</v>
      </c>
    </row>
    <row r="6" spans="1:17" x14ac:dyDescent="0.45">
      <c r="A6" s="37" t="s">
        <v>1</v>
      </c>
      <c r="B6" s="141">
        <f>IF(B$2=0,0,(B$7*1+B$8*2+B$9*3)/B$2)</f>
        <v>2.1530612244897958</v>
      </c>
      <c r="C6" s="142"/>
      <c r="E6" s="44" t="s">
        <v>157</v>
      </c>
      <c r="F6" s="41" t="s">
        <v>158</v>
      </c>
      <c r="G6" s="34">
        <v>79</v>
      </c>
      <c r="H6" s="107">
        <f>IF(B$47=0,0,G6/B$47)</f>
        <v>0.34801762114537443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1114.4736842105262</v>
      </c>
      <c r="P6" s="93">
        <v>76</v>
      </c>
      <c r="Q6" s="77">
        <v>84700</v>
      </c>
    </row>
    <row r="7" spans="1:17" x14ac:dyDescent="0.45">
      <c r="A7" s="37" t="s">
        <v>2</v>
      </c>
      <c r="B7" s="34">
        <v>27</v>
      </c>
      <c r="C7" s="31">
        <f t="shared" ref="C7:C10" si="1">IF(B$2=0,0,B7/B$2)</f>
        <v>0.27551020408163263</v>
      </c>
      <c r="E7" s="44" t="s">
        <v>67</v>
      </c>
      <c r="F7" s="41" t="s">
        <v>23</v>
      </c>
      <c r="G7" s="34">
        <v>50</v>
      </c>
      <c r="H7" s="107">
        <f>IF(B$47=0,0,G7/B$47)</f>
        <v>0.22026431718061673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-35.820895522388057</v>
      </c>
      <c r="P7" s="94">
        <v>67</v>
      </c>
      <c r="Q7" s="78">
        <v>-2400</v>
      </c>
    </row>
    <row r="8" spans="1:17" x14ac:dyDescent="0.45">
      <c r="A8" s="37" t="s">
        <v>3</v>
      </c>
      <c r="B8" s="34">
        <v>29</v>
      </c>
      <c r="C8" s="31">
        <f t="shared" si="1"/>
        <v>0.29591836734693877</v>
      </c>
      <c r="E8" s="44" t="s">
        <v>69</v>
      </c>
      <c r="F8" s="41" t="s">
        <v>24</v>
      </c>
      <c r="G8" s="34">
        <v>32</v>
      </c>
      <c r="H8" s="107">
        <f>IF(B$47=0,0,G8/B$47)</f>
        <v>0.14096916299559473</v>
      </c>
      <c r="I8" s="68">
        <v>10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42</v>
      </c>
      <c r="C9" s="7">
        <f t="shared" si="1"/>
        <v>0.42857142857142855</v>
      </c>
      <c r="E9" s="44" t="s">
        <v>70</v>
      </c>
      <c r="F9" s="41" t="s">
        <v>25</v>
      </c>
      <c r="G9" s="34">
        <v>27</v>
      </c>
      <c r="H9" s="107">
        <f>IF(B$47=0,0,G9/B$47)</f>
        <v>0.11894273127753303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17</v>
      </c>
      <c r="C10" s="32">
        <f t="shared" si="1"/>
        <v>0.17346938775510204</v>
      </c>
      <c r="E10" s="44" t="s">
        <v>89</v>
      </c>
      <c r="F10" s="41" t="s">
        <v>44</v>
      </c>
      <c r="G10" s="34">
        <v>26</v>
      </c>
      <c r="H10" s="107">
        <f>IF(B$47=0,0,G10/B$47)</f>
        <v>0.11453744493392071</v>
      </c>
      <c r="I10" s="68">
        <v>13</v>
      </c>
      <c r="K10" s="5">
        <v>8</v>
      </c>
      <c r="L10" s="73">
        <v>-31.1</v>
      </c>
      <c r="N10" s="88" t="s">
        <v>149</v>
      </c>
      <c r="O10" s="98">
        <f>IF(P10=0,0,Q10/P10)</f>
        <v>-12.358823529411765</v>
      </c>
      <c r="P10" s="92">
        <v>34</v>
      </c>
      <c r="Q10" s="80">
        <v>-420.2</v>
      </c>
    </row>
    <row r="11" spans="1:17" x14ac:dyDescent="0.45">
      <c r="A11" s="40" t="s">
        <v>121</v>
      </c>
      <c r="B11" s="16">
        <v>192</v>
      </c>
      <c r="C11" s="11">
        <f>IF(B$46=0,0,B11/B$46)</f>
        <v>0.22403733955659277</v>
      </c>
      <c r="E11" s="44" t="s">
        <v>65</v>
      </c>
      <c r="F11" s="41" t="s">
        <v>21</v>
      </c>
      <c r="G11" s="34">
        <v>20</v>
      </c>
      <c r="H11" s="107">
        <f>IF(B$47=0,0,G11/B$47)</f>
        <v>8.8105726872246701E-2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-6.3000000000000007</v>
      </c>
      <c r="P11" s="93">
        <v>39</v>
      </c>
      <c r="Q11" s="81">
        <v>-245.70000000000002</v>
      </c>
    </row>
    <row r="12" spans="1:17" x14ac:dyDescent="0.45">
      <c r="A12" s="37" t="s">
        <v>118</v>
      </c>
      <c r="B12" s="34">
        <v>174</v>
      </c>
      <c r="C12" s="31">
        <f>IF(B$46=0,0,B12/B$46)</f>
        <v>0.20303383897316218</v>
      </c>
      <c r="E12" s="44" t="s">
        <v>71</v>
      </c>
      <c r="F12" s="41" t="s">
        <v>26</v>
      </c>
      <c r="G12" s="34">
        <v>13</v>
      </c>
      <c r="H12" s="107">
        <f>IF(B$47=0,0,G12/B$47)</f>
        <v>5.7268722466960353E-2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-3.82</v>
      </c>
      <c r="P12" s="94">
        <v>25</v>
      </c>
      <c r="Q12" s="82">
        <v>-95.5</v>
      </c>
    </row>
    <row r="13" spans="1:17" x14ac:dyDescent="0.45">
      <c r="A13" s="19" t="s">
        <v>123</v>
      </c>
      <c r="B13" s="13">
        <v>110</v>
      </c>
      <c r="C13" s="4">
        <f>IF(B$11=0,0,B13/B$11)</f>
        <v>0.57291666666666663</v>
      </c>
      <c r="E13" s="44" t="s">
        <v>86</v>
      </c>
      <c r="F13" s="41" t="s">
        <v>41</v>
      </c>
      <c r="G13" s="34">
        <v>12</v>
      </c>
      <c r="H13" s="107">
        <f>IF(B$47=0,0,G13/B$47)</f>
        <v>5.2863436123348019E-2</v>
      </c>
      <c r="I13" s="68">
        <v>12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58</v>
      </c>
      <c r="C14" s="4">
        <f>IF(B$12=0,0,B14/B$12)</f>
        <v>0.33333333333333331</v>
      </c>
      <c r="E14" s="44" t="s">
        <v>78</v>
      </c>
      <c r="F14" s="41" t="s">
        <v>33</v>
      </c>
      <c r="G14" s="34">
        <v>7</v>
      </c>
      <c r="H14" s="107">
        <f>IF(B$47=0,0,G14/B$47)</f>
        <v>3.0837004405286344E-2</v>
      </c>
      <c r="I14" s="68">
        <v>6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227</v>
      </c>
      <c r="C15" s="4">
        <f>IF(B$3=0,0,B15/B$3)</f>
        <v>0.26487747957992996</v>
      </c>
      <c r="E15" s="44" t="s">
        <v>83</v>
      </c>
      <c r="F15" s="41" t="s">
        <v>38</v>
      </c>
      <c r="G15" s="34">
        <v>7</v>
      </c>
      <c r="H15" s="107">
        <f>IF(B$47=0,0,G15/B$47)</f>
        <v>3.0837004405286344E-2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67.157142857142858</v>
      </c>
      <c r="P15" s="92">
        <v>7</v>
      </c>
      <c r="Q15" s="80">
        <v>470.1</v>
      </c>
    </row>
    <row r="16" spans="1:17" x14ac:dyDescent="0.45">
      <c r="A16" s="37" t="s">
        <v>13</v>
      </c>
      <c r="B16" s="34">
        <v>167</v>
      </c>
      <c r="C16" s="31">
        <f>IF(B$3=0,0,B16/B$3)</f>
        <v>0.19486581096849476</v>
      </c>
      <c r="E16" s="44" t="s">
        <v>79</v>
      </c>
      <c r="F16" s="41" t="s">
        <v>34</v>
      </c>
      <c r="G16" s="34">
        <v>4</v>
      </c>
      <c r="H16" s="107">
        <f>IF(B$47=0,0,G16/B$47)</f>
        <v>1.7621145374449341E-2</v>
      </c>
      <c r="I16" s="68">
        <v>7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37" t="s">
        <v>12</v>
      </c>
      <c r="B17" s="34">
        <v>117</v>
      </c>
      <c r="C17" s="31">
        <f>IF(B$15=0,0,B17/B$15)</f>
        <v>0.51541850220264318</v>
      </c>
      <c r="E17" s="44" t="s">
        <v>153</v>
      </c>
      <c r="F17" s="41" t="s">
        <v>154</v>
      </c>
      <c r="G17" s="34">
        <v>4</v>
      </c>
      <c r="H17" s="107">
        <f>IF(B$47=0,0,G17/B$47)</f>
        <v>1.7621145374449341E-2</v>
      </c>
      <c r="I17" s="68">
        <v>4</v>
      </c>
      <c r="K17" s="5">
        <v>15</v>
      </c>
      <c r="L17" s="73">
        <v>-304.10000000000002</v>
      </c>
      <c r="N17" s="89" t="s">
        <v>193</v>
      </c>
      <c r="O17" s="99">
        <f>IF(P17=0,0,Q17/P17)</f>
        <v>-3.5652173913043477</v>
      </c>
      <c r="P17" s="93">
        <v>23</v>
      </c>
      <c r="Q17" s="81">
        <v>-82</v>
      </c>
    </row>
    <row r="18" spans="1:17" x14ac:dyDescent="0.45">
      <c r="A18" s="37" t="s">
        <v>11</v>
      </c>
      <c r="B18" s="34">
        <v>110</v>
      </c>
      <c r="C18" s="31">
        <f>IF(B$15=0,0,B18/B$15)</f>
        <v>0.48458149779735682</v>
      </c>
      <c r="E18" s="44" t="s">
        <v>73</v>
      </c>
      <c r="F18" s="41" t="s">
        <v>28</v>
      </c>
      <c r="G18" s="34">
        <v>3</v>
      </c>
      <c r="H18" s="107">
        <f>IF(B$47=0,0,G18/B$47)</f>
        <v>1.3215859030837005E-2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37" t="s">
        <v>180</v>
      </c>
      <c r="B19" s="34">
        <v>110</v>
      </c>
      <c r="C19" s="31">
        <f>IF(B$15=0,0,B19/B$15)</f>
        <v>0.48458149779735682</v>
      </c>
      <c r="E19" s="44" t="s">
        <v>81</v>
      </c>
      <c r="F19" s="41" t="s">
        <v>36</v>
      </c>
      <c r="G19" s="34">
        <v>3</v>
      </c>
      <c r="H19" s="107">
        <f>IF(B$47=0,0,G19/B$47)</f>
        <v>1.3215859030837005E-2</v>
      </c>
      <c r="I19" s="68">
        <v>13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5">
      <c r="A20" s="37" t="s">
        <v>178</v>
      </c>
      <c r="B20" s="34">
        <v>58</v>
      </c>
      <c r="C20" s="31">
        <f>IF(B$15=0,0,B20/B$15)</f>
        <v>0.25550660792951541</v>
      </c>
      <c r="E20" s="44" t="s">
        <v>87</v>
      </c>
      <c r="F20" s="41" t="s">
        <v>42</v>
      </c>
      <c r="G20" s="34">
        <v>2</v>
      </c>
      <c r="H20" s="107">
        <f>IF(B$47=0,0,G20/B$47)</f>
        <v>8.8105726872246704E-3</v>
      </c>
      <c r="I20" s="68">
        <v>2</v>
      </c>
      <c r="K20" s="5">
        <v>18</v>
      </c>
      <c r="L20" s="73">
        <v>-342.69999999999993</v>
      </c>
      <c r="N20" s="89" t="s">
        <v>191</v>
      </c>
      <c r="O20" s="99">
        <f>IF(P20=0,0,Q20/P20)</f>
        <v>-9.1562499999999982</v>
      </c>
      <c r="P20" s="93">
        <v>32</v>
      </c>
      <c r="Q20" s="81">
        <v>-292.99999999999994</v>
      </c>
    </row>
    <row r="21" spans="1:17" x14ac:dyDescent="0.45">
      <c r="A21" s="37" t="s">
        <v>179</v>
      </c>
      <c r="B21" s="34">
        <v>59</v>
      </c>
      <c r="C21" s="31">
        <f>IF(B$15=0,0,B21/B$15)</f>
        <v>0.25991189427312777</v>
      </c>
      <c r="E21" s="44" t="s">
        <v>91</v>
      </c>
      <c r="F21" s="41" t="s">
        <v>46</v>
      </c>
      <c r="G21" s="34">
        <v>2</v>
      </c>
      <c r="H21" s="107">
        <f>IF(B$47=0,0,G21/B$47)</f>
        <v>8.8105726872246704E-3</v>
      </c>
      <c r="I21" s="68">
        <v>13</v>
      </c>
      <c r="K21" s="5">
        <v>19</v>
      </c>
      <c r="L21" s="73">
        <v>-371.19999999999993</v>
      </c>
      <c r="N21" s="89" t="s">
        <v>190</v>
      </c>
      <c r="O21" s="99">
        <f>IF(P21=0,0,Q21/P21)</f>
        <v>-9.1657894736842085</v>
      </c>
      <c r="P21" s="93">
        <v>38</v>
      </c>
      <c r="Q21" s="81">
        <v>-348.2999999999999</v>
      </c>
    </row>
    <row r="22" spans="1:17" x14ac:dyDescent="0.45">
      <c r="A22" s="37" t="s">
        <v>5</v>
      </c>
      <c r="B22" s="17">
        <f>IF(B$15=0,0,C22/B$15)</f>
        <v>7904.8458149779735</v>
      </c>
      <c r="C22" s="8">
        <v>1794400</v>
      </c>
      <c r="E22" s="44" t="s">
        <v>75</v>
      </c>
      <c r="F22" s="41" t="s">
        <v>30</v>
      </c>
      <c r="G22" s="34">
        <v>1</v>
      </c>
      <c r="H22" s="107">
        <f>IF(B$47=0,0,G22/B$47)</f>
        <v>4.4052863436123352E-3</v>
      </c>
      <c r="I22" s="68">
        <v>10</v>
      </c>
      <c r="K22" s="5">
        <v>20</v>
      </c>
      <c r="L22" s="73">
        <v>-374.69999999999993</v>
      </c>
      <c r="N22" s="89" t="s">
        <v>195</v>
      </c>
      <c r="O22" s="99">
        <f>IF(P22=0,0,Q22/P22)</f>
        <v>-29.822222222222223</v>
      </c>
      <c r="P22" s="93">
        <v>45</v>
      </c>
      <c r="Q22" s="81">
        <v>-1342</v>
      </c>
    </row>
    <row r="23" spans="1:17" x14ac:dyDescent="0.45">
      <c r="A23" s="38" t="s">
        <v>162</v>
      </c>
      <c r="B23" s="114">
        <f>IF($B$15-B$14=0,0,C23/($B$15-B$14))</f>
        <v>8659.7633136094682</v>
      </c>
      <c r="C23" s="115">
        <v>1463500</v>
      </c>
      <c r="E23" s="44" t="s">
        <v>85</v>
      </c>
      <c r="F23" s="41" t="s">
        <v>40</v>
      </c>
      <c r="G23" s="34">
        <v>1</v>
      </c>
      <c r="H23" s="107">
        <f>IF(B$47=0,0,G23/B$47)</f>
        <v>4.4052863436123352E-3</v>
      </c>
      <c r="I23" s="68">
        <v>5</v>
      </c>
      <c r="K23" s="5">
        <v>21</v>
      </c>
      <c r="L23" s="73">
        <v>-415.69999999999993</v>
      </c>
      <c r="N23" s="89" t="s">
        <v>199</v>
      </c>
      <c r="O23" s="99">
        <f>IF(P23=0,0,Q23/P23)</f>
        <v>-42.96</v>
      </c>
      <c r="P23" s="93">
        <v>5</v>
      </c>
      <c r="Q23" s="81">
        <v>-214.8</v>
      </c>
    </row>
    <row r="24" spans="1:17" x14ac:dyDescent="0.45">
      <c r="A24" s="38" t="s">
        <v>163</v>
      </c>
      <c r="B24" s="114">
        <f>IF(B$14=0,0,C24/B$14)</f>
        <v>5705.1724137931033</v>
      </c>
      <c r="C24" s="115">
        <v>330900</v>
      </c>
      <c r="E24" s="44" t="s">
        <v>106</v>
      </c>
      <c r="F24" s="41" t="s">
        <v>113</v>
      </c>
      <c r="G24" s="34">
        <v>1</v>
      </c>
      <c r="H24" s="107">
        <f>IF(B$47=0,0,G24/B$47)</f>
        <v>4.4052863436123352E-3</v>
      </c>
      <c r="I24" s="68">
        <v>1</v>
      </c>
      <c r="K24" s="5">
        <v>22</v>
      </c>
      <c r="L24" s="73">
        <v>-473.5</v>
      </c>
      <c r="N24" s="89" t="s">
        <v>196</v>
      </c>
      <c r="O24" s="99">
        <f>IF(P24=0,0,Q24/P24)</f>
        <v>-45.5</v>
      </c>
      <c r="P24" s="93">
        <v>1</v>
      </c>
      <c r="Q24" s="81">
        <v>-45.5</v>
      </c>
    </row>
    <row r="25" spans="1:17" x14ac:dyDescent="0.45">
      <c r="A25" s="38" t="s">
        <v>161</v>
      </c>
      <c r="B25" s="114">
        <f>IF(B$16=0,0,C25/B$16)</f>
        <v>-7967.6646706586826</v>
      </c>
      <c r="C25" s="115">
        <v>-1330600</v>
      </c>
      <c r="E25" s="44" t="s">
        <v>74</v>
      </c>
      <c r="F25" s="41" t="s">
        <v>29</v>
      </c>
      <c r="G25" s="34">
        <v>0</v>
      </c>
      <c r="H25" s="107">
        <f>IF(B$47=0,0,G25/B$47)</f>
        <v>0</v>
      </c>
      <c r="I25" s="68">
        <v>10</v>
      </c>
      <c r="K25" s="5">
        <v>23</v>
      </c>
      <c r="L25" s="73">
        <v>-480.5</v>
      </c>
      <c r="N25" s="89" t="s">
        <v>189</v>
      </c>
      <c r="O25" s="99">
        <f>IF(P25=0,0,Q25/P25)</f>
        <v>-58.099999999999994</v>
      </c>
      <c r="P25" s="93">
        <v>1</v>
      </c>
      <c r="Q25" s="81">
        <v>-58.099999999999994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76</v>
      </c>
      <c r="F26" s="41" t="s">
        <v>31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7" t="s">
        <v>156</v>
      </c>
      <c r="B27" s="34">
        <v>24</v>
      </c>
      <c r="C27" s="109">
        <v>0</v>
      </c>
      <c r="E27" s="44" t="s">
        <v>77</v>
      </c>
      <c r="F27" s="41" t="s">
        <v>32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64" t="s">
        <v>134</v>
      </c>
      <c r="B28" s="139">
        <v>7</v>
      </c>
      <c r="C28" s="140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40" t="s">
        <v>177</v>
      </c>
      <c r="B29" s="137">
        <v>113300</v>
      </c>
      <c r="C29" s="138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9" t="s">
        <v>135</v>
      </c>
      <c r="B30" s="27">
        <v>3</v>
      </c>
      <c r="C30" s="32">
        <f>IF(B$3=0,0,B30/B$3)</f>
        <v>3.5005834305717621E-3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7</v>
      </c>
      <c r="K30" s="5">
        <v>28</v>
      </c>
      <c r="L30" s="73">
        <v>-447.9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-403.99999999999994</v>
      </c>
    </row>
    <row r="32" spans="1:17" x14ac:dyDescent="0.45">
      <c r="A32" s="64" t="s">
        <v>168</v>
      </c>
      <c r="B32" s="121">
        <v>26</v>
      </c>
      <c r="C32" s="119">
        <f>IF(B$15=0,0,B32/B$15)</f>
        <v>0.11453744493392071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37" t="s">
        <v>164</v>
      </c>
      <c r="B33" s="34">
        <v>44</v>
      </c>
      <c r="C33" s="31">
        <f t="shared" ref="C33:C44" si="2">IF(B$15=0,0,B33/B$15)</f>
        <v>0.19383259911894274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7" t="s">
        <v>165</v>
      </c>
      <c r="B34" s="124">
        <v>40</v>
      </c>
      <c r="C34" s="31">
        <f>IF(B$15=0,0,B34/B$15)</f>
        <v>0.1762114537444934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A35" s="37" t="s">
        <v>166</v>
      </c>
      <c r="B35" s="124">
        <v>38</v>
      </c>
      <c r="C35" s="31">
        <f t="shared" si="2"/>
        <v>0.16740088105726872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37" t="s">
        <v>167</v>
      </c>
      <c r="B36" s="124">
        <v>34</v>
      </c>
      <c r="C36" s="31">
        <f t="shared" si="2"/>
        <v>0.14977973568281938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-417.59999999999991</v>
      </c>
    </row>
    <row r="37" spans="1:12" x14ac:dyDescent="0.45">
      <c r="A37" s="37" t="s">
        <v>169</v>
      </c>
      <c r="B37" s="124">
        <v>22</v>
      </c>
      <c r="C37" s="31">
        <f t="shared" si="2"/>
        <v>9.6916299559471369E-2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170</v>
      </c>
      <c r="B38" s="124">
        <v>9</v>
      </c>
      <c r="C38" s="31">
        <f t="shared" si="2"/>
        <v>3.9647577092511016E-2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171</v>
      </c>
      <c r="B39" s="124">
        <v>7</v>
      </c>
      <c r="C39" s="31">
        <f t="shared" si="2"/>
        <v>3.0837004405286344E-2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172</v>
      </c>
      <c r="B40" s="124">
        <v>3</v>
      </c>
      <c r="C40" s="31">
        <f t="shared" si="2"/>
        <v>1.3215859030837005E-2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173</v>
      </c>
      <c r="B41" s="124">
        <v>2</v>
      </c>
      <c r="C41" s="31">
        <f t="shared" si="2"/>
        <v>8.8105726872246704E-3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174</v>
      </c>
      <c r="B42" s="124">
        <v>1</v>
      </c>
      <c r="C42" s="31">
        <f t="shared" si="2"/>
        <v>4.4052863436123352E-3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9" t="s">
        <v>176</v>
      </c>
      <c r="B44" s="120">
        <v>1</v>
      </c>
      <c r="C44" s="32">
        <f t="shared" si="2"/>
        <v>4.4052863436123352E-3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-357.9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64" t="s">
        <v>181</v>
      </c>
      <c r="B46" s="127">
        <v>857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9" t="s">
        <v>182</v>
      </c>
      <c r="B47" s="135">
        <v>227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-349.2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-379.7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-380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-345.6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-389.5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-366.6</v>
      </c>
    </row>
    <row r="53" spans="5:12" x14ac:dyDescent="0.45">
      <c r="K53" s="5">
        <v>51</v>
      </c>
      <c r="L53" s="73">
        <v>-379</v>
      </c>
    </row>
    <row r="54" spans="5:12" x14ac:dyDescent="0.45">
      <c r="K54" s="5">
        <v>52</v>
      </c>
      <c r="L54" s="73">
        <v>-435</v>
      </c>
    </row>
    <row r="55" spans="5:12" x14ac:dyDescent="0.45">
      <c r="K55" s="5">
        <v>53</v>
      </c>
      <c r="L55" s="73">
        <v>-458.69999999999993</v>
      </c>
    </row>
    <row r="56" spans="5:12" x14ac:dyDescent="0.45">
      <c r="K56" s="5">
        <v>54</v>
      </c>
      <c r="L56" s="73">
        <v>-493.79999999999995</v>
      </c>
    </row>
    <row r="57" spans="5:12" x14ac:dyDescent="0.45">
      <c r="K57" s="5">
        <v>55</v>
      </c>
      <c r="L57" s="73">
        <v>-444.79999999999995</v>
      </c>
    </row>
    <row r="58" spans="5:12" x14ac:dyDescent="0.45">
      <c r="K58" s="5">
        <v>56</v>
      </c>
      <c r="L58" s="73">
        <v>-417.69999999999993</v>
      </c>
    </row>
    <row r="59" spans="5:12" x14ac:dyDescent="0.45">
      <c r="K59" s="5">
        <v>57</v>
      </c>
      <c r="L59" s="73">
        <v>-450.5</v>
      </c>
    </row>
    <row r="60" spans="5:12" x14ac:dyDescent="0.45">
      <c r="K60" s="5">
        <v>58</v>
      </c>
      <c r="L60" s="73">
        <v>-532.5</v>
      </c>
    </row>
    <row r="61" spans="5:12" x14ac:dyDescent="0.45">
      <c r="K61" s="5">
        <v>59</v>
      </c>
      <c r="L61" s="73">
        <v>-594.79999999999995</v>
      </c>
    </row>
    <row r="62" spans="5:12" x14ac:dyDescent="0.45">
      <c r="K62" s="5">
        <v>60</v>
      </c>
      <c r="L62" s="73">
        <v>-542.79999999999995</v>
      </c>
    </row>
    <row r="63" spans="5:12" x14ac:dyDescent="0.45">
      <c r="K63" s="5">
        <v>61</v>
      </c>
      <c r="L63" s="73">
        <v>-588.1</v>
      </c>
    </row>
    <row r="64" spans="5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2B53-2295-4020-9D9C-91CBB70D40F7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199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IF(B$47=0,0,G2/B$47)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29">
        <v>253</v>
      </c>
      <c r="C3" s="130"/>
      <c r="E3" s="44" t="s">
        <v>66</v>
      </c>
      <c r="F3" s="41" t="s">
        <v>22</v>
      </c>
      <c r="G3" s="34">
        <v>45</v>
      </c>
      <c r="H3" s="107">
        <f>IF(B$47=0,0,G3/B$47)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1">
        <v>-22.000000000000028</v>
      </c>
      <c r="C4" s="132"/>
      <c r="E4" s="44" t="s">
        <v>64</v>
      </c>
      <c r="F4" s="41" t="s">
        <v>20</v>
      </c>
      <c r="G4" s="34">
        <v>37</v>
      </c>
      <c r="H4" s="107">
        <f>IF(B$47=0,0,G4/B$47)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3">
        <f>IF(B$2=0,0,B$4/B$2)</f>
        <v>-0.7857142857142867</v>
      </c>
      <c r="C5" s="134"/>
      <c r="E5" s="44" t="s">
        <v>67</v>
      </c>
      <c r="F5" s="41" t="s">
        <v>23</v>
      </c>
      <c r="G5" s="34">
        <v>27</v>
      </c>
      <c r="H5" s="107">
        <f>IF(B$47=0,0,G5/B$47)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41">
        <f>IF(B$2=0,0,(B$7*1+B$8*2+B$9*3)/B$2)</f>
        <v>1.9285714285714286</v>
      </c>
      <c r="C6" s="142"/>
      <c r="E6" s="44" t="s">
        <v>68</v>
      </c>
      <c r="F6" s="41" t="s">
        <v>12</v>
      </c>
      <c r="G6" s="34">
        <v>26</v>
      </c>
      <c r="H6" s="107">
        <f>IF(B$47=0,0,G6/B$47)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0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IF(B$47=0,0,G7/B$47)</f>
        <v>0.32500000000000001</v>
      </c>
      <c r="I7" s="68">
        <v>8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IF(B$47=0,0,G8/B$47)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IF(B$47=0,0,G9/B$47)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7</v>
      </c>
      <c r="C10" s="32">
        <f t="shared" si="1"/>
        <v>0.25</v>
      </c>
      <c r="E10" s="44" t="s">
        <v>65</v>
      </c>
      <c r="F10" s="41" t="s">
        <v>21</v>
      </c>
      <c r="G10" s="34">
        <v>8</v>
      </c>
      <c r="H10" s="107">
        <f>IF(B$47=0,0,G10/B$47)</f>
        <v>0.1</v>
      </c>
      <c r="I10" s="68">
        <v>13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40" t="s">
        <v>121</v>
      </c>
      <c r="B11" s="16">
        <v>63</v>
      </c>
      <c r="C11" s="11">
        <f>IF(B$46=0,0,B11/B$46)</f>
        <v>0.24901185770750989</v>
      </c>
      <c r="E11" s="44" t="s">
        <v>86</v>
      </c>
      <c r="F11" s="41" t="s">
        <v>41</v>
      </c>
      <c r="G11" s="34">
        <v>8</v>
      </c>
      <c r="H11" s="107">
        <f>IF(B$47=0,0,G11/B$47)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7" t="s">
        <v>118</v>
      </c>
      <c r="B12" s="34">
        <v>84</v>
      </c>
      <c r="C12" s="31">
        <f>IF(B$46=0,0,B12/B$46)</f>
        <v>0.33201581027667987</v>
      </c>
      <c r="E12" s="44" t="s">
        <v>70</v>
      </c>
      <c r="F12" s="41" t="s">
        <v>25</v>
      </c>
      <c r="G12" s="34">
        <v>4</v>
      </c>
      <c r="H12" s="107">
        <f>IF(B$47=0,0,G12/B$47)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19" t="s">
        <v>123</v>
      </c>
      <c r="B13" s="13">
        <v>37</v>
      </c>
      <c r="C13" s="4">
        <f>IF(B$11=0,0,B13/B$11)</f>
        <v>0.58730158730158732</v>
      </c>
      <c r="E13" s="44" t="s">
        <v>78</v>
      </c>
      <c r="F13" s="41" t="s">
        <v>33</v>
      </c>
      <c r="G13" s="34">
        <v>4</v>
      </c>
      <c r="H13" s="107">
        <f>IF(B$47=0,0,G13/B$47)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33</v>
      </c>
      <c r="C14" s="4">
        <f>IF(B$12=0,0,B14/B$12)</f>
        <v>0.39285714285714285</v>
      </c>
      <c r="E14" s="44" t="s">
        <v>83</v>
      </c>
      <c r="F14" s="41" t="s">
        <v>38</v>
      </c>
      <c r="G14" s="34">
        <v>4</v>
      </c>
      <c r="H14" s="107">
        <f>IF(B$47=0,0,G14/B$47)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80</v>
      </c>
      <c r="C15" s="4">
        <f>IF(B$3=0,0,B15/B$3)</f>
        <v>0.31620553359683795</v>
      </c>
      <c r="E15" s="44" t="s">
        <v>77</v>
      </c>
      <c r="F15" s="41" t="s">
        <v>32</v>
      </c>
      <c r="G15" s="34">
        <v>3</v>
      </c>
      <c r="H15" s="107">
        <f>IF(B$47=0,0,G15/B$47)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13</v>
      </c>
      <c r="B16" s="34">
        <v>43</v>
      </c>
      <c r="C16" s="31">
        <f>IF(B$3=0,0,B16/B$3)</f>
        <v>0.16996047430830039</v>
      </c>
      <c r="E16" s="44" t="s">
        <v>71</v>
      </c>
      <c r="F16" s="41" t="s">
        <v>26</v>
      </c>
      <c r="G16" s="34">
        <v>2</v>
      </c>
      <c r="H16" s="107">
        <f>IF(B$47=0,0,G16/B$47)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37" t="s">
        <v>12</v>
      </c>
      <c r="B17" s="34">
        <v>41</v>
      </c>
      <c r="C17" s="31">
        <f>IF(B$15=0,0,B17/B$15)</f>
        <v>0.51249999999999996</v>
      </c>
      <c r="E17" s="44" t="s">
        <v>79</v>
      </c>
      <c r="F17" s="41" t="s">
        <v>34</v>
      </c>
      <c r="G17" s="34">
        <v>2</v>
      </c>
      <c r="H17" s="107">
        <f>IF(B$47=0,0,G17/B$47)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37" t="s">
        <v>11</v>
      </c>
      <c r="B18" s="34">
        <v>39</v>
      </c>
      <c r="C18" s="31">
        <f>IF(B$15=0,0,B18/B$15)</f>
        <v>0.48749999999999999</v>
      </c>
      <c r="E18" s="44" t="s">
        <v>81</v>
      </c>
      <c r="F18" s="41" t="s">
        <v>36</v>
      </c>
      <c r="G18" s="34">
        <v>1</v>
      </c>
      <c r="H18" s="107">
        <f>IF(B$47=0,0,G18/B$47)</f>
        <v>1.2500000000000001E-2</v>
      </c>
      <c r="I18" s="68">
        <v>14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37" t="s">
        <v>180</v>
      </c>
      <c r="B19" s="34">
        <v>37</v>
      </c>
      <c r="C19" s="31">
        <f>IF(B$15=0,0,B19/B$15)</f>
        <v>0.46250000000000002</v>
      </c>
      <c r="E19" s="44" t="s">
        <v>73</v>
      </c>
      <c r="F19" s="41" t="s">
        <v>28</v>
      </c>
      <c r="G19" s="34">
        <v>0</v>
      </c>
      <c r="H19" s="107">
        <f>IF(B$47=0,0,G19/B$47)</f>
        <v>0</v>
      </c>
      <c r="I19" s="68">
        <v>11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178</v>
      </c>
      <c r="B20" s="34">
        <v>33</v>
      </c>
      <c r="C20" s="31">
        <f>IF(B$15=0,0,B20/B$15)</f>
        <v>0.41249999999999998</v>
      </c>
      <c r="E20" s="44" t="s">
        <v>74</v>
      </c>
      <c r="F20" s="41" t="s">
        <v>29</v>
      </c>
      <c r="G20" s="34">
        <v>0</v>
      </c>
      <c r="H20" s="107">
        <f>IF(B$47=0,0,G20/B$47)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179</v>
      </c>
      <c r="B21" s="34">
        <v>10</v>
      </c>
      <c r="C21" s="31">
        <f>IF(B$15=0,0,B21/B$15)</f>
        <v>0.125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5</v>
      </c>
      <c r="B22" s="17">
        <f>IF(B$15=0,0,C22/B$15)</f>
        <v>7901.25</v>
      </c>
      <c r="C22" s="8">
        <v>632100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8" t="s">
        <v>162</v>
      </c>
      <c r="B23" s="114">
        <f>IF($B$15-B$14=0,0,C23/($B$15-B$14))</f>
        <v>8944.6808510638293</v>
      </c>
      <c r="C23" s="115">
        <v>420400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8" t="s">
        <v>163</v>
      </c>
      <c r="B24" s="114">
        <f>IF(B$14=0,0,C24/B$14)</f>
        <v>6415.151515151515</v>
      </c>
      <c r="C24" s="115">
        <v>211700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8" t="s">
        <v>161</v>
      </c>
      <c r="B25" s="114">
        <f>IF(B$16=0,0,C25/B$16)</f>
        <v>-8765.1162790697672</v>
      </c>
      <c r="C25" s="115">
        <v>-376900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7" t="s">
        <v>156</v>
      </c>
      <c r="B27" s="34">
        <v>14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64" t="s">
        <v>134</v>
      </c>
      <c r="B28" s="139">
        <v>4</v>
      </c>
      <c r="C28" s="140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70.699999999999974</v>
      </c>
    </row>
    <row r="29" spans="1:17" x14ac:dyDescent="0.45">
      <c r="A29" s="40" t="s">
        <v>177</v>
      </c>
      <c r="B29" s="137">
        <v>106300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9" t="s">
        <v>135</v>
      </c>
      <c r="B30" s="27">
        <v>2</v>
      </c>
      <c r="C30" s="32">
        <f>IF(B$3=0,0,B30/B$3)</f>
        <v>7.9051383399209481E-3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10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12</v>
      </c>
      <c r="C33" s="31">
        <f t="shared" ref="C33:C44" si="2">IF(B$15=0,0,B33/B$15)</f>
        <v>0.15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12</v>
      </c>
      <c r="C34" s="31">
        <f>IF(B$15=0,0,B34/B$15)</f>
        <v>0.15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14</v>
      </c>
      <c r="C35" s="31">
        <f t="shared" si="2"/>
        <v>0.17499999999999999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15</v>
      </c>
      <c r="C36" s="31">
        <f t="shared" si="2"/>
        <v>0.1875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10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3</v>
      </c>
      <c r="C38" s="31">
        <f t="shared" si="2"/>
        <v>3.7499999999999999E-2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3</v>
      </c>
      <c r="C39" s="31">
        <f t="shared" si="2"/>
        <v>3.7499999999999999E-2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1</v>
      </c>
      <c r="C40" s="31">
        <f t="shared" si="2"/>
        <v>1.2500000000000001E-2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253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80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5038-4636-4F8B-8859-CD2E33C90B34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200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IF(B$47=0,0,G2/B$47)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29">
        <v>13</v>
      </c>
      <c r="C3" s="130"/>
      <c r="E3" s="44" t="s">
        <v>64</v>
      </c>
      <c r="F3" s="41" t="s">
        <v>20</v>
      </c>
      <c r="G3" s="34">
        <v>1</v>
      </c>
      <c r="H3" s="107">
        <f>IF(B$47=0,0,G3/B$47)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1">
        <v>13.3</v>
      </c>
      <c r="C4" s="132"/>
      <c r="E4" s="44" t="s">
        <v>67</v>
      </c>
      <c r="F4" s="41" t="s">
        <v>23</v>
      </c>
      <c r="G4" s="34">
        <v>1</v>
      </c>
      <c r="H4" s="107">
        <f>IF(B$47=0,0,G4/B$47)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3">
        <f>IF(B$2=0,0,B$4/B$2)</f>
        <v>13.3</v>
      </c>
      <c r="C5" s="134"/>
      <c r="E5" s="44" t="s">
        <v>68</v>
      </c>
      <c r="F5" s="41" t="s">
        <v>12</v>
      </c>
      <c r="G5" s="34">
        <v>1</v>
      </c>
      <c r="H5" s="107">
        <f>IF(B$47=0,0,G5/B$47)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41">
        <f>IF(B$2=0,0,(B$7*1+B$8*2+B$9*3)/B$2)</f>
        <v>2</v>
      </c>
      <c r="C6" s="142"/>
      <c r="E6" s="44" t="s">
        <v>81</v>
      </c>
      <c r="F6" s="41" t="s">
        <v>36</v>
      </c>
      <c r="G6" s="34">
        <v>1</v>
      </c>
      <c r="H6" s="107">
        <f>IF(B$47=0,0,G6/B$47)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157</v>
      </c>
      <c r="F7" s="41" t="s">
        <v>158</v>
      </c>
      <c r="G7" s="34">
        <v>1</v>
      </c>
      <c r="H7" s="107">
        <f>IF(B$47=0,0,G7/B$47)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IF(B$47=0,0,G8/B$47)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IF(B$47=0,0,G9/B$47)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0</v>
      </c>
      <c r="H10" s="107">
        <f>IF(B$47=0,0,G10/B$47)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40" t="s">
        <v>121</v>
      </c>
      <c r="B11" s="16">
        <v>3</v>
      </c>
      <c r="C11" s="11">
        <f>IF(B$46=0,0,B11/B$46)</f>
        <v>0.23076923076923078</v>
      </c>
      <c r="E11" s="44" t="s">
        <v>71</v>
      </c>
      <c r="F11" s="41" t="s">
        <v>26</v>
      </c>
      <c r="G11" s="34">
        <v>0</v>
      </c>
      <c r="H11" s="107">
        <f>IF(B$47=0,0,G11/B$47)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7" t="s">
        <v>118</v>
      </c>
      <c r="B12" s="34">
        <v>1</v>
      </c>
      <c r="C12" s="31">
        <f>IF(B$46=0,0,B12/B$46)</f>
        <v>7.6923076923076927E-2</v>
      </c>
      <c r="E12" s="44" t="s">
        <v>72</v>
      </c>
      <c r="F12" s="41" t="s">
        <v>27</v>
      </c>
      <c r="G12" s="34">
        <v>0</v>
      </c>
      <c r="H12" s="107">
        <f>IF(B$47=0,0,G12/B$47)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1</v>
      </c>
      <c r="C13" s="4">
        <f>IF(B$11=0,0,B13/B$11)</f>
        <v>0.33333333333333331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</v>
      </c>
      <c r="C15" s="4">
        <f>IF(B$3=0,0,B15/B$3)</f>
        <v>0.15384615384615385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13</v>
      </c>
      <c r="B16" s="34">
        <v>1</v>
      </c>
      <c r="C16" s="31">
        <f>IF(B$3=0,0,B16/B$3)</f>
        <v>7.6923076923076927E-2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37" t="s">
        <v>12</v>
      </c>
      <c r="B17" s="34">
        <v>1</v>
      </c>
      <c r="C17" s="31">
        <f>IF(B$15=0,0,B17/B$15)</f>
        <v>0.5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</row>
    <row r="18" spans="1:9" x14ac:dyDescent="0.45">
      <c r="A18" s="37" t="s">
        <v>11</v>
      </c>
      <c r="B18" s="34">
        <v>1</v>
      </c>
      <c r="C18" s="31">
        <f>IF(B$15=0,0,B18/B$15)</f>
        <v>0.5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14</v>
      </c>
    </row>
    <row r="19" spans="1:9" x14ac:dyDescent="0.45">
      <c r="A19" s="37" t="s">
        <v>180</v>
      </c>
      <c r="B19" s="34">
        <v>1</v>
      </c>
      <c r="C19" s="31">
        <f>IF(B$15=0,0,B19/B$15)</f>
        <v>0.5</v>
      </c>
      <c r="E19" s="44" t="s">
        <v>79</v>
      </c>
      <c r="F19" s="41" t="s">
        <v>34</v>
      </c>
      <c r="G19" s="34">
        <v>0</v>
      </c>
      <c r="H19" s="107">
        <f>IF(B$47=0,0,G19/B$47)</f>
        <v>0</v>
      </c>
      <c r="I19" s="68">
        <v>14</v>
      </c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80</v>
      </c>
      <c r="F20" s="41" t="s">
        <v>35</v>
      </c>
      <c r="G20" s="34">
        <v>0</v>
      </c>
      <c r="H20" s="107">
        <f>IF(B$47=0,0,G20/B$47)</f>
        <v>0</v>
      </c>
      <c r="I20" s="68">
        <v>3</v>
      </c>
    </row>
    <row r="21" spans="1:9" x14ac:dyDescent="0.45">
      <c r="A21" s="37" t="s">
        <v>179</v>
      </c>
      <c r="B21" s="34">
        <v>1</v>
      </c>
      <c r="C21" s="31">
        <f>IF(B$15=0,0,B21/B$15)</f>
        <v>0.5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9" x14ac:dyDescent="0.45">
      <c r="A22" s="37" t="s">
        <v>5</v>
      </c>
      <c r="B22" s="17">
        <f>IF(B$15=0,0,C22/B$15)</f>
        <v>13800</v>
      </c>
      <c r="C22" s="8">
        <v>27600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9" x14ac:dyDescent="0.45">
      <c r="A23" s="38" t="s">
        <v>162</v>
      </c>
      <c r="B23" s="114">
        <f>IF($B$15-B$14=0,0,C23/($B$15-B$14))</f>
        <v>13800</v>
      </c>
      <c r="C23" s="115">
        <v>27600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9</v>
      </c>
    </row>
    <row r="25" spans="1:9" x14ac:dyDescent="0.45">
      <c r="A25" s="38" t="s">
        <v>161</v>
      </c>
      <c r="B25" s="114">
        <f>IF(B$16=0,0,C25/B$16)</f>
        <v>-12000</v>
      </c>
      <c r="C25" s="115">
        <v>-12000</v>
      </c>
      <c r="E25" s="44" t="s">
        <v>86</v>
      </c>
      <c r="F25" s="41" t="s">
        <v>41</v>
      </c>
      <c r="G25" s="34">
        <v>0</v>
      </c>
      <c r="H25" s="107">
        <f>IF(B$47=0,0,G25/B$47)</f>
        <v>0</v>
      </c>
      <c r="I25" s="68">
        <v>17</v>
      </c>
    </row>
    <row r="26" spans="1:9" x14ac:dyDescent="0.45">
      <c r="A26" s="37" t="s">
        <v>155</v>
      </c>
      <c r="B26" s="34">
        <v>1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10</v>
      </c>
    </row>
    <row r="27" spans="1:9" x14ac:dyDescent="0.45">
      <c r="A27" s="37" t="s">
        <v>156</v>
      </c>
      <c r="B27" s="34">
        <v>7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9" x14ac:dyDescent="0.45">
      <c r="A28" s="64" t="s">
        <v>134</v>
      </c>
      <c r="B28" s="139">
        <v>5</v>
      </c>
      <c r="C28" s="140"/>
      <c r="E28" s="44" t="s">
        <v>89</v>
      </c>
      <c r="F28" s="41" t="s">
        <v>44</v>
      </c>
      <c r="G28" s="34">
        <v>0</v>
      </c>
      <c r="H28" s="107">
        <f>IF(B$47=0,0,G28/B$47)</f>
        <v>0</v>
      </c>
      <c r="I28" s="68">
        <v>18</v>
      </c>
    </row>
    <row r="29" spans="1:9" x14ac:dyDescent="0.45">
      <c r="A29" s="40" t="s">
        <v>177</v>
      </c>
      <c r="B29" s="137">
        <v>48300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1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1</v>
      </c>
      <c r="C34" s="31">
        <f>IF(B$15=0,0,B34/B$15)</f>
        <v>0.5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1</v>
      </c>
      <c r="C37" s="31">
        <f t="shared" si="2"/>
        <v>0.5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13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2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4789-04D5-4978-9E22-E9183F0FFC8E}">
  <sheetPr codeName="Sheet19"/>
  <dimension ref="A1:Q6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197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64</v>
      </c>
      <c r="C2" s="128"/>
      <c r="E2" s="43" t="s">
        <v>66</v>
      </c>
      <c r="F2" s="25" t="s">
        <v>22</v>
      </c>
      <c r="G2" s="13">
        <v>83</v>
      </c>
      <c r="H2" s="106">
        <f>IF(B$47=0,0,G2/B$47)</f>
        <v>0.61029411764705888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-2568.75</v>
      </c>
      <c r="P2" s="92">
        <v>64</v>
      </c>
      <c r="Q2" s="76">
        <v>-164400</v>
      </c>
    </row>
    <row r="3" spans="1:17" x14ac:dyDescent="0.45">
      <c r="A3" s="37" t="s">
        <v>8</v>
      </c>
      <c r="B3" s="129">
        <v>533</v>
      </c>
      <c r="C3" s="130"/>
      <c r="E3" s="44" t="s">
        <v>72</v>
      </c>
      <c r="F3" s="41" t="s">
        <v>27</v>
      </c>
      <c r="G3" s="34">
        <v>82</v>
      </c>
      <c r="H3" s="107">
        <f>IF(B$47=0,0,G3/B$47)</f>
        <v>0.6029411764705882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-728.125</v>
      </c>
      <c r="P3" s="93">
        <v>64</v>
      </c>
      <c r="Q3" s="77">
        <v>-46600</v>
      </c>
    </row>
    <row r="4" spans="1:17" x14ac:dyDescent="0.45">
      <c r="A4" s="37" t="s">
        <v>6</v>
      </c>
      <c r="B4" s="131">
        <v>-919</v>
      </c>
      <c r="C4" s="132"/>
      <c r="E4" s="44" t="s">
        <v>64</v>
      </c>
      <c r="F4" s="41" t="s">
        <v>20</v>
      </c>
      <c r="G4" s="34">
        <v>61</v>
      </c>
      <c r="H4" s="107">
        <f>IF(B$47=0,0,G4/B$47)</f>
        <v>0.4485294117647059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-1175.4098360655737</v>
      </c>
      <c r="P4" s="93">
        <v>61</v>
      </c>
      <c r="Q4" s="77">
        <v>-71700</v>
      </c>
    </row>
    <row r="5" spans="1:17" x14ac:dyDescent="0.45">
      <c r="A5" s="37" t="s">
        <v>7</v>
      </c>
      <c r="B5" s="133">
        <f>IF(B$2=0,0,B$4/B$2)</f>
        <v>-14.359375</v>
      </c>
      <c r="C5" s="134"/>
      <c r="E5" s="44" t="s">
        <v>157</v>
      </c>
      <c r="F5" s="41" t="s">
        <v>158</v>
      </c>
      <c r="G5" s="34">
        <v>51</v>
      </c>
      <c r="H5" s="107">
        <f>IF(B$47=0,0,G5/B$47)</f>
        <v>0.375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-1392.8571428571429</v>
      </c>
      <c r="P5" s="93">
        <v>56</v>
      </c>
      <c r="Q5" s="77">
        <v>-78000</v>
      </c>
    </row>
    <row r="6" spans="1:17" x14ac:dyDescent="0.45">
      <c r="A6" s="37" t="s">
        <v>1</v>
      </c>
      <c r="B6" s="141">
        <f>IF(B$2=0,0,(B$7*1+B$8*2+B$9*3)/B$2)</f>
        <v>2.34375</v>
      </c>
      <c r="C6" s="142"/>
      <c r="E6" s="44" t="s">
        <v>68</v>
      </c>
      <c r="F6" s="41" t="s">
        <v>12</v>
      </c>
      <c r="G6" s="34">
        <v>34</v>
      </c>
      <c r="H6" s="107">
        <f>IF(B$47=0,0,G6/B$47)</f>
        <v>0.25</v>
      </c>
      <c r="I6" s="68">
        <v>16</v>
      </c>
      <c r="K6" s="5">
        <v>4</v>
      </c>
      <c r="L6" s="73">
        <v>-134.1</v>
      </c>
      <c r="N6" s="89" t="s">
        <v>130</v>
      </c>
      <c r="O6" s="96">
        <f t="shared" si="0"/>
        <v>-2115.0943396226417</v>
      </c>
      <c r="P6" s="93">
        <v>53</v>
      </c>
      <c r="Q6" s="77">
        <v>-112100</v>
      </c>
    </row>
    <row r="7" spans="1:17" x14ac:dyDescent="0.45">
      <c r="A7" s="37" t="s">
        <v>2</v>
      </c>
      <c r="B7" s="34">
        <v>10</v>
      </c>
      <c r="C7" s="31">
        <f t="shared" ref="C7:C10" si="1">IF(B$2=0,0,B7/B$2)</f>
        <v>0.15625</v>
      </c>
      <c r="E7" s="44" t="s">
        <v>67</v>
      </c>
      <c r="F7" s="41" t="s">
        <v>23</v>
      </c>
      <c r="G7" s="34">
        <v>30</v>
      </c>
      <c r="H7" s="107">
        <f>IF(B$47=0,0,G7/B$47)</f>
        <v>0.22058823529411764</v>
      </c>
      <c r="I7" s="68">
        <v>15</v>
      </c>
      <c r="K7" s="5">
        <v>5</v>
      </c>
      <c r="L7" s="73">
        <v>-152</v>
      </c>
      <c r="N7" s="90" t="s">
        <v>131</v>
      </c>
      <c r="O7" s="97">
        <f t="shared" si="0"/>
        <v>-2460</v>
      </c>
      <c r="P7" s="94">
        <v>45</v>
      </c>
      <c r="Q7" s="78">
        <v>-110700</v>
      </c>
    </row>
    <row r="8" spans="1:17" x14ac:dyDescent="0.45">
      <c r="A8" s="37" t="s">
        <v>3</v>
      </c>
      <c r="B8" s="34">
        <v>22</v>
      </c>
      <c r="C8" s="31">
        <f t="shared" si="1"/>
        <v>0.34375</v>
      </c>
      <c r="E8" s="44" t="s">
        <v>89</v>
      </c>
      <c r="F8" s="41" t="s">
        <v>44</v>
      </c>
      <c r="G8" s="34">
        <v>19</v>
      </c>
      <c r="H8" s="107">
        <f>IF(B$47=0,0,G8/B$47)</f>
        <v>0.13970588235294118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32</v>
      </c>
      <c r="C9" s="7">
        <f t="shared" si="1"/>
        <v>0.5</v>
      </c>
      <c r="E9" s="44" t="s">
        <v>65</v>
      </c>
      <c r="F9" s="41" t="s">
        <v>21</v>
      </c>
      <c r="G9" s="34">
        <v>16</v>
      </c>
      <c r="H9" s="107">
        <f>IF(B$47=0,0,G9/B$47)</f>
        <v>0.11764705882352941</v>
      </c>
      <c r="I9" s="68">
        <v>10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11</v>
      </c>
      <c r="C10" s="32">
        <f t="shared" si="1"/>
        <v>0.171875</v>
      </c>
      <c r="E10" s="44" t="s">
        <v>70</v>
      </c>
      <c r="F10" s="41" t="s">
        <v>25</v>
      </c>
      <c r="G10" s="34">
        <v>13</v>
      </c>
      <c r="H10" s="107">
        <f>IF(B$47=0,0,G10/B$47)</f>
        <v>9.5588235294117641E-2</v>
      </c>
      <c r="I10" s="68">
        <v>9</v>
      </c>
      <c r="K10" s="5">
        <v>8</v>
      </c>
      <c r="L10" s="73">
        <v>-289.8</v>
      </c>
      <c r="N10" s="88" t="s">
        <v>149</v>
      </c>
      <c r="O10" s="98">
        <f>IF(P10=0,0,Q10/P10)</f>
        <v>-21.799999999999997</v>
      </c>
      <c r="P10" s="92">
        <v>29</v>
      </c>
      <c r="Q10" s="80">
        <v>-632.19999999999993</v>
      </c>
    </row>
    <row r="11" spans="1:17" x14ac:dyDescent="0.45">
      <c r="A11" s="40" t="s">
        <v>121</v>
      </c>
      <c r="B11" s="16">
        <v>112</v>
      </c>
      <c r="C11" s="11">
        <f>IF(B$46=0,0,B11/B$46)</f>
        <v>0.21013133208255161</v>
      </c>
      <c r="E11" s="44" t="s">
        <v>69</v>
      </c>
      <c r="F11" s="41" t="s">
        <v>24</v>
      </c>
      <c r="G11" s="34">
        <v>11</v>
      </c>
      <c r="H11" s="107">
        <f>IF(B$47=0,0,G11/B$47)</f>
        <v>8.0882352941176475E-2</v>
      </c>
      <c r="I11" s="68">
        <v>18</v>
      </c>
      <c r="K11" s="5">
        <v>9</v>
      </c>
      <c r="L11" s="73">
        <v>-292.60000000000002</v>
      </c>
      <c r="N11" s="89" t="s">
        <v>150</v>
      </c>
      <c r="O11" s="99">
        <f>IF(P11=0,0,Q11/P11)</f>
        <v>-9.9235294117647044</v>
      </c>
      <c r="P11" s="93">
        <v>17</v>
      </c>
      <c r="Q11" s="81">
        <v>-168.7</v>
      </c>
    </row>
    <row r="12" spans="1:17" x14ac:dyDescent="0.45">
      <c r="A12" s="37" t="s">
        <v>118</v>
      </c>
      <c r="B12" s="34">
        <v>128</v>
      </c>
      <c r="C12" s="31">
        <f>IF(B$46=0,0,B12/B$46)</f>
        <v>0.24015009380863039</v>
      </c>
      <c r="E12" s="44" t="s">
        <v>71</v>
      </c>
      <c r="F12" s="41" t="s">
        <v>26</v>
      </c>
      <c r="G12" s="34">
        <v>11</v>
      </c>
      <c r="H12" s="107">
        <f>IF(B$47=0,0,G12/B$47)</f>
        <v>8.0882352941176475E-2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-6.5611111111111109</v>
      </c>
      <c r="P12" s="94">
        <v>18</v>
      </c>
      <c r="Q12" s="82">
        <v>-118.1</v>
      </c>
    </row>
    <row r="13" spans="1:17" x14ac:dyDescent="0.45">
      <c r="A13" s="19" t="s">
        <v>123</v>
      </c>
      <c r="B13" s="13">
        <v>63</v>
      </c>
      <c r="C13" s="4">
        <f>IF(B$11=0,0,B13/B$11)</f>
        <v>0.5625</v>
      </c>
      <c r="E13" s="44" t="s">
        <v>86</v>
      </c>
      <c r="F13" s="41" t="s">
        <v>41</v>
      </c>
      <c r="G13" s="34">
        <v>11</v>
      </c>
      <c r="H13" s="107">
        <f>IF(B$47=0,0,G13/B$47)</f>
        <v>8.0882352941176475E-2</v>
      </c>
      <c r="I13" s="68">
        <v>5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50</v>
      </c>
      <c r="C14" s="4">
        <f>IF(B$12=0,0,B14/B$12)</f>
        <v>0.390625</v>
      </c>
      <c r="E14" s="44" t="s">
        <v>83</v>
      </c>
      <c r="F14" s="41" t="s">
        <v>38</v>
      </c>
      <c r="G14" s="34">
        <v>8</v>
      </c>
      <c r="H14" s="107">
        <f>IF(B$47=0,0,G14/B$47)</f>
        <v>5.8823529411764705E-2</v>
      </c>
      <c r="I14" s="68">
        <v>6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136</v>
      </c>
      <c r="C15" s="4">
        <f>IF(B$3=0,0,B15/B$3)</f>
        <v>0.25515947467166977</v>
      </c>
      <c r="E15" s="44" t="s">
        <v>78</v>
      </c>
      <c r="F15" s="41" t="s">
        <v>33</v>
      </c>
      <c r="G15" s="34">
        <v>3</v>
      </c>
      <c r="H15" s="107">
        <f>IF(B$47=0,0,G15/B$47)</f>
        <v>2.2058823529411766E-2</v>
      </c>
      <c r="I15" s="68">
        <v>11</v>
      </c>
      <c r="K15" s="5">
        <v>13</v>
      </c>
      <c r="L15" s="73">
        <v>-373.1</v>
      </c>
      <c r="N15" s="88" t="s">
        <v>188</v>
      </c>
      <c r="O15" s="98">
        <f>IF(P15=0,0,Q15/P15)</f>
        <v>11.526666666666662</v>
      </c>
      <c r="P15" s="92">
        <v>15</v>
      </c>
      <c r="Q15" s="80">
        <v>172.89999999999992</v>
      </c>
    </row>
    <row r="16" spans="1:17" x14ac:dyDescent="0.45">
      <c r="A16" s="37" t="s">
        <v>13</v>
      </c>
      <c r="B16" s="34">
        <v>103</v>
      </c>
      <c r="C16" s="31">
        <f>IF(B$3=0,0,B16/B$3)</f>
        <v>0.19324577861163228</v>
      </c>
      <c r="E16" s="44" t="s">
        <v>81</v>
      </c>
      <c r="F16" s="41" t="s">
        <v>36</v>
      </c>
      <c r="G16" s="34">
        <v>3</v>
      </c>
      <c r="H16" s="107">
        <f>IF(B$47=0,0,G16/B$47)</f>
        <v>2.2058823529411766E-2</v>
      </c>
      <c r="I16" s="68">
        <v>11</v>
      </c>
      <c r="K16" s="5">
        <v>14</v>
      </c>
      <c r="L16" s="73">
        <v>-416.90000000000003</v>
      </c>
      <c r="N16" s="89" t="s">
        <v>201</v>
      </c>
      <c r="O16" s="99">
        <f>IF(P16=0,0,Q16/P16)</f>
        <v>2.1000000000000014</v>
      </c>
      <c r="P16" s="93">
        <v>3</v>
      </c>
      <c r="Q16" s="81">
        <v>6.3000000000000043</v>
      </c>
    </row>
    <row r="17" spans="1:17" x14ac:dyDescent="0.45">
      <c r="A17" s="37" t="s">
        <v>12</v>
      </c>
      <c r="B17" s="34">
        <v>60</v>
      </c>
      <c r="C17" s="31">
        <f>IF(B$15=0,0,B17/B$15)</f>
        <v>0.44117647058823528</v>
      </c>
      <c r="E17" s="44" t="s">
        <v>91</v>
      </c>
      <c r="F17" s="41" t="s">
        <v>46</v>
      </c>
      <c r="G17" s="34">
        <v>3</v>
      </c>
      <c r="H17" s="107">
        <f>IF(B$47=0,0,G17/B$47)</f>
        <v>2.2058823529411766E-2</v>
      </c>
      <c r="I17" s="68">
        <v>4</v>
      </c>
      <c r="K17" s="5">
        <v>15</v>
      </c>
      <c r="L17" s="73">
        <v>-452.20000000000005</v>
      </c>
      <c r="N17" s="89" t="s">
        <v>191</v>
      </c>
      <c r="O17" s="99">
        <f>IF(P17=0,0,Q17/P17)</f>
        <v>-9.4086956521739129</v>
      </c>
      <c r="P17" s="93">
        <v>23</v>
      </c>
      <c r="Q17" s="81">
        <v>-216.4</v>
      </c>
    </row>
    <row r="18" spans="1:17" x14ac:dyDescent="0.45">
      <c r="A18" s="37" t="s">
        <v>11</v>
      </c>
      <c r="B18" s="34">
        <v>76</v>
      </c>
      <c r="C18" s="31">
        <f>IF(B$15=0,0,B18/B$15)</f>
        <v>0.55882352941176472</v>
      </c>
      <c r="E18" s="44" t="s">
        <v>74</v>
      </c>
      <c r="F18" s="41" t="s">
        <v>29</v>
      </c>
      <c r="G18" s="34">
        <v>1</v>
      </c>
      <c r="H18" s="107">
        <f>IF(B$47=0,0,G18/B$47)</f>
        <v>7.3529411764705881E-3</v>
      </c>
      <c r="I18" s="68">
        <v>2</v>
      </c>
      <c r="K18" s="5">
        <v>16</v>
      </c>
      <c r="L18" s="73">
        <v>-392.1</v>
      </c>
      <c r="N18" s="89" t="s">
        <v>189</v>
      </c>
      <c r="O18" s="99">
        <f>IF(P18=0,0,Q18/P18)</f>
        <v>-12.000000000000002</v>
      </c>
      <c r="P18" s="93">
        <v>1</v>
      </c>
      <c r="Q18" s="81">
        <v>-12.000000000000002</v>
      </c>
    </row>
    <row r="19" spans="1:17" x14ac:dyDescent="0.45">
      <c r="A19" s="37" t="s">
        <v>180</v>
      </c>
      <c r="B19" s="34">
        <v>63</v>
      </c>
      <c r="C19" s="31">
        <f>IF(B$15=0,0,B19/B$15)</f>
        <v>0.46323529411764708</v>
      </c>
      <c r="E19" s="44" t="s">
        <v>92</v>
      </c>
      <c r="F19" s="41" t="s">
        <v>47</v>
      </c>
      <c r="G19" s="34">
        <v>1</v>
      </c>
      <c r="H19" s="107">
        <f>IF(B$47=0,0,G19/B$47)</f>
        <v>7.3529411764705881E-3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5">
      <c r="A20" s="37" t="s">
        <v>178</v>
      </c>
      <c r="B20" s="34">
        <v>50</v>
      </c>
      <c r="C20" s="31">
        <f>IF(B$15=0,0,B20/B$15)</f>
        <v>0.36764705882352944</v>
      </c>
      <c r="E20" s="44" t="s">
        <v>95</v>
      </c>
      <c r="F20" s="41" t="s">
        <v>50</v>
      </c>
      <c r="G20" s="34">
        <v>1</v>
      </c>
      <c r="H20" s="107">
        <f>IF(B$47=0,0,G20/B$47)</f>
        <v>7.3529411764705881E-3</v>
      </c>
      <c r="I20" s="68">
        <v>1</v>
      </c>
      <c r="K20" s="5">
        <v>18</v>
      </c>
      <c r="L20" s="73">
        <v>-443.20000000000005</v>
      </c>
      <c r="N20" s="89" t="s">
        <v>193</v>
      </c>
      <c r="O20" s="99">
        <f>IF(P20=0,0,Q20/P20)</f>
        <v>-23.085000000000001</v>
      </c>
      <c r="P20" s="93">
        <v>20</v>
      </c>
      <c r="Q20" s="81">
        <v>-461.7</v>
      </c>
    </row>
    <row r="21" spans="1:17" x14ac:dyDescent="0.45">
      <c r="A21" s="37" t="s">
        <v>179</v>
      </c>
      <c r="B21" s="34">
        <v>23</v>
      </c>
      <c r="C21" s="31">
        <f>IF(B$15=0,0,B21/B$15)</f>
        <v>0.16911764705882354</v>
      </c>
      <c r="E21" s="44" t="s">
        <v>153</v>
      </c>
      <c r="F21" s="41" t="s">
        <v>154</v>
      </c>
      <c r="G21" s="34">
        <v>1</v>
      </c>
      <c r="H21" s="107">
        <f>IF(B$47=0,0,G21/B$47)</f>
        <v>7.3529411764705881E-3</v>
      </c>
      <c r="I21" s="68">
        <v>8</v>
      </c>
      <c r="K21" s="5">
        <v>19</v>
      </c>
      <c r="L21" s="73">
        <v>-443.70000000000005</v>
      </c>
      <c r="N21" s="89" t="s">
        <v>190</v>
      </c>
      <c r="O21" s="99">
        <f>IF(P21=0,0,Q21/P21)</f>
        <v>-24.274999999999999</v>
      </c>
      <c r="P21" s="93">
        <v>4</v>
      </c>
      <c r="Q21" s="81">
        <v>-97.1</v>
      </c>
    </row>
    <row r="22" spans="1:17" x14ac:dyDescent="0.45">
      <c r="A22" s="37" t="s">
        <v>5</v>
      </c>
      <c r="B22" s="17">
        <f>IF(B$15=0,0,C22/B$15)</f>
        <v>7808.088235294118</v>
      </c>
      <c r="C22" s="8">
        <v>1061900</v>
      </c>
      <c r="E22" s="44" t="s">
        <v>73</v>
      </c>
      <c r="F22" s="41" t="s">
        <v>28</v>
      </c>
      <c r="G22" s="34">
        <v>0</v>
      </c>
      <c r="H22" s="107">
        <f>IF(B$47=0,0,G22/B$47)</f>
        <v>0</v>
      </c>
      <c r="I22" s="68">
        <v>11</v>
      </c>
      <c r="K22" s="5">
        <v>20</v>
      </c>
      <c r="L22" s="73">
        <v>-467.6</v>
      </c>
      <c r="N22" s="89" t="s">
        <v>195</v>
      </c>
      <c r="O22" s="99">
        <f>IF(P22=0,0,Q22/P22)</f>
        <v>-27.288235294117648</v>
      </c>
      <c r="P22" s="93">
        <v>17</v>
      </c>
      <c r="Q22" s="81">
        <v>-463.90000000000003</v>
      </c>
    </row>
    <row r="23" spans="1:17" x14ac:dyDescent="0.45">
      <c r="A23" s="38" t="s">
        <v>162</v>
      </c>
      <c r="B23" s="114">
        <f>IF($B$15-B$14=0,0,C23/($B$15-B$14))</f>
        <v>8362.790697674418</v>
      </c>
      <c r="C23" s="115">
        <v>719200</v>
      </c>
      <c r="E23" s="44" t="s">
        <v>75</v>
      </c>
      <c r="F23" s="41" t="s">
        <v>30</v>
      </c>
      <c r="G23" s="34">
        <v>0</v>
      </c>
      <c r="H23" s="107">
        <f>IF(B$47=0,0,G23/B$47)</f>
        <v>0</v>
      </c>
      <c r="I23" s="68">
        <v>11</v>
      </c>
      <c r="K23" s="5">
        <v>21</v>
      </c>
      <c r="L23" s="73">
        <v>-469.5</v>
      </c>
      <c r="N23" s="89" t="s">
        <v>187</v>
      </c>
      <c r="O23" s="99">
        <f>IF(P23=0,0,Q23/P23)</f>
        <v>-30.689655172413794</v>
      </c>
      <c r="P23" s="93">
        <v>29</v>
      </c>
      <c r="Q23" s="81">
        <v>-890</v>
      </c>
    </row>
    <row r="24" spans="1:17" x14ac:dyDescent="0.45">
      <c r="A24" s="38" t="s">
        <v>163</v>
      </c>
      <c r="B24" s="114">
        <f>IF(B$14=0,0,C24/B$14)</f>
        <v>6854</v>
      </c>
      <c r="C24" s="115">
        <v>342700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8" t="s">
        <v>161</v>
      </c>
      <c r="B25" s="114">
        <f>IF(B$16=0,0,C25/B$16)</f>
        <v>-7952.4271844660198</v>
      </c>
      <c r="C25" s="115">
        <v>-819100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-559.5</v>
      </c>
      <c r="N25" s="89" t="s">
        <v>186</v>
      </c>
      <c r="O25" s="99">
        <f>IF(P25=0,0,Q25/P25)</f>
        <v>-67.157142857142858</v>
      </c>
      <c r="P25" s="93">
        <v>7</v>
      </c>
      <c r="Q25" s="81">
        <v>-470.1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79</v>
      </c>
      <c r="F26" s="41" t="s">
        <v>34</v>
      </c>
      <c r="G26" s="34">
        <v>0</v>
      </c>
      <c r="H26" s="107">
        <f>IF(B$47=0,0,G26/B$47)</f>
        <v>0</v>
      </c>
      <c r="I26" s="68">
        <v>14</v>
      </c>
      <c r="K26" s="5">
        <v>24</v>
      </c>
      <c r="L26" s="73">
        <v>-565.10000000000014</v>
      </c>
    </row>
    <row r="27" spans="1:17" x14ac:dyDescent="0.45">
      <c r="A27" s="37" t="s">
        <v>156</v>
      </c>
      <c r="B27" s="34">
        <v>21</v>
      </c>
      <c r="C27" s="109">
        <v>0</v>
      </c>
      <c r="E27" s="44" t="s">
        <v>80</v>
      </c>
      <c r="F27" s="41" t="s">
        <v>35</v>
      </c>
      <c r="G27" s="34">
        <v>0</v>
      </c>
      <c r="H27" s="107">
        <f>IF(B$47=0,0,G27/B$47)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64" t="s">
        <v>134</v>
      </c>
      <c r="B28" s="139">
        <v>6</v>
      </c>
      <c r="C28" s="140"/>
      <c r="E28" s="44" t="s">
        <v>82</v>
      </c>
      <c r="F28" s="41" t="s">
        <v>37</v>
      </c>
      <c r="G28" s="34">
        <v>0</v>
      </c>
      <c r="H28" s="107">
        <f>IF(B$47=0,0,G28/B$47)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40" t="s">
        <v>177</v>
      </c>
      <c r="B29" s="137">
        <v>85100</v>
      </c>
      <c r="C29" s="138"/>
      <c r="E29" s="44" t="s">
        <v>84</v>
      </c>
      <c r="F29" s="41" t="s">
        <v>39</v>
      </c>
      <c r="G29" s="34">
        <v>0</v>
      </c>
      <c r="H29" s="107">
        <f>IF(B$47=0,0,G29/B$47)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9" t="s">
        <v>135</v>
      </c>
      <c r="B30" s="27">
        <v>4</v>
      </c>
      <c r="C30" s="32">
        <f>IF(B$3=0,0,B30/B$3)</f>
        <v>7.5046904315196998E-3</v>
      </c>
      <c r="E30" s="44" t="s">
        <v>85</v>
      </c>
      <c r="F30" s="41" t="s">
        <v>40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-693.2</v>
      </c>
    </row>
    <row r="31" spans="1:17" x14ac:dyDescent="0.45">
      <c r="E31" s="44" t="s">
        <v>87</v>
      </c>
      <c r="F31" s="41" t="s">
        <v>42</v>
      </c>
      <c r="G31" s="34">
        <v>0</v>
      </c>
      <c r="H31" s="107">
        <f>IF(B$47=0,0,G31/B$47)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168</v>
      </c>
      <c r="B32" s="121">
        <v>13</v>
      </c>
      <c r="C32" s="119">
        <f>IF(B$15=0,0,B32/B$15)</f>
        <v>9.5588235294117641E-2</v>
      </c>
      <c r="E32" s="44" t="s">
        <v>88</v>
      </c>
      <c r="F32" s="41" t="s">
        <v>43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-716.30000000000018</v>
      </c>
    </row>
    <row r="33" spans="1:12" x14ac:dyDescent="0.45">
      <c r="A33" s="37" t="s">
        <v>164</v>
      </c>
      <c r="B33" s="34">
        <v>28</v>
      </c>
      <c r="C33" s="31">
        <f t="shared" ref="C33:C44" si="2">IF(B$15=0,0,B33/B$15)</f>
        <v>0.20588235294117646</v>
      </c>
      <c r="E33" s="44" t="s">
        <v>90</v>
      </c>
      <c r="F33" s="41" t="s">
        <v>45</v>
      </c>
      <c r="G33" s="34">
        <v>0</v>
      </c>
      <c r="H33" s="107">
        <f>IF(B$47=0,0,G33/B$47)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7" t="s">
        <v>165</v>
      </c>
      <c r="B34" s="124">
        <v>29</v>
      </c>
      <c r="C34" s="31">
        <f>IF(B$15=0,0,B34/B$15)</f>
        <v>0.21323529411764705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A35" s="37" t="s">
        <v>166</v>
      </c>
      <c r="B35" s="124">
        <v>19</v>
      </c>
      <c r="C35" s="31">
        <f t="shared" si="2"/>
        <v>0.13970588235294118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37" t="s">
        <v>167</v>
      </c>
      <c r="B36" s="124">
        <v>20</v>
      </c>
      <c r="C36" s="31">
        <f t="shared" si="2"/>
        <v>0.14705882352941177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169</v>
      </c>
      <c r="B37" s="124">
        <v>9</v>
      </c>
      <c r="C37" s="31">
        <f t="shared" si="2"/>
        <v>6.6176470588235295E-2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170</v>
      </c>
      <c r="B38" s="124">
        <v>9</v>
      </c>
      <c r="C38" s="31">
        <f t="shared" si="2"/>
        <v>6.6176470588235295E-2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171</v>
      </c>
      <c r="B39" s="124">
        <v>6</v>
      </c>
      <c r="C39" s="31">
        <f t="shared" si="2"/>
        <v>4.4117647058823532E-2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172</v>
      </c>
      <c r="B40" s="124">
        <v>0</v>
      </c>
      <c r="C40" s="31">
        <f t="shared" si="2"/>
        <v>0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173</v>
      </c>
      <c r="B41" s="124">
        <v>1</v>
      </c>
      <c r="C41" s="31">
        <f t="shared" si="2"/>
        <v>7.3529411764705881E-3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174</v>
      </c>
      <c r="B42" s="124">
        <v>0</v>
      </c>
      <c r="C42" s="31">
        <f t="shared" si="2"/>
        <v>0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9" t="s">
        <v>176</v>
      </c>
      <c r="B44" s="120">
        <v>2</v>
      </c>
      <c r="C44" s="32">
        <f t="shared" si="2"/>
        <v>1.4705882352941176E-2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64" t="s">
        <v>181</v>
      </c>
      <c r="B46" s="127">
        <v>533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9" t="s">
        <v>182</v>
      </c>
      <c r="B47" s="135">
        <v>136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-839.60000000000014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-862.70000000000016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-817.50000000000011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-866.30000000000007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-917.40000000000009</v>
      </c>
    </row>
    <row r="53" spans="5:12" x14ac:dyDescent="0.45">
      <c r="K53" s="5">
        <v>51</v>
      </c>
      <c r="L53" s="73">
        <v>-897.40000000000009</v>
      </c>
    </row>
    <row r="54" spans="5:12" x14ac:dyDescent="0.45">
      <c r="K54" s="5">
        <v>52</v>
      </c>
      <c r="L54" s="73">
        <v>-915.90000000000009</v>
      </c>
    </row>
    <row r="55" spans="5:12" x14ac:dyDescent="0.45">
      <c r="K55" s="5">
        <v>53</v>
      </c>
      <c r="L55" s="73">
        <v>-880.7</v>
      </c>
    </row>
    <row r="56" spans="5:12" x14ac:dyDescent="0.45">
      <c r="K56" s="5">
        <v>54</v>
      </c>
      <c r="L56" s="73">
        <v>-851.80000000000007</v>
      </c>
    </row>
    <row r="57" spans="5:12" x14ac:dyDescent="0.45">
      <c r="K57" s="5">
        <v>55</v>
      </c>
      <c r="L57" s="73">
        <v>-848.50000000000011</v>
      </c>
    </row>
    <row r="58" spans="5:12" x14ac:dyDescent="0.45">
      <c r="K58" s="5">
        <v>56</v>
      </c>
      <c r="L58" s="73">
        <v>-843.20000000000016</v>
      </c>
    </row>
    <row r="59" spans="5:12" x14ac:dyDescent="0.45">
      <c r="K59" s="5">
        <v>57</v>
      </c>
      <c r="L59" s="73">
        <v>-837.60000000000014</v>
      </c>
    </row>
    <row r="60" spans="5:12" x14ac:dyDescent="0.45">
      <c r="K60" s="5">
        <v>58</v>
      </c>
      <c r="L60" s="73">
        <v>-873.90000000000009</v>
      </c>
    </row>
    <row r="61" spans="5:12" x14ac:dyDescent="0.45">
      <c r="K61" s="5">
        <v>59</v>
      </c>
      <c r="L61" s="73">
        <v>-871.90000000000009</v>
      </c>
    </row>
    <row r="62" spans="5:12" x14ac:dyDescent="0.45">
      <c r="K62" s="5">
        <v>60</v>
      </c>
      <c r="L62" s="73">
        <v>-907.30000000000007</v>
      </c>
    </row>
    <row r="63" spans="5:12" x14ac:dyDescent="0.45">
      <c r="K63" s="5">
        <v>61</v>
      </c>
      <c r="L63" s="73">
        <v>-895.7</v>
      </c>
    </row>
    <row r="64" spans="5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064F7-302B-44BA-8B86-114FCDFC7DA4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198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IF(B$47=0,0,G2/B$47)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29">
        <v>32</v>
      </c>
      <c r="C3" s="130"/>
      <c r="E3" s="44" t="s">
        <v>64</v>
      </c>
      <c r="F3" s="41" t="s">
        <v>20</v>
      </c>
      <c r="G3" s="34">
        <v>4</v>
      </c>
      <c r="H3" s="107">
        <f>IF(B$47=0,0,G3/B$47)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1">
        <v>-56.2</v>
      </c>
      <c r="C4" s="132"/>
      <c r="E4" s="44" t="s">
        <v>66</v>
      </c>
      <c r="F4" s="41" t="s">
        <v>22</v>
      </c>
      <c r="G4" s="34">
        <v>2</v>
      </c>
      <c r="H4" s="107">
        <f>IF(B$47=0,0,G4/B$47)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3">
        <f>IF(B$2=0,0,B$4/B$2)</f>
        <v>-14.05</v>
      </c>
      <c r="C5" s="134"/>
      <c r="E5" s="44" t="s">
        <v>157</v>
      </c>
      <c r="F5" s="41" t="s">
        <v>158</v>
      </c>
      <c r="G5" s="34">
        <v>2</v>
      </c>
      <c r="H5" s="107">
        <f>IF(B$47=0,0,G5/B$47)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41">
        <f>IF(B$2=0,0,(B$7*1+B$8*2+B$9*3)/B$2)</f>
        <v>2.25</v>
      </c>
      <c r="C6" s="142"/>
      <c r="E6" s="44" t="s">
        <v>65</v>
      </c>
      <c r="F6" s="41" t="s">
        <v>21</v>
      </c>
      <c r="G6" s="34">
        <v>1</v>
      </c>
      <c r="H6" s="107">
        <f>IF(B$47=0,0,G6/B$47)</f>
        <v>0.1</v>
      </c>
      <c r="I6" s="68">
        <v>13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0.25</v>
      </c>
      <c r="E7" s="44" t="s">
        <v>67</v>
      </c>
      <c r="F7" s="41" t="s">
        <v>23</v>
      </c>
      <c r="G7" s="34">
        <v>1</v>
      </c>
      <c r="H7" s="107">
        <f>IF(B$47=0,0,G7/B$47)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IF(B$47=0,0,G8/B$47)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IF(B$47=0,0,G9/B$47)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0.25</v>
      </c>
      <c r="E10" s="44" t="s">
        <v>81</v>
      </c>
      <c r="F10" s="41" t="s">
        <v>36</v>
      </c>
      <c r="G10" s="34">
        <v>1</v>
      </c>
      <c r="H10" s="107">
        <f>IF(B$47=0,0,G10/B$47)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40" t="s">
        <v>121</v>
      </c>
      <c r="B11" s="16">
        <v>7</v>
      </c>
      <c r="C11" s="11">
        <f>IF(B$46=0,0,B11/B$46)</f>
        <v>0.21875</v>
      </c>
      <c r="E11" s="44" t="s">
        <v>83</v>
      </c>
      <c r="F11" s="41" t="s">
        <v>38</v>
      </c>
      <c r="G11" s="34">
        <v>1</v>
      </c>
      <c r="H11" s="107">
        <f>IF(B$47=0,0,G11/B$47)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7" t="s">
        <v>118</v>
      </c>
      <c r="B12" s="34">
        <v>12</v>
      </c>
      <c r="C12" s="31">
        <f>IF(B$46=0,0,B12/B$46)</f>
        <v>0.375</v>
      </c>
      <c r="E12" s="44" t="s">
        <v>86</v>
      </c>
      <c r="F12" s="41" t="s">
        <v>41</v>
      </c>
      <c r="G12" s="34">
        <v>1</v>
      </c>
      <c r="H12" s="107">
        <f>IF(B$47=0,0,G12/B$47)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3</v>
      </c>
      <c r="C13" s="4">
        <f>IF(B$11=0,0,B13/B$11)</f>
        <v>0.42857142857142855</v>
      </c>
      <c r="E13" s="44" t="s">
        <v>89</v>
      </c>
      <c r="F13" s="41" t="s">
        <v>44</v>
      </c>
      <c r="G13" s="34">
        <v>1</v>
      </c>
      <c r="H13" s="107">
        <f>IF(B$47=0,0,G13/B$47)</f>
        <v>0.1</v>
      </c>
      <c r="I13" s="68">
        <v>15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</v>
      </c>
      <c r="C14" s="4">
        <f>IF(B$12=0,0,B14/B$12)</f>
        <v>0.25</v>
      </c>
      <c r="E14" s="44" t="s">
        <v>70</v>
      </c>
      <c r="F14" s="41" t="s">
        <v>25</v>
      </c>
      <c r="G14" s="34">
        <v>0</v>
      </c>
      <c r="H14" s="107">
        <f>IF(B$47=0,0,G14/B$47)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0.3125</v>
      </c>
      <c r="E15" s="44" t="s">
        <v>71</v>
      </c>
      <c r="F15" s="41" t="s">
        <v>26</v>
      </c>
      <c r="G15" s="34">
        <v>0</v>
      </c>
      <c r="H15" s="107">
        <f>IF(B$47=0,0,G15/B$47)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13</v>
      </c>
      <c r="B16" s="34">
        <v>5</v>
      </c>
      <c r="C16" s="31">
        <f>IF(B$3=0,0,B16/B$3)</f>
        <v>0.15625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11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37" t="s">
        <v>12</v>
      </c>
      <c r="B17" s="34">
        <v>3</v>
      </c>
      <c r="C17" s="31">
        <f>IF(B$15=0,0,B17/B$15)</f>
        <v>0.3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</row>
    <row r="18" spans="1:9" x14ac:dyDescent="0.45">
      <c r="A18" s="37" t="s">
        <v>11</v>
      </c>
      <c r="B18" s="34">
        <v>7</v>
      </c>
      <c r="C18" s="31">
        <f>IF(B$15=0,0,B18/B$15)</f>
        <v>0.7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11</v>
      </c>
    </row>
    <row r="19" spans="1:9" x14ac:dyDescent="0.45">
      <c r="A19" s="37" t="s">
        <v>180</v>
      </c>
      <c r="B19" s="34">
        <v>3</v>
      </c>
      <c r="C19" s="31">
        <f>IF(B$15=0,0,B19/B$15)</f>
        <v>0.3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</row>
    <row r="20" spans="1:9" x14ac:dyDescent="0.45">
      <c r="A20" s="37" t="s">
        <v>178</v>
      </c>
      <c r="B20" s="34">
        <v>3</v>
      </c>
      <c r="C20" s="31">
        <f>IF(B$15=0,0,B20/B$15)</f>
        <v>0.3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</row>
    <row r="21" spans="1:9" x14ac:dyDescent="0.45">
      <c r="A21" s="37" t="s">
        <v>179</v>
      </c>
      <c r="B21" s="34">
        <v>4</v>
      </c>
      <c r="C21" s="31">
        <f>IF(B$15=0,0,B21/B$15)</f>
        <v>0.4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14</v>
      </c>
    </row>
    <row r="22" spans="1:9" x14ac:dyDescent="0.45">
      <c r="A22" s="37" t="s">
        <v>5</v>
      </c>
      <c r="B22" s="17">
        <f>IF(B$15=0,0,C22/B$15)</f>
        <v>4940</v>
      </c>
      <c r="C22" s="8">
        <v>49400</v>
      </c>
      <c r="E22" s="44" t="s">
        <v>79</v>
      </c>
      <c r="F22" s="41" t="s">
        <v>34</v>
      </c>
      <c r="G22" s="34">
        <v>0</v>
      </c>
      <c r="H22" s="107">
        <f>IF(B$47=0,0,G22/B$47)</f>
        <v>0</v>
      </c>
      <c r="I22" s="68">
        <v>14</v>
      </c>
    </row>
    <row r="23" spans="1:9" x14ac:dyDescent="0.45">
      <c r="A23" s="38" t="s">
        <v>162</v>
      </c>
      <c r="B23" s="114">
        <f>IF($B$15-B$14=0,0,C23/($B$15-B$14))</f>
        <v>5471.4285714285716</v>
      </c>
      <c r="C23" s="115">
        <v>38300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</row>
    <row r="24" spans="1:9" x14ac:dyDescent="0.45">
      <c r="A24" s="38" t="s">
        <v>163</v>
      </c>
      <c r="B24" s="114">
        <f>IF(B$14=0,0,C24/B$14)</f>
        <v>3700</v>
      </c>
      <c r="C24" s="115">
        <v>11100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9" x14ac:dyDescent="0.45">
      <c r="A25" s="38" t="s">
        <v>161</v>
      </c>
      <c r="B25" s="114">
        <f>IF(B$16=0,0,C25/B$16)</f>
        <v>-11280</v>
      </c>
      <c r="C25" s="115">
        <v>-56400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9" x14ac:dyDescent="0.45">
      <c r="A26" s="37" t="s">
        <v>155</v>
      </c>
      <c r="B26" s="34">
        <v>4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9" x14ac:dyDescent="0.45">
      <c r="A27" s="37" t="s">
        <v>156</v>
      </c>
      <c r="B27" s="34">
        <v>12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</row>
    <row r="28" spans="1:9" x14ac:dyDescent="0.45">
      <c r="A28" s="64" t="s">
        <v>134</v>
      </c>
      <c r="B28" s="139">
        <v>2</v>
      </c>
      <c r="C28" s="140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9" x14ac:dyDescent="0.45">
      <c r="A29" s="40" t="s">
        <v>177</v>
      </c>
      <c r="B29" s="137">
        <v>55200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1">
        <v>1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5</v>
      </c>
      <c r="C33" s="31">
        <f t="shared" ref="C33:C44" si="2">IF(B$15=0,0,B33/B$15)</f>
        <v>0.5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2</v>
      </c>
      <c r="C34" s="31">
        <f>IF(B$15=0,0,B34/B$15)</f>
        <v>0.2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1</v>
      </c>
      <c r="C35" s="31">
        <f t="shared" si="2"/>
        <v>0.1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1</v>
      </c>
      <c r="C37" s="31">
        <f t="shared" si="2"/>
        <v>0.1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10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C28D8-CDFC-45C0-A89D-CEC2765B82F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202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8</v>
      </c>
      <c r="C2" s="128"/>
      <c r="E2" s="43" t="s">
        <v>66</v>
      </c>
      <c r="F2" s="25" t="s">
        <v>22</v>
      </c>
      <c r="G2" s="13">
        <v>26</v>
      </c>
      <c r="H2" s="106">
        <f>IF(B$47=0,0,G2/B$47)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1387.5</v>
      </c>
      <c r="P2" s="92">
        <v>8</v>
      </c>
      <c r="Q2" s="76">
        <v>11100</v>
      </c>
    </row>
    <row r="3" spans="1:17" x14ac:dyDescent="0.45">
      <c r="A3" s="37" t="s">
        <v>8</v>
      </c>
      <c r="B3" s="129">
        <v>69</v>
      </c>
      <c r="C3" s="130"/>
      <c r="E3" s="44" t="s">
        <v>64</v>
      </c>
      <c r="F3" s="41" t="s">
        <v>20</v>
      </c>
      <c r="G3" s="34">
        <v>19</v>
      </c>
      <c r="H3" s="107">
        <f>IF(B$47=0,0,G3/B$47)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5162.5</v>
      </c>
      <c r="P3" s="93">
        <v>8</v>
      </c>
      <c r="Q3" s="77">
        <v>41300</v>
      </c>
    </row>
    <row r="4" spans="1:17" x14ac:dyDescent="0.45">
      <c r="A4" s="37" t="s">
        <v>6</v>
      </c>
      <c r="B4" s="131">
        <v>106.5</v>
      </c>
      <c r="C4" s="132"/>
      <c r="E4" s="44" t="s">
        <v>67</v>
      </c>
      <c r="F4" s="41" t="s">
        <v>23</v>
      </c>
      <c r="G4" s="34">
        <v>17</v>
      </c>
      <c r="H4" s="107">
        <f>IF(B$47=0,0,G4/B$47)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3">
        <f>IF(B$2=0,0,B$4/B$2)</f>
        <v>13.3125</v>
      </c>
      <c r="C5" s="134"/>
      <c r="E5" s="44" t="s">
        <v>157</v>
      </c>
      <c r="F5" s="41" t="s">
        <v>158</v>
      </c>
      <c r="G5" s="34">
        <v>12</v>
      </c>
      <c r="H5" s="107">
        <f>IF(B$47=0,0,G5/B$47)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41">
        <f>IF(B$2=0,0,(B$7*1+B$8*2+B$9*3)/B$2)</f>
        <v>1.75</v>
      </c>
      <c r="C6" s="142"/>
      <c r="E6" s="44" t="s">
        <v>68</v>
      </c>
      <c r="F6" s="41" t="s">
        <v>12</v>
      </c>
      <c r="G6" s="34">
        <v>8</v>
      </c>
      <c r="H6" s="107">
        <f>IF(B$47=0,0,G6/B$47)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0" si="1">IF(B$2=0,0,B7/B$2)</f>
        <v>0.625</v>
      </c>
      <c r="E7" s="44" t="s">
        <v>69</v>
      </c>
      <c r="F7" s="41" t="s">
        <v>24</v>
      </c>
      <c r="G7" s="34">
        <v>5</v>
      </c>
      <c r="H7" s="107">
        <f>IF(B$47=0,0,G7/B$47)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IF(B$47=0,0,G8/B$47)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3</v>
      </c>
      <c r="C9" s="7">
        <f t="shared" si="1"/>
        <v>0.375</v>
      </c>
      <c r="E9" s="44" t="s">
        <v>65</v>
      </c>
      <c r="F9" s="41" t="s">
        <v>21</v>
      </c>
      <c r="G9" s="34">
        <v>4</v>
      </c>
      <c r="H9" s="107">
        <f>IF(B$47=0,0,G9/B$47)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4</v>
      </c>
      <c r="H10" s="107">
        <f>IF(B$47=0,0,G10/B$47)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-16.600000000000001</v>
      </c>
      <c r="P10" s="92">
        <v>1</v>
      </c>
      <c r="Q10" s="80">
        <v>-16.600000000000001</v>
      </c>
    </row>
    <row r="11" spans="1:17" x14ac:dyDescent="0.45">
      <c r="A11" s="40" t="s">
        <v>121</v>
      </c>
      <c r="B11" s="16">
        <v>28</v>
      </c>
      <c r="C11" s="11">
        <f>IF(B$46=0,0,B11/B$46)</f>
        <v>0.40579710144927539</v>
      </c>
      <c r="E11" s="44" t="s">
        <v>71</v>
      </c>
      <c r="F11" s="41" t="s">
        <v>26</v>
      </c>
      <c r="G11" s="34">
        <v>3</v>
      </c>
      <c r="H11" s="107">
        <f>IF(B$47=0,0,G11/B$47)</f>
        <v>0.11538461538461539</v>
      </c>
      <c r="I11" s="68">
        <v>1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7" t="s">
        <v>118</v>
      </c>
      <c r="B12" s="34">
        <v>11</v>
      </c>
      <c r="C12" s="31">
        <f>IF(B$46=0,0,B12/B$46)</f>
        <v>0.15942028985507245</v>
      </c>
      <c r="E12" s="44" t="s">
        <v>81</v>
      </c>
      <c r="F12" s="41" t="s">
        <v>36</v>
      </c>
      <c r="G12" s="34">
        <v>2</v>
      </c>
      <c r="H12" s="107">
        <f>IF(B$47=0,0,G12/B$47)</f>
        <v>7.6923076923076927E-2</v>
      </c>
      <c r="I12" s="68">
        <v>3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19" t="s">
        <v>123</v>
      </c>
      <c r="B13" s="13">
        <v>19</v>
      </c>
      <c r="C13" s="4">
        <f>IF(B$11=0,0,B13/B$11)</f>
        <v>0.6785714285714286</v>
      </c>
      <c r="E13" s="44" t="s">
        <v>89</v>
      </c>
      <c r="F13" s="41" t="s">
        <v>44</v>
      </c>
      <c r="G13" s="34">
        <v>1</v>
      </c>
      <c r="H13" s="107">
        <f>IF(B$47=0,0,G13/B$47)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0.45454545454545453</v>
      </c>
      <c r="E14" s="44" t="s">
        <v>91</v>
      </c>
      <c r="F14" s="41" t="s">
        <v>46</v>
      </c>
      <c r="G14" s="34">
        <v>1</v>
      </c>
      <c r="H14" s="107">
        <f>IF(B$47=0,0,G14/B$47)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26</v>
      </c>
      <c r="C15" s="4">
        <f>IF(B$3=0,0,B15/B$3)</f>
        <v>0.37681159420289856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13</v>
      </c>
      <c r="B16" s="34">
        <v>16</v>
      </c>
      <c r="C16" s="31">
        <f>IF(B$3=0,0,B16/B$3)</f>
        <v>0.2318840579710145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37" t="s">
        <v>12</v>
      </c>
      <c r="B17" s="34">
        <v>12</v>
      </c>
      <c r="C17" s="31">
        <f>IF(B$15=0,0,B17/B$15)</f>
        <v>0.46153846153846156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197</v>
      </c>
      <c r="O17" s="99">
        <f>IF(P17=0,0,Q17/P17)</f>
        <v>19.866666666666667</v>
      </c>
      <c r="P17" s="93">
        <v>6</v>
      </c>
      <c r="Q17" s="81">
        <v>119.2</v>
      </c>
    </row>
    <row r="18" spans="1:17" x14ac:dyDescent="0.45">
      <c r="A18" s="37" t="s">
        <v>11</v>
      </c>
      <c r="B18" s="34">
        <v>14</v>
      </c>
      <c r="C18" s="31">
        <f>IF(B$15=0,0,B18/B$15)</f>
        <v>0.53846153846153844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37" t="s">
        <v>180</v>
      </c>
      <c r="B19" s="34">
        <v>19</v>
      </c>
      <c r="C19" s="31">
        <f>IF(B$15=0,0,B19/B$15)</f>
        <v>0.73076923076923073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178</v>
      </c>
      <c r="B20" s="34">
        <v>5</v>
      </c>
      <c r="C20" s="31">
        <f>IF(B$15=0,0,B20/B$15)</f>
        <v>0.19230769230769232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14</v>
      </c>
    </row>
    <row r="21" spans="1:17" x14ac:dyDescent="0.45">
      <c r="A21" s="37" t="s">
        <v>179</v>
      </c>
      <c r="B21" s="34">
        <v>2</v>
      </c>
      <c r="C21" s="31">
        <f>IF(B$15=0,0,B21/B$15)</f>
        <v>7.6923076923076927E-2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14</v>
      </c>
    </row>
    <row r="22" spans="1:17" x14ac:dyDescent="0.45">
      <c r="A22" s="37" t="s">
        <v>5</v>
      </c>
      <c r="B22" s="17">
        <f>IF(B$15=0,0,C22/B$15)</f>
        <v>9534.6153846153848</v>
      </c>
      <c r="C22" s="8">
        <v>247900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</row>
    <row r="23" spans="1:17" x14ac:dyDescent="0.45">
      <c r="A23" s="38" t="s">
        <v>162</v>
      </c>
      <c r="B23" s="114">
        <f>IF($B$15-B$14=0,0,C23/($B$15-B$14))</f>
        <v>9661.9047619047615</v>
      </c>
      <c r="C23" s="115">
        <v>202900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5">
      <c r="A24" s="38" t="s">
        <v>163</v>
      </c>
      <c r="B24" s="114">
        <f>IF(B$14=0,0,C24/B$14)</f>
        <v>9000</v>
      </c>
      <c r="C24" s="115">
        <v>45000</v>
      </c>
      <c r="E24" s="44" t="s">
        <v>83</v>
      </c>
      <c r="F24" s="41" t="s">
        <v>38</v>
      </c>
      <c r="G24" s="34">
        <v>0</v>
      </c>
      <c r="H24" s="107">
        <f>IF(B$47=0,0,G24/B$47)</f>
        <v>0</v>
      </c>
      <c r="I24" s="68">
        <v>15</v>
      </c>
    </row>
    <row r="25" spans="1:17" x14ac:dyDescent="0.45">
      <c r="A25" s="38" t="s">
        <v>161</v>
      </c>
      <c r="B25" s="114">
        <f>IF(B$16=0,0,C25/B$16)</f>
        <v>-8437.5</v>
      </c>
      <c r="C25" s="115">
        <v>-135000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17" x14ac:dyDescent="0.45">
      <c r="A27" s="37" t="s">
        <v>156</v>
      </c>
      <c r="B27" s="34">
        <v>11</v>
      </c>
      <c r="C27" s="109">
        <v>0</v>
      </c>
      <c r="E27" s="44" t="s">
        <v>86</v>
      </c>
      <c r="F27" s="41" t="s">
        <v>41</v>
      </c>
      <c r="G27" s="34">
        <v>0</v>
      </c>
      <c r="H27" s="107">
        <f>IF(B$47=0,0,G27/B$47)</f>
        <v>0</v>
      </c>
      <c r="I27" s="68">
        <v>17</v>
      </c>
    </row>
    <row r="28" spans="1:17" x14ac:dyDescent="0.45">
      <c r="A28" s="64" t="s">
        <v>134</v>
      </c>
      <c r="B28" s="139">
        <v>5</v>
      </c>
      <c r="C28" s="140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10</v>
      </c>
    </row>
    <row r="29" spans="1:17" x14ac:dyDescent="0.45">
      <c r="A29" s="40" t="s">
        <v>177</v>
      </c>
      <c r="B29" s="137">
        <v>70900</v>
      </c>
      <c r="C29" s="138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7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1</v>
      </c>
      <c r="C32" s="119">
        <f>IF(B$15=0,0,B32/B$15)</f>
        <v>3.8461538461538464E-2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3</v>
      </c>
      <c r="C33" s="31">
        <f t="shared" ref="C33:C44" si="2">IF(B$15=0,0,B33/B$15)</f>
        <v>0.11538461538461539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6</v>
      </c>
      <c r="C34" s="31">
        <f>IF(B$15=0,0,B34/B$15)</f>
        <v>0.23076923076923078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1</v>
      </c>
      <c r="C35" s="31">
        <f t="shared" si="2"/>
        <v>3.8461538461538464E-2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8</v>
      </c>
      <c r="C36" s="31">
        <f t="shared" si="2"/>
        <v>0.30769230769230771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6</v>
      </c>
      <c r="C37" s="31">
        <f t="shared" si="2"/>
        <v>0.23076923076923078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1</v>
      </c>
      <c r="C40" s="31">
        <f t="shared" si="2"/>
        <v>3.8461538461538464E-2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26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359-58FD-443C-BF44-1589480CF46E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201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29">
        <v>40</v>
      </c>
      <c r="C3" s="130"/>
      <c r="E3" s="44" t="s">
        <v>66</v>
      </c>
      <c r="F3" s="41" t="s">
        <v>22</v>
      </c>
      <c r="G3" s="34">
        <v>5</v>
      </c>
      <c r="H3" s="107">
        <f>IF(B$47=0,0,G3/B$47)</f>
        <v>0.625</v>
      </c>
      <c r="I3" s="68">
        <v>13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31">
        <v>-80.800000000000011</v>
      </c>
      <c r="C4" s="132"/>
      <c r="E4" s="44" t="s">
        <v>157</v>
      </c>
      <c r="F4" s="41" t="s">
        <v>158</v>
      </c>
      <c r="G4" s="34">
        <v>4</v>
      </c>
      <c r="H4" s="107">
        <f>IF(B$47=0,0,G4/B$47)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3">
        <f>IF(B$2=0,0,B$4/B$2)</f>
        <v>-16.160000000000004</v>
      </c>
      <c r="C5" s="134"/>
      <c r="E5" s="44" t="s">
        <v>78</v>
      </c>
      <c r="F5" s="41" t="s">
        <v>33</v>
      </c>
      <c r="G5" s="34">
        <v>3</v>
      </c>
      <c r="H5" s="107">
        <f>IF(B$47=0,0,G5/B$47)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41">
        <f>IF(B$2=0,0,(B$7*1+B$8*2+B$9*3)/B$2)</f>
        <v>2.2000000000000002</v>
      </c>
      <c r="C6" s="142"/>
      <c r="E6" s="44" t="s">
        <v>68</v>
      </c>
      <c r="F6" s="41" t="s">
        <v>12</v>
      </c>
      <c r="G6" s="34">
        <v>2</v>
      </c>
      <c r="H6" s="107">
        <f>IF(B$47=0,0,G6/B$47)</f>
        <v>0.25</v>
      </c>
      <c r="I6" s="68">
        <v>16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</v>
      </c>
      <c r="E7" s="44" t="s">
        <v>69</v>
      </c>
      <c r="F7" s="41" t="s">
        <v>24</v>
      </c>
      <c r="G7" s="34">
        <v>2</v>
      </c>
      <c r="H7" s="107">
        <f>IF(B$47=0,0,G7/B$47)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IF(B$47=0,0,G8/B$47)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IF(B$47=0,0,G9/B$47)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0.2</v>
      </c>
      <c r="E10" s="44" t="s">
        <v>65</v>
      </c>
      <c r="F10" s="41" t="s">
        <v>21</v>
      </c>
      <c r="G10" s="34">
        <v>1</v>
      </c>
      <c r="H10" s="107">
        <f>IF(B$47=0,0,G10/B$47)</f>
        <v>0.125</v>
      </c>
      <c r="I10" s="68">
        <v>7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40" t="s">
        <v>121</v>
      </c>
      <c r="B11" s="16">
        <v>15</v>
      </c>
      <c r="C11" s="11">
        <f>IF(B$46=0,0,B11/B$46)</f>
        <v>0.375</v>
      </c>
      <c r="E11" s="44" t="s">
        <v>67</v>
      </c>
      <c r="F11" s="41" t="s">
        <v>23</v>
      </c>
      <c r="G11" s="34">
        <v>1</v>
      </c>
      <c r="H11" s="107">
        <f>IF(B$47=0,0,G11/B$47)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7" t="s">
        <v>118</v>
      </c>
      <c r="B12" s="34">
        <v>6</v>
      </c>
      <c r="C12" s="31">
        <f>IF(B$46=0,0,B12/B$46)</f>
        <v>0.15</v>
      </c>
      <c r="E12" s="44" t="s">
        <v>87</v>
      </c>
      <c r="F12" s="41" t="s">
        <v>42</v>
      </c>
      <c r="G12" s="34">
        <v>1</v>
      </c>
      <c r="H12" s="107">
        <f>IF(B$47=0,0,G12/B$47)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19" t="s">
        <v>123</v>
      </c>
      <c r="B13" s="13">
        <v>6</v>
      </c>
      <c r="C13" s="4">
        <f>IF(B$11=0,0,B13/B$11)</f>
        <v>0.4</v>
      </c>
      <c r="E13" s="44" t="s">
        <v>70</v>
      </c>
      <c r="F13" s="41" t="s">
        <v>25</v>
      </c>
      <c r="G13" s="34">
        <v>0</v>
      </c>
      <c r="H13" s="107">
        <f>IF(B$47=0,0,G13/B$47)</f>
        <v>0</v>
      </c>
      <c r="I13" s="68">
        <v>16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</v>
      </c>
      <c r="C14" s="4">
        <f>IF(B$12=0,0,B14/B$12)</f>
        <v>0.33333333333333331</v>
      </c>
      <c r="E14" s="44" t="s">
        <v>71</v>
      </c>
      <c r="F14" s="41" t="s">
        <v>26</v>
      </c>
      <c r="G14" s="34">
        <v>0</v>
      </c>
      <c r="H14" s="107">
        <f>IF(B$47=0,0,G14/B$47)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</v>
      </c>
      <c r="C15" s="4">
        <f>IF(B$3=0,0,B15/B$3)</f>
        <v>0.2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13</v>
      </c>
      <c r="B16" s="34">
        <v>8</v>
      </c>
      <c r="C16" s="31">
        <f>IF(B$3=0,0,B16/B$3)</f>
        <v>0.2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37" t="s">
        <v>12</v>
      </c>
      <c r="B17" s="34">
        <v>2</v>
      </c>
      <c r="C17" s="31">
        <f>IF(B$15=0,0,B17/B$15)</f>
        <v>0.25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37" t="s">
        <v>11</v>
      </c>
      <c r="B18" s="34">
        <v>6</v>
      </c>
      <c r="C18" s="31">
        <f>IF(B$15=0,0,B18/B$15)</f>
        <v>0.75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</row>
    <row r="19" spans="1:17" x14ac:dyDescent="0.45">
      <c r="A19" s="37" t="s">
        <v>180</v>
      </c>
      <c r="B19" s="34">
        <v>6</v>
      </c>
      <c r="C19" s="31">
        <f>IF(B$15=0,0,B19/B$15)</f>
        <v>0.75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</row>
    <row r="20" spans="1:17" x14ac:dyDescent="0.45">
      <c r="A20" s="37" t="s">
        <v>178</v>
      </c>
      <c r="B20" s="34">
        <v>2</v>
      </c>
      <c r="C20" s="31">
        <f>IF(B$15=0,0,B20/B$15)</f>
        <v>0.25</v>
      </c>
      <c r="E20" s="44" t="s">
        <v>79</v>
      </c>
      <c r="F20" s="41" t="s">
        <v>34</v>
      </c>
      <c r="G20" s="34">
        <v>0</v>
      </c>
      <c r="H20" s="107">
        <f>IF(B$47=0,0,G20/B$47)</f>
        <v>0</v>
      </c>
      <c r="I20" s="68">
        <v>14</v>
      </c>
    </row>
    <row r="21" spans="1:17" x14ac:dyDescent="0.45">
      <c r="A21" s="37" t="s">
        <v>179</v>
      </c>
      <c r="B21" s="34">
        <v>0</v>
      </c>
      <c r="C21" s="31">
        <f>IF(B$15=0,0,B21/B$15)</f>
        <v>0</v>
      </c>
      <c r="E21" s="44" t="s">
        <v>80</v>
      </c>
      <c r="F21" s="41" t="s">
        <v>35</v>
      </c>
      <c r="G21" s="34">
        <v>0</v>
      </c>
      <c r="H21" s="107">
        <f>IF(B$47=0,0,G21/B$47)</f>
        <v>0</v>
      </c>
      <c r="I21" s="68">
        <v>3</v>
      </c>
    </row>
    <row r="22" spans="1:17" x14ac:dyDescent="0.45">
      <c r="A22" s="37" t="s">
        <v>5</v>
      </c>
      <c r="B22" s="17">
        <f>IF(B$15=0,0,C22/B$15)</f>
        <v>8512.5</v>
      </c>
      <c r="C22" s="8">
        <v>68100</v>
      </c>
      <c r="E22" s="44" t="s">
        <v>81</v>
      </c>
      <c r="F22" s="41" t="s">
        <v>36</v>
      </c>
      <c r="G22" s="34">
        <v>0</v>
      </c>
      <c r="H22" s="107">
        <f>IF(B$47=0,0,G22/B$47)</f>
        <v>0</v>
      </c>
      <c r="I22" s="68">
        <v>15</v>
      </c>
    </row>
    <row r="23" spans="1:17" x14ac:dyDescent="0.45">
      <c r="A23" s="38" t="s">
        <v>162</v>
      </c>
      <c r="B23" s="114">
        <f>IF($B$15-B$14=0,0,C23/($B$15-B$14))</f>
        <v>9766.6666666666661</v>
      </c>
      <c r="C23" s="115">
        <v>58600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5">
      <c r="A24" s="38" t="s">
        <v>163</v>
      </c>
      <c r="B24" s="114">
        <f>IF(B$14=0,0,C24/B$14)</f>
        <v>4750</v>
      </c>
      <c r="C24" s="115">
        <v>9500</v>
      </c>
      <c r="E24" s="44" t="s">
        <v>83</v>
      </c>
      <c r="F24" s="41" t="s">
        <v>38</v>
      </c>
      <c r="G24" s="34">
        <v>0</v>
      </c>
      <c r="H24" s="107">
        <f>IF(B$47=0,0,G24/B$47)</f>
        <v>0</v>
      </c>
      <c r="I24" s="68">
        <v>15</v>
      </c>
    </row>
    <row r="25" spans="1:17" x14ac:dyDescent="0.45">
      <c r="A25" s="38" t="s">
        <v>161</v>
      </c>
      <c r="B25" s="114">
        <f>IF(B$16=0,0,C25/B$16)</f>
        <v>-7987.5</v>
      </c>
      <c r="C25" s="115">
        <v>-63900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17" x14ac:dyDescent="0.45">
      <c r="A27" s="37" t="s">
        <v>156</v>
      </c>
      <c r="B27" s="34">
        <v>7</v>
      </c>
      <c r="C27" s="109">
        <v>0</v>
      </c>
      <c r="E27" s="44" t="s">
        <v>86</v>
      </c>
      <c r="F27" s="41" t="s">
        <v>41</v>
      </c>
      <c r="G27" s="34">
        <v>0</v>
      </c>
      <c r="H27" s="107">
        <f>IF(B$47=0,0,G27/B$47)</f>
        <v>0</v>
      </c>
      <c r="I27" s="68">
        <v>17</v>
      </c>
    </row>
    <row r="28" spans="1:17" x14ac:dyDescent="0.45">
      <c r="A28" s="64" t="s">
        <v>134</v>
      </c>
      <c r="B28" s="139">
        <v>4</v>
      </c>
      <c r="C28" s="140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37">
        <v>52000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1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</v>
      </c>
      <c r="C33" s="31">
        <f t="shared" ref="C33:C44" si="2">IF(B$15=0,0,B33/B$15)</f>
        <v>0.125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0</v>
      </c>
      <c r="C34" s="31">
        <f>IF(B$15=0,0,B34/B$15)</f>
        <v>0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4</v>
      </c>
      <c r="C36" s="31">
        <f t="shared" si="2"/>
        <v>0.5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1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1</v>
      </c>
      <c r="C38" s="31">
        <f t="shared" si="2"/>
        <v>0.125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40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8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1176</vt:i4>
      </vt:variant>
    </vt:vector>
  </HeadingPairs>
  <TitlesOfParts>
    <vt:vector size="1199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2019-12-16T03:35:18Z</dcterms:modified>
</cp:coreProperties>
</file>