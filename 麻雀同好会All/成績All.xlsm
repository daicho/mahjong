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A28D86BD-6F4A-4DB4-9EF0-DDACDFD4B77C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867" r:id="rId4"/>
    <sheet name="だいち" sheetId="3868" r:id="rId5"/>
    <sheet name="かこたろう" sheetId="3869" r:id="rId6"/>
    <sheet name="ともき" sheetId="3870" r:id="rId7"/>
    <sheet name="りくと" sheetId="3871" r:id="rId8"/>
    <sheet name="いっしー" sheetId="3872" r:id="rId9"/>
    <sheet name="がくと" sheetId="3873" r:id="rId10"/>
    <sheet name="たかの" sheetId="3874" r:id="rId11"/>
    <sheet name="ただ" sheetId="3875" r:id="rId12"/>
    <sheet name="やがさき" sheetId="3876" r:id="rId13"/>
    <sheet name="れんたろう" sheetId="3877" r:id="rId14"/>
    <sheet name="あさひ" sheetId="3878" r:id="rId15"/>
    <sheet name="まっつん" sheetId="3879" r:id="rId16"/>
    <sheet name="ぱぱ" sheetId="3880" r:id="rId17"/>
    <sheet name="ほたに" sheetId="3881" r:id="rId18"/>
    <sheet name="かわたつ" sheetId="3882" r:id="rId19"/>
    <sheet name="のり" sheetId="3883" r:id="rId20"/>
    <sheet name="ちさと" sheetId="3884" r:id="rId21"/>
    <sheet name="たか" sheetId="3885" r:id="rId22"/>
    <sheet name="ゆう" sheetId="388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886" l="1"/>
  <c r="O16" i="3886"/>
  <c r="O15" i="3886"/>
  <c r="H52" i="3886"/>
  <c r="H4" i="3886"/>
  <c r="H51" i="3886"/>
  <c r="H50" i="3886"/>
  <c r="H49" i="3886"/>
  <c r="C48" i="3886"/>
  <c r="H48" i="3886"/>
  <c r="C47" i="3886"/>
  <c r="H47" i="3886"/>
  <c r="C46" i="3886"/>
  <c r="H46" i="3886"/>
  <c r="C45" i="3886"/>
  <c r="H45" i="3886"/>
  <c r="C44" i="3886"/>
  <c r="H44" i="3886"/>
  <c r="C43" i="3886"/>
  <c r="H43" i="3886"/>
  <c r="C42" i="3886"/>
  <c r="H42" i="3886"/>
  <c r="C41" i="3886"/>
  <c r="H41" i="3886"/>
  <c r="C40" i="3886"/>
  <c r="H40" i="3886"/>
  <c r="C39" i="3886"/>
  <c r="H39" i="3886"/>
  <c r="C38" i="3886"/>
  <c r="H38" i="3886"/>
  <c r="C37" i="3886"/>
  <c r="H37" i="3886"/>
  <c r="C36" i="3886"/>
  <c r="H36" i="3886"/>
  <c r="H35" i="3886"/>
  <c r="C34" i="3886"/>
  <c r="H34" i="3886"/>
  <c r="H33" i="3886"/>
  <c r="H32" i="3886"/>
  <c r="H31" i="3886"/>
  <c r="H30" i="3886"/>
  <c r="B29" i="3886"/>
  <c r="H29" i="3886"/>
  <c r="B28" i="3886"/>
  <c r="H9" i="3886"/>
  <c r="B27" i="3886"/>
  <c r="H28" i="3886"/>
  <c r="B26" i="3886"/>
  <c r="H12" i="3886"/>
  <c r="C25" i="3886"/>
  <c r="H27" i="3886"/>
  <c r="C24" i="3886"/>
  <c r="H26" i="3886"/>
  <c r="C23" i="3886"/>
  <c r="H25" i="3886"/>
  <c r="C22" i="3886"/>
  <c r="H24" i="3886"/>
  <c r="C21" i="3886"/>
  <c r="H23" i="3886"/>
  <c r="C20" i="3886"/>
  <c r="H22" i="3886"/>
  <c r="C19" i="3886"/>
  <c r="H21" i="3886"/>
  <c r="C18" i="3886"/>
  <c r="H20" i="3886"/>
  <c r="C17" i="3886"/>
  <c r="H5" i="3886"/>
  <c r="C16" i="3886"/>
  <c r="H19" i="3886"/>
  <c r="C15" i="3886"/>
  <c r="H18" i="3886"/>
  <c r="C14" i="3886"/>
  <c r="H17" i="3886"/>
  <c r="O12" i="3886"/>
  <c r="H16" i="3886"/>
  <c r="B12" i="3886"/>
  <c r="O11" i="3886"/>
  <c r="H15" i="3886"/>
  <c r="B11" i="3886"/>
  <c r="O10" i="3886"/>
  <c r="H8" i="3886"/>
  <c r="B10" i="3886"/>
  <c r="H14" i="3886"/>
  <c r="C9" i="3886"/>
  <c r="H13" i="3886"/>
  <c r="C8" i="3886"/>
  <c r="O7" i="3886"/>
  <c r="H7" i="3886"/>
  <c r="C7" i="3886"/>
  <c r="O6" i="3886"/>
  <c r="H6" i="3886"/>
  <c r="B6" i="3886"/>
  <c r="O5" i="3886"/>
  <c r="H11" i="3886"/>
  <c r="B5" i="3886"/>
  <c r="O4" i="3886"/>
  <c r="H3" i="3886"/>
  <c r="O3" i="3886"/>
  <c r="H10" i="3886"/>
  <c r="O2" i="3886"/>
  <c r="H2" i="3886"/>
  <c r="O20" i="3885"/>
  <c r="O19" i="3885"/>
  <c r="O18" i="3885"/>
  <c r="O17" i="3885"/>
  <c r="O16" i="3885"/>
  <c r="O15" i="3885"/>
  <c r="H52" i="3885"/>
  <c r="H5" i="3885"/>
  <c r="H51" i="3885"/>
  <c r="H50" i="3885"/>
  <c r="H49" i="3885"/>
  <c r="C48" i="3885"/>
  <c r="H48" i="3885"/>
  <c r="C47" i="3885"/>
  <c r="H47" i="3885"/>
  <c r="C46" i="3885"/>
  <c r="H46" i="3885"/>
  <c r="C45" i="3885"/>
  <c r="H45" i="3885"/>
  <c r="C44" i="3885"/>
  <c r="H44" i="3885"/>
  <c r="C43" i="3885"/>
  <c r="H43" i="3885"/>
  <c r="C42" i="3885"/>
  <c r="H42" i="3885"/>
  <c r="C41" i="3885"/>
  <c r="H41" i="3885"/>
  <c r="C40" i="3885"/>
  <c r="H40" i="3885"/>
  <c r="C39" i="3885"/>
  <c r="H39" i="3885"/>
  <c r="C38" i="3885"/>
  <c r="H38" i="3885"/>
  <c r="C37" i="3885"/>
  <c r="H37" i="3885"/>
  <c r="C36" i="3885"/>
  <c r="H36" i="3885"/>
  <c r="H35" i="3885"/>
  <c r="C34" i="3885"/>
  <c r="H34" i="3885"/>
  <c r="H33" i="3885"/>
  <c r="H32" i="3885"/>
  <c r="H31" i="3885"/>
  <c r="H14" i="3885"/>
  <c r="B29" i="3885"/>
  <c r="H30" i="3885"/>
  <c r="B28" i="3885"/>
  <c r="H13" i="3885"/>
  <c r="B27" i="3885"/>
  <c r="H29" i="3885"/>
  <c r="B26" i="3885"/>
  <c r="H28" i="3885"/>
  <c r="C25" i="3885"/>
  <c r="H27" i="3885"/>
  <c r="C24" i="3885"/>
  <c r="H26" i="3885"/>
  <c r="C23" i="3885"/>
  <c r="H25" i="3885"/>
  <c r="C22" i="3885"/>
  <c r="H24" i="3885"/>
  <c r="C21" i="3885"/>
  <c r="H23" i="3885"/>
  <c r="C20" i="3885"/>
  <c r="H12" i="3885"/>
  <c r="C19" i="3885"/>
  <c r="H22" i="3885"/>
  <c r="C18" i="3885"/>
  <c r="H21" i="3885"/>
  <c r="C17" i="3885"/>
  <c r="H20" i="3885"/>
  <c r="C16" i="3885"/>
  <c r="H19" i="3885"/>
  <c r="C15" i="3885"/>
  <c r="H18" i="3885"/>
  <c r="C14" i="3885"/>
  <c r="H17" i="3885"/>
  <c r="O12" i="3885"/>
  <c r="H16" i="3885"/>
  <c r="B12" i="3885"/>
  <c r="O11" i="3885"/>
  <c r="H15" i="3885"/>
  <c r="B11" i="3885"/>
  <c r="O10" i="3885"/>
  <c r="H8" i="3885"/>
  <c r="B10" i="3885"/>
  <c r="B13" i="3885" s="1"/>
  <c r="H11" i="3885"/>
  <c r="C9" i="3885"/>
  <c r="H10" i="3885"/>
  <c r="C8" i="3885"/>
  <c r="O7" i="3885"/>
  <c r="H7" i="3885"/>
  <c r="C7" i="3885"/>
  <c r="O6" i="3885"/>
  <c r="H6" i="3885"/>
  <c r="B6" i="3885"/>
  <c r="O5" i="3885"/>
  <c r="H4" i="3885"/>
  <c r="B5" i="3885"/>
  <c r="O4" i="3885"/>
  <c r="H2" i="3885"/>
  <c r="O3" i="3885"/>
  <c r="H9" i="3885"/>
  <c r="O2" i="3885"/>
  <c r="H3" i="3885"/>
  <c r="O23" i="3870"/>
  <c r="O21" i="3870"/>
  <c r="O19" i="3870"/>
  <c r="O18" i="3870"/>
  <c r="O15" i="3870"/>
  <c r="O19" i="3872"/>
  <c r="O17" i="3880"/>
  <c r="O23" i="3883"/>
  <c r="O21" i="3883"/>
  <c r="O19" i="3883"/>
  <c r="O18" i="3883"/>
  <c r="O17" i="3883"/>
  <c r="O16" i="3883"/>
  <c r="O15" i="3883"/>
  <c r="O27" i="3879"/>
  <c r="O20" i="3879"/>
  <c r="O18" i="3877"/>
  <c r="O15" i="3871"/>
  <c r="O23" i="3875"/>
  <c r="O19" i="3868"/>
  <c r="O26" i="3874"/>
  <c r="O23" i="3874"/>
  <c r="O15" i="3874"/>
  <c r="O17" i="3867"/>
  <c r="B13" i="3886" l="1"/>
  <c r="O16" i="3884" l="1"/>
  <c r="O15" i="3884"/>
  <c r="H52" i="3884"/>
  <c r="H5" i="3884"/>
  <c r="H51" i="3884"/>
  <c r="H50" i="3884"/>
  <c r="H49" i="3884"/>
  <c r="C48" i="3884"/>
  <c r="H48" i="3884"/>
  <c r="C47" i="3884"/>
  <c r="H47" i="3884"/>
  <c r="C46" i="3884"/>
  <c r="H46" i="3884"/>
  <c r="C45" i="3884"/>
  <c r="H45" i="3884"/>
  <c r="C44" i="3884"/>
  <c r="H44" i="3884"/>
  <c r="C43" i="3884"/>
  <c r="H43" i="3884"/>
  <c r="C42" i="3884"/>
  <c r="H42" i="3884"/>
  <c r="C41" i="3884"/>
  <c r="H41" i="3884"/>
  <c r="C40" i="3884"/>
  <c r="H40" i="3884"/>
  <c r="C39" i="3884"/>
  <c r="H39" i="3884"/>
  <c r="C38" i="3884"/>
  <c r="H38" i="3884"/>
  <c r="C37" i="3884"/>
  <c r="H37" i="3884"/>
  <c r="C36" i="3884"/>
  <c r="H36" i="3884"/>
  <c r="H35" i="3884"/>
  <c r="C34" i="3884"/>
  <c r="H34" i="3884"/>
  <c r="H33" i="3884"/>
  <c r="H32" i="3884"/>
  <c r="H31" i="3884"/>
  <c r="H30" i="3884"/>
  <c r="B29" i="3884"/>
  <c r="H29" i="3884"/>
  <c r="B28" i="3884"/>
  <c r="H13" i="3884"/>
  <c r="B27" i="3884"/>
  <c r="H28" i="3884"/>
  <c r="B26" i="3884"/>
  <c r="H27" i="3884"/>
  <c r="C25" i="3884"/>
  <c r="H12" i="3884"/>
  <c r="C24" i="3884"/>
  <c r="H26" i="3884"/>
  <c r="C23" i="3884"/>
  <c r="H25" i="3884"/>
  <c r="C22" i="3884"/>
  <c r="H11" i="3884"/>
  <c r="C21" i="3884"/>
  <c r="H24" i="3884"/>
  <c r="C20" i="3884"/>
  <c r="H10" i="3884"/>
  <c r="C19" i="3884"/>
  <c r="H23" i="3884"/>
  <c r="C18" i="3884"/>
  <c r="H22" i="3884"/>
  <c r="C17" i="3884"/>
  <c r="H21" i="3884"/>
  <c r="C16" i="3884"/>
  <c r="H20" i="3884"/>
  <c r="C15" i="3884"/>
  <c r="H19" i="3884"/>
  <c r="C14" i="3884"/>
  <c r="H18" i="3884"/>
  <c r="O12" i="3884"/>
  <c r="H17" i="3884"/>
  <c r="B12" i="3884"/>
  <c r="O11" i="3884"/>
  <c r="H16" i="3884"/>
  <c r="B11" i="3884"/>
  <c r="O10" i="3884"/>
  <c r="H2" i="3884"/>
  <c r="B10" i="3884"/>
  <c r="H15" i="3884"/>
  <c r="C9" i="3884"/>
  <c r="H14" i="3884"/>
  <c r="C8" i="3884"/>
  <c r="O7" i="3884"/>
  <c r="H9" i="3884"/>
  <c r="C7" i="3884"/>
  <c r="O6" i="3884"/>
  <c r="H8" i="3884"/>
  <c r="B6" i="3884"/>
  <c r="O5" i="3884"/>
  <c r="H7" i="3884"/>
  <c r="B5" i="3884"/>
  <c r="O4" i="3884"/>
  <c r="H4" i="3884"/>
  <c r="O3" i="3884"/>
  <c r="H6" i="3884"/>
  <c r="O2" i="3884"/>
  <c r="H3" i="3884"/>
  <c r="O25" i="3883"/>
  <c r="O22" i="3883"/>
  <c r="O20" i="3883"/>
  <c r="O24" i="3883"/>
  <c r="H52" i="3883"/>
  <c r="H5" i="3883"/>
  <c r="H23" i="3883"/>
  <c r="H51" i="3883"/>
  <c r="H50" i="3883"/>
  <c r="C48" i="3883"/>
  <c r="H49" i="3883"/>
  <c r="C47" i="3883"/>
  <c r="H48" i="3883"/>
  <c r="C46" i="3883"/>
  <c r="H47" i="3883"/>
  <c r="C45" i="3883"/>
  <c r="H46" i="3883"/>
  <c r="C44" i="3883"/>
  <c r="H45" i="3883"/>
  <c r="C43" i="3883"/>
  <c r="H44" i="3883"/>
  <c r="C42" i="3883"/>
  <c r="H43" i="3883"/>
  <c r="C41" i="3883"/>
  <c r="H42" i="3883"/>
  <c r="C40" i="3883"/>
  <c r="H41" i="3883"/>
  <c r="C39" i="3883"/>
  <c r="H40" i="3883"/>
  <c r="C38" i="3883"/>
  <c r="H39" i="3883"/>
  <c r="C37" i="3883"/>
  <c r="H38" i="3883"/>
  <c r="C36" i="3883"/>
  <c r="H37" i="3883"/>
  <c r="H36" i="3883"/>
  <c r="C34" i="3883"/>
  <c r="H22" i="3883"/>
  <c r="H35" i="3883"/>
  <c r="H34" i="3883"/>
  <c r="H21" i="3883"/>
  <c r="H16" i="3883"/>
  <c r="B29" i="3883"/>
  <c r="H33" i="3883"/>
  <c r="B28" i="3883"/>
  <c r="H8" i="3883"/>
  <c r="B27" i="3883"/>
  <c r="H32" i="3883"/>
  <c r="B26" i="3883"/>
  <c r="H31" i="3883"/>
  <c r="C25" i="3883"/>
  <c r="H13" i="3883"/>
  <c r="C24" i="3883"/>
  <c r="H30" i="3883"/>
  <c r="C23" i="3883"/>
  <c r="H29" i="3883"/>
  <c r="C22" i="3883"/>
  <c r="H15" i="3883"/>
  <c r="C21" i="3883"/>
  <c r="H28" i="3883"/>
  <c r="C20" i="3883"/>
  <c r="H14" i="3883"/>
  <c r="C19" i="3883"/>
  <c r="H27" i="3883"/>
  <c r="C18" i="3883"/>
  <c r="H20" i="3883"/>
  <c r="C17" i="3883"/>
  <c r="H17" i="3883"/>
  <c r="C16" i="3883"/>
  <c r="H26" i="3883"/>
  <c r="C15" i="3883"/>
  <c r="H25" i="3883"/>
  <c r="C14" i="3883"/>
  <c r="H24" i="3883"/>
  <c r="O12" i="3883"/>
  <c r="H19" i="3883"/>
  <c r="B12" i="3883"/>
  <c r="O11" i="3883"/>
  <c r="H18" i="3883"/>
  <c r="B11" i="3883"/>
  <c r="O10" i="3883"/>
  <c r="H3" i="3883"/>
  <c r="B10" i="3883"/>
  <c r="H12" i="3883"/>
  <c r="C9" i="3883"/>
  <c r="H10" i="3883"/>
  <c r="C8" i="3883"/>
  <c r="O7" i="3883"/>
  <c r="H11" i="3883"/>
  <c r="C7" i="3883"/>
  <c r="O6" i="3883"/>
  <c r="H6" i="3883"/>
  <c r="B6" i="3883"/>
  <c r="O5" i="3883"/>
  <c r="H7" i="3883"/>
  <c r="B5" i="3883"/>
  <c r="O4" i="3883"/>
  <c r="H2" i="3883"/>
  <c r="O3" i="3883"/>
  <c r="H9" i="3883"/>
  <c r="O2" i="3883"/>
  <c r="H4" i="3883"/>
  <c r="O16" i="3882"/>
  <c r="O15" i="3882"/>
  <c r="H52" i="3882"/>
  <c r="H7" i="3882"/>
  <c r="H51" i="3882"/>
  <c r="H50" i="3882"/>
  <c r="H49" i="3882"/>
  <c r="C48" i="3882"/>
  <c r="H48" i="3882"/>
  <c r="C47" i="3882"/>
  <c r="H47" i="3882"/>
  <c r="C46" i="3882"/>
  <c r="H46" i="3882"/>
  <c r="C45" i="3882"/>
  <c r="H45" i="3882"/>
  <c r="C44" i="3882"/>
  <c r="H44" i="3882"/>
  <c r="C43" i="3882"/>
  <c r="H43" i="3882"/>
  <c r="C42" i="3882"/>
  <c r="H42" i="3882"/>
  <c r="C41" i="3882"/>
  <c r="H41" i="3882"/>
  <c r="C40" i="3882"/>
  <c r="H40" i="3882"/>
  <c r="C39" i="3882"/>
  <c r="H39" i="3882"/>
  <c r="C38" i="3882"/>
  <c r="H38" i="3882"/>
  <c r="C37" i="3882"/>
  <c r="H37" i="3882"/>
  <c r="C36" i="3882"/>
  <c r="H36" i="3882"/>
  <c r="H35" i="3882"/>
  <c r="C34" i="3882"/>
  <c r="H34" i="3882"/>
  <c r="H33" i="3882"/>
  <c r="H32" i="3882"/>
  <c r="H31" i="3882"/>
  <c r="H30" i="3882"/>
  <c r="B29" i="3882"/>
  <c r="H29" i="3882"/>
  <c r="B28" i="3882"/>
  <c r="H28" i="3882"/>
  <c r="B27" i="3882"/>
  <c r="H27" i="3882"/>
  <c r="B26" i="3882"/>
  <c r="H26" i="3882"/>
  <c r="C25" i="3882"/>
  <c r="H25" i="3882"/>
  <c r="C24" i="3882"/>
  <c r="H24" i="3882"/>
  <c r="C23" i="3882"/>
  <c r="H23" i="3882"/>
  <c r="C22" i="3882"/>
  <c r="H22" i="3882"/>
  <c r="C21" i="3882"/>
  <c r="H21" i="3882"/>
  <c r="C20" i="3882"/>
  <c r="H6" i="3882"/>
  <c r="C19" i="3882"/>
  <c r="H20" i="3882"/>
  <c r="C18" i="3882"/>
  <c r="H19" i="3882"/>
  <c r="C17" i="3882"/>
  <c r="H18" i="3882"/>
  <c r="C16" i="3882"/>
  <c r="H17" i="3882"/>
  <c r="C15" i="3882"/>
  <c r="H16" i="3882"/>
  <c r="C14" i="3882"/>
  <c r="H15" i="3882"/>
  <c r="O12" i="3882"/>
  <c r="H14" i="3882"/>
  <c r="B12" i="3882"/>
  <c r="O11" i="3882"/>
  <c r="H13" i="3882"/>
  <c r="B11" i="3882"/>
  <c r="O10" i="3882"/>
  <c r="H12" i="3882"/>
  <c r="B10" i="3882"/>
  <c r="B13" i="3882" s="1"/>
  <c r="H11" i="3882"/>
  <c r="C9" i="3882"/>
  <c r="H10" i="3882"/>
  <c r="C8" i="3882"/>
  <c r="O7" i="3882"/>
  <c r="H9" i="3882"/>
  <c r="C7" i="3882"/>
  <c r="O6" i="3882"/>
  <c r="H5" i="3882"/>
  <c r="B6" i="3882"/>
  <c r="O5" i="3882"/>
  <c r="H4" i="3882"/>
  <c r="B5" i="3882"/>
  <c r="O4" i="3882"/>
  <c r="H2" i="3882"/>
  <c r="O3" i="3882"/>
  <c r="H8" i="3882"/>
  <c r="O2" i="3882"/>
  <c r="H3" i="3882"/>
  <c r="O22" i="3881"/>
  <c r="O21" i="3881"/>
  <c r="O17" i="3881"/>
  <c r="O20" i="3881"/>
  <c r="O19" i="3881"/>
  <c r="O18" i="3881"/>
  <c r="O16" i="3881"/>
  <c r="O15" i="3881"/>
  <c r="H52" i="3881"/>
  <c r="H7" i="3881"/>
  <c r="H51" i="3881"/>
  <c r="H50" i="3881"/>
  <c r="H49" i="3881"/>
  <c r="C48" i="3881"/>
  <c r="H48" i="3881"/>
  <c r="C47" i="3881"/>
  <c r="H47" i="3881"/>
  <c r="C46" i="3881"/>
  <c r="H46" i="3881"/>
  <c r="C45" i="3881"/>
  <c r="H45" i="3881"/>
  <c r="C44" i="3881"/>
  <c r="H44" i="3881"/>
  <c r="C43" i="3881"/>
  <c r="H43" i="3881"/>
  <c r="C42" i="3881"/>
  <c r="H42" i="3881"/>
  <c r="C41" i="3881"/>
  <c r="H41" i="3881"/>
  <c r="C40" i="3881"/>
  <c r="H40" i="3881"/>
  <c r="C39" i="3881"/>
  <c r="H39" i="3881"/>
  <c r="C38" i="3881"/>
  <c r="H38" i="3881"/>
  <c r="C37" i="3881"/>
  <c r="H37" i="3881"/>
  <c r="C36" i="3881"/>
  <c r="H36" i="3881"/>
  <c r="H35" i="3881"/>
  <c r="C34" i="3881"/>
  <c r="H34" i="3881"/>
  <c r="H33" i="3881"/>
  <c r="H32" i="3881"/>
  <c r="H31" i="3881"/>
  <c r="H30" i="3881"/>
  <c r="B29" i="3881"/>
  <c r="H29" i="3881"/>
  <c r="B28" i="3881"/>
  <c r="H8" i="3881"/>
  <c r="B27" i="3881"/>
  <c r="H28" i="3881"/>
  <c r="B26" i="3881"/>
  <c r="H27" i="3881"/>
  <c r="C25" i="3881"/>
  <c r="H11" i="3881"/>
  <c r="C24" i="3881"/>
  <c r="H26" i="3881"/>
  <c r="C23" i="3881"/>
  <c r="H25" i="3881"/>
  <c r="C22" i="3881"/>
  <c r="H14" i="3881"/>
  <c r="C21" i="3881"/>
  <c r="H24" i="3881"/>
  <c r="C20" i="3881"/>
  <c r="H18" i="3881"/>
  <c r="C19" i="3881"/>
  <c r="H23" i="3881"/>
  <c r="C18" i="3881"/>
  <c r="H17" i="3881"/>
  <c r="C17" i="3881"/>
  <c r="H13" i="3881"/>
  <c r="C16" i="3881"/>
  <c r="H15" i="3881"/>
  <c r="C15" i="3881"/>
  <c r="H22" i="3881"/>
  <c r="C14" i="3881"/>
  <c r="H21" i="3881"/>
  <c r="O12" i="3881"/>
  <c r="H20" i="3881"/>
  <c r="B12" i="3881"/>
  <c r="O11" i="3881"/>
  <c r="H19" i="3881"/>
  <c r="B11" i="3881"/>
  <c r="O10" i="3881"/>
  <c r="H2" i="3881"/>
  <c r="B10" i="3881"/>
  <c r="H16" i="3881"/>
  <c r="C9" i="3881"/>
  <c r="H12" i="3881"/>
  <c r="C8" i="3881"/>
  <c r="O7" i="3881"/>
  <c r="H9" i="3881"/>
  <c r="C7" i="3881"/>
  <c r="O6" i="3881"/>
  <c r="H6" i="3881"/>
  <c r="B6" i="3881"/>
  <c r="O5" i="3881"/>
  <c r="H5" i="3881"/>
  <c r="B5" i="3881"/>
  <c r="O4" i="3881"/>
  <c r="H3" i="3881"/>
  <c r="O3" i="3881"/>
  <c r="H10" i="3881"/>
  <c r="O2" i="3881"/>
  <c r="H4" i="3881"/>
  <c r="O22" i="3878"/>
  <c r="O16" i="3878"/>
  <c r="O15" i="3878"/>
  <c r="O28" i="3879"/>
  <c r="O17" i="3879"/>
  <c r="O15" i="3879"/>
  <c r="O16" i="3879"/>
  <c r="O24" i="3880"/>
  <c r="O25" i="3880"/>
  <c r="O18" i="3880"/>
  <c r="O15" i="3880"/>
  <c r="O22" i="3874"/>
  <c r="O17" i="3874"/>
  <c r="O28" i="3877"/>
  <c r="O21" i="3877"/>
  <c r="O20" i="3875"/>
  <c r="O15" i="3875"/>
  <c r="O16" i="3875"/>
  <c r="O25" i="3871"/>
  <c r="O29" i="3868"/>
  <c r="O20" i="3868"/>
  <c r="O17" i="3868"/>
  <c r="O32" i="3867"/>
  <c r="O26" i="3867"/>
  <c r="O18" i="3867"/>
  <c r="O19" i="3867"/>
  <c r="B13" i="3883" l="1"/>
  <c r="B13" i="3884"/>
  <c r="B13" i="3881"/>
  <c r="O20" i="3880" l="1"/>
  <c r="O19" i="3880"/>
  <c r="O22" i="3880"/>
  <c r="O23" i="3880"/>
  <c r="O26" i="3880"/>
  <c r="O16" i="3880"/>
  <c r="O21" i="3880"/>
  <c r="H52" i="3880"/>
  <c r="H6" i="3880"/>
  <c r="H16" i="3880"/>
  <c r="H51" i="3880"/>
  <c r="H50" i="3880"/>
  <c r="C48" i="3880"/>
  <c r="H49" i="3880"/>
  <c r="C47" i="3880"/>
  <c r="H48" i="3880"/>
  <c r="C46" i="3880"/>
  <c r="H47" i="3880"/>
  <c r="C45" i="3880"/>
  <c r="H24" i="3880"/>
  <c r="C44" i="3880"/>
  <c r="H46" i="3880"/>
  <c r="C43" i="3880"/>
  <c r="H45" i="3880"/>
  <c r="C42" i="3880"/>
  <c r="H44" i="3880"/>
  <c r="C41" i="3880"/>
  <c r="H43" i="3880"/>
  <c r="C40" i="3880"/>
  <c r="H42" i="3880"/>
  <c r="C39" i="3880"/>
  <c r="H41" i="3880"/>
  <c r="C38" i="3880"/>
  <c r="H40" i="3880"/>
  <c r="C37" i="3880"/>
  <c r="H39" i="3880"/>
  <c r="C36" i="3880"/>
  <c r="H38" i="3880"/>
  <c r="H37" i="3880"/>
  <c r="C34" i="3880"/>
  <c r="H36" i="3880"/>
  <c r="H35" i="3880"/>
  <c r="H34" i="3880"/>
  <c r="H33" i="3880"/>
  <c r="H21" i="3880"/>
  <c r="B29" i="3880"/>
  <c r="H32" i="3880"/>
  <c r="B28" i="3880"/>
  <c r="H10" i="3880"/>
  <c r="B27" i="3880"/>
  <c r="H31" i="3880"/>
  <c r="B26" i="3880"/>
  <c r="H20" i="3880"/>
  <c r="C25" i="3880"/>
  <c r="H13" i="3880"/>
  <c r="C24" i="3880"/>
  <c r="H23" i="3880"/>
  <c r="C23" i="3880"/>
  <c r="H30" i="3880"/>
  <c r="C22" i="3880"/>
  <c r="H15" i="3880"/>
  <c r="C21" i="3880"/>
  <c r="H29" i="3880"/>
  <c r="C20" i="3880"/>
  <c r="H19" i="3880"/>
  <c r="C19" i="3880"/>
  <c r="H28" i="3880"/>
  <c r="C18" i="3880"/>
  <c r="H17" i="3880"/>
  <c r="C17" i="3880"/>
  <c r="H14" i="3880"/>
  <c r="C16" i="3880"/>
  <c r="H27" i="3880"/>
  <c r="C15" i="3880"/>
  <c r="H26" i="3880"/>
  <c r="C14" i="3880"/>
  <c r="H22" i="3880"/>
  <c r="O12" i="3880"/>
  <c r="H25" i="3880"/>
  <c r="B12" i="3880"/>
  <c r="O11" i="3880"/>
  <c r="H18" i="3880"/>
  <c r="B11" i="3880"/>
  <c r="O10" i="3880"/>
  <c r="H4" i="3880"/>
  <c r="B10" i="3880"/>
  <c r="H12" i="3880"/>
  <c r="C9" i="3880"/>
  <c r="H9" i="3880"/>
  <c r="C8" i="3880"/>
  <c r="O7" i="3880"/>
  <c r="H8" i="3880"/>
  <c r="C7" i="3880"/>
  <c r="O6" i="3880"/>
  <c r="H5" i="3880"/>
  <c r="B6" i="3880"/>
  <c r="O5" i="3880"/>
  <c r="H7" i="3880"/>
  <c r="B5" i="3880"/>
  <c r="O4" i="3880"/>
  <c r="H2" i="3880"/>
  <c r="O3" i="3880"/>
  <c r="H11" i="3880"/>
  <c r="O2" i="3880"/>
  <c r="H3" i="3880"/>
  <c r="O26" i="3879"/>
  <c r="O25" i="3879"/>
  <c r="O22" i="3879"/>
  <c r="O19" i="3879"/>
  <c r="O23" i="3879"/>
  <c r="O24" i="3879"/>
  <c r="O21" i="3879"/>
  <c r="O18" i="3879"/>
  <c r="H52" i="3879"/>
  <c r="H5" i="3879"/>
  <c r="H20" i="3879"/>
  <c r="H51" i="3879"/>
  <c r="H50" i="3879"/>
  <c r="C48" i="3879"/>
  <c r="H49" i="3879"/>
  <c r="C47" i="3879"/>
  <c r="H48" i="3879"/>
  <c r="C46" i="3879"/>
  <c r="H47" i="3879"/>
  <c r="C45" i="3879"/>
  <c r="H46" i="3879"/>
  <c r="C44" i="3879"/>
  <c r="H45" i="3879"/>
  <c r="C43" i="3879"/>
  <c r="H44" i="3879"/>
  <c r="C42" i="3879"/>
  <c r="H43" i="3879"/>
  <c r="C41" i="3879"/>
  <c r="H42" i="3879"/>
  <c r="C40" i="3879"/>
  <c r="H29" i="3879"/>
  <c r="C39" i="3879"/>
  <c r="H41" i="3879"/>
  <c r="C38" i="3879"/>
  <c r="H40" i="3879"/>
  <c r="C37" i="3879"/>
  <c r="H39" i="3879"/>
  <c r="C36" i="3879"/>
  <c r="H38" i="3879"/>
  <c r="H37" i="3879"/>
  <c r="C34" i="3879"/>
  <c r="H36" i="3879"/>
  <c r="H35" i="3879"/>
  <c r="H28" i="3879"/>
  <c r="H23" i="3879"/>
  <c r="H17" i="3879"/>
  <c r="B29" i="3879"/>
  <c r="H27" i="3879"/>
  <c r="B28" i="3879"/>
  <c r="H9" i="3879"/>
  <c r="B27" i="3879"/>
  <c r="H26" i="3879"/>
  <c r="B26" i="3879"/>
  <c r="H30" i="3879"/>
  <c r="C25" i="3879"/>
  <c r="H14" i="3879"/>
  <c r="C24" i="3879"/>
  <c r="H19" i="3879"/>
  <c r="C23" i="3879"/>
  <c r="H34" i="3879"/>
  <c r="C22" i="3879"/>
  <c r="H13" i="3879"/>
  <c r="C21" i="3879"/>
  <c r="H33" i="3879"/>
  <c r="C20" i="3879"/>
  <c r="H16" i="3879"/>
  <c r="C19" i="3879"/>
  <c r="H32" i="3879"/>
  <c r="C18" i="3879"/>
  <c r="H18" i="3879"/>
  <c r="C17" i="3879"/>
  <c r="H15" i="3879"/>
  <c r="C16" i="3879"/>
  <c r="H25" i="3879"/>
  <c r="C15" i="3879"/>
  <c r="H31" i="3879"/>
  <c r="C14" i="3879"/>
  <c r="H22" i="3879"/>
  <c r="O12" i="3879"/>
  <c r="H24" i="3879"/>
  <c r="B12" i="3879"/>
  <c r="O11" i="3879"/>
  <c r="H21" i="3879"/>
  <c r="B11" i="3879"/>
  <c r="O10" i="3879"/>
  <c r="H3" i="3879"/>
  <c r="B10" i="3879"/>
  <c r="H11" i="3879"/>
  <c r="C9" i="3879"/>
  <c r="H12" i="3879"/>
  <c r="C8" i="3879"/>
  <c r="O7" i="3879"/>
  <c r="H8" i="3879"/>
  <c r="C7" i="3879"/>
  <c r="O6" i="3879"/>
  <c r="H7" i="3879"/>
  <c r="B6" i="3879"/>
  <c r="O5" i="3879"/>
  <c r="H6" i="3879"/>
  <c r="B5" i="3879"/>
  <c r="O4" i="3879"/>
  <c r="H2" i="3879"/>
  <c r="O3" i="3879"/>
  <c r="H10" i="3879"/>
  <c r="O2" i="3879"/>
  <c r="H4" i="3879"/>
  <c r="O21" i="3878"/>
  <c r="O19" i="3878"/>
  <c r="O20" i="3878"/>
  <c r="O18" i="3878"/>
  <c r="O17" i="3878"/>
  <c r="H52" i="3878"/>
  <c r="H13" i="3878"/>
  <c r="H51" i="3878"/>
  <c r="H50" i="3878"/>
  <c r="H49" i="3878"/>
  <c r="C48" i="3878"/>
  <c r="H48" i="3878"/>
  <c r="C47" i="3878"/>
  <c r="H47" i="3878"/>
  <c r="C46" i="3878"/>
  <c r="H46" i="3878"/>
  <c r="C45" i="3878"/>
  <c r="H45" i="3878"/>
  <c r="C44" i="3878"/>
  <c r="H44" i="3878"/>
  <c r="C43" i="3878"/>
  <c r="H43" i="3878"/>
  <c r="C42" i="3878"/>
  <c r="H42" i="3878"/>
  <c r="C41" i="3878"/>
  <c r="H41" i="3878"/>
  <c r="C40" i="3878"/>
  <c r="H40" i="3878"/>
  <c r="C39" i="3878"/>
  <c r="H39" i="3878"/>
  <c r="C38" i="3878"/>
  <c r="H38" i="3878"/>
  <c r="C37" i="3878"/>
  <c r="H37" i="3878"/>
  <c r="C36" i="3878"/>
  <c r="H36" i="3878"/>
  <c r="H35" i="3878"/>
  <c r="C34" i="3878"/>
  <c r="H34" i="3878"/>
  <c r="H33" i="3878"/>
  <c r="H32" i="3878"/>
  <c r="H31" i="3878"/>
  <c r="H14" i="3878"/>
  <c r="B29" i="3878"/>
  <c r="H30" i="3878"/>
  <c r="B28" i="3878"/>
  <c r="H7" i="3878"/>
  <c r="B27" i="3878"/>
  <c r="H29" i="3878"/>
  <c r="B26" i="3878"/>
  <c r="H28" i="3878"/>
  <c r="C25" i="3878"/>
  <c r="H10" i="3878"/>
  <c r="C24" i="3878"/>
  <c r="H27" i="3878"/>
  <c r="C23" i="3878"/>
  <c r="H26" i="3878"/>
  <c r="C22" i="3878"/>
  <c r="H25" i="3878"/>
  <c r="C21" i="3878"/>
  <c r="H24" i="3878"/>
  <c r="C20" i="3878"/>
  <c r="H23" i="3878"/>
  <c r="C19" i="3878"/>
  <c r="H22" i="3878"/>
  <c r="C18" i="3878"/>
  <c r="H21" i="3878"/>
  <c r="C17" i="3878"/>
  <c r="H20" i="3878"/>
  <c r="C16" i="3878"/>
  <c r="H19" i="3878"/>
  <c r="C15" i="3878"/>
  <c r="H18" i="3878"/>
  <c r="C14" i="3878"/>
  <c r="H17" i="3878"/>
  <c r="O12" i="3878"/>
  <c r="H16" i="3878"/>
  <c r="B12" i="3878"/>
  <c r="O11" i="3878"/>
  <c r="H15" i="3878"/>
  <c r="B11" i="3878"/>
  <c r="O10" i="3878"/>
  <c r="H4" i="3878"/>
  <c r="B10" i="3878"/>
  <c r="H12" i="3878"/>
  <c r="C9" i="3878"/>
  <c r="H9" i="3878"/>
  <c r="C8" i="3878"/>
  <c r="O7" i="3878"/>
  <c r="H8" i="3878"/>
  <c r="C7" i="3878"/>
  <c r="O6" i="3878"/>
  <c r="H6" i="3878"/>
  <c r="B6" i="3878"/>
  <c r="O5" i="3878"/>
  <c r="H5" i="3878"/>
  <c r="B5" i="3878"/>
  <c r="O4" i="3878"/>
  <c r="H3" i="3878"/>
  <c r="O3" i="3878"/>
  <c r="H11" i="3878"/>
  <c r="O2" i="3878"/>
  <c r="H2" i="3878"/>
  <c r="O27" i="3877"/>
  <c r="O22" i="3877"/>
  <c r="O26" i="3877"/>
  <c r="O25" i="3877"/>
  <c r="O24" i="3877"/>
  <c r="O19" i="3877"/>
  <c r="O20" i="3877"/>
  <c r="O23" i="3877"/>
  <c r="O17" i="3877"/>
  <c r="O15" i="3877"/>
  <c r="O16" i="3877"/>
  <c r="H52" i="3877"/>
  <c r="H7" i="3877"/>
  <c r="H17" i="3877"/>
  <c r="H51" i="3877"/>
  <c r="H50" i="3877"/>
  <c r="C48" i="3877"/>
  <c r="H49" i="3877"/>
  <c r="C47" i="3877"/>
  <c r="H48" i="3877"/>
  <c r="C46" i="3877"/>
  <c r="H47" i="3877"/>
  <c r="C45" i="3877"/>
  <c r="H46" i="3877"/>
  <c r="C44" i="3877"/>
  <c r="H45" i="3877"/>
  <c r="C43" i="3877"/>
  <c r="H44" i="3877"/>
  <c r="C42" i="3877"/>
  <c r="H43" i="3877"/>
  <c r="C41" i="3877"/>
  <c r="H42" i="3877"/>
  <c r="C40" i="3877"/>
  <c r="H41" i="3877"/>
  <c r="C39" i="3877"/>
  <c r="H40" i="3877"/>
  <c r="C38" i="3877"/>
  <c r="H39" i="3877"/>
  <c r="C37" i="3877"/>
  <c r="H38" i="3877"/>
  <c r="C36" i="3877"/>
  <c r="H32" i="3877"/>
  <c r="H37" i="3877"/>
  <c r="C34" i="3877"/>
  <c r="H31" i="3877"/>
  <c r="H36" i="3877"/>
  <c r="H26" i="3877"/>
  <c r="H20" i="3877"/>
  <c r="H16" i="3877"/>
  <c r="B29" i="3877"/>
  <c r="H27" i="3877"/>
  <c r="B28" i="3877"/>
  <c r="H8" i="3877"/>
  <c r="B27" i="3877"/>
  <c r="H30" i="3877"/>
  <c r="B26" i="3877"/>
  <c r="H28" i="3877"/>
  <c r="C25" i="3877"/>
  <c r="H12" i="3877"/>
  <c r="C24" i="3877"/>
  <c r="H25" i="3877"/>
  <c r="C23" i="3877"/>
  <c r="H24" i="3877"/>
  <c r="C22" i="3877"/>
  <c r="H14" i="3877"/>
  <c r="C21" i="3877"/>
  <c r="H35" i="3877"/>
  <c r="C20" i="3877"/>
  <c r="H18" i="3877"/>
  <c r="C19" i="3877"/>
  <c r="H34" i="3877"/>
  <c r="C18" i="3877"/>
  <c r="H19" i="3877"/>
  <c r="C17" i="3877"/>
  <c r="H15" i="3877"/>
  <c r="C16" i="3877"/>
  <c r="H23" i="3877"/>
  <c r="C15" i="3877"/>
  <c r="H33" i="3877"/>
  <c r="C14" i="3877"/>
  <c r="H22" i="3877"/>
  <c r="O12" i="3877"/>
  <c r="H29" i="3877"/>
  <c r="B12" i="3877"/>
  <c r="O11" i="3877"/>
  <c r="H21" i="3877"/>
  <c r="B11" i="3877"/>
  <c r="O10" i="3877"/>
  <c r="H3" i="3877"/>
  <c r="B10" i="3877"/>
  <c r="H13" i="3877"/>
  <c r="C9" i="3877"/>
  <c r="H11" i="3877"/>
  <c r="C8" i="3877"/>
  <c r="O7" i="3877"/>
  <c r="H9" i="3877"/>
  <c r="C7" i="3877"/>
  <c r="O6" i="3877"/>
  <c r="H6" i="3877"/>
  <c r="B6" i="3877"/>
  <c r="O5" i="3877"/>
  <c r="H5" i="3877"/>
  <c r="B5" i="3877"/>
  <c r="O4" i="3877"/>
  <c r="H2" i="3877"/>
  <c r="O3" i="3877"/>
  <c r="H10" i="3877"/>
  <c r="O2" i="3877"/>
  <c r="H4" i="3877"/>
  <c r="O15" i="3876"/>
  <c r="O21" i="3876"/>
  <c r="O19" i="3876"/>
  <c r="O20" i="3876"/>
  <c r="O18" i="3876"/>
  <c r="O17" i="3876"/>
  <c r="O16" i="3876"/>
  <c r="H52" i="3876"/>
  <c r="H10" i="3876"/>
  <c r="H16" i="3876"/>
  <c r="H51" i="3876"/>
  <c r="H50" i="3876"/>
  <c r="C48" i="3876"/>
  <c r="H49" i="3876"/>
  <c r="C47" i="3876"/>
  <c r="H48" i="3876"/>
  <c r="C46" i="3876"/>
  <c r="H47" i="3876"/>
  <c r="C45" i="3876"/>
  <c r="H46" i="3876"/>
  <c r="C44" i="3876"/>
  <c r="H45" i="3876"/>
  <c r="C43" i="3876"/>
  <c r="H44" i="3876"/>
  <c r="C42" i="3876"/>
  <c r="H43" i="3876"/>
  <c r="C41" i="3876"/>
  <c r="H42" i="3876"/>
  <c r="C40" i="3876"/>
  <c r="H41" i="3876"/>
  <c r="C39" i="3876"/>
  <c r="H40" i="3876"/>
  <c r="C38" i="3876"/>
  <c r="H39" i="3876"/>
  <c r="C37" i="3876"/>
  <c r="H38" i="3876"/>
  <c r="C36" i="3876"/>
  <c r="H37" i="3876"/>
  <c r="H36" i="3876"/>
  <c r="C34" i="3876"/>
  <c r="H35" i="3876"/>
  <c r="H34" i="3876"/>
  <c r="H33" i="3876"/>
  <c r="H20" i="3876"/>
  <c r="H19" i="3876"/>
  <c r="B29" i="3876"/>
  <c r="H32" i="3876"/>
  <c r="B28" i="3876"/>
  <c r="H7" i="3876"/>
  <c r="B27" i="3876"/>
  <c r="H31" i="3876"/>
  <c r="B26" i="3876"/>
  <c r="H30" i="3876"/>
  <c r="C25" i="3876"/>
  <c r="H18" i="3876"/>
  <c r="C24" i="3876"/>
  <c r="H29" i="3876"/>
  <c r="C23" i="3876"/>
  <c r="H28" i="3876"/>
  <c r="C22" i="3876"/>
  <c r="H15" i="3876"/>
  <c r="C21" i="3876"/>
  <c r="H27" i="3876"/>
  <c r="C20" i="3876"/>
  <c r="H26" i="3876"/>
  <c r="C19" i="3876"/>
  <c r="H25" i="3876"/>
  <c r="C18" i="3876"/>
  <c r="H14" i="3876"/>
  <c r="C17" i="3876"/>
  <c r="H13" i="3876"/>
  <c r="C16" i="3876"/>
  <c r="H24" i="3876"/>
  <c r="C15" i="3876"/>
  <c r="H23" i="3876"/>
  <c r="C14" i="3876"/>
  <c r="H22" i="3876"/>
  <c r="B13" i="3876"/>
  <c r="O12" i="3876"/>
  <c r="H21" i="3876"/>
  <c r="B12" i="3876"/>
  <c r="O11" i="3876"/>
  <c r="H17" i="3876"/>
  <c r="B11" i="3876"/>
  <c r="O10" i="3876"/>
  <c r="H3" i="3876"/>
  <c r="B10" i="3876"/>
  <c r="H12" i="3876"/>
  <c r="C9" i="3876"/>
  <c r="H11" i="3876"/>
  <c r="C8" i="3876"/>
  <c r="O7" i="3876"/>
  <c r="H9" i="3876"/>
  <c r="C7" i="3876"/>
  <c r="O6" i="3876"/>
  <c r="H6" i="3876"/>
  <c r="B6" i="3876"/>
  <c r="O5" i="3876"/>
  <c r="H5" i="3876"/>
  <c r="B5" i="3876"/>
  <c r="O4" i="3876"/>
  <c r="H2" i="3876"/>
  <c r="O3" i="3876"/>
  <c r="H8" i="3876"/>
  <c r="O2" i="3876"/>
  <c r="H4" i="3876"/>
  <c r="O27" i="3875"/>
  <c r="O24" i="3875"/>
  <c r="O25" i="3875"/>
  <c r="O26" i="3875"/>
  <c r="O17" i="3875"/>
  <c r="O18" i="3875"/>
  <c r="O22" i="3875"/>
  <c r="O21" i="3875"/>
  <c r="O19" i="3875"/>
  <c r="H52" i="3875"/>
  <c r="H5" i="3875"/>
  <c r="H20" i="3875"/>
  <c r="H51" i="3875"/>
  <c r="H50" i="3875"/>
  <c r="C48" i="3875"/>
  <c r="H49" i="3875"/>
  <c r="C47" i="3875"/>
  <c r="H48" i="3875"/>
  <c r="C46" i="3875"/>
  <c r="H47" i="3875"/>
  <c r="C45" i="3875"/>
  <c r="H46" i="3875"/>
  <c r="C44" i="3875"/>
  <c r="H45" i="3875"/>
  <c r="C43" i="3875"/>
  <c r="H44" i="3875"/>
  <c r="C42" i="3875"/>
  <c r="H43" i="3875"/>
  <c r="C41" i="3875"/>
  <c r="H42" i="3875"/>
  <c r="C40" i="3875"/>
  <c r="H41" i="3875"/>
  <c r="C39" i="3875"/>
  <c r="H40" i="3875"/>
  <c r="C38" i="3875"/>
  <c r="H39" i="3875"/>
  <c r="C37" i="3875"/>
  <c r="H38" i="3875"/>
  <c r="C36" i="3875"/>
  <c r="H37" i="3875"/>
  <c r="H36" i="3875"/>
  <c r="C34" i="3875"/>
  <c r="H32" i="3875"/>
  <c r="H35" i="3875"/>
  <c r="H26" i="3875"/>
  <c r="H24" i="3875"/>
  <c r="H17" i="3875"/>
  <c r="B29" i="3875"/>
  <c r="H28" i="3875"/>
  <c r="B28" i="3875"/>
  <c r="H9" i="3875"/>
  <c r="B27" i="3875"/>
  <c r="H31" i="3875"/>
  <c r="B26" i="3875"/>
  <c r="H27" i="3875"/>
  <c r="C25" i="3875"/>
  <c r="H13" i="3875"/>
  <c r="C24" i="3875"/>
  <c r="H30" i="3875"/>
  <c r="C23" i="3875"/>
  <c r="H25" i="3875"/>
  <c r="C22" i="3875"/>
  <c r="H14" i="3875"/>
  <c r="C21" i="3875"/>
  <c r="H34" i="3875"/>
  <c r="C20" i="3875"/>
  <c r="H16" i="3875"/>
  <c r="C19" i="3875"/>
  <c r="H33" i="3875"/>
  <c r="C18" i="3875"/>
  <c r="H18" i="3875"/>
  <c r="C17" i="3875"/>
  <c r="H15" i="3875"/>
  <c r="C16" i="3875"/>
  <c r="H19" i="3875"/>
  <c r="C15" i="3875"/>
  <c r="H29" i="3875"/>
  <c r="C14" i="3875"/>
  <c r="H23" i="3875"/>
  <c r="O12" i="3875"/>
  <c r="H22" i="3875"/>
  <c r="B12" i="3875"/>
  <c r="O11" i="3875"/>
  <c r="H21" i="3875"/>
  <c r="B11" i="3875"/>
  <c r="O10" i="3875"/>
  <c r="H3" i="3875"/>
  <c r="B10" i="3875"/>
  <c r="H12" i="3875"/>
  <c r="C9" i="3875"/>
  <c r="H10" i="3875"/>
  <c r="C8" i="3875"/>
  <c r="O7" i="3875"/>
  <c r="H8" i="3875"/>
  <c r="C7" i="3875"/>
  <c r="O6" i="3875"/>
  <c r="H6" i="3875"/>
  <c r="B6" i="3875"/>
  <c r="O5" i="3875"/>
  <c r="H7" i="3875"/>
  <c r="B5" i="3875"/>
  <c r="O4" i="3875"/>
  <c r="H2" i="3875"/>
  <c r="O3" i="3875"/>
  <c r="H11" i="3875"/>
  <c r="O2" i="3875"/>
  <c r="H4" i="3875"/>
  <c r="O25" i="3874"/>
  <c r="O20" i="3874"/>
  <c r="O24" i="3874"/>
  <c r="O16" i="3874"/>
  <c r="O21" i="3874"/>
  <c r="O18" i="3874"/>
  <c r="O19" i="3874"/>
  <c r="H52" i="3874"/>
  <c r="H5" i="3874"/>
  <c r="H51" i="3874"/>
  <c r="H50" i="3874"/>
  <c r="H49" i="3874"/>
  <c r="C48" i="3874"/>
  <c r="H48" i="3874"/>
  <c r="C47" i="3874"/>
  <c r="H47" i="3874"/>
  <c r="C46" i="3874"/>
  <c r="H46" i="3874"/>
  <c r="C45" i="3874"/>
  <c r="H45" i="3874"/>
  <c r="C44" i="3874"/>
  <c r="H44" i="3874"/>
  <c r="C43" i="3874"/>
  <c r="H43" i="3874"/>
  <c r="C42" i="3874"/>
  <c r="H42" i="3874"/>
  <c r="C41" i="3874"/>
  <c r="H41" i="3874"/>
  <c r="C40" i="3874"/>
  <c r="H40" i="3874"/>
  <c r="C39" i="3874"/>
  <c r="H39" i="3874"/>
  <c r="C38" i="3874"/>
  <c r="H38" i="3874"/>
  <c r="C37" i="3874"/>
  <c r="H37" i="3874"/>
  <c r="C36" i="3874"/>
  <c r="H36" i="3874"/>
  <c r="H35" i="3874"/>
  <c r="C34" i="3874"/>
  <c r="H34" i="3874"/>
  <c r="H33" i="3874"/>
  <c r="H24" i="3874"/>
  <c r="H32" i="3874"/>
  <c r="H18" i="3874"/>
  <c r="B29" i="3874"/>
  <c r="H27" i="3874"/>
  <c r="B28" i="3874"/>
  <c r="H12" i="3874"/>
  <c r="B27" i="3874"/>
  <c r="H23" i="3874"/>
  <c r="B26" i="3874"/>
  <c r="H22" i="3874"/>
  <c r="C25" i="3874"/>
  <c r="H14" i="3874"/>
  <c r="C24" i="3874"/>
  <c r="H31" i="3874"/>
  <c r="C23" i="3874"/>
  <c r="H26" i="3874"/>
  <c r="C22" i="3874"/>
  <c r="H13" i="3874"/>
  <c r="C21" i="3874"/>
  <c r="H30" i="3874"/>
  <c r="C20" i="3874"/>
  <c r="H15" i="3874"/>
  <c r="C19" i="3874"/>
  <c r="H29" i="3874"/>
  <c r="C18" i="3874"/>
  <c r="H17" i="3874"/>
  <c r="C17" i="3874"/>
  <c r="H16" i="3874"/>
  <c r="C16" i="3874"/>
  <c r="H21" i="3874"/>
  <c r="C15" i="3874"/>
  <c r="H28" i="3874"/>
  <c r="C14" i="3874"/>
  <c r="H20" i="3874"/>
  <c r="O12" i="3874"/>
  <c r="H19" i="3874"/>
  <c r="B12" i="3874"/>
  <c r="O11" i="3874"/>
  <c r="H25" i="3874"/>
  <c r="B11" i="3874"/>
  <c r="O10" i="3874"/>
  <c r="H3" i="3874"/>
  <c r="B10" i="3874"/>
  <c r="H10" i="3874"/>
  <c r="C9" i="3874"/>
  <c r="H11" i="3874"/>
  <c r="C8" i="3874"/>
  <c r="O7" i="3874"/>
  <c r="H8" i="3874"/>
  <c r="C7" i="3874"/>
  <c r="O6" i="3874"/>
  <c r="H6" i="3874"/>
  <c r="B6" i="3874"/>
  <c r="O5" i="3874"/>
  <c r="H7" i="3874"/>
  <c r="B5" i="3874"/>
  <c r="O4" i="3874"/>
  <c r="H2" i="3874"/>
  <c r="O3" i="3874"/>
  <c r="H9" i="3874"/>
  <c r="O2" i="3874"/>
  <c r="H4" i="3874"/>
  <c r="O19" i="3873"/>
  <c r="O18" i="3873"/>
  <c r="O17" i="3873"/>
  <c r="O16" i="3873"/>
  <c r="O15" i="3873"/>
  <c r="H52" i="3873"/>
  <c r="H51" i="3873"/>
  <c r="H50" i="3873"/>
  <c r="H49" i="3873"/>
  <c r="H48" i="3873"/>
  <c r="C48" i="3873"/>
  <c r="H47" i="3873"/>
  <c r="C47" i="3873"/>
  <c r="H46" i="3873"/>
  <c r="C46" i="3873"/>
  <c r="H45" i="3873"/>
  <c r="C45" i="3873"/>
  <c r="H44" i="3873"/>
  <c r="C44" i="3873"/>
  <c r="H43" i="3873"/>
  <c r="C43" i="3873"/>
  <c r="H42" i="3873"/>
  <c r="C42" i="3873"/>
  <c r="H41" i="3873"/>
  <c r="C41" i="3873"/>
  <c r="H40" i="3873"/>
  <c r="C40" i="3873"/>
  <c r="H39" i="3873"/>
  <c r="C39" i="3873"/>
  <c r="H38" i="3873"/>
  <c r="C38" i="3873"/>
  <c r="H37" i="3873"/>
  <c r="C37" i="3873"/>
  <c r="H36" i="3873"/>
  <c r="C36" i="3873"/>
  <c r="H35" i="3873"/>
  <c r="H34" i="3873"/>
  <c r="C34" i="3873"/>
  <c r="H33" i="3873"/>
  <c r="H32" i="3873"/>
  <c r="H31" i="3873"/>
  <c r="H30" i="3873"/>
  <c r="H29" i="3873"/>
  <c r="B29" i="3873"/>
  <c r="H28" i="3873"/>
  <c r="B28" i="3873"/>
  <c r="H27" i="3873"/>
  <c r="B27" i="3873"/>
  <c r="H26" i="3873"/>
  <c r="B26" i="3873"/>
  <c r="H25" i="3873"/>
  <c r="C25" i="3873"/>
  <c r="H10" i="3873"/>
  <c r="C24" i="3873"/>
  <c r="H24" i="3873"/>
  <c r="C23" i="3873"/>
  <c r="H23" i="3873"/>
  <c r="C22" i="3873"/>
  <c r="H22" i="3873"/>
  <c r="C21" i="3873"/>
  <c r="H21" i="3873"/>
  <c r="C20" i="3873"/>
  <c r="H20" i="3873"/>
  <c r="C19" i="3873"/>
  <c r="H19" i="3873"/>
  <c r="C18" i="3873"/>
  <c r="H7" i="3873"/>
  <c r="C17" i="3873"/>
  <c r="H18" i="3873"/>
  <c r="C16" i="3873"/>
  <c r="H17" i="3873"/>
  <c r="C15" i="3873"/>
  <c r="H16" i="3873"/>
  <c r="C14" i="3873"/>
  <c r="H15" i="3873"/>
  <c r="O12" i="3873"/>
  <c r="H14" i="3873"/>
  <c r="B12" i="3873"/>
  <c r="O11" i="3873"/>
  <c r="H13" i="3873"/>
  <c r="B11" i="3873"/>
  <c r="O10" i="3873"/>
  <c r="H4" i="3873"/>
  <c r="B10" i="3873"/>
  <c r="H12" i="3873"/>
  <c r="C9" i="3873"/>
  <c r="H11" i="3873"/>
  <c r="C8" i="3873"/>
  <c r="O7" i="3873"/>
  <c r="H9" i="3873"/>
  <c r="C7" i="3873"/>
  <c r="O6" i="3873"/>
  <c r="H5" i="3873"/>
  <c r="B6" i="3873"/>
  <c r="O5" i="3873"/>
  <c r="H6" i="3873"/>
  <c r="B5" i="3873"/>
  <c r="O4" i="3873"/>
  <c r="H8" i="3873"/>
  <c r="O3" i="3873"/>
  <c r="H3" i="3873"/>
  <c r="O2" i="3873"/>
  <c r="H2" i="3873"/>
  <c r="O23" i="3872"/>
  <c r="O25" i="3872"/>
  <c r="O22" i="3872"/>
  <c r="O18" i="3872"/>
  <c r="O15" i="3872"/>
  <c r="O20" i="3872"/>
  <c r="O24" i="3872"/>
  <c r="O17" i="3872"/>
  <c r="O21" i="3872"/>
  <c r="O16" i="3872"/>
  <c r="O26" i="3872"/>
  <c r="H52" i="3872"/>
  <c r="H7" i="3872"/>
  <c r="H51" i="3872"/>
  <c r="H50" i="3872"/>
  <c r="H49" i="3872"/>
  <c r="C48" i="3872"/>
  <c r="H48" i="3872"/>
  <c r="C47" i="3872"/>
  <c r="H47" i="3872"/>
  <c r="C46" i="3872"/>
  <c r="H46" i="3872"/>
  <c r="C45" i="3872"/>
  <c r="H45" i="3872"/>
  <c r="C44" i="3872"/>
  <c r="H44" i="3872"/>
  <c r="C43" i="3872"/>
  <c r="H43" i="3872"/>
  <c r="C42" i="3872"/>
  <c r="H42" i="3872"/>
  <c r="C41" i="3872"/>
  <c r="H41" i="3872"/>
  <c r="C40" i="3872"/>
  <c r="H40" i="3872"/>
  <c r="C39" i="3872"/>
  <c r="H39" i="3872"/>
  <c r="C38" i="3872"/>
  <c r="H38" i="3872"/>
  <c r="C37" i="3872"/>
  <c r="H37" i="3872"/>
  <c r="C36" i="3872"/>
  <c r="H23" i="3872"/>
  <c r="H36" i="3872"/>
  <c r="C34" i="3872"/>
  <c r="H35" i="3872"/>
  <c r="H34" i="3872"/>
  <c r="H22" i="3872"/>
  <c r="H33" i="3872"/>
  <c r="H17" i="3872"/>
  <c r="B29" i="3872"/>
  <c r="H32" i="3872"/>
  <c r="B28" i="3872"/>
  <c r="H11" i="3872"/>
  <c r="B27" i="3872"/>
  <c r="H31" i="3872"/>
  <c r="B26" i="3872"/>
  <c r="H30" i="3872"/>
  <c r="C25" i="3872"/>
  <c r="H16" i="3872"/>
  <c r="C24" i="3872"/>
  <c r="H29" i="3872"/>
  <c r="C23" i="3872"/>
  <c r="H28" i="3872"/>
  <c r="C22" i="3872"/>
  <c r="H9" i="3872"/>
  <c r="C21" i="3872"/>
  <c r="H27" i="3872"/>
  <c r="C20" i="3872"/>
  <c r="H14" i="3872"/>
  <c r="C19" i="3872"/>
  <c r="H26" i="3872"/>
  <c r="C18" i="3872"/>
  <c r="H15" i="3872"/>
  <c r="C17" i="3872"/>
  <c r="H21" i="3872"/>
  <c r="C16" i="3872"/>
  <c r="H25" i="3872"/>
  <c r="C15" i="3872"/>
  <c r="H24" i="3872"/>
  <c r="C14" i="3872"/>
  <c r="H20" i="3872"/>
  <c r="O12" i="3872"/>
  <c r="H19" i="3872"/>
  <c r="B12" i="3872"/>
  <c r="O11" i="3872"/>
  <c r="H18" i="3872"/>
  <c r="B11" i="3872"/>
  <c r="O10" i="3872"/>
  <c r="H3" i="3872"/>
  <c r="B10" i="3872"/>
  <c r="H13" i="3872"/>
  <c r="C9" i="3872"/>
  <c r="H10" i="3872"/>
  <c r="C8" i="3872"/>
  <c r="O7" i="3872"/>
  <c r="H8" i="3872"/>
  <c r="C7" i="3872"/>
  <c r="O6" i="3872"/>
  <c r="H5" i="3872"/>
  <c r="B6" i="3872"/>
  <c r="O5" i="3872"/>
  <c r="H6" i="3872"/>
  <c r="B5" i="3872"/>
  <c r="O4" i="3872"/>
  <c r="H2" i="3872"/>
  <c r="O3" i="3872"/>
  <c r="H12" i="3872"/>
  <c r="O2" i="3872"/>
  <c r="H4" i="3872"/>
  <c r="O26" i="3871"/>
  <c r="O22" i="3871"/>
  <c r="O23" i="3871"/>
  <c r="O21" i="3871"/>
  <c r="O24" i="3871"/>
  <c r="O20" i="3871"/>
  <c r="O18" i="3871"/>
  <c r="O17" i="3871"/>
  <c r="O19" i="3871"/>
  <c r="O16" i="3871"/>
  <c r="H52" i="3871"/>
  <c r="H7" i="3871"/>
  <c r="H19" i="3871"/>
  <c r="H51" i="3871"/>
  <c r="H50" i="3871"/>
  <c r="C48" i="3871"/>
  <c r="H49" i="3871"/>
  <c r="C47" i="3871"/>
  <c r="H48" i="3871"/>
  <c r="C46" i="3871"/>
  <c r="H47" i="3871"/>
  <c r="C45" i="3871"/>
  <c r="H46" i="3871"/>
  <c r="C44" i="3871"/>
  <c r="H45" i="3871"/>
  <c r="C43" i="3871"/>
  <c r="H44" i="3871"/>
  <c r="C42" i="3871"/>
  <c r="H43" i="3871"/>
  <c r="C41" i="3871"/>
  <c r="H42" i="3871"/>
  <c r="C40" i="3871"/>
  <c r="H41" i="3871"/>
  <c r="C39" i="3871"/>
  <c r="H40" i="3871"/>
  <c r="C38" i="3871"/>
  <c r="H39" i="3871"/>
  <c r="C37" i="3871"/>
  <c r="H38" i="3871"/>
  <c r="C36" i="3871"/>
  <c r="H37" i="3871"/>
  <c r="H36" i="3871"/>
  <c r="C34" i="3871"/>
  <c r="H31" i="3871"/>
  <c r="H35" i="3871"/>
  <c r="H30" i="3871"/>
  <c r="H22" i="3871"/>
  <c r="H17" i="3871"/>
  <c r="B29" i="3871"/>
  <c r="H34" i="3871"/>
  <c r="B28" i="3871"/>
  <c r="H10" i="3871"/>
  <c r="B27" i="3871"/>
  <c r="H26" i="3871"/>
  <c r="B26" i="3871"/>
  <c r="H29" i="3871"/>
  <c r="C25" i="3871"/>
  <c r="H12" i="3871"/>
  <c r="C24" i="3871"/>
  <c r="H25" i="3871"/>
  <c r="C23" i="3871"/>
  <c r="H24" i="3871"/>
  <c r="C22" i="3871"/>
  <c r="H13" i="3871"/>
  <c r="C21" i="3871"/>
  <c r="H33" i="3871"/>
  <c r="C20" i="3871"/>
  <c r="H15" i="3871"/>
  <c r="C19" i="3871"/>
  <c r="H28" i="3871"/>
  <c r="C18" i="3871"/>
  <c r="H18" i="3871"/>
  <c r="C17" i="3871"/>
  <c r="H16" i="3871"/>
  <c r="C16" i="3871"/>
  <c r="H27" i="3871"/>
  <c r="C15" i="3871"/>
  <c r="H32" i="3871"/>
  <c r="C14" i="3871"/>
  <c r="H20" i="3871"/>
  <c r="O12" i="3871"/>
  <c r="H23" i="3871"/>
  <c r="B12" i="3871"/>
  <c r="O11" i="3871"/>
  <c r="H21" i="3871"/>
  <c r="B11" i="3871"/>
  <c r="O10" i="3871"/>
  <c r="H4" i="3871"/>
  <c r="B10" i="3871"/>
  <c r="H14" i="3871"/>
  <c r="C9" i="3871"/>
  <c r="H11" i="3871"/>
  <c r="C8" i="3871"/>
  <c r="O7" i="3871"/>
  <c r="H8" i="3871"/>
  <c r="C7" i="3871"/>
  <c r="O6" i="3871"/>
  <c r="H5" i="3871"/>
  <c r="B6" i="3871"/>
  <c r="O5" i="3871"/>
  <c r="H6" i="3871"/>
  <c r="B5" i="3871"/>
  <c r="O4" i="3871"/>
  <c r="H2" i="3871"/>
  <c r="O3" i="3871"/>
  <c r="H9" i="3871"/>
  <c r="O2" i="3871"/>
  <c r="H3" i="3871"/>
  <c r="O20" i="3870"/>
  <c r="O22" i="3870"/>
  <c r="O17" i="3870"/>
  <c r="O16" i="3870"/>
  <c r="H52" i="3870"/>
  <c r="H7" i="3870"/>
  <c r="H51" i="3870"/>
  <c r="H50" i="3870"/>
  <c r="H49" i="3870"/>
  <c r="C48" i="3870"/>
  <c r="H48" i="3870"/>
  <c r="C47" i="3870"/>
  <c r="H47" i="3870"/>
  <c r="C46" i="3870"/>
  <c r="H46" i="3870"/>
  <c r="C45" i="3870"/>
  <c r="H45" i="3870"/>
  <c r="C44" i="3870"/>
  <c r="H44" i="3870"/>
  <c r="C43" i="3870"/>
  <c r="H43" i="3870"/>
  <c r="C42" i="3870"/>
  <c r="H42" i="3870"/>
  <c r="C41" i="3870"/>
  <c r="H41" i="3870"/>
  <c r="C40" i="3870"/>
  <c r="H40" i="3870"/>
  <c r="C39" i="3870"/>
  <c r="H39" i="3870"/>
  <c r="C38" i="3870"/>
  <c r="H38" i="3870"/>
  <c r="C37" i="3870"/>
  <c r="H37" i="3870"/>
  <c r="C36" i="3870"/>
  <c r="H36" i="3870"/>
  <c r="H35" i="3870"/>
  <c r="C34" i="3870"/>
  <c r="H34" i="3870"/>
  <c r="H33" i="3870"/>
  <c r="H32" i="3870"/>
  <c r="H31" i="3870"/>
  <c r="H30" i="3870"/>
  <c r="B29" i="3870"/>
  <c r="H29" i="3870"/>
  <c r="B28" i="3870"/>
  <c r="H11" i="3870"/>
  <c r="B27" i="3870"/>
  <c r="H28" i="3870"/>
  <c r="B26" i="3870"/>
  <c r="H27" i="3870"/>
  <c r="C25" i="3870"/>
  <c r="H17" i="3870"/>
  <c r="C24" i="3870"/>
  <c r="H16" i="3870"/>
  <c r="C23" i="3870"/>
  <c r="H26" i="3870"/>
  <c r="C22" i="3870"/>
  <c r="H12" i="3870"/>
  <c r="C21" i="3870"/>
  <c r="H25" i="3870"/>
  <c r="C20" i="3870"/>
  <c r="H24" i="3870"/>
  <c r="C19" i="3870"/>
  <c r="H23" i="3870"/>
  <c r="C18" i="3870"/>
  <c r="H15" i="3870"/>
  <c r="C17" i="3870"/>
  <c r="H22" i="3870"/>
  <c r="C16" i="3870"/>
  <c r="H21" i="3870"/>
  <c r="C15" i="3870"/>
  <c r="H20" i="3870"/>
  <c r="C14" i="3870"/>
  <c r="H14" i="3870"/>
  <c r="O12" i="3870"/>
  <c r="H19" i="3870"/>
  <c r="B12" i="3870"/>
  <c r="O11" i="3870"/>
  <c r="H18" i="3870"/>
  <c r="B11" i="3870"/>
  <c r="O10" i="3870"/>
  <c r="H5" i="3870"/>
  <c r="B10" i="3870"/>
  <c r="H13" i="3870"/>
  <c r="C9" i="3870"/>
  <c r="H10" i="3870"/>
  <c r="C8" i="3870"/>
  <c r="O7" i="3870"/>
  <c r="H9" i="3870"/>
  <c r="C7" i="3870"/>
  <c r="O6" i="3870"/>
  <c r="H6" i="3870"/>
  <c r="B6" i="3870"/>
  <c r="O5" i="3870"/>
  <c r="H4" i="3870"/>
  <c r="B5" i="3870"/>
  <c r="O4" i="3870"/>
  <c r="H2" i="3870"/>
  <c r="O3" i="3870"/>
  <c r="H8" i="3870"/>
  <c r="O2" i="3870"/>
  <c r="H3" i="3870"/>
  <c r="O17" i="3869"/>
  <c r="O16" i="3869"/>
  <c r="O15" i="3869"/>
  <c r="H52" i="3869"/>
  <c r="H51" i="3869"/>
  <c r="H50" i="3869"/>
  <c r="H49" i="3869"/>
  <c r="H48" i="3869"/>
  <c r="C48" i="3869"/>
  <c r="H47" i="3869"/>
  <c r="C47" i="3869"/>
  <c r="H46" i="3869"/>
  <c r="C46" i="3869"/>
  <c r="H45" i="3869"/>
  <c r="C45" i="3869"/>
  <c r="H44" i="3869"/>
  <c r="C44" i="3869"/>
  <c r="H43" i="3869"/>
  <c r="C43" i="3869"/>
  <c r="H42" i="3869"/>
  <c r="C42" i="3869"/>
  <c r="H41" i="3869"/>
  <c r="C41" i="3869"/>
  <c r="H40" i="3869"/>
  <c r="C40" i="3869"/>
  <c r="H39" i="3869"/>
  <c r="C39" i="3869"/>
  <c r="H38" i="3869"/>
  <c r="C38" i="3869"/>
  <c r="H37" i="3869"/>
  <c r="C37" i="3869"/>
  <c r="H36" i="3869"/>
  <c r="C36" i="3869"/>
  <c r="H35" i="3869"/>
  <c r="H34" i="3869"/>
  <c r="C34" i="3869"/>
  <c r="H33" i="3869"/>
  <c r="H32" i="3869"/>
  <c r="H31" i="3869"/>
  <c r="H30" i="3869"/>
  <c r="H29" i="3869"/>
  <c r="B29" i="3869"/>
  <c r="H28" i="3869"/>
  <c r="B28" i="3869"/>
  <c r="H27" i="3869"/>
  <c r="B27" i="3869"/>
  <c r="H26" i="3869"/>
  <c r="B26" i="3869"/>
  <c r="H25" i="3869"/>
  <c r="C25" i="3869"/>
  <c r="H24" i="3869"/>
  <c r="C24" i="3869"/>
  <c r="H23" i="3869"/>
  <c r="C23" i="3869"/>
  <c r="H22" i="3869"/>
  <c r="C22" i="3869"/>
  <c r="H21" i="3869"/>
  <c r="C21" i="3869"/>
  <c r="H20" i="3869"/>
  <c r="C20" i="3869"/>
  <c r="H19" i="3869"/>
  <c r="C19" i="3869"/>
  <c r="H18" i="3869"/>
  <c r="C18" i="3869"/>
  <c r="H17" i="3869"/>
  <c r="C17" i="3869"/>
  <c r="H16" i="3869"/>
  <c r="C16" i="3869"/>
  <c r="H15" i="3869"/>
  <c r="C15" i="3869"/>
  <c r="H14" i="3869"/>
  <c r="C14" i="3869"/>
  <c r="H13" i="3869"/>
  <c r="O12" i="3869"/>
  <c r="H12" i="3869"/>
  <c r="B12" i="3869"/>
  <c r="O11" i="3869"/>
  <c r="H11" i="3869"/>
  <c r="B11" i="3869"/>
  <c r="O10" i="3869"/>
  <c r="H10" i="3869"/>
  <c r="B10" i="3869"/>
  <c r="H9" i="3869"/>
  <c r="C9" i="3869"/>
  <c r="H8" i="3869"/>
  <c r="C8" i="3869"/>
  <c r="O7" i="3869"/>
  <c r="H7" i="3869"/>
  <c r="C7" i="3869"/>
  <c r="O6" i="3869"/>
  <c r="H6" i="3869"/>
  <c r="B6" i="3869"/>
  <c r="O5" i="3869"/>
  <c r="H5" i="3869"/>
  <c r="B5" i="3869"/>
  <c r="O4" i="3869"/>
  <c r="H4" i="3869"/>
  <c r="O3" i="3869"/>
  <c r="H3" i="3869"/>
  <c r="O2" i="3869"/>
  <c r="H2" i="3869"/>
  <c r="O26" i="3868"/>
  <c r="O25" i="3868"/>
  <c r="O18" i="3868"/>
  <c r="O27" i="3868"/>
  <c r="O24" i="3868"/>
  <c r="O28" i="3868"/>
  <c r="O22" i="3868"/>
  <c r="O21" i="3868"/>
  <c r="O23" i="3868"/>
  <c r="O16" i="3868"/>
  <c r="O15" i="3868"/>
  <c r="H52" i="3868"/>
  <c r="H7" i="3868"/>
  <c r="H16" i="3868"/>
  <c r="H51" i="3868"/>
  <c r="H50" i="3868"/>
  <c r="C48" i="3868"/>
  <c r="H49" i="3868"/>
  <c r="C47" i="3868"/>
  <c r="H48" i="3868"/>
  <c r="C46" i="3868"/>
  <c r="H47" i="3868"/>
  <c r="C45" i="3868"/>
  <c r="H32" i="3868"/>
  <c r="C44" i="3868"/>
  <c r="H46" i="3868"/>
  <c r="C43" i="3868"/>
  <c r="H45" i="3868"/>
  <c r="C42" i="3868"/>
  <c r="H44" i="3868"/>
  <c r="C41" i="3868"/>
  <c r="H43" i="3868"/>
  <c r="C40" i="3868"/>
  <c r="H42" i="3868"/>
  <c r="C39" i="3868"/>
  <c r="H41" i="3868"/>
  <c r="C38" i="3868"/>
  <c r="H40" i="3868"/>
  <c r="C37" i="3868"/>
  <c r="H39" i="3868"/>
  <c r="C36" i="3868"/>
  <c r="H38" i="3868"/>
  <c r="H37" i="3868"/>
  <c r="C34" i="3868"/>
  <c r="H30" i="3868"/>
  <c r="H36" i="3868"/>
  <c r="H31" i="3868"/>
  <c r="H21" i="3868"/>
  <c r="H18" i="3868"/>
  <c r="B29" i="3868"/>
  <c r="H26" i="3868"/>
  <c r="B28" i="3868"/>
  <c r="H8" i="3868"/>
  <c r="B27" i="3868"/>
  <c r="H29" i="3868"/>
  <c r="B26" i="3868"/>
  <c r="H28" i="3868"/>
  <c r="C25" i="3868"/>
  <c r="H12" i="3868"/>
  <c r="C24" i="3868"/>
  <c r="H20" i="3868"/>
  <c r="C23" i="3868"/>
  <c r="H27" i="3868"/>
  <c r="C22" i="3868"/>
  <c r="H14" i="3868"/>
  <c r="C21" i="3868"/>
  <c r="H35" i="3868"/>
  <c r="C20" i="3868"/>
  <c r="H17" i="3868"/>
  <c r="C19" i="3868"/>
  <c r="H34" i="3868"/>
  <c r="C18" i="3868"/>
  <c r="H19" i="3868"/>
  <c r="C17" i="3868"/>
  <c r="H15" i="3868"/>
  <c r="C16" i="3868"/>
  <c r="H22" i="3868"/>
  <c r="C15" i="3868"/>
  <c r="H33" i="3868"/>
  <c r="C14" i="3868"/>
  <c r="H23" i="3868"/>
  <c r="O12" i="3868"/>
  <c r="H25" i="3868"/>
  <c r="B12" i="3868"/>
  <c r="O11" i="3868"/>
  <c r="H24" i="3868"/>
  <c r="B11" i="3868"/>
  <c r="O10" i="3868"/>
  <c r="H3" i="3868"/>
  <c r="B10" i="3868"/>
  <c r="H13" i="3868"/>
  <c r="C9" i="3868"/>
  <c r="H11" i="3868"/>
  <c r="C8" i="3868"/>
  <c r="O7" i="3868"/>
  <c r="H9" i="3868"/>
  <c r="C7" i="3868"/>
  <c r="O6" i="3868"/>
  <c r="H5" i="3868"/>
  <c r="B6" i="3868"/>
  <c r="O5" i="3868"/>
  <c r="H6" i="3868"/>
  <c r="B5" i="3868"/>
  <c r="O4" i="3868"/>
  <c r="H2" i="3868"/>
  <c r="O3" i="3868"/>
  <c r="H10" i="3868"/>
  <c r="O2" i="3868"/>
  <c r="H4" i="3868"/>
  <c r="O31" i="3867"/>
  <c r="O30" i="3867"/>
  <c r="O27" i="3867"/>
  <c r="O24" i="3867"/>
  <c r="O29" i="3867"/>
  <c r="O28" i="3867"/>
  <c r="O23" i="3867"/>
  <c r="O21" i="3867"/>
  <c r="O22" i="3867"/>
  <c r="O25" i="3867"/>
  <c r="O20" i="3867"/>
  <c r="O16" i="3867"/>
  <c r="O15" i="3867"/>
  <c r="H52" i="3867"/>
  <c r="H6" i="3867"/>
  <c r="H19" i="3867"/>
  <c r="H51" i="3867"/>
  <c r="H50" i="3867"/>
  <c r="C48" i="3867"/>
  <c r="H49" i="3867"/>
  <c r="C47" i="3867"/>
  <c r="H48" i="3867"/>
  <c r="C46" i="3867"/>
  <c r="H47" i="3867"/>
  <c r="C45" i="3867"/>
  <c r="H32" i="3867"/>
  <c r="C44" i="3867"/>
  <c r="H46" i="3867"/>
  <c r="C43" i="3867"/>
  <c r="H45" i="3867"/>
  <c r="C42" i="3867"/>
  <c r="H44" i="3867"/>
  <c r="C41" i="3867"/>
  <c r="H43" i="3867"/>
  <c r="C40" i="3867"/>
  <c r="H34" i="3867"/>
  <c r="C39" i="3867"/>
  <c r="H42" i="3867"/>
  <c r="C38" i="3867"/>
  <c r="H41" i="3867"/>
  <c r="C37" i="3867"/>
  <c r="H40" i="3867"/>
  <c r="C36" i="3867"/>
  <c r="H33" i="3867"/>
  <c r="H39" i="3867"/>
  <c r="C34" i="3867"/>
  <c r="H31" i="3867"/>
  <c r="H38" i="3867"/>
  <c r="H27" i="3867"/>
  <c r="H22" i="3867"/>
  <c r="H17" i="3867"/>
  <c r="B29" i="3867"/>
  <c r="H29" i="3867"/>
  <c r="B28" i="3867"/>
  <c r="H9" i="3867"/>
  <c r="B27" i="3867"/>
  <c r="H30" i="3867"/>
  <c r="B26" i="3867"/>
  <c r="H28" i="3867"/>
  <c r="C25" i="3867"/>
  <c r="H13" i="3867"/>
  <c r="C24" i="3867"/>
  <c r="H24" i="3867"/>
  <c r="C23" i="3867"/>
  <c r="H26" i="3867"/>
  <c r="C22" i="3867"/>
  <c r="H14" i="3867"/>
  <c r="C21" i="3867"/>
  <c r="H37" i="3867"/>
  <c r="C20" i="3867"/>
  <c r="H16" i="3867"/>
  <c r="C19" i="3867"/>
  <c r="H36" i="3867"/>
  <c r="C18" i="3867"/>
  <c r="H18" i="3867"/>
  <c r="C17" i="3867"/>
  <c r="H15" i="3867"/>
  <c r="C16" i="3867"/>
  <c r="H23" i="3867"/>
  <c r="C15" i="3867"/>
  <c r="H35" i="3867"/>
  <c r="C14" i="3867"/>
  <c r="H20" i="3867"/>
  <c r="O12" i="3867"/>
  <c r="H25" i="3867"/>
  <c r="B12" i="3867"/>
  <c r="O11" i="3867"/>
  <c r="H21" i="3867"/>
  <c r="B11" i="3867"/>
  <c r="O10" i="3867"/>
  <c r="H3" i="3867"/>
  <c r="B10" i="3867"/>
  <c r="H12" i="3867"/>
  <c r="C9" i="3867"/>
  <c r="H11" i="3867"/>
  <c r="C8" i="3867"/>
  <c r="O7" i="3867"/>
  <c r="H8" i="3867"/>
  <c r="C7" i="3867"/>
  <c r="O6" i="3867"/>
  <c r="H5" i="3867"/>
  <c r="B6" i="3867"/>
  <c r="O5" i="3867"/>
  <c r="H7" i="3867"/>
  <c r="B5" i="3867"/>
  <c r="O4" i="3867"/>
  <c r="H2" i="3867"/>
  <c r="O3" i="3867"/>
  <c r="H10" i="3867"/>
  <c r="O2" i="3867"/>
  <c r="H4" i="3867"/>
  <c r="B13" i="3872" l="1"/>
  <c r="B13" i="3875"/>
  <c r="B13" i="3867"/>
  <c r="B13" i="3880"/>
  <c r="B13" i="3879"/>
  <c r="B13" i="3878"/>
  <c r="B13" i="3877"/>
  <c r="B13" i="3874"/>
  <c r="B13" i="3873"/>
  <c r="B13" i="3871"/>
  <c r="B13" i="3870"/>
  <c r="B13" i="3869"/>
  <c r="B13" i="3868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<sst xmlns="http://schemas.openxmlformats.org/spreadsheetml/2006/main" count="4364" uniqueCount="207">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</sst>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全体!$K$2:$K$3080</c:f>
              <c:numCache>
                <c:formatCode>General</c:formatCode>
                <c:ptCount val="30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</c:numCache>
            </c:numRef>
          </c:xVal>
          <c:yVal>
            <c:numRef>
              <c:f>全体!$L$2:$L$3080</c:f>
              <c:numCache>
                <c:formatCode>\+0.0;\-0.0;\±0</c:formatCode>
                <c:ptCount val="307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8-4871-94F6-BC30E5DBC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-21.262675825973176</c:v>
                </c:pt>
                <c:pt idx="1">
                  <c:v>-0.33534540576794097</c:v>
                </c:pt>
                <c:pt idx="2">
                  <c:v>6.0735977134690957</c:v>
                </c:pt>
                <c:pt idx="3">
                  <c:v>2.3282887077997674</c:v>
                </c:pt>
                <c:pt idx="4">
                  <c:v>1.7226528854435832</c:v>
                </c:pt>
                <c:pt idx="5">
                  <c:v>19.517205957883924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D-4A10-AF0A-D155FA363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487</c:v>
                </c:pt>
                <c:pt idx="1">
                  <c:v>1072</c:v>
                </c:pt>
                <c:pt idx="2">
                  <c:v>1328</c:v>
                </c:pt>
                <c:pt idx="3">
                  <c:v>1310</c:v>
                </c:pt>
                <c:pt idx="4">
                  <c:v>1094</c:v>
                </c:pt>
                <c:pt idx="5">
                  <c:v>713</c:v>
                </c:pt>
                <c:pt idx="6">
                  <c:v>419</c:v>
                </c:pt>
                <c:pt idx="7">
                  <c:v>234</c:v>
                </c:pt>
                <c:pt idx="8">
                  <c:v>133</c:v>
                </c:pt>
                <c:pt idx="9">
                  <c:v>63</c:v>
                </c:pt>
                <c:pt idx="10">
                  <c:v>36</c:v>
                </c:pt>
                <c:pt idx="11">
                  <c:v>15</c:v>
                </c:pt>
                <c:pt idx="1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1-4E22-9EAC-B2FBE8783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だいち!$K$2:$K$712</c:f>
              <c:numCache>
                <c:formatCode>General</c:formatCode>
                <c:ptCount val="7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</c:numCache>
            </c:numRef>
          </c:xVal>
          <c:yVal>
            <c:numRef>
              <c:f>だいち!$L$2:$L$712</c:f>
              <c:numCache>
                <c:formatCode>\+0.0;\-0.0;\±0</c:formatCode>
                <c:ptCount val="71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2-4CA8-9BF8-E9C63AAD5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1304.5454545454545</c:v>
                </c:pt>
                <c:pt idx="1">
                  <c:v>1365.8892128279883</c:v>
                </c:pt>
                <c:pt idx="2">
                  <c:v>1351.761102603369</c:v>
                </c:pt>
                <c:pt idx="3">
                  <c:v>1533.0550918196996</c:v>
                </c:pt>
                <c:pt idx="4">
                  <c:v>1375.4646840148698</c:v>
                </c:pt>
                <c:pt idx="5">
                  <c:v>1532.4384787472036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B-40CC-8473-8A8C6D88F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124</c:v>
                </c:pt>
                <c:pt idx="1">
                  <c:v>257</c:v>
                </c:pt>
                <c:pt idx="2">
                  <c:v>346</c:v>
                </c:pt>
                <c:pt idx="3">
                  <c:v>353</c:v>
                </c:pt>
                <c:pt idx="4">
                  <c:v>265</c:v>
                </c:pt>
                <c:pt idx="5">
                  <c:v>192</c:v>
                </c:pt>
                <c:pt idx="6">
                  <c:v>119</c:v>
                </c:pt>
                <c:pt idx="7">
                  <c:v>55</c:v>
                </c:pt>
                <c:pt idx="8">
                  <c:v>35</c:v>
                </c:pt>
                <c:pt idx="9">
                  <c:v>15</c:v>
                </c:pt>
                <c:pt idx="10">
                  <c:v>9</c:v>
                </c:pt>
                <c:pt idx="11">
                  <c:v>3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58-4F8B-906E-B0FC0776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3-489B-8E64-AA415C933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3-4E6D-86B1-B7D1B0F8C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F-4AB2-928D-313E3C184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ともき!$L$2:$L$26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4-4512-8986-33AAD585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-3958.3333333333335</c:v>
                </c:pt>
                <c:pt idx="1">
                  <c:v>-1260.8695652173913</c:v>
                </c:pt>
                <c:pt idx="2">
                  <c:v>-2678.2608695652175</c:v>
                </c:pt>
                <c:pt idx="3">
                  <c:v>1652.6315789473683</c:v>
                </c:pt>
                <c:pt idx="4">
                  <c:v>1317.6470588235295</c:v>
                </c:pt>
                <c:pt idx="5">
                  <c:v>846.66666666666663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E-4E8D-9540-A072E4AD5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5-4030-97FE-1ECA2C0EF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りくと!$K$2:$K$428</c:f>
              <c:numCache>
                <c:formatCode>General</c:formatCode>
                <c:ptCount val="4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</c:numCache>
            </c:numRef>
          </c:xVal>
          <c:yVal>
            <c:numRef>
              <c:f>りくと!$L$2:$L$428</c:f>
              <c:numCache>
                <c:formatCode>\+0.0;\-0.0;\±0</c:formatCode>
                <c:ptCount val="42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91-41DE-B7D7-89761CBF7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-366.66666666666669</c:v>
                </c:pt>
                <c:pt idx="1">
                  <c:v>-1131.4769975786926</c:v>
                </c:pt>
                <c:pt idx="2">
                  <c:v>273.02798982188295</c:v>
                </c:pt>
                <c:pt idx="3">
                  <c:v>-679.55801104972375</c:v>
                </c:pt>
                <c:pt idx="4">
                  <c:v>-1095.0769230769231</c:v>
                </c:pt>
                <c:pt idx="5">
                  <c:v>-1003.956834532374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41-4136-BA16-A59742FA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49</c:v>
                </c:pt>
                <c:pt idx="1">
                  <c:v>113</c:v>
                </c:pt>
                <c:pt idx="2">
                  <c:v>174</c:v>
                </c:pt>
                <c:pt idx="3">
                  <c:v>158</c:v>
                </c:pt>
                <c:pt idx="4">
                  <c:v>145</c:v>
                </c:pt>
                <c:pt idx="5">
                  <c:v>99</c:v>
                </c:pt>
                <c:pt idx="6">
                  <c:v>63</c:v>
                </c:pt>
                <c:pt idx="7">
                  <c:v>31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80-4F97-BE73-CE3BF6F92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E-4AA9-9583-6469E7044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8-4505-BEAD-27D721FB2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E-4CCC-B3A8-AF72B072C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1-46D5-8C57-9FA502A7C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C-4CC5-A384-81FA4A932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4-4320-A9BE-1FA08F29C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たかの!$L$2:$L$287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F-4575-88D3-6ED9ADEB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310.5263157894737</c:v>
                </c:pt>
                <c:pt idx="1">
                  <c:v>-1831.6546762589928</c:v>
                </c:pt>
                <c:pt idx="2">
                  <c:v>-1646.1240310077519</c:v>
                </c:pt>
                <c:pt idx="3">
                  <c:v>-9.0163934426229506</c:v>
                </c:pt>
                <c:pt idx="4">
                  <c:v>-833.77777777777783</c:v>
                </c:pt>
                <c:pt idx="5">
                  <c:v>-1286.5591397849462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4-4E21-8857-B44578BBF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71</c:v>
                </c:pt>
                <c:pt idx="1">
                  <c:v>143</c:v>
                </c:pt>
                <c:pt idx="2">
                  <c:v>131</c:v>
                </c:pt>
                <c:pt idx="3">
                  <c:v>131</c:v>
                </c:pt>
                <c:pt idx="4">
                  <c:v>92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A-4CDD-BB17-39D722555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ただ!$K$2:$K$506</c:f>
              <c:numCache>
                <c:formatCode>General</c:formatCode>
                <c:ptCount val="5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</c:numCache>
            </c:numRef>
          </c:xVal>
          <c:yVal>
            <c:numRef>
              <c:f>ただ!$L$2:$L$506</c:f>
              <c:numCache>
                <c:formatCode>\+0.0;\-0.0;\±0</c:formatCode>
                <c:ptCount val="50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F6-4FFD-8750-1602FE2DA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-639.27855711422842</c:v>
                </c:pt>
                <c:pt idx="1">
                  <c:v>-40.082644628099175</c:v>
                </c:pt>
                <c:pt idx="2">
                  <c:v>340.87912087912088</c:v>
                </c:pt>
                <c:pt idx="3">
                  <c:v>-1104.2352941176471</c:v>
                </c:pt>
                <c:pt idx="4">
                  <c:v>-214.39790575916231</c:v>
                </c:pt>
                <c:pt idx="5">
                  <c:v>149.08536585365854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22-43AC-A86B-870A5C4C3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81</c:v>
                </c:pt>
                <c:pt idx="1">
                  <c:v>207</c:v>
                </c:pt>
                <c:pt idx="2">
                  <c:v>256</c:v>
                </c:pt>
                <c:pt idx="3">
                  <c:v>230</c:v>
                </c:pt>
                <c:pt idx="4">
                  <c:v>167</c:v>
                </c:pt>
                <c:pt idx="5">
                  <c:v>107</c:v>
                </c:pt>
                <c:pt idx="6">
                  <c:v>52</c:v>
                </c:pt>
                <c:pt idx="7">
                  <c:v>37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C-4DF9-98BC-DACF513F8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05-479A-B99D-369041916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5-4A08-BFB6-400604802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6-41F9-9077-6CC08C871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れんたろう!$K$2:$K$410</c:f>
              <c:numCache>
                <c:formatCode>General</c:formatCode>
                <c:ptCount val="4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</c:numCache>
            </c:numRef>
          </c:xVal>
          <c:yVal>
            <c:numRef>
              <c:f>れんたろう!$L$2:$L$410</c:f>
              <c:numCache>
                <c:formatCode>\+0.0;\-0.0;\±0</c:formatCode>
                <c:ptCount val="40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2-490F-8A14-AE6CAECD3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567.24565756823824</c:v>
                </c:pt>
                <c:pt idx="1">
                  <c:v>-423.85786802030458</c:v>
                </c:pt>
                <c:pt idx="2">
                  <c:v>363.63636363636363</c:v>
                </c:pt>
                <c:pt idx="3">
                  <c:v>916.10942249240122</c:v>
                </c:pt>
                <c:pt idx="4">
                  <c:v>-810.03344481605347</c:v>
                </c:pt>
                <c:pt idx="5">
                  <c:v>395.91836734693879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D-49D8-A5D5-5CA3CF00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93</c:v>
                </c:pt>
                <c:pt idx="2">
                  <c:v>139</c:v>
                </c:pt>
                <c:pt idx="3">
                  <c:v>180</c:v>
                </c:pt>
                <c:pt idx="4">
                  <c:v>175</c:v>
                </c:pt>
                <c:pt idx="5">
                  <c:v>114</c:v>
                </c:pt>
                <c:pt idx="6">
                  <c:v>71</c:v>
                </c:pt>
                <c:pt idx="7">
                  <c:v>48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0-40DD-A1AF-D205E908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DB-45F0-820E-BCB728681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2-4941-99EB-097226EAB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6-4668-98F7-24FF003FF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まっつん!$K$2:$K$330</c:f>
              <c:numCache>
                <c:formatCode>General</c:formatCode>
                <c:ptCount val="3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</c:numCache>
            </c:numRef>
          </c:xVal>
          <c:yVal>
            <c:numRef>
              <c:f>まっつん!$L$2:$L$330</c:f>
              <c:numCache>
                <c:formatCode>\+0.0;\-0.0;\±0</c:formatCode>
                <c:ptCount val="32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C9-4461-ADE5-394CD3204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-204.57317073170731</c:v>
                </c:pt>
                <c:pt idx="1">
                  <c:v>710.28037383177571</c:v>
                </c:pt>
                <c:pt idx="2">
                  <c:v>-514.38127090300998</c:v>
                </c:pt>
                <c:pt idx="3">
                  <c:v>-202.53623188405797</c:v>
                </c:pt>
                <c:pt idx="4">
                  <c:v>-969.6</c:v>
                </c:pt>
                <c:pt idx="5">
                  <c:v>-348.8038277511962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D-4D45-92E3-531EA2CB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114</c:v>
                </c:pt>
                <c:pt idx="2">
                  <c:v>131</c:v>
                </c:pt>
                <c:pt idx="3">
                  <c:v>130</c:v>
                </c:pt>
                <c:pt idx="4">
                  <c:v>111</c:v>
                </c:pt>
                <c:pt idx="5">
                  <c:v>76</c:v>
                </c:pt>
                <c:pt idx="6">
                  <c:v>42</c:v>
                </c:pt>
                <c:pt idx="7">
                  <c:v>19</c:v>
                </c:pt>
                <c:pt idx="8">
                  <c:v>14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B-48B0-B007-192A2D1F4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ぱぱ!$L$2:$L$111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1-48D4-8A10-7EB97EA02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-2530.8411214953271</c:v>
                </c:pt>
                <c:pt idx="1">
                  <c:v>-653.77358490566041</c:v>
                </c:pt>
                <c:pt idx="2">
                  <c:v>-1280.1980198019803</c:v>
                </c:pt>
                <c:pt idx="3">
                  <c:v>-3147.3118279569894</c:v>
                </c:pt>
                <c:pt idx="4">
                  <c:v>867.07317073170736</c:v>
                </c:pt>
                <c:pt idx="5">
                  <c:v>-184.93150684931507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3-40BC-9A83-024A92955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47</c:v>
                </c:pt>
                <c:pt idx="2">
                  <c:v>44</c:v>
                </c:pt>
                <c:pt idx="3">
                  <c:v>40</c:v>
                </c:pt>
                <c:pt idx="4">
                  <c:v>39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1-4F7E-B2EE-6C60A3024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4-4E56-8502-EF2F7E012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8-4380-A2BD-4E50E1DC4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E-4D4A-A3EC-1675250FD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A-48F7-9C21-3BB45D189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6-4358-A154-7218C550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D-4E29-B132-216BE41DE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のり!$L$2:$L$90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BF-49B6-B02E-234F7396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-3678.409090909091</c:v>
                </c:pt>
                <c:pt idx="1">
                  <c:v>185.05747126436782</c:v>
                </c:pt>
                <c:pt idx="2">
                  <c:v>-1114.8148148148148</c:v>
                </c:pt>
                <c:pt idx="3">
                  <c:v>-1126.027397260274</c:v>
                </c:pt>
                <c:pt idx="4">
                  <c:v>-1716.1764705882354</c:v>
                </c:pt>
                <c:pt idx="5">
                  <c:v>-2250.909090909091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5E-440F-80A6-17BD55A3B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32</c:v>
                </c:pt>
                <c:pt idx="2">
                  <c:v>36</c:v>
                </c:pt>
                <c:pt idx="3">
                  <c:v>32</c:v>
                </c:pt>
                <c:pt idx="4">
                  <c:v>26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8-48B8-A6D1-44275F50D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8C-48F7-A8A7-4F4F6BCA2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30-4DC1-9A88-420C3EAA4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5A-43A0-A647-9EFFDC678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3-402E-86FF-91C058D29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F-416E-A7CA-04EE8579A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A-494F-B070-D2D634AB9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3-4707-9327-72EE12E17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799-BC66-F61129832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B-47CA-AED9-70D72D654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2BA77F-C15A-46B9-9703-BD54386A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3FFB51-2BA0-4B94-A5AF-911E327C5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2196CDD-4E77-4939-A280-49B52410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084151-25E8-425F-86E3-470D43428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5CBC06-DF69-4723-BA02-F41E1C987C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7414E3-8BFD-4C19-B2C9-2A71C1FA1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49CAEF-7D82-41EC-8ED8-6CF809BCC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2DFF25-5C76-4EF3-8512-99244D64C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4481594-84CE-460E-B261-928DC0E4C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06A331-D37A-40EE-80C1-15756B2B2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07150A-8C32-4EA9-B998-72DA389B4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CFAA0E-DC8B-452F-A404-2247E4579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585265-F4D9-46B2-9F8A-160C5911C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CC29F6-9411-427E-8DCF-6A0BC1FAD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DD1F44-C3CB-4EB6-AE65-DCF2B3762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2E3096-A644-4363-BB96-88C42C40B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143298-DB81-4DC2-A16C-AE5EAF12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EEDB8E-8E0C-408F-B8B5-C2105B550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0B3208-EDF2-4328-86C8-26621A0B41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1C635B-8F46-4312-B802-9B405E766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B2EA85-85C9-4E24-878E-2A232C9C2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693CB7-7E5B-4392-9379-52ED44564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D19F03-3533-4579-9B83-9E604EA65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D8F691-B74B-46BC-8611-ED5E4F8E5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194B26-F497-4D76-8C2C-7BD802F74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451F92-3451-42B0-8351-D1ACCCC96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730448A-B64E-43E9-B4C0-1762FFE64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5CFBE7-4564-4B09-88B2-420FB4439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A7D2A0-01C1-41A6-AAB6-05BC24C1C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B7636C8-A603-41FB-9D70-9ACF75947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1C6F3C-0331-4E75-9EEF-699E78084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F6A4E9-F68D-4C5F-9524-553A5C60F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B4C795B-4253-47F0-B11E-05804089D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924491-3462-4973-BC18-7AB4061BB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A80B1E-7E8F-43E5-A92A-8C3869D6E3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2E5431-FF6E-42B0-B8CC-A23049653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C6B763-F246-40D5-9336-11D9F3DC4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AE8529-9AB3-4194-90E6-2AE7EE37F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46218C-B837-4D67-9B66-9F05348B37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82B227-565F-4088-99A6-E8D1DA7D5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2EB92F-B822-49F6-8E55-40EF6AB70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28E529-FC58-486E-9FFD-A5850C924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88E9F5-57CF-4BB1-B036-D92CED913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26369A-6A21-49ED-B409-0167E10B2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05ECB2-0195-4496-A6B3-E5077A3A7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207CA4-D327-4065-8C99-06AD28F0D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0E9041-36C9-4119-8A07-AECD0A4B2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6F8A5E-2E33-4E2B-8A8E-5938EE355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E7E5AC-936D-4C93-A90B-7347141EB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D8AFA0-A76D-4140-BF4C-D6A12BAE3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6549AA-65F2-4ABD-9161-E4E3942E5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1EB2F2-E976-419B-9622-7925C60C58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6BDADF-BE99-414A-AD31-CF5BDA099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83A192-A72C-4569-BBD0-500F61F30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B029E0-3CF4-4B17-B55A-0BF59995D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8901F9-8535-453C-89D7-932D8B22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5FDD55-EC9C-42B6-AACF-90C132632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AE9E5A-2F38-4EDA-BBA6-3E4826E0B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061088-1C79-4E1D-A4C6-0F708118A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FFBD98-73F5-4499-B9D0-E79858A597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41"/>
      <c r="C1" s="142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43">
        <v>0</v>
      </c>
      <c r="C3" s="14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45">
        <v>0</v>
      </c>
      <c r="C4" s="14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9">
        <f>IF(B$2=0,0,B$4/B$2)</f>
        <v>0</v>
      </c>
      <c r="C5" s="140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37">
        <f>IF(B$2=0,0,(B$7*1+B$8*2+B$9*3)/B$2)</f>
        <v>0</v>
      </c>
      <c r="C6" s="138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35">
        <v>0</v>
      </c>
      <c r="C32" s="136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3">
        <v>-1000000</v>
      </c>
      <c r="C33" s="134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8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47" t="s">
        <v>9</v>
      </c>
      <c r="C1" s="148"/>
      <c r="D1" s="151" t="s">
        <v>6</v>
      </c>
      <c r="E1" s="152"/>
      <c r="F1" s="151" t="s">
        <v>7</v>
      </c>
      <c r="G1" s="152"/>
      <c r="H1" s="147" t="s">
        <v>206</v>
      </c>
      <c r="I1" s="148"/>
      <c r="J1" s="151" t="s">
        <v>15</v>
      </c>
      <c r="K1" s="152"/>
      <c r="L1" s="151" t="s">
        <v>14</v>
      </c>
      <c r="M1" s="152"/>
      <c r="N1" s="151" t="s">
        <v>147</v>
      </c>
      <c r="O1" s="152"/>
      <c r="P1" s="151" t="s">
        <v>137</v>
      </c>
      <c r="Q1" s="152"/>
      <c r="R1" s="151" t="s">
        <v>138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139</v>
      </c>
      <c r="AG1" s="152"/>
      <c r="AH1" s="151" t="s">
        <v>136</v>
      </c>
      <c r="AI1" s="152"/>
      <c r="AJ1" s="151" t="s">
        <v>177</v>
      </c>
      <c r="AK1" s="152"/>
    </row>
    <row r="2" spans="1:37" x14ac:dyDescent="0.45">
      <c r="A2" s="46" t="s">
        <v>146</v>
      </c>
      <c r="B2" s="149">
        <v>0.49634490423063887</v>
      </c>
      <c r="C2" s="150"/>
      <c r="D2" s="153"/>
      <c r="E2" s="154"/>
      <c r="F2" s="153"/>
      <c r="G2" s="154"/>
      <c r="H2" s="149">
        <v>0.27194757088866645</v>
      </c>
      <c r="I2" s="150"/>
      <c r="J2" s="149">
        <v>0.77203122957330095</v>
      </c>
      <c r="K2" s="150"/>
      <c r="L2" s="149">
        <v>0.61833872897883779</v>
      </c>
      <c r="M2" s="150"/>
      <c r="N2" s="149">
        <v>0.61640424232938085</v>
      </c>
      <c r="O2" s="150"/>
      <c r="P2" s="149">
        <v>0.59465807499384027</v>
      </c>
      <c r="Q2" s="150"/>
      <c r="R2" s="149">
        <v>0.3960919251956872</v>
      </c>
      <c r="S2" s="150"/>
      <c r="T2" s="149">
        <v>0.23549163455398392</v>
      </c>
      <c r="U2" s="150"/>
      <c r="V2" s="149">
        <v>-4.3343282711594065E-2</v>
      </c>
      <c r="W2" s="150"/>
      <c r="X2" s="149">
        <v>0.37101984400414029</v>
      </c>
      <c r="Y2" s="150"/>
      <c r="Z2" s="149">
        <v>0.2489046408675914</v>
      </c>
      <c r="AA2" s="150"/>
      <c r="AB2" s="149">
        <v>-1.1105634745049782E-2</v>
      </c>
      <c r="AC2" s="150"/>
      <c r="AD2" s="149">
        <v>0.40753865606337147</v>
      </c>
      <c r="AE2" s="150"/>
      <c r="AF2" s="149">
        <v>0.30364051332264064</v>
      </c>
      <c r="AG2" s="150"/>
      <c r="AH2" s="149">
        <v>-0.3365738524952977</v>
      </c>
      <c r="AI2" s="150"/>
      <c r="AJ2" s="149">
        <v>0.57882889702856966</v>
      </c>
      <c r="AK2" s="150"/>
    </row>
    <row r="3" spans="1:37" x14ac:dyDescent="0.45">
      <c r="A3" s="48">
        <v>1</v>
      </c>
      <c r="B3" s="51" t="s">
        <v>183</v>
      </c>
      <c r="C3" s="127">
        <v>1026</v>
      </c>
      <c r="D3" s="49" t="s">
        <v>195</v>
      </c>
      <c r="E3" s="50">
        <v>6718.9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-7370.0507614213202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0.68181818181818177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8">
        <v>710</v>
      </c>
      <c r="D4" s="57" t="s">
        <v>191</v>
      </c>
      <c r="E4" s="58">
        <v>563.20000000000039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1.7605633802816902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0.34472432622864191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7.746478873239436E-2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186</v>
      </c>
      <c r="AI4" s="62">
        <v>0.52845528455284552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8">
        <v>504</v>
      </c>
      <c r="D5" s="57" t="s">
        <v>196</v>
      </c>
      <c r="E5" s="58">
        <v>109</v>
      </c>
      <c r="F5" s="59" t="s">
        <v>195</v>
      </c>
      <c r="G5" s="71">
        <v>9.4632394366197179</v>
      </c>
      <c r="H5" s="59" t="s">
        <v>191</v>
      </c>
      <c r="I5" s="71">
        <v>2.075391522058188</v>
      </c>
      <c r="J5" s="59" t="s">
        <v>199</v>
      </c>
      <c r="K5" s="60">
        <v>1.9285714285714286</v>
      </c>
      <c r="L5" s="59" t="s">
        <v>195</v>
      </c>
      <c r="M5" s="61">
        <v>0.46619718309859154</v>
      </c>
      <c r="N5" s="59" t="s">
        <v>195</v>
      </c>
      <c r="O5" s="61">
        <v>0.22676056338028169</v>
      </c>
      <c r="P5" s="59" t="s">
        <v>202</v>
      </c>
      <c r="Q5" s="62">
        <v>0.33333333333333331</v>
      </c>
      <c r="R5" s="59" t="s">
        <v>195</v>
      </c>
      <c r="S5" s="62">
        <v>0.13880570723973931</v>
      </c>
      <c r="T5" s="59" t="s">
        <v>191</v>
      </c>
      <c r="U5" s="63">
        <v>10588.770053475935</v>
      </c>
      <c r="V5" s="59" t="s">
        <v>186</v>
      </c>
      <c r="W5" s="63">
        <v>-8094.5355191256831</v>
      </c>
      <c r="X5" s="59" t="s">
        <v>188</v>
      </c>
      <c r="Y5" s="61">
        <v>0.10877192982456141</v>
      </c>
      <c r="Z5" s="59" t="s">
        <v>201</v>
      </c>
      <c r="AA5" s="62">
        <v>0.375</v>
      </c>
      <c r="AB5" s="59" t="s">
        <v>194</v>
      </c>
      <c r="AC5" s="62">
        <v>0.27777777777777779</v>
      </c>
      <c r="AD5" s="59" t="s">
        <v>196</v>
      </c>
      <c r="AE5" s="62">
        <v>0.61538461538461542</v>
      </c>
      <c r="AF5" s="59" t="s">
        <v>195</v>
      </c>
      <c r="AG5" s="62">
        <v>0.48761742100768574</v>
      </c>
      <c r="AH5" s="59" t="s">
        <v>189</v>
      </c>
      <c r="AI5" s="62">
        <v>0.51666666666666672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190</v>
      </c>
      <c r="C6" s="128">
        <v>426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0.14739992517770295</v>
      </c>
      <c r="T6" s="59" t="s">
        <v>202</v>
      </c>
      <c r="U6" s="63">
        <v>9534.6153846153848</v>
      </c>
      <c r="V6" s="59" t="s">
        <v>184</v>
      </c>
      <c r="W6" s="63">
        <v>-8240</v>
      </c>
      <c r="X6" s="59" t="s">
        <v>196</v>
      </c>
      <c r="Y6" s="61">
        <v>0.1111111111111111</v>
      </c>
      <c r="Z6" s="59" t="s">
        <v>189</v>
      </c>
      <c r="AA6" s="62">
        <v>0.35675675675675678</v>
      </c>
      <c r="AB6" s="59" t="s">
        <v>188</v>
      </c>
      <c r="AC6" s="62">
        <v>0.27592425608656446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191</v>
      </c>
      <c r="C7" s="128">
        <v>408</v>
      </c>
      <c r="D7" s="57" t="s">
        <v>200</v>
      </c>
      <c r="E7" s="58">
        <v>13.3</v>
      </c>
      <c r="F7" s="59" t="s">
        <v>191</v>
      </c>
      <c r="G7" s="71">
        <v>1.380392156862746</v>
      </c>
      <c r="H7" s="59" t="s">
        <v>187</v>
      </c>
      <c r="I7" s="71">
        <v>0.98072798072798406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197</v>
      </c>
      <c r="W7" s="63">
        <v>-8292.753623188406</v>
      </c>
      <c r="X7" s="59" t="s">
        <v>193</v>
      </c>
      <c r="Y7" s="61">
        <v>0.11507936507936507</v>
      </c>
      <c r="Z7" s="59" t="s">
        <v>191</v>
      </c>
      <c r="AA7" s="62">
        <v>0.29581795817958179</v>
      </c>
      <c r="AB7" s="59" t="s">
        <v>193</v>
      </c>
      <c r="AC7" s="62">
        <v>0.24428822495606328</v>
      </c>
      <c r="AD7" s="59" t="s">
        <v>195</v>
      </c>
      <c r="AE7" s="62">
        <v>0.60519307589880156</v>
      </c>
      <c r="AF7" s="59" t="s">
        <v>183</v>
      </c>
      <c r="AG7" s="62">
        <v>0.40749904834411876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8">
        <v>328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195</v>
      </c>
      <c r="I8" s="71">
        <v>0.76985605891189124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189</v>
      </c>
      <c r="Q8" s="62">
        <v>0.31578947368421051</v>
      </c>
      <c r="R8" s="59" t="s">
        <v>188</v>
      </c>
      <c r="S8" s="62">
        <v>0.16346955796497081</v>
      </c>
      <c r="T8" s="59" t="s">
        <v>190</v>
      </c>
      <c r="U8" s="63">
        <v>9224.9194414607955</v>
      </c>
      <c r="V8" s="59" t="s">
        <v>190</v>
      </c>
      <c r="W8" s="63">
        <v>-8327.6827371695181</v>
      </c>
      <c r="X8" s="59" t="s">
        <v>187</v>
      </c>
      <c r="Y8" s="61">
        <v>0.11890243902439024</v>
      </c>
      <c r="Z8" s="59" t="s">
        <v>195</v>
      </c>
      <c r="AA8" s="62">
        <v>0.28768435165677075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0.40032679738562094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8">
        <v>285</v>
      </c>
      <c r="D9" s="57" t="s">
        <v>183</v>
      </c>
      <c r="E9" s="58">
        <v>8.8817841970012523E-15</v>
      </c>
      <c r="F9" s="59" t="s">
        <v>183</v>
      </c>
      <c r="G9" s="71">
        <v>2.8855699145553125E-18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193</v>
      </c>
      <c r="M9" s="61">
        <v>0.33531746031746029</v>
      </c>
      <c r="N9" s="59" t="s">
        <v>187</v>
      </c>
      <c r="O9" s="61">
        <v>0.33841463414634149</v>
      </c>
      <c r="P9" s="59" t="s">
        <v>198</v>
      </c>
      <c r="Q9" s="62">
        <v>0.3125</v>
      </c>
      <c r="R9" s="59" t="s">
        <v>183</v>
      </c>
      <c r="S9" s="62">
        <v>0.16500739674543202</v>
      </c>
      <c r="T9" s="59" t="s">
        <v>195</v>
      </c>
      <c r="U9" s="63">
        <v>9153.0914665304044</v>
      </c>
      <c r="V9" s="59" t="s">
        <v>195</v>
      </c>
      <c r="W9" s="63">
        <v>-8350</v>
      </c>
      <c r="X9" s="59" t="s">
        <v>183</v>
      </c>
      <c r="Y9" s="61">
        <v>0.12053281351526965</v>
      </c>
      <c r="Z9" s="59" t="s">
        <v>190</v>
      </c>
      <c r="AA9" s="62">
        <v>0.28482393268931133</v>
      </c>
      <c r="AB9" s="59" t="s">
        <v>197</v>
      </c>
      <c r="AC9" s="62">
        <v>0.23658872077028886</v>
      </c>
      <c r="AD9" s="59" t="s">
        <v>190</v>
      </c>
      <c r="AE9" s="62">
        <v>0.57111597374179435</v>
      </c>
      <c r="AF9" s="59" t="s">
        <v>191</v>
      </c>
      <c r="AG9" s="62">
        <v>0.3964401294498382</v>
      </c>
      <c r="AH9" s="59" t="s">
        <v>197</v>
      </c>
      <c r="AI9" s="62">
        <v>0.46629213483146065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8">
        <v>109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183</v>
      </c>
      <c r="I10" s="71">
        <v>0</v>
      </c>
      <c r="J10" s="59" t="s">
        <v>193</v>
      </c>
      <c r="K10" s="60">
        <v>2.0079365079365079</v>
      </c>
      <c r="L10" s="59" t="s">
        <v>183</v>
      </c>
      <c r="M10" s="61">
        <v>0.33333333333333331</v>
      </c>
      <c r="N10" s="59" t="s">
        <v>193</v>
      </c>
      <c r="O10" s="61">
        <v>0.34325396825396826</v>
      </c>
      <c r="P10" s="59" t="s">
        <v>193</v>
      </c>
      <c r="Q10" s="62">
        <v>0.29885616938427839</v>
      </c>
      <c r="R10" s="59" t="s">
        <v>192</v>
      </c>
      <c r="S10" s="62">
        <v>0.16772151898734178</v>
      </c>
      <c r="T10" s="59" t="s">
        <v>183</v>
      </c>
      <c r="U10" s="63">
        <v>8940.7701629190797</v>
      </c>
      <c r="V10" s="59" t="s">
        <v>183</v>
      </c>
      <c r="W10" s="63">
        <v>-8368.7424279137394</v>
      </c>
      <c r="X10" s="59" t="s">
        <v>191</v>
      </c>
      <c r="Y10" s="61">
        <v>0.13235294117647059</v>
      </c>
      <c r="Z10" s="59" t="s">
        <v>192</v>
      </c>
      <c r="AA10" s="62">
        <v>0.27777777777777779</v>
      </c>
      <c r="AB10" s="59" t="s">
        <v>187</v>
      </c>
      <c r="AC10" s="62">
        <v>0.22671156004489337</v>
      </c>
      <c r="AD10" s="59" t="s">
        <v>187</v>
      </c>
      <c r="AE10" s="62">
        <v>0.56769230769230772</v>
      </c>
      <c r="AF10" s="59" t="s">
        <v>199</v>
      </c>
      <c r="AG10" s="62">
        <v>0.39285714285714285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194</v>
      </c>
      <c r="C11" s="128">
        <v>91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190</v>
      </c>
      <c r="I11" s="71">
        <v>-0.24177856385866411</v>
      </c>
      <c r="J11" s="59" t="s">
        <v>191</v>
      </c>
      <c r="K11" s="60">
        <v>2.0196078431372548</v>
      </c>
      <c r="L11" s="59" t="s">
        <v>191</v>
      </c>
      <c r="M11" s="61">
        <v>0.33088235294117646</v>
      </c>
      <c r="N11" s="59" t="s">
        <v>191</v>
      </c>
      <c r="O11" s="61">
        <v>0.35049019607843135</v>
      </c>
      <c r="P11" s="59" t="s">
        <v>188</v>
      </c>
      <c r="Q11" s="62">
        <v>0.29733110925771478</v>
      </c>
      <c r="R11" s="59" t="s">
        <v>189</v>
      </c>
      <c r="S11" s="62">
        <v>0.16842105263157894</v>
      </c>
      <c r="T11" s="59" t="s">
        <v>196</v>
      </c>
      <c r="U11" s="63">
        <v>8891.6666666666661</v>
      </c>
      <c r="V11" s="59" t="s">
        <v>193</v>
      </c>
      <c r="W11" s="63">
        <v>-8389.2241379310344</v>
      </c>
      <c r="X11" s="59" t="s">
        <v>190</v>
      </c>
      <c r="Y11" s="61">
        <v>0.13615023474178403</v>
      </c>
      <c r="Z11" s="59" t="s">
        <v>183</v>
      </c>
      <c r="AA11" s="62">
        <v>0.26327611782157234</v>
      </c>
      <c r="AB11" s="59" t="s">
        <v>195</v>
      </c>
      <c r="AC11" s="62">
        <v>0.22428653514652366</v>
      </c>
      <c r="AD11" s="59" t="s">
        <v>183</v>
      </c>
      <c r="AE11" s="62">
        <v>0.56745009658725043</v>
      </c>
      <c r="AF11" s="59" t="s">
        <v>193</v>
      </c>
      <c r="AG11" s="62">
        <v>0.38643371017471739</v>
      </c>
      <c r="AH11" s="59" t="s">
        <v>191</v>
      </c>
      <c r="AI11" s="62">
        <v>0.45775401069518717</v>
      </c>
      <c r="AJ11" s="59" t="s">
        <v>199</v>
      </c>
      <c r="AK11" s="66">
        <v>106300</v>
      </c>
    </row>
    <row r="12" spans="1:37" x14ac:dyDescent="0.45">
      <c r="A12" s="56">
        <v>10</v>
      </c>
      <c r="B12" s="59" t="s">
        <v>197</v>
      </c>
      <c r="C12" s="128">
        <v>88</v>
      </c>
      <c r="D12" s="57" t="s">
        <v>198</v>
      </c>
      <c r="E12" s="58">
        <v>-56.2</v>
      </c>
      <c r="F12" s="59" t="s">
        <v>187</v>
      </c>
      <c r="G12" s="71">
        <v>-1.4603658536585367</v>
      </c>
      <c r="H12" s="59" t="s">
        <v>188</v>
      </c>
      <c r="I12" s="71">
        <v>-0.25832611832611957</v>
      </c>
      <c r="J12" s="59" t="s">
        <v>192</v>
      </c>
      <c r="K12" s="60">
        <v>2.0256410256410255</v>
      </c>
      <c r="L12" s="59" t="s">
        <v>189</v>
      </c>
      <c r="M12" s="61">
        <v>0.29166666666666669</v>
      </c>
      <c r="N12" s="59" t="s">
        <v>190</v>
      </c>
      <c r="O12" s="61">
        <v>0.3779342723004695</v>
      </c>
      <c r="P12" s="59" t="s">
        <v>183</v>
      </c>
      <c r="Q12" s="62">
        <v>0.29694934228939268</v>
      </c>
      <c r="R12" s="59" t="s">
        <v>193</v>
      </c>
      <c r="S12" s="62">
        <v>0.16938427841323922</v>
      </c>
      <c r="T12" s="59" t="s">
        <v>187</v>
      </c>
      <c r="U12" s="63">
        <v>8650.9167842031038</v>
      </c>
      <c r="V12" s="59" t="s">
        <v>196</v>
      </c>
      <c r="W12" s="63">
        <v>-8400</v>
      </c>
      <c r="X12" s="59" t="s">
        <v>194</v>
      </c>
      <c r="Y12" s="61">
        <v>0.15384615384615385</v>
      </c>
      <c r="Z12" s="59" t="s">
        <v>185</v>
      </c>
      <c r="AA12" s="62">
        <v>0.25806451612903225</v>
      </c>
      <c r="AB12" s="59" t="s">
        <v>183</v>
      </c>
      <c r="AC12" s="62">
        <v>0.22267429540156813</v>
      </c>
      <c r="AD12" s="59" t="s">
        <v>191</v>
      </c>
      <c r="AE12" s="62">
        <v>0.56340956340956339</v>
      </c>
      <c r="AF12" s="59" t="s">
        <v>202</v>
      </c>
      <c r="AG12" s="62">
        <v>0.38461538461538464</v>
      </c>
      <c r="AH12" s="59" t="s">
        <v>190</v>
      </c>
      <c r="AI12" s="62">
        <v>0.45435016111707843</v>
      </c>
      <c r="AJ12" s="59" t="s">
        <v>188</v>
      </c>
      <c r="AK12" s="66">
        <v>103200</v>
      </c>
    </row>
    <row r="13" spans="1:37" x14ac:dyDescent="0.45">
      <c r="A13" s="56">
        <v>11</v>
      </c>
      <c r="B13" s="59" t="s">
        <v>192</v>
      </c>
      <c r="C13" s="128">
        <v>39</v>
      </c>
      <c r="D13" s="57" t="s">
        <v>201</v>
      </c>
      <c r="E13" s="58">
        <v>-80.800000000000011</v>
      </c>
      <c r="F13" s="59" t="s">
        <v>193</v>
      </c>
      <c r="G13" s="71">
        <v>-1.9448412698412711</v>
      </c>
      <c r="H13" s="59" t="s">
        <v>194</v>
      </c>
      <c r="I13" s="71">
        <v>-0.4518996415770597</v>
      </c>
      <c r="J13" s="59" t="s">
        <v>187</v>
      </c>
      <c r="K13" s="60">
        <v>2.0609756097560976</v>
      </c>
      <c r="L13" s="59" t="s">
        <v>187</v>
      </c>
      <c r="M13" s="61">
        <v>0.27743902439024393</v>
      </c>
      <c r="N13" s="59" t="s">
        <v>192</v>
      </c>
      <c r="O13" s="61">
        <v>0.38461538461538464</v>
      </c>
      <c r="P13" s="59" t="s">
        <v>191</v>
      </c>
      <c r="Q13" s="62">
        <v>0.28428093645484948</v>
      </c>
      <c r="R13" s="59" t="s">
        <v>199</v>
      </c>
      <c r="S13" s="62">
        <v>0.16996047430830039</v>
      </c>
      <c r="T13" s="59" t="s">
        <v>201</v>
      </c>
      <c r="U13" s="63">
        <v>8512.5</v>
      </c>
      <c r="V13" s="59" t="s">
        <v>188</v>
      </c>
      <c r="W13" s="63">
        <v>-8479.8469387755104</v>
      </c>
      <c r="X13" s="59" t="s">
        <v>192</v>
      </c>
      <c r="Y13" s="61">
        <v>0.15384615384615385</v>
      </c>
      <c r="Z13" s="59" t="s">
        <v>199</v>
      </c>
      <c r="AA13" s="62">
        <v>0.24901185770750989</v>
      </c>
      <c r="AB13" s="59" t="s">
        <v>186</v>
      </c>
      <c r="AC13" s="62">
        <v>0.19788359788359788</v>
      </c>
      <c r="AD13" s="59" t="s">
        <v>186</v>
      </c>
      <c r="AE13" s="62">
        <v>0.55111111111111111</v>
      </c>
      <c r="AF13" s="59" t="s">
        <v>197</v>
      </c>
      <c r="AG13" s="62">
        <v>0.38372093023255816</v>
      </c>
      <c r="AH13" s="59" t="s">
        <v>187</v>
      </c>
      <c r="AI13" s="62">
        <v>0.44428772919605075</v>
      </c>
      <c r="AJ13" s="59" t="s">
        <v>187</v>
      </c>
      <c r="AK13" s="66">
        <v>103000</v>
      </c>
    </row>
    <row r="14" spans="1:37" x14ac:dyDescent="0.45">
      <c r="A14" s="56">
        <v>12</v>
      </c>
      <c r="B14" s="59" t="s">
        <v>199</v>
      </c>
      <c r="C14" s="128">
        <v>28</v>
      </c>
      <c r="D14" s="57" t="s">
        <v>185</v>
      </c>
      <c r="E14" s="58">
        <v>-86.4</v>
      </c>
      <c r="F14" s="59" t="s">
        <v>190</v>
      </c>
      <c r="G14" s="71">
        <v>-4.3300469483568076</v>
      </c>
      <c r="H14" s="59" t="s">
        <v>193</v>
      </c>
      <c r="I14" s="71">
        <v>-1.6462488832925075</v>
      </c>
      <c r="J14" s="59" t="s">
        <v>190</v>
      </c>
      <c r="K14" s="60">
        <v>2.112676056338028</v>
      </c>
      <c r="L14" s="59" t="s">
        <v>186</v>
      </c>
      <c r="M14" s="61">
        <v>0.27522935779816515</v>
      </c>
      <c r="N14" s="59" t="s">
        <v>188</v>
      </c>
      <c r="O14" s="61">
        <v>0.38596491228070173</v>
      </c>
      <c r="P14" s="59" t="s">
        <v>192</v>
      </c>
      <c r="Q14" s="62">
        <v>0.28164556962025317</v>
      </c>
      <c r="R14" s="59" t="s">
        <v>194</v>
      </c>
      <c r="S14" s="62">
        <v>0.17164179104477612</v>
      </c>
      <c r="T14" s="59" t="s">
        <v>193</v>
      </c>
      <c r="U14" s="63">
        <v>8459.1205211726392</v>
      </c>
      <c r="V14" s="59" t="s">
        <v>191</v>
      </c>
      <c r="W14" s="63">
        <v>-8690.0505902192235</v>
      </c>
      <c r="X14" s="59" t="s">
        <v>189</v>
      </c>
      <c r="Y14" s="61">
        <v>0.16666666666666666</v>
      </c>
      <c r="Z14" s="59" t="s">
        <v>193</v>
      </c>
      <c r="AA14" s="62">
        <v>0.24654782827014812</v>
      </c>
      <c r="AB14" s="59" t="s">
        <v>191</v>
      </c>
      <c r="AC14" s="62">
        <v>0.1900369003690037</v>
      </c>
      <c r="AD14" s="59" t="s">
        <v>192</v>
      </c>
      <c r="AE14" s="62">
        <v>0.53846153846153844</v>
      </c>
      <c r="AF14" s="59" t="s">
        <v>187</v>
      </c>
      <c r="AG14" s="62">
        <v>0.37788778877887791</v>
      </c>
      <c r="AH14" s="59" t="s">
        <v>194</v>
      </c>
      <c r="AI14" s="62">
        <v>0.43636363636363634</v>
      </c>
      <c r="AJ14" s="59" t="s">
        <v>197</v>
      </c>
      <c r="AK14" s="66">
        <v>85100</v>
      </c>
    </row>
    <row r="15" spans="1:37" x14ac:dyDescent="0.45">
      <c r="A15" s="56">
        <v>13</v>
      </c>
      <c r="B15" s="59" t="s">
        <v>189</v>
      </c>
      <c r="C15" s="128">
        <v>24</v>
      </c>
      <c r="D15" s="57" t="s">
        <v>184</v>
      </c>
      <c r="E15" s="58">
        <v>-132.1</v>
      </c>
      <c r="F15" s="59" t="s">
        <v>188</v>
      </c>
      <c r="G15" s="71">
        <v>-5.2824561403508783</v>
      </c>
      <c r="H15" s="59" t="s">
        <v>197</v>
      </c>
      <c r="I15" s="71">
        <v>-1.7731481481481524</v>
      </c>
      <c r="J15" s="59" t="s">
        <v>189</v>
      </c>
      <c r="K15" s="60">
        <v>2.125</v>
      </c>
      <c r="L15" s="59" t="s">
        <v>190</v>
      </c>
      <c r="M15" s="61">
        <v>0.26525821596244131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191</v>
      </c>
      <c r="S15" s="62">
        <v>0.18029796290665856</v>
      </c>
      <c r="T15" s="59" t="s">
        <v>197</v>
      </c>
      <c r="U15" s="63">
        <v>8257.3033707865161</v>
      </c>
      <c r="V15" s="59" t="s">
        <v>199</v>
      </c>
      <c r="W15" s="63">
        <v>-8765.1162790697672</v>
      </c>
      <c r="X15" s="59" t="s">
        <v>197</v>
      </c>
      <c r="Y15" s="61">
        <v>0.17045454545454544</v>
      </c>
      <c r="Z15" s="59" t="s">
        <v>187</v>
      </c>
      <c r="AA15" s="62">
        <v>0.24317246539468762</v>
      </c>
      <c r="AB15" s="59" t="s">
        <v>190</v>
      </c>
      <c r="AC15" s="62">
        <v>0.18261140542224993</v>
      </c>
      <c r="AD15" s="59" t="s">
        <v>193</v>
      </c>
      <c r="AE15" s="62">
        <v>0.53767820773930752</v>
      </c>
      <c r="AF15" s="59" t="s">
        <v>190</v>
      </c>
      <c r="AG15" s="62">
        <v>0.3651877133105802</v>
      </c>
      <c r="AH15" s="59" t="s">
        <v>183</v>
      </c>
      <c r="AI15" s="62">
        <v>0.43624612898882453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8">
        <v>10</v>
      </c>
      <c r="D16" s="57" t="s">
        <v>189</v>
      </c>
      <c r="E16" s="58">
        <v>-151.4</v>
      </c>
      <c r="F16" s="59" t="s">
        <v>189</v>
      </c>
      <c r="G16" s="71">
        <v>-6.3083333333333336</v>
      </c>
      <c r="H16" s="59" t="s">
        <v>189</v>
      </c>
      <c r="I16" s="71">
        <v>-2.0895238095238078</v>
      </c>
      <c r="J16" s="59" t="s">
        <v>188</v>
      </c>
      <c r="K16" s="60">
        <v>2.1403508771929824</v>
      </c>
      <c r="L16" s="59" t="s">
        <v>198</v>
      </c>
      <c r="M16" s="61">
        <v>0.25</v>
      </c>
      <c r="N16" s="59" t="s">
        <v>201</v>
      </c>
      <c r="O16" s="61">
        <v>0.4</v>
      </c>
      <c r="P16" s="59" t="s">
        <v>190</v>
      </c>
      <c r="Q16" s="62">
        <v>0.26829971181556195</v>
      </c>
      <c r="R16" s="59" t="s">
        <v>190</v>
      </c>
      <c r="S16" s="62">
        <v>0.18530259365994237</v>
      </c>
      <c r="T16" s="59" t="s">
        <v>199</v>
      </c>
      <c r="U16" s="63">
        <v>7901.25</v>
      </c>
      <c r="V16" s="59" t="s">
        <v>189</v>
      </c>
      <c r="W16" s="63">
        <v>-8943.75</v>
      </c>
      <c r="X16" s="59" t="s">
        <v>186</v>
      </c>
      <c r="Y16" s="61">
        <v>0.19266055045871561</v>
      </c>
      <c r="Z16" s="59" t="s">
        <v>186</v>
      </c>
      <c r="AA16" s="62">
        <v>0.23809523809523808</v>
      </c>
      <c r="AB16" s="59" t="s">
        <v>202</v>
      </c>
      <c r="AC16" s="62">
        <v>0.16666666666666666</v>
      </c>
      <c r="AD16" s="59" t="s">
        <v>197</v>
      </c>
      <c r="AE16" s="62">
        <v>0.53691275167785235</v>
      </c>
      <c r="AF16" s="59" t="s">
        <v>201</v>
      </c>
      <c r="AG16" s="62">
        <v>0.33333333333333331</v>
      </c>
      <c r="AH16" s="59" t="s">
        <v>188</v>
      </c>
      <c r="AI16" s="62">
        <v>0.42776998597475457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8">
        <v>9</v>
      </c>
      <c r="D17" s="57" t="s">
        <v>187</v>
      </c>
      <c r="E17" s="58">
        <v>-479</v>
      </c>
      <c r="F17" s="59" t="s">
        <v>186</v>
      </c>
      <c r="G17" s="71">
        <v>-8.9321100917431195</v>
      </c>
      <c r="H17" s="59" t="s">
        <v>186</v>
      </c>
      <c r="I17" s="71">
        <v>-2.8297901891252955</v>
      </c>
      <c r="J17" s="59" t="s">
        <v>186</v>
      </c>
      <c r="K17" s="60">
        <v>2.1559633027522938</v>
      </c>
      <c r="L17" s="59" t="s">
        <v>188</v>
      </c>
      <c r="M17" s="61">
        <v>0.24561403508771928</v>
      </c>
      <c r="N17" s="59" t="s">
        <v>189</v>
      </c>
      <c r="O17" s="61">
        <v>0.41666666666666669</v>
      </c>
      <c r="P17" s="59" t="s">
        <v>187</v>
      </c>
      <c r="Q17" s="62">
        <v>0.26524504302282081</v>
      </c>
      <c r="R17" s="59" t="s">
        <v>197</v>
      </c>
      <c r="S17" s="62">
        <v>0.18982118294360384</v>
      </c>
      <c r="T17" s="59" t="s">
        <v>186</v>
      </c>
      <c r="U17" s="63">
        <v>7830.8943089430895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0.52477477477477474</v>
      </c>
      <c r="AF17" s="59" t="s">
        <v>186</v>
      </c>
      <c r="AG17" s="62">
        <v>0.32620320855614976</v>
      </c>
      <c r="AH17" s="59" t="s">
        <v>193</v>
      </c>
      <c r="AI17" s="62">
        <v>0.4210097719869707</v>
      </c>
      <c r="AJ17" s="59" t="s">
        <v>189</v>
      </c>
      <c r="AK17" s="66">
        <v>65900</v>
      </c>
    </row>
    <row r="18" spans="1:37" x14ac:dyDescent="0.45">
      <c r="A18" s="56">
        <v>16</v>
      </c>
      <c r="B18" s="59" t="s">
        <v>185</v>
      </c>
      <c r="C18" s="128">
        <v>5</v>
      </c>
      <c r="D18" s="57" t="s">
        <v>186</v>
      </c>
      <c r="E18" s="58">
        <v>-973.6</v>
      </c>
      <c r="F18" s="59" t="s">
        <v>197</v>
      </c>
      <c r="G18" s="71">
        <v>-13.515909090909092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0.43119266055045874</v>
      </c>
      <c r="P18" s="59" t="s">
        <v>186</v>
      </c>
      <c r="Q18" s="62">
        <v>0.26031746031746034</v>
      </c>
      <c r="R18" s="59" t="s">
        <v>186</v>
      </c>
      <c r="S18" s="62">
        <v>0.19365079365079366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0.5</v>
      </c>
      <c r="AF18" s="59" t="s">
        <v>192</v>
      </c>
      <c r="AG18" s="62">
        <v>0.32142857142857145</v>
      </c>
      <c r="AH18" s="59" t="s">
        <v>195</v>
      </c>
      <c r="AI18" s="62">
        <v>0.40827797649463465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8">
        <v>5</v>
      </c>
      <c r="D19" s="57" t="s">
        <v>193</v>
      </c>
      <c r="E19" s="58">
        <v>-980.20000000000061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197</v>
      </c>
      <c r="O19" s="61">
        <v>0.45454545454545453</v>
      </c>
      <c r="P19" s="59" t="s">
        <v>197</v>
      </c>
      <c r="Q19" s="62">
        <v>0.24484181568088034</v>
      </c>
      <c r="R19" s="59" t="s">
        <v>201</v>
      </c>
      <c r="S19" s="62">
        <v>0.2</v>
      </c>
      <c r="T19" s="59" t="s">
        <v>188</v>
      </c>
      <c r="U19" s="63">
        <v>7400.8415147265077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184</v>
      </c>
      <c r="C20" s="128">
        <v>4</v>
      </c>
      <c r="D20" s="57" t="s">
        <v>197</v>
      </c>
      <c r="E20" s="58">
        <v>-1189.4000000000001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0.13636363636363635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189</v>
      </c>
      <c r="U20" s="63">
        <v>7216.666666666667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0.20495185694635487</v>
      </c>
      <c r="AB20" s="59" t="s">
        <v>189</v>
      </c>
      <c r="AC20" s="62">
        <v>0.11891891891891893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198</v>
      </c>
      <c r="C21" s="128">
        <v>4</v>
      </c>
      <c r="D21" s="57" t="s">
        <v>188</v>
      </c>
      <c r="E21" s="58">
        <v>-1505.5000000000002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2.3181818181818183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0.20018034265103696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200</v>
      </c>
      <c r="C22" s="128">
        <v>1</v>
      </c>
      <c r="D22" s="57" t="s">
        <v>190</v>
      </c>
      <c r="E22" s="58">
        <v>-1844.6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DE236-975F-4EED-976B-1F76F9C4F289}">
  <sheetPr codeName="Sheet3"/>
  <dimension ref="A1:Q308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183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3078</v>
      </c>
      <c r="C2" s="132"/>
      <c r="E2" s="43" t="s">
        <v>66</v>
      </c>
      <c r="F2" s="25" t="s">
        <v>22</v>
      </c>
      <c r="G2" s="13">
        <v>5125</v>
      </c>
      <c r="H2" s="106">
        <f>IF(B$51=0,0,G2/B$51)</f>
        <v>0.73287573287573282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-21.262675825973176</v>
      </c>
      <c r="P2" s="92">
        <v>3057</v>
      </c>
      <c r="Q2" s="76">
        <v>-65000</v>
      </c>
    </row>
    <row r="3" spans="1:17" x14ac:dyDescent="0.45">
      <c r="A3" s="37" t="s">
        <v>8</v>
      </c>
      <c r="B3" s="143">
        <v>25011</v>
      </c>
      <c r="C3" s="144"/>
      <c r="E3" s="44" t="s">
        <v>72</v>
      </c>
      <c r="F3" s="41" t="s">
        <v>27</v>
      </c>
      <c r="G3" s="34">
        <v>3767</v>
      </c>
      <c r="H3" s="107">
        <f>IF(B$51=0,0,G3/B$51)</f>
        <v>0.53868153868153867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-0.33534540576794097</v>
      </c>
      <c r="P3" s="93">
        <v>2982</v>
      </c>
      <c r="Q3" s="77">
        <v>-1000</v>
      </c>
    </row>
    <row r="4" spans="1:17" x14ac:dyDescent="0.45">
      <c r="A4" s="37" t="s">
        <v>6</v>
      </c>
      <c r="B4" s="145">
        <v>8.8817841970012523E-15</v>
      </c>
      <c r="C4" s="146"/>
      <c r="E4" s="44" t="s">
        <v>64</v>
      </c>
      <c r="F4" s="41" t="s">
        <v>20</v>
      </c>
      <c r="G4" s="34">
        <v>3404</v>
      </c>
      <c r="H4" s="107">
        <f>IF(B$51=0,0,G4/B$51)</f>
        <v>0.48677248677248675</v>
      </c>
      <c r="I4" s="68">
        <v>12</v>
      </c>
      <c r="K4" s="5">
        <v>2</v>
      </c>
      <c r="L4" s="73">
        <v>-7</v>
      </c>
      <c r="N4" s="89" t="s">
        <v>128</v>
      </c>
      <c r="O4" s="96">
        <f t="shared" si="0"/>
        <v>6.0735977134690957</v>
      </c>
      <c r="P4" s="93">
        <v>2799</v>
      </c>
      <c r="Q4" s="77">
        <v>17000</v>
      </c>
    </row>
    <row r="5" spans="1:17" x14ac:dyDescent="0.45">
      <c r="A5" s="37" t="s">
        <v>7</v>
      </c>
      <c r="B5" s="139">
        <f>IF(B$2=0,0,B$4/B$2)</f>
        <v>2.8855699145553125E-18</v>
      </c>
      <c r="C5" s="140"/>
      <c r="E5" s="44" t="s">
        <v>68</v>
      </c>
      <c r="F5" s="41" t="s">
        <v>12</v>
      </c>
      <c r="G5" s="34">
        <v>2178</v>
      </c>
      <c r="H5" s="107">
        <f>IF(B$51=0,0,G5/B$51)</f>
        <v>0.31145431145431146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2.3282887077997674</v>
      </c>
      <c r="P5" s="93">
        <v>2577</v>
      </c>
      <c r="Q5" s="77">
        <v>6000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157</v>
      </c>
      <c r="F6" s="41" t="s">
        <v>158</v>
      </c>
      <c r="G6" s="34">
        <v>2135</v>
      </c>
      <c r="H6" s="107">
        <f>IF(B$51=0,0,G6/B$51)</f>
        <v>0.30530530530530531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1.7226528854435832</v>
      </c>
      <c r="P6" s="93">
        <v>2322</v>
      </c>
      <c r="Q6" s="77">
        <v>4000</v>
      </c>
    </row>
    <row r="7" spans="1:17" x14ac:dyDescent="0.45">
      <c r="A7" s="37" t="s">
        <v>2</v>
      </c>
      <c r="B7" s="34">
        <v>1026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2011</v>
      </c>
      <c r="H7" s="107">
        <f>IF(B$51=0,0,G7/B$51)</f>
        <v>0.28757328757328759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19.517205957883924</v>
      </c>
      <c r="P7" s="94">
        <v>1947</v>
      </c>
      <c r="Q7" s="78">
        <v>38000</v>
      </c>
    </row>
    <row r="8" spans="1:17" x14ac:dyDescent="0.45">
      <c r="A8" s="37" t="s">
        <v>3</v>
      </c>
      <c r="B8" s="34">
        <v>1026</v>
      </c>
      <c r="C8" s="31">
        <f t="shared" si="1"/>
        <v>0.33333333333333331</v>
      </c>
      <c r="E8" s="44" t="s">
        <v>69</v>
      </c>
      <c r="F8" s="41" t="s">
        <v>24</v>
      </c>
      <c r="G8" s="34">
        <v>1053</v>
      </c>
      <c r="H8" s="107">
        <f>IF(B$51=0,0,G8/B$51)</f>
        <v>0.15057915057915058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1026</v>
      </c>
      <c r="C9" s="7">
        <f t="shared" si="1"/>
        <v>0.33333333333333331</v>
      </c>
      <c r="E9" s="44" t="s">
        <v>89</v>
      </c>
      <c r="F9" s="41" t="s">
        <v>44</v>
      </c>
      <c r="G9" s="34">
        <v>977</v>
      </c>
      <c r="H9" s="107">
        <f>IF(B$51=0,0,G9/B$51)</f>
        <v>0.13971113971113971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37.665497076023399</v>
      </c>
      <c r="C10" s="121">
        <v>38644.80000000001</v>
      </c>
      <c r="E10" s="44" t="s">
        <v>65</v>
      </c>
      <c r="F10" s="41" t="s">
        <v>21</v>
      </c>
      <c r="G10" s="34">
        <v>764</v>
      </c>
      <c r="H10" s="107">
        <f>IF(B$51=0,0,G10/B$51)</f>
        <v>0.10925210925210925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-3.1769305962854339</v>
      </c>
      <c r="P10" s="92">
        <v>1023</v>
      </c>
      <c r="Q10" s="80">
        <v>-3249.9999999999991</v>
      </c>
    </row>
    <row r="11" spans="1:17" x14ac:dyDescent="0.45">
      <c r="A11" s="38" t="s">
        <v>204</v>
      </c>
      <c r="B11" s="120">
        <f>IF(B8=0,0,C11/B8)</f>
        <v>-0.79356725146198748</v>
      </c>
      <c r="C11" s="121">
        <v>-814.19999999999914</v>
      </c>
      <c r="E11" s="44" t="s">
        <v>70</v>
      </c>
      <c r="F11" s="41" t="s">
        <v>25</v>
      </c>
      <c r="G11" s="34">
        <v>682</v>
      </c>
      <c r="H11" s="107">
        <f>IF(B$51=0,0,G11/B$51)</f>
        <v>9.7526097526097533E-2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1.232355816226784</v>
      </c>
      <c r="P11" s="93">
        <v>1023</v>
      </c>
      <c r="Q11" s="81">
        <v>1260.7</v>
      </c>
    </row>
    <row r="12" spans="1:17" x14ac:dyDescent="0.45">
      <c r="A12" s="38" t="s">
        <v>205</v>
      </c>
      <c r="B12" s="120">
        <f>IF(B9=0,0,C12/B9)</f>
        <v>-36.871929824561413</v>
      </c>
      <c r="C12" s="121">
        <v>-37830.600000000006</v>
      </c>
      <c r="E12" s="44" t="s">
        <v>71</v>
      </c>
      <c r="F12" s="41" t="s">
        <v>26</v>
      </c>
      <c r="G12" s="34">
        <v>477</v>
      </c>
      <c r="H12" s="107">
        <f>IF(B$51=0,0,G12/B$51)</f>
        <v>6.8211068211068204E-2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1.944574780058651</v>
      </c>
      <c r="P12" s="94">
        <v>1023</v>
      </c>
      <c r="Q12" s="82">
        <v>1989.3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86</v>
      </c>
      <c r="F13" s="41" t="s">
        <v>41</v>
      </c>
      <c r="G13" s="34">
        <v>396</v>
      </c>
      <c r="H13" s="107">
        <f>IF(B$51=0,0,G13/B$51)</f>
        <v>5.6628056628056631E-2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371</v>
      </c>
      <c r="C14" s="32">
        <f t="shared" si="1"/>
        <v>0.12053281351526965</v>
      </c>
      <c r="E14" s="44" t="s">
        <v>83</v>
      </c>
      <c r="F14" s="41" t="s">
        <v>38</v>
      </c>
      <c r="G14" s="34">
        <v>334</v>
      </c>
      <c r="H14" s="107">
        <f>IF(B$51=0,0,G14/B$51)</f>
        <v>4.776204776204776E-2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6212</v>
      </c>
      <c r="C15" s="11">
        <f>IF(B$50=0,0,B15/B$50)</f>
        <v>0.26327611782157234</v>
      </c>
      <c r="E15" s="44" t="s">
        <v>78</v>
      </c>
      <c r="F15" s="41" t="s">
        <v>33</v>
      </c>
      <c r="G15" s="34">
        <v>194</v>
      </c>
      <c r="H15" s="107">
        <f>IF(B$51=0,0,G15/B$51)</f>
        <v>2.774202774202774E-2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5254</v>
      </c>
      <c r="C16" s="31">
        <f>IF(B$50=0,0,B16/B$50)</f>
        <v>0.22267429540156813</v>
      </c>
      <c r="E16" s="44" t="s">
        <v>81</v>
      </c>
      <c r="F16" s="41" t="s">
        <v>36</v>
      </c>
      <c r="G16" s="34">
        <v>177</v>
      </c>
      <c r="H16" s="107">
        <f>IF(B$51=0,0,G16/B$51)</f>
        <v>2.5311025311025311E-2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3525</v>
      </c>
      <c r="C17" s="4">
        <f>IF(B$15=0,0,B17/B$15)</f>
        <v>0.56745009658725043</v>
      </c>
      <c r="E17" s="44" t="s">
        <v>91</v>
      </c>
      <c r="F17" s="41" t="s">
        <v>46</v>
      </c>
      <c r="G17" s="34">
        <v>129</v>
      </c>
      <c r="H17" s="107">
        <f>IF(B$51=0,0,G17/B$51)</f>
        <v>1.8447018447018446E-2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2141</v>
      </c>
      <c r="C18" s="4">
        <f>IF(B$16=0,0,B18/B$16)</f>
        <v>0.40749904834411876</v>
      </c>
      <c r="E18" s="44" t="s">
        <v>79</v>
      </c>
      <c r="F18" s="41" t="s">
        <v>34</v>
      </c>
      <c r="G18" s="34">
        <v>103</v>
      </c>
      <c r="H18" s="107">
        <f>IF(B$51=0,0,G18/B$51)</f>
        <v>1.4729014729014729E-2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7427</v>
      </c>
      <c r="C19" s="4">
        <f>IF(B$3=0,0,B19/B$3)</f>
        <v>0.29694934228939268</v>
      </c>
      <c r="E19" s="44" t="s">
        <v>153</v>
      </c>
      <c r="F19" s="41" t="s">
        <v>154</v>
      </c>
      <c r="G19" s="34">
        <v>102</v>
      </c>
      <c r="H19" s="107">
        <f>IF(B$51=0,0,G19/B$51)</f>
        <v>1.4586014586014585E-2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20.273863636363615</v>
      </c>
      <c r="P19" s="93">
        <v>176</v>
      </c>
      <c r="Q19" s="81">
        <v>3568.1999999999962</v>
      </c>
    </row>
    <row r="20" spans="1:17" x14ac:dyDescent="0.45">
      <c r="A20" s="37" t="s">
        <v>13</v>
      </c>
      <c r="B20" s="34">
        <v>4127</v>
      </c>
      <c r="C20" s="31">
        <f>IF(B$3=0,0,B20/B$3)</f>
        <v>0.16500739674543202</v>
      </c>
      <c r="E20" s="44" t="s">
        <v>75</v>
      </c>
      <c r="F20" s="41" t="s">
        <v>30</v>
      </c>
      <c r="G20" s="34">
        <v>45</v>
      </c>
      <c r="H20" s="107">
        <f>IF(B$51=0,0,G20/B$51)</f>
        <v>6.4350064350064346E-3</v>
      </c>
      <c r="I20" s="68">
        <v>6</v>
      </c>
      <c r="K20" s="5">
        <v>18</v>
      </c>
      <c r="L20" s="73">
        <v>0</v>
      </c>
      <c r="N20" s="89" t="s">
        <v>186</v>
      </c>
      <c r="O20" s="99">
        <f>IF(P20=0,0,Q20/P20)</f>
        <v>13.398165137614678</v>
      </c>
      <c r="P20" s="93">
        <v>218</v>
      </c>
      <c r="Q20" s="81">
        <v>2920.7999999999997</v>
      </c>
    </row>
    <row r="21" spans="1:17" x14ac:dyDescent="0.45">
      <c r="A21" s="37" t="s">
        <v>12</v>
      </c>
      <c r="B21" s="34">
        <v>3240</v>
      </c>
      <c r="C21" s="31">
        <f>IF(B$19=0,0,B21/B$19)</f>
        <v>0.43624612898882453</v>
      </c>
      <c r="E21" s="44" t="s">
        <v>73</v>
      </c>
      <c r="F21" s="41" t="s">
        <v>28</v>
      </c>
      <c r="G21" s="34">
        <v>39</v>
      </c>
      <c r="H21" s="107">
        <f>IF(B$51=0,0,G21/B$51)</f>
        <v>5.5770055770055773E-3</v>
      </c>
      <c r="I21" s="68">
        <v>8</v>
      </c>
      <c r="K21" s="5">
        <v>19</v>
      </c>
      <c r="L21" s="73">
        <v>-6.1</v>
      </c>
      <c r="N21" s="89" t="s">
        <v>189</v>
      </c>
      <c r="O21" s="99">
        <f>IF(P21=0,0,Q21/P21)</f>
        <v>9.4624999999999968</v>
      </c>
      <c r="P21" s="93">
        <v>48</v>
      </c>
      <c r="Q21" s="81">
        <v>454.19999999999987</v>
      </c>
    </row>
    <row r="22" spans="1:17" x14ac:dyDescent="0.45">
      <c r="A22" s="37" t="s">
        <v>11</v>
      </c>
      <c r="B22" s="34">
        <v>4187</v>
      </c>
      <c r="C22" s="31">
        <f>IF(B$19=0,0,B22/B$19)</f>
        <v>0.56375387101117547</v>
      </c>
      <c r="E22" s="44" t="s">
        <v>92</v>
      </c>
      <c r="F22" s="41" t="s">
        <v>47</v>
      </c>
      <c r="G22" s="34">
        <v>39</v>
      </c>
      <c r="H22" s="107">
        <f>IF(B$51=0,0,G22/B$51)</f>
        <v>5.5770055770055773E-3</v>
      </c>
      <c r="I22" s="68">
        <v>6</v>
      </c>
      <c r="K22" s="5">
        <v>20</v>
      </c>
      <c r="L22" s="73">
        <v>4.9000000000000004</v>
      </c>
      <c r="N22" s="89" t="s">
        <v>188</v>
      </c>
      <c r="O22" s="99">
        <f>IF(P22=0,0,Q22/P22)</f>
        <v>7.6077966101694887</v>
      </c>
      <c r="P22" s="93">
        <v>590</v>
      </c>
      <c r="Q22" s="81">
        <v>4488.5999999999985</v>
      </c>
    </row>
    <row r="23" spans="1:17" x14ac:dyDescent="0.45">
      <c r="A23" s="37" t="s">
        <v>180</v>
      </c>
      <c r="B23" s="34">
        <v>3525</v>
      </c>
      <c r="C23" s="31">
        <f>IF(B$19=0,0,B23/B$19)</f>
        <v>0.47461963107580452</v>
      </c>
      <c r="E23" s="44" t="s">
        <v>77</v>
      </c>
      <c r="F23" s="41" t="s">
        <v>32</v>
      </c>
      <c r="G23" s="34">
        <v>37</v>
      </c>
      <c r="H23" s="107">
        <f>IF(B$51=0,0,G23/B$51)</f>
        <v>5.2910052910052907E-3</v>
      </c>
      <c r="I23" s="68">
        <v>5</v>
      </c>
      <c r="K23" s="5">
        <v>21</v>
      </c>
      <c r="L23" s="73">
        <v>0</v>
      </c>
      <c r="N23" s="89" t="s">
        <v>190</v>
      </c>
      <c r="O23" s="99">
        <f>IF(P23=0,0,Q23/P23)</f>
        <v>6.4950704225352105</v>
      </c>
      <c r="P23" s="93">
        <v>852</v>
      </c>
      <c r="Q23" s="81">
        <v>5533.7999999999993</v>
      </c>
    </row>
    <row r="24" spans="1:17" x14ac:dyDescent="0.45">
      <c r="A24" s="37" t="s">
        <v>178</v>
      </c>
      <c r="B24" s="34">
        <v>2141</v>
      </c>
      <c r="C24" s="31">
        <f>IF(B$19=0,0,B24/B$19)</f>
        <v>0.28827251918675106</v>
      </c>
      <c r="E24" s="44" t="s">
        <v>85</v>
      </c>
      <c r="F24" s="41" t="s">
        <v>40</v>
      </c>
      <c r="G24" s="34">
        <v>35</v>
      </c>
      <c r="H24" s="107">
        <f>IF(B$51=0,0,G24/B$51)</f>
        <v>5.005005005005005E-3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2.9172619047619124</v>
      </c>
      <c r="P24" s="93">
        <v>1008</v>
      </c>
      <c r="Q24" s="81">
        <v>2940.6000000000076</v>
      </c>
    </row>
    <row r="25" spans="1:17" x14ac:dyDescent="0.45">
      <c r="A25" s="37" t="s">
        <v>179</v>
      </c>
      <c r="B25" s="34">
        <v>1761</v>
      </c>
      <c r="C25" s="31">
        <f>IF(B$19=0,0,B25/B$19)</f>
        <v>0.23710784973744445</v>
      </c>
      <c r="E25" s="44" t="s">
        <v>74</v>
      </c>
      <c r="F25" s="41" t="s">
        <v>29</v>
      </c>
      <c r="G25" s="34">
        <v>25</v>
      </c>
      <c r="H25" s="107">
        <f>IF(B$51=0,0,G25/B$51)</f>
        <v>3.5750035750035749E-3</v>
      </c>
      <c r="I25" s="68">
        <v>6</v>
      </c>
      <c r="K25" s="5">
        <v>23</v>
      </c>
      <c r="L25" s="73">
        <v>-3</v>
      </c>
      <c r="N25" s="89" t="s">
        <v>187</v>
      </c>
      <c r="O25" s="99">
        <f>IF(P25=0,0,Q25/P25)</f>
        <v>2.1905487804878052</v>
      </c>
      <c r="P25" s="93">
        <v>656</v>
      </c>
      <c r="Q25" s="81">
        <v>1437.0000000000002</v>
      </c>
    </row>
    <row r="26" spans="1:17" x14ac:dyDescent="0.45">
      <c r="A26" s="37" t="s">
        <v>5</v>
      </c>
      <c r="B26" s="17">
        <f>IF(B$19=0,0,C26/B$19)</f>
        <v>8940.7701629190797</v>
      </c>
      <c r="C26" s="8">
        <v>66403100</v>
      </c>
      <c r="E26" s="44" t="s">
        <v>84</v>
      </c>
      <c r="F26" s="41" t="s">
        <v>39</v>
      </c>
      <c r="G26" s="34">
        <v>18</v>
      </c>
      <c r="H26" s="107">
        <f>IF(B$51=0,0,G26/B$51)</f>
        <v>2.5740025740025739E-3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9546.5001891789634</v>
      </c>
      <c r="C27" s="115">
        <v>50462800</v>
      </c>
      <c r="E27" s="44" t="s">
        <v>93</v>
      </c>
      <c r="F27" s="41" t="s">
        <v>48</v>
      </c>
      <c r="G27" s="34">
        <v>17</v>
      </c>
      <c r="H27" s="107">
        <f>IF(B$51=0,0,G27/B$51)</f>
        <v>2.431002431002431E-3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7445.2592246613731</v>
      </c>
      <c r="C28" s="115">
        <v>15940300</v>
      </c>
      <c r="E28" s="44" t="s">
        <v>87</v>
      </c>
      <c r="F28" s="41" t="s">
        <v>42</v>
      </c>
      <c r="G28" s="34">
        <v>16</v>
      </c>
      <c r="H28" s="107">
        <f>IF(B$51=0,0,G28/B$51)</f>
        <v>2.2880022880022882E-3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-2.0705882352941174</v>
      </c>
      <c r="P28" s="93">
        <v>816</v>
      </c>
      <c r="Q28" s="81">
        <v>-1689.5999999999997</v>
      </c>
    </row>
    <row r="29" spans="1:17" x14ac:dyDescent="0.45">
      <c r="A29" s="38" t="s">
        <v>161</v>
      </c>
      <c r="B29" s="114">
        <f>IF(B$20=0,0,C29/B$20)</f>
        <v>-8368.7424279137394</v>
      </c>
      <c r="C29" s="115">
        <v>-34537800</v>
      </c>
      <c r="E29" s="44" t="s">
        <v>90</v>
      </c>
      <c r="F29" s="41" t="s">
        <v>45</v>
      </c>
      <c r="G29" s="34">
        <v>13</v>
      </c>
      <c r="H29" s="107">
        <f>IF(B$51=0,0,G29/B$51)</f>
        <v>1.8590018590018591E-3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1.716001716001716E-3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-14.194859154929576</v>
      </c>
      <c r="P30" s="93">
        <v>1420</v>
      </c>
      <c r="Q30" s="81">
        <v>-20156.699999999997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1.1440011440011441E-3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3</v>
      </c>
      <c r="H32" s="107">
        <f>IF(B$51=0,0,G32/B$51)</f>
        <v>4.29000429000429E-4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33">
        <v>149100</v>
      </c>
      <c r="C33" s="134"/>
      <c r="E33" s="44" t="s">
        <v>97</v>
      </c>
      <c r="F33" s="41" t="s">
        <v>52</v>
      </c>
      <c r="G33" s="34">
        <v>2</v>
      </c>
      <c r="H33" s="107">
        <f>IF(B$51=0,0,G33/B$51)</f>
        <v>2.8600028600028602E-4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70</v>
      </c>
      <c r="C34" s="32">
        <f>IF(B$3=0,0,B34/B$3)</f>
        <v>2.7987685418415899E-3</v>
      </c>
      <c r="E34" s="44" t="s">
        <v>101</v>
      </c>
      <c r="F34" s="41" t="s">
        <v>56</v>
      </c>
      <c r="G34" s="34">
        <v>2</v>
      </c>
      <c r="H34" s="107">
        <f>IF(B$51=0,0,G34/B$51)</f>
        <v>2.8600028600028602E-4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1.4300014300014301E-4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4">
        <v>487</v>
      </c>
      <c r="C36" s="119">
        <f>IF(B$19=0,0,B36/B$19)</f>
        <v>6.5571563215295545E-2</v>
      </c>
      <c r="E36" s="44" t="s">
        <v>80</v>
      </c>
      <c r="F36" s="41" t="s">
        <v>35</v>
      </c>
      <c r="G36" s="34">
        <v>1</v>
      </c>
      <c r="H36" s="107">
        <f>IF(B$51=0,0,G36/B$51)</f>
        <v>1.4300014300014301E-4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1072</v>
      </c>
      <c r="C37" s="31">
        <f t="shared" ref="C37:C48" si="2">IF(B$19=0,0,B37/B$19)</f>
        <v>0.14433822539383331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5">
        <v>1328</v>
      </c>
      <c r="C38" s="31">
        <f>IF(B$19=0,0,B38/B$19)</f>
        <v>0.17880705533862931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5">
        <v>1310</v>
      </c>
      <c r="C39" s="31">
        <f t="shared" si="2"/>
        <v>0.17638346573313585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5">
        <v>1094</v>
      </c>
      <c r="C40" s="31">
        <f t="shared" si="2"/>
        <v>0.14730039046721422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5">
        <v>713</v>
      </c>
      <c r="C41" s="31">
        <f t="shared" si="2"/>
        <v>9.6001077150935768E-2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5">
        <v>419</v>
      </c>
      <c r="C42" s="31">
        <f t="shared" si="2"/>
        <v>5.6415780261209102E-2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5">
        <v>234</v>
      </c>
      <c r="C43" s="31">
        <f t="shared" si="2"/>
        <v>3.150666487141511E-2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5">
        <v>133</v>
      </c>
      <c r="C44" s="31">
        <f t="shared" si="2"/>
        <v>1.7907634307257305E-2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5">
        <v>63</v>
      </c>
      <c r="C45" s="31">
        <f t="shared" si="2"/>
        <v>8.4825636192271438E-3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5">
        <v>36</v>
      </c>
      <c r="C46" s="31">
        <f t="shared" si="2"/>
        <v>4.8471792109869398E-3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5">
        <v>15</v>
      </c>
      <c r="C47" s="31">
        <f t="shared" si="2"/>
        <v>2.0196580045778916E-3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6">
        <v>89</v>
      </c>
      <c r="C48" s="32">
        <f t="shared" si="2"/>
        <v>1.1983304160495489E-2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23595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29">
        <v>6993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1BB-118C-4034-95B2-CF1CFF2B93A0}">
  <sheetPr codeName="Sheet4"/>
  <dimension ref="A1:Q71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195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710</v>
      </c>
      <c r="C2" s="132"/>
      <c r="E2" s="43" t="s">
        <v>66</v>
      </c>
      <c r="F2" s="25" t="s">
        <v>22</v>
      </c>
      <c r="G2" s="13">
        <v>1320</v>
      </c>
      <c r="H2" s="106">
        <f>IF(B$51=0,0,G2/B$51)</f>
        <v>0.73292615213770129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1304.5454545454545</v>
      </c>
      <c r="P2" s="92">
        <v>704</v>
      </c>
      <c r="Q2" s="76">
        <v>918400</v>
      </c>
    </row>
    <row r="3" spans="1:17" x14ac:dyDescent="0.45">
      <c r="A3" s="37" t="s">
        <v>8</v>
      </c>
      <c r="B3" s="143">
        <v>5677</v>
      </c>
      <c r="C3" s="144"/>
      <c r="E3" s="44" t="s">
        <v>72</v>
      </c>
      <c r="F3" s="41" t="s">
        <v>27</v>
      </c>
      <c r="G3" s="34">
        <v>987</v>
      </c>
      <c r="H3" s="107">
        <f>IF(B$51=0,0,G3/B$51)</f>
        <v>0.5480288728484175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1365.8892128279883</v>
      </c>
      <c r="P3" s="93">
        <v>686</v>
      </c>
      <c r="Q3" s="77">
        <v>937000</v>
      </c>
    </row>
    <row r="4" spans="1:17" x14ac:dyDescent="0.45">
      <c r="A4" s="37" t="s">
        <v>6</v>
      </c>
      <c r="B4" s="145">
        <v>6718.9</v>
      </c>
      <c r="C4" s="146"/>
      <c r="E4" s="44" t="s">
        <v>64</v>
      </c>
      <c r="F4" s="41" t="s">
        <v>20</v>
      </c>
      <c r="G4" s="34">
        <v>862</v>
      </c>
      <c r="H4" s="107">
        <f>IF(B$51=0,0,G4/B$51)</f>
        <v>0.47862298722931707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1351.761102603369</v>
      </c>
      <c r="P4" s="93">
        <v>653</v>
      </c>
      <c r="Q4" s="77">
        <v>882700</v>
      </c>
    </row>
    <row r="5" spans="1:17" x14ac:dyDescent="0.45">
      <c r="A5" s="37" t="s">
        <v>7</v>
      </c>
      <c r="B5" s="139">
        <f>IF(B$2=0,0,B$4/B$2)</f>
        <v>9.4632394366197179</v>
      </c>
      <c r="C5" s="140"/>
      <c r="E5" s="44" t="s">
        <v>68</v>
      </c>
      <c r="F5" s="41" t="s">
        <v>12</v>
      </c>
      <c r="G5" s="34">
        <v>515</v>
      </c>
      <c r="H5" s="107">
        <f>IF(B$51=0,0,G5/B$51)</f>
        <v>0.28595224875069408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1533.0550918196996</v>
      </c>
      <c r="P5" s="93">
        <v>599</v>
      </c>
      <c r="Q5" s="77">
        <v>918300</v>
      </c>
    </row>
    <row r="6" spans="1:17" x14ac:dyDescent="0.45">
      <c r="A6" s="37" t="s">
        <v>1</v>
      </c>
      <c r="B6" s="137">
        <f>IF(B$2=0,0,(B$7*1+B$8*2+B$9*3)/B$2)</f>
        <v>1.7605633802816902</v>
      </c>
      <c r="C6" s="138"/>
      <c r="E6" s="44" t="s">
        <v>67</v>
      </c>
      <c r="F6" s="41" t="s">
        <v>23</v>
      </c>
      <c r="G6" s="34">
        <v>505</v>
      </c>
      <c r="H6" s="107">
        <f>IF(B$51=0,0,G6/B$51)</f>
        <v>0.28039977790116599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1375.4646840148698</v>
      </c>
      <c r="P6" s="93">
        <v>538</v>
      </c>
      <c r="Q6" s="77">
        <v>740000</v>
      </c>
    </row>
    <row r="7" spans="1:17" x14ac:dyDescent="0.45">
      <c r="A7" s="37" t="s">
        <v>2</v>
      </c>
      <c r="B7" s="34">
        <v>331</v>
      </c>
      <c r="C7" s="31">
        <f t="shared" ref="C7:C14" si="1">IF(B$2=0,0,B7/B$2)</f>
        <v>0.46619718309859154</v>
      </c>
      <c r="E7" s="44" t="s">
        <v>157</v>
      </c>
      <c r="F7" s="41" t="s">
        <v>158</v>
      </c>
      <c r="G7" s="34">
        <v>493</v>
      </c>
      <c r="H7" s="107">
        <f>IF(B$51=0,0,G7/B$51)</f>
        <v>0.27373681288173235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1532.4384787472036</v>
      </c>
      <c r="P7" s="94">
        <v>447</v>
      </c>
      <c r="Q7" s="78">
        <v>685000</v>
      </c>
    </row>
    <row r="8" spans="1:17" x14ac:dyDescent="0.45">
      <c r="A8" s="37" t="s">
        <v>3</v>
      </c>
      <c r="B8" s="34">
        <v>218</v>
      </c>
      <c r="C8" s="31">
        <f t="shared" si="1"/>
        <v>0.30704225352112674</v>
      </c>
      <c r="E8" s="44" t="s">
        <v>89</v>
      </c>
      <c r="F8" s="41" t="s">
        <v>44</v>
      </c>
      <c r="G8" s="34">
        <v>295</v>
      </c>
      <c r="H8" s="107">
        <f>IF(B$51=0,0,G8/B$51)</f>
        <v>0.16379789006107717</v>
      </c>
      <c r="I8" s="68">
        <v>5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161</v>
      </c>
      <c r="C9" s="7">
        <f t="shared" si="1"/>
        <v>0.22676056338028169</v>
      </c>
      <c r="E9" s="44" t="s">
        <v>69</v>
      </c>
      <c r="F9" s="41" t="s">
        <v>24</v>
      </c>
      <c r="G9" s="34">
        <v>259</v>
      </c>
      <c r="H9" s="107">
        <f>IF(B$51=0,0,G9/B$51)</f>
        <v>0.14380899500277625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37.293655589123858</v>
      </c>
      <c r="C10" s="121">
        <v>12344.199999999997</v>
      </c>
      <c r="E10" s="44" t="s">
        <v>65</v>
      </c>
      <c r="F10" s="41" t="s">
        <v>21</v>
      </c>
      <c r="G10" s="34">
        <v>212</v>
      </c>
      <c r="H10" s="107">
        <f>IF(B$51=0,0,G10/B$51)</f>
        <v>0.11771238200999445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12.691145833333337</v>
      </c>
      <c r="P10" s="92">
        <v>192</v>
      </c>
      <c r="Q10" s="80">
        <v>2436.7000000000007</v>
      </c>
    </row>
    <row r="11" spans="1:17" x14ac:dyDescent="0.45">
      <c r="A11" s="38" t="s">
        <v>204</v>
      </c>
      <c r="B11" s="120">
        <f>IF(B8=0,0,C11/B8)</f>
        <v>0.12522935779816466</v>
      </c>
      <c r="C11" s="121">
        <v>27.299999999999898</v>
      </c>
      <c r="E11" s="44" t="s">
        <v>70</v>
      </c>
      <c r="F11" s="41" t="s">
        <v>25</v>
      </c>
      <c r="G11" s="34">
        <v>135</v>
      </c>
      <c r="H11" s="107">
        <f>IF(B$51=0,0,G11/B$51)</f>
        <v>7.4958356468628543E-2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7.4477477477477478</v>
      </c>
      <c r="P11" s="93">
        <v>222</v>
      </c>
      <c r="Q11" s="81">
        <v>1653.4</v>
      </c>
    </row>
    <row r="12" spans="1:17" x14ac:dyDescent="0.45">
      <c r="A12" s="38" t="s">
        <v>205</v>
      </c>
      <c r="B12" s="120">
        <f>IF(B9=0,0,C12/B9)</f>
        <v>-35.109316770186346</v>
      </c>
      <c r="C12" s="121">
        <v>-5652.6000000000013</v>
      </c>
      <c r="E12" s="44" t="s">
        <v>86</v>
      </c>
      <c r="F12" s="41" t="s">
        <v>41</v>
      </c>
      <c r="G12" s="34">
        <v>120</v>
      </c>
      <c r="H12" s="107">
        <f>IF(B$51=0,0,G12/B$51)</f>
        <v>6.6629650194336476E-2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8.8778156996587043</v>
      </c>
      <c r="P12" s="94">
        <v>293</v>
      </c>
      <c r="Q12" s="82">
        <v>2601.2000000000003</v>
      </c>
    </row>
    <row r="13" spans="1:17" x14ac:dyDescent="0.45">
      <c r="A13" s="38" t="s">
        <v>206</v>
      </c>
      <c r="B13" s="139">
        <f>AVERAGE(B10:B12)</f>
        <v>0.76985605891189124</v>
      </c>
      <c r="C13" s="140"/>
      <c r="E13" s="44" t="s">
        <v>71</v>
      </c>
      <c r="F13" s="41" t="s">
        <v>26</v>
      </c>
      <c r="G13" s="34">
        <v>119</v>
      </c>
      <c r="H13" s="107">
        <f>IF(B$51=0,0,G13/B$51)</f>
        <v>6.6074403109383673E-2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55</v>
      </c>
      <c r="C14" s="32">
        <f t="shared" si="1"/>
        <v>7.746478873239436E-2</v>
      </c>
      <c r="E14" s="44" t="s">
        <v>83</v>
      </c>
      <c r="F14" s="41" t="s">
        <v>38</v>
      </c>
      <c r="G14" s="34">
        <v>83</v>
      </c>
      <c r="H14" s="107">
        <f>IF(B$51=0,0,G14/B$51)</f>
        <v>4.6085508051082733E-2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1502</v>
      </c>
      <c r="C15" s="11">
        <f>IF(B$50=0,0,B15/B$50)</f>
        <v>0.28768435165677075</v>
      </c>
      <c r="E15" s="44" t="s">
        <v>78</v>
      </c>
      <c r="F15" s="41" t="s">
        <v>33</v>
      </c>
      <c r="G15" s="34">
        <v>44</v>
      </c>
      <c r="H15" s="107">
        <f>IF(B$51=0,0,G15/B$51)</f>
        <v>2.4430871737923375E-2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1171</v>
      </c>
      <c r="C16" s="31">
        <f>IF(B$50=0,0,B16/B$50)</f>
        <v>0.22428653514652366</v>
      </c>
      <c r="E16" s="44" t="s">
        <v>153</v>
      </c>
      <c r="F16" s="41" t="s">
        <v>154</v>
      </c>
      <c r="G16" s="34">
        <v>42</v>
      </c>
      <c r="H16" s="107">
        <f>IF(B$51=0,0,G16/B$51)</f>
        <v>2.3320377568017768E-2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909</v>
      </c>
      <c r="C17" s="4">
        <f>IF(B$15=0,0,B17/B$15)</f>
        <v>0.60519307589880156</v>
      </c>
      <c r="E17" s="44" t="s">
        <v>81</v>
      </c>
      <c r="F17" s="41" t="s">
        <v>36</v>
      </c>
      <c r="G17" s="34">
        <v>34</v>
      </c>
      <c r="H17" s="107">
        <f>IF(B$51=0,0,G17/B$51)</f>
        <v>1.8878400888395337E-2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571</v>
      </c>
      <c r="C18" s="4">
        <f>IF(B$16=0,0,B18/B$16)</f>
        <v>0.48761742100768574</v>
      </c>
      <c r="E18" s="44" t="s">
        <v>91</v>
      </c>
      <c r="F18" s="41" t="s">
        <v>46</v>
      </c>
      <c r="G18" s="34">
        <v>29</v>
      </c>
      <c r="H18" s="107">
        <f>IF(B$51=0,0,G18/B$51)</f>
        <v>1.6102165463631316E-2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47.155555555555544</v>
      </c>
      <c r="P18" s="93">
        <v>9</v>
      </c>
      <c r="Q18" s="81">
        <v>424.39999999999992</v>
      </c>
    </row>
    <row r="19" spans="1:17" x14ac:dyDescent="0.45">
      <c r="A19" s="19" t="s">
        <v>10</v>
      </c>
      <c r="B19" s="13">
        <v>1957</v>
      </c>
      <c r="C19" s="4">
        <f>IF(B$3=0,0,B19/B$3)</f>
        <v>0.34472432622864191</v>
      </c>
      <c r="E19" s="44" t="s">
        <v>79</v>
      </c>
      <c r="F19" s="41" t="s">
        <v>34</v>
      </c>
      <c r="G19" s="34">
        <v>19</v>
      </c>
      <c r="H19" s="107">
        <f>IF(B$51=0,0,G19/B$51)</f>
        <v>1.0549694614103275E-2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29.696428571428584</v>
      </c>
      <c r="P19" s="93">
        <v>28</v>
      </c>
      <c r="Q19" s="81">
        <v>831.50000000000034</v>
      </c>
    </row>
    <row r="20" spans="1:17" x14ac:dyDescent="0.45">
      <c r="A20" s="37" t="s">
        <v>13</v>
      </c>
      <c r="B20" s="34">
        <v>788</v>
      </c>
      <c r="C20" s="31">
        <f>IF(B$3=0,0,B20/B$3)</f>
        <v>0.13880570723973931</v>
      </c>
      <c r="E20" s="44" t="s">
        <v>85</v>
      </c>
      <c r="F20" s="41" t="s">
        <v>40</v>
      </c>
      <c r="G20" s="34">
        <v>13</v>
      </c>
      <c r="H20" s="107">
        <f>IF(B$51=0,0,G20/B$51)</f>
        <v>7.2182121043864516E-3</v>
      </c>
      <c r="I20" s="68">
        <v>3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5">
      <c r="A21" s="37" t="s">
        <v>12</v>
      </c>
      <c r="B21" s="34">
        <v>799</v>
      </c>
      <c r="C21" s="31">
        <f>IF(B$19=0,0,B21/B$19)</f>
        <v>0.40827797649463465</v>
      </c>
      <c r="E21" s="44" t="s">
        <v>92</v>
      </c>
      <c r="F21" s="41" t="s">
        <v>47</v>
      </c>
      <c r="G21" s="34">
        <v>13</v>
      </c>
      <c r="H21" s="107">
        <f>IF(B$51=0,0,G21/B$51)</f>
        <v>7.2182121043864516E-3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5">
      <c r="A22" s="37" t="s">
        <v>11</v>
      </c>
      <c r="B22" s="34">
        <v>1158</v>
      </c>
      <c r="C22" s="31">
        <f>IF(B$19=0,0,B22/B$19)</f>
        <v>0.5917220235053654</v>
      </c>
      <c r="E22" s="44" t="s">
        <v>77</v>
      </c>
      <c r="F22" s="41" t="s">
        <v>32</v>
      </c>
      <c r="G22" s="34">
        <v>12</v>
      </c>
      <c r="H22" s="107">
        <f>IF(B$51=0,0,G22/B$51)</f>
        <v>6.6629650194336481E-3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20.102424242424242</v>
      </c>
      <c r="P22" s="93">
        <v>165</v>
      </c>
      <c r="Q22" s="81">
        <v>3316.9</v>
      </c>
    </row>
    <row r="23" spans="1:17" x14ac:dyDescent="0.45">
      <c r="A23" s="37" t="s">
        <v>180</v>
      </c>
      <c r="B23" s="34">
        <v>909</v>
      </c>
      <c r="C23" s="31">
        <f>IF(B$19=0,0,B23/B$19)</f>
        <v>0.46448645886561063</v>
      </c>
      <c r="E23" s="44" t="s">
        <v>75</v>
      </c>
      <c r="F23" s="41" t="s">
        <v>30</v>
      </c>
      <c r="G23" s="34">
        <v>10</v>
      </c>
      <c r="H23" s="107">
        <f>IF(B$51=0,0,G23/B$51)</f>
        <v>5.5524708495280403E-3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17.793788819875779</v>
      </c>
      <c r="P23" s="93">
        <v>161</v>
      </c>
      <c r="Q23" s="81">
        <v>2864.8000000000006</v>
      </c>
    </row>
    <row r="24" spans="1:17" x14ac:dyDescent="0.45">
      <c r="A24" s="37" t="s">
        <v>178</v>
      </c>
      <c r="B24" s="34">
        <v>571</v>
      </c>
      <c r="C24" s="31">
        <f>IF(B$19=0,0,B24/B$19)</f>
        <v>0.29177312212570261</v>
      </c>
      <c r="E24" s="44" t="s">
        <v>73</v>
      </c>
      <c r="F24" s="41" t="s">
        <v>28</v>
      </c>
      <c r="G24" s="34">
        <v>7</v>
      </c>
      <c r="H24" s="107">
        <f>IF(B$51=0,0,G24/B$51)</f>
        <v>3.886729594669628E-3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14.77548387096774</v>
      </c>
      <c r="P24" s="93">
        <v>310</v>
      </c>
      <c r="Q24" s="81">
        <v>4580.3999999999996</v>
      </c>
    </row>
    <row r="25" spans="1:17" x14ac:dyDescent="0.45">
      <c r="A25" s="37" t="s">
        <v>179</v>
      </c>
      <c r="B25" s="34">
        <v>477</v>
      </c>
      <c r="C25" s="31">
        <f>IF(B$19=0,0,B25/B$19)</f>
        <v>0.24374041900868676</v>
      </c>
      <c r="E25" s="44" t="s">
        <v>74</v>
      </c>
      <c r="F25" s="41" t="s">
        <v>29</v>
      </c>
      <c r="G25" s="34">
        <v>6</v>
      </c>
      <c r="H25" s="107">
        <f>IF(B$51=0,0,G25/B$51)</f>
        <v>3.3314825097168241E-3</v>
      </c>
      <c r="I25" s="68">
        <v>8</v>
      </c>
      <c r="K25" s="5">
        <v>23</v>
      </c>
      <c r="L25" s="73">
        <v>124.50000000000001</v>
      </c>
      <c r="N25" s="89" t="s">
        <v>193</v>
      </c>
      <c r="O25" s="99">
        <f>IF(P25=0,0,Q25/P25)</f>
        <v>12.853890489913551</v>
      </c>
      <c r="P25" s="93">
        <v>347</v>
      </c>
      <c r="Q25" s="81">
        <v>4460.300000000002</v>
      </c>
    </row>
    <row r="26" spans="1:17" x14ac:dyDescent="0.45">
      <c r="A26" s="37" t="s">
        <v>5</v>
      </c>
      <c r="B26" s="17">
        <f>IF(B$19=0,0,C26/B$19)</f>
        <v>9153.0914665304044</v>
      </c>
      <c r="C26" s="8">
        <v>17912600</v>
      </c>
      <c r="E26" s="44" t="s">
        <v>90</v>
      </c>
      <c r="F26" s="41" t="s">
        <v>45</v>
      </c>
      <c r="G26" s="34">
        <v>5</v>
      </c>
      <c r="H26" s="107">
        <f>IF(B$51=0,0,G26/B$51)</f>
        <v>2.7762354247640201E-3</v>
      </c>
      <c r="I26" s="68">
        <v>3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9558.3694083694081</v>
      </c>
      <c r="C27" s="115">
        <v>13247900</v>
      </c>
      <c r="E27" s="44" t="s">
        <v>84</v>
      </c>
      <c r="F27" s="41" t="s">
        <v>39</v>
      </c>
      <c r="G27" s="34">
        <v>4</v>
      </c>
      <c r="H27" s="107">
        <f>IF(B$51=0,0,G27/B$51)</f>
        <v>2.2209883398112162E-3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38" t="s">
        <v>163</v>
      </c>
      <c r="B28" s="114">
        <f>IF(B$18=0,0,C28/B$18)</f>
        <v>8169.3520140105074</v>
      </c>
      <c r="C28" s="115">
        <v>4664700</v>
      </c>
      <c r="E28" s="44" t="s">
        <v>87</v>
      </c>
      <c r="F28" s="41" t="s">
        <v>42</v>
      </c>
      <c r="G28" s="34">
        <v>4</v>
      </c>
      <c r="H28" s="107">
        <f>IF(B$51=0,0,G28/B$51)</f>
        <v>2.2209883398112162E-3</v>
      </c>
      <c r="I28" s="68">
        <v>6</v>
      </c>
      <c r="K28" s="5">
        <v>26</v>
      </c>
      <c r="L28" s="73">
        <v>108.20000000000002</v>
      </c>
      <c r="N28" s="89" t="s">
        <v>191</v>
      </c>
      <c r="O28" s="99">
        <f>IF(P28=0,0,Q28/P28)</f>
        <v>5.1413223140495861</v>
      </c>
      <c r="P28" s="93">
        <v>242</v>
      </c>
      <c r="Q28" s="81">
        <v>1244.1999999999998</v>
      </c>
    </row>
    <row r="29" spans="1:17" x14ac:dyDescent="0.45">
      <c r="A29" s="38" t="s">
        <v>161</v>
      </c>
      <c r="B29" s="114">
        <f>IF(B$20=0,0,C29/B$20)</f>
        <v>-8350</v>
      </c>
      <c r="C29" s="115">
        <v>-6579800</v>
      </c>
      <c r="E29" s="44" t="s">
        <v>88</v>
      </c>
      <c r="F29" s="41" t="s">
        <v>43</v>
      </c>
      <c r="G29" s="34">
        <v>4</v>
      </c>
      <c r="H29" s="107">
        <f>IF(B$51=0,0,G29/B$51)</f>
        <v>2.2209883398112162E-3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2.2209883398112162E-3</v>
      </c>
      <c r="I30" s="68">
        <v>2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1.665741254858412E-3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2</v>
      </c>
      <c r="H32" s="107">
        <f>IF(B$51=0,0,G32/B$51)</f>
        <v>1.1104941699056081E-3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3">
        <v>149100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8.8074687334859956E-4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4">
        <v>124</v>
      </c>
      <c r="C36" s="119">
        <f>IF(B$19=0,0,B36/B$19)</f>
        <v>6.3362289218191106E-2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257</v>
      </c>
      <c r="C37" s="31">
        <f t="shared" ref="C37:C48" si="2">IF(B$19=0,0,B37/B$19)</f>
        <v>0.13132345426673481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5">
        <v>346</v>
      </c>
      <c r="C38" s="31">
        <f>IF(B$19=0,0,B38/B$19)</f>
        <v>0.17680122636688808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5">
        <v>353</v>
      </c>
      <c r="C39" s="31">
        <f t="shared" si="2"/>
        <v>0.18037812979049567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5">
        <v>265</v>
      </c>
      <c r="C40" s="31">
        <f t="shared" si="2"/>
        <v>0.13541134389371487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5">
        <v>192</v>
      </c>
      <c r="C41" s="31">
        <f t="shared" si="2"/>
        <v>9.810935104752172E-2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5">
        <v>119</v>
      </c>
      <c r="C42" s="31">
        <f t="shared" si="2"/>
        <v>6.0807358201328564E-2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5">
        <v>55</v>
      </c>
      <c r="C43" s="31">
        <f t="shared" si="2"/>
        <v>2.8104241185487992E-2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5">
        <v>35</v>
      </c>
      <c r="C44" s="31">
        <f t="shared" si="2"/>
        <v>1.7884517118037811E-2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5">
        <v>15</v>
      </c>
      <c r="C45" s="31">
        <f t="shared" si="2"/>
        <v>7.6647930505876344E-3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5">
        <v>9</v>
      </c>
      <c r="C46" s="31">
        <f t="shared" si="2"/>
        <v>4.5988758303525806E-3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5">
        <v>3</v>
      </c>
      <c r="C47" s="31">
        <f t="shared" si="2"/>
        <v>1.5329586101175269E-3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6">
        <v>28</v>
      </c>
      <c r="C48" s="32">
        <f t="shared" si="2"/>
        <v>1.430761369443025E-2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5221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29">
        <v>1801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6B57-3705-4072-93E8-62E5E1208021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184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43">
        <v>25</v>
      </c>
      <c r="C3" s="14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45">
        <v>-132.1</v>
      </c>
      <c r="C4" s="14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9">
        <f>IF(B$2=0,0,B$4/B$2)</f>
        <v>-33.024999999999999</v>
      </c>
      <c r="C5" s="140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7">
        <f>IF(B$2=0,0,(B$7*1+B$8*2+B$9*3)/B$2)</f>
        <v>3</v>
      </c>
      <c r="C6" s="138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9">
        <f>AVERAGE(B10:B12)</f>
        <v>-11.008333333333333</v>
      </c>
      <c r="C13" s="140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0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13000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5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5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C90D-9C7A-405F-8E96-BD54E17FE16F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189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24</v>
      </c>
      <c r="C2" s="132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-3958.3333333333335</v>
      </c>
      <c r="P2" s="92">
        <v>24</v>
      </c>
      <c r="Q2" s="76">
        <v>-95000</v>
      </c>
    </row>
    <row r="3" spans="1:17" x14ac:dyDescent="0.45">
      <c r="A3" s="37" t="s">
        <v>8</v>
      </c>
      <c r="B3" s="143">
        <v>190</v>
      </c>
      <c r="C3" s="144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-1260.8695652173913</v>
      </c>
      <c r="P3" s="93">
        <v>23</v>
      </c>
      <c r="Q3" s="77">
        <v>-29000</v>
      </c>
    </row>
    <row r="4" spans="1:17" x14ac:dyDescent="0.45">
      <c r="A4" s="37" t="s">
        <v>6</v>
      </c>
      <c r="B4" s="145">
        <v>-151.4</v>
      </c>
      <c r="C4" s="146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-2678.2608695652175</v>
      </c>
      <c r="P4" s="93">
        <v>23</v>
      </c>
      <c r="Q4" s="77">
        <v>-61600</v>
      </c>
    </row>
    <row r="5" spans="1:17" x14ac:dyDescent="0.45">
      <c r="A5" s="37" t="s">
        <v>7</v>
      </c>
      <c r="B5" s="139">
        <f>IF(B$2=0,0,B$4/B$2)</f>
        <v>-6.3083333333333336</v>
      </c>
      <c r="C5" s="140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1652.6315789473683</v>
      </c>
      <c r="P5" s="93">
        <v>19</v>
      </c>
      <c r="Q5" s="77">
        <v>31400</v>
      </c>
    </row>
    <row r="6" spans="1:17" x14ac:dyDescent="0.45">
      <c r="A6" s="37" t="s">
        <v>1</v>
      </c>
      <c r="B6" s="137">
        <f>IF(B$2=0,0,(B$7*1+B$8*2+B$9*3)/B$2)</f>
        <v>2.125</v>
      </c>
      <c r="C6" s="138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1317.6470588235295</v>
      </c>
      <c r="P6" s="93">
        <v>17</v>
      </c>
      <c r="Q6" s="77">
        <v>22400</v>
      </c>
    </row>
    <row r="7" spans="1:17" x14ac:dyDescent="0.45">
      <c r="A7" s="37" t="s">
        <v>2</v>
      </c>
      <c r="B7" s="34">
        <v>7</v>
      </c>
      <c r="C7" s="31">
        <f t="shared" ref="C7:C14" si="1">IF(B$2=0,0,B7/B$2)</f>
        <v>0.29166666666666669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846.66666666666663</v>
      </c>
      <c r="P7" s="94">
        <v>15</v>
      </c>
      <c r="Q7" s="78">
        <v>12700</v>
      </c>
    </row>
    <row r="8" spans="1:17" x14ac:dyDescent="0.45">
      <c r="A8" s="37" t="s">
        <v>3</v>
      </c>
      <c r="B8" s="34">
        <v>7</v>
      </c>
      <c r="C8" s="31">
        <f t="shared" si="1"/>
        <v>0.29166666666666669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10</v>
      </c>
      <c r="C9" s="7">
        <f t="shared" si="1"/>
        <v>0.41666666666666669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-19.166666666666668</v>
      </c>
      <c r="P10" s="92">
        <v>6</v>
      </c>
      <c r="Q10" s="80">
        <v>-115</v>
      </c>
    </row>
    <row r="11" spans="1:17" x14ac:dyDescent="0.45">
      <c r="A11" s="38" t="s">
        <v>204</v>
      </c>
      <c r="B11" s="120">
        <f>IF(B8=0,0,C11/B8)</f>
        <v>2.5428571428571423</v>
      </c>
      <c r="C11" s="121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5">
      <c r="A12" s="38" t="s">
        <v>205</v>
      </c>
      <c r="B12" s="120">
        <f>IF(B9=0,0,C12/B9)</f>
        <v>-35.839999999999996</v>
      </c>
      <c r="C12" s="121">
        <v>-358.4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9">
        <f>AVERAGE(B10:B12)</f>
        <v>-2.0895238095238078</v>
      </c>
      <c r="C13" s="140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</v>
      </c>
      <c r="C14" s="32">
        <f t="shared" si="1"/>
        <v>0.16666666666666666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66</v>
      </c>
      <c r="C15" s="11">
        <f>IF(B$50=0,0,B15/B$50)</f>
        <v>0.35675675675675678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5">
      <c r="A16" s="37" t="s">
        <v>118</v>
      </c>
      <c r="B16" s="34">
        <v>22</v>
      </c>
      <c r="C16" s="31">
        <f>IF(B$50=0,0,B16/B$50)</f>
        <v>0.11891891891891893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5">
      <c r="A17" s="19" t="s">
        <v>123</v>
      </c>
      <c r="B17" s="13">
        <v>33</v>
      </c>
      <c r="C17" s="4">
        <f>IF(B$15=0,0,B17/B$15)</f>
        <v>0.5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191</v>
      </c>
      <c r="O17" s="99">
        <f>IF(P17=0,0,Q17/P17)</f>
        <v>3.1538461538461542</v>
      </c>
      <c r="P17" s="93">
        <v>13</v>
      </c>
      <c r="Q17" s="81">
        <v>41.000000000000007</v>
      </c>
    </row>
    <row r="18" spans="1:17" x14ac:dyDescent="0.45">
      <c r="A18" s="19" t="s">
        <v>124</v>
      </c>
      <c r="B18" s="13">
        <v>15</v>
      </c>
      <c r="C18" s="4">
        <f>IF(B$16=0,0,B18/B$16)</f>
        <v>0.68181818181818177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193</v>
      </c>
      <c r="O18" s="99">
        <f>IF(P18=0,0,Q18/P18)</f>
        <v>2.8600000000000012</v>
      </c>
      <c r="P18" s="93">
        <v>5</v>
      </c>
      <c r="Q18" s="81">
        <v>14.300000000000006</v>
      </c>
    </row>
    <row r="19" spans="1:17" x14ac:dyDescent="0.45">
      <c r="A19" s="19" t="s">
        <v>10</v>
      </c>
      <c r="B19" s="13">
        <v>60</v>
      </c>
      <c r="C19" s="4">
        <f>IF(B$3=0,0,B19/B$3)</f>
        <v>0.31578947368421051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186</v>
      </c>
      <c r="O19" s="99">
        <f>IF(P19=0,0,Q19/P19)</f>
        <v>-0.16666666666666882</v>
      </c>
      <c r="P19" s="93">
        <v>3</v>
      </c>
      <c r="Q19" s="81">
        <v>-0.50000000000000644</v>
      </c>
    </row>
    <row r="20" spans="1:17" x14ac:dyDescent="0.45">
      <c r="A20" s="37" t="s">
        <v>13</v>
      </c>
      <c r="B20" s="34">
        <v>32</v>
      </c>
      <c r="C20" s="31">
        <f>IF(B$3=0,0,B20/B$3)</f>
        <v>0.16842105263157894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3</v>
      </c>
      <c r="K20" s="5">
        <v>18</v>
      </c>
      <c r="L20" s="73">
        <v>-71</v>
      </c>
      <c r="N20" s="89" t="s">
        <v>190</v>
      </c>
      <c r="O20" s="99">
        <f>IF(P20=0,0,Q20/P20)</f>
        <v>-0.34285714285714569</v>
      </c>
      <c r="P20" s="93">
        <v>7</v>
      </c>
      <c r="Q20" s="81">
        <v>-2.4000000000000199</v>
      </c>
    </row>
    <row r="21" spans="1:17" x14ac:dyDescent="0.45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5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-47.155555555555551</v>
      </c>
      <c r="P22" s="93">
        <v>9</v>
      </c>
      <c r="Q22" s="81">
        <v>-424.4</v>
      </c>
    </row>
    <row r="23" spans="1:17" x14ac:dyDescent="0.45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-8943.75</v>
      </c>
      <c r="C29" s="115">
        <v>-286200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7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65900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1.0526315789473684E-2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185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58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646E-135B-4DFF-BEB2-204662BC79DC}">
  <sheetPr codeName="Sheet7"/>
  <dimension ref="A1:Q42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190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426</v>
      </c>
      <c r="C2" s="132"/>
      <c r="E2" s="43" t="s">
        <v>66</v>
      </c>
      <c r="F2" s="25" t="s">
        <v>22</v>
      </c>
      <c r="G2" s="13">
        <v>634</v>
      </c>
      <c r="H2" s="106">
        <f>IF(B$51=0,0,G2/B$51)</f>
        <v>0.72873563218390802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-366.66666666666669</v>
      </c>
      <c r="P2" s="92">
        <v>423</v>
      </c>
      <c r="Q2" s="76">
        <v>-155100</v>
      </c>
    </row>
    <row r="3" spans="1:17" x14ac:dyDescent="0.45">
      <c r="A3" s="37" t="s">
        <v>8</v>
      </c>
      <c r="B3" s="143">
        <v>3470</v>
      </c>
      <c r="C3" s="144"/>
      <c r="E3" s="44" t="s">
        <v>64</v>
      </c>
      <c r="F3" s="41" t="s">
        <v>20</v>
      </c>
      <c r="G3" s="34">
        <v>507</v>
      </c>
      <c r="H3" s="107">
        <f>IF(B$51=0,0,G3/B$51)</f>
        <v>0.58275862068965523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-1131.4769975786926</v>
      </c>
      <c r="P3" s="93">
        <v>413</v>
      </c>
      <c r="Q3" s="77">
        <v>-467300</v>
      </c>
    </row>
    <row r="4" spans="1:17" x14ac:dyDescent="0.45">
      <c r="A4" s="37" t="s">
        <v>6</v>
      </c>
      <c r="B4" s="145">
        <v>-1844.6</v>
      </c>
      <c r="C4" s="146"/>
      <c r="E4" s="44" t="s">
        <v>72</v>
      </c>
      <c r="F4" s="41" t="s">
        <v>27</v>
      </c>
      <c r="G4" s="34">
        <v>422</v>
      </c>
      <c r="H4" s="107">
        <f>IF(B$51=0,0,G4/B$51)</f>
        <v>0.48505747126436782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273.02798982188295</v>
      </c>
      <c r="P4" s="93">
        <v>393</v>
      </c>
      <c r="Q4" s="77">
        <v>107300</v>
      </c>
    </row>
    <row r="5" spans="1:17" x14ac:dyDescent="0.45">
      <c r="A5" s="37" t="s">
        <v>7</v>
      </c>
      <c r="B5" s="139">
        <f>IF(B$2=0,0,B$4/B$2)</f>
        <v>-4.3300469483568076</v>
      </c>
      <c r="C5" s="140"/>
      <c r="E5" s="44" t="s">
        <v>68</v>
      </c>
      <c r="F5" s="41" t="s">
        <v>12</v>
      </c>
      <c r="G5" s="34">
        <v>311</v>
      </c>
      <c r="H5" s="107">
        <f>IF(B$51=0,0,G5/B$51)</f>
        <v>0.35747126436781607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-679.55801104972375</v>
      </c>
      <c r="P5" s="93">
        <v>362</v>
      </c>
      <c r="Q5" s="77">
        <v>-246000</v>
      </c>
    </row>
    <row r="6" spans="1:17" x14ac:dyDescent="0.45">
      <c r="A6" s="37" t="s">
        <v>1</v>
      </c>
      <c r="B6" s="137">
        <f>IF(B$2=0,0,(B$7*1+B$8*2+B$9*3)/B$2)</f>
        <v>2.112676056338028</v>
      </c>
      <c r="C6" s="138"/>
      <c r="E6" s="44" t="s">
        <v>67</v>
      </c>
      <c r="F6" s="41" t="s">
        <v>23</v>
      </c>
      <c r="G6" s="34">
        <v>291</v>
      </c>
      <c r="H6" s="107">
        <f>IF(B$51=0,0,G6/B$51)</f>
        <v>0.33448275862068966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-1095.0769230769231</v>
      </c>
      <c r="P6" s="93">
        <v>325</v>
      </c>
      <c r="Q6" s="77">
        <v>-355900</v>
      </c>
    </row>
    <row r="7" spans="1:17" x14ac:dyDescent="0.45">
      <c r="A7" s="37" t="s">
        <v>2</v>
      </c>
      <c r="B7" s="34">
        <v>113</v>
      </c>
      <c r="C7" s="31">
        <f t="shared" ref="C7:C14" si="1">IF(B$2=0,0,B7/B$2)</f>
        <v>0.26525821596244131</v>
      </c>
      <c r="E7" s="44" t="s">
        <v>157</v>
      </c>
      <c r="F7" s="41" t="s">
        <v>158</v>
      </c>
      <c r="G7" s="34">
        <v>270</v>
      </c>
      <c r="H7" s="107">
        <f>IF(B$51=0,0,G7/B$51)</f>
        <v>0.31034482758620691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-1003.956834532374</v>
      </c>
      <c r="P7" s="94">
        <v>278</v>
      </c>
      <c r="Q7" s="78">
        <v>-279100</v>
      </c>
    </row>
    <row r="8" spans="1:17" x14ac:dyDescent="0.45">
      <c r="A8" s="37" t="s">
        <v>3</v>
      </c>
      <c r="B8" s="34">
        <v>152</v>
      </c>
      <c r="C8" s="31">
        <f t="shared" si="1"/>
        <v>0.35680751173708919</v>
      </c>
      <c r="E8" s="44" t="s">
        <v>69</v>
      </c>
      <c r="F8" s="41" t="s">
        <v>24</v>
      </c>
      <c r="G8" s="34">
        <v>157</v>
      </c>
      <c r="H8" s="107">
        <f>IF(B$51=0,0,G8/B$51)</f>
        <v>0.18045977011494252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161</v>
      </c>
      <c r="C9" s="7">
        <f t="shared" si="1"/>
        <v>0.3779342723004695</v>
      </c>
      <c r="E9" s="44" t="s">
        <v>65</v>
      </c>
      <c r="F9" s="41" t="s">
        <v>21</v>
      </c>
      <c r="G9" s="34">
        <v>117</v>
      </c>
      <c r="H9" s="107">
        <f>IF(B$51=0,0,G9/B$51)</f>
        <v>0.13448275862068965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36.151327433628317</v>
      </c>
      <c r="C10" s="121">
        <v>4085.1</v>
      </c>
      <c r="E10" s="44" t="s">
        <v>89</v>
      </c>
      <c r="F10" s="41" t="s">
        <v>44</v>
      </c>
      <c r="G10" s="34">
        <v>116</v>
      </c>
      <c r="H10" s="107">
        <f>IF(B$51=0,0,G10/B$51)</f>
        <v>0.13333333333333333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-7.2918604651162804</v>
      </c>
      <c r="P10" s="92">
        <v>172</v>
      </c>
      <c r="Q10" s="80">
        <v>-1254.2000000000003</v>
      </c>
    </row>
    <row r="11" spans="1:17" x14ac:dyDescent="0.45">
      <c r="A11" s="38" t="s">
        <v>204</v>
      </c>
      <c r="B11" s="120">
        <f>IF(B8=0,0,C11/B8)</f>
        <v>-0.82697368421052619</v>
      </c>
      <c r="C11" s="121">
        <v>-125.69999999999997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0.12413793103448276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-3.7597014925373138</v>
      </c>
      <c r="P11" s="93">
        <v>134</v>
      </c>
      <c r="Q11" s="81">
        <v>-503.80000000000007</v>
      </c>
    </row>
    <row r="12" spans="1:17" x14ac:dyDescent="0.45">
      <c r="A12" s="38" t="s">
        <v>205</v>
      </c>
      <c r="B12" s="120">
        <f>IF(B9=0,0,C12/B9)</f>
        <v>-36.049689440993781</v>
      </c>
      <c r="C12" s="121">
        <v>-5803.9999999999991</v>
      </c>
      <c r="E12" s="44" t="s">
        <v>86</v>
      </c>
      <c r="F12" s="41" t="s">
        <v>41</v>
      </c>
      <c r="G12" s="34">
        <v>53</v>
      </c>
      <c r="H12" s="107">
        <f>IF(B$51=0,0,G12/B$51)</f>
        <v>6.0919540229885057E-2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-1.1478991596638652</v>
      </c>
      <c r="P12" s="94">
        <v>119</v>
      </c>
      <c r="Q12" s="82">
        <v>-136.59999999999997</v>
      </c>
    </row>
    <row r="13" spans="1:17" x14ac:dyDescent="0.45">
      <c r="A13" s="38" t="s">
        <v>206</v>
      </c>
      <c r="B13" s="139">
        <f>AVERAGE(B10:B12)</f>
        <v>-0.24177856385866411</v>
      </c>
      <c r="C13" s="140"/>
      <c r="E13" s="44" t="s">
        <v>83</v>
      </c>
      <c r="F13" s="41" t="s">
        <v>38</v>
      </c>
      <c r="G13" s="34">
        <v>46</v>
      </c>
      <c r="H13" s="107">
        <f>IF(B$51=0,0,G13/B$51)</f>
        <v>5.2873563218390804E-2</v>
      </c>
      <c r="I13" s="68">
        <v>6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58</v>
      </c>
      <c r="C14" s="32">
        <f t="shared" si="1"/>
        <v>0.13615023474178403</v>
      </c>
      <c r="E14" s="44" t="s">
        <v>71</v>
      </c>
      <c r="F14" s="41" t="s">
        <v>26</v>
      </c>
      <c r="G14" s="34">
        <v>35</v>
      </c>
      <c r="H14" s="107">
        <f>IF(B$51=0,0,G14/B$51)</f>
        <v>4.0229885057471264E-2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914</v>
      </c>
      <c r="C15" s="11">
        <f>IF(B$50=0,0,B15/B$50)</f>
        <v>0.28482393268931133</v>
      </c>
      <c r="E15" s="44" t="s">
        <v>81</v>
      </c>
      <c r="F15" s="41" t="s">
        <v>36</v>
      </c>
      <c r="G15" s="34">
        <v>27</v>
      </c>
      <c r="H15" s="107">
        <f>IF(B$51=0,0,G15/B$51)</f>
        <v>3.1034482758620689E-2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25.287499999999998</v>
      </c>
      <c r="P15" s="92">
        <v>8</v>
      </c>
      <c r="Q15" s="80">
        <v>202.29999999999998</v>
      </c>
    </row>
    <row r="16" spans="1:17" x14ac:dyDescent="0.45">
      <c r="A16" s="37" t="s">
        <v>118</v>
      </c>
      <c r="B16" s="34">
        <v>586</v>
      </c>
      <c r="C16" s="31">
        <f>IF(B$50=0,0,B16/B$50)</f>
        <v>0.18261140542224993</v>
      </c>
      <c r="E16" s="44" t="s">
        <v>78</v>
      </c>
      <c r="F16" s="41" t="s">
        <v>33</v>
      </c>
      <c r="G16" s="34">
        <v>22</v>
      </c>
      <c r="H16" s="107">
        <f>IF(B$51=0,0,G16/B$51)</f>
        <v>2.528735632183908E-2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5">
      <c r="A17" s="19" t="s">
        <v>123</v>
      </c>
      <c r="B17" s="13">
        <v>522</v>
      </c>
      <c r="C17" s="4">
        <f>IF(B$15=0,0,B17/B$15)</f>
        <v>0.57111597374179435</v>
      </c>
      <c r="E17" s="44" t="s">
        <v>91</v>
      </c>
      <c r="F17" s="41" t="s">
        <v>46</v>
      </c>
      <c r="G17" s="34">
        <v>15</v>
      </c>
      <c r="H17" s="107">
        <f>IF(B$51=0,0,G17/B$51)</f>
        <v>1.7241379310344827E-2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6.6475000000000009</v>
      </c>
      <c r="P17" s="93">
        <v>80</v>
      </c>
      <c r="Q17" s="81">
        <v>531.80000000000007</v>
      </c>
    </row>
    <row r="18" spans="1:17" x14ac:dyDescent="0.45">
      <c r="A18" s="19" t="s">
        <v>124</v>
      </c>
      <c r="B18" s="13">
        <v>214</v>
      </c>
      <c r="C18" s="4">
        <f>IF(B$16=0,0,B18/B$16)</f>
        <v>0.3651877133105802</v>
      </c>
      <c r="E18" s="44" t="s">
        <v>79</v>
      </c>
      <c r="F18" s="41" t="s">
        <v>34</v>
      </c>
      <c r="G18" s="34">
        <v>14</v>
      </c>
      <c r="H18" s="107">
        <f>IF(B$51=0,0,G18/B$51)</f>
        <v>1.6091954022988506E-2</v>
      </c>
      <c r="I18" s="68">
        <v>9</v>
      </c>
      <c r="K18" s="5">
        <v>16</v>
      </c>
      <c r="L18" s="73">
        <v>14.600000000000001</v>
      </c>
      <c r="N18" s="89" t="s">
        <v>191</v>
      </c>
      <c r="O18" s="99">
        <f>IF(P18=0,0,Q18/P18)</f>
        <v>1.3741071428571441</v>
      </c>
      <c r="P18" s="93">
        <v>112</v>
      </c>
      <c r="Q18" s="81">
        <v>153.90000000000015</v>
      </c>
    </row>
    <row r="19" spans="1:17" x14ac:dyDescent="0.45">
      <c r="A19" s="19" t="s">
        <v>10</v>
      </c>
      <c r="B19" s="13">
        <v>931</v>
      </c>
      <c r="C19" s="4">
        <f>IF(B$3=0,0,B19/B$3)</f>
        <v>0.26829971181556195</v>
      </c>
      <c r="E19" s="44" t="s">
        <v>153</v>
      </c>
      <c r="F19" s="41" t="s">
        <v>154</v>
      </c>
      <c r="G19" s="34">
        <v>12</v>
      </c>
      <c r="H19" s="107">
        <f>IF(B$51=0,0,G19/B$51)</f>
        <v>1.3793103448275862E-2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643</v>
      </c>
      <c r="C20" s="31">
        <f>IF(B$3=0,0,B20/B$3)</f>
        <v>0.18530259365994237</v>
      </c>
      <c r="E20" s="44" t="s">
        <v>75</v>
      </c>
      <c r="F20" s="41" t="s">
        <v>30</v>
      </c>
      <c r="G20" s="34">
        <v>8</v>
      </c>
      <c r="H20" s="107">
        <f>IF(B$51=0,0,G20/B$51)</f>
        <v>9.1954022988505746E-3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423</v>
      </c>
      <c r="C21" s="31">
        <f>IF(B$19=0,0,B21/B$19)</f>
        <v>0.45435016111707843</v>
      </c>
      <c r="E21" s="44" t="s">
        <v>73</v>
      </c>
      <c r="F21" s="41" t="s">
        <v>28</v>
      </c>
      <c r="G21" s="34">
        <v>4</v>
      </c>
      <c r="H21" s="107">
        <f>IF(B$51=0,0,G21/B$51)</f>
        <v>4.5977011494252873E-3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-3.6046153846153843</v>
      </c>
      <c r="P21" s="93">
        <v>65</v>
      </c>
      <c r="Q21" s="81">
        <v>-234.29999999999998</v>
      </c>
    </row>
    <row r="22" spans="1:17" x14ac:dyDescent="0.45">
      <c r="A22" s="37" t="s">
        <v>11</v>
      </c>
      <c r="B22" s="34">
        <v>508</v>
      </c>
      <c r="C22" s="31">
        <f>IF(B$19=0,0,B22/B$19)</f>
        <v>0.54564983888292162</v>
      </c>
      <c r="E22" s="44" t="s">
        <v>92</v>
      </c>
      <c r="F22" s="41" t="s">
        <v>47</v>
      </c>
      <c r="G22" s="34">
        <v>4</v>
      </c>
      <c r="H22" s="107">
        <f>IF(B$51=0,0,G22/B$51)</f>
        <v>4.5977011494252873E-3</v>
      </c>
      <c r="I22" s="68">
        <v>7</v>
      </c>
      <c r="K22" s="5">
        <v>20</v>
      </c>
      <c r="L22" s="73">
        <v>-57.899999999999991</v>
      </c>
      <c r="N22" s="89" t="s">
        <v>194</v>
      </c>
      <c r="O22" s="99">
        <f>IF(P22=0,0,Q22/P22)</f>
        <v>-8.4020408163265241</v>
      </c>
      <c r="P22" s="93">
        <v>49</v>
      </c>
      <c r="Q22" s="81">
        <v>-411.6999999999997</v>
      </c>
    </row>
    <row r="23" spans="1:17" x14ac:dyDescent="0.45">
      <c r="A23" s="37" t="s">
        <v>180</v>
      </c>
      <c r="B23" s="34">
        <v>522</v>
      </c>
      <c r="C23" s="31">
        <f>IF(B$19=0,0,B23/B$19)</f>
        <v>0.56068743286788403</v>
      </c>
      <c r="E23" s="44" t="s">
        <v>74</v>
      </c>
      <c r="F23" s="41" t="s">
        <v>29</v>
      </c>
      <c r="G23" s="34">
        <v>3</v>
      </c>
      <c r="H23" s="107">
        <f>IF(B$51=0,0,G23/B$51)</f>
        <v>3.4482758620689655E-3</v>
      </c>
      <c r="I23" s="68">
        <v>7</v>
      </c>
      <c r="K23" s="5">
        <v>21</v>
      </c>
      <c r="L23" s="73">
        <v>-82.699999999999989</v>
      </c>
      <c r="N23" s="89" t="s">
        <v>193</v>
      </c>
      <c r="O23" s="99">
        <f>IF(P23=0,0,Q23/P23)</f>
        <v>-8.4066666666666627</v>
      </c>
      <c r="P23" s="93">
        <v>165</v>
      </c>
      <c r="Q23" s="81">
        <v>-1387.0999999999995</v>
      </c>
    </row>
    <row r="24" spans="1:17" x14ac:dyDescent="0.45">
      <c r="A24" s="37" t="s">
        <v>178</v>
      </c>
      <c r="B24" s="34">
        <v>214</v>
      </c>
      <c r="C24" s="31">
        <f>IF(B$19=0,0,B24/B$19)</f>
        <v>0.22986036519871106</v>
      </c>
      <c r="E24" s="44" t="s">
        <v>84</v>
      </c>
      <c r="F24" s="41" t="s">
        <v>39</v>
      </c>
      <c r="G24" s="34">
        <v>3</v>
      </c>
      <c r="H24" s="107">
        <f>IF(B$51=0,0,G24/B$51)</f>
        <v>3.4482758620689655E-3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-14.77548387096774</v>
      </c>
      <c r="P24" s="93">
        <v>310</v>
      </c>
      <c r="Q24" s="81">
        <v>-4580.3999999999996</v>
      </c>
    </row>
    <row r="25" spans="1:17" x14ac:dyDescent="0.45">
      <c r="A25" s="37" t="s">
        <v>179</v>
      </c>
      <c r="B25" s="34">
        <v>195</v>
      </c>
      <c r="C25" s="31">
        <f>IF(B$19=0,0,B25/B$19)</f>
        <v>0.20945220193340494</v>
      </c>
      <c r="E25" s="44" t="s">
        <v>85</v>
      </c>
      <c r="F25" s="41" t="s">
        <v>40</v>
      </c>
      <c r="G25" s="34">
        <v>3</v>
      </c>
      <c r="H25" s="107">
        <f>IF(B$51=0,0,G25/B$51)</f>
        <v>3.4482758620689655E-3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9224.9194414607955</v>
      </c>
      <c r="C26" s="8">
        <v>8588400</v>
      </c>
      <c r="E26" s="44" t="s">
        <v>88</v>
      </c>
      <c r="F26" s="41" t="s">
        <v>43</v>
      </c>
      <c r="G26" s="34">
        <v>2</v>
      </c>
      <c r="H26" s="107">
        <f>IF(B$51=0,0,G26/B$51)</f>
        <v>2.2988505747126436E-3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9663.5983263598318</v>
      </c>
      <c r="C27" s="115">
        <v>6928800</v>
      </c>
      <c r="E27" s="44" t="s">
        <v>77</v>
      </c>
      <c r="F27" s="41" t="s">
        <v>32</v>
      </c>
      <c r="G27" s="34">
        <v>1</v>
      </c>
      <c r="H27" s="107">
        <f>IF(B$51=0,0,G27/B$51)</f>
        <v>1.1494252873563218E-3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7755.1401869158881</v>
      </c>
      <c r="C28" s="115">
        <v>1659600</v>
      </c>
      <c r="E28" s="44" t="s">
        <v>80</v>
      </c>
      <c r="F28" s="41" t="s">
        <v>35</v>
      </c>
      <c r="G28" s="34">
        <v>1</v>
      </c>
      <c r="H28" s="107">
        <f>IF(B$51=0,0,G28/B$51)</f>
        <v>1.1494252873563218E-3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-8327.6827371695181</v>
      </c>
      <c r="C29" s="115">
        <v>-5354700</v>
      </c>
      <c r="E29" s="44" t="s">
        <v>87</v>
      </c>
      <c r="F29" s="41" t="s">
        <v>42</v>
      </c>
      <c r="G29" s="34">
        <v>1</v>
      </c>
      <c r="H29" s="107">
        <f>IF(B$51=0,0,G29/B$51)</f>
        <v>1.1494252873563218E-3</v>
      </c>
      <c r="I29" s="68">
        <v>9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1.1494252873563218E-3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1.1494252873563218E-3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35">
        <v>10</v>
      </c>
      <c r="C32" s="136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3">
        <v>107600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3.7463976945244955E-3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4">
        <v>49</v>
      </c>
      <c r="C36" s="119">
        <f>IF(B$19=0,0,B36/B$19)</f>
        <v>5.2631578947368418E-2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113</v>
      </c>
      <c r="C37" s="31">
        <f t="shared" ref="C37:C48" si="2">IF(B$19=0,0,B37/B$19)</f>
        <v>0.12137486573576799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5">
        <v>174</v>
      </c>
      <c r="C38" s="31">
        <f>IF(B$19=0,0,B38/B$19)</f>
        <v>0.18689581095596133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5">
        <v>158</v>
      </c>
      <c r="C39" s="31">
        <f t="shared" si="2"/>
        <v>0.16970998925886144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5">
        <v>145</v>
      </c>
      <c r="C40" s="31">
        <f t="shared" si="2"/>
        <v>0.15574650912996776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5">
        <v>99</v>
      </c>
      <c r="C41" s="31">
        <f t="shared" si="2"/>
        <v>0.10633727175080558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5">
        <v>63</v>
      </c>
      <c r="C42" s="31">
        <f t="shared" si="2"/>
        <v>6.7669172932330823E-2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171</v>
      </c>
      <c r="B43" s="125">
        <v>31</v>
      </c>
      <c r="C43" s="31">
        <f t="shared" si="2"/>
        <v>3.3297529538131039E-2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5">
        <v>14</v>
      </c>
      <c r="C44" s="31">
        <f t="shared" si="2"/>
        <v>1.5037593984962405E-2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5">
        <v>7</v>
      </c>
      <c r="C45" s="31">
        <f t="shared" si="2"/>
        <v>7.5187969924812026E-3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5">
        <v>3</v>
      </c>
      <c r="C46" s="31">
        <f t="shared" si="2"/>
        <v>3.22234156820623E-3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5">
        <v>5</v>
      </c>
      <c r="C47" s="31">
        <f t="shared" si="2"/>
        <v>5.3705692803437165E-3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6">
        <v>9</v>
      </c>
      <c r="C48" s="32">
        <f t="shared" si="2"/>
        <v>9.6670247046186895E-3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3209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29">
        <v>870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CF5A-DF9D-4CF0-90EB-12BA456F0390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194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43">
        <v>670</v>
      </c>
      <c r="C3" s="14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45">
        <v>-3.4999999999999893</v>
      </c>
      <c r="C4" s="14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9">
        <f>IF(B$2=0,0,B$4/B$2)</f>
        <v>-3.8461538461538346E-2</v>
      </c>
      <c r="C5" s="140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7">
        <f>IF(B$2=0,0,(B$7*1+B$8*2+B$9*3)/B$2)</f>
        <v>1.9890109890109891</v>
      </c>
      <c r="C6" s="138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9">
        <f>AVERAGE(B10:B12)</f>
        <v>-0.4518996415770597</v>
      </c>
      <c r="C13" s="140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3">
        <v>118000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4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5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5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5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5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5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5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5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5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6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29">
        <v>133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45773-E53B-46F9-B207-C53643E82BD2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185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43">
        <v>37</v>
      </c>
      <c r="C3" s="14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45">
        <v>-86.4</v>
      </c>
      <c r="C4" s="14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9">
        <f>IF(B$2=0,0,B$4/B$2)</f>
        <v>-17.28</v>
      </c>
      <c r="C5" s="140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-10.6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3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57800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5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5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9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34B6-C987-4F84-8554-A9B6303B8F50}">
  <sheetPr codeName="Sheet10"/>
  <dimension ref="A1:Q28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188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285</v>
      </c>
      <c r="C2" s="132"/>
      <c r="E2" s="43" t="s">
        <v>66</v>
      </c>
      <c r="F2" s="25" t="s">
        <v>22</v>
      </c>
      <c r="G2" s="13">
        <v>440</v>
      </c>
      <c r="H2" s="106">
        <f>IF(B$51=0,0,G2/B$51)</f>
        <v>0.66465256797583083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310.5263157894737</v>
      </c>
      <c r="P2" s="92">
        <v>285</v>
      </c>
      <c r="Q2" s="76">
        <v>88500</v>
      </c>
    </row>
    <row r="3" spans="1:17" x14ac:dyDescent="0.45">
      <c r="A3" s="37" t="s">
        <v>8</v>
      </c>
      <c r="B3" s="143">
        <v>2398</v>
      </c>
      <c r="C3" s="144"/>
      <c r="E3" s="44" t="s">
        <v>72</v>
      </c>
      <c r="F3" s="41" t="s">
        <v>27</v>
      </c>
      <c r="G3" s="34">
        <v>372</v>
      </c>
      <c r="H3" s="107">
        <f>IF(B$51=0,0,G3/B$51)</f>
        <v>0.5619335347432024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-1831.6546762589928</v>
      </c>
      <c r="P3" s="93">
        <v>278</v>
      </c>
      <c r="Q3" s="77">
        <v>-509200</v>
      </c>
    </row>
    <row r="4" spans="1:17" x14ac:dyDescent="0.45">
      <c r="A4" s="37" t="s">
        <v>6</v>
      </c>
      <c r="B4" s="145">
        <v>-1505.5000000000002</v>
      </c>
      <c r="C4" s="146"/>
      <c r="E4" s="44" t="s">
        <v>64</v>
      </c>
      <c r="F4" s="41" t="s">
        <v>20</v>
      </c>
      <c r="G4" s="34">
        <v>232</v>
      </c>
      <c r="H4" s="107">
        <f>IF(B$51=0,0,G4/B$51)</f>
        <v>0.35045317220543809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-1646.1240310077519</v>
      </c>
      <c r="P4" s="93">
        <v>258</v>
      </c>
      <c r="Q4" s="77">
        <v>-424700</v>
      </c>
    </row>
    <row r="5" spans="1:17" x14ac:dyDescent="0.45">
      <c r="A5" s="37" t="s">
        <v>7</v>
      </c>
      <c r="B5" s="139">
        <f>IF(B$2=0,0,B$4/B$2)</f>
        <v>-5.2824561403508783</v>
      </c>
      <c r="C5" s="140"/>
      <c r="E5" s="44" t="s">
        <v>157</v>
      </c>
      <c r="F5" s="41" t="s">
        <v>158</v>
      </c>
      <c r="G5" s="34">
        <v>210</v>
      </c>
      <c r="H5" s="107">
        <f>IF(B$51=0,0,G5/B$51)</f>
        <v>0.31722054380664655</v>
      </c>
      <c r="I5" s="68">
        <v>9</v>
      </c>
      <c r="K5" s="5">
        <v>3</v>
      </c>
      <c r="L5" s="73">
        <v>82.1</v>
      </c>
      <c r="N5" s="89" t="s">
        <v>129</v>
      </c>
      <c r="O5" s="96">
        <f t="shared" si="0"/>
        <v>-9.0163934426229506</v>
      </c>
      <c r="P5" s="93">
        <v>244</v>
      </c>
      <c r="Q5" s="77">
        <v>-2200</v>
      </c>
    </row>
    <row r="6" spans="1:17" x14ac:dyDescent="0.45">
      <c r="A6" s="37" t="s">
        <v>1</v>
      </c>
      <c r="B6" s="137">
        <f>IF(B$2=0,0,(B$7*1+B$8*2+B$9*3)/B$2)</f>
        <v>2.1403508771929824</v>
      </c>
      <c r="C6" s="138"/>
      <c r="E6" s="44" t="s">
        <v>68</v>
      </c>
      <c r="F6" s="41" t="s">
        <v>12</v>
      </c>
      <c r="G6" s="34">
        <v>181</v>
      </c>
      <c r="H6" s="107">
        <f>IF(B$51=0,0,G6/B$51)</f>
        <v>0.27341389728096677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-833.77777777777783</v>
      </c>
      <c r="P6" s="93">
        <v>225</v>
      </c>
      <c r="Q6" s="77">
        <v>-187600</v>
      </c>
    </row>
    <row r="7" spans="1:17" x14ac:dyDescent="0.45">
      <c r="A7" s="37" t="s">
        <v>2</v>
      </c>
      <c r="B7" s="34">
        <v>70</v>
      </c>
      <c r="C7" s="31">
        <f t="shared" ref="C7:C14" si="1">IF(B$2=0,0,B7/B$2)</f>
        <v>0.24561403508771928</v>
      </c>
      <c r="E7" s="44" t="s">
        <v>67</v>
      </c>
      <c r="F7" s="41" t="s">
        <v>23</v>
      </c>
      <c r="G7" s="34">
        <v>116</v>
      </c>
      <c r="H7" s="107">
        <f>IF(B$51=0,0,G7/B$51)</f>
        <v>0.17522658610271905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-1286.5591397849462</v>
      </c>
      <c r="P7" s="94">
        <v>186</v>
      </c>
      <c r="Q7" s="78">
        <v>-239300</v>
      </c>
    </row>
    <row r="8" spans="1:17" x14ac:dyDescent="0.45">
      <c r="A8" s="37" t="s">
        <v>3</v>
      </c>
      <c r="B8" s="34">
        <v>105</v>
      </c>
      <c r="C8" s="31">
        <f t="shared" si="1"/>
        <v>0.36842105263157893</v>
      </c>
      <c r="E8" s="44" t="s">
        <v>69</v>
      </c>
      <c r="F8" s="41" t="s">
        <v>24</v>
      </c>
      <c r="G8" s="34">
        <v>102</v>
      </c>
      <c r="H8" s="107">
        <f>IF(B$51=0,0,G8/B$51)</f>
        <v>0.15407854984894259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110</v>
      </c>
      <c r="C9" s="7">
        <f t="shared" si="1"/>
        <v>0.38596491228070173</v>
      </c>
      <c r="E9" s="44" t="s">
        <v>65</v>
      </c>
      <c r="F9" s="41" t="s">
        <v>21</v>
      </c>
      <c r="G9" s="34">
        <v>64</v>
      </c>
      <c r="H9" s="107">
        <f>IF(B$51=0,0,G9/B$51)</f>
        <v>9.6676737160120846E-2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35.725714285714282</v>
      </c>
      <c r="C10" s="121">
        <v>2500.7999999999997</v>
      </c>
      <c r="E10" s="44" t="s">
        <v>71</v>
      </c>
      <c r="F10" s="41" t="s">
        <v>26</v>
      </c>
      <c r="G10" s="34">
        <v>62</v>
      </c>
      <c r="H10" s="107">
        <f>IF(B$51=0,0,G10/B$51)</f>
        <v>9.3655589123867067E-2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-8.4757009345794412</v>
      </c>
      <c r="P10" s="92">
        <v>107</v>
      </c>
      <c r="Q10" s="80">
        <v>-906.9000000000002</v>
      </c>
    </row>
    <row r="11" spans="1:17" x14ac:dyDescent="0.45">
      <c r="A11" s="38" t="s">
        <v>204</v>
      </c>
      <c r="B11" s="120">
        <f>IF(B8=0,0,C11/B8)</f>
        <v>-1.7552380952380957</v>
      </c>
      <c r="C11" s="121">
        <v>-184.30000000000004</v>
      </c>
      <c r="E11" s="44" t="s">
        <v>70</v>
      </c>
      <c r="F11" s="41" t="s">
        <v>25</v>
      </c>
      <c r="G11" s="34">
        <v>59</v>
      </c>
      <c r="H11" s="107">
        <f>IF(B$51=0,0,G11/B$51)</f>
        <v>8.9123867069486398E-2</v>
      </c>
      <c r="I11" s="68">
        <v>11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5">
      <c r="A12" s="38" t="s">
        <v>205</v>
      </c>
      <c r="B12" s="120">
        <f>IF(B9=0,0,C12/B9)</f>
        <v>-34.745454545454542</v>
      </c>
      <c r="C12" s="121">
        <v>-3821.9999999999995</v>
      </c>
      <c r="E12" s="44" t="s">
        <v>89</v>
      </c>
      <c r="F12" s="41" t="s">
        <v>44</v>
      </c>
      <c r="G12" s="34">
        <v>50</v>
      </c>
      <c r="H12" s="107">
        <f>IF(B$51=0,0,G12/B$51)</f>
        <v>7.5528700906344406E-2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-3.5260416666666665</v>
      </c>
      <c r="P12" s="94">
        <v>96</v>
      </c>
      <c r="Q12" s="82">
        <v>-338.5</v>
      </c>
    </row>
    <row r="13" spans="1:17" x14ac:dyDescent="0.45">
      <c r="A13" s="38" t="s">
        <v>206</v>
      </c>
      <c r="B13" s="139">
        <f>AVERAGE(B10:B12)</f>
        <v>-0.25832611832611957</v>
      </c>
      <c r="C13" s="140"/>
      <c r="E13" s="44" t="s">
        <v>83</v>
      </c>
      <c r="F13" s="41" t="s">
        <v>38</v>
      </c>
      <c r="G13" s="34">
        <v>43</v>
      </c>
      <c r="H13" s="107">
        <f>IF(B$51=0,0,G13/B$51)</f>
        <v>6.4954682779456194E-2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31</v>
      </c>
      <c r="C14" s="32">
        <f t="shared" si="1"/>
        <v>0.10877192982456141</v>
      </c>
      <c r="E14" s="44" t="s">
        <v>86</v>
      </c>
      <c r="F14" s="41" t="s">
        <v>41</v>
      </c>
      <c r="G14" s="34">
        <v>25</v>
      </c>
      <c r="H14" s="107">
        <f>IF(B$51=0,0,G14/B$51)</f>
        <v>3.7764350453172203E-2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444</v>
      </c>
      <c r="C15" s="11">
        <f>IF(B$50=0,0,B15/B$50)</f>
        <v>0.20018034265103696</v>
      </c>
      <c r="E15" s="44" t="s">
        <v>81</v>
      </c>
      <c r="F15" s="41" t="s">
        <v>36</v>
      </c>
      <c r="G15" s="34">
        <v>23</v>
      </c>
      <c r="H15" s="107">
        <f>IF(B$51=0,0,G15/B$51)</f>
        <v>3.4743202416918431E-2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118</v>
      </c>
      <c r="B16" s="34">
        <v>612</v>
      </c>
      <c r="C16" s="31">
        <f>IF(B$50=0,0,B16/B$50)</f>
        <v>0.27592425608656446</v>
      </c>
      <c r="E16" s="44" t="s">
        <v>78</v>
      </c>
      <c r="F16" s="41" t="s">
        <v>33</v>
      </c>
      <c r="G16" s="34">
        <v>11</v>
      </c>
      <c r="H16" s="107">
        <f>IF(B$51=0,0,G16/B$51)</f>
        <v>1.6616314199395771E-2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233</v>
      </c>
      <c r="C17" s="4">
        <f>IF(B$15=0,0,B17/B$15)</f>
        <v>0.52477477477477474</v>
      </c>
      <c r="E17" s="44" t="s">
        <v>79</v>
      </c>
      <c r="F17" s="41" t="s">
        <v>34</v>
      </c>
      <c r="G17" s="34">
        <v>11</v>
      </c>
      <c r="H17" s="107">
        <f>IF(B$51=0,0,G17/B$51)</f>
        <v>1.6616314199395771E-2</v>
      </c>
      <c r="I17" s="68">
        <v>7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245</v>
      </c>
      <c r="C18" s="4">
        <f>IF(B$16=0,0,B18/B$16)</f>
        <v>0.40032679738562094</v>
      </c>
      <c r="E18" s="44" t="s">
        <v>91</v>
      </c>
      <c r="F18" s="41" t="s">
        <v>46</v>
      </c>
      <c r="G18" s="34">
        <v>8</v>
      </c>
      <c r="H18" s="107">
        <f>IF(B$51=0,0,G18/B$51)</f>
        <v>1.2084592145015106E-2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713</v>
      </c>
      <c r="C19" s="4">
        <f>IF(B$3=0,0,B19/B$3)</f>
        <v>0.29733110925771478</v>
      </c>
      <c r="E19" s="44" t="s">
        <v>74</v>
      </c>
      <c r="F19" s="41" t="s">
        <v>29</v>
      </c>
      <c r="G19" s="34">
        <v>4</v>
      </c>
      <c r="H19" s="107">
        <f>IF(B$51=0,0,G19/B$51)</f>
        <v>6.0422960725075529E-3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2.9661971830985907</v>
      </c>
      <c r="P19" s="93">
        <v>71</v>
      </c>
      <c r="Q19" s="81">
        <v>210.59999999999994</v>
      </c>
    </row>
    <row r="20" spans="1:17" x14ac:dyDescent="0.45">
      <c r="A20" s="37" t="s">
        <v>13</v>
      </c>
      <c r="B20" s="34">
        <v>392</v>
      </c>
      <c r="C20" s="31">
        <f>IF(B$3=0,0,B20/B$3)</f>
        <v>0.16346955796497081</v>
      </c>
      <c r="E20" s="44" t="s">
        <v>75</v>
      </c>
      <c r="F20" s="41" t="s">
        <v>30</v>
      </c>
      <c r="G20" s="34">
        <v>4</v>
      </c>
      <c r="H20" s="107">
        <f>IF(B$51=0,0,G20/B$51)</f>
        <v>6.0422960725075529E-3</v>
      </c>
      <c r="I20" s="68">
        <v>7</v>
      </c>
      <c r="K20" s="5">
        <v>18</v>
      </c>
      <c r="L20" s="73">
        <v>-30.300000000000008</v>
      </c>
      <c r="N20" s="89" t="s">
        <v>190</v>
      </c>
      <c r="O20" s="99">
        <f>IF(P20=0,0,Q20/P20)</f>
        <v>-6.6475000000000026</v>
      </c>
      <c r="P20" s="93">
        <v>80</v>
      </c>
      <c r="Q20" s="81">
        <v>-531.80000000000018</v>
      </c>
    </row>
    <row r="21" spans="1:17" x14ac:dyDescent="0.45">
      <c r="A21" s="37" t="s">
        <v>12</v>
      </c>
      <c r="B21" s="34">
        <v>305</v>
      </c>
      <c r="C21" s="31">
        <f>IF(B$19=0,0,B21/B$19)</f>
        <v>0.42776998597475457</v>
      </c>
      <c r="E21" s="44" t="s">
        <v>77</v>
      </c>
      <c r="F21" s="41" t="s">
        <v>32</v>
      </c>
      <c r="G21" s="34">
        <v>3</v>
      </c>
      <c r="H21" s="107">
        <f>IF(B$51=0,0,G21/B$51)</f>
        <v>4.5317220543806651E-3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-12.965277777777779</v>
      </c>
      <c r="P21" s="93">
        <v>72</v>
      </c>
      <c r="Q21" s="81">
        <v>-933.5</v>
      </c>
    </row>
    <row r="22" spans="1:17" x14ac:dyDescent="0.45">
      <c r="A22" s="37" t="s">
        <v>11</v>
      </c>
      <c r="B22" s="34">
        <v>408</v>
      </c>
      <c r="C22" s="31">
        <f>IF(B$19=0,0,B22/B$19)</f>
        <v>0.57223001402524543</v>
      </c>
      <c r="E22" s="44" t="s">
        <v>87</v>
      </c>
      <c r="F22" s="41" t="s">
        <v>42</v>
      </c>
      <c r="G22" s="34">
        <v>2</v>
      </c>
      <c r="H22" s="107">
        <f>IF(B$51=0,0,G22/B$51)</f>
        <v>3.0211480362537764E-3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7" t="s">
        <v>180</v>
      </c>
      <c r="B23" s="34">
        <v>233</v>
      </c>
      <c r="C23" s="31">
        <f>IF(B$19=0,0,B23/B$19)</f>
        <v>0.32678821879382891</v>
      </c>
      <c r="E23" s="44" t="s">
        <v>88</v>
      </c>
      <c r="F23" s="41" t="s">
        <v>43</v>
      </c>
      <c r="G23" s="34">
        <v>2</v>
      </c>
      <c r="H23" s="107">
        <f>IF(B$51=0,0,G23/B$51)</f>
        <v>3.0211480362537764E-3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-18.406666666666663</v>
      </c>
      <c r="P23" s="93">
        <v>15</v>
      </c>
      <c r="Q23" s="81">
        <v>-276.09999999999997</v>
      </c>
    </row>
    <row r="24" spans="1:17" x14ac:dyDescent="0.45">
      <c r="A24" s="37" t="s">
        <v>178</v>
      </c>
      <c r="B24" s="34">
        <v>245</v>
      </c>
      <c r="C24" s="31">
        <f>IF(B$19=0,0,B24/B$19)</f>
        <v>0.34361851332398319</v>
      </c>
      <c r="E24" s="44" t="s">
        <v>93</v>
      </c>
      <c r="F24" s="41" t="s">
        <v>48</v>
      </c>
      <c r="G24" s="34">
        <v>2</v>
      </c>
      <c r="H24" s="107">
        <f>IF(B$51=0,0,G24/B$51)</f>
        <v>3.0211480362537764E-3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-20.034756097560976</v>
      </c>
      <c r="P24" s="93">
        <v>164</v>
      </c>
      <c r="Q24" s="81">
        <v>-3285.7000000000003</v>
      </c>
    </row>
    <row r="25" spans="1:17" x14ac:dyDescent="0.45">
      <c r="A25" s="37" t="s">
        <v>179</v>
      </c>
      <c r="B25" s="34">
        <v>235</v>
      </c>
      <c r="C25" s="31">
        <f>IF(B$19=0,0,B25/B$19)</f>
        <v>0.32959326788218796</v>
      </c>
      <c r="E25" s="44" t="s">
        <v>73</v>
      </c>
      <c r="F25" s="41" t="s">
        <v>28</v>
      </c>
      <c r="G25" s="34">
        <v>1</v>
      </c>
      <c r="H25" s="107">
        <f>IF(B$51=0,0,G25/B$51)</f>
        <v>1.5105740181268882E-3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7400.8415147265077</v>
      </c>
      <c r="C26" s="8">
        <v>5276800</v>
      </c>
      <c r="E26" s="44" t="s">
        <v>84</v>
      </c>
      <c r="F26" s="41" t="s">
        <v>39</v>
      </c>
      <c r="G26" s="34">
        <v>1</v>
      </c>
      <c r="H26" s="107">
        <f>IF(B$51=0,0,G26/B$51)</f>
        <v>1.5105740181268882E-3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8046.3675213675215</v>
      </c>
      <c r="C27" s="115">
        <v>3765700</v>
      </c>
      <c r="E27" s="44" t="s">
        <v>90</v>
      </c>
      <c r="F27" s="41" t="s">
        <v>45</v>
      </c>
      <c r="G27" s="34">
        <v>1</v>
      </c>
      <c r="H27" s="107">
        <f>IF(B$51=0,0,G27/B$51)</f>
        <v>1.5105740181268882E-3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6167.7551020408164</v>
      </c>
      <c r="C28" s="115">
        <v>1511100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-8479.8469387755104</v>
      </c>
      <c r="C29" s="115">
        <v>-3324100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35">
        <v>7</v>
      </c>
      <c r="C32" s="136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40" t="s">
        <v>177</v>
      </c>
      <c r="B33" s="133">
        <v>103200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2.5020850708924102E-3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4">
        <v>71</v>
      </c>
      <c r="C36" s="119">
        <f>IF(B$19=0,0,B36/B$19)</f>
        <v>9.957924263674614E-2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143</v>
      </c>
      <c r="C37" s="31">
        <f t="shared" ref="C37:C48" si="2">IF(B$19=0,0,B37/B$19)</f>
        <v>0.2005610098176718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5">
        <v>131</v>
      </c>
      <c r="C38" s="31">
        <f>IF(B$19=0,0,B38/B$19)</f>
        <v>0.18373071528751753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5">
        <v>131</v>
      </c>
      <c r="C39" s="31">
        <f t="shared" si="2"/>
        <v>0.18373071528751753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5">
        <v>92</v>
      </c>
      <c r="C40" s="31">
        <f t="shared" si="2"/>
        <v>0.12903225806451613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5">
        <v>44</v>
      </c>
      <c r="C41" s="31">
        <f t="shared" si="2"/>
        <v>6.1711079943899017E-2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5">
        <v>24</v>
      </c>
      <c r="C42" s="31">
        <f t="shared" si="2"/>
        <v>3.3660589060308554E-2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5">
        <v>17</v>
      </c>
      <c r="C43" s="31">
        <f t="shared" si="2"/>
        <v>2.3842917251051893E-2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5">
        <v>5</v>
      </c>
      <c r="C44" s="31">
        <f t="shared" si="2"/>
        <v>7.0126227208976155E-3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5">
        <v>1</v>
      </c>
      <c r="C45" s="31">
        <f t="shared" si="2"/>
        <v>1.4025245441795231E-3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5">
        <v>1</v>
      </c>
      <c r="C46" s="31">
        <f t="shared" si="2"/>
        <v>1.4025245441795231E-3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6">
        <v>2</v>
      </c>
      <c r="C48" s="32">
        <f t="shared" si="2"/>
        <v>2.8050490883590462E-3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2218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29">
        <v>662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727C-DFB7-4202-A8DB-84E29BFA19B4}">
  <sheetPr codeName="Sheet11"/>
  <dimension ref="A1:Q50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193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504</v>
      </c>
      <c r="C2" s="132"/>
      <c r="E2" s="43" t="s">
        <v>66</v>
      </c>
      <c r="F2" s="25" t="s">
        <v>22</v>
      </c>
      <c r="G2" s="13">
        <v>904</v>
      </c>
      <c r="H2" s="106">
        <f>IF(B$51=0,0,G2/B$51)</f>
        <v>0.75902602854743917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-639.27855711422842</v>
      </c>
      <c r="P2" s="92">
        <v>499</v>
      </c>
      <c r="Q2" s="76">
        <v>-319000</v>
      </c>
    </row>
    <row r="3" spans="1:17" x14ac:dyDescent="0.45">
      <c r="A3" s="37" t="s">
        <v>8</v>
      </c>
      <c r="B3" s="143">
        <v>4109</v>
      </c>
      <c r="C3" s="144"/>
      <c r="E3" s="44" t="s">
        <v>72</v>
      </c>
      <c r="F3" s="41" t="s">
        <v>27</v>
      </c>
      <c r="G3" s="34">
        <v>624</v>
      </c>
      <c r="H3" s="107">
        <f>IF(B$51=0,0,G3/B$51)</f>
        <v>0.52392947103274556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-40.082644628099175</v>
      </c>
      <c r="P3" s="93">
        <v>484</v>
      </c>
      <c r="Q3" s="77">
        <v>-19400</v>
      </c>
    </row>
    <row r="4" spans="1:17" x14ac:dyDescent="0.45">
      <c r="A4" s="37" t="s">
        <v>6</v>
      </c>
      <c r="B4" s="145">
        <v>-980.20000000000061</v>
      </c>
      <c r="C4" s="146"/>
      <c r="E4" s="44" t="s">
        <v>64</v>
      </c>
      <c r="F4" s="41" t="s">
        <v>20</v>
      </c>
      <c r="G4" s="34">
        <v>515</v>
      </c>
      <c r="H4" s="107">
        <f>IF(B$51=0,0,G4/B$51)</f>
        <v>0.43240973971452562</v>
      </c>
      <c r="I4" s="68">
        <v>17</v>
      </c>
      <c r="K4" s="5">
        <v>2</v>
      </c>
      <c r="L4" s="73">
        <v>-45.300000000000004</v>
      </c>
      <c r="N4" s="89" t="s">
        <v>128</v>
      </c>
      <c r="O4" s="96">
        <f t="shared" si="0"/>
        <v>340.87912087912088</v>
      </c>
      <c r="P4" s="93">
        <v>455</v>
      </c>
      <c r="Q4" s="77">
        <v>155100</v>
      </c>
    </row>
    <row r="5" spans="1:17" x14ac:dyDescent="0.45">
      <c r="A5" s="37" t="s">
        <v>7</v>
      </c>
      <c r="B5" s="139">
        <f>IF(B$2=0,0,B$4/B$2)</f>
        <v>-1.9448412698412711</v>
      </c>
      <c r="C5" s="140"/>
      <c r="E5" s="44" t="s">
        <v>157</v>
      </c>
      <c r="F5" s="41" t="s">
        <v>158</v>
      </c>
      <c r="G5" s="34">
        <v>378</v>
      </c>
      <c r="H5" s="107">
        <f>IF(B$51=0,0,G5/B$51)</f>
        <v>0.31738035264483627</v>
      </c>
      <c r="I5" s="68">
        <v>8</v>
      </c>
      <c r="K5" s="5">
        <v>3</v>
      </c>
      <c r="L5" s="73">
        <v>-81.7</v>
      </c>
      <c r="N5" s="89" t="s">
        <v>129</v>
      </c>
      <c r="O5" s="96">
        <f t="shared" si="0"/>
        <v>-1104.2352941176471</v>
      </c>
      <c r="P5" s="93">
        <v>425</v>
      </c>
      <c r="Q5" s="77">
        <v>-469300</v>
      </c>
    </row>
    <row r="6" spans="1:17" x14ac:dyDescent="0.45">
      <c r="A6" s="37" t="s">
        <v>1</v>
      </c>
      <c r="B6" s="137">
        <f>IF(B$2=0,0,(B$7*1+B$8*2+B$9*3)/B$2)</f>
        <v>2.0079365079365079</v>
      </c>
      <c r="C6" s="138"/>
      <c r="E6" s="44" t="s">
        <v>68</v>
      </c>
      <c r="F6" s="41" t="s">
        <v>12</v>
      </c>
      <c r="G6" s="34">
        <v>356</v>
      </c>
      <c r="H6" s="107">
        <f>IF(B$51=0,0,G6/B$51)</f>
        <v>0.29890848026868178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-214.39790575916231</v>
      </c>
      <c r="P6" s="93">
        <v>382</v>
      </c>
      <c r="Q6" s="77">
        <v>-81900</v>
      </c>
    </row>
    <row r="7" spans="1:17" x14ac:dyDescent="0.45">
      <c r="A7" s="37" t="s">
        <v>2</v>
      </c>
      <c r="B7" s="34">
        <v>169</v>
      </c>
      <c r="C7" s="31">
        <f t="shared" ref="C7:C14" si="1">IF(B$2=0,0,B7/B$2)</f>
        <v>0.33531746031746029</v>
      </c>
      <c r="E7" s="44" t="s">
        <v>67</v>
      </c>
      <c r="F7" s="41" t="s">
        <v>23</v>
      </c>
      <c r="G7" s="34">
        <v>292</v>
      </c>
      <c r="H7" s="107">
        <f>IF(B$51=0,0,G7/B$51)</f>
        <v>0.24517212426532325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149.08536585365854</v>
      </c>
      <c r="P7" s="94">
        <v>328</v>
      </c>
      <c r="Q7" s="78">
        <v>48900</v>
      </c>
    </row>
    <row r="8" spans="1:17" x14ac:dyDescent="0.45">
      <c r="A8" s="37" t="s">
        <v>3</v>
      </c>
      <c r="B8" s="34">
        <v>162</v>
      </c>
      <c r="C8" s="31">
        <f t="shared" si="1"/>
        <v>0.32142857142857145</v>
      </c>
      <c r="E8" s="44" t="s">
        <v>69</v>
      </c>
      <c r="F8" s="41" t="s">
        <v>24</v>
      </c>
      <c r="G8" s="34">
        <v>165</v>
      </c>
      <c r="H8" s="107">
        <f>IF(B$51=0,0,G8/B$51)</f>
        <v>0.1385390428211587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173</v>
      </c>
      <c r="C9" s="7">
        <f t="shared" si="1"/>
        <v>0.34325396825396826</v>
      </c>
      <c r="E9" s="44" t="s">
        <v>89</v>
      </c>
      <c r="F9" s="41" t="s">
        <v>44</v>
      </c>
      <c r="G9" s="34">
        <v>146</v>
      </c>
      <c r="H9" s="107">
        <f>IF(B$51=0,0,G9/B$51)</f>
        <v>0.12258606213266163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35.618343195266277</v>
      </c>
      <c r="C10" s="121">
        <v>6019.5000000000009</v>
      </c>
      <c r="E10" s="44" t="s">
        <v>70</v>
      </c>
      <c r="F10" s="41" t="s">
        <v>25</v>
      </c>
      <c r="G10" s="34">
        <v>133</v>
      </c>
      <c r="H10" s="107">
        <f>IF(B$51=0,0,G10/B$51)</f>
        <v>0.11167086481947942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-3.0720238095238082</v>
      </c>
      <c r="P10" s="92">
        <v>168</v>
      </c>
      <c r="Q10" s="80">
        <v>-516.0999999999998</v>
      </c>
    </row>
    <row r="11" spans="1:17" x14ac:dyDescent="0.45">
      <c r="A11" s="38" t="s">
        <v>204</v>
      </c>
      <c r="B11" s="120">
        <f>IF(B8=0,0,C11/B8)</f>
        <v>-1.5160493827160493</v>
      </c>
      <c r="C11" s="121">
        <v>-245.59999999999997</v>
      </c>
      <c r="E11" s="44" t="s">
        <v>65</v>
      </c>
      <c r="F11" s="41" t="s">
        <v>21</v>
      </c>
      <c r="G11" s="34">
        <v>106</v>
      </c>
      <c r="H11" s="107">
        <f>IF(B$51=0,0,G11/B$51)</f>
        <v>8.9000839630562559E-2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-0.49404761904761907</v>
      </c>
      <c r="P11" s="93">
        <v>168</v>
      </c>
      <c r="Q11" s="81">
        <v>-83</v>
      </c>
    </row>
    <row r="12" spans="1:17" x14ac:dyDescent="0.45">
      <c r="A12" s="38" t="s">
        <v>205</v>
      </c>
      <c r="B12" s="120">
        <f>IF(B9=0,0,C12/B9)</f>
        <v>-39.041040462427752</v>
      </c>
      <c r="C12" s="121">
        <v>-6754.1000000000013</v>
      </c>
      <c r="E12" s="44" t="s">
        <v>71</v>
      </c>
      <c r="F12" s="41" t="s">
        <v>26</v>
      </c>
      <c r="G12" s="34">
        <v>103</v>
      </c>
      <c r="H12" s="107">
        <f>IF(B$51=0,0,G12/B$51)</f>
        <v>8.6481947942905119E-2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-2.504819277108433</v>
      </c>
      <c r="P12" s="94">
        <v>166</v>
      </c>
      <c r="Q12" s="82">
        <v>-415.79999999999984</v>
      </c>
    </row>
    <row r="13" spans="1:17" x14ac:dyDescent="0.45">
      <c r="A13" s="38" t="s">
        <v>206</v>
      </c>
      <c r="B13" s="139">
        <f>AVERAGE(B10:B12)</f>
        <v>-1.6462488832925075</v>
      </c>
      <c r="C13" s="140"/>
      <c r="E13" s="44" t="s">
        <v>86</v>
      </c>
      <c r="F13" s="41" t="s">
        <v>41</v>
      </c>
      <c r="G13" s="34">
        <v>60</v>
      </c>
      <c r="H13" s="107">
        <f>IF(B$51=0,0,G13/B$51)</f>
        <v>5.0377833753148617E-2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58</v>
      </c>
      <c r="C14" s="32">
        <f t="shared" si="1"/>
        <v>0.11507936507936507</v>
      </c>
      <c r="E14" s="44" t="s">
        <v>83</v>
      </c>
      <c r="F14" s="41" t="s">
        <v>38</v>
      </c>
      <c r="G14" s="34">
        <v>47</v>
      </c>
      <c r="H14" s="107">
        <f>IF(B$51=0,0,G14/B$51)</f>
        <v>3.9462636439966413E-2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982</v>
      </c>
      <c r="C15" s="11">
        <f>IF(B$50=0,0,B15/B$50)</f>
        <v>0.24654782827014812</v>
      </c>
      <c r="E15" s="44" t="s">
        <v>78</v>
      </c>
      <c r="F15" s="41" t="s">
        <v>33</v>
      </c>
      <c r="G15" s="34">
        <v>46</v>
      </c>
      <c r="H15" s="107">
        <f>IF(B$51=0,0,G15/B$51)</f>
        <v>3.8623005877413935E-2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973</v>
      </c>
      <c r="C16" s="31">
        <f>IF(B$50=0,0,B16/B$50)</f>
        <v>0.24428822495606328</v>
      </c>
      <c r="E16" s="44" t="s">
        <v>81</v>
      </c>
      <c r="F16" s="41" t="s">
        <v>36</v>
      </c>
      <c r="G16" s="34">
        <v>35</v>
      </c>
      <c r="H16" s="107">
        <f>IF(B$51=0,0,G16/B$51)</f>
        <v>2.938706968933669E-2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528</v>
      </c>
      <c r="C17" s="4">
        <f>IF(B$15=0,0,B17/B$15)</f>
        <v>0.53767820773930752</v>
      </c>
      <c r="E17" s="44" t="s">
        <v>91</v>
      </c>
      <c r="F17" s="41" t="s">
        <v>46</v>
      </c>
      <c r="G17" s="34">
        <v>25</v>
      </c>
      <c r="H17" s="107">
        <f>IF(B$51=0,0,G17/B$51)</f>
        <v>2.0990764063811923E-2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376</v>
      </c>
      <c r="C18" s="4">
        <f>IF(B$16=0,0,B18/B$16)</f>
        <v>0.38643371017471739</v>
      </c>
      <c r="E18" s="44" t="s">
        <v>79</v>
      </c>
      <c r="F18" s="41" t="s">
        <v>34</v>
      </c>
      <c r="G18" s="34">
        <v>16</v>
      </c>
      <c r="H18" s="107">
        <f>IF(B$51=0,0,G18/B$51)</f>
        <v>1.343408900083963E-2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8.4066666666666627</v>
      </c>
      <c r="P18" s="93">
        <v>165</v>
      </c>
      <c r="Q18" s="81">
        <v>1387.0999999999995</v>
      </c>
    </row>
    <row r="19" spans="1:17" x14ac:dyDescent="0.45">
      <c r="A19" s="19" t="s">
        <v>10</v>
      </c>
      <c r="B19" s="13">
        <v>1228</v>
      </c>
      <c r="C19" s="4">
        <f>IF(B$3=0,0,B19/B$3)</f>
        <v>0.29885616938427839</v>
      </c>
      <c r="E19" s="44" t="s">
        <v>77</v>
      </c>
      <c r="F19" s="41" t="s">
        <v>32</v>
      </c>
      <c r="G19" s="34">
        <v>9</v>
      </c>
      <c r="H19" s="107">
        <f>IF(B$51=0,0,G19/B$51)</f>
        <v>7.556675062972292E-3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696</v>
      </c>
      <c r="C20" s="31">
        <f>IF(B$3=0,0,B20/B$3)</f>
        <v>0.16938427841323922</v>
      </c>
      <c r="E20" s="44" t="s">
        <v>153</v>
      </c>
      <c r="F20" s="41" t="s">
        <v>154</v>
      </c>
      <c r="G20" s="34">
        <v>8</v>
      </c>
      <c r="H20" s="107">
        <f>IF(B$51=0,0,G20/B$51)</f>
        <v>6.7170445004198151E-3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517</v>
      </c>
      <c r="C21" s="31">
        <f>IF(B$19=0,0,B21/B$19)</f>
        <v>0.4210097719869707</v>
      </c>
      <c r="E21" s="44" t="s">
        <v>73</v>
      </c>
      <c r="F21" s="41" t="s">
        <v>28</v>
      </c>
      <c r="G21" s="34">
        <v>7</v>
      </c>
      <c r="H21" s="107">
        <f>IF(B$51=0,0,G21/B$51)</f>
        <v>5.8774139378673382E-3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-0.15499999999999892</v>
      </c>
      <c r="P21" s="93">
        <v>140</v>
      </c>
      <c r="Q21" s="81">
        <v>-21.699999999999847</v>
      </c>
    </row>
    <row r="22" spans="1:17" x14ac:dyDescent="0.45">
      <c r="A22" s="37" t="s">
        <v>11</v>
      </c>
      <c r="B22" s="34">
        <v>711</v>
      </c>
      <c r="C22" s="31">
        <f>IF(B$19=0,0,B22/B$19)</f>
        <v>0.57899022801302935</v>
      </c>
      <c r="E22" s="44" t="s">
        <v>74</v>
      </c>
      <c r="F22" s="41" t="s">
        <v>29</v>
      </c>
      <c r="G22" s="34">
        <v>6</v>
      </c>
      <c r="H22" s="107">
        <f>IF(B$51=0,0,G22/B$51)</f>
        <v>5.0377833753148613E-3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-2.0409395973154338</v>
      </c>
      <c r="P22" s="93">
        <v>149</v>
      </c>
      <c r="Q22" s="81">
        <v>-304.09999999999962</v>
      </c>
    </row>
    <row r="23" spans="1:17" x14ac:dyDescent="0.45">
      <c r="A23" s="37" t="s">
        <v>180</v>
      </c>
      <c r="B23" s="34">
        <v>528</v>
      </c>
      <c r="C23" s="31">
        <f>IF(B$19=0,0,B23/B$19)</f>
        <v>0.42996742671009774</v>
      </c>
      <c r="E23" s="44" t="s">
        <v>75</v>
      </c>
      <c r="F23" s="41" t="s">
        <v>30</v>
      </c>
      <c r="G23" s="34">
        <v>6</v>
      </c>
      <c r="H23" s="107">
        <f>IF(B$51=0,0,G23/B$51)</f>
        <v>5.0377833753148613E-3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5">
      <c r="A24" s="37" t="s">
        <v>178</v>
      </c>
      <c r="B24" s="34">
        <v>376</v>
      </c>
      <c r="C24" s="31">
        <f>IF(B$19=0,0,B24/B$19)</f>
        <v>0.30618892508143325</v>
      </c>
      <c r="E24" s="44" t="s">
        <v>92</v>
      </c>
      <c r="F24" s="41" t="s">
        <v>47</v>
      </c>
      <c r="G24" s="34">
        <v>5</v>
      </c>
      <c r="H24" s="107">
        <f>IF(B$51=0,0,G24/B$51)</f>
        <v>4.1981528127623844E-3</v>
      </c>
      <c r="I24" s="68">
        <v>8</v>
      </c>
      <c r="K24" s="5">
        <v>22</v>
      </c>
      <c r="L24" s="73">
        <v>174.29999999999995</v>
      </c>
      <c r="N24" s="89" t="s">
        <v>188</v>
      </c>
      <c r="O24" s="99">
        <f>IF(P24=0,0,Q24/P24)</f>
        <v>-4.7433628318584073</v>
      </c>
      <c r="P24" s="93">
        <v>113</v>
      </c>
      <c r="Q24" s="81">
        <v>-536</v>
      </c>
    </row>
    <row r="25" spans="1:17" x14ac:dyDescent="0.45">
      <c r="A25" s="37" t="s">
        <v>179</v>
      </c>
      <c r="B25" s="34">
        <v>324</v>
      </c>
      <c r="C25" s="31">
        <f>IF(B$19=0,0,B25/B$19)</f>
        <v>0.26384364820846906</v>
      </c>
      <c r="E25" s="44" t="s">
        <v>84</v>
      </c>
      <c r="F25" s="41" t="s">
        <v>39</v>
      </c>
      <c r="G25" s="34">
        <v>4</v>
      </c>
      <c r="H25" s="107">
        <f>IF(B$51=0,0,G25/B$51)</f>
        <v>3.3585222502099076E-3</v>
      </c>
      <c r="I25" s="68">
        <v>3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8459.1205211726392</v>
      </c>
      <c r="C26" s="8">
        <v>10387800</v>
      </c>
      <c r="E26" s="44" t="s">
        <v>93</v>
      </c>
      <c r="F26" s="41" t="s">
        <v>48</v>
      </c>
      <c r="G26" s="34">
        <v>4</v>
      </c>
      <c r="H26" s="107">
        <f>IF(B$51=0,0,G26/B$51)</f>
        <v>3.3585222502099076E-3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-12.853890489913553</v>
      </c>
      <c r="P26" s="93">
        <v>347</v>
      </c>
      <c r="Q26" s="81">
        <v>-4460.3000000000029</v>
      </c>
    </row>
    <row r="27" spans="1:17" x14ac:dyDescent="0.45">
      <c r="A27" s="38" t="s">
        <v>162</v>
      </c>
      <c r="B27" s="114">
        <f>IF($B$19-B$18=0,0,C27/($B$19-B$18))</f>
        <v>9175.5868544600944</v>
      </c>
      <c r="C27" s="115">
        <v>7817600</v>
      </c>
      <c r="E27" s="44" t="s">
        <v>87</v>
      </c>
      <c r="F27" s="41" t="s">
        <v>42</v>
      </c>
      <c r="G27" s="34">
        <v>3</v>
      </c>
      <c r="H27" s="107">
        <f>IF(B$51=0,0,G27/B$51)</f>
        <v>2.5188916876574307E-3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6835.6382978723404</v>
      </c>
      <c r="C28" s="115">
        <v>2570200</v>
      </c>
      <c r="E28" s="44" t="s">
        <v>90</v>
      </c>
      <c r="F28" s="41" t="s">
        <v>45</v>
      </c>
      <c r="G28" s="34">
        <v>2</v>
      </c>
      <c r="H28" s="107">
        <f>IF(B$51=0,0,G28/B$51)</f>
        <v>1.6792611251049538E-3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-8389.2241379310344</v>
      </c>
      <c r="C29" s="115">
        <v>-5838900</v>
      </c>
      <c r="E29" s="44" t="s">
        <v>76</v>
      </c>
      <c r="F29" s="41" t="s">
        <v>31</v>
      </c>
      <c r="G29" s="34">
        <v>1</v>
      </c>
      <c r="H29" s="107">
        <f>IF(B$51=0,0,G29/B$51)</f>
        <v>8.3963056255247689E-4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8.3963056255247689E-4</v>
      </c>
      <c r="I30" s="68">
        <v>8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8.3963056255247689E-4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35">
        <v>9</v>
      </c>
      <c r="C32" s="136"/>
      <c r="E32" s="44" t="s">
        <v>95</v>
      </c>
      <c r="F32" s="41" t="s">
        <v>50</v>
      </c>
      <c r="G32" s="34">
        <v>1</v>
      </c>
      <c r="H32" s="107">
        <f>IF(B$51=0,0,G32/B$51)</f>
        <v>8.3963056255247689E-4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3">
        <v>109300</v>
      </c>
      <c r="C33" s="134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3.4071550255536627E-3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4">
        <v>81</v>
      </c>
      <c r="C36" s="119">
        <f>IF(B$19=0,0,B36/B$19)</f>
        <v>6.5960912052117265E-2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207</v>
      </c>
      <c r="C37" s="31">
        <f t="shared" ref="C37:C48" si="2">IF(B$19=0,0,B37/B$19)</f>
        <v>0.16856677524429967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5">
        <v>256</v>
      </c>
      <c r="C38" s="31">
        <f>IF(B$19=0,0,B38/B$19)</f>
        <v>0.20846905537459284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5">
        <v>230</v>
      </c>
      <c r="C39" s="31">
        <f t="shared" si="2"/>
        <v>0.18729641693811075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5">
        <v>167</v>
      </c>
      <c r="C40" s="31">
        <f t="shared" si="2"/>
        <v>0.13599348534201955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5">
        <v>107</v>
      </c>
      <c r="C41" s="31">
        <f t="shared" si="2"/>
        <v>8.7133550488599346E-2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5">
        <v>52</v>
      </c>
      <c r="C42" s="31">
        <f t="shared" si="2"/>
        <v>4.2345276872964167E-2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5">
        <v>37</v>
      </c>
      <c r="C43" s="31">
        <f t="shared" si="2"/>
        <v>3.013029315960912E-2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5">
        <v>18</v>
      </c>
      <c r="C44" s="31">
        <f t="shared" si="2"/>
        <v>1.4657980456026058E-2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5">
        <v>12</v>
      </c>
      <c r="C45" s="31">
        <f t="shared" si="2"/>
        <v>9.7719869706840382E-3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5">
        <v>9</v>
      </c>
      <c r="C46" s="31">
        <f t="shared" si="2"/>
        <v>7.3289902280130291E-3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5">
        <v>2</v>
      </c>
      <c r="C47" s="31">
        <f t="shared" si="2"/>
        <v>1.6286644951140066E-3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6">
        <v>13</v>
      </c>
      <c r="C48" s="32">
        <f t="shared" si="2"/>
        <v>1.0586319218241042E-2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3983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29">
        <v>1191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945B-3E65-4602-AD30-E5F241643240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192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43">
        <v>316</v>
      </c>
      <c r="C3" s="14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45">
        <v>91.000000000000014</v>
      </c>
      <c r="C4" s="14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9">
        <f>IF(B$2=0,0,B$4/B$2)</f>
        <v>2.3333333333333335</v>
      </c>
      <c r="C5" s="140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7">
        <f>IF(B$2=0,0,(B$7*1+B$8*2+B$9*3)/B$2)</f>
        <v>2.0256410256410255</v>
      </c>
      <c r="C6" s="138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4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9">
        <f>AVERAGE(B10:B12)</f>
        <v>3.0839682539682549</v>
      </c>
      <c r="C13" s="140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3">
        <v>109300</v>
      </c>
      <c r="C33" s="134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4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5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5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5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5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5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5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5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5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5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6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61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FDC1D-B685-4268-8285-7E2C17538B0F}">
  <sheetPr codeName="Sheet13"/>
  <dimension ref="A1:Q41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191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408</v>
      </c>
      <c r="C2" s="132"/>
      <c r="E2" s="43" t="s">
        <v>66</v>
      </c>
      <c r="F2" s="25" t="s">
        <v>22</v>
      </c>
      <c r="G2" s="13">
        <v>771</v>
      </c>
      <c r="H2" s="106">
        <f>IF(B$51=0,0,G2/B$51)</f>
        <v>0.83351351351351355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567.24565756823824</v>
      </c>
      <c r="P2" s="92">
        <v>403</v>
      </c>
      <c r="Q2" s="76">
        <v>228600</v>
      </c>
    </row>
    <row r="3" spans="1:17" x14ac:dyDescent="0.45">
      <c r="A3" s="37" t="s">
        <v>8</v>
      </c>
      <c r="B3" s="143">
        <v>3289</v>
      </c>
      <c r="C3" s="144"/>
      <c r="E3" s="44" t="s">
        <v>72</v>
      </c>
      <c r="F3" s="41" t="s">
        <v>27</v>
      </c>
      <c r="G3" s="34">
        <v>529</v>
      </c>
      <c r="H3" s="107">
        <f>IF(B$51=0,0,G3/B$51)</f>
        <v>0.57189189189189193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-423.85786802030458</v>
      </c>
      <c r="P3" s="93">
        <v>394</v>
      </c>
      <c r="Q3" s="77">
        <v>-167000</v>
      </c>
    </row>
    <row r="4" spans="1:17" x14ac:dyDescent="0.45">
      <c r="A4" s="37" t="s">
        <v>6</v>
      </c>
      <c r="B4" s="145">
        <v>563.20000000000039</v>
      </c>
      <c r="C4" s="146"/>
      <c r="E4" s="44" t="s">
        <v>64</v>
      </c>
      <c r="F4" s="41" t="s">
        <v>20</v>
      </c>
      <c r="G4" s="34">
        <v>513</v>
      </c>
      <c r="H4" s="107">
        <f>IF(B$51=0,0,G4/B$51)</f>
        <v>0.55459459459459459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363.63636363636363</v>
      </c>
      <c r="P4" s="93">
        <v>363</v>
      </c>
      <c r="Q4" s="77">
        <v>132000</v>
      </c>
    </row>
    <row r="5" spans="1:17" x14ac:dyDescent="0.45">
      <c r="A5" s="37" t="s">
        <v>7</v>
      </c>
      <c r="B5" s="139">
        <f>IF(B$2=0,0,B$4/B$2)</f>
        <v>1.380392156862746</v>
      </c>
      <c r="C5" s="140"/>
      <c r="E5" s="44" t="s">
        <v>67</v>
      </c>
      <c r="F5" s="41" t="s">
        <v>23</v>
      </c>
      <c r="G5" s="34">
        <v>332</v>
      </c>
      <c r="H5" s="107">
        <f>IF(B$51=0,0,G5/B$51)</f>
        <v>0.35891891891891892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916.10942249240122</v>
      </c>
      <c r="P5" s="93">
        <v>329</v>
      </c>
      <c r="Q5" s="77">
        <v>301400</v>
      </c>
    </row>
    <row r="6" spans="1:17" x14ac:dyDescent="0.45">
      <c r="A6" s="37" t="s">
        <v>1</v>
      </c>
      <c r="B6" s="137">
        <f>IF(B$2=0,0,(B$7*1+B$8*2+B$9*3)/B$2)</f>
        <v>2.0196078431372548</v>
      </c>
      <c r="C6" s="138"/>
      <c r="E6" s="44" t="s">
        <v>68</v>
      </c>
      <c r="F6" s="41" t="s">
        <v>12</v>
      </c>
      <c r="G6" s="34">
        <v>312</v>
      </c>
      <c r="H6" s="107">
        <f>IF(B$51=0,0,G6/B$51)</f>
        <v>0.33729729729729729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-810.03344481605347</v>
      </c>
      <c r="P6" s="93">
        <v>299</v>
      </c>
      <c r="Q6" s="77">
        <v>-242200</v>
      </c>
    </row>
    <row r="7" spans="1:17" x14ac:dyDescent="0.45">
      <c r="A7" s="37" t="s">
        <v>2</v>
      </c>
      <c r="B7" s="34">
        <v>135</v>
      </c>
      <c r="C7" s="31">
        <f t="shared" ref="C7:C14" si="1">IF(B$2=0,0,B7/B$2)</f>
        <v>0.33088235294117646</v>
      </c>
      <c r="E7" s="44" t="s">
        <v>157</v>
      </c>
      <c r="F7" s="41" t="s">
        <v>158</v>
      </c>
      <c r="G7" s="34">
        <v>255</v>
      </c>
      <c r="H7" s="107">
        <f>IF(B$51=0,0,G7/B$51)</f>
        <v>0.27567567567567569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395.91836734693879</v>
      </c>
      <c r="P7" s="94">
        <v>245</v>
      </c>
      <c r="Q7" s="78">
        <v>97000</v>
      </c>
    </row>
    <row r="8" spans="1:17" x14ac:dyDescent="0.45">
      <c r="A8" s="37" t="s">
        <v>3</v>
      </c>
      <c r="B8" s="34">
        <v>130</v>
      </c>
      <c r="C8" s="31">
        <f t="shared" si="1"/>
        <v>0.31862745098039214</v>
      </c>
      <c r="E8" s="44" t="s">
        <v>89</v>
      </c>
      <c r="F8" s="41" t="s">
        <v>44</v>
      </c>
      <c r="G8" s="34">
        <v>172</v>
      </c>
      <c r="H8" s="107">
        <f>IF(B$51=0,0,G8/B$51)</f>
        <v>0.18594594594594593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143</v>
      </c>
      <c r="C9" s="7">
        <f t="shared" si="1"/>
        <v>0.35049019607843135</v>
      </c>
      <c r="E9" s="44" t="s">
        <v>69</v>
      </c>
      <c r="F9" s="41" t="s">
        <v>24</v>
      </c>
      <c r="G9" s="34">
        <v>169</v>
      </c>
      <c r="H9" s="107">
        <f>IF(B$51=0,0,G9/B$51)</f>
        <v>0.1827027027027027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42.57037037037037</v>
      </c>
      <c r="C10" s="121">
        <v>5747</v>
      </c>
      <c r="E10" s="44" t="s">
        <v>65</v>
      </c>
      <c r="F10" s="41" t="s">
        <v>21</v>
      </c>
      <c r="G10" s="34">
        <v>112</v>
      </c>
      <c r="H10" s="107">
        <f>IF(B$51=0,0,G10/B$51)</f>
        <v>0.12108108108108108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-5.8280991735537198</v>
      </c>
      <c r="P10" s="92">
        <v>121</v>
      </c>
      <c r="Q10" s="80">
        <v>-705.2</v>
      </c>
    </row>
    <row r="11" spans="1:17" x14ac:dyDescent="0.45">
      <c r="A11" s="38" t="s">
        <v>204</v>
      </c>
      <c r="B11" s="120">
        <f>IF(B8=0,0,C11/B8)</f>
        <v>-1.0323076923076928</v>
      </c>
      <c r="C11" s="121">
        <v>-134.20000000000007</v>
      </c>
      <c r="E11" s="44" t="s">
        <v>70</v>
      </c>
      <c r="F11" s="41" t="s">
        <v>25</v>
      </c>
      <c r="G11" s="34">
        <v>107</v>
      </c>
      <c r="H11" s="107">
        <f>IF(B$51=0,0,G11/B$51)</f>
        <v>0.11567567567567567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4.4503267973856202</v>
      </c>
      <c r="P11" s="93">
        <v>153</v>
      </c>
      <c r="Q11" s="81">
        <v>680.89999999999986</v>
      </c>
    </row>
    <row r="12" spans="1:17" x14ac:dyDescent="0.45">
      <c r="A12" s="38" t="s">
        <v>205</v>
      </c>
      <c r="B12" s="120">
        <f>IF(B9=0,0,C12/B9)</f>
        <v>-35.311888111888116</v>
      </c>
      <c r="C12" s="121">
        <v>-5049.6000000000004</v>
      </c>
      <c r="E12" s="44" t="s">
        <v>86</v>
      </c>
      <c r="F12" s="41" t="s">
        <v>41</v>
      </c>
      <c r="G12" s="34">
        <v>57</v>
      </c>
      <c r="H12" s="107">
        <f>IF(B$51=0,0,G12/B$51)</f>
        <v>6.1621621621621624E-2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5.341984732824427</v>
      </c>
      <c r="P12" s="94">
        <v>131</v>
      </c>
      <c r="Q12" s="82">
        <v>699.8</v>
      </c>
    </row>
    <row r="13" spans="1:17" x14ac:dyDescent="0.45">
      <c r="A13" s="38" t="s">
        <v>206</v>
      </c>
      <c r="B13" s="139">
        <f>AVERAGE(B10:B12)</f>
        <v>2.075391522058188</v>
      </c>
      <c r="C13" s="140"/>
      <c r="E13" s="44" t="s">
        <v>71</v>
      </c>
      <c r="F13" s="41" t="s">
        <v>26</v>
      </c>
      <c r="G13" s="34">
        <v>50</v>
      </c>
      <c r="H13" s="107">
        <f>IF(B$51=0,0,G13/B$51)</f>
        <v>5.4054054054054057E-2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54</v>
      </c>
      <c r="C14" s="32">
        <f t="shared" si="1"/>
        <v>0.13235294117647059</v>
      </c>
      <c r="E14" s="44" t="s">
        <v>83</v>
      </c>
      <c r="F14" s="41" t="s">
        <v>38</v>
      </c>
      <c r="G14" s="34">
        <v>32</v>
      </c>
      <c r="H14" s="107">
        <f>IF(B$51=0,0,G14/B$51)</f>
        <v>3.4594594594594595E-2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962</v>
      </c>
      <c r="C15" s="11">
        <f>IF(B$50=0,0,B15/B$50)</f>
        <v>0.29581795817958179</v>
      </c>
      <c r="E15" s="44" t="s">
        <v>78</v>
      </c>
      <c r="F15" s="41" t="s">
        <v>33</v>
      </c>
      <c r="G15" s="34">
        <v>27</v>
      </c>
      <c r="H15" s="107">
        <f>IF(B$51=0,0,G15/B$51)</f>
        <v>2.9189189189189189E-2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618</v>
      </c>
      <c r="C16" s="31">
        <f>IF(B$50=0,0,B16/B$50)</f>
        <v>0.1900369003690037</v>
      </c>
      <c r="E16" s="44" t="s">
        <v>91</v>
      </c>
      <c r="F16" s="41" t="s">
        <v>46</v>
      </c>
      <c r="G16" s="34">
        <v>25</v>
      </c>
      <c r="H16" s="107">
        <f>IF(B$51=0,0,G16/B$51)</f>
        <v>2.7027027027027029E-2</v>
      </c>
      <c r="I16" s="68">
        <v>4</v>
      </c>
      <c r="K16" s="5">
        <v>14</v>
      </c>
      <c r="L16" s="73">
        <v>-231</v>
      </c>
      <c r="N16" s="89" t="s">
        <v>186</v>
      </c>
      <c r="O16" s="99">
        <f>IF(P16=0,0,Q16/P16)</f>
        <v>20.027027027027028</v>
      </c>
      <c r="P16" s="93">
        <v>37</v>
      </c>
      <c r="Q16" s="81">
        <v>741</v>
      </c>
    </row>
    <row r="17" spans="1:17" x14ac:dyDescent="0.45">
      <c r="A17" s="19" t="s">
        <v>123</v>
      </c>
      <c r="B17" s="13">
        <v>542</v>
      </c>
      <c r="C17" s="4">
        <f>IF(B$15=0,0,B17/B$15)</f>
        <v>0.56340956340956339</v>
      </c>
      <c r="E17" s="44" t="s">
        <v>153</v>
      </c>
      <c r="F17" s="41" t="s">
        <v>154</v>
      </c>
      <c r="G17" s="34">
        <v>25</v>
      </c>
      <c r="H17" s="107">
        <f>IF(B$51=0,0,G17/B$51)</f>
        <v>2.7027027027027029E-2</v>
      </c>
      <c r="I17" s="68">
        <v>2</v>
      </c>
      <c r="K17" s="5">
        <v>15</v>
      </c>
      <c r="L17" s="73">
        <v>-212.5</v>
      </c>
      <c r="N17" s="89" t="s">
        <v>192</v>
      </c>
      <c r="O17" s="99">
        <f>IF(P17=0,0,Q17/P17)</f>
        <v>19.924999999999997</v>
      </c>
      <c r="P17" s="93">
        <v>4</v>
      </c>
      <c r="Q17" s="81">
        <v>79.699999999999989</v>
      </c>
    </row>
    <row r="18" spans="1:17" x14ac:dyDescent="0.45">
      <c r="A18" s="19" t="s">
        <v>124</v>
      </c>
      <c r="B18" s="13">
        <v>245</v>
      </c>
      <c r="C18" s="4">
        <f>IF(B$16=0,0,B18/B$16)</f>
        <v>0.3964401294498382</v>
      </c>
      <c r="E18" s="44" t="s">
        <v>81</v>
      </c>
      <c r="F18" s="41" t="s">
        <v>36</v>
      </c>
      <c r="G18" s="34">
        <v>20</v>
      </c>
      <c r="H18" s="107">
        <f>IF(B$51=0,0,G18/B$51)</f>
        <v>2.1621621621621623E-2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19.176470588235297</v>
      </c>
      <c r="P18" s="93">
        <v>34</v>
      </c>
      <c r="Q18" s="81">
        <v>652.00000000000011</v>
      </c>
    </row>
    <row r="19" spans="1:17" x14ac:dyDescent="0.45">
      <c r="A19" s="19" t="s">
        <v>10</v>
      </c>
      <c r="B19" s="13">
        <v>935</v>
      </c>
      <c r="C19" s="4">
        <f>IF(B$3=0,0,B19/B$3)</f>
        <v>0.28428093645484948</v>
      </c>
      <c r="E19" s="44" t="s">
        <v>79</v>
      </c>
      <c r="F19" s="41" t="s">
        <v>34</v>
      </c>
      <c r="G19" s="34">
        <v>14</v>
      </c>
      <c r="H19" s="107">
        <f>IF(B$51=0,0,G19/B$51)</f>
        <v>1.5135135135135135E-2</v>
      </c>
      <c r="I19" s="68">
        <v>10</v>
      </c>
      <c r="K19" s="5">
        <v>17</v>
      </c>
      <c r="L19" s="73">
        <v>-268.7</v>
      </c>
      <c r="N19" s="89" t="s">
        <v>188</v>
      </c>
      <c r="O19" s="99">
        <f>IF(P19=0,0,Q19/P19)</f>
        <v>15.059459459459461</v>
      </c>
      <c r="P19" s="93">
        <v>74</v>
      </c>
      <c r="Q19" s="81">
        <v>1114.4000000000001</v>
      </c>
    </row>
    <row r="20" spans="1:17" x14ac:dyDescent="0.45">
      <c r="A20" s="37" t="s">
        <v>13</v>
      </c>
      <c r="B20" s="34">
        <v>593</v>
      </c>
      <c r="C20" s="31">
        <f>IF(B$3=0,0,B20/B$3)</f>
        <v>0.18029796290665856</v>
      </c>
      <c r="E20" s="44" t="s">
        <v>92</v>
      </c>
      <c r="F20" s="41" t="s">
        <v>47</v>
      </c>
      <c r="G20" s="34">
        <v>10</v>
      </c>
      <c r="H20" s="107">
        <f>IF(B$51=0,0,G20/B$51)</f>
        <v>1.0810810810810811E-2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428</v>
      </c>
      <c r="C21" s="31">
        <f>IF(B$19=0,0,B21/B$19)</f>
        <v>0.45775401069518717</v>
      </c>
      <c r="E21" s="44" t="s">
        <v>73</v>
      </c>
      <c r="F21" s="41" t="s">
        <v>28</v>
      </c>
      <c r="G21" s="34">
        <v>9</v>
      </c>
      <c r="H21" s="107">
        <f>IF(B$51=0,0,G21/B$51)</f>
        <v>9.7297297297297292E-3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507</v>
      </c>
      <c r="C22" s="31">
        <f>IF(B$19=0,0,B22/B$19)</f>
        <v>0.54224598930481283</v>
      </c>
      <c r="E22" s="44" t="s">
        <v>75</v>
      </c>
      <c r="F22" s="41" t="s">
        <v>30</v>
      </c>
      <c r="G22" s="34">
        <v>8</v>
      </c>
      <c r="H22" s="107">
        <f>IF(B$51=0,0,G22/B$51)</f>
        <v>8.6486486486486488E-3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2.0409395973154334</v>
      </c>
      <c r="P22" s="93">
        <v>149</v>
      </c>
      <c r="Q22" s="81">
        <v>304.09999999999957</v>
      </c>
    </row>
    <row r="23" spans="1:17" x14ac:dyDescent="0.45">
      <c r="A23" s="37" t="s">
        <v>180</v>
      </c>
      <c r="B23" s="34">
        <v>542</v>
      </c>
      <c r="C23" s="31">
        <f>IF(B$19=0,0,B23/B$19)</f>
        <v>0.57967914438502677</v>
      </c>
      <c r="E23" s="44" t="s">
        <v>77</v>
      </c>
      <c r="F23" s="41" t="s">
        <v>32</v>
      </c>
      <c r="G23" s="34">
        <v>6</v>
      </c>
      <c r="H23" s="107">
        <f>IF(B$51=0,0,G23/B$51)</f>
        <v>6.4864864864864862E-3</v>
      </c>
      <c r="I23" s="68">
        <v>4</v>
      </c>
      <c r="K23" s="5">
        <v>21</v>
      </c>
      <c r="L23" s="73">
        <v>-242</v>
      </c>
      <c r="N23" s="89" t="s">
        <v>187</v>
      </c>
      <c r="O23" s="99">
        <f>IF(P23=0,0,Q23/P23)</f>
        <v>0.54590163934426017</v>
      </c>
      <c r="P23" s="93">
        <v>122</v>
      </c>
      <c r="Q23" s="81">
        <v>66.599999999999739</v>
      </c>
    </row>
    <row r="24" spans="1:17" x14ac:dyDescent="0.45">
      <c r="A24" s="37" t="s">
        <v>178</v>
      </c>
      <c r="B24" s="34">
        <v>245</v>
      </c>
      <c r="C24" s="31">
        <f>IF(B$19=0,0,B24/B$19)</f>
        <v>0.26203208556149732</v>
      </c>
      <c r="E24" s="44" t="s">
        <v>84</v>
      </c>
      <c r="F24" s="41" t="s">
        <v>39</v>
      </c>
      <c r="G24" s="34">
        <v>6</v>
      </c>
      <c r="H24" s="107">
        <f>IF(B$51=0,0,G24/B$51)</f>
        <v>6.4864864864864862E-3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-1.3741071428571432</v>
      </c>
      <c r="P24" s="93">
        <v>112</v>
      </c>
      <c r="Q24" s="81">
        <v>-153.90000000000003</v>
      </c>
    </row>
    <row r="25" spans="1:17" x14ac:dyDescent="0.45">
      <c r="A25" s="37" t="s">
        <v>179</v>
      </c>
      <c r="B25" s="34">
        <v>148</v>
      </c>
      <c r="C25" s="31">
        <f>IF(B$19=0,0,B25/B$19)</f>
        <v>0.15828877005347594</v>
      </c>
      <c r="E25" s="44" t="s">
        <v>85</v>
      </c>
      <c r="F25" s="41" t="s">
        <v>40</v>
      </c>
      <c r="G25" s="34">
        <v>5</v>
      </c>
      <c r="H25" s="107">
        <f>IF(B$51=0,0,G25/B$51)</f>
        <v>5.4054054054054057E-3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5">
      <c r="A26" s="37" t="s">
        <v>5</v>
      </c>
      <c r="B26" s="17">
        <f>IF(B$19=0,0,C26/B$19)</f>
        <v>10588.770053475935</v>
      </c>
      <c r="C26" s="8">
        <v>9900500</v>
      </c>
      <c r="E26" s="44" t="s">
        <v>93</v>
      </c>
      <c r="F26" s="41" t="s">
        <v>48</v>
      </c>
      <c r="G26" s="34">
        <v>4</v>
      </c>
      <c r="H26" s="107">
        <f>IF(B$51=0,0,G26/B$51)</f>
        <v>4.3243243243243244E-3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-5.1413223140495861</v>
      </c>
      <c r="P26" s="93">
        <v>242</v>
      </c>
      <c r="Q26" s="81">
        <v>-1244.1999999999998</v>
      </c>
    </row>
    <row r="27" spans="1:17" x14ac:dyDescent="0.45">
      <c r="A27" s="38" t="s">
        <v>162</v>
      </c>
      <c r="B27" s="114">
        <f>IF($B$19-B$18=0,0,C27/($B$19-B$18))</f>
        <v>11297.101449275362</v>
      </c>
      <c r="C27" s="115">
        <v>7795000</v>
      </c>
      <c r="E27" s="44" t="s">
        <v>90</v>
      </c>
      <c r="F27" s="41" t="s">
        <v>45</v>
      </c>
      <c r="G27" s="34">
        <v>3</v>
      </c>
      <c r="H27" s="107">
        <f>IF(B$51=0,0,G27/B$51)</f>
        <v>3.2432432432432431E-3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8593.8775510204086</v>
      </c>
      <c r="C28" s="115">
        <v>2105500</v>
      </c>
      <c r="E28" s="44" t="s">
        <v>87</v>
      </c>
      <c r="F28" s="41" t="s">
        <v>42</v>
      </c>
      <c r="G28" s="34">
        <v>2</v>
      </c>
      <c r="H28" s="107">
        <f>IF(B$51=0,0,G28/B$51)</f>
        <v>2.1621621621621622E-3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-8690.0505902192235</v>
      </c>
      <c r="C29" s="115">
        <v>-5153200</v>
      </c>
      <c r="E29" s="44" t="s">
        <v>74</v>
      </c>
      <c r="F29" s="41" t="s">
        <v>29</v>
      </c>
      <c r="G29" s="34">
        <v>1</v>
      </c>
      <c r="H29" s="107">
        <f>IF(B$51=0,0,G29/B$51)</f>
        <v>1.0810810810810811E-3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1.0810810810810811E-3</v>
      </c>
      <c r="I30" s="68">
        <v>6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1.0810810810810811E-3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35">
        <v>8</v>
      </c>
      <c r="C32" s="136"/>
      <c r="E32" s="44" t="s">
        <v>97</v>
      </c>
      <c r="F32" s="41" t="s">
        <v>52</v>
      </c>
      <c r="G32" s="34">
        <v>1</v>
      </c>
      <c r="H32" s="107">
        <f>IF(B$51=0,0,G32/B$51)</f>
        <v>1.0810810810810811E-3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3">
        <v>124700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11</v>
      </c>
      <c r="C34" s="32">
        <f>IF(B$3=0,0,B34/B$3)</f>
        <v>3.3444816053511705E-3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4">
        <v>30</v>
      </c>
      <c r="C36" s="119">
        <f>IF(B$19=0,0,B36/B$19)</f>
        <v>3.2085561497326207E-2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93</v>
      </c>
      <c r="C37" s="31">
        <f t="shared" ref="C37:C48" si="2">IF(B$19=0,0,B37/B$19)</f>
        <v>9.9465240641711236E-2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5">
        <v>139</v>
      </c>
      <c r="C38" s="31">
        <f>IF(B$19=0,0,B38/B$19)</f>
        <v>0.14866310160427806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5">
        <v>180</v>
      </c>
      <c r="C39" s="31">
        <f t="shared" si="2"/>
        <v>0.19251336898395721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5">
        <v>175</v>
      </c>
      <c r="C40" s="31">
        <f t="shared" si="2"/>
        <v>0.18716577540106952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5">
        <v>114</v>
      </c>
      <c r="C41" s="31">
        <f t="shared" si="2"/>
        <v>0.12192513368983957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5">
        <v>71</v>
      </c>
      <c r="C42" s="31">
        <f t="shared" si="2"/>
        <v>7.5935828877005354E-2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5">
        <v>48</v>
      </c>
      <c r="C43" s="31">
        <f t="shared" si="2"/>
        <v>5.1336898395721926E-2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5">
        <v>32</v>
      </c>
      <c r="C44" s="31">
        <f t="shared" si="2"/>
        <v>3.4224598930481284E-2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5">
        <v>12</v>
      </c>
      <c r="C45" s="31">
        <f t="shared" si="2"/>
        <v>1.2834224598930482E-2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5">
        <v>8</v>
      </c>
      <c r="C46" s="31">
        <f t="shared" si="2"/>
        <v>8.5561497326203211E-3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5">
        <v>3</v>
      </c>
      <c r="C47" s="31">
        <f t="shared" si="2"/>
        <v>3.2085561497326204E-3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6">
        <v>20</v>
      </c>
      <c r="C48" s="32">
        <f t="shared" si="2"/>
        <v>2.1390374331550801E-2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3252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29">
        <v>925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AC0E3-3411-4A0A-968C-4ABB3ECC9A1E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196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43">
        <v>69</v>
      </c>
      <c r="C3" s="14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45">
        <v>109</v>
      </c>
      <c r="C4" s="14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9">
        <f>IF(B$2=0,0,B$4/B$2)</f>
        <v>12.111111111111111</v>
      </c>
      <c r="C5" s="140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7">
        <f>IF(B$2=0,0,(B$7*1+B$8*2+B$9*3)/B$2)</f>
        <v>1.6666666666666667</v>
      </c>
      <c r="C6" s="138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9">
        <f>AVERAGE(B10:B12)</f>
        <v>1.0266666666666648</v>
      </c>
      <c r="C13" s="140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78000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24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D08E8-C829-467A-B516-0C11A71BCC99}">
  <sheetPr codeName="Sheet15"/>
  <dimension ref="A1:Q33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187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328</v>
      </c>
      <c r="C2" s="132"/>
      <c r="E2" s="43" t="s">
        <v>66</v>
      </c>
      <c r="F2" s="25" t="s">
        <v>22</v>
      </c>
      <c r="G2" s="13">
        <v>481</v>
      </c>
      <c r="H2" s="106">
        <f>IF(B$51=0,0,G2/B$51)</f>
        <v>0.67842031029619176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-204.57317073170731</v>
      </c>
      <c r="P2" s="92">
        <v>328</v>
      </c>
      <c r="Q2" s="76">
        <v>-67100</v>
      </c>
    </row>
    <row r="3" spans="1:17" x14ac:dyDescent="0.45">
      <c r="A3" s="37" t="s">
        <v>8</v>
      </c>
      <c r="B3" s="143">
        <v>2673</v>
      </c>
      <c r="C3" s="144"/>
      <c r="E3" s="44" t="s">
        <v>72</v>
      </c>
      <c r="F3" s="41" t="s">
        <v>27</v>
      </c>
      <c r="G3" s="34">
        <v>375</v>
      </c>
      <c r="H3" s="107">
        <f>IF(B$51=0,0,G3/B$51)</f>
        <v>0.52891396332863183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710.28037383177571</v>
      </c>
      <c r="P3" s="93">
        <v>321</v>
      </c>
      <c r="Q3" s="77">
        <v>228000</v>
      </c>
    </row>
    <row r="4" spans="1:17" x14ac:dyDescent="0.45">
      <c r="A4" s="37" t="s">
        <v>6</v>
      </c>
      <c r="B4" s="145">
        <v>-479</v>
      </c>
      <c r="C4" s="146"/>
      <c r="E4" s="44" t="s">
        <v>64</v>
      </c>
      <c r="F4" s="41" t="s">
        <v>20</v>
      </c>
      <c r="G4" s="34">
        <v>362</v>
      </c>
      <c r="H4" s="107">
        <f>IF(B$51=0,0,G4/B$51)</f>
        <v>0.51057827926657262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-514.38127090300998</v>
      </c>
      <c r="P4" s="93">
        <v>299</v>
      </c>
      <c r="Q4" s="77">
        <v>-153800</v>
      </c>
    </row>
    <row r="5" spans="1:17" x14ac:dyDescent="0.45">
      <c r="A5" s="37" t="s">
        <v>7</v>
      </c>
      <c r="B5" s="139">
        <f>IF(B$2=0,0,B$4/B$2)</f>
        <v>-1.4603658536585367</v>
      </c>
      <c r="C5" s="140"/>
      <c r="E5" s="44" t="s">
        <v>157</v>
      </c>
      <c r="F5" s="41" t="s">
        <v>158</v>
      </c>
      <c r="G5" s="34">
        <v>289</v>
      </c>
      <c r="H5" s="107">
        <f>IF(B$51=0,0,G5/B$51)</f>
        <v>0.40761636107193228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-202.53623188405797</v>
      </c>
      <c r="P5" s="93">
        <v>276</v>
      </c>
      <c r="Q5" s="77">
        <v>-55900</v>
      </c>
    </row>
    <row r="6" spans="1:17" x14ac:dyDescent="0.45">
      <c r="A6" s="37" t="s">
        <v>1</v>
      </c>
      <c r="B6" s="137">
        <f>IF(B$2=0,0,(B$7*1+B$8*2+B$9*3)/B$2)</f>
        <v>2.0609756097560976</v>
      </c>
      <c r="C6" s="138"/>
      <c r="E6" s="44" t="s">
        <v>67</v>
      </c>
      <c r="F6" s="41" t="s">
        <v>23</v>
      </c>
      <c r="G6" s="34">
        <v>235</v>
      </c>
      <c r="H6" s="107">
        <f>IF(B$51=0,0,G6/B$51)</f>
        <v>0.33145275035260929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-969.6</v>
      </c>
      <c r="P6" s="93">
        <v>250</v>
      </c>
      <c r="Q6" s="77">
        <v>-242400</v>
      </c>
    </row>
    <row r="7" spans="1:17" x14ac:dyDescent="0.45">
      <c r="A7" s="37" t="s">
        <v>2</v>
      </c>
      <c r="B7" s="34">
        <v>91</v>
      </c>
      <c r="C7" s="31">
        <f t="shared" ref="C7:C14" si="1">IF(B$2=0,0,B7/B$2)</f>
        <v>0.27743902439024393</v>
      </c>
      <c r="E7" s="44" t="s">
        <v>68</v>
      </c>
      <c r="F7" s="41" t="s">
        <v>12</v>
      </c>
      <c r="G7" s="34">
        <v>224</v>
      </c>
      <c r="H7" s="107">
        <f>IF(B$51=0,0,G7/B$51)</f>
        <v>0.31593794076163612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-348.8038277511962</v>
      </c>
      <c r="P7" s="94">
        <v>209</v>
      </c>
      <c r="Q7" s="78">
        <v>-72900</v>
      </c>
    </row>
    <row r="8" spans="1:17" x14ac:dyDescent="0.45">
      <c r="A8" s="37" t="s">
        <v>3</v>
      </c>
      <c r="B8" s="34">
        <v>126</v>
      </c>
      <c r="C8" s="31">
        <f t="shared" si="1"/>
        <v>0.38414634146341464</v>
      </c>
      <c r="E8" s="44" t="s">
        <v>69</v>
      </c>
      <c r="F8" s="41" t="s">
        <v>24</v>
      </c>
      <c r="G8" s="34">
        <v>96</v>
      </c>
      <c r="H8" s="107">
        <f>IF(B$51=0,0,G8/B$51)</f>
        <v>0.13540197461212977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111</v>
      </c>
      <c r="C9" s="7">
        <f t="shared" si="1"/>
        <v>0.33841463414634149</v>
      </c>
      <c r="E9" s="44" t="s">
        <v>89</v>
      </c>
      <c r="F9" s="41" t="s">
        <v>44</v>
      </c>
      <c r="G9" s="34">
        <v>93</v>
      </c>
      <c r="H9" s="107">
        <f>IF(B$51=0,0,G9/B$51)</f>
        <v>0.1311706629055007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40.450549450549453</v>
      </c>
      <c r="C10" s="121">
        <v>3681.0000000000005</v>
      </c>
      <c r="E10" s="44" t="s">
        <v>65</v>
      </c>
      <c r="F10" s="41" t="s">
        <v>21</v>
      </c>
      <c r="G10" s="34">
        <v>67</v>
      </c>
      <c r="H10" s="107">
        <f>IF(B$51=0,0,G10/B$51)</f>
        <v>9.4499294781382234E-2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-4.238211382113823</v>
      </c>
      <c r="P10" s="92">
        <v>123</v>
      </c>
      <c r="Q10" s="80">
        <v>-521.30000000000018</v>
      </c>
    </row>
    <row r="11" spans="1:17" x14ac:dyDescent="0.45">
      <c r="A11" s="38" t="s">
        <v>204</v>
      </c>
      <c r="B11" s="120">
        <f>IF(B8=0,0,C11/B8)</f>
        <v>0.22857142857142862</v>
      </c>
      <c r="C11" s="121">
        <v>28.800000000000008</v>
      </c>
      <c r="E11" s="44" t="s">
        <v>71</v>
      </c>
      <c r="F11" s="41" t="s">
        <v>26</v>
      </c>
      <c r="G11" s="34">
        <v>61</v>
      </c>
      <c r="H11" s="107">
        <f>IF(B$51=0,0,G11/B$51)</f>
        <v>8.6036671368124124E-2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-0.1825242718446603</v>
      </c>
      <c r="P11" s="93">
        <v>103</v>
      </c>
      <c r="Q11" s="81">
        <v>-18.800000000000011</v>
      </c>
    </row>
    <row r="12" spans="1:17" x14ac:dyDescent="0.45">
      <c r="A12" s="38" t="s">
        <v>205</v>
      </c>
      <c r="B12" s="120">
        <f>IF(B9=0,0,C12/B9)</f>
        <v>-37.736936936936928</v>
      </c>
      <c r="C12" s="121">
        <v>-4188.7999999999993</v>
      </c>
      <c r="E12" s="44" t="s">
        <v>70</v>
      </c>
      <c r="F12" s="41" t="s">
        <v>25</v>
      </c>
      <c r="G12" s="34">
        <v>58</v>
      </c>
      <c r="H12" s="107">
        <f>IF(B$51=0,0,G12/B$51)</f>
        <v>8.1805359661495061E-2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0.5990196078431369</v>
      </c>
      <c r="P12" s="94">
        <v>102</v>
      </c>
      <c r="Q12" s="82">
        <v>61.099999999999966</v>
      </c>
    </row>
    <row r="13" spans="1:17" x14ac:dyDescent="0.45">
      <c r="A13" s="38" t="s">
        <v>206</v>
      </c>
      <c r="B13" s="139">
        <f>AVERAGE(B10:B12)</f>
        <v>0.98072798072798406</v>
      </c>
      <c r="C13" s="140"/>
      <c r="E13" s="44" t="s">
        <v>83</v>
      </c>
      <c r="F13" s="41" t="s">
        <v>38</v>
      </c>
      <c r="G13" s="34">
        <v>40</v>
      </c>
      <c r="H13" s="107">
        <f>IF(B$51=0,0,G13/B$51)</f>
        <v>5.6417489421720736E-2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39</v>
      </c>
      <c r="C14" s="32">
        <f t="shared" si="1"/>
        <v>0.11890243902439024</v>
      </c>
      <c r="E14" s="44" t="s">
        <v>86</v>
      </c>
      <c r="F14" s="41" t="s">
        <v>41</v>
      </c>
      <c r="G14" s="34">
        <v>37</v>
      </c>
      <c r="H14" s="107">
        <f>IF(B$51=0,0,G14/B$51)</f>
        <v>5.2186177715091681E-2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650</v>
      </c>
      <c r="C15" s="11">
        <f>IF(B$50=0,0,B15/B$50)</f>
        <v>0.24317246539468762</v>
      </c>
      <c r="E15" s="44" t="s">
        <v>78</v>
      </c>
      <c r="F15" s="41" t="s">
        <v>33</v>
      </c>
      <c r="G15" s="34">
        <v>20</v>
      </c>
      <c r="H15" s="107">
        <f>IF(B$51=0,0,G15/B$51)</f>
        <v>2.8208744710860368E-2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606</v>
      </c>
      <c r="C16" s="31">
        <f>IF(B$50=0,0,B16/B$50)</f>
        <v>0.22671156004489337</v>
      </c>
      <c r="E16" s="44" t="s">
        <v>81</v>
      </c>
      <c r="F16" s="41" t="s">
        <v>36</v>
      </c>
      <c r="G16" s="34">
        <v>15</v>
      </c>
      <c r="H16" s="107">
        <f>IF(B$51=0,0,G16/B$51)</f>
        <v>2.1156558533145273E-2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25.71764705882353</v>
      </c>
      <c r="P16" s="93">
        <v>34</v>
      </c>
      <c r="Q16" s="81">
        <v>874.4</v>
      </c>
    </row>
    <row r="17" spans="1:17" x14ac:dyDescent="0.45">
      <c r="A17" s="19" t="s">
        <v>123</v>
      </c>
      <c r="B17" s="13">
        <v>369</v>
      </c>
      <c r="C17" s="4">
        <f>IF(B$15=0,0,B17/B$15)</f>
        <v>0.56769230769230772</v>
      </c>
      <c r="E17" s="44" t="s">
        <v>91</v>
      </c>
      <c r="F17" s="41" t="s">
        <v>46</v>
      </c>
      <c r="G17" s="34">
        <v>15</v>
      </c>
      <c r="H17" s="107">
        <f>IF(B$51=0,0,G17/B$51)</f>
        <v>2.1156558533145273E-2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229</v>
      </c>
      <c r="C18" s="4">
        <f>IF(B$16=0,0,B18/B$16)</f>
        <v>0.37788778877887791</v>
      </c>
      <c r="E18" s="44" t="s">
        <v>79</v>
      </c>
      <c r="F18" s="41" t="s">
        <v>34</v>
      </c>
      <c r="G18" s="34">
        <v>13</v>
      </c>
      <c r="H18" s="107">
        <f>IF(B$51=0,0,G18/B$51)</f>
        <v>1.8335684062059238E-2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709</v>
      </c>
      <c r="C19" s="4">
        <f>IF(B$3=0,0,B19/B$3)</f>
        <v>0.26524504302282081</v>
      </c>
      <c r="E19" s="44" t="s">
        <v>85</v>
      </c>
      <c r="F19" s="41" t="s">
        <v>40</v>
      </c>
      <c r="G19" s="34">
        <v>10</v>
      </c>
      <c r="H19" s="107">
        <f>IF(B$51=0,0,G19/B$51)</f>
        <v>1.4104372355430184E-2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5">
      <c r="A20" s="37" t="s">
        <v>13</v>
      </c>
      <c r="B20" s="34">
        <v>394</v>
      </c>
      <c r="C20" s="31">
        <f>IF(B$3=0,0,B20/B$3)</f>
        <v>0.14739992517770295</v>
      </c>
      <c r="E20" s="44" t="s">
        <v>153</v>
      </c>
      <c r="F20" s="41" t="s">
        <v>154</v>
      </c>
      <c r="G20" s="34">
        <v>7</v>
      </c>
      <c r="H20" s="107">
        <f>IF(B$51=0,0,G20/B$51)</f>
        <v>9.8730606488011286E-3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5">
      <c r="A21" s="37" t="s">
        <v>12</v>
      </c>
      <c r="B21" s="34">
        <v>315</v>
      </c>
      <c r="C21" s="31">
        <f>IF(B$19=0,0,B21/B$19)</f>
        <v>0.44428772919605075</v>
      </c>
      <c r="E21" s="44" t="s">
        <v>73</v>
      </c>
      <c r="F21" s="41" t="s">
        <v>28</v>
      </c>
      <c r="G21" s="34">
        <v>5</v>
      </c>
      <c r="H21" s="107">
        <f>IF(B$51=0,0,G21/B$51)</f>
        <v>7.052186177715092E-3</v>
      </c>
      <c r="I21" s="68">
        <v>5</v>
      </c>
      <c r="K21" s="5">
        <v>19</v>
      </c>
      <c r="L21" s="73">
        <v>-60</v>
      </c>
      <c r="N21" s="89" t="s">
        <v>190</v>
      </c>
      <c r="O21" s="99">
        <f>IF(P21=0,0,Q21/P21)</f>
        <v>3.6046153846153852</v>
      </c>
      <c r="P21" s="93">
        <v>65</v>
      </c>
      <c r="Q21" s="81">
        <v>234.30000000000004</v>
      </c>
    </row>
    <row r="22" spans="1:17" x14ac:dyDescent="0.45">
      <c r="A22" s="37" t="s">
        <v>11</v>
      </c>
      <c r="B22" s="34">
        <v>394</v>
      </c>
      <c r="C22" s="31">
        <f>IF(B$19=0,0,B22/B$19)</f>
        <v>0.55571227080394925</v>
      </c>
      <c r="E22" s="44" t="s">
        <v>75</v>
      </c>
      <c r="F22" s="41" t="s">
        <v>30</v>
      </c>
      <c r="G22" s="34">
        <v>5</v>
      </c>
      <c r="H22" s="107">
        <f>IF(B$51=0,0,G22/B$51)</f>
        <v>7.052186177715092E-3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369</v>
      </c>
      <c r="C23" s="31">
        <f>IF(B$19=0,0,B23/B$19)</f>
        <v>0.52045133991537373</v>
      </c>
      <c r="E23" s="44" t="s">
        <v>92</v>
      </c>
      <c r="F23" s="41" t="s">
        <v>47</v>
      </c>
      <c r="G23" s="34">
        <v>5</v>
      </c>
      <c r="H23" s="107">
        <f>IF(B$51=0,0,G23/B$51)</f>
        <v>7.052186177715092E-3</v>
      </c>
      <c r="I23" s="68">
        <v>4</v>
      </c>
      <c r="K23" s="5">
        <v>21</v>
      </c>
      <c r="L23" s="73">
        <v>-125.80000000000001</v>
      </c>
      <c r="N23" s="89" t="s">
        <v>193</v>
      </c>
      <c r="O23" s="99">
        <f>IF(P23=0,0,Q23/P23)</f>
        <v>0.1549999999999995</v>
      </c>
      <c r="P23" s="93">
        <v>140</v>
      </c>
      <c r="Q23" s="81">
        <v>21.699999999999932</v>
      </c>
    </row>
    <row r="24" spans="1:17" x14ac:dyDescent="0.45">
      <c r="A24" s="37" t="s">
        <v>178</v>
      </c>
      <c r="B24" s="34">
        <v>229</v>
      </c>
      <c r="C24" s="31">
        <f>IF(B$19=0,0,B24/B$19)</f>
        <v>0.3229901269393512</v>
      </c>
      <c r="E24" s="44" t="s">
        <v>74</v>
      </c>
      <c r="F24" s="41" t="s">
        <v>29</v>
      </c>
      <c r="G24" s="34">
        <v>3</v>
      </c>
      <c r="H24" s="107">
        <f>IF(B$51=0,0,G24/B$51)</f>
        <v>4.2313117066290554E-3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-0.54590163934425917</v>
      </c>
      <c r="P24" s="93">
        <v>122</v>
      </c>
      <c r="Q24" s="81">
        <v>-66.599999999999625</v>
      </c>
    </row>
    <row r="25" spans="1:17" x14ac:dyDescent="0.45">
      <c r="A25" s="37" t="s">
        <v>179</v>
      </c>
      <c r="B25" s="34">
        <v>111</v>
      </c>
      <c r="C25" s="31">
        <f>IF(B$19=0,0,B25/B$19)</f>
        <v>0.15655853314527504</v>
      </c>
      <c r="E25" s="44" t="s">
        <v>77</v>
      </c>
      <c r="F25" s="41" t="s">
        <v>32</v>
      </c>
      <c r="G25" s="34">
        <v>3</v>
      </c>
      <c r="H25" s="107">
        <f>IF(B$51=0,0,G25/B$51)</f>
        <v>4.2313117066290554E-3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-2.4000000000000004</v>
      </c>
      <c r="P25" s="93">
        <v>74</v>
      </c>
      <c r="Q25" s="81">
        <v>-177.60000000000002</v>
      </c>
    </row>
    <row r="26" spans="1:17" x14ac:dyDescent="0.45">
      <c r="A26" s="37" t="s">
        <v>5</v>
      </c>
      <c r="B26" s="17">
        <f>IF(B$19=0,0,C26/B$19)</f>
        <v>8650.9167842031038</v>
      </c>
      <c r="C26" s="8">
        <v>6133500</v>
      </c>
      <c r="E26" s="44" t="s">
        <v>88</v>
      </c>
      <c r="F26" s="41" t="s">
        <v>43</v>
      </c>
      <c r="G26" s="34">
        <v>2</v>
      </c>
      <c r="H26" s="107">
        <f>IF(B$51=0,0,G26/B$51)</f>
        <v>2.8208744710860366E-3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-17.793788819875779</v>
      </c>
      <c r="P26" s="93">
        <v>161</v>
      </c>
      <c r="Q26" s="81">
        <v>-2864.8</v>
      </c>
    </row>
    <row r="27" spans="1:17" x14ac:dyDescent="0.45">
      <c r="A27" s="38" t="s">
        <v>162</v>
      </c>
      <c r="B27" s="114">
        <f>IF($B$19-B$18=0,0,C27/($B$19-B$18))</f>
        <v>9453.125</v>
      </c>
      <c r="C27" s="115">
        <v>4537500</v>
      </c>
      <c r="E27" s="44" t="s">
        <v>90</v>
      </c>
      <c r="F27" s="41" t="s">
        <v>45</v>
      </c>
      <c r="G27" s="34">
        <v>2</v>
      </c>
      <c r="H27" s="107">
        <f>IF(B$51=0,0,G27/B$51)</f>
        <v>2.8208744710860366E-3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5">
      <c r="A28" s="38" t="s">
        <v>163</v>
      </c>
      <c r="B28" s="114">
        <f>IF(B$18=0,0,C28/B$18)</f>
        <v>6969.4323144104801</v>
      </c>
      <c r="C28" s="115">
        <v>1596000</v>
      </c>
      <c r="E28" s="44" t="s">
        <v>93</v>
      </c>
      <c r="F28" s="41" t="s">
        <v>48</v>
      </c>
      <c r="G28" s="34">
        <v>2</v>
      </c>
      <c r="H28" s="107">
        <f>IF(B$51=0,0,G28/B$51)</f>
        <v>2.8208744710860366E-3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-7370.0507614213202</v>
      </c>
      <c r="C29" s="115">
        <v>-2903800</v>
      </c>
      <c r="E29" s="44" t="s">
        <v>101</v>
      </c>
      <c r="F29" s="41" t="s">
        <v>56</v>
      </c>
      <c r="G29" s="34">
        <v>2</v>
      </c>
      <c r="H29" s="107">
        <f>IF(B$51=0,0,G29/B$51)</f>
        <v>2.8208744710860366E-3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1.4104372355430183E-3</v>
      </c>
      <c r="I30" s="68">
        <v>8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35">
        <v>8</v>
      </c>
      <c r="C32" s="136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3">
        <v>103000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2.6187803965581741E-3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4">
        <v>50</v>
      </c>
      <c r="C36" s="119">
        <f>IF(B$19=0,0,B36/B$19)</f>
        <v>7.0521861777150918E-2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114</v>
      </c>
      <c r="C37" s="31">
        <f t="shared" ref="C37:C48" si="2">IF(B$19=0,0,B37/B$19)</f>
        <v>0.16078984485190409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5">
        <v>131</v>
      </c>
      <c r="C38" s="31">
        <f>IF(B$19=0,0,B38/B$19)</f>
        <v>0.18476727785613539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5">
        <v>130</v>
      </c>
      <c r="C39" s="31">
        <f t="shared" si="2"/>
        <v>0.18335684062059238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5">
        <v>111</v>
      </c>
      <c r="C40" s="31">
        <f t="shared" si="2"/>
        <v>0.15655853314527504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5">
        <v>76</v>
      </c>
      <c r="C41" s="31">
        <f t="shared" si="2"/>
        <v>0.10719322990126939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5">
        <v>42</v>
      </c>
      <c r="C42" s="31">
        <f t="shared" si="2"/>
        <v>5.9238363892806768E-2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5">
        <v>19</v>
      </c>
      <c r="C43" s="31">
        <f t="shared" si="2"/>
        <v>2.6798307475317348E-2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5">
        <v>14</v>
      </c>
      <c r="C44" s="31">
        <f t="shared" si="2"/>
        <v>1.9746121297602257E-2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5">
        <v>9</v>
      </c>
      <c r="C45" s="31">
        <f t="shared" si="2"/>
        <v>1.2693935119887164E-2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5">
        <v>2</v>
      </c>
      <c r="C46" s="31">
        <f t="shared" si="2"/>
        <v>2.8208744710860366E-3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5">
        <v>2</v>
      </c>
      <c r="C47" s="31">
        <f t="shared" si="2"/>
        <v>2.8208744710860366E-3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6">
        <v>9</v>
      </c>
      <c r="C48" s="32">
        <f t="shared" si="2"/>
        <v>1.2693935119887164E-2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2673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29">
        <v>709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58194-A852-42DC-B700-65C6F707429D}">
  <sheetPr codeName="Sheet16"/>
  <dimension ref="A1:Q11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186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109</v>
      </c>
      <c r="C2" s="132"/>
      <c r="E2" s="43" t="s">
        <v>66</v>
      </c>
      <c r="F2" s="25" t="s">
        <v>22</v>
      </c>
      <c r="G2" s="13">
        <v>175</v>
      </c>
      <c r="H2" s="106">
        <f>IF(B$51=0,0,G2/B$51)</f>
        <v>0.71138211382113825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-2530.8411214953271</v>
      </c>
      <c r="P2" s="92">
        <v>107</v>
      </c>
      <c r="Q2" s="76">
        <v>-270800</v>
      </c>
    </row>
    <row r="3" spans="1:17" x14ac:dyDescent="0.45">
      <c r="A3" s="37" t="s">
        <v>8</v>
      </c>
      <c r="B3" s="143">
        <v>945</v>
      </c>
      <c r="C3" s="144"/>
      <c r="E3" s="44" t="s">
        <v>64</v>
      </c>
      <c r="F3" s="41" t="s">
        <v>20</v>
      </c>
      <c r="G3" s="34">
        <v>120</v>
      </c>
      <c r="H3" s="107">
        <f>IF(B$51=0,0,G3/B$51)</f>
        <v>0.48780487804878048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-653.77358490566041</v>
      </c>
      <c r="P3" s="93">
        <v>106</v>
      </c>
      <c r="Q3" s="77">
        <v>-69300</v>
      </c>
    </row>
    <row r="4" spans="1:17" x14ac:dyDescent="0.45">
      <c r="A4" s="37" t="s">
        <v>6</v>
      </c>
      <c r="B4" s="145">
        <v>-973.6</v>
      </c>
      <c r="C4" s="146"/>
      <c r="E4" s="44" t="s">
        <v>72</v>
      </c>
      <c r="F4" s="41" t="s">
        <v>27</v>
      </c>
      <c r="G4" s="34">
        <v>113</v>
      </c>
      <c r="H4" s="107">
        <f>IF(B$51=0,0,G4/B$51)</f>
        <v>0.45934959349593496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-1280.1980198019803</v>
      </c>
      <c r="P4" s="93">
        <v>101</v>
      </c>
      <c r="Q4" s="77">
        <v>-129300</v>
      </c>
    </row>
    <row r="5" spans="1:17" x14ac:dyDescent="0.45">
      <c r="A5" s="37" t="s">
        <v>7</v>
      </c>
      <c r="B5" s="139">
        <f>IF(B$2=0,0,B$4/B$2)</f>
        <v>-8.9321100917431195</v>
      </c>
      <c r="C5" s="140"/>
      <c r="E5" s="44" t="s">
        <v>68</v>
      </c>
      <c r="F5" s="41" t="s">
        <v>12</v>
      </c>
      <c r="G5" s="34">
        <v>101</v>
      </c>
      <c r="H5" s="107">
        <f>IF(B$51=0,0,G5/B$51)</f>
        <v>0.41056910569105692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-3147.3118279569894</v>
      </c>
      <c r="P5" s="93">
        <v>93</v>
      </c>
      <c r="Q5" s="77">
        <v>-292700</v>
      </c>
    </row>
    <row r="6" spans="1:17" x14ac:dyDescent="0.45">
      <c r="A6" s="37" t="s">
        <v>1</v>
      </c>
      <c r="B6" s="137">
        <f>IF(B$2=0,0,(B$7*1+B$8*2+B$9*3)/B$2)</f>
        <v>2.1559633027522938</v>
      </c>
      <c r="C6" s="138"/>
      <c r="E6" s="44" t="s">
        <v>157</v>
      </c>
      <c r="F6" s="41" t="s">
        <v>158</v>
      </c>
      <c r="G6" s="34">
        <v>90</v>
      </c>
      <c r="H6" s="107">
        <f>IF(B$51=0,0,G6/B$51)</f>
        <v>0.36585365853658536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867.07317073170736</v>
      </c>
      <c r="P6" s="93">
        <v>82</v>
      </c>
      <c r="Q6" s="77">
        <v>71100</v>
      </c>
    </row>
    <row r="7" spans="1:17" x14ac:dyDescent="0.45">
      <c r="A7" s="37" t="s">
        <v>2</v>
      </c>
      <c r="B7" s="34">
        <v>30</v>
      </c>
      <c r="C7" s="31">
        <f t="shared" ref="C7:C14" si="1">IF(B$2=0,0,B7/B$2)</f>
        <v>0.27522935779816515</v>
      </c>
      <c r="E7" s="44" t="s">
        <v>67</v>
      </c>
      <c r="F7" s="41" t="s">
        <v>23</v>
      </c>
      <c r="G7" s="34">
        <v>51</v>
      </c>
      <c r="H7" s="107">
        <f>IF(B$51=0,0,G7/B$51)</f>
        <v>0.2073170731707317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-184.93150684931507</v>
      </c>
      <c r="P7" s="94">
        <v>73</v>
      </c>
      <c r="Q7" s="78">
        <v>-13500</v>
      </c>
    </row>
    <row r="8" spans="1:17" x14ac:dyDescent="0.45">
      <c r="A8" s="37" t="s">
        <v>3</v>
      </c>
      <c r="B8" s="34">
        <v>32</v>
      </c>
      <c r="C8" s="31">
        <f t="shared" si="1"/>
        <v>0.29357798165137616</v>
      </c>
      <c r="E8" s="44" t="s">
        <v>69</v>
      </c>
      <c r="F8" s="41" t="s">
        <v>24</v>
      </c>
      <c r="G8" s="34">
        <v>37</v>
      </c>
      <c r="H8" s="107">
        <f>IF(B$51=0,0,G8/B$51)</f>
        <v>0.15040650406504066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47</v>
      </c>
      <c r="C9" s="7">
        <f t="shared" si="1"/>
        <v>0.43119266055045874</v>
      </c>
      <c r="E9" s="44" t="s">
        <v>70</v>
      </c>
      <c r="F9" s="41" t="s">
        <v>25</v>
      </c>
      <c r="G9" s="34">
        <v>29</v>
      </c>
      <c r="H9" s="107">
        <f>IF(B$51=0,0,G9/B$51)</f>
        <v>0.11788617886178862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0.11382113821138211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-12.611111111111111</v>
      </c>
      <c r="P10" s="92">
        <v>36</v>
      </c>
      <c r="Q10" s="80">
        <v>-454</v>
      </c>
    </row>
    <row r="11" spans="1:17" x14ac:dyDescent="0.45">
      <c r="A11" s="38" t="s">
        <v>204</v>
      </c>
      <c r="B11" s="120">
        <f>IF(B8=0,0,C11/B8)</f>
        <v>-3.0562499999999999</v>
      </c>
      <c r="C11" s="121">
        <v>-97.8</v>
      </c>
      <c r="E11" s="44" t="s">
        <v>65</v>
      </c>
      <c r="F11" s="41" t="s">
        <v>21</v>
      </c>
      <c r="G11" s="34">
        <v>21</v>
      </c>
      <c r="H11" s="107">
        <f>IF(B$51=0,0,G11/B$51)</f>
        <v>8.5365853658536592E-2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5">
      <c r="A12" s="38" t="s">
        <v>205</v>
      </c>
      <c r="B12" s="120">
        <f>IF(B9=0,0,C12/B9)</f>
        <v>-41.929787234042557</v>
      </c>
      <c r="C12" s="121">
        <v>-1970.7</v>
      </c>
      <c r="E12" s="44" t="s">
        <v>71</v>
      </c>
      <c r="F12" s="41" t="s">
        <v>26</v>
      </c>
      <c r="G12" s="34">
        <v>14</v>
      </c>
      <c r="H12" s="107">
        <f>IF(B$51=0,0,G12/B$51)</f>
        <v>5.6910569105691054E-2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-6.8</v>
      </c>
      <c r="P12" s="94">
        <v>30</v>
      </c>
      <c r="Q12" s="82">
        <v>-204</v>
      </c>
    </row>
    <row r="13" spans="1:17" x14ac:dyDescent="0.45">
      <c r="A13" s="38" t="s">
        <v>206</v>
      </c>
      <c r="B13" s="139">
        <f>AVERAGE(B10:B12)</f>
        <v>-2.8297901891252955</v>
      </c>
      <c r="C13" s="140"/>
      <c r="E13" s="44" t="s">
        <v>86</v>
      </c>
      <c r="F13" s="41" t="s">
        <v>41</v>
      </c>
      <c r="G13" s="34">
        <v>13</v>
      </c>
      <c r="H13" s="107">
        <f>IF(B$51=0,0,G13/B$51)</f>
        <v>5.2845528455284556E-2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0.19266055045871561</v>
      </c>
      <c r="E14" s="44" t="s">
        <v>78</v>
      </c>
      <c r="F14" s="41" t="s">
        <v>33</v>
      </c>
      <c r="G14" s="34">
        <v>9</v>
      </c>
      <c r="H14" s="107">
        <f>IF(B$51=0,0,G14/B$51)</f>
        <v>3.6585365853658534E-2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225</v>
      </c>
      <c r="C15" s="11">
        <f>IF(B$50=0,0,B15/B$50)</f>
        <v>0.23809523809523808</v>
      </c>
      <c r="E15" s="44" t="s">
        <v>83</v>
      </c>
      <c r="F15" s="41" t="s">
        <v>38</v>
      </c>
      <c r="G15" s="34">
        <v>7</v>
      </c>
      <c r="H15" s="107">
        <f>IF(B$51=0,0,G15/B$51)</f>
        <v>2.8455284552845527E-2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187</v>
      </c>
      <c r="C16" s="31">
        <f>IF(B$50=0,0,B16/B$50)</f>
        <v>0.19788359788359788</v>
      </c>
      <c r="E16" s="44" t="s">
        <v>153</v>
      </c>
      <c r="F16" s="41" t="s">
        <v>154</v>
      </c>
      <c r="G16" s="34">
        <v>5</v>
      </c>
      <c r="H16" s="107">
        <f>IF(B$51=0,0,G16/B$51)</f>
        <v>2.032520325203252E-2</v>
      </c>
      <c r="I16" s="68">
        <v>4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124</v>
      </c>
      <c r="C17" s="4">
        <f>IF(B$15=0,0,B17/B$15)</f>
        <v>0.55111111111111111</v>
      </c>
      <c r="E17" s="44" t="s">
        <v>79</v>
      </c>
      <c r="F17" s="41" t="s">
        <v>34</v>
      </c>
      <c r="G17" s="34">
        <v>4</v>
      </c>
      <c r="H17" s="107">
        <f>IF(B$51=0,0,G17/B$51)</f>
        <v>1.6260162601626018E-2</v>
      </c>
      <c r="I17" s="68">
        <v>8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61</v>
      </c>
      <c r="C18" s="4">
        <f>IF(B$16=0,0,B18/B$16)</f>
        <v>0.32620320855614976</v>
      </c>
      <c r="E18" s="44" t="s">
        <v>73</v>
      </c>
      <c r="F18" s="41" t="s">
        <v>28</v>
      </c>
      <c r="G18" s="34">
        <v>3</v>
      </c>
      <c r="H18" s="107">
        <f>IF(B$51=0,0,G18/B$51)</f>
        <v>1.2195121951219513E-2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246</v>
      </c>
      <c r="C19" s="4">
        <f>IF(B$3=0,0,B19/B$3)</f>
        <v>0.26031746031746034</v>
      </c>
      <c r="E19" s="44" t="s">
        <v>81</v>
      </c>
      <c r="F19" s="41" t="s">
        <v>36</v>
      </c>
      <c r="G19" s="34">
        <v>3</v>
      </c>
      <c r="H19" s="107">
        <f>IF(B$51=0,0,G19/B$51)</f>
        <v>1.2195121951219513E-2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183</v>
      </c>
      <c r="C20" s="31">
        <f>IF(B$3=0,0,B20/B$3)</f>
        <v>0.19365079365079366</v>
      </c>
      <c r="E20" s="44" t="s">
        <v>87</v>
      </c>
      <c r="F20" s="41" t="s">
        <v>42</v>
      </c>
      <c r="G20" s="34">
        <v>2</v>
      </c>
      <c r="H20" s="107">
        <f>IF(B$51=0,0,G20/B$51)</f>
        <v>8.130081300813009E-3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130</v>
      </c>
      <c r="C21" s="31">
        <f>IF(B$19=0,0,B21/B$19)</f>
        <v>0.52845528455284552</v>
      </c>
      <c r="E21" s="44" t="s">
        <v>91</v>
      </c>
      <c r="F21" s="41" t="s">
        <v>46</v>
      </c>
      <c r="G21" s="34">
        <v>2</v>
      </c>
      <c r="H21" s="107">
        <f>IF(B$51=0,0,G21/B$51)</f>
        <v>8.130081300813009E-3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116</v>
      </c>
      <c r="C22" s="31">
        <f>IF(B$19=0,0,B22/B$19)</f>
        <v>0.47154471544715448</v>
      </c>
      <c r="E22" s="44" t="s">
        <v>75</v>
      </c>
      <c r="F22" s="41" t="s">
        <v>30</v>
      </c>
      <c r="G22" s="34">
        <v>1</v>
      </c>
      <c r="H22" s="107">
        <f>IF(B$51=0,0,G22/B$51)</f>
        <v>4.0650406504065045E-3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-20.027027027027028</v>
      </c>
      <c r="P22" s="93">
        <v>37</v>
      </c>
      <c r="Q22" s="81">
        <v>-741</v>
      </c>
    </row>
    <row r="23" spans="1:17" x14ac:dyDescent="0.45">
      <c r="A23" s="37" t="s">
        <v>180</v>
      </c>
      <c r="B23" s="34">
        <v>124</v>
      </c>
      <c r="C23" s="31">
        <f>IF(B$19=0,0,B23/B$19)</f>
        <v>0.50406504065040647</v>
      </c>
      <c r="E23" s="44" t="s">
        <v>85</v>
      </c>
      <c r="F23" s="41" t="s">
        <v>40</v>
      </c>
      <c r="G23" s="34">
        <v>1</v>
      </c>
      <c r="H23" s="107">
        <f>IF(B$51=0,0,G23/B$51)</f>
        <v>4.0650406504065045E-3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5">
      <c r="A24" s="37" t="s">
        <v>178</v>
      </c>
      <c r="B24" s="34">
        <v>61</v>
      </c>
      <c r="C24" s="31">
        <f>IF(B$19=0,0,B24/B$19)</f>
        <v>0.24796747967479674</v>
      </c>
      <c r="E24" s="44" t="s">
        <v>106</v>
      </c>
      <c r="F24" s="41" t="s">
        <v>113</v>
      </c>
      <c r="G24" s="34">
        <v>1</v>
      </c>
      <c r="H24" s="107">
        <f>IF(B$51=0,0,G24/B$51)</f>
        <v>4.0650406504065045E-3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61</v>
      </c>
      <c r="C25" s="31">
        <f>IF(B$19=0,0,B25/B$19)</f>
        <v>0.24796747967479674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7830.8943089430895</v>
      </c>
      <c r="C26" s="8">
        <v>1926400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8540</v>
      </c>
      <c r="C27" s="115">
        <v>1579900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-8094.5355191256831</v>
      </c>
      <c r="C29" s="115">
        <v>-1481300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3">
        <v>113300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4</v>
      </c>
      <c r="C34" s="32">
        <f>IF(B$3=0,0,B34/B$3)</f>
        <v>4.2328042328042331E-3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4">
        <v>28</v>
      </c>
      <c r="C36" s="119">
        <f>IF(B$19=0,0,B36/B$19)</f>
        <v>0.11382113821138211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47</v>
      </c>
      <c r="C37" s="31">
        <f t="shared" ref="C37:C48" si="2">IF(B$19=0,0,B37/B$19)</f>
        <v>0.1910569105691057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5">
        <v>44</v>
      </c>
      <c r="C38" s="31">
        <f>IF(B$19=0,0,B38/B$19)</f>
        <v>0.17886178861788618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5">
        <v>40</v>
      </c>
      <c r="C39" s="31">
        <f t="shared" si="2"/>
        <v>0.16260162601626016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5">
        <v>39</v>
      </c>
      <c r="C40" s="31">
        <f t="shared" si="2"/>
        <v>0.15853658536585366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5">
        <v>24</v>
      </c>
      <c r="C41" s="31">
        <f t="shared" si="2"/>
        <v>9.7560975609756101E-2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5">
        <v>10</v>
      </c>
      <c r="C42" s="31">
        <f t="shared" si="2"/>
        <v>4.065040650406504E-2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5">
        <v>7</v>
      </c>
      <c r="C43" s="31">
        <f t="shared" si="2"/>
        <v>2.8455284552845527E-2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7" t="s">
        <v>172</v>
      </c>
      <c r="B44" s="125">
        <v>3</v>
      </c>
      <c r="C44" s="31">
        <f t="shared" si="2"/>
        <v>1.2195121951219513E-2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5">
        <v>2</v>
      </c>
      <c r="C45" s="31">
        <f t="shared" si="2"/>
        <v>8.130081300813009E-3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5">
        <v>1</v>
      </c>
      <c r="C46" s="31">
        <f t="shared" si="2"/>
        <v>4.0650406504065045E-3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6">
        <v>1</v>
      </c>
      <c r="C48" s="32">
        <f t="shared" si="2"/>
        <v>4.0650406504065045E-3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945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29">
        <v>246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98E8-9E75-4428-83D2-82D9B2A4C284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199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43">
        <v>253</v>
      </c>
      <c r="C3" s="14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45">
        <v>-22.000000000000028</v>
      </c>
      <c r="C4" s="14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9">
        <f>IF(B$2=0,0,B$4/B$2)</f>
        <v>-0.7857142857142867</v>
      </c>
      <c r="C5" s="140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7">
        <f>IF(B$2=0,0,(B$7*1+B$8*2+B$9*3)/B$2)</f>
        <v>1.9285714285714286</v>
      </c>
      <c r="C6" s="138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9">
        <f>AVERAGE(B10:B12)</f>
        <v>-4.0783333333333331</v>
      </c>
      <c r="C13" s="140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106300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840AC-88E5-45B9-BCB1-B3C9BCB9D1CE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200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43">
        <v>13</v>
      </c>
      <c r="C3" s="14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45">
        <v>13.3</v>
      </c>
      <c r="C4" s="14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9">
        <f>IF(B$2=0,0,B$4/B$2)</f>
        <v>13.3</v>
      </c>
      <c r="C5" s="140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4.4333333333333336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48300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6EAC-E727-4C55-82E7-654D88663914}">
  <sheetPr codeName="Sheet19"/>
  <dimension ref="A1:Q9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197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88</v>
      </c>
      <c r="C2" s="132"/>
      <c r="E2" s="43" t="s">
        <v>66</v>
      </c>
      <c r="F2" s="25" t="s">
        <v>22</v>
      </c>
      <c r="G2" s="13">
        <v>117</v>
      </c>
      <c r="H2" s="106">
        <f>IF(B$51=0,0,G2/B$51)</f>
        <v>0.65730337078651691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-3678.409090909091</v>
      </c>
      <c r="P2" s="92">
        <v>88</v>
      </c>
      <c r="Q2" s="76">
        <v>-323700</v>
      </c>
    </row>
    <row r="3" spans="1:17" x14ac:dyDescent="0.45">
      <c r="A3" s="37" t="s">
        <v>8</v>
      </c>
      <c r="B3" s="143">
        <v>727</v>
      </c>
      <c r="C3" s="144"/>
      <c r="E3" s="44" t="s">
        <v>72</v>
      </c>
      <c r="F3" s="41" t="s">
        <v>27</v>
      </c>
      <c r="G3" s="34">
        <v>112</v>
      </c>
      <c r="H3" s="107">
        <f>IF(B$51=0,0,G3/B$51)</f>
        <v>0.6292134831460674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185.05747126436782</v>
      </c>
      <c r="P3" s="93">
        <v>87</v>
      </c>
      <c r="Q3" s="77">
        <v>16100</v>
      </c>
    </row>
    <row r="4" spans="1:17" x14ac:dyDescent="0.45">
      <c r="A4" s="37" t="s">
        <v>6</v>
      </c>
      <c r="B4" s="145">
        <v>-1189.4000000000001</v>
      </c>
      <c r="C4" s="146"/>
      <c r="E4" s="44" t="s">
        <v>64</v>
      </c>
      <c r="F4" s="41" t="s">
        <v>20</v>
      </c>
      <c r="G4" s="34">
        <v>77</v>
      </c>
      <c r="H4" s="107">
        <f>IF(B$51=0,0,G4/B$51)</f>
        <v>0.43258426966292135</v>
      </c>
      <c r="I4" s="68">
        <v>16</v>
      </c>
      <c r="K4" s="5">
        <v>2</v>
      </c>
      <c r="L4" s="73">
        <v>-96.5</v>
      </c>
      <c r="N4" s="89" t="s">
        <v>128</v>
      </c>
      <c r="O4" s="96">
        <f t="shared" si="0"/>
        <v>-1114.8148148148148</v>
      </c>
      <c r="P4" s="93">
        <v>81</v>
      </c>
      <c r="Q4" s="77">
        <v>-90300</v>
      </c>
    </row>
    <row r="5" spans="1:17" x14ac:dyDescent="0.45">
      <c r="A5" s="37" t="s">
        <v>7</v>
      </c>
      <c r="B5" s="139">
        <f>IF(B$2=0,0,B$4/B$2)</f>
        <v>-13.515909090909092</v>
      </c>
      <c r="C5" s="140"/>
      <c r="E5" s="44" t="s">
        <v>157</v>
      </c>
      <c r="F5" s="41" t="s">
        <v>158</v>
      </c>
      <c r="G5" s="34">
        <v>66</v>
      </c>
      <c r="H5" s="107">
        <f>IF(B$51=0,0,G5/B$51)</f>
        <v>0.3707865168539326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-1126.027397260274</v>
      </c>
      <c r="P5" s="93">
        <v>73</v>
      </c>
      <c r="Q5" s="77">
        <v>-82200</v>
      </c>
    </row>
    <row r="6" spans="1:17" x14ac:dyDescent="0.45">
      <c r="A6" s="37" t="s">
        <v>1</v>
      </c>
      <c r="B6" s="137">
        <f>IF(B$2=0,0,(B$7*1+B$8*2+B$9*3)/B$2)</f>
        <v>2.3181818181818183</v>
      </c>
      <c r="C6" s="138"/>
      <c r="E6" s="44" t="s">
        <v>68</v>
      </c>
      <c r="F6" s="41" t="s">
        <v>12</v>
      </c>
      <c r="G6" s="34">
        <v>50</v>
      </c>
      <c r="H6" s="107">
        <f>IF(B$51=0,0,G6/B$51)</f>
        <v>0.2808988764044944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-1716.1764705882354</v>
      </c>
      <c r="P6" s="93">
        <v>68</v>
      </c>
      <c r="Q6" s="77">
        <v>-116700</v>
      </c>
    </row>
    <row r="7" spans="1:17" x14ac:dyDescent="0.45">
      <c r="A7" s="37" t="s">
        <v>2</v>
      </c>
      <c r="B7" s="34">
        <v>12</v>
      </c>
      <c r="C7" s="31">
        <f t="shared" ref="C7:C14" si="1">IF(B$2=0,0,B7/B$2)</f>
        <v>0.13636363636363635</v>
      </c>
      <c r="E7" s="44" t="s">
        <v>67</v>
      </c>
      <c r="F7" s="41" t="s">
        <v>23</v>
      </c>
      <c r="G7" s="34">
        <v>41</v>
      </c>
      <c r="H7" s="107">
        <f>IF(B$51=0,0,G7/B$51)</f>
        <v>0.2303370786516854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-2250.909090909091</v>
      </c>
      <c r="P7" s="94">
        <v>55</v>
      </c>
      <c r="Q7" s="78">
        <v>-123800</v>
      </c>
    </row>
    <row r="8" spans="1:17" x14ac:dyDescent="0.45">
      <c r="A8" s="37" t="s">
        <v>3</v>
      </c>
      <c r="B8" s="34">
        <v>36</v>
      </c>
      <c r="C8" s="31">
        <f t="shared" si="1"/>
        <v>0.40909090909090912</v>
      </c>
      <c r="E8" s="44" t="s">
        <v>89</v>
      </c>
      <c r="F8" s="41" t="s">
        <v>44</v>
      </c>
      <c r="G8" s="34">
        <v>27</v>
      </c>
      <c r="H8" s="107">
        <f>IF(B$51=0,0,G8/B$51)</f>
        <v>0.15168539325842698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40</v>
      </c>
      <c r="C9" s="7">
        <f t="shared" si="1"/>
        <v>0.45454545454545453</v>
      </c>
      <c r="E9" s="44" t="s">
        <v>65</v>
      </c>
      <c r="F9" s="41" t="s">
        <v>21</v>
      </c>
      <c r="G9" s="34">
        <v>18</v>
      </c>
      <c r="H9" s="107">
        <f>IF(B$51=0,0,G9/B$51)</f>
        <v>0.10112359550561797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34.966666666666661</v>
      </c>
      <c r="C10" s="121">
        <v>419.59999999999997</v>
      </c>
      <c r="E10" s="44" t="s">
        <v>70</v>
      </c>
      <c r="F10" s="41" t="s">
        <v>25</v>
      </c>
      <c r="G10" s="34">
        <v>16</v>
      </c>
      <c r="H10" s="107">
        <f>IF(B$51=0,0,G10/B$51)</f>
        <v>8.98876404494382E-2</v>
      </c>
      <c r="I10" s="68">
        <v>10</v>
      </c>
      <c r="K10" s="5">
        <v>8</v>
      </c>
      <c r="L10" s="73">
        <v>-289.8</v>
      </c>
      <c r="N10" s="88" t="s">
        <v>149</v>
      </c>
      <c r="O10" s="98">
        <f>IF(P10=0,0,Q10/P10)</f>
        <v>-22.5</v>
      </c>
      <c r="P10" s="92">
        <v>38</v>
      </c>
      <c r="Q10" s="80">
        <v>-855</v>
      </c>
    </row>
    <row r="11" spans="1:17" x14ac:dyDescent="0.45">
      <c r="A11" s="38" t="s">
        <v>204</v>
      </c>
      <c r="B11" s="120">
        <f>IF(B8=0,0,C11/B8)</f>
        <v>-0.61111111111111094</v>
      </c>
      <c r="C11" s="121">
        <v>-21.999999999999993</v>
      </c>
      <c r="E11" s="44" t="s">
        <v>69</v>
      </c>
      <c r="F11" s="41" t="s">
        <v>24</v>
      </c>
      <c r="G11" s="34">
        <v>15</v>
      </c>
      <c r="H11" s="107">
        <f>IF(B$51=0,0,G11/B$51)</f>
        <v>8.4269662921348312E-2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-3.7296296296296285</v>
      </c>
      <c r="P11" s="93">
        <v>27</v>
      </c>
      <c r="Q11" s="81">
        <v>-100.69999999999997</v>
      </c>
    </row>
    <row r="12" spans="1:17" x14ac:dyDescent="0.45">
      <c r="A12" s="38" t="s">
        <v>205</v>
      </c>
      <c r="B12" s="120">
        <f>IF(B9=0,0,C12/B9)</f>
        <v>-39.675000000000004</v>
      </c>
      <c r="C12" s="121">
        <v>-1587.0000000000002</v>
      </c>
      <c r="E12" s="44" t="s">
        <v>71</v>
      </c>
      <c r="F12" s="41" t="s">
        <v>26</v>
      </c>
      <c r="G12" s="34">
        <v>14</v>
      </c>
      <c r="H12" s="107">
        <f>IF(B$51=0,0,G12/B$51)</f>
        <v>7.8651685393258425E-2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-10.160869565217393</v>
      </c>
      <c r="P12" s="94">
        <v>23</v>
      </c>
      <c r="Q12" s="82">
        <v>-233.70000000000002</v>
      </c>
    </row>
    <row r="13" spans="1:17" x14ac:dyDescent="0.45">
      <c r="A13" s="38" t="s">
        <v>206</v>
      </c>
      <c r="B13" s="139">
        <f>AVERAGE(B10:B12)</f>
        <v>-1.7731481481481524</v>
      </c>
      <c r="C13" s="140"/>
      <c r="E13" s="44" t="s">
        <v>86</v>
      </c>
      <c r="F13" s="41" t="s">
        <v>41</v>
      </c>
      <c r="G13" s="34">
        <v>11</v>
      </c>
      <c r="H13" s="107">
        <f>IF(B$51=0,0,G13/B$51)</f>
        <v>6.1797752808988762E-2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0.17045454545454544</v>
      </c>
      <c r="E14" s="44" t="s">
        <v>81</v>
      </c>
      <c r="F14" s="41" t="s">
        <v>36</v>
      </c>
      <c r="G14" s="34">
        <v>10</v>
      </c>
      <c r="H14" s="107">
        <f>IF(B$51=0,0,G14/B$51)</f>
        <v>5.6179775280898875E-2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149</v>
      </c>
      <c r="C15" s="11">
        <f>IF(B$50=0,0,B15/B$50)</f>
        <v>0.20495185694635487</v>
      </c>
      <c r="E15" s="44" t="s">
        <v>83</v>
      </c>
      <c r="F15" s="41" t="s">
        <v>38</v>
      </c>
      <c r="G15" s="34">
        <v>10</v>
      </c>
      <c r="H15" s="107">
        <f>IF(B$51=0,0,G15/B$51)</f>
        <v>5.6179775280898875E-2</v>
      </c>
      <c r="I15" s="68">
        <v>5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172</v>
      </c>
      <c r="C16" s="31">
        <f>IF(B$50=0,0,B16/B$50)</f>
        <v>0.23658872077028886</v>
      </c>
      <c r="E16" s="44" t="s">
        <v>91</v>
      </c>
      <c r="F16" s="41" t="s">
        <v>46</v>
      </c>
      <c r="G16" s="34">
        <v>5</v>
      </c>
      <c r="H16" s="107">
        <f>IF(B$51=0,0,G16/B$51)</f>
        <v>2.8089887640449437E-2</v>
      </c>
      <c r="I16" s="68">
        <v>3</v>
      </c>
      <c r="K16" s="5">
        <v>14</v>
      </c>
      <c r="L16" s="73">
        <v>-416.90000000000003</v>
      </c>
      <c r="N16" s="89" t="s">
        <v>188</v>
      </c>
      <c r="O16" s="99">
        <f>IF(P16=0,0,Q16/P16)</f>
        <v>11.63478260869565</v>
      </c>
      <c r="P16" s="93">
        <v>23</v>
      </c>
      <c r="Q16" s="81">
        <v>267.59999999999997</v>
      </c>
    </row>
    <row r="17" spans="1:17" x14ac:dyDescent="0.45">
      <c r="A17" s="19" t="s">
        <v>123</v>
      </c>
      <c r="B17" s="13">
        <v>80</v>
      </c>
      <c r="C17" s="4">
        <f>IF(B$15=0,0,B17/B$15)</f>
        <v>0.53691275167785235</v>
      </c>
      <c r="E17" s="44" t="s">
        <v>78</v>
      </c>
      <c r="F17" s="41" t="s">
        <v>33</v>
      </c>
      <c r="G17" s="34">
        <v>4</v>
      </c>
      <c r="H17" s="107">
        <f>IF(B$51=0,0,G17/B$51)</f>
        <v>2.247191011235955E-2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66</v>
      </c>
      <c r="C18" s="4">
        <f>IF(B$16=0,0,B18/B$16)</f>
        <v>0.38372093023255816</v>
      </c>
      <c r="E18" s="44" t="s">
        <v>73</v>
      </c>
      <c r="F18" s="41" t="s">
        <v>28</v>
      </c>
      <c r="G18" s="34">
        <v>1</v>
      </c>
      <c r="H18" s="107">
        <f>IF(B$51=0,0,G18/B$51)</f>
        <v>5.6179775280898875E-3</v>
      </c>
      <c r="I18" s="68">
        <v>7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19" t="s">
        <v>10</v>
      </c>
      <c r="B19" s="13">
        <v>178</v>
      </c>
      <c r="C19" s="4">
        <f>IF(B$3=0,0,B19/B$3)</f>
        <v>0.24484181568088034</v>
      </c>
      <c r="E19" s="44" t="s">
        <v>74</v>
      </c>
      <c r="F19" s="41" t="s">
        <v>29</v>
      </c>
      <c r="G19" s="34">
        <v>1</v>
      </c>
      <c r="H19" s="107">
        <f>IF(B$51=0,0,G19/B$51)</f>
        <v>5.6179775280898875E-3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5">
      <c r="A20" s="37" t="s">
        <v>13</v>
      </c>
      <c r="B20" s="34">
        <v>138</v>
      </c>
      <c r="C20" s="31">
        <f>IF(B$3=0,0,B20/B$3)</f>
        <v>0.18982118294360384</v>
      </c>
      <c r="E20" s="44" t="s">
        <v>79</v>
      </c>
      <c r="F20" s="41" t="s">
        <v>34</v>
      </c>
      <c r="G20" s="34">
        <v>1</v>
      </c>
      <c r="H20" s="107">
        <f>IF(B$51=0,0,G20/B$51)</f>
        <v>5.6179775280898875E-3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-20.954166666666666</v>
      </c>
      <c r="P20" s="93">
        <v>24</v>
      </c>
      <c r="Q20" s="81">
        <v>-502.9</v>
      </c>
    </row>
    <row r="21" spans="1:17" x14ac:dyDescent="0.45">
      <c r="A21" s="37" t="s">
        <v>12</v>
      </c>
      <c r="B21" s="34">
        <v>83</v>
      </c>
      <c r="C21" s="31">
        <f>IF(B$19=0,0,B21/B$19)</f>
        <v>0.46629213483146065</v>
      </c>
      <c r="E21" s="44" t="s">
        <v>92</v>
      </c>
      <c r="F21" s="41" t="s">
        <v>47</v>
      </c>
      <c r="G21" s="34">
        <v>1</v>
      </c>
      <c r="H21" s="107">
        <f>IF(B$51=0,0,G21/B$51)</f>
        <v>5.6179775280898875E-3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-25.287499999999998</v>
      </c>
      <c r="P21" s="93">
        <v>8</v>
      </c>
      <c r="Q21" s="81">
        <v>-202.29999999999998</v>
      </c>
    </row>
    <row r="22" spans="1:17" x14ac:dyDescent="0.45">
      <c r="A22" s="37" t="s">
        <v>11</v>
      </c>
      <c r="B22" s="34">
        <v>95</v>
      </c>
      <c r="C22" s="31">
        <f>IF(B$19=0,0,B22/B$19)</f>
        <v>0.5337078651685393</v>
      </c>
      <c r="E22" s="44" t="s">
        <v>95</v>
      </c>
      <c r="F22" s="41" t="s">
        <v>50</v>
      </c>
      <c r="G22" s="34">
        <v>1</v>
      </c>
      <c r="H22" s="107">
        <f>IF(B$51=0,0,G22/B$51)</f>
        <v>5.6179775280898875E-3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-25.71764705882353</v>
      </c>
      <c r="P22" s="93">
        <v>34</v>
      </c>
      <c r="Q22" s="81">
        <v>-874.40000000000009</v>
      </c>
    </row>
    <row r="23" spans="1:17" x14ac:dyDescent="0.45">
      <c r="A23" s="37" t="s">
        <v>180</v>
      </c>
      <c r="B23" s="34">
        <v>80</v>
      </c>
      <c r="C23" s="31">
        <f>IF(B$19=0,0,B23/B$19)</f>
        <v>0.449438202247191</v>
      </c>
      <c r="E23" s="44" t="s">
        <v>153</v>
      </c>
      <c r="F23" s="41" t="s">
        <v>154</v>
      </c>
      <c r="G23" s="34">
        <v>1</v>
      </c>
      <c r="H23" s="107">
        <f>IF(B$51=0,0,G23/B$51)</f>
        <v>5.6179775280898875E-3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-29.696428571428587</v>
      </c>
      <c r="P23" s="93">
        <v>28</v>
      </c>
      <c r="Q23" s="81">
        <v>-831.50000000000045</v>
      </c>
    </row>
    <row r="24" spans="1:17" x14ac:dyDescent="0.45">
      <c r="A24" s="37" t="s">
        <v>178</v>
      </c>
      <c r="B24" s="34">
        <v>66</v>
      </c>
      <c r="C24" s="31">
        <f>IF(B$19=0,0,B24/B$19)</f>
        <v>0.3707865168539326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32</v>
      </c>
      <c r="C25" s="31">
        <f>IF(B$19=0,0,B25/B$19)</f>
        <v>0.1797752808988764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8257.3033707865161</v>
      </c>
      <c r="C26" s="8">
        <v>1469800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8930.3571428571431</v>
      </c>
      <c r="C27" s="115">
        <v>1000200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7115.151515151515</v>
      </c>
      <c r="C28" s="115">
        <v>469600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-8292.753623188406</v>
      </c>
      <c r="C29" s="115">
        <v>-1144400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35">
        <v>6</v>
      </c>
      <c r="C32" s="136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3">
        <v>85100</v>
      </c>
      <c r="C33" s="134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5.5020632737276479E-3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4">
        <v>15</v>
      </c>
      <c r="C36" s="119">
        <f>IF(B$19=0,0,B36/B$19)</f>
        <v>8.4269662921348312E-2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32</v>
      </c>
      <c r="C37" s="31">
        <f t="shared" ref="C37:C48" si="2">IF(B$19=0,0,B37/B$19)</f>
        <v>0.1797752808988764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5">
        <v>36</v>
      </c>
      <c r="C38" s="31">
        <f>IF(B$19=0,0,B38/B$19)</f>
        <v>0.20224719101123595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5">
        <v>32</v>
      </c>
      <c r="C39" s="31">
        <f t="shared" si="2"/>
        <v>0.1797752808988764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5">
        <v>26</v>
      </c>
      <c r="C40" s="31">
        <f t="shared" si="2"/>
        <v>0.14606741573033707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5">
        <v>15</v>
      </c>
      <c r="C41" s="31">
        <f t="shared" si="2"/>
        <v>8.4269662921348312E-2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5">
        <v>10</v>
      </c>
      <c r="C42" s="31">
        <f t="shared" si="2"/>
        <v>5.6179775280898875E-2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5">
        <v>7</v>
      </c>
      <c r="C43" s="31">
        <f t="shared" si="2"/>
        <v>3.9325842696629212E-2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5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5">
        <v>1</v>
      </c>
      <c r="C45" s="31">
        <f t="shared" si="2"/>
        <v>5.6179775280898875E-3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5">
        <v>2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6">
        <v>2</v>
      </c>
      <c r="C48" s="32">
        <f t="shared" si="2"/>
        <v>1.1235955056179775E-2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727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29">
        <v>178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445BC-BBB5-4888-8C4B-44B28BEC5C35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198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43">
        <v>32</v>
      </c>
      <c r="C3" s="14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45">
        <v>-56.2</v>
      </c>
      <c r="C4" s="14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9">
        <f>IF(B$2=0,0,B$4/B$2)</f>
        <v>-14.05</v>
      </c>
      <c r="C5" s="140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7">
        <f>IF(B$2=0,0,(B$7*1+B$8*2+B$9*3)/B$2)</f>
        <v>2.25</v>
      </c>
      <c r="C6" s="138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-2.9833333333333321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2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55200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10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8895-29EC-465A-BC3D-6487F32E9557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202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43">
        <v>78</v>
      </c>
      <c r="C3" s="14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45">
        <v>9.2999999999999972</v>
      </c>
      <c r="C4" s="14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9">
        <f>IF(B$2=0,0,B$4/B$2)</f>
        <v>0.92999999999999972</v>
      </c>
      <c r="C5" s="140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9">
        <f>AVERAGE(B10:B12)</f>
        <v>0.61999999999999977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70900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26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96AB3-DC3A-4843-9115-82889FC3971C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201</v>
      </c>
      <c r="C1" s="142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43">
        <v>40</v>
      </c>
      <c r="C3" s="14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45">
        <v>-80.800000000000011</v>
      </c>
      <c r="C4" s="14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9">
        <f>IF(B$2=0,0,B$4/B$2)</f>
        <v>-16.160000000000004</v>
      </c>
      <c r="C5" s="140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9">
        <f>AVERAGE(B10:B12)</f>
        <v>-8.9666666666666668</v>
      </c>
      <c r="C13" s="140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52000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2020-03-12T05:46:01Z</dcterms:modified>
</cp:coreProperties>
</file>