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All\"/>
    </mc:Choice>
  </mc:AlternateContent>
  <xr:revisionPtr revIDLastSave="0" documentId="13_ncr:1_{24D847E5-B654-495F-994B-DB7E64390815}" xr6:coauthVersionLast="41" xr6:coauthVersionMax="41" xr10:uidLastSave="{00000000-0000-0000-0000-000000000000}"/>
  <bookViews>
    <workbookView xWindow="45" yWindow="3360" windowWidth="21600" windowHeight="11835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6053" r:id="rId4"/>
    <sheet name="だいち" sheetId="6054" r:id="rId5"/>
    <sheet name="かこたろう" sheetId="6055" r:id="rId6"/>
    <sheet name="ともき" sheetId="6056" r:id="rId7"/>
    <sheet name="りくと" sheetId="6057" r:id="rId8"/>
    <sheet name="いっしー" sheetId="6058" r:id="rId9"/>
    <sheet name="がくと" sheetId="6059" r:id="rId10"/>
    <sheet name="たかの" sheetId="6060" r:id="rId11"/>
    <sheet name="ただ" sheetId="6061" r:id="rId12"/>
    <sheet name="やがさき" sheetId="6062" r:id="rId13"/>
    <sheet name="れんたろう" sheetId="6063" r:id="rId14"/>
    <sheet name="あさひ" sheetId="6064" r:id="rId15"/>
    <sheet name="まっつん" sheetId="6065" r:id="rId16"/>
    <sheet name="ぱぱ" sheetId="6066" r:id="rId17"/>
    <sheet name="ほたに" sheetId="6067" r:id="rId18"/>
    <sheet name="かわたつ" sheetId="6068" r:id="rId19"/>
    <sheet name="のり" sheetId="6069" r:id="rId20"/>
    <sheet name="ちさと" sheetId="6070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あさひ!$B$29</definedName>
    <definedName name="チョンボ数" localSheetId="8">いっしー!$B$29</definedName>
    <definedName name="チョンボ数" localSheetId="9">がくと!$B$29</definedName>
    <definedName name="チョンボ数" localSheetId="5">かこたろう!$B$29</definedName>
    <definedName name="チョンボ数" localSheetId="18">かわたつ!$B$29</definedName>
    <definedName name="チョンボ数" localSheetId="4">だいち!$B$29</definedName>
    <definedName name="チョンボ数" localSheetId="10">たかの!$B$29</definedName>
    <definedName name="チョンボ数" localSheetId="11">ただ!$B$29</definedName>
    <definedName name="チョンボ数" localSheetId="20">ちさと!$B$29</definedName>
    <definedName name="チョンボ数" localSheetId="6">ともき!$B$29</definedName>
    <definedName name="チョンボ数" localSheetId="19">のり!$B$29</definedName>
    <definedName name="チョンボ数" localSheetId="16">ぱぱ!$B$29</definedName>
    <definedName name="チョンボ数" localSheetId="17">ほたに!$B$29</definedName>
    <definedName name="チョンボ数" localSheetId="15">まっつん!$B$29</definedName>
    <definedName name="チョンボ数" localSheetId="12">やがさき!$B$29</definedName>
    <definedName name="チョンボ数" localSheetId="7">りくと!$B$29</definedName>
    <definedName name="チョンボ数" localSheetId="13">れんたろう!$B$29</definedName>
    <definedName name="チョンボ数" localSheetId="3">全体!$B$29</definedName>
    <definedName name="チョンボ数">Template!$B$29</definedName>
    <definedName name="チョンボ率" localSheetId="14">あさひ!$C$29</definedName>
    <definedName name="チョンボ率" localSheetId="8">いっしー!$C$29</definedName>
    <definedName name="チョンボ率" localSheetId="9">がくと!$C$29</definedName>
    <definedName name="チョンボ率" localSheetId="5">かこたろう!$C$29</definedName>
    <definedName name="チョンボ率" localSheetId="18">かわたつ!$C$29</definedName>
    <definedName name="チョンボ率" localSheetId="4">だいち!$C$29</definedName>
    <definedName name="チョンボ率" localSheetId="10">たかの!$C$29</definedName>
    <definedName name="チョンボ率" localSheetId="11">ただ!$C$29</definedName>
    <definedName name="チョンボ率" localSheetId="20">ちさと!$C$29</definedName>
    <definedName name="チョンボ率" localSheetId="6">ともき!$C$29</definedName>
    <definedName name="チョンボ率" localSheetId="19">のり!$C$29</definedName>
    <definedName name="チョンボ率" localSheetId="16">ぱぱ!$C$29</definedName>
    <definedName name="チョンボ率" localSheetId="17">ほたに!$C$29</definedName>
    <definedName name="チョンボ率" localSheetId="15">まっつん!$C$29</definedName>
    <definedName name="チョンボ率" localSheetId="12">やがさき!$C$29</definedName>
    <definedName name="チョンボ率" localSheetId="7">りくと!$C$29</definedName>
    <definedName name="チョンボ率" localSheetId="13">れんたろう!$C$29</definedName>
    <definedName name="チョンボ率" localSheetId="3">全体!$C$29</definedName>
    <definedName name="チョンボ率">Template!$C$29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あさひ!$B$27</definedName>
    <definedName name="最大ドラ数" localSheetId="8">いっしー!$B$27</definedName>
    <definedName name="最大ドラ数" localSheetId="9">がくと!$B$27</definedName>
    <definedName name="最大ドラ数" localSheetId="5">かこたろう!$B$27</definedName>
    <definedName name="最大ドラ数" localSheetId="18">かわたつ!$B$27</definedName>
    <definedName name="最大ドラ数" localSheetId="4">だいち!$B$27</definedName>
    <definedName name="最大ドラ数" localSheetId="10">たかの!$B$27</definedName>
    <definedName name="最大ドラ数" localSheetId="11">ただ!$B$27</definedName>
    <definedName name="最大ドラ数" localSheetId="20">ちさと!$B$27</definedName>
    <definedName name="最大ドラ数" localSheetId="6">ともき!$B$27</definedName>
    <definedName name="最大ドラ数" localSheetId="19">のり!$B$27</definedName>
    <definedName name="最大ドラ数" localSheetId="16">ぱぱ!$B$27</definedName>
    <definedName name="最大ドラ数" localSheetId="17">ほたに!$B$27</definedName>
    <definedName name="最大ドラ数" localSheetId="15">まっつん!$B$27</definedName>
    <definedName name="最大ドラ数" localSheetId="12">やがさき!$B$27</definedName>
    <definedName name="最大ドラ数" localSheetId="7">りくと!$B$27</definedName>
    <definedName name="最大ドラ数" localSheetId="13">れんたろう!$B$27</definedName>
    <definedName name="最大ドラ数" localSheetId="3">全体!$B$27</definedName>
    <definedName name="最大ドラ数">Template!$B$27</definedName>
    <definedName name="最大点数" localSheetId="14">あさひ!$B$28</definedName>
    <definedName name="最大点数" localSheetId="8">いっしー!$B$28</definedName>
    <definedName name="最大点数" localSheetId="9">がくと!$B$28</definedName>
    <definedName name="最大点数" localSheetId="5">かこたろう!$B$28</definedName>
    <definedName name="最大点数" localSheetId="18">かわたつ!$B$28</definedName>
    <definedName name="最大点数" localSheetId="4">だいち!$B$28</definedName>
    <definedName name="最大点数" localSheetId="10">たかの!$B$28</definedName>
    <definedName name="最大点数" localSheetId="11">ただ!$B$28</definedName>
    <definedName name="最大点数" localSheetId="20">ちさと!$B$28</definedName>
    <definedName name="最大点数" localSheetId="6">ともき!$B$28</definedName>
    <definedName name="最大点数" localSheetId="19">のり!$B$28</definedName>
    <definedName name="最大点数" localSheetId="16">ぱぱ!$B$28</definedName>
    <definedName name="最大点数" localSheetId="17">ほたに!$B$28</definedName>
    <definedName name="最大点数" localSheetId="15">まっつん!$B$28</definedName>
    <definedName name="最大点数" localSheetId="12">やがさき!$B$28</definedName>
    <definedName name="最大点数" localSheetId="7">りくと!$B$28</definedName>
    <definedName name="最大点数" localSheetId="13">れんたろう!$B$28</definedName>
    <definedName name="最大点数" localSheetId="3">全体!$B$28</definedName>
    <definedName name="最大点数">Template!$B$28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あさひ!$B$26</definedName>
    <definedName name="平均放銃点" localSheetId="8">いっしー!$B$26</definedName>
    <definedName name="平均放銃点" localSheetId="9">がくと!$B$26</definedName>
    <definedName name="平均放銃点" localSheetId="5">かこたろう!$B$26</definedName>
    <definedName name="平均放銃点" localSheetId="18">かわたつ!$B$26</definedName>
    <definedName name="平均放銃点" localSheetId="4">だいち!$B$26</definedName>
    <definedName name="平均放銃点" localSheetId="10">たかの!$B$26</definedName>
    <definedName name="平均放銃点" localSheetId="11">ただ!$B$26</definedName>
    <definedName name="平均放銃点" localSheetId="20">ちさと!$B$26</definedName>
    <definedName name="平均放銃点" localSheetId="6">ともき!$B$26</definedName>
    <definedName name="平均放銃点" localSheetId="19">のり!$B$26</definedName>
    <definedName name="平均放銃点" localSheetId="16">ぱぱ!$B$26</definedName>
    <definedName name="平均放銃点" localSheetId="17">ほたに!$B$26</definedName>
    <definedName name="平均放銃点" localSheetId="15">まっつん!$B$26</definedName>
    <definedName name="平均放銃点" localSheetId="12">やがさき!$B$26</definedName>
    <definedName name="平均放銃点" localSheetId="7">りくと!$B$26</definedName>
    <definedName name="平均放銃点" localSheetId="13">れんたろう!$B$26</definedName>
    <definedName name="平均放銃点" localSheetId="3">全体!$B$26</definedName>
    <definedName name="平均放銃点">Template!$B$26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6069" l="1"/>
  <c r="O17" i="6069"/>
  <c r="O16" i="6069"/>
  <c r="O15" i="6069"/>
  <c r="O16" i="6063"/>
  <c r="O16" i="6057"/>
  <c r="O18" i="6054"/>
  <c r="O23" i="6060"/>
  <c r="O16" i="6070" l="1"/>
  <c r="O15" i="6070"/>
  <c r="H53" i="6070"/>
  <c r="H5" i="6070"/>
  <c r="H52" i="6070"/>
  <c r="H51" i="6070"/>
  <c r="H50" i="6070"/>
  <c r="H49" i="6070"/>
  <c r="H48" i="6070"/>
  <c r="H47" i="6070"/>
  <c r="H46" i="6070"/>
  <c r="H45" i="6070"/>
  <c r="H44" i="6070"/>
  <c r="H43" i="6070"/>
  <c r="H42" i="6070"/>
  <c r="H41" i="6070"/>
  <c r="H40" i="6070"/>
  <c r="H39" i="6070"/>
  <c r="H38" i="6070"/>
  <c r="H37" i="6070"/>
  <c r="H36" i="6070"/>
  <c r="H35" i="6070"/>
  <c r="H34" i="6070"/>
  <c r="H33" i="6070"/>
  <c r="H32" i="6070"/>
  <c r="H31" i="6070"/>
  <c r="H30" i="6070"/>
  <c r="C29" i="6070"/>
  <c r="H13" i="6070"/>
  <c r="H29" i="6070"/>
  <c r="H28" i="6070"/>
  <c r="B26" i="6070"/>
  <c r="H12" i="6070"/>
  <c r="B25" i="6070"/>
  <c r="H27" i="6070"/>
  <c r="H26" i="6070"/>
  <c r="H11" i="6070"/>
  <c r="H25" i="6070"/>
  <c r="H10" i="6070"/>
  <c r="C20" i="6070"/>
  <c r="H24" i="6070"/>
  <c r="H23" i="6070"/>
  <c r="H22" i="6070"/>
  <c r="B17" i="6070"/>
  <c r="B23" i="6070" s="1"/>
  <c r="H21" i="6070"/>
  <c r="C16" i="6070"/>
  <c r="H20" i="6070"/>
  <c r="C15" i="6070"/>
  <c r="H19" i="6070"/>
  <c r="C14" i="6070"/>
  <c r="H18" i="6070"/>
  <c r="C13" i="6070"/>
  <c r="O12" i="6070"/>
  <c r="H17" i="6070"/>
  <c r="C12" i="6070"/>
  <c r="O11" i="6070"/>
  <c r="H2" i="6070"/>
  <c r="C11" i="6070"/>
  <c r="O10" i="6070"/>
  <c r="H16" i="6070"/>
  <c r="C10" i="6070"/>
  <c r="H15" i="6070"/>
  <c r="C9" i="6070"/>
  <c r="H9" i="6070"/>
  <c r="C8" i="6070"/>
  <c r="O7" i="6070"/>
  <c r="H8" i="6070"/>
  <c r="C7" i="6070"/>
  <c r="O6" i="6070"/>
  <c r="H14" i="6070"/>
  <c r="B6" i="6070"/>
  <c r="O5" i="6070"/>
  <c r="H7" i="6070"/>
  <c r="B5" i="6070"/>
  <c r="O4" i="6070"/>
  <c r="H4" i="6070"/>
  <c r="O3" i="6070"/>
  <c r="H6" i="6070"/>
  <c r="O2" i="6070"/>
  <c r="H3" i="6070"/>
  <c r="O22" i="6069"/>
  <c r="O18" i="6069"/>
  <c r="O20" i="6069"/>
  <c r="O19" i="6069"/>
  <c r="H53" i="6069"/>
  <c r="H5" i="6069"/>
  <c r="H52" i="6069"/>
  <c r="H51" i="6069"/>
  <c r="H50" i="6069"/>
  <c r="H49" i="6069"/>
  <c r="H48" i="6069"/>
  <c r="H47" i="6069"/>
  <c r="H46" i="6069"/>
  <c r="H45" i="6069"/>
  <c r="H44" i="6069"/>
  <c r="H43" i="6069"/>
  <c r="H42" i="6069"/>
  <c r="H41" i="6069"/>
  <c r="H40" i="6069"/>
  <c r="H39" i="6069"/>
  <c r="H38" i="6069"/>
  <c r="H37" i="6069"/>
  <c r="H36" i="6069"/>
  <c r="H35" i="6069"/>
  <c r="H34" i="6069"/>
  <c r="H33" i="6069"/>
  <c r="H32" i="6069"/>
  <c r="H18" i="6069"/>
  <c r="H31" i="6069"/>
  <c r="C29" i="6069"/>
  <c r="H15" i="6069"/>
  <c r="H30" i="6069"/>
  <c r="H29" i="6069"/>
  <c r="B26" i="6069"/>
  <c r="H9" i="6069"/>
  <c r="B25" i="6069"/>
  <c r="H28" i="6069"/>
  <c r="H27" i="6069"/>
  <c r="H14" i="6069"/>
  <c r="H26" i="6069"/>
  <c r="H16" i="6069"/>
  <c r="C20" i="6069"/>
  <c r="H25" i="6069"/>
  <c r="H24" i="6069"/>
  <c r="H13" i="6069"/>
  <c r="B17" i="6069"/>
  <c r="B23" i="6069" s="1"/>
  <c r="H23" i="6069"/>
  <c r="C16" i="6069"/>
  <c r="H22" i="6069"/>
  <c r="C15" i="6069"/>
  <c r="H21" i="6069"/>
  <c r="C14" i="6069"/>
  <c r="H17" i="6069"/>
  <c r="C13" i="6069"/>
  <c r="O12" i="6069"/>
  <c r="H20" i="6069"/>
  <c r="C12" i="6069"/>
  <c r="O11" i="6069"/>
  <c r="H4" i="6069"/>
  <c r="C11" i="6069"/>
  <c r="O10" i="6069"/>
  <c r="H12" i="6069"/>
  <c r="C10" i="6069"/>
  <c r="H11" i="6069"/>
  <c r="C9" i="6069"/>
  <c r="H10" i="6069"/>
  <c r="C8" i="6069"/>
  <c r="O7" i="6069"/>
  <c r="H7" i="6069"/>
  <c r="C7" i="6069"/>
  <c r="O6" i="6069"/>
  <c r="H19" i="6069"/>
  <c r="B6" i="6069"/>
  <c r="O5" i="6069"/>
  <c r="H6" i="6069"/>
  <c r="B5" i="6069"/>
  <c r="O4" i="6069"/>
  <c r="H2" i="6069"/>
  <c r="O3" i="6069"/>
  <c r="H8" i="6069"/>
  <c r="O2" i="6069"/>
  <c r="H3" i="6069"/>
  <c r="O16" i="6068"/>
  <c r="O15" i="6068"/>
  <c r="H53" i="6068"/>
  <c r="H7" i="6068"/>
  <c r="H52" i="6068"/>
  <c r="H51" i="6068"/>
  <c r="H50" i="6068"/>
  <c r="H49" i="6068"/>
  <c r="H48" i="6068"/>
  <c r="H47" i="6068"/>
  <c r="H46" i="6068"/>
  <c r="H45" i="6068"/>
  <c r="H44" i="6068"/>
  <c r="H43" i="6068"/>
  <c r="H42" i="6068"/>
  <c r="H41" i="6068"/>
  <c r="H40" i="6068"/>
  <c r="H39" i="6068"/>
  <c r="H38" i="6068"/>
  <c r="H37" i="6068"/>
  <c r="H36" i="6068"/>
  <c r="H35" i="6068"/>
  <c r="H34" i="6068"/>
  <c r="H33" i="6068"/>
  <c r="H32" i="6068"/>
  <c r="H31" i="6068"/>
  <c r="H30" i="6068"/>
  <c r="C29" i="6068"/>
  <c r="H29" i="6068"/>
  <c r="H28" i="6068"/>
  <c r="H27" i="6068"/>
  <c r="B26" i="6068"/>
  <c r="H26" i="6068"/>
  <c r="B25" i="6068"/>
  <c r="H25" i="6068"/>
  <c r="H24" i="6068"/>
  <c r="H23" i="6068"/>
  <c r="H22" i="6068"/>
  <c r="H6" i="6068"/>
  <c r="C20" i="6068"/>
  <c r="H21" i="6068"/>
  <c r="H20" i="6068"/>
  <c r="H19" i="6068"/>
  <c r="B17" i="6068"/>
  <c r="B23" i="6068" s="1"/>
  <c r="H18" i="6068"/>
  <c r="C16" i="6068"/>
  <c r="H17" i="6068"/>
  <c r="C15" i="6068"/>
  <c r="H16" i="6068"/>
  <c r="C14" i="6068"/>
  <c r="H15" i="6068"/>
  <c r="C13" i="6068"/>
  <c r="O12" i="6068"/>
  <c r="H14" i="6068"/>
  <c r="C12" i="6068"/>
  <c r="O11" i="6068"/>
  <c r="H13" i="6068"/>
  <c r="C11" i="6068"/>
  <c r="O10" i="6068"/>
  <c r="H12" i="6068"/>
  <c r="C10" i="6068"/>
  <c r="H11" i="6068"/>
  <c r="C9" i="6068"/>
  <c r="H10" i="6068"/>
  <c r="C8" i="6068"/>
  <c r="O7" i="6068"/>
  <c r="H5" i="6068"/>
  <c r="C7" i="6068"/>
  <c r="O6" i="6068"/>
  <c r="H9" i="6068"/>
  <c r="B6" i="6068"/>
  <c r="O5" i="6068"/>
  <c r="H4" i="6068"/>
  <c r="B5" i="6068"/>
  <c r="O4" i="6068"/>
  <c r="H2" i="6068"/>
  <c r="O3" i="6068"/>
  <c r="H8" i="6068"/>
  <c r="O2" i="6068"/>
  <c r="H3" i="6068"/>
  <c r="O22" i="6067"/>
  <c r="O21" i="6067"/>
  <c r="O17" i="6067"/>
  <c r="O20" i="6067"/>
  <c r="O19" i="6067"/>
  <c r="O18" i="6067"/>
  <c r="O16" i="6067"/>
  <c r="O15" i="6067"/>
  <c r="H53" i="6067"/>
  <c r="H7" i="6067"/>
  <c r="H52" i="6067"/>
  <c r="H51" i="6067"/>
  <c r="H50" i="6067"/>
  <c r="H49" i="6067"/>
  <c r="H48" i="6067"/>
  <c r="H47" i="6067"/>
  <c r="H46" i="6067"/>
  <c r="H45" i="6067"/>
  <c r="H44" i="6067"/>
  <c r="H43" i="6067"/>
  <c r="H42" i="6067"/>
  <c r="H41" i="6067"/>
  <c r="H40" i="6067"/>
  <c r="H39" i="6067"/>
  <c r="H38" i="6067"/>
  <c r="H37" i="6067"/>
  <c r="H36" i="6067"/>
  <c r="H35" i="6067"/>
  <c r="H34" i="6067"/>
  <c r="H33" i="6067"/>
  <c r="H32" i="6067"/>
  <c r="H31" i="6067"/>
  <c r="H30" i="6067"/>
  <c r="C29" i="6067"/>
  <c r="H8" i="6067"/>
  <c r="H29" i="6067"/>
  <c r="H28" i="6067"/>
  <c r="B26" i="6067"/>
  <c r="H11" i="6067"/>
  <c r="B25" i="6067"/>
  <c r="H27" i="6067"/>
  <c r="H26" i="6067"/>
  <c r="H14" i="6067"/>
  <c r="H25" i="6067"/>
  <c r="H18" i="6067"/>
  <c r="C20" i="6067"/>
  <c r="H24" i="6067"/>
  <c r="H17" i="6067"/>
  <c r="H13" i="6067"/>
  <c r="B17" i="6067"/>
  <c r="B23" i="6067" s="1"/>
  <c r="H15" i="6067"/>
  <c r="C16" i="6067"/>
  <c r="H23" i="6067"/>
  <c r="C15" i="6067"/>
  <c r="H22" i="6067"/>
  <c r="C14" i="6067"/>
  <c r="H21" i="6067"/>
  <c r="C13" i="6067"/>
  <c r="O12" i="6067"/>
  <c r="H20" i="6067"/>
  <c r="C12" i="6067"/>
  <c r="O11" i="6067"/>
  <c r="H2" i="6067"/>
  <c r="C11" i="6067"/>
  <c r="O10" i="6067"/>
  <c r="H16" i="6067"/>
  <c r="C10" i="6067"/>
  <c r="H12" i="6067"/>
  <c r="C9" i="6067"/>
  <c r="H9" i="6067"/>
  <c r="C8" i="6067"/>
  <c r="O7" i="6067"/>
  <c r="H6" i="6067"/>
  <c r="C7" i="6067"/>
  <c r="O6" i="6067"/>
  <c r="H19" i="6067"/>
  <c r="B6" i="6067"/>
  <c r="O5" i="6067"/>
  <c r="H5" i="6067"/>
  <c r="B5" i="6067"/>
  <c r="O4" i="6067"/>
  <c r="H3" i="6067"/>
  <c r="O3" i="6067"/>
  <c r="H10" i="6067"/>
  <c r="O2" i="6067"/>
  <c r="H4" i="6067"/>
  <c r="O22" i="6064"/>
  <c r="O16" i="6064"/>
  <c r="O15" i="6064"/>
  <c r="O26" i="6065"/>
  <c r="O17" i="6065"/>
  <c r="O16" i="6065"/>
  <c r="O15" i="6065"/>
  <c r="O23" i="6066"/>
  <c r="O24" i="6066"/>
  <c r="O18" i="6066"/>
  <c r="O15" i="6066"/>
  <c r="O21" i="6060"/>
  <c r="O18" i="6060"/>
  <c r="O28" i="6063"/>
  <c r="O20" i="6063"/>
  <c r="O19" i="6061"/>
  <c r="O15" i="6061"/>
  <c r="O16" i="6061"/>
  <c r="O25" i="6057"/>
  <c r="O29" i="6054"/>
  <c r="O19" i="6054"/>
  <c r="O17" i="6054"/>
  <c r="O31" i="6053"/>
  <c r="O26" i="6053"/>
  <c r="O18" i="6053"/>
  <c r="O16" i="6053"/>
  <c r="C17" i="6070" l="1"/>
  <c r="B24" i="6070"/>
  <c r="C19" i="6070"/>
  <c r="C18" i="6070"/>
  <c r="B24" i="6069"/>
  <c r="C17" i="6069"/>
  <c r="C19" i="6069"/>
  <c r="C18" i="6069"/>
  <c r="C17" i="6068"/>
  <c r="B24" i="6068"/>
  <c r="C19" i="6068"/>
  <c r="C18" i="6068"/>
  <c r="C17" i="6067"/>
  <c r="B24" i="6067"/>
  <c r="C19" i="6067"/>
  <c r="C18" i="6067"/>
  <c r="O21" i="6066" l="1"/>
  <c r="O17" i="6066"/>
  <c r="O20" i="6066"/>
  <c r="O22" i="6066"/>
  <c r="O25" i="6066"/>
  <c r="O16" i="6066"/>
  <c r="O19" i="6066"/>
  <c r="H53" i="6066"/>
  <c r="H6" i="6066"/>
  <c r="H20" i="6066"/>
  <c r="H52" i="6066"/>
  <c r="H51" i="6066"/>
  <c r="H50" i="6066"/>
  <c r="H49" i="6066"/>
  <c r="H48" i="6066"/>
  <c r="H25" i="6066"/>
  <c r="H47" i="6066"/>
  <c r="H46" i="6066"/>
  <c r="H45" i="6066"/>
  <c r="H44" i="6066"/>
  <c r="H43" i="6066"/>
  <c r="H42" i="6066"/>
  <c r="H41" i="6066"/>
  <c r="H40" i="6066"/>
  <c r="H39" i="6066"/>
  <c r="H38" i="6066"/>
  <c r="H37" i="6066"/>
  <c r="H36" i="6066"/>
  <c r="H35" i="6066"/>
  <c r="H34" i="6066"/>
  <c r="H22" i="6066"/>
  <c r="H33" i="6066"/>
  <c r="C29" i="6066"/>
  <c r="H10" i="6066"/>
  <c r="H32" i="6066"/>
  <c r="H21" i="6066"/>
  <c r="B26" i="6066"/>
  <c r="H14" i="6066"/>
  <c r="B25" i="6066"/>
  <c r="H24" i="6066"/>
  <c r="H31" i="6066"/>
  <c r="H15" i="6066"/>
  <c r="H30" i="6066"/>
  <c r="H19" i="6066"/>
  <c r="C20" i="6066"/>
  <c r="H29" i="6066"/>
  <c r="H17" i="6066"/>
  <c r="H16" i="6066"/>
  <c r="B17" i="6066"/>
  <c r="B23" i="6066" s="1"/>
  <c r="H28" i="6066"/>
  <c r="C16" i="6066"/>
  <c r="H27" i="6066"/>
  <c r="C15" i="6066"/>
  <c r="H23" i="6066"/>
  <c r="C14" i="6066"/>
  <c r="H26" i="6066"/>
  <c r="C13" i="6066"/>
  <c r="O12" i="6066"/>
  <c r="H18" i="6066"/>
  <c r="C12" i="6066"/>
  <c r="O11" i="6066"/>
  <c r="H3" i="6066"/>
  <c r="C11" i="6066"/>
  <c r="O10" i="6066"/>
  <c r="H13" i="6066"/>
  <c r="C10" i="6066"/>
  <c r="H9" i="6066"/>
  <c r="C9" i="6066"/>
  <c r="H8" i="6066"/>
  <c r="C8" i="6066"/>
  <c r="O7" i="6066"/>
  <c r="H5" i="6066"/>
  <c r="C7" i="6066"/>
  <c r="O6" i="6066"/>
  <c r="H11" i="6066"/>
  <c r="B6" i="6066"/>
  <c r="O5" i="6066"/>
  <c r="H7" i="6066"/>
  <c r="B5" i="6066"/>
  <c r="O4" i="6066"/>
  <c r="H2" i="6066"/>
  <c r="O3" i="6066"/>
  <c r="H12" i="6066"/>
  <c r="O2" i="6066"/>
  <c r="H4" i="6066"/>
  <c r="O25" i="6065"/>
  <c r="O23" i="6065"/>
  <c r="O22" i="6065"/>
  <c r="O21" i="6065"/>
  <c r="O24" i="6065"/>
  <c r="O20" i="6065"/>
  <c r="O19" i="6065"/>
  <c r="O18" i="6065"/>
  <c r="H53" i="6065"/>
  <c r="H5" i="6065"/>
  <c r="H28" i="6065"/>
  <c r="H52" i="6065"/>
  <c r="H51" i="6065"/>
  <c r="H50" i="6065"/>
  <c r="H49" i="6065"/>
  <c r="H48" i="6065"/>
  <c r="H47" i="6065"/>
  <c r="H46" i="6065"/>
  <c r="H45" i="6065"/>
  <c r="H44" i="6065"/>
  <c r="H43" i="6065"/>
  <c r="H26" i="6065"/>
  <c r="H42" i="6065"/>
  <c r="H41" i="6065"/>
  <c r="H40" i="6065"/>
  <c r="H39" i="6065"/>
  <c r="H38" i="6065"/>
  <c r="H37" i="6065"/>
  <c r="H36" i="6065"/>
  <c r="H27" i="6065"/>
  <c r="H25" i="6065"/>
  <c r="H17" i="6065"/>
  <c r="H24" i="6065"/>
  <c r="C29" i="6065"/>
  <c r="H10" i="6065"/>
  <c r="H35" i="6065"/>
  <c r="H34" i="6065"/>
  <c r="B26" i="6065"/>
  <c r="H15" i="6065"/>
  <c r="B25" i="6065"/>
  <c r="H20" i="6065"/>
  <c r="H33" i="6065"/>
  <c r="H13" i="6065"/>
  <c r="H32" i="6065"/>
  <c r="H19" i="6065"/>
  <c r="C20" i="6065"/>
  <c r="H31" i="6065"/>
  <c r="H18" i="6065"/>
  <c r="H16" i="6065"/>
  <c r="B17" i="6065"/>
  <c r="B23" i="6065" s="1"/>
  <c r="H21" i="6065"/>
  <c r="C16" i="6065"/>
  <c r="H30" i="6065"/>
  <c r="C15" i="6065"/>
  <c r="H23" i="6065"/>
  <c r="C14" i="6065"/>
  <c r="H22" i="6065"/>
  <c r="C13" i="6065"/>
  <c r="O12" i="6065"/>
  <c r="H29" i="6065"/>
  <c r="C12" i="6065"/>
  <c r="O11" i="6065"/>
  <c r="H3" i="6065"/>
  <c r="C11" i="6065"/>
  <c r="O10" i="6065"/>
  <c r="H14" i="6065"/>
  <c r="C10" i="6065"/>
  <c r="H12" i="6065"/>
  <c r="C9" i="6065"/>
  <c r="H9" i="6065"/>
  <c r="C8" i="6065"/>
  <c r="O7" i="6065"/>
  <c r="H7" i="6065"/>
  <c r="C7" i="6065"/>
  <c r="O6" i="6065"/>
  <c r="H8" i="6065"/>
  <c r="B6" i="6065"/>
  <c r="O5" i="6065"/>
  <c r="H6" i="6065"/>
  <c r="B5" i="6065"/>
  <c r="O4" i="6065"/>
  <c r="H2" i="6065"/>
  <c r="O3" i="6065"/>
  <c r="H11" i="6065"/>
  <c r="O2" i="6065"/>
  <c r="H4" i="6065"/>
  <c r="O21" i="6064"/>
  <c r="O19" i="6064"/>
  <c r="O20" i="6064"/>
  <c r="O18" i="6064"/>
  <c r="O17" i="6064"/>
  <c r="H53" i="6064"/>
  <c r="H14" i="6064"/>
  <c r="H52" i="6064"/>
  <c r="H51" i="6064"/>
  <c r="H50" i="6064"/>
  <c r="H49" i="6064"/>
  <c r="H48" i="6064"/>
  <c r="H47" i="6064"/>
  <c r="H46" i="6064"/>
  <c r="H45" i="6064"/>
  <c r="H44" i="6064"/>
  <c r="H43" i="6064"/>
  <c r="H42" i="6064"/>
  <c r="H41" i="6064"/>
  <c r="H40" i="6064"/>
  <c r="H39" i="6064"/>
  <c r="H38" i="6064"/>
  <c r="H37" i="6064"/>
  <c r="H36" i="6064"/>
  <c r="H35" i="6064"/>
  <c r="H34" i="6064"/>
  <c r="H33" i="6064"/>
  <c r="H32" i="6064"/>
  <c r="H15" i="6064"/>
  <c r="H31" i="6064"/>
  <c r="C29" i="6064"/>
  <c r="H8" i="6064"/>
  <c r="H30" i="6064"/>
  <c r="H29" i="6064"/>
  <c r="B26" i="6064"/>
  <c r="H11" i="6064"/>
  <c r="B25" i="6064"/>
  <c r="H28" i="6064"/>
  <c r="H27" i="6064"/>
  <c r="H26" i="6064"/>
  <c r="H25" i="6064"/>
  <c r="H24" i="6064"/>
  <c r="C20" i="6064"/>
  <c r="H23" i="6064"/>
  <c r="H22" i="6064"/>
  <c r="H21" i="6064"/>
  <c r="B17" i="6064"/>
  <c r="B24" i="6064" s="1"/>
  <c r="H20" i="6064"/>
  <c r="C16" i="6064"/>
  <c r="H19" i="6064"/>
  <c r="C15" i="6064"/>
  <c r="H18" i="6064"/>
  <c r="C14" i="6064"/>
  <c r="H17" i="6064"/>
  <c r="C13" i="6064"/>
  <c r="O12" i="6064"/>
  <c r="H16" i="6064"/>
  <c r="C12" i="6064"/>
  <c r="O11" i="6064"/>
  <c r="H4" i="6064"/>
  <c r="C11" i="6064"/>
  <c r="O10" i="6064"/>
  <c r="H13" i="6064"/>
  <c r="C10" i="6064"/>
  <c r="H10" i="6064"/>
  <c r="C9" i="6064"/>
  <c r="H9" i="6064"/>
  <c r="C8" i="6064"/>
  <c r="O7" i="6064"/>
  <c r="H7" i="6064"/>
  <c r="C7" i="6064"/>
  <c r="O6" i="6064"/>
  <c r="H5" i="6064"/>
  <c r="B6" i="6064"/>
  <c r="O5" i="6064"/>
  <c r="H6" i="6064"/>
  <c r="B5" i="6064"/>
  <c r="O4" i="6064"/>
  <c r="H3" i="6064"/>
  <c r="O3" i="6064"/>
  <c r="H12" i="6064"/>
  <c r="O2" i="6064"/>
  <c r="H2" i="6064"/>
  <c r="O27" i="6063"/>
  <c r="O23" i="6063"/>
  <c r="O26" i="6063"/>
  <c r="O24" i="6063"/>
  <c r="O22" i="6063"/>
  <c r="O21" i="6063"/>
  <c r="O18" i="6063"/>
  <c r="O25" i="6063"/>
  <c r="O17" i="6063"/>
  <c r="O15" i="6063"/>
  <c r="O19" i="6063"/>
  <c r="H53" i="6063"/>
  <c r="H8" i="6063"/>
  <c r="H23" i="6063"/>
  <c r="H52" i="6063"/>
  <c r="H51" i="6063"/>
  <c r="H50" i="6063"/>
  <c r="H49" i="6063"/>
  <c r="H48" i="6063"/>
  <c r="H47" i="6063"/>
  <c r="H46" i="6063"/>
  <c r="H45" i="6063"/>
  <c r="H44" i="6063"/>
  <c r="H43" i="6063"/>
  <c r="H42" i="6063"/>
  <c r="H41" i="6063"/>
  <c r="H40" i="6063"/>
  <c r="H39" i="6063"/>
  <c r="H38" i="6063"/>
  <c r="H37" i="6063"/>
  <c r="H36" i="6063"/>
  <c r="H35" i="6063"/>
  <c r="H26" i="6063"/>
  <c r="H22" i="6063"/>
  <c r="H17" i="6063"/>
  <c r="H30" i="6063"/>
  <c r="C29" i="6063"/>
  <c r="H10" i="6063"/>
  <c r="H34" i="6063"/>
  <c r="H28" i="6063"/>
  <c r="B26" i="6063"/>
  <c r="H13" i="6063"/>
  <c r="B25" i="6063"/>
  <c r="H27" i="6063"/>
  <c r="H25" i="6063"/>
  <c r="H15" i="6063"/>
  <c r="H33" i="6063"/>
  <c r="H18" i="6063"/>
  <c r="C20" i="6063"/>
  <c r="H32" i="6063"/>
  <c r="H19" i="6063"/>
  <c r="H16" i="6063"/>
  <c r="B17" i="6063"/>
  <c r="B23" i="6063" s="1"/>
  <c r="H24" i="6063"/>
  <c r="C16" i="6063"/>
  <c r="H31" i="6063"/>
  <c r="C15" i="6063"/>
  <c r="H21" i="6063"/>
  <c r="C14" i="6063"/>
  <c r="H29" i="6063"/>
  <c r="C13" i="6063"/>
  <c r="O12" i="6063"/>
  <c r="H20" i="6063"/>
  <c r="C12" i="6063"/>
  <c r="O11" i="6063"/>
  <c r="H3" i="6063"/>
  <c r="C11" i="6063"/>
  <c r="O10" i="6063"/>
  <c r="H14" i="6063"/>
  <c r="C10" i="6063"/>
  <c r="H12" i="6063"/>
  <c r="C9" i="6063"/>
  <c r="H9" i="6063"/>
  <c r="C8" i="6063"/>
  <c r="O7" i="6063"/>
  <c r="H7" i="6063"/>
  <c r="C7" i="6063"/>
  <c r="O6" i="6063"/>
  <c r="H5" i="6063"/>
  <c r="B6" i="6063"/>
  <c r="O5" i="6063"/>
  <c r="H6" i="6063"/>
  <c r="B5" i="6063"/>
  <c r="O4" i="6063"/>
  <c r="H2" i="6063"/>
  <c r="O3" i="6063"/>
  <c r="H11" i="6063"/>
  <c r="O2" i="6063"/>
  <c r="H4" i="6063"/>
  <c r="O15" i="6062"/>
  <c r="O21" i="6062"/>
  <c r="O19" i="6062"/>
  <c r="O20" i="6062"/>
  <c r="O18" i="6062"/>
  <c r="O17" i="6062"/>
  <c r="O16" i="6062"/>
  <c r="H53" i="6062"/>
  <c r="H11" i="6062"/>
  <c r="H17" i="6062"/>
  <c r="H52" i="6062"/>
  <c r="H51" i="6062"/>
  <c r="H50" i="6062"/>
  <c r="H49" i="6062"/>
  <c r="H48" i="6062"/>
  <c r="H47" i="6062"/>
  <c r="H46" i="6062"/>
  <c r="H45" i="6062"/>
  <c r="H44" i="6062"/>
  <c r="H43" i="6062"/>
  <c r="H42" i="6062"/>
  <c r="H41" i="6062"/>
  <c r="H40" i="6062"/>
  <c r="H39" i="6062"/>
  <c r="H38" i="6062"/>
  <c r="H37" i="6062"/>
  <c r="H36" i="6062"/>
  <c r="H35" i="6062"/>
  <c r="H34" i="6062"/>
  <c r="H21" i="6062"/>
  <c r="H20" i="6062"/>
  <c r="H33" i="6062"/>
  <c r="C29" i="6062"/>
  <c r="H8" i="6062"/>
  <c r="H32" i="6062"/>
  <c r="H31" i="6062"/>
  <c r="B26" i="6062"/>
  <c r="H19" i="6062"/>
  <c r="B25" i="6062"/>
  <c r="H30" i="6062"/>
  <c r="H29" i="6062"/>
  <c r="H16" i="6062"/>
  <c r="H28" i="6062"/>
  <c r="H27" i="6062"/>
  <c r="C20" i="6062"/>
  <c r="H26" i="6062"/>
  <c r="H15" i="6062"/>
  <c r="H14" i="6062"/>
  <c r="B17" i="6062"/>
  <c r="B23" i="6062" s="1"/>
  <c r="H25" i="6062"/>
  <c r="C16" i="6062"/>
  <c r="H24" i="6062"/>
  <c r="C15" i="6062"/>
  <c r="H23" i="6062"/>
  <c r="C14" i="6062"/>
  <c r="H22" i="6062"/>
  <c r="C13" i="6062"/>
  <c r="O12" i="6062"/>
  <c r="H18" i="6062"/>
  <c r="C12" i="6062"/>
  <c r="O11" i="6062"/>
  <c r="H4" i="6062"/>
  <c r="C11" i="6062"/>
  <c r="O10" i="6062"/>
  <c r="H13" i="6062"/>
  <c r="C10" i="6062"/>
  <c r="H12" i="6062"/>
  <c r="C9" i="6062"/>
  <c r="H10" i="6062"/>
  <c r="C8" i="6062"/>
  <c r="O7" i="6062"/>
  <c r="H7" i="6062"/>
  <c r="C7" i="6062"/>
  <c r="O6" i="6062"/>
  <c r="H2" i="6062"/>
  <c r="B6" i="6062"/>
  <c r="O5" i="6062"/>
  <c r="H6" i="6062"/>
  <c r="B5" i="6062"/>
  <c r="O4" i="6062"/>
  <c r="H3" i="6062"/>
  <c r="O3" i="6062"/>
  <c r="H9" i="6062"/>
  <c r="O2" i="6062"/>
  <c r="H5" i="6062"/>
  <c r="O26" i="6061"/>
  <c r="O24" i="6061"/>
  <c r="O23" i="6061"/>
  <c r="O25" i="6061"/>
  <c r="O17" i="6061"/>
  <c r="O20" i="6061"/>
  <c r="O21" i="6061"/>
  <c r="O18" i="6061"/>
  <c r="O22" i="6061"/>
  <c r="H53" i="6061"/>
  <c r="H7" i="6061"/>
  <c r="H27" i="6061"/>
  <c r="H52" i="6061"/>
  <c r="H51" i="6061"/>
  <c r="H50" i="6061"/>
  <c r="H49" i="6061"/>
  <c r="H48" i="6061"/>
  <c r="H47" i="6061"/>
  <c r="H46" i="6061"/>
  <c r="H45" i="6061"/>
  <c r="H44" i="6061"/>
  <c r="H43" i="6061"/>
  <c r="H42" i="6061"/>
  <c r="H41" i="6061"/>
  <c r="H40" i="6061"/>
  <c r="H39" i="6061"/>
  <c r="H38" i="6061"/>
  <c r="H37" i="6061"/>
  <c r="H36" i="6061"/>
  <c r="H35" i="6061"/>
  <c r="H24" i="6061"/>
  <c r="H30" i="6061"/>
  <c r="H18" i="6061"/>
  <c r="H34" i="6061"/>
  <c r="C29" i="6061"/>
  <c r="H10" i="6061"/>
  <c r="H29" i="6061"/>
  <c r="H26" i="6061"/>
  <c r="B26" i="6061"/>
  <c r="H14" i="6061"/>
  <c r="B25" i="6061"/>
  <c r="H28" i="6061"/>
  <c r="H25" i="6061"/>
  <c r="H16" i="6061"/>
  <c r="H33" i="6061"/>
  <c r="H17" i="6061"/>
  <c r="C20" i="6061"/>
  <c r="H32" i="6061"/>
  <c r="H19" i="6061"/>
  <c r="H15" i="6061"/>
  <c r="B17" i="6061"/>
  <c r="B24" i="6061" s="1"/>
  <c r="H20" i="6061"/>
  <c r="C16" i="6061"/>
  <c r="H31" i="6061"/>
  <c r="C15" i="6061"/>
  <c r="H23" i="6061"/>
  <c r="C14" i="6061"/>
  <c r="H22" i="6061"/>
  <c r="C13" i="6061"/>
  <c r="O12" i="6061"/>
  <c r="H21" i="6061"/>
  <c r="C12" i="6061"/>
  <c r="O11" i="6061"/>
  <c r="H3" i="6061"/>
  <c r="C11" i="6061"/>
  <c r="O10" i="6061"/>
  <c r="H13" i="6061"/>
  <c r="C10" i="6061"/>
  <c r="H11" i="6061"/>
  <c r="C9" i="6061"/>
  <c r="H9" i="6061"/>
  <c r="C8" i="6061"/>
  <c r="O7" i="6061"/>
  <c r="H5" i="6061"/>
  <c r="C7" i="6061"/>
  <c r="O6" i="6061"/>
  <c r="H8" i="6061"/>
  <c r="B6" i="6061"/>
  <c r="O5" i="6061"/>
  <c r="H6" i="6061"/>
  <c r="B5" i="6061"/>
  <c r="O4" i="6061"/>
  <c r="H2" i="6061"/>
  <c r="O3" i="6061"/>
  <c r="H12" i="6061"/>
  <c r="O2" i="6061"/>
  <c r="H4" i="6061"/>
  <c r="O24" i="6060"/>
  <c r="O20" i="6060"/>
  <c r="O22" i="6060"/>
  <c r="O15" i="6060"/>
  <c r="O19" i="6060"/>
  <c r="O16" i="6060"/>
  <c r="O17" i="6060"/>
  <c r="H53" i="6060"/>
  <c r="H5" i="6060"/>
  <c r="H52" i="6060"/>
  <c r="H51" i="6060"/>
  <c r="H50" i="6060"/>
  <c r="H49" i="6060"/>
  <c r="H48" i="6060"/>
  <c r="H47" i="6060"/>
  <c r="H46" i="6060"/>
  <c r="H45" i="6060"/>
  <c r="H44" i="6060"/>
  <c r="H43" i="6060"/>
  <c r="H42" i="6060"/>
  <c r="H41" i="6060"/>
  <c r="H40" i="6060"/>
  <c r="H39" i="6060"/>
  <c r="H38" i="6060"/>
  <c r="H37" i="6060"/>
  <c r="H36" i="6060"/>
  <c r="H35" i="6060"/>
  <c r="H34" i="6060"/>
  <c r="H27" i="6060"/>
  <c r="H33" i="6060"/>
  <c r="H19" i="6060"/>
  <c r="H26" i="6060"/>
  <c r="C29" i="6060"/>
  <c r="H12" i="6060"/>
  <c r="H23" i="6060"/>
  <c r="H25" i="6060"/>
  <c r="B26" i="6060"/>
  <c r="H15" i="6060"/>
  <c r="B25" i="6060"/>
  <c r="H32" i="6060"/>
  <c r="H31" i="6060"/>
  <c r="H14" i="6060"/>
  <c r="H30" i="6060"/>
  <c r="H16" i="6060"/>
  <c r="C20" i="6060"/>
  <c r="H29" i="6060"/>
  <c r="H18" i="6060"/>
  <c r="H17" i="6060"/>
  <c r="B17" i="6060"/>
  <c r="B23" i="6060" s="1"/>
  <c r="H20" i="6060"/>
  <c r="C16" i="6060"/>
  <c r="H28" i="6060"/>
  <c r="C15" i="6060"/>
  <c r="H22" i="6060"/>
  <c r="C14" i="6060"/>
  <c r="H21" i="6060"/>
  <c r="C13" i="6060"/>
  <c r="O12" i="6060"/>
  <c r="H24" i="6060"/>
  <c r="C12" i="6060"/>
  <c r="O11" i="6060"/>
  <c r="H3" i="6060"/>
  <c r="C11" i="6060"/>
  <c r="O10" i="6060"/>
  <c r="H13" i="6060"/>
  <c r="C10" i="6060"/>
  <c r="H11" i="6060"/>
  <c r="C9" i="6060"/>
  <c r="H9" i="6060"/>
  <c r="C8" i="6060"/>
  <c r="O7" i="6060"/>
  <c r="H6" i="6060"/>
  <c r="C7" i="6060"/>
  <c r="O6" i="6060"/>
  <c r="H7" i="6060"/>
  <c r="B6" i="6060"/>
  <c r="O5" i="6060"/>
  <c r="H8" i="6060"/>
  <c r="B5" i="6060"/>
  <c r="O4" i="6060"/>
  <c r="H2" i="6060"/>
  <c r="O3" i="6060"/>
  <c r="H10" i="6060"/>
  <c r="O2" i="6060"/>
  <c r="H4" i="6060"/>
  <c r="O19" i="6059"/>
  <c r="O18" i="6059"/>
  <c r="O17" i="6059"/>
  <c r="O16" i="6059"/>
  <c r="O15" i="6059"/>
  <c r="H53" i="6059"/>
  <c r="H52" i="6059"/>
  <c r="H51" i="6059"/>
  <c r="H50" i="6059"/>
  <c r="H49" i="6059"/>
  <c r="H48" i="6059"/>
  <c r="H47" i="6059"/>
  <c r="H46" i="6059"/>
  <c r="H45" i="6059"/>
  <c r="H44" i="6059"/>
  <c r="H43" i="6059"/>
  <c r="H42" i="6059"/>
  <c r="H41" i="6059"/>
  <c r="H40" i="6059"/>
  <c r="H39" i="6059"/>
  <c r="H38" i="6059"/>
  <c r="H37" i="6059"/>
  <c r="H36" i="6059"/>
  <c r="H35" i="6059"/>
  <c r="H34" i="6059"/>
  <c r="H33" i="6059"/>
  <c r="H32" i="6059"/>
  <c r="H31" i="6059"/>
  <c r="H30" i="6059"/>
  <c r="H29" i="6059"/>
  <c r="C29" i="6059"/>
  <c r="H28" i="6059"/>
  <c r="H27" i="6059"/>
  <c r="H26" i="6059"/>
  <c r="B26" i="6059"/>
  <c r="H11" i="6059"/>
  <c r="B25" i="6059"/>
  <c r="H25" i="6059"/>
  <c r="H24" i="6059"/>
  <c r="H23" i="6059"/>
  <c r="H22" i="6059"/>
  <c r="H21" i="6059"/>
  <c r="C20" i="6059"/>
  <c r="H20" i="6059"/>
  <c r="H8" i="6059"/>
  <c r="H19" i="6059"/>
  <c r="B17" i="6059"/>
  <c r="B23" i="6059" s="1"/>
  <c r="H18" i="6059"/>
  <c r="C16" i="6059"/>
  <c r="H17" i="6059"/>
  <c r="C15" i="6059"/>
  <c r="H16" i="6059"/>
  <c r="C14" i="6059"/>
  <c r="H15" i="6059"/>
  <c r="C13" i="6059"/>
  <c r="O12" i="6059"/>
  <c r="H14" i="6059"/>
  <c r="C12" i="6059"/>
  <c r="O11" i="6059"/>
  <c r="H5" i="6059"/>
  <c r="C11" i="6059"/>
  <c r="O10" i="6059"/>
  <c r="H13" i="6059"/>
  <c r="C10" i="6059"/>
  <c r="H12" i="6059"/>
  <c r="C9" i="6059"/>
  <c r="H10" i="6059"/>
  <c r="C8" i="6059"/>
  <c r="O7" i="6059"/>
  <c r="H6" i="6059"/>
  <c r="C7" i="6059"/>
  <c r="O6" i="6059"/>
  <c r="H3" i="6059"/>
  <c r="B6" i="6059"/>
  <c r="O5" i="6059"/>
  <c r="H7" i="6059"/>
  <c r="B5" i="6059"/>
  <c r="O4" i="6059"/>
  <c r="H9" i="6059"/>
  <c r="O3" i="6059"/>
  <c r="H4" i="6059"/>
  <c r="O2" i="6059"/>
  <c r="H2" i="6059"/>
  <c r="O22" i="6058"/>
  <c r="O24" i="6058"/>
  <c r="O21" i="6058"/>
  <c r="O18" i="6058"/>
  <c r="O15" i="6058"/>
  <c r="O19" i="6058"/>
  <c r="O23" i="6058"/>
  <c r="O17" i="6058"/>
  <c r="O20" i="6058"/>
  <c r="O16" i="6058"/>
  <c r="O25" i="6058"/>
  <c r="H53" i="6058"/>
  <c r="H9" i="6058"/>
  <c r="H52" i="6058"/>
  <c r="H51" i="6058"/>
  <c r="H50" i="6058"/>
  <c r="H49" i="6058"/>
  <c r="H48" i="6058"/>
  <c r="H47" i="6058"/>
  <c r="H46" i="6058"/>
  <c r="H45" i="6058"/>
  <c r="H44" i="6058"/>
  <c r="H43" i="6058"/>
  <c r="H42" i="6058"/>
  <c r="H41" i="6058"/>
  <c r="H40" i="6058"/>
  <c r="H39" i="6058"/>
  <c r="H38" i="6058"/>
  <c r="H24" i="6058"/>
  <c r="H37" i="6058"/>
  <c r="H36" i="6058"/>
  <c r="H35" i="6058"/>
  <c r="H23" i="6058"/>
  <c r="H34" i="6058"/>
  <c r="H18" i="6058"/>
  <c r="H33" i="6058"/>
  <c r="C29" i="6058"/>
  <c r="H12" i="6058"/>
  <c r="H32" i="6058"/>
  <c r="H31" i="6058"/>
  <c r="B26" i="6058"/>
  <c r="H17" i="6058"/>
  <c r="B25" i="6058"/>
  <c r="H30" i="6058"/>
  <c r="H29" i="6058"/>
  <c r="H10" i="6058"/>
  <c r="H28" i="6058"/>
  <c r="H15" i="6058"/>
  <c r="C20" i="6058"/>
  <c r="H27" i="6058"/>
  <c r="H16" i="6058"/>
  <c r="H22" i="6058"/>
  <c r="B17" i="6058"/>
  <c r="B24" i="6058" s="1"/>
  <c r="H26" i="6058"/>
  <c r="C16" i="6058"/>
  <c r="H25" i="6058"/>
  <c r="C15" i="6058"/>
  <c r="H21" i="6058"/>
  <c r="C14" i="6058"/>
  <c r="H20" i="6058"/>
  <c r="C13" i="6058"/>
  <c r="O12" i="6058"/>
  <c r="H19" i="6058"/>
  <c r="C12" i="6058"/>
  <c r="O11" i="6058"/>
  <c r="H3" i="6058"/>
  <c r="C11" i="6058"/>
  <c r="O10" i="6058"/>
  <c r="H14" i="6058"/>
  <c r="C10" i="6058"/>
  <c r="H11" i="6058"/>
  <c r="C9" i="6058"/>
  <c r="H8" i="6058"/>
  <c r="C8" i="6058"/>
  <c r="O7" i="6058"/>
  <c r="H6" i="6058"/>
  <c r="C7" i="6058"/>
  <c r="O6" i="6058"/>
  <c r="H4" i="6058"/>
  <c r="B6" i="6058"/>
  <c r="O5" i="6058"/>
  <c r="H7" i="6058"/>
  <c r="B5" i="6058"/>
  <c r="O4" i="6058"/>
  <c r="H2" i="6058"/>
  <c r="O3" i="6058"/>
  <c r="H13" i="6058"/>
  <c r="O2" i="6058"/>
  <c r="H5" i="6058"/>
  <c r="O26" i="6057"/>
  <c r="O23" i="6057"/>
  <c r="O21" i="6057"/>
  <c r="O22" i="6057"/>
  <c r="O24" i="6057"/>
  <c r="O20" i="6057"/>
  <c r="O19" i="6057"/>
  <c r="O17" i="6057"/>
  <c r="O15" i="6057"/>
  <c r="O18" i="6057"/>
  <c r="H53" i="6057"/>
  <c r="H7" i="6057"/>
  <c r="H20" i="6057"/>
  <c r="H52" i="6057"/>
  <c r="H51" i="6057"/>
  <c r="H50" i="6057"/>
  <c r="H49" i="6057"/>
  <c r="H48" i="6057"/>
  <c r="H47" i="6057"/>
  <c r="H46" i="6057"/>
  <c r="H45" i="6057"/>
  <c r="H44" i="6057"/>
  <c r="H43" i="6057"/>
  <c r="H42" i="6057"/>
  <c r="H41" i="6057"/>
  <c r="H40" i="6057"/>
  <c r="H39" i="6057"/>
  <c r="H38" i="6057"/>
  <c r="H37" i="6057"/>
  <c r="H32" i="6057"/>
  <c r="H36" i="6057"/>
  <c r="H31" i="6057"/>
  <c r="H25" i="6057"/>
  <c r="H18" i="6057"/>
  <c r="H35" i="6057"/>
  <c r="C29" i="6057"/>
  <c r="H11" i="6057"/>
  <c r="H27" i="6057"/>
  <c r="H30" i="6057"/>
  <c r="B26" i="6057"/>
  <c r="H13" i="6057"/>
  <c r="B25" i="6057"/>
  <c r="H26" i="6057"/>
  <c r="H24" i="6057"/>
  <c r="H14" i="6057"/>
  <c r="H34" i="6057"/>
  <c r="H16" i="6057"/>
  <c r="C20" i="6057"/>
  <c r="H29" i="6057"/>
  <c r="H19" i="6057"/>
  <c r="H17" i="6057"/>
  <c r="B17" i="6057"/>
  <c r="B23" i="6057" s="1"/>
  <c r="H28" i="6057"/>
  <c r="C16" i="6057"/>
  <c r="H33" i="6057"/>
  <c r="C15" i="6057"/>
  <c r="H21" i="6057"/>
  <c r="C14" i="6057"/>
  <c r="H23" i="6057"/>
  <c r="C13" i="6057"/>
  <c r="O12" i="6057"/>
  <c r="H22" i="6057"/>
  <c r="C12" i="6057"/>
  <c r="O11" i="6057"/>
  <c r="H4" i="6057"/>
  <c r="C11" i="6057"/>
  <c r="O10" i="6057"/>
  <c r="H15" i="6057"/>
  <c r="C10" i="6057"/>
  <c r="H12" i="6057"/>
  <c r="C9" i="6057"/>
  <c r="H9" i="6057"/>
  <c r="C8" i="6057"/>
  <c r="O7" i="6057"/>
  <c r="H5" i="6057"/>
  <c r="C7" i="6057"/>
  <c r="O6" i="6057"/>
  <c r="H8" i="6057"/>
  <c r="B6" i="6057"/>
  <c r="O5" i="6057"/>
  <c r="H6" i="6057"/>
  <c r="B5" i="6057"/>
  <c r="O4" i="6057"/>
  <c r="H2" i="6057"/>
  <c r="O3" i="6057"/>
  <c r="H10" i="6057"/>
  <c r="O2" i="6057"/>
  <c r="H3" i="6057"/>
  <c r="O18" i="6056"/>
  <c r="O17" i="6056"/>
  <c r="O16" i="6056"/>
  <c r="O15" i="6056"/>
  <c r="H53" i="6056"/>
  <c r="H52" i="6056"/>
  <c r="H51" i="6056"/>
  <c r="H50" i="6056"/>
  <c r="H49" i="6056"/>
  <c r="H48" i="6056"/>
  <c r="H47" i="6056"/>
  <c r="H46" i="6056"/>
  <c r="H45" i="6056"/>
  <c r="H44" i="6056"/>
  <c r="H43" i="6056"/>
  <c r="H42" i="6056"/>
  <c r="H41" i="6056"/>
  <c r="H40" i="6056"/>
  <c r="H39" i="6056"/>
  <c r="H38" i="6056"/>
  <c r="H37" i="6056"/>
  <c r="H36" i="6056"/>
  <c r="H35" i="6056"/>
  <c r="H34" i="6056"/>
  <c r="H33" i="6056"/>
  <c r="H32" i="6056"/>
  <c r="H31" i="6056"/>
  <c r="H30" i="6056"/>
  <c r="H29" i="6056"/>
  <c r="C29" i="6056"/>
  <c r="H7" i="6056"/>
  <c r="H28" i="6056"/>
  <c r="H27" i="6056"/>
  <c r="B26" i="6056"/>
  <c r="H12" i="6056"/>
  <c r="B25" i="6056"/>
  <c r="H26" i="6056"/>
  <c r="H25" i="6056"/>
  <c r="H11" i="6056"/>
  <c r="H24" i="6056"/>
  <c r="H23" i="6056"/>
  <c r="C20" i="6056"/>
  <c r="H22" i="6056"/>
  <c r="H21" i="6056"/>
  <c r="H20" i="6056"/>
  <c r="B17" i="6056"/>
  <c r="B23" i="6056" s="1"/>
  <c r="H19" i="6056"/>
  <c r="C16" i="6056"/>
  <c r="H18" i="6056"/>
  <c r="C15" i="6056"/>
  <c r="H17" i="6056"/>
  <c r="C14" i="6056"/>
  <c r="H16" i="6056"/>
  <c r="C13" i="6056"/>
  <c r="O12" i="6056"/>
  <c r="H15" i="6056"/>
  <c r="C12" i="6056"/>
  <c r="O11" i="6056"/>
  <c r="H3" i="6056"/>
  <c r="C11" i="6056"/>
  <c r="O10" i="6056"/>
  <c r="H10" i="6056"/>
  <c r="C10" i="6056"/>
  <c r="H14" i="6056"/>
  <c r="C9" i="6056"/>
  <c r="H9" i="6056"/>
  <c r="C8" i="6056"/>
  <c r="O7" i="6056"/>
  <c r="H8" i="6056"/>
  <c r="C7" i="6056"/>
  <c r="O6" i="6056"/>
  <c r="H6" i="6056"/>
  <c r="B6" i="6056"/>
  <c r="O5" i="6056"/>
  <c r="H5" i="6056"/>
  <c r="B5" i="6056"/>
  <c r="O4" i="6056"/>
  <c r="H2" i="6056"/>
  <c r="O3" i="6056"/>
  <c r="H13" i="6056"/>
  <c r="O2" i="6056"/>
  <c r="H4" i="6056"/>
  <c r="O17" i="6055"/>
  <c r="O16" i="6055"/>
  <c r="O15" i="6055"/>
  <c r="H53" i="6055"/>
  <c r="H52" i="6055"/>
  <c r="H51" i="6055"/>
  <c r="H50" i="6055"/>
  <c r="H49" i="6055"/>
  <c r="H48" i="6055"/>
  <c r="H47" i="6055"/>
  <c r="H46" i="6055"/>
  <c r="H45" i="6055"/>
  <c r="H44" i="6055"/>
  <c r="H43" i="6055"/>
  <c r="H42" i="6055"/>
  <c r="H41" i="6055"/>
  <c r="H40" i="6055"/>
  <c r="H39" i="6055"/>
  <c r="H38" i="6055"/>
  <c r="H37" i="6055"/>
  <c r="H36" i="6055"/>
  <c r="H35" i="6055"/>
  <c r="H34" i="6055"/>
  <c r="H33" i="6055"/>
  <c r="H32" i="6055"/>
  <c r="H31" i="6055"/>
  <c r="H30" i="6055"/>
  <c r="H29" i="6055"/>
  <c r="C29" i="6055"/>
  <c r="H28" i="6055"/>
  <c r="H27" i="6055"/>
  <c r="H26" i="6055"/>
  <c r="B26" i="6055"/>
  <c r="H25" i="6055"/>
  <c r="B25" i="6055"/>
  <c r="H24" i="6055"/>
  <c r="H23" i="6055"/>
  <c r="H22" i="6055"/>
  <c r="H21" i="6055"/>
  <c r="H20" i="6055"/>
  <c r="C20" i="6055"/>
  <c r="H19" i="6055"/>
  <c r="H18" i="6055"/>
  <c r="H17" i="6055"/>
  <c r="B17" i="6055"/>
  <c r="B24" i="6055" s="1"/>
  <c r="H16" i="6055"/>
  <c r="C16" i="6055"/>
  <c r="H15" i="6055"/>
  <c r="C15" i="6055"/>
  <c r="H14" i="6055"/>
  <c r="C14" i="6055"/>
  <c r="H13" i="6055"/>
  <c r="C13" i="6055"/>
  <c r="O12" i="6055"/>
  <c r="H12" i="6055"/>
  <c r="C12" i="6055"/>
  <c r="O11" i="6055"/>
  <c r="H11" i="6055"/>
  <c r="C11" i="6055"/>
  <c r="O10" i="6055"/>
  <c r="H10" i="6055"/>
  <c r="C10" i="6055"/>
  <c r="H9" i="6055"/>
  <c r="C9" i="6055"/>
  <c r="H8" i="6055"/>
  <c r="C8" i="6055"/>
  <c r="O7" i="6055"/>
  <c r="H7" i="6055"/>
  <c r="C7" i="6055"/>
  <c r="O6" i="6055"/>
  <c r="H6" i="6055"/>
  <c r="B6" i="6055"/>
  <c r="O5" i="6055"/>
  <c r="H5" i="6055"/>
  <c r="B5" i="6055"/>
  <c r="O4" i="6055"/>
  <c r="H4" i="6055"/>
  <c r="O3" i="6055"/>
  <c r="H3" i="6055"/>
  <c r="O2" i="6055"/>
  <c r="H2" i="6055"/>
  <c r="O26" i="6054"/>
  <c r="O24" i="6054"/>
  <c r="O25" i="6054"/>
  <c r="O28" i="6054"/>
  <c r="O23" i="6054"/>
  <c r="O27" i="6054"/>
  <c r="O22" i="6054"/>
  <c r="O20" i="6054"/>
  <c r="O21" i="6054"/>
  <c r="O16" i="6054"/>
  <c r="O15" i="6054"/>
  <c r="H53" i="6054"/>
  <c r="H8" i="6054"/>
  <c r="H16" i="6054"/>
  <c r="H52" i="6054"/>
  <c r="H51" i="6054"/>
  <c r="H50" i="6054"/>
  <c r="H49" i="6054"/>
  <c r="H48" i="6054"/>
  <c r="H33" i="6054"/>
  <c r="H47" i="6054"/>
  <c r="H46" i="6054"/>
  <c r="H45" i="6054"/>
  <c r="H44" i="6054"/>
  <c r="H43" i="6054"/>
  <c r="H42" i="6054"/>
  <c r="H41" i="6054"/>
  <c r="H40" i="6054"/>
  <c r="H39" i="6054"/>
  <c r="H38" i="6054"/>
  <c r="H32" i="6054"/>
  <c r="H37" i="6054"/>
  <c r="H31" i="6054"/>
  <c r="H23" i="6054"/>
  <c r="H19" i="6054"/>
  <c r="H26" i="6054"/>
  <c r="C29" i="6054"/>
  <c r="H9" i="6054"/>
  <c r="H30" i="6054"/>
  <c r="H29" i="6054"/>
  <c r="B26" i="6054"/>
  <c r="H13" i="6054"/>
  <c r="B25" i="6054"/>
  <c r="H22" i="6054"/>
  <c r="H27" i="6054"/>
  <c r="H15" i="6054"/>
  <c r="H36" i="6054"/>
  <c r="H18" i="6054"/>
  <c r="C20" i="6054"/>
  <c r="H35" i="6054"/>
  <c r="H20" i="6054"/>
  <c r="H17" i="6054"/>
  <c r="B17" i="6054"/>
  <c r="C19" i="6054" s="1"/>
  <c r="H21" i="6054"/>
  <c r="C16" i="6054"/>
  <c r="H34" i="6054"/>
  <c r="C15" i="6054"/>
  <c r="H25" i="6054"/>
  <c r="C14" i="6054"/>
  <c r="H28" i="6054"/>
  <c r="C13" i="6054"/>
  <c r="O12" i="6054"/>
  <c r="H24" i="6054"/>
  <c r="C12" i="6054"/>
  <c r="O11" i="6054"/>
  <c r="H3" i="6054"/>
  <c r="C11" i="6054"/>
  <c r="O10" i="6054"/>
  <c r="H14" i="6054"/>
  <c r="C10" i="6054"/>
  <c r="H12" i="6054"/>
  <c r="C9" i="6054"/>
  <c r="H10" i="6054"/>
  <c r="C8" i="6054"/>
  <c r="O7" i="6054"/>
  <c r="H7" i="6054"/>
  <c r="C7" i="6054"/>
  <c r="O6" i="6054"/>
  <c r="H5" i="6054"/>
  <c r="B6" i="6054"/>
  <c r="O5" i="6054"/>
  <c r="H6" i="6054"/>
  <c r="B5" i="6054"/>
  <c r="O4" i="6054"/>
  <c r="H2" i="6054"/>
  <c r="O3" i="6054"/>
  <c r="H11" i="6054"/>
  <c r="O2" i="6054"/>
  <c r="H4" i="6054"/>
  <c r="O30" i="6053"/>
  <c r="O29" i="6053"/>
  <c r="O27" i="6053"/>
  <c r="O24" i="6053"/>
  <c r="O28" i="6053"/>
  <c r="O25" i="6053"/>
  <c r="O21" i="6053"/>
  <c r="O22" i="6053"/>
  <c r="O20" i="6053"/>
  <c r="O23" i="6053"/>
  <c r="O19" i="6053"/>
  <c r="O17" i="6053"/>
  <c r="O15" i="6053"/>
  <c r="H53" i="6053"/>
  <c r="H8" i="6053"/>
  <c r="H20" i="6053"/>
  <c r="H52" i="6053"/>
  <c r="H51" i="6053"/>
  <c r="H50" i="6053"/>
  <c r="H49" i="6053"/>
  <c r="H48" i="6053"/>
  <c r="H34" i="6053"/>
  <c r="H47" i="6053"/>
  <c r="H46" i="6053"/>
  <c r="H45" i="6053"/>
  <c r="H44" i="6053"/>
  <c r="H33" i="6053"/>
  <c r="H43" i="6053"/>
  <c r="H42" i="6053"/>
  <c r="H41" i="6053"/>
  <c r="H36" i="6053"/>
  <c r="H40" i="6053"/>
  <c r="H32" i="6053"/>
  <c r="H39" i="6053"/>
  <c r="H27" i="6053"/>
  <c r="H25" i="6053"/>
  <c r="H18" i="6053"/>
  <c r="H30" i="6053"/>
  <c r="C29" i="6053"/>
  <c r="H10" i="6053"/>
  <c r="H31" i="6053"/>
  <c r="H29" i="6053"/>
  <c r="B26" i="6053"/>
  <c r="H14" i="6053"/>
  <c r="B25" i="6053"/>
  <c r="H24" i="6053"/>
  <c r="H28" i="6053"/>
  <c r="H15" i="6053"/>
  <c r="H38" i="6053"/>
  <c r="H17" i="6053"/>
  <c r="C20" i="6053"/>
  <c r="H35" i="6053"/>
  <c r="H19" i="6053"/>
  <c r="H16" i="6053"/>
  <c r="B17" i="6053"/>
  <c r="B24" i="6053" s="1"/>
  <c r="H21" i="6053"/>
  <c r="C16" i="6053"/>
  <c r="H37" i="6053"/>
  <c r="C15" i="6053"/>
  <c r="H23" i="6053"/>
  <c r="C14" i="6053"/>
  <c r="H26" i="6053"/>
  <c r="C13" i="6053"/>
  <c r="O12" i="6053"/>
  <c r="H22" i="6053"/>
  <c r="C12" i="6053"/>
  <c r="O11" i="6053"/>
  <c r="H3" i="6053"/>
  <c r="C11" i="6053"/>
  <c r="O10" i="6053"/>
  <c r="H13" i="6053"/>
  <c r="C10" i="6053"/>
  <c r="H12" i="6053"/>
  <c r="C9" i="6053"/>
  <c r="H9" i="6053"/>
  <c r="C8" i="6053"/>
  <c r="O7" i="6053"/>
  <c r="H5" i="6053"/>
  <c r="C7" i="6053"/>
  <c r="O6" i="6053"/>
  <c r="H7" i="6053"/>
  <c r="B6" i="6053"/>
  <c r="O5" i="6053"/>
  <c r="H6" i="6053"/>
  <c r="B5" i="6053"/>
  <c r="O4" i="6053"/>
  <c r="H2" i="6053"/>
  <c r="O3" i="6053"/>
  <c r="H11" i="6053"/>
  <c r="O2" i="6053"/>
  <c r="H4" i="6053"/>
  <c r="C17" i="6066" l="1"/>
  <c r="B24" i="6066"/>
  <c r="C19" i="6066"/>
  <c r="C18" i="6066"/>
  <c r="C17" i="6065"/>
  <c r="B24" i="6065"/>
  <c r="C19" i="6065"/>
  <c r="C18" i="6065"/>
  <c r="C17" i="6064"/>
  <c r="C18" i="6064"/>
  <c r="B23" i="6064"/>
  <c r="C19" i="6064"/>
  <c r="C17" i="6063"/>
  <c r="B24" i="6063"/>
  <c r="C19" i="6063"/>
  <c r="C18" i="6063"/>
  <c r="C17" i="6062"/>
  <c r="B24" i="6062"/>
  <c r="C19" i="6062"/>
  <c r="C18" i="6062"/>
  <c r="C17" i="6061"/>
  <c r="C18" i="6061"/>
  <c r="B23" i="6061"/>
  <c r="C19" i="6061"/>
  <c r="C17" i="6060"/>
  <c r="B24" i="6060"/>
  <c r="C19" i="6060"/>
  <c r="C18" i="6060"/>
  <c r="C17" i="6059"/>
  <c r="B24" i="6059"/>
  <c r="C19" i="6059"/>
  <c r="C18" i="6059"/>
  <c r="C17" i="6058"/>
  <c r="C18" i="6058"/>
  <c r="B23" i="6058"/>
  <c r="C19" i="6058"/>
  <c r="C17" i="6057"/>
  <c r="B24" i="6057"/>
  <c r="C19" i="6057"/>
  <c r="C18" i="6057"/>
  <c r="C17" i="6056"/>
  <c r="B24" i="6056"/>
  <c r="C19" i="6056"/>
  <c r="C18" i="6056"/>
  <c r="C17" i="6055"/>
  <c r="C18" i="6055"/>
  <c r="B23" i="6055"/>
  <c r="C19" i="6055"/>
  <c r="C17" i="6054"/>
  <c r="B23" i="6054"/>
  <c r="B24" i="6054"/>
  <c r="C18" i="6054"/>
  <c r="C17" i="6053"/>
  <c r="C18" i="6053"/>
  <c r="B23" i="6053"/>
  <c r="C19" i="6053"/>
  <c r="B25" i="2228" l="1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9" i="2228"/>
  <c r="B26" i="2228"/>
  <c r="C20" i="2228"/>
  <c r="B17" i="2228"/>
  <c r="C19" i="2228" s="1"/>
  <c r="C16" i="2228"/>
  <c r="C15" i="2228"/>
  <c r="C14" i="2228"/>
  <c r="C12" i="2228"/>
  <c r="C11" i="2228"/>
  <c r="C10" i="2228"/>
  <c r="C9" i="2228"/>
  <c r="C8" i="2228"/>
  <c r="C7" i="2228"/>
  <c r="B6" i="2228"/>
  <c r="B5" i="2228"/>
  <c r="C18" i="2228" l="1"/>
  <c r="B24" i="2228"/>
  <c r="B23" i="2228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<sst xmlns="http://schemas.openxmlformats.org/spreadsheetml/2006/main" count="3618" uniqueCount="191">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</sst>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全体!$K$2:$K$2213</c:f>
              <c:numCache>
                <c:formatCode>General</c:formatCode>
                <c:ptCount val="22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</c:numCache>
            </c:numRef>
          </c:xVal>
          <c:yVal>
            <c:numRef>
              <c:f>全体!$L$2:$L$2213</c:f>
              <c:numCache>
                <c:formatCode>\+0.0;\-0.0;\±0</c:formatCode>
                <c:ptCount val="2212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3-4E08-83E5-13F27C94B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-17.783857729138166</c:v>
                </c:pt>
                <c:pt idx="1">
                  <c:v>-2.8208744710860367</c:v>
                </c:pt>
                <c:pt idx="2">
                  <c:v>5.4890219560878242</c:v>
                </c:pt>
                <c:pt idx="3">
                  <c:v>7.0921985815602833</c:v>
                </c:pt>
                <c:pt idx="4">
                  <c:v>0.61050061050061055</c:v>
                </c:pt>
                <c:pt idx="5">
                  <c:v>14.524328249818446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7-49E4-B448-330096CAB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だいち!$K$2:$K$540</c:f>
              <c:numCache>
                <c:formatCode>General</c:formatCode>
                <c:ptCount val="5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</c:numCache>
            </c:numRef>
          </c:xVal>
          <c:yVal>
            <c:numRef>
              <c:f>だいち!$L$2:$L$540</c:f>
              <c:numCache>
                <c:formatCode>\+0.0;\-0.0;\±0</c:formatCode>
                <c:ptCount val="53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B1-4684-B9B3-5936C3828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1248.1203007518798</c:v>
                </c:pt>
                <c:pt idx="1">
                  <c:v>1098.2524271844661</c:v>
                </c:pt>
                <c:pt idx="2">
                  <c:v>1160.122699386503</c:v>
                </c:pt>
                <c:pt idx="3">
                  <c:v>1959.0090090090091</c:v>
                </c:pt>
                <c:pt idx="4">
                  <c:v>1712.3737373737374</c:v>
                </c:pt>
                <c:pt idx="5">
                  <c:v>1789.0577507598784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4-4B88-8652-4F6B0E588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4-4FB4-844B-AC0CDA46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57-45AA-93BB-18C1A0F45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5-4148-BBE8-0741C5F29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B3-4AF9-9DB8-2FDB80E0E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りくと!$K$2:$K$340</c:f>
              <c:numCache>
                <c:formatCode>General</c:formatCode>
                <c:ptCount val="3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</c:numCache>
            </c:numRef>
          </c:xVal>
          <c:yVal>
            <c:numRef>
              <c:f>りくと!$L$2:$L$340</c:f>
              <c:numCache>
                <c:formatCode>\+0.0;\-0.0;\±0</c:formatCode>
                <c:ptCount val="33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49-47D0-A131-D1DE6EE46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-92.835820895522389</c:v>
                </c:pt>
                <c:pt idx="1">
                  <c:v>-1423.0061349693251</c:v>
                </c:pt>
                <c:pt idx="2">
                  <c:v>451.75718849840257</c:v>
                </c:pt>
                <c:pt idx="3">
                  <c:v>-743.8162544169611</c:v>
                </c:pt>
                <c:pt idx="4">
                  <c:v>-1023.2</c:v>
                </c:pt>
                <c:pt idx="5">
                  <c:v>-936.44859813084111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0F-4766-9556-CD0E5B64B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いっしー!$L$2:$L$91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71-419C-8844-DA50BB754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-230.3370786516854</c:v>
                </c:pt>
                <c:pt idx="1">
                  <c:v>336.04651162790697</c:v>
                </c:pt>
                <c:pt idx="2">
                  <c:v>-1362.0253164556962</c:v>
                </c:pt>
                <c:pt idx="3">
                  <c:v>-1537.1428571428571</c:v>
                </c:pt>
                <c:pt idx="4">
                  <c:v>4417.7419354838712</c:v>
                </c:pt>
                <c:pt idx="5">
                  <c:v>-1221.2765957446809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4E-4221-BB90-F71FE96BA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6A-4754-8384-D92932E2F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C-4E2C-96D6-DE1C2001A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たかの!$K$2:$K$220</c:f>
              <c:numCache>
                <c:formatCode>General</c:formatCode>
                <c:ptCount val="2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</c:numCache>
            </c:numRef>
          </c:xVal>
          <c:yVal>
            <c:numRef>
              <c:f>たかの!$L$2:$L$220</c:f>
              <c:numCache>
                <c:formatCode>\+0.0;\-0.0;\±0</c:formatCode>
                <c:ptCount val="219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43-466D-A015-2509CF2AF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-264.67889908256882</c:v>
                </c:pt>
                <c:pt idx="1">
                  <c:v>-1747.6415094339623</c:v>
                </c:pt>
                <c:pt idx="2">
                  <c:v>-800.51813471502589</c:v>
                </c:pt>
                <c:pt idx="3">
                  <c:v>73.513513513513516</c:v>
                </c:pt>
                <c:pt idx="4">
                  <c:v>-727.97619047619048</c:v>
                </c:pt>
                <c:pt idx="5">
                  <c:v>-1026.4285714285713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DF-4179-BE0E-AF4CC3B66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ただ!$K$2:$K$359</c:f>
              <c:numCache>
                <c:formatCode>General</c:formatCode>
                <c:ptCount val="3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</c:numCache>
            </c:numRef>
          </c:xVal>
          <c:yVal>
            <c:numRef>
              <c:f>ただ!$L$2:$L$359</c:f>
              <c:numCache>
                <c:formatCode>\+0.0;\-0.0;\±0</c:formatCode>
                <c:ptCount val="35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CB-410F-945C-10FB8645B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-621.81303116147308</c:v>
                </c:pt>
                <c:pt idx="1">
                  <c:v>-505.88235294117646</c:v>
                </c:pt>
                <c:pt idx="2">
                  <c:v>869.87577639751555</c:v>
                </c:pt>
                <c:pt idx="3">
                  <c:v>-1031.6498316498316</c:v>
                </c:pt>
                <c:pt idx="4">
                  <c:v>99.624060150375939</c:v>
                </c:pt>
                <c:pt idx="5">
                  <c:v>-207.04845814977975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B4-4B26-96C8-61475A8DF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A1-4391-A924-6E713356B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DF-458E-B502-C3FA23B3F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れんたろう!$K$2:$K$273</c:f>
              <c:numCache>
                <c:formatCode>General</c:formatCode>
                <c:ptCount val="2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</c:numCache>
            </c:numRef>
          </c:xVal>
          <c:yVal>
            <c:numRef>
              <c:f>れんたろう!$L$2:$L$273</c:f>
              <c:numCache>
                <c:formatCode>\+0.0;\-0.0;\±0</c:formatCode>
                <c:ptCount val="27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23-4772-BDC5-6E7C0F58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36.704119850187269</c:v>
                </c:pt>
                <c:pt idx="1">
                  <c:v>249.61538461538461</c:v>
                </c:pt>
                <c:pt idx="2">
                  <c:v>553.08641975308637</c:v>
                </c:pt>
                <c:pt idx="3">
                  <c:v>383.02752293577981</c:v>
                </c:pt>
                <c:pt idx="4">
                  <c:v>-2345.4545454545455</c:v>
                </c:pt>
                <c:pt idx="5">
                  <c:v>-113.0952380952381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E3-4FA1-8607-7B072F0CC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1B-414D-A767-8917015B9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B2-440E-A59C-B369EA41C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まっつん!$L$2:$L$195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6A-44E8-952D-DAD8BE1F5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27.979274611398964</c:v>
                </c:pt>
                <c:pt idx="1">
                  <c:v>901.61290322580646</c:v>
                </c:pt>
                <c:pt idx="2">
                  <c:v>-1782.0809248554913</c:v>
                </c:pt>
                <c:pt idx="3">
                  <c:v>-273.91304347826087</c:v>
                </c:pt>
                <c:pt idx="4">
                  <c:v>-1926.2068965517242</c:v>
                </c:pt>
                <c:pt idx="5">
                  <c:v>428.33333333333331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5-41EC-9ECD-6BCC8C0CA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ぱぱ!$L$2:$L$86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7-4D36-B824-D88F4851E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-2349.397590361446</c:v>
                </c:pt>
                <c:pt idx="1">
                  <c:v>1439.7590361445782</c:v>
                </c:pt>
                <c:pt idx="2">
                  <c:v>-2201.25</c:v>
                </c:pt>
                <c:pt idx="3">
                  <c:v>-3513.8888888888887</c:v>
                </c:pt>
                <c:pt idx="4">
                  <c:v>753.84615384615381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2E-44E0-A12A-0D7B0CF4B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5-4359-BD0D-81E517CA7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6-4CA1-9F47-E541DA915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D-4BF8-89F9-81683679B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D8-404E-BB8D-B409161D6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のり!$L$2:$L$31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4-482F-AD67-CBC349E78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-4155.1724137931033</c:v>
                </c:pt>
                <c:pt idx="1">
                  <c:v>-1420.6896551724137</c:v>
                </c:pt>
                <c:pt idx="2">
                  <c:v>-1296.4285714285713</c:v>
                </c:pt>
                <c:pt idx="3">
                  <c:v>-2900</c:v>
                </c:pt>
                <c:pt idx="4">
                  <c:v>-2668</c:v>
                </c:pt>
                <c:pt idx="5">
                  <c:v>-4628.5714285714284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B0-434E-85E9-4BCC7F7B1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0A-4541-95ED-4C3CBDEA3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50-4F40-98A3-37B6DD95C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A96A4D-8B00-4DE4-9A57-A95DD9C2B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F856C9B-F745-4420-B84A-753F1C945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DE5096-0ACA-4F1A-BB7B-04D463102C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AFFCCF6-AE91-4C9E-8F56-A9872361E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A21A2A-F743-4F13-A6BA-805AA089A1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A90392A-8326-4BE6-91AC-FC69C0F82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527599-0A7C-45C7-B824-93F1C36014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86E771-B2B5-476F-B37A-F6A9C86B9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7237D94-94BF-4BA9-BA2B-24E1757629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886AF14-64F5-4C7A-BFC1-AEE859712B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9A99D6-157C-45D8-8CCF-46B5B0D71A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B8AD28-8054-445A-A5A6-AB2E1CC61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2E25736-9B5A-4353-814F-AA5C73D34C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13EFC1-42AA-4A51-BC78-6C2E8A2672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26ED6B-1A3B-42FB-9B3E-0E8F487F2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251CF3-CB82-49E3-90B0-7C5C36EB1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8838F5-0BFA-4C51-91AF-6DFFD0D9C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877A86-08AA-4825-A6A6-42811E561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3BC80D-44EA-4610-ACC1-87D20765CC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A1C5E72-EA04-47EA-8400-D162F94AD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262AB8-4D06-4E50-AA5A-155697E30B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6C9B93-EED3-4A88-AA0B-D460964BF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DD7AF6-8A93-4B8B-A37E-2D6AF8C9F3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A3A69D-9135-40F1-A770-8C36B91FC2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803E3B8-83F9-4DC0-A3CE-973F194925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CD39F9A-4D4E-418E-9BCA-371C017634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95835E-A31D-417F-BE40-9DD9CAA7A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1ABA7F7-A36B-4492-8F7A-0AC0BC112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E0AE2C-543E-4D5A-8A11-82AA8D8C55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FDA63F-5F48-4195-BDEE-BC322ADD9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A2F7859-4219-4AC3-8E33-7C4E44FE9E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C37D70-5B3A-4851-B23E-0F68EBE71B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DEACCA-D13D-4E62-90C8-A86FB3E572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6F9E7E-6F00-4131-8D2C-419E675D7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1D2294-275A-4794-88C4-E8A99B387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B40070C-C48C-4772-AECF-C8654537CF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99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0" customWidth="1"/>
    <col min="13" max="13" width="3.625" style="1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"/>
  </cols>
  <sheetData>
    <row r="1" spans="1:17" x14ac:dyDescent="0.4">
      <c r="A1" s="30" t="s">
        <v>0</v>
      </c>
      <c r="B1" s="125"/>
      <c r="C1" s="126"/>
      <c r="E1" s="100" t="s">
        <v>161</v>
      </c>
      <c r="F1" s="6" t="s">
        <v>116</v>
      </c>
      <c r="G1" s="9" t="s">
        <v>117</v>
      </c>
      <c r="H1" s="101" t="s">
        <v>118</v>
      </c>
      <c r="I1" s="71" t="s">
        <v>148</v>
      </c>
      <c r="K1" s="2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153</v>
      </c>
    </row>
    <row r="2" spans="1:17" x14ac:dyDescent="0.4">
      <c r="A2" s="31" t="s">
        <v>9</v>
      </c>
      <c r="B2" s="115">
        <v>0</v>
      </c>
      <c r="C2" s="116"/>
      <c r="E2" s="39" t="s">
        <v>65</v>
      </c>
      <c r="F2" s="10" t="s">
        <v>21</v>
      </c>
      <c r="G2" s="7">
        <v>0</v>
      </c>
      <c r="H2" s="103">
        <f t="shared" ref="H2:H33" si="0">IF(B$31=0,0,G2/B$31)</f>
        <v>0</v>
      </c>
      <c r="I2" s="64"/>
      <c r="K2" s="3">
        <v>0</v>
      </c>
      <c r="L2" s="69">
        <v>0</v>
      </c>
      <c r="N2" s="85" t="s">
        <v>129</v>
      </c>
      <c r="O2" s="92">
        <f>IF(P2=0,0,Q2/P2)</f>
        <v>0</v>
      </c>
      <c r="P2" s="89">
        <v>0</v>
      </c>
      <c r="Q2" s="73">
        <v>0</v>
      </c>
    </row>
    <row r="3" spans="1:17" x14ac:dyDescent="0.4">
      <c r="A3" s="32" t="s">
        <v>8</v>
      </c>
      <c r="B3" s="127">
        <v>0</v>
      </c>
      <c r="C3" s="128"/>
      <c r="E3" s="40" t="s">
        <v>66</v>
      </c>
      <c r="F3" s="11" t="s">
        <v>22</v>
      </c>
      <c r="G3" s="8">
        <v>0</v>
      </c>
      <c r="H3" s="104">
        <f t="shared" si="0"/>
        <v>0</v>
      </c>
      <c r="I3" s="65"/>
      <c r="N3" s="86" t="s">
        <v>130</v>
      </c>
      <c r="O3" s="93">
        <f t="shared" ref="O3:O7" si="1">IF(P3=0,0,Q3/P3)</f>
        <v>0</v>
      </c>
      <c r="P3" s="90">
        <v>0</v>
      </c>
      <c r="Q3" s="74">
        <v>0</v>
      </c>
    </row>
    <row r="4" spans="1:17" x14ac:dyDescent="0.4">
      <c r="A4" s="32" t="s">
        <v>6</v>
      </c>
      <c r="B4" s="129">
        <v>0</v>
      </c>
      <c r="C4" s="130"/>
      <c r="E4" s="40" t="s">
        <v>67</v>
      </c>
      <c r="F4" s="11" t="s">
        <v>23</v>
      </c>
      <c r="G4" s="8">
        <v>0</v>
      </c>
      <c r="H4" s="104">
        <f t="shared" si="0"/>
        <v>0</v>
      </c>
      <c r="I4" s="65"/>
      <c r="N4" s="86" t="s">
        <v>131</v>
      </c>
      <c r="O4" s="93">
        <f t="shared" si="1"/>
        <v>0</v>
      </c>
      <c r="P4" s="90">
        <v>0</v>
      </c>
      <c r="Q4" s="74">
        <v>0</v>
      </c>
    </row>
    <row r="5" spans="1:17" x14ac:dyDescent="0.4">
      <c r="A5" s="32" t="s">
        <v>7</v>
      </c>
      <c r="B5" s="131">
        <f>IF(B$2=0,0,B$4/B$2)</f>
        <v>0</v>
      </c>
      <c r="C5" s="132"/>
      <c r="E5" s="40" t="s">
        <v>68</v>
      </c>
      <c r="F5" s="11" t="s">
        <v>24</v>
      </c>
      <c r="G5" s="8">
        <v>0</v>
      </c>
      <c r="H5" s="104">
        <f t="shared" si="0"/>
        <v>0</v>
      </c>
      <c r="I5" s="65"/>
      <c r="N5" s="86" t="s">
        <v>132</v>
      </c>
      <c r="O5" s="93">
        <f t="shared" si="1"/>
        <v>0</v>
      </c>
      <c r="P5" s="90">
        <v>0</v>
      </c>
      <c r="Q5" s="74">
        <v>0</v>
      </c>
    </row>
    <row r="6" spans="1:17" x14ac:dyDescent="0.4">
      <c r="A6" s="32" t="s">
        <v>1</v>
      </c>
      <c r="B6" s="123">
        <f>IF(B$2=0,0,(B$7*1+B$8*2+B$9*3)/B$2)</f>
        <v>0</v>
      </c>
      <c r="C6" s="124"/>
      <c r="E6" s="40" t="s">
        <v>177</v>
      </c>
      <c r="F6" s="37" t="s">
        <v>178</v>
      </c>
      <c r="G6" s="25">
        <v>0</v>
      </c>
      <c r="H6" s="104">
        <f t="shared" si="0"/>
        <v>0</v>
      </c>
      <c r="I6" s="65"/>
      <c r="N6" s="86" t="s">
        <v>133</v>
      </c>
      <c r="O6" s="93">
        <f t="shared" si="1"/>
        <v>0</v>
      </c>
      <c r="P6" s="90">
        <v>0</v>
      </c>
      <c r="Q6" s="74">
        <v>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69</v>
      </c>
      <c r="F7" s="11" t="s">
        <v>12</v>
      </c>
      <c r="G7" s="8">
        <v>0</v>
      </c>
      <c r="H7" s="104">
        <f t="shared" si="0"/>
        <v>0</v>
      </c>
      <c r="I7" s="65"/>
      <c r="N7" s="87" t="s">
        <v>134</v>
      </c>
      <c r="O7" s="94">
        <f t="shared" si="1"/>
        <v>0</v>
      </c>
      <c r="P7" s="91">
        <v>0</v>
      </c>
      <c r="Q7" s="75">
        <v>0</v>
      </c>
    </row>
    <row r="8" spans="1:17" x14ac:dyDescent="0.4">
      <c r="A8" s="32" t="s">
        <v>3</v>
      </c>
      <c r="B8" s="25">
        <v>0</v>
      </c>
      <c r="C8" s="18">
        <f>IF(B$2=0,0,B8/B$2)</f>
        <v>0</v>
      </c>
      <c r="E8" s="40" t="s">
        <v>70</v>
      </c>
      <c r="F8" s="11" t="s">
        <v>25</v>
      </c>
      <c r="G8" s="8">
        <v>0</v>
      </c>
      <c r="H8" s="104">
        <f t="shared" si="0"/>
        <v>0</v>
      </c>
      <c r="I8" s="65"/>
      <c r="N8" s="22"/>
      <c r="O8" s="98"/>
      <c r="P8" s="82"/>
      <c r="Q8" s="80"/>
    </row>
    <row r="9" spans="1:17" x14ac:dyDescent="0.4">
      <c r="A9" s="33" t="s">
        <v>4</v>
      </c>
      <c r="B9" s="26">
        <v>0</v>
      </c>
      <c r="C9" s="19">
        <f t="shared" ref="C9" si="2">IF(B$2=0,0,B9/B$2)</f>
        <v>0</v>
      </c>
      <c r="E9" s="40" t="s">
        <v>71</v>
      </c>
      <c r="F9" s="11" t="s">
        <v>26</v>
      </c>
      <c r="G9" s="8">
        <v>0</v>
      </c>
      <c r="H9" s="104">
        <f t="shared" si="0"/>
        <v>0</v>
      </c>
      <c r="I9" s="65"/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72</v>
      </c>
      <c r="F10" s="11" t="s">
        <v>27</v>
      </c>
      <c r="G10" s="8">
        <v>0</v>
      </c>
      <c r="H10" s="104">
        <f t="shared" si="0"/>
        <v>0</v>
      </c>
      <c r="I10" s="65"/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73</v>
      </c>
      <c r="F11" s="11" t="s">
        <v>28</v>
      </c>
      <c r="G11" s="8">
        <v>0</v>
      </c>
      <c r="H11" s="104">
        <f t="shared" si="0"/>
        <v>0</v>
      </c>
      <c r="I11" s="65"/>
      <c r="N11" s="86" t="s">
        <v>159</v>
      </c>
      <c r="O11" s="96">
        <f>IF(P11=0,0,Q11/P11)</f>
        <v>0</v>
      </c>
      <c r="P11" s="90">
        <v>0</v>
      </c>
      <c r="Q11" s="78">
        <v>0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74</v>
      </c>
      <c r="F12" s="11" t="s">
        <v>29</v>
      </c>
      <c r="G12" s="8">
        <v>0</v>
      </c>
      <c r="H12" s="104">
        <f t="shared" si="0"/>
        <v>0</v>
      </c>
      <c r="I12" s="65"/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0</v>
      </c>
      <c r="C13" s="23">
        <f>IF(B$30=0,0,B13/B$30)</f>
        <v>0</v>
      </c>
      <c r="E13" s="40" t="s">
        <v>75</v>
      </c>
      <c r="F13" s="11" t="s">
        <v>30</v>
      </c>
      <c r="G13" s="8">
        <v>0</v>
      </c>
      <c r="H13" s="104">
        <f t="shared" si="0"/>
        <v>0</v>
      </c>
      <c r="I13" s="65"/>
      <c r="N13" s="12"/>
      <c r="O13" s="81"/>
      <c r="P13" s="83"/>
      <c r="Q13" s="81"/>
    </row>
    <row r="14" spans="1:17" x14ac:dyDescent="0.4">
      <c r="A14" s="32" t="s">
        <v>119</v>
      </c>
      <c r="B14" s="25">
        <v>0</v>
      </c>
      <c r="C14" s="18">
        <f>IF(B$30=0,0,B14/B$30)</f>
        <v>0</v>
      </c>
      <c r="E14" s="40" t="s">
        <v>76</v>
      </c>
      <c r="F14" s="11" t="s">
        <v>31</v>
      </c>
      <c r="G14" s="8">
        <v>0</v>
      </c>
      <c r="H14" s="104">
        <f t="shared" si="0"/>
        <v>0</v>
      </c>
      <c r="I14" s="65"/>
      <c r="N14" s="84" t="s">
        <v>149</v>
      </c>
      <c r="O14" s="13" t="s">
        <v>150</v>
      </c>
      <c r="P14" s="88" t="s">
        <v>151</v>
      </c>
      <c r="Q14" s="76" t="s">
        <v>152</v>
      </c>
    </row>
    <row r="15" spans="1:17" x14ac:dyDescent="0.4">
      <c r="A15" s="31" t="s">
        <v>124</v>
      </c>
      <c r="B15" s="24">
        <v>0</v>
      </c>
      <c r="C15" s="16">
        <f>IF(B$13=0,0,B15/B$13)</f>
        <v>0</v>
      </c>
      <c r="E15" s="40" t="s">
        <v>77</v>
      </c>
      <c r="F15" s="11" t="s">
        <v>32</v>
      </c>
      <c r="G15" s="8">
        <v>0</v>
      </c>
      <c r="H15" s="104">
        <f t="shared" si="0"/>
        <v>0</v>
      </c>
      <c r="I15" s="65"/>
      <c r="N15" s="85"/>
      <c r="O15" s="95"/>
      <c r="P15" s="89"/>
      <c r="Q15" s="77"/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78</v>
      </c>
      <c r="F16" s="11" t="s">
        <v>33</v>
      </c>
      <c r="G16" s="8">
        <v>0</v>
      </c>
      <c r="H16" s="104">
        <f t="shared" si="0"/>
        <v>0</v>
      </c>
      <c r="I16" s="65"/>
    </row>
    <row r="17" spans="1:9" x14ac:dyDescent="0.4">
      <c r="A17" s="31" t="s">
        <v>10</v>
      </c>
      <c r="B17" s="24">
        <f>B19+B18</f>
        <v>0</v>
      </c>
      <c r="C17" s="16">
        <f>IF(B$3=0,0,B17/B$3)</f>
        <v>0</v>
      </c>
      <c r="E17" s="40" t="s">
        <v>79</v>
      </c>
      <c r="F17" s="11" t="s">
        <v>34</v>
      </c>
      <c r="G17" s="8">
        <v>0</v>
      </c>
      <c r="H17" s="104">
        <f t="shared" si="0"/>
        <v>0</v>
      </c>
      <c r="I17" s="65"/>
    </row>
    <row r="18" spans="1:9" x14ac:dyDescent="0.4">
      <c r="A18" s="32" t="s">
        <v>12</v>
      </c>
      <c r="B18" s="25">
        <v>0</v>
      </c>
      <c r="C18" s="18">
        <f>IF(B$17=0,0,B18/B$17)</f>
        <v>0</v>
      </c>
      <c r="E18" s="40" t="s">
        <v>80</v>
      </c>
      <c r="F18" s="11" t="s">
        <v>35</v>
      </c>
      <c r="G18" s="8">
        <v>0</v>
      </c>
      <c r="H18" s="104">
        <f t="shared" si="0"/>
        <v>0</v>
      </c>
      <c r="I18" s="65"/>
    </row>
    <row r="19" spans="1:9" x14ac:dyDescent="0.4">
      <c r="A19" s="32" t="s">
        <v>11</v>
      </c>
      <c r="B19" s="25">
        <v>0</v>
      </c>
      <c r="C19" s="18">
        <f>IF(B$17=0,0,B19/B$17)</f>
        <v>0</v>
      </c>
      <c r="E19" s="40" t="s">
        <v>81</v>
      </c>
      <c r="F19" s="11" t="s">
        <v>36</v>
      </c>
      <c r="G19" s="8">
        <v>0</v>
      </c>
      <c r="H19" s="104">
        <f t="shared" si="0"/>
        <v>0</v>
      </c>
      <c r="I19" s="65"/>
    </row>
    <row r="20" spans="1:9" x14ac:dyDescent="0.4">
      <c r="A20" s="32" t="s">
        <v>13</v>
      </c>
      <c r="B20" s="25">
        <v>0</v>
      </c>
      <c r="C20" s="18">
        <f>IF(B$3=0,0,B20/B$3)</f>
        <v>0</v>
      </c>
      <c r="E20" s="40" t="s">
        <v>82</v>
      </c>
      <c r="F20" s="11" t="s">
        <v>37</v>
      </c>
      <c r="G20" s="8">
        <v>0</v>
      </c>
      <c r="H20" s="104">
        <f t="shared" si="0"/>
        <v>0</v>
      </c>
      <c r="I20" s="65"/>
    </row>
    <row r="21" spans="1:9" x14ac:dyDescent="0.4">
      <c r="A21" s="32" t="s">
        <v>165</v>
      </c>
      <c r="B21" s="25">
        <v>0</v>
      </c>
      <c r="C21" s="106">
        <v>0</v>
      </c>
      <c r="E21" s="40" t="s">
        <v>83</v>
      </c>
      <c r="F21" s="11" t="s">
        <v>38</v>
      </c>
      <c r="G21" s="8">
        <v>0</v>
      </c>
      <c r="H21" s="104">
        <f t="shared" si="0"/>
        <v>0</v>
      </c>
      <c r="I21" s="65"/>
    </row>
    <row r="22" spans="1:9" x14ac:dyDescent="0.4">
      <c r="A22" s="32" t="s">
        <v>166</v>
      </c>
      <c r="B22" s="25">
        <v>0</v>
      </c>
      <c r="C22" s="106">
        <v>0</v>
      </c>
      <c r="E22" s="40" t="s">
        <v>84</v>
      </c>
      <c r="F22" s="11" t="s">
        <v>39</v>
      </c>
      <c r="G22" s="8">
        <v>0</v>
      </c>
      <c r="H22" s="104">
        <f t="shared" si="0"/>
        <v>0</v>
      </c>
      <c r="I22" s="65"/>
    </row>
    <row r="23" spans="1:9" x14ac:dyDescent="0.4">
      <c r="A23" s="32" t="s">
        <v>5</v>
      </c>
      <c r="B23" s="29">
        <f>IF(B$17=0,0,C23/B$17)</f>
        <v>0</v>
      </c>
      <c r="C23" s="20">
        <v>0</v>
      </c>
      <c r="E23" s="40" t="s">
        <v>85</v>
      </c>
      <c r="F23" s="11" t="s">
        <v>40</v>
      </c>
      <c r="G23" s="8">
        <v>0</v>
      </c>
      <c r="H23" s="104">
        <f t="shared" si="0"/>
        <v>0</v>
      </c>
      <c r="I23" s="65"/>
    </row>
    <row r="24" spans="1:9" x14ac:dyDescent="0.4">
      <c r="A24" s="33" t="s">
        <v>189</v>
      </c>
      <c r="B24" s="111">
        <f>IF($B$17-B$16=0,0,C24/($B$17-B$16))</f>
        <v>0</v>
      </c>
      <c r="C24" s="112">
        <v>0</v>
      </c>
      <c r="E24" s="40" t="s">
        <v>86</v>
      </c>
      <c r="F24" s="11" t="s">
        <v>41</v>
      </c>
      <c r="G24" s="8">
        <v>0</v>
      </c>
      <c r="H24" s="104">
        <f t="shared" si="0"/>
        <v>0</v>
      </c>
      <c r="I24" s="65"/>
    </row>
    <row r="25" spans="1:9" x14ac:dyDescent="0.4">
      <c r="A25" s="33" t="s">
        <v>190</v>
      </c>
      <c r="B25" s="111">
        <f>IF(B$16=0,0,C25/B$16)</f>
        <v>0</v>
      </c>
      <c r="C25" s="112">
        <v>0</v>
      </c>
      <c r="E25" s="40" t="s">
        <v>87</v>
      </c>
      <c r="F25" s="11" t="s">
        <v>42</v>
      </c>
      <c r="G25" s="8">
        <v>0</v>
      </c>
      <c r="H25" s="104">
        <f t="shared" si="0"/>
        <v>0</v>
      </c>
      <c r="I25" s="65"/>
    </row>
    <row r="26" spans="1:9" x14ac:dyDescent="0.4">
      <c r="A26" s="32" t="s">
        <v>14</v>
      </c>
      <c r="B26" s="29">
        <f>IF(B$20=0,0,C26/B$20)</f>
        <v>0</v>
      </c>
      <c r="C26" s="20">
        <v>0</v>
      </c>
      <c r="E26" s="40" t="s">
        <v>88</v>
      </c>
      <c r="F26" s="11" t="s">
        <v>43</v>
      </c>
      <c r="G26" s="8">
        <v>0</v>
      </c>
      <c r="H26" s="104">
        <f t="shared" si="0"/>
        <v>0</v>
      </c>
      <c r="I26" s="65"/>
    </row>
    <row r="27" spans="1:9" x14ac:dyDescent="0.4">
      <c r="A27" s="61" t="s">
        <v>139</v>
      </c>
      <c r="B27" s="121">
        <v>0</v>
      </c>
      <c r="C27" s="122"/>
      <c r="E27" s="40" t="s">
        <v>89</v>
      </c>
      <c r="F27" s="11" t="s">
        <v>44</v>
      </c>
      <c r="G27" s="8">
        <v>0</v>
      </c>
      <c r="H27" s="104">
        <f t="shared" si="0"/>
        <v>0</v>
      </c>
      <c r="I27" s="65"/>
    </row>
    <row r="28" spans="1:9" x14ac:dyDescent="0.4">
      <c r="A28" s="35" t="s">
        <v>146</v>
      </c>
      <c r="B28" s="119">
        <v>0</v>
      </c>
      <c r="C28" s="120"/>
      <c r="E28" s="40" t="s">
        <v>90</v>
      </c>
      <c r="F28" s="11" t="s">
        <v>45</v>
      </c>
      <c r="G28" s="8">
        <v>0</v>
      </c>
      <c r="H28" s="104">
        <f t="shared" si="0"/>
        <v>0</v>
      </c>
      <c r="I28" s="65"/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11" t="s">
        <v>46</v>
      </c>
      <c r="G29" s="8">
        <v>0</v>
      </c>
      <c r="H29" s="104">
        <f t="shared" si="0"/>
        <v>0</v>
      </c>
      <c r="I29" s="65"/>
    </row>
    <row r="30" spans="1:9" x14ac:dyDescent="0.4">
      <c r="A30" s="31" t="s">
        <v>179</v>
      </c>
      <c r="B30" s="115">
        <v>0</v>
      </c>
      <c r="C30" s="116"/>
      <c r="E30" s="40" t="s">
        <v>92</v>
      </c>
      <c r="F30" s="11" t="s">
        <v>47</v>
      </c>
      <c r="G30" s="8">
        <v>0</v>
      </c>
      <c r="H30" s="104">
        <f t="shared" si="0"/>
        <v>0</v>
      </c>
      <c r="I30" s="65"/>
    </row>
    <row r="31" spans="1:9" x14ac:dyDescent="0.4">
      <c r="A31" s="34" t="s">
        <v>180</v>
      </c>
      <c r="B31" s="117">
        <v>0</v>
      </c>
      <c r="C31" s="118"/>
      <c r="E31" s="40" t="s">
        <v>93</v>
      </c>
      <c r="F31" s="11" t="s">
        <v>48</v>
      </c>
      <c r="G31" s="8">
        <v>0</v>
      </c>
      <c r="H31" s="104">
        <f t="shared" si="0"/>
        <v>0</v>
      </c>
      <c r="I31" s="65"/>
    </row>
    <row r="32" spans="1:9" x14ac:dyDescent="0.4">
      <c r="E32" s="40" t="s">
        <v>94</v>
      </c>
      <c r="F32" s="11" t="s">
        <v>49</v>
      </c>
      <c r="G32" s="8">
        <v>0</v>
      </c>
      <c r="H32" s="104">
        <f t="shared" si="0"/>
        <v>0</v>
      </c>
      <c r="I32" s="65"/>
    </row>
    <row r="33" spans="5:9" x14ac:dyDescent="0.4">
      <c r="E33" s="40" t="s">
        <v>95</v>
      </c>
      <c r="F33" s="11" t="s">
        <v>50</v>
      </c>
      <c r="G33" s="8">
        <v>0</v>
      </c>
      <c r="H33" s="104">
        <f t="shared" si="0"/>
        <v>0</v>
      </c>
      <c r="I33" s="65"/>
    </row>
    <row r="34" spans="5:9" x14ac:dyDescent="0.4">
      <c r="E34" s="40" t="s">
        <v>96</v>
      </c>
      <c r="F34" s="11" t="s">
        <v>51</v>
      </c>
      <c r="G34" s="8">
        <v>0</v>
      </c>
      <c r="H34" s="104">
        <f t="shared" ref="H34:H53" si="3">IF(B$31=0,0,G34/B$31)</f>
        <v>0</v>
      </c>
      <c r="I34" s="65"/>
    </row>
    <row r="35" spans="5:9" x14ac:dyDescent="0.4">
      <c r="E35" s="40" t="s">
        <v>97</v>
      </c>
      <c r="F35" s="11" t="s">
        <v>52</v>
      </c>
      <c r="G35" s="8">
        <v>0</v>
      </c>
      <c r="H35" s="104">
        <f t="shared" si="3"/>
        <v>0</v>
      </c>
      <c r="I35" s="65"/>
    </row>
    <row r="36" spans="5:9" x14ac:dyDescent="0.4">
      <c r="E36" s="40" t="s">
        <v>98</v>
      </c>
      <c r="F36" s="11" t="s">
        <v>53</v>
      </c>
      <c r="G36" s="8">
        <v>0</v>
      </c>
      <c r="H36" s="104">
        <f t="shared" si="3"/>
        <v>0</v>
      </c>
      <c r="I36" s="65"/>
    </row>
    <row r="37" spans="5:9" x14ac:dyDescent="0.4">
      <c r="E37" s="40" t="s">
        <v>99</v>
      </c>
      <c r="F37" s="11" t="s">
        <v>54</v>
      </c>
      <c r="G37" s="8">
        <v>0</v>
      </c>
      <c r="H37" s="104">
        <f t="shared" si="3"/>
        <v>0</v>
      </c>
      <c r="I37" s="65"/>
    </row>
    <row r="38" spans="5:9" x14ac:dyDescent="0.4">
      <c r="E38" s="40" t="s">
        <v>100</v>
      </c>
      <c r="F38" s="11" t="s">
        <v>55</v>
      </c>
      <c r="G38" s="8">
        <v>0</v>
      </c>
      <c r="H38" s="104">
        <f t="shared" si="3"/>
        <v>0</v>
      </c>
      <c r="I38" s="65"/>
    </row>
    <row r="39" spans="5:9" x14ac:dyDescent="0.4">
      <c r="E39" s="40" t="s">
        <v>101</v>
      </c>
      <c r="F39" s="11" t="s">
        <v>56</v>
      </c>
      <c r="G39" s="8">
        <v>0</v>
      </c>
      <c r="H39" s="104">
        <f t="shared" si="3"/>
        <v>0</v>
      </c>
      <c r="I39" s="65"/>
    </row>
    <row r="40" spans="5:9" x14ac:dyDescent="0.4">
      <c r="E40" s="40" t="s">
        <v>102</v>
      </c>
      <c r="F40" s="11" t="s">
        <v>57</v>
      </c>
      <c r="G40" s="8">
        <v>0</v>
      </c>
      <c r="H40" s="104">
        <f t="shared" si="3"/>
        <v>0</v>
      </c>
      <c r="I40" s="65"/>
    </row>
    <row r="41" spans="5:9" x14ac:dyDescent="0.4">
      <c r="E41" s="40" t="s">
        <v>103</v>
      </c>
      <c r="F41" s="11" t="s">
        <v>58</v>
      </c>
      <c r="G41" s="8">
        <v>0</v>
      </c>
      <c r="H41" s="104">
        <f t="shared" si="3"/>
        <v>0</v>
      </c>
      <c r="I41" s="65"/>
    </row>
    <row r="42" spans="5:9" x14ac:dyDescent="0.4">
      <c r="E42" s="40" t="s">
        <v>104</v>
      </c>
      <c r="F42" s="11" t="s">
        <v>59</v>
      </c>
      <c r="G42" s="8">
        <v>0</v>
      </c>
      <c r="H42" s="104">
        <f t="shared" si="3"/>
        <v>0</v>
      </c>
      <c r="I42" s="65"/>
    </row>
    <row r="43" spans="5:9" x14ac:dyDescent="0.4">
      <c r="E43" s="40" t="s">
        <v>105</v>
      </c>
      <c r="F43" s="11" t="s">
        <v>60</v>
      </c>
      <c r="G43" s="8">
        <v>0</v>
      </c>
      <c r="H43" s="104">
        <f t="shared" si="3"/>
        <v>0</v>
      </c>
      <c r="I43" s="65"/>
    </row>
    <row r="44" spans="5:9" x14ac:dyDescent="0.4">
      <c r="E44" s="40" t="s">
        <v>106</v>
      </c>
      <c r="F44" s="11" t="s">
        <v>113</v>
      </c>
      <c r="G44" s="8">
        <v>0</v>
      </c>
      <c r="H44" s="104">
        <f t="shared" si="3"/>
        <v>0</v>
      </c>
      <c r="I44" s="65"/>
    </row>
    <row r="45" spans="5:9" x14ac:dyDescent="0.4">
      <c r="E45" s="40" t="s">
        <v>107</v>
      </c>
      <c r="F45" s="11" t="s">
        <v>114</v>
      </c>
      <c r="G45" s="8">
        <v>0</v>
      </c>
      <c r="H45" s="104">
        <f t="shared" si="3"/>
        <v>0</v>
      </c>
      <c r="I45" s="65"/>
    </row>
    <row r="46" spans="5:9" x14ac:dyDescent="0.4">
      <c r="E46" s="40" t="s">
        <v>108</v>
      </c>
      <c r="F46" s="11" t="s">
        <v>115</v>
      </c>
      <c r="G46" s="8">
        <v>0</v>
      </c>
      <c r="H46" s="104">
        <f t="shared" si="3"/>
        <v>0</v>
      </c>
      <c r="I46" s="65"/>
    </row>
    <row r="47" spans="5:9" x14ac:dyDescent="0.4">
      <c r="E47" s="40" t="s">
        <v>109</v>
      </c>
      <c r="F47" s="11" t="s">
        <v>61</v>
      </c>
      <c r="G47" s="8">
        <v>0</v>
      </c>
      <c r="H47" s="104">
        <f t="shared" si="3"/>
        <v>0</v>
      </c>
      <c r="I47" s="65"/>
    </row>
    <row r="48" spans="5:9" x14ac:dyDescent="0.4">
      <c r="E48" s="40" t="s">
        <v>110</v>
      </c>
      <c r="F48" s="11" t="s">
        <v>62</v>
      </c>
      <c r="G48" s="8">
        <v>0</v>
      </c>
      <c r="H48" s="104">
        <f t="shared" si="3"/>
        <v>0</v>
      </c>
      <c r="I48" s="65"/>
    </row>
    <row r="49" spans="5:9" x14ac:dyDescent="0.4">
      <c r="E49" s="40" t="s">
        <v>111</v>
      </c>
      <c r="F49" s="11" t="s">
        <v>63</v>
      </c>
      <c r="G49" s="8">
        <v>0</v>
      </c>
      <c r="H49" s="104">
        <f t="shared" si="3"/>
        <v>0</v>
      </c>
      <c r="I49" s="65"/>
    </row>
    <row r="50" spans="5:9" x14ac:dyDescent="0.4">
      <c r="E50" s="40" t="s">
        <v>112</v>
      </c>
      <c r="F50" s="37" t="s">
        <v>64</v>
      </c>
      <c r="G50" s="25">
        <v>0</v>
      </c>
      <c r="H50" s="104">
        <f t="shared" si="3"/>
        <v>0</v>
      </c>
      <c r="I50" s="65"/>
    </row>
    <row r="51" spans="5:9" x14ac:dyDescent="0.4">
      <c r="E51" s="40" t="s">
        <v>163</v>
      </c>
      <c r="F51" s="37" t="s">
        <v>164</v>
      </c>
      <c r="G51" s="25">
        <v>0</v>
      </c>
      <c r="H51" s="104">
        <f t="shared" si="3"/>
        <v>0</v>
      </c>
      <c r="I51" s="65"/>
    </row>
    <row r="52" spans="5:9" x14ac:dyDescent="0.4">
      <c r="E52" s="107" t="s">
        <v>167</v>
      </c>
      <c r="F52" s="108" t="s">
        <v>168</v>
      </c>
      <c r="G52" s="26">
        <v>0</v>
      </c>
      <c r="H52" s="109">
        <f t="shared" si="3"/>
        <v>0</v>
      </c>
      <c r="I52" s="110"/>
    </row>
    <row r="53" spans="5:9" x14ac:dyDescent="0.4">
      <c r="E53" s="41" t="s">
        <v>169</v>
      </c>
      <c r="F53" s="38" t="s">
        <v>170</v>
      </c>
      <c r="G53" s="27">
        <v>0</v>
      </c>
      <c r="H53" s="105">
        <f t="shared" si="3"/>
        <v>0</v>
      </c>
      <c r="I53" s="66"/>
    </row>
  </sheetData>
  <mergeCells count="10">
    <mergeCell ref="B1:C1"/>
    <mergeCell ref="B2:C2"/>
    <mergeCell ref="B3:C3"/>
    <mergeCell ref="B4:C4"/>
    <mergeCell ref="B5:C5"/>
    <mergeCell ref="B30:C30"/>
    <mergeCell ref="B31:C31"/>
    <mergeCell ref="B28:C28"/>
    <mergeCell ref="B27:C2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142</v>
      </c>
    </row>
    <row r="2" spans="1:1" x14ac:dyDescent="0.4">
      <c r="A2" t="s">
        <v>127</v>
      </c>
    </row>
    <row r="3" spans="1:1" x14ac:dyDescent="0.4">
      <c r="A3" t="s">
        <v>181</v>
      </c>
    </row>
    <row r="4" spans="1:1" x14ac:dyDescent="0.4">
      <c r="A4" t="s">
        <v>183</v>
      </c>
    </row>
    <row r="5" spans="1:1" x14ac:dyDescent="0.4">
      <c r="A5" t="s">
        <v>173</v>
      </c>
    </row>
    <row r="6" spans="1:1" x14ac:dyDescent="0.4">
      <c r="A6" t="s">
        <v>185</v>
      </c>
    </row>
    <row r="7" spans="1:1" x14ac:dyDescent="0.4">
      <c r="A7" t="s">
        <v>182</v>
      </c>
    </row>
    <row r="8" spans="1:1" x14ac:dyDescent="0.4">
      <c r="A8" t="s">
        <v>162</v>
      </c>
    </row>
    <row r="9" spans="1:1" x14ac:dyDescent="0.4">
      <c r="A9" t="s">
        <v>128</v>
      </c>
    </row>
    <row r="10" spans="1:1" x14ac:dyDescent="0.4">
      <c r="A10" t="s">
        <v>184</v>
      </c>
    </row>
    <row r="11" spans="1:1" x14ac:dyDescent="0.4">
      <c r="A11" t="s">
        <v>171</v>
      </c>
    </row>
    <row r="12" spans="1:1" x14ac:dyDescent="0.4">
      <c r="A12" t="s">
        <v>186</v>
      </c>
    </row>
    <row r="13" spans="1:1" x14ac:dyDescent="0.4">
      <c r="A13" t="s">
        <v>172</v>
      </c>
    </row>
    <row r="14" spans="1:1" x14ac:dyDescent="0.4">
      <c r="A14" t="s">
        <v>174</v>
      </c>
    </row>
    <row r="15" spans="1:1" x14ac:dyDescent="0.4">
      <c r="A15" t="s">
        <v>176</v>
      </c>
    </row>
    <row r="16" spans="1:1" x14ac:dyDescent="0.4">
      <c r="A16" t="s">
        <v>188</v>
      </c>
    </row>
    <row r="17" spans="1:1" x14ac:dyDescent="0.4">
      <c r="A17" t="s">
        <v>175</v>
      </c>
    </row>
    <row r="18" spans="1:1" x14ac:dyDescent="0.4">
      <c r="A18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53" customWidth="1"/>
    <col min="2" max="2" width="10.75" style="54" customWidth="1"/>
    <col min="3" max="3" width="10.75" style="55" customWidth="1"/>
    <col min="4" max="4" width="10.75" style="56" customWidth="1"/>
    <col min="5" max="5" width="10.75" style="68" customWidth="1"/>
    <col min="6" max="6" width="10.75" style="56" customWidth="1"/>
    <col min="7" max="7" width="10.75" style="57" customWidth="1"/>
    <col min="8" max="8" width="10.75" style="56" customWidth="1"/>
    <col min="9" max="9" width="10.75" style="58" customWidth="1"/>
    <col min="10" max="10" width="10.75" style="56" customWidth="1"/>
    <col min="11" max="11" width="10.75" style="58" customWidth="1"/>
    <col min="12" max="12" width="10.75" style="56" customWidth="1"/>
    <col min="13" max="13" width="10.75" style="59" customWidth="1"/>
    <col min="14" max="14" width="10.75" style="56" customWidth="1"/>
    <col min="15" max="15" width="10.75" style="59" customWidth="1"/>
    <col min="16" max="16" width="10.75" style="56" customWidth="1"/>
    <col min="17" max="17" width="10.75" style="60" customWidth="1"/>
    <col min="18" max="18" width="10.75" style="56" customWidth="1"/>
    <col min="19" max="19" width="10.75" style="60" customWidth="1"/>
    <col min="20" max="20" width="10.75" style="56" customWidth="1"/>
    <col min="21" max="21" width="10.75" style="58" customWidth="1"/>
    <col min="22" max="22" width="10.75" style="56" customWidth="1"/>
    <col min="23" max="23" width="10.75" style="58" customWidth="1"/>
    <col min="24" max="24" width="10.75" style="56" customWidth="1"/>
    <col min="25" max="25" width="10.75" style="59" customWidth="1"/>
    <col min="26" max="26" width="10.75" style="56" customWidth="1"/>
    <col min="27" max="27" width="10.75" style="59" customWidth="1"/>
    <col min="28" max="28" width="10.75" style="56" customWidth="1"/>
    <col min="29" max="29" width="10.75" style="59" customWidth="1"/>
    <col min="30" max="30" width="10.75" style="56" customWidth="1"/>
    <col min="31" max="31" width="10.75" style="59" customWidth="1"/>
    <col min="32" max="32" width="10.75" style="56" customWidth="1"/>
    <col min="33" max="33" width="10.75" style="59" customWidth="1"/>
    <col min="34" max="34" width="10.75" style="56" customWidth="1"/>
    <col min="35" max="35" width="10.75" style="63" customWidth="1"/>
    <col min="36" max="16384" width="9" style="44"/>
  </cols>
  <sheetData>
    <row r="1" spans="1:35" x14ac:dyDescent="0.4">
      <c r="A1" s="43"/>
      <c r="B1" s="133" t="s">
        <v>6</v>
      </c>
      <c r="C1" s="134"/>
      <c r="D1" s="133" t="s">
        <v>7</v>
      </c>
      <c r="E1" s="134"/>
      <c r="F1" s="133" t="s">
        <v>16</v>
      </c>
      <c r="G1" s="134"/>
      <c r="H1" s="133" t="s">
        <v>15</v>
      </c>
      <c r="I1" s="134"/>
      <c r="J1" s="133" t="s">
        <v>156</v>
      </c>
      <c r="K1" s="134"/>
      <c r="L1" s="133" t="s">
        <v>143</v>
      </c>
      <c r="M1" s="134"/>
      <c r="N1" s="133" t="s">
        <v>144</v>
      </c>
      <c r="O1" s="134"/>
      <c r="P1" s="133" t="s">
        <v>5</v>
      </c>
      <c r="Q1" s="134"/>
      <c r="R1" s="133" t="s">
        <v>17</v>
      </c>
      <c r="S1" s="134"/>
      <c r="T1" s="133" t="s">
        <v>18</v>
      </c>
      <c r="U1" s="134"/>
      <c r="V1" s="133" t="s">
        <v>138</v>
      </c>
      <c r="W1" s="134"/>
      <c r="X1" s="133" t="s">
        <v>123</v>
      </c>
      <c r="Y1" s="134"/>
      <c r="Z1" s="133" t="s">
        <v>120</v>
      </c>
      <c r="AA1" s="134"/>
      <c r="AB1" s="133" t="s">
        <v>126</v>
      </c>
      <c r="AC1" s="134"/>
      <c r="AD1" s="133" t="s">
        <v>145</v>
      </c>
      <c r="AE1" s="134"/>
      <c r="AF1" s="133" t="s">
        <v>141</v>
      </c>
      <c r="AG1" s="134"/>
      <c r="AH1" s="133" t="s">
        <v>147</v>
      </c>
      <c r="AI1" s="134"/>
    </row>
    <row r="2" spans="1:35" x14ac:dyDescent="0.4">
      <c r="A2" s="43" t="s">
        <v>155</v>
      </c>
      <c r="B2" s="135"/>
      <c r="C2" s="136"/>
      <c r="D2" s="135"/>
      <c r="E2" s="136"/>
      <c r="F2" s="137">
        <v>0.97143467739283662</v>
      </c>
      <c r="G2" s="138"/>
      <c r="H2" s="137">
        <v>0.97022578456763564</v>
      </c>
      <c r="I2" s="138"/>
      <c r="J2" s="137">
        <v>0.94587070512346316</v>
      </c>
      <c r="K2" s="138"/>
      <c r="L2" s="137">
        <v>0.84224150284786248</v>
      </c>
      <c r="M2" s="138"/>
      <c r="N2" s="137">
        <v>0.91300236511289823</v>
      </c>
      <c r="O2" s="138"/>
      <c r="P2" s="137">
        <v>0.60601344065552964</v>
      </c>
      <c r="Q2" s="138"/>
      <c r="R2" s="137">
        <v>-0.26198202695536388</v>
      </c>
      <c r="S2" s="138"/>
      <c r="T2" s="137">
        <v>0.48356029052184363</v>
      </c>
      <c r="U2" s="138"/>
      <c r="V2" s="137">
        <v>0.79303770830348552</v>
      </c>
      <c r="W2" s="138"/>
      <c r="X2" s="137">
        <v>0.71682258768851803</v>
      </c>
      <c r="Y2" s="138"/>
      <c r="Z2" s="137">
        <v>1.1239718895542768E-2</v>
      </c>
      <c r="AA2" s="138"/>
      <c r="AB2" s="137">
        <v>0.13400829911790754</v>
      </c>
      <c r="AC2" s="138"/>
      <c r="AD2" s="137">
        <v>0.70317299118004928</v>
      </c>
      <c r="AE2" s="138"/>
      <c r="AF2" s="137">
        <v>-5.9684194007624043E-2</v>
      </c>
      <c r="AG2" s="138"/>
      <c r="AH2" s="137">
        <v>0.79129544102535998</v>
      </c>
      <c r="AI2" s="138"/>
    </row>
    <row r="3" spans="1:35" x14ac:dyDescent="0.4">
      <c r="A3" s="45">
        <v>1</v>
      </c>
      <c r="B3" s="46" t="s">
        <v>127</v>
      </c>
      <c r="C3" s="47">
        <v>5168.7999999999993</v>
      </c>
      <c r="D3" s="48" t="s">
        <v>188</v>
      </c>
      <c r="E3" s="67">
        <v>13.3</v>
      </c>
      <c r="F3" s="48" t="s">
        <v>186</v>
      </c>
      <c r="G3" s="49">
        <v>1.6666666666666667</v>
      </c>
      <c r="H3" s="48" t="s">
        <v>186</v>
      </c>
      <c r="I3" s="50">
        <v>0.55555555555555558</v>
      </c>
      <c r="J3" s="48" t="s">
        <v>188</v>
      </c>
      <c r="K3" s="50">
        <v>0</v>
      </c>
      <c r="L3" s="48" t="s">
        <v>186</v>
      </c>
      <c r="M3" s="51">
        <v>0.34782608695652173</v>
      </c>
      <c r="N3" s="48" t="s">
        <v>188</v>
      </c>
      <c r="O3" s="51">
        <v>7.6923076923076927E-2</v>
      </c>
      <c r="P3" s="48" t="s">
        <v>188</v>
      </c>
      <c r="Q3" s="52">
        <v>13800</v>
      </c>
      <c r="R3" s="48" t="s">
        <v>172</v>
      </c>
      <c r="S3" s="52">
        <v>-7451.0204081632655</v>
      </c>
      <c r="T3" s="48" t="s">
        <v>183</v>
      </c>
      <c r="U3" s="50">
        <v>0</v>
      </c>
      <c r="V3" s="48" t="s">
        <v>187</v>
      </c>
      <c r="W3" s="50">
        <v>0.25</v>
      </c>
      <c r="X3" s="48" t="s">
        <v>183</v>
      </c>
      <c r="Y3" s="51">
        <v>0.42105263157894735</v>
      </c>
      <c r="Z3" s="48" t="s">
        <v>187</v>
      </c>
      <c r="AA3" s="51">
        <v>0.375</v>
      </c>
      <c r="AB3" s="48" t="s">
        <v>182</v>
      </c>
      <c r="AC3" s="51">
        <v>0.75</v>
      </c>
      <c r="AD3" s="48" t="s">
        <v>183</v>
      </c>
      <c r="AE3" s="51">
        <v>1</v>
      </c>
      <c r="AF3" s="48" t="s">
        <v>181</v>
      </c>
      <c r="AG3" s="51">
        <v>1</v>
      </c>
      <c r="AH3" s="48" t="s">
        <v>171</v>
      </c>
      <c r="AI3" s="62">
        <v>124700</v>
      </c>
    </row>
    <row r="4" spans="1:35" x14ac:dyDescent="0.4">
      <c r="A4" s="53">
        <v>2</v>
      </c>
      <c r="B4" s="54" t="s">
        <v>186</v>
      </c>
      <c r="C4" s="55">
        <v>109</v>
      </c>
      <c r="D4" s="56" t="s">
        <v>186</v>
      </c>
      <c r="E4" s="68">
        <v>12.111111111111111</v>
      </c>
      <c r="F4" s="56" t="s">
        <v>127</v>
      </c>
      <c r="G4" s="57">
        <v>1.754646840148699</v>
      </c>
      <c r="H4" s="56" t="s">
        <v>127</v>
      </c>
      <c r="I4" s="58">
        <v>0.46468401486988847</v>
      </c>
      <c r="J4" s="56" t="s">
        <v>127</v>
      </c>
      <c r="K4" s="58">
        <v>0.21933085501858737</v>
      </c>
      <c r="L4" s="56" t="s">
        <v>127</v>
      </c>
      <c r="M4" s="59">
        <v>0.34582743988684583</v>
      </c>
      <c r="N4" s="56" t="s">
        <v>186</v>
      </c>
      <c r="O4" s="59">
        <v>8.6956521739130432E-2</v>
      </c>
      <c r="P4" s="56" t="s">
        <v>183</v>
      </c>
      <c r="Q4" s="60">
        <v>12333.333333333334</v>
      </c>
      <c r="R4" s="56" t="s">
        <v>174</v>
      </c>
      <c r="S4" s="60">
        <v>-8133.5766423357663</v>
      </c>
      <c r="T4" s="56" t="s">
        <v>188</v>
      </c>
      <c r="U4" s="58">
        <v>0</v>
      </c>
      <c r="V4" s="56" t="s">
        <v>182</v>
      </c>
      <c r="W4" s="58">
        <v>0.2</v>
      </c>
      <c r="X4" s="56" t="s">
        <v>186</v>
      </c>
      <c r="Y4" s="59">
        <v>0.37681159420289856</v>
      </c>
      <c r="Z4" s="56" t="s">
        <v>176</v>
      </c>
      <c r="AA4" s="59">
        <v>0.33201581027667987</v>
      </c>
      <c r="AB4" s="56" t="s">
        <v>185</v>
      </c>
      <c r="AC4" s="59">
        <v>0.61855670103092786</v>
      </c>
      <c r="AD4" s="56" t="s">
        <v>186</v>
      </c>
      <c r="AE4" s="59">
        <v>0.5</v>
      </c>
      <c r="AF4" s="56" t="s">
        <v>176</v>
      </c>
      <c r="AG4" s="59">
        <v>0.51249999999999996</v>
      </c>
      <c r="AH4" s="56" t="s">
        <v>142</v>
      </c>
      <c r="AI4" s="63">
        <v>124700</v>
      </c>
    </row>
    <row r="5" spans="1:35" x14ac:dyDescent="0.4">
      <c r="A5" s="53">
        <v>3</v>
      </c>
      <c r="B5" s="54" t="s">
        <v>184</v>
      </c>
      <c r="C5" s="55">
        <v>91.000000000000014</v>
      </c>
      <c r="D5" s="56" t="s">
        <v>127</v>
      </c>
      <c r="E5" s="68">
        <v>9.6074349442379177</v>
      </c>
      <c r="F5" s="56" t="s">
        <v>176</v>
      </c>
      <c r="G5" s="57">
        <v>1.9285714285714286</v>
      </c>
      <c r="H5" s="56" t="s">
        <v>184</v>
      </c>
      <c r="I5" s="58">
        <v>0.35897435897435898</v>
      </c>
      <c r="J5" s="56" t="s">
        <v>186</v>
      </c>
      <c r="K5" s="58">
        <v>0.22222222222222221</v>
      </c>
      <c r="L5" s="56" t="s">
        <v>185</v>
      </c>
      <c r="M5" s="59">
        <v>0.32519083969465651</v>
      </c>
      <c r="N5" s="56" t="s">
        <v>127</v>
      </c>
      <c r="O5" s="59">
        <v>0.14474304573314475</v>
      </c>
      <c r="P5" s="56" t="s">
        <v>184</v>
      </c>
      <c r="Q5" s="60">
        <v>11250.561797752809</v>
      </c>
      <c r="R5" s="56" t="s">
        <v>181</v>
      </c>
      <c r="S5" s="60">
        <v>-8240</v>
      </c>
      <c r="T5" s="56" t="s">
        <v>127</v>
      </c>
      <c r="U5" s="58">
        <v>8.5501858736059477E-2</v>
      </c>
      <c r="V5" s="56" t="s">
        <v>184</v>
      </c>
      <c r="W5" s="58">
        <v>0.17948717948717949</v>
      </c>
      <c r="X5" s="56" t="s">
        <v>127</v>
      </c>
      <c r="Y5" s="59">
        <v>0.29529846804014792</v>
      </c>
      <c r="Z5" s="56" t="s">
        <v>162</v>
      </c>
      <c r="AA5" s="59">
        <v>0.27656929770043504</v>
      </c>
      <c r="AB5" s="56" t="s">
        <v>127</v>
      </c>
      <c r="AC5" s="59">
        <v>0.61538461538461542</v>
      </c>
      <c r="AD5" s="56" t="s">
        <v>127</v>
      </c>
      <c r="AE5" s="59">
        <v>0.49635036496350365</v>
      </c>
      <c r="AF5" s="56" t="s">
        <v>174</v>
      </c>
      <c r="AG5" s="59">
        <v>0.5</v>
      </c>
      <c r="AH5" s="56" t="s">
        <v>127</v>
      </c>
      <c r="AI5" s="63">
        <v>120200</v>
      </c>
    </row>
    <row r="6" spans="1:35" x14ac:dyDescent="0.4">
      <c r="A6" s="53">
        <v>4</v>
      </c>
      <c r="B6" s="54" t="s">
        <v>188</v>
      </c>
      <c r="C6" s="55">
        <v>13.3</v>
      </c>
      <c r="D6" s="56" t="s">
        <v>184</v>
      </c>
      <c r="E6" s="68">
        <v>2.3333333333333335</v>
      </c>
      <c r="F6" s="56" t="s">
        <v>185</v>
      </c>
      <c r="G6" s="57">
        <v>2</v>
      </c>
      <c r="H6" s="56" t="s">
        <v>176</v>
      </c>
      <c r="I6" s="58">
        <v>0.35714285714285715</v>
      </c>
      <c r="J6" s="56" t="s">
        <v>183</v>
      </c>
      <c r="K6" s="58">
        <v>0.25</v>
      </c>
      <c r="L6" s="56" t="s">
        <v>176</v>
      </c>
      <c r="M6" s="59">
        <v>0.31620553359683795</v>
      </c>
      <c r="N6" s="56" t="s">
        <v>172</v>
      </c>
      <c r="O6" s="59">
        <v>0.15525982256020279</v>
      </c>
      <c r="P6" s="56" t="s">
        <v>171</v>
      </c>
      <c r="Q6" s="60">
        <v>10347.308319738988</v>
      </c>
      <c r="R6" s="56" t="s">
        <v>175</v>
      </c>
      <c r="S6" s="60">
        <v>-8360</v>
      </c>
      <c r="T6" s="56" t="s">
        <v>162</v>
      </c>
      <c r="U6" s="58">
        <v>0.10091743119266056</v>
      </c>
      <c r="V6" s="56" t="s">
        <v>127</v>
      </c>
      <c r="W6" s="58">
        <v>0.16914498141263939</v>
      </c>
      <c r="X6" s="56" t="s">
        <v>173</v>
      </c>
      <c r="Y6" s="59">
        <v>0.29266315362788814</v>
      </c>
      <c r="Z6" s="56" t="s">
        <v>185</v>
      </c>
      <c r="AA6" s="59">
        <v>0.27577937649880097</v>
      </c>
      <c r="AB6" s="56" t="s">
        <v>186</v>
      </c>
      <c r="AC6" s="59">
        <v>0.61538461538461542</v>
      </c>
      <c r="AD6" s="56" t="s">
        <v>171</v>
      </c>
      <c r="AE6" s="59">
        <v>0.41362530413625304</v>
      </c>
      <c r="AF6" s="56" t="s">
        <v>188</v>
      </c>
      <c r="AG6" s="59">
        <v>0.5</v>
      </c>
      <c r="AH6" s="56" t="s">
        <v>185</v>
      </c>
      <c r="AI6" s="63">
        <v>118000</v>
      </c>
    </row>
    <row r="7" spans="1:35" x14ac:dyDescent="0.4">
      <c r="A7" s="53">
        <v>5</v>
      </c>
      <c r="B7" s="54" t="s">
        <v>142</v>
      </c>
      <c r="C7" s="55">
        <v>8.7041485130612273E-14</v>
      </c>
      <c r="D7" s="56" t="s">
        <v>142</v>
      </c>
      <c r="E7" s="68">
        <v>3.9367474052741869E-17</v>
      </c>
      <c r="F7" s="56" t="s">
        <v>128</v>
      </c>
      <c r="G7" s="57">
        <v>2</v>
      </c>
      <c r="H7" s="56" t="s">
        <v>128</v>
      </c>
      <c r="I7" s="58">
        <v>0.34733893557422968</v>
      </c>
      <c r="J7" s="56" t="s">
        <v>176</v>
      </c>
      <c r="K7" s="58">
        <v>0.2857142857142857</v>
      </c>
      <c r="L7" s="56" t="s">
        <v>187</v>
      </c>
      <c r="M7" s="59">
        <v>0.3125</v>
      </c>
      <c r="N7" s="56" t="s">
        <v>187</v>
      </c>
      <c r="O7" s="59">
        <v>0.15625</v>
      </c>
      <c r="P7" s="56" t="s">
        <v>173</v>
      </c>
      <c r="Q7" s="60">
        <v>9480</v>
      </c>
      <c r="R7" s="56" t="s">
        <v>186</v>
      </c>
      <c r="S7" s="60">
        <v>-8400</v>
      </c>
      <c r="T7" s="56" t="s">
        <v>186</v>
      </c>
      <c r="U7" s="58">
        <v>0.1111111111111111</v>
      </c>
      <c r="V7" s="56" t="s">
        <v>171</v>
      </c>
      <c r="W7" s="58">
        <v>0.15498154981549817</v>
      </c>
      <c r="X7" s="56" t="s">
        <v>171</v>
      </c>
      <c r="Y7" s="59">
        <v>0.29190207156308851</v>
      </c>
      <c r="Z7" s="56" t="s">
        <v>184</v>
      </c>
      <c r="AA7" s="59">
        <v>0.24358974358974358</v>
      </c>
      <c r="AB7" s="56" t="s">
        <v>176</v>
      </c>
      <c r="AC7" s="59">
        <v>0.58730158730158732</v>
      </c>
      <c r="AD7" s="56" t="s">
        <v>185</v>
      </c>
      <c r="AE7" s="59">
        <v>0.40869565217391307</v>
      </c>
      <c r="AF7" s="56" t="s">
        <v>184</v>
      </c>
      <c r="AG7" s="59">
        <v>0.48314606741573035</v>
      </c>
      <c r="AH7" s="56" t="s">
        <v>174</v>
      </c>
      <c r="AI7" s="63">
        <v>113300</v>
      </c>
    </row>
    <row r="8" spans="1:35" x14ac:dyDescent="0.4">
      <c r="A8" s="53">
        <v>6</v>
      </c>
      <c r="B8" s="54" t="s">
        <v>183</v>
      </c>
      <c r="C8" s="55">
        <v>-15.5</v>
      </c>
      <c r="D8" s="56" t="s">
        <v>185</v>
      </c>
      <c r="E8" s="68">
        <v>-0.33370786516853918</v>
      </c>
      <c r="F8" s="56" t="s">
        <v>142</v>
      </c>
      <c r="G8" s="57">
        <v>2</v>
      </c>
      <c r="H8" s="56" t="s">
        <v>185</v>
      </c>
      <c r="I8" s="58">
        <v>0.33707865168539325</v>
      </c>
      <c r="J8" s="56" t="s">
        <v>142</v>
      </c>
      <c r="K8" s="58">
        <v>0.33333333333333331</v>
      </c>
      <c r="L8" s="56" t="s">
        <v>162</v>
      </c>
      <c r="M8" s="59">
        <v>0.30240357741755169</v>
      </c>
      <c r="N8" s="56" t="s">
        <v>162</v>
      </c>
      <c r="O8" s="59">
        <v>0.16545556176634993</v>
      </c>
      <c r="P8" s="56" t="s">
        <v>127</v>
      </c>
      <c r="Q8" s="60">
        <v>9418.677573278801</v>
      </c>
      <c r="R8" s="56" t="s">
        <v>173</v>
      </c>
      <c r="S8" s="60">
        <v>-8430.5283757338548</v>
      </c>
      <c r="T8" s="56" t="s">
        <v>142</v>
      </c>
      <c r="U8" s="58">
        <v>0.12980551786521935</v>
      </c>
      <c r="V8" s="56" t="s">
        <v>185</v>
      </c>
      <c r="W8" s="58">
        <v>0.14606741573033707</v>
      </c>
      <c r="X8" s="56" t="s">
        <v>184</v>
      </c>
      <c r="Y8" s="59">
        <v>0.27777777777777779</v>
      </c>
      <c r="Z8" s="56" t="s">
        <v>175</v>
      </c>
      <c r="AA8" s="59">
        <v>0.24050632911392406</v>
      </c>
      <c r="AB8" s="56" t="s">
        <v>173</v>
      </c>
      <c r="AC8" s="59">
        <v>0.5817174515235457</v>
      </c>
      <c r="AD8" s="56" t="s">
        <v>142</v>
      </c>
      <c r="AE8" s="59">
        <v>0.40221606648199448</v>
      </c>
      <c r="AF8" s="56" t="s">
        <v>173</v>
      </c>
      <c r="AG8" s="59">
        <v>0.44324324324324327</v>
      </c>
      <c r="AH8" s="56" t="s">
        <v>128</v>
      </c>
      <c r="AI8" s="63">
        <v>109300</v>
      </c>
    </row>
    <row r="9" spans="1:35" x14ac:dyDescent="0.4">
      <c r="A9" s="53">
        <v>7</v>
      </c>
      <c r="B9" s="54" t="s">
        <v>176</v>
      </c>
      <c r="C9" s="55">
        <v>-22.000000000000028</v>
      </c>
      <c r="D9" s="56" t="s">
        <v>176</v>
      </c>
      <c r="E9" s="68">
        <v>-0.7857142857142867</v>
      </c>
      <c r="F9" s="56" t="s">
        <v>183</v>
      </c>
      <c r="G9" s="57">
        <v>2</v>
      </c>
      <c r="H9" s="56" t="s">
        <v>142</v>
      </c>
      <c r="I9" s="58">
        <v>0.33333333333333331</v>
      </c>
      <c r="J9" s="56" t="s">
        <v>185</v>
      </c>
      <c r="K9" s="58">
        <v>0.33707865168539325</v>
      </c>
      <c r="L9" s="56" t="s">
        <v>142</v>
      </c>
      <c r="M9" s="59">
        <v>0.29820123664980325</v>
      </c>
      <c r="N9" s="56" t="s">
        <v>183</v>
      </c>
      <c r="O9" s="59">
        <v>0.16666666666666666</v>
      </c>
      <c r="P9" s="56" t="s">
        <v>185</v>
      </c>
      <c r="Q9" s="60">
        <v>9408.4507042253517</v>
      </c>
      <c r="R9" s="56" t="s">
        <v>128</v>
      </c>
      <c r="S9" s="60">
        <v>-8508.3499005964222</v>
      </c>
      <c r="T9" s="56" t="s">
        <v>128</v>
      </c>
      <c r="U9" s="58">
        <v>0.13165266106442577</v>
      </c>
      <c r="V9" s="56" t="s">
        <v>128</v>
      </c>
      <c r="W9" s="58">
        <v>0.13445378151260504</v>
      </c>
      <c r="X9" s="56" t="s">
        <v>142</v>
      </c>
      <c r="Y9" s="59">
        <v>0.26871870037864909</v>
      </c>
      <c r="Z9" s="56" t="s">
        <v>172</v>
      </c>
      <c r="AA9" s="59">
        <v>0.23891001267427123</v>
      </c>
      <c r="AB9" s="56" t="s">
        <v>174</v>
      </c>
      <c r="AC9" s="59">
        <v>0.58125000000000004</v>
      </c>
      <c r="AD9" s="56" t="s">
        <v>162</v>
      </c>
      <c r="AE9" s="59">
        <v>0.39550561797752809</v>
      </c>
      <c r="AF9" s="56" t="s">
        <v>185</v>
      </c>
      <c r="AG9" s="59">
        <v>0.44131455399061031</v>
      </c>
      <c r="AH9" s="56" t="s">
        <v>184</v>
      </c>
      <c r="AI9" s="63">
        <v>109300</v>
      </c>
    </row>
    <row r="10" spans="1:35" x14ac:dyDescent="0.4">
      <c r="A10" s="53">
        <v>8</v>
      </c>
      <c r="B10" s="54" t="s">
        <v>185</v>
      </c>
      <c r="C10" s="55">
        <v>-29.699999999999989</v>
      </c>
      <c r="D10" s="56" t="s">
        <v>171</v>
      </c>
      <c r="E10" s="68">
        <v>-1.0852398523985234</v>
      </c>
      <c r="F10" s="56" t="s">
        <v>188</v>
      </c>
      <c r="G10" s="57">
        <v>2</v>
      </c>
      <c r="H10" s="56" t="s">
        <v>171</v>
      </c>
      <c r="I10" s="58">
        <v>0.28782287822878228</v>
      </c>
      <c r="J10" s="56" t="s">
        <v>128</v>
      </c>
      <c r="K10" s="58">
        <v>0.34733893557422968</v>
      </c>
      <c r="L10" s="56" t="s">
        <v>128</v>
      </c>
      <c r="M10" s="59">
        <v>0.29199587770525592</v>
      </c>
      <c r="N10" s="56" t="s">
        <v>184</v>
      </c>
      <c r="O10" s="59">
        <v>0.16772151898734178</v>
      </c>
      <c r="P10" s="56" t="s">
        <v>142</v>
      </c>
      <c r="Q10" s="60">
        <v>9124.5805843543822</v>
      </c>
      <c r="R10" s="56" t="s">
        <v>127</v>
      </c>
      <c r="S10" s="60">
        <v>-8526.2214983713347</v>
      </c>
      <c r="T10" s="56" t="s">
        <v>171</v>
      </c>
      <c r="U10" s="58">
        <v>0.14391143911439114</v>
      </c>
      <c r="V10" s="56" t="s">
        <v>142</v>
      </c>
      <c r="W10" s="58">
        <v>0.12980551786521935</v>
      </c>
      <c r="X10" s="56" t="s">
        <v>128</v>
      </c>
      <c r="Y10" s="59">
        <v>0.259245960502693</v>
      </c>
      <c r="Z10" s="56" t="s">
        <v>128</v>
      </c>
      <c r="AA10" s="59">
        <v>0.22585278276481149</v>
      </c>
      <c r="AB10" s="56" t="s">
        <v>172</v>
      </c>
      <c r="AC10" s="59">
        <v>0.57640750670241292</v>
      </c>
      <c r="AD10" s="56" t="s">
        <v>176</v>
      </c>
      <c r="AE10" s="59">
        <v>0.39285714285714285</v>
      </c>
      <c r="AF10" s="56" t="s">
        <v>162</v>
      </c>
      <c r="AG10" s="59">
        <v>0.43253234750462105</v>
      </c>
      <c r="AH10" s="56" t="s">
        <v>173</v>
      </c>
      <c r="AI10" s="63">
        <v>107600</v>
      </c>
    </row>
    <row r="11" spans="1:35" x14ac:dyDescent="0.4">
      <c r="A11" s="53">
        <v>9</v>
      </c>
      <c r="B11" s="54" t="s">
        <v>187</v>
      </c>
      <c r="C11" s="55">
        <v>-56.2</v>
      </c>
      <c r="D11" s="56" t="s">
        <v>128</v>
      </c>
      <c r="E11" s="68">
        <v>-1.9803921568627463</v>
      </c>
      <c r="F11" s="56" t="s">
        <v>184</v>
      </c>
      <c r="G11" s="57">
        <v>2.0256410256410255</v>
      </c>
      <c r="H11" s="56" t="s">
        <v>172</v>
      </c>
      <c r="I11" s="58">
        <v>0.28497409326424872</v>
      </c>
      <c r="J11" s="56" t="s">
        <v>171</v>
      </c>
      <c r="K11" s="58">
        <v>0.36531365313653136</v>
      </c>
      <c r="L11" s="56" t="s">
        <v>171</v>
      </c>
      <c r="M11" s="59">
        <v>0.28366496992133272</v>
      </c>
      <c r="N11" s="56" t="s">
        <v>142</v>
      </c>
      <c r="O11" s="59">
        <v>0.16874648679033163</v>
      </c>
      <c r="P11" s="56" t="s">
        <v>128</v>
      </c>
      <c r="Q11" s="60">
        <v>8914.7058823529405</v>
      </c>
      <c r="R11" s="56" t="s">
        <v>142</v>
      </c>
      <c r="S11" s="60">
        <v>-8528.3810792804798</v>
      </c>
      <c r="T11" s="56" t="s">
        <v>172</v>
      </c>
      <c r="U11" s="58">
        <v>0.15025906735751296</v>
      </c>
      <c r="V11" s="56" t="s">
        <v>186</v>
      </c>
      <c r="W11" s="58">
        <v>0.1111111111111111</v>
      </c>
      <c r="X11" s="56" t="s">
        <v>182</v>
      </c>
      <c r="Y11" s="59">
        <v>0.25806451612903225</v>
      </c>
      <c r="Z11" s="56" t="s">
        <v>142</v>
      </c>
      <c r="AA11" s="59">
        <v>0.22047147917430071</v>
      </c>
      <c r="AB11" s="56" t="s">
        <v>142</v>
      </c>
      <c r="AC11" s="59">
        <v>0.57568181818181818</v>
      </c>
      <c r="AD11" s="56" t="s">
        <v>128</v>
      </c>
      <c r="AE11" s="59">
        <v>0.37678855325914151</v>
      </c>
      <c r="AF11" s="56" t="s">
        <v>175</v>
      </c>
      <c r="AG11" s="59">
        <v>0.43137254901960786</v>
      </c>
      <c r="AH11" s="56" t="s">
        <v>176</v>
      </c>
      <c r="AI11" s="63">
        <v>106300</v>
      </c>
    </row>
    <row r="12" spans="1:35" x14ac:dyDescent="0.4">
      <c r="A12" s="53">
        <v>10</v>
      </c>
      <c r="B12" s="54" t="s">
        <v>182</v>
      </c>
      <c r="C12" s="55">
        <v>-86.4</v>
      </c>
      <c r="D12" s="56" t="s">
        <v>172</v>
      </c>
      <c r="E12" s="68">
        <v>-2.398445595854922</v>
      </c>
      <c r="F12" s="56" t="s">
        <v>171</v>
      </c>
      <c r="G12" s="57">
        <v>2.0774907749077491</v>
      </c>
      <c r="H12" s="56" t="s">
        <v>174</v>
      </c>
      <c r="I12" s="58">
        <v>0.27380952380952384</v>
      </c>
      <c r="J12" s="56" t="s">
        <v>162</v>
      </c>
      <c r="K12" s="58">
        <v>0.3669724770642202</v>
      </c>
      <c r="L12" s="56" t="s">
        <v>184</v>
      </c>
      <c r="M12" s="59">
        <v>0.28164556962025317</v>
      </c>
      <c r="N12" s="56" t="s">
        <v>176</v>
      </c>
      <c r="O12" s="59">
        <v>0.16996047430830039</v>
      </c>
      <c r="P12" s="56" t="s">
        <v>186</v>
      </c>
      <c r="Q12" s="60">
        <v>8891.6666666666661</v>
      </c>
      <c r="R12" s="56" t="s">
        <v>162</v>
      </c>
      <c r="S12" s="60">
        <v>-8580.0675675675684</v>
      </c>
      <c r="T12" s="56" t="s">
        <v>173</v>
      </c>
      <c r="U12" s="58">
        <v>0.15088757396449703</v>
      </c>
      <c r="V12" s="56" t="s">
        <v>173</v>
      </c>
      <c r="W12" s="58">
        <v>0.10355029585798817</v>
      </c>
      <c r="X12" s="56" t="s">
        <v>176</v>
      </c>
      <c r="Y12" s="59">
        <v>0.24901185770750989</v>
      </c>
      <c r="Z12" s="56" t="s">
        <v>127</v>
      </c>
      <c r="AA12" s="59">
        <v>0.21711568938193343</v>
      </c>
      <c r="AB12" s="56" t="s">
        <v>175</v>
      </c>
      <c r="AC12" s="59">
        <v>0.57446808510638303</v>
      </c>
      <c r="AD12" s="56" t="s">
        <v>173</v>
      </c>
      <c r="AE12" s="59">
        <v>0.35581395348837208</v>
      </c>
      <c r="AF12" s="56" t="s">
        <v>172</v>
      </c>
      <c r="AG12" s="59">
        <v>0.42926829268292682</v>
      </c>
      <c r="AH12" s="56" t="s">
        <v>162</v>
      </c>
      <c r="AI12" s="63">
        <v>103200</v>
      </c>
    </row>
    <row r="13" spans="1:35" x14ac:dyDescent="0.4">
      <c r="A13" s="53">
        <v>11</v>
      </c>
      <c r="B13" s="54" t="s">
        <v>181</v>
      </c>
      <c r="C13" s="55">
        <v>-132.1</v>
      </c>
      <c r="D13" s="56" t="s">
        <v>183</v>
      </c>
      <c r="E13" s="68">
        <v>-3.875</v>
      </c>
      <c r="F13" s="56" t="s">
        <v>172</v>
      </c>
      <c r="G13" s="57">
        <v>2.088082901554404</v>
      </c>
      <c r="H13" s="56" t="s">
        <v>173</v>
      </c>
      <c r="I13" s="58">
        <v>0.26923076923076922</v>
      </c>
      <c r="J13" s="56" t="s">
        <v>172</v>
      </c>
      <c r="K13" s="58">
        <v>0.37305699481865284</v>
      </c>
      <c r="L13" s="56" t="s">
        <v>174</v>
      </c>
      <c r="M13" s="59">
        <v>0.27500000000000002</v>
      </c>
      <c r="N13" s="56" t="s">
        <v>128</v>
      </c>
      <c r="O13" s="59">
        <v>0.17279285468911026</v>
      </c>
      <c r="P13" s="56" t="s">
        <v>172</v>
      </c>
      <c r="Q13" s="60">
        <v>8710.4878048780483</v>
      </c>
      <c r="R13" s="56" t="s">
        <v>176</v>
      </c>
      <c r="S13" s="60">
        <v>-8765.1162790697672</v>
      </c>
      <c r="T13" s="56" t="s">
        <v>184</v>
      </c>
      <c r="U13" s="58">
        <v>0.15384615384615385</v>
      </c>
      <c r="V13" s="56" t="s">
        <v>162</v>
      </c>
      <c r="W13" s="58">
        <v>9.6330275229357804E-2</v>
      </c>
      <c r="X13" s="56" t="s">
        <v>172</v>
      </c>
      <c r="Y13" s="59">
        <v>0.23637515842839038</v>
      </c>
      <c r="Z13" s="56" t="s">
        <v>174</v>
      </c>
      <c r="AA13" s="59">
        <v>0.21249999999999999</v>
      </c>
      <c r="AB13" s="56" t="s">
        <v>171</v>
      </c>
      <c r="AC13" s="59">
        <v>0.55645161290322576</v>
      </c>
      <c r="AD13" s="56" t="s">
        <v>172</v>
      </c>
      <c r="AE13" s="59">
        <v>0.34748010610079577</v>
      </c>
      <c r="AF13" s="56" t="s">
        <v>142</v>
      </c>
      <c r="AG13" s="59">
        <v>0.42563619227144206</v>
      </c>
      <c r="AH13" s="56" t="s">
        <v>172</v>
      </c>
      <c r="AI13" s="63">
        <v>103000</v>
      </c>
    </row>
    <row r="14" spans="1:35" x14ac:dyDescent="0.4">
      <c r="A14" s="53">
        <v>12</v>
      </c>
      <c r="B14" s="54" t="s">
        <v>171</v>
      </c>
      <c r="C14" s="55">
        <v>-294.09999999999985</v>
      </c>
      <c r="D14" s="56" t="s">
        <v>173</v>
      </c>
      <c r="E14" s="68">
        <v>-3.9615384615384608</v>
      </c>
      <c r="F14" s="56" t="s">
        <v>173</v>
      </c>
      <c r="G14" s="57">
        <v>2.1094674556213016</v>
      </c>
      <c r="H14" s="56" t="s">
        <v>183</v>
      </c>
      <c r="I14" s="58">
        <v>0.25</v>
      </c>
      <c r="J14" s="56" t="s">
        <v>173</v>
      </c>
      <c r="K14" s="58">
        <v>0.378698224852071</v>
      </c>
      <c r="L14" s="56" t="s">
        <v>173</v>
      </c>
      <c r="M14" s="59">
        <v>0.27126099706744866</v>
      </c>
      <c r="N14" s="56" t="s">
        <v>185</v>
      </c>
      <c r="O14" s="59">
        <v>0.17404580152671756</v>
      </c>
      <c r="P14" s="56" t="s">
        <v>176</v>
      </c>
      <c r="Q14" s="60">
        <v>7901.25</v>
      </c>
      <c r="R14" s="56" t="s">
        <v>171</v>
      </c>
      <c r="S14" s="60">
        <v>-9024.6851385390437</v>
      </c>
      <c r="T14" s="56" t="s">
        <v>185</v>
      </c>
      <c r="U14" s="58">
        <v>0.15730337078651685</v>
      </c>
      <c r="V14" s="56" t="s">
        <v>172</v>
      </c>
      <c r="W14" s="58">
        <v>8.8082901554404139E-2</v>
      </c>
      <c r="X14" s="56" t="s">
        <v>185</v>
      </c>
      <c r="Y14" s="59">
        <v>0.23261390887290168</v>
      </c>
      <c r="Z14" s="56" t="s">
        <v>171</v>
      </c>
      <c r="AA14" s="59">
        <v>0.19350282485875706</v>
      </c>
      <c r="AB14" s="56" t="s">
        <v>128</v>
      </c>
      <c r="AC14" s="59">
        <v>0.54986149584487531</v>
      </c>
      <c r="AD14" s="56" t="s">
        <v>174</v>
      </c>
      <c r="AE14" s="59">
        <v>0.33333333333333331</v>
      </c>
      <c r="AF14" s="56" t="s">
        <v>171</v>
      </c>
      <c r="AG14" s="59">
        <v>0.42414355628058725</v>
      </c>
      <c r="AH14" s="56" t="s">
        <v>175</v>
      </c>
      <c r="AI14" s="63">
        <v>85100</v>
      </c>
    </row>
    <row r="15" spans="1:35" x14ac:dyDescent="0.4">
      <c r="A15" s="53">
        <v>13</v>
      </c>
      <c r="B15" s="54" t="s">
        <v>172</v>
      </c>
      <c r="C15" s="55">
        <v>-462.9</v>
      </c>
      <c r="D15" s="56" t="s">
        <v>162</v>
      </c>
      <c r="E15" s="68">
        <v>-4.251834862385321</v>
      </c>
      <c r="F15" s="56" t="s">
        <v>162</v>
      </c>
      <c r="G15" s="57">
        <v>2.1238532110091741</v>
      </c>
      <c r="H15" s="56" t="s">
        <v>187</v>
      </c>
      <c r="I15" s="58">
        <v>0.25</v>
      </c>
      <c r="J15" s="56" t="s">
        <v>184</v>
      </c>
      <c r="K15" s="58">
        <v>0.38461538461538464</v>
      </c>
      <c r="L15" s="56" t="s">
        <v>182</v>
      </c>
      <c r="M15" s="59">
        <v>0.27027027027027029</v>
      </c>
      <c r="N15" s="56" t="s">
        <v>171</v>
      </c>
      <c r="O15" s="59">
        <v>0.18371124479407683</v>
      </c>
      <c r="P15" s="56" t="s">
        <v>181</v>
      </c>
      <c r="Q15" s="60">
        <v>7800</v>
      </c>
      <c r="R15" s="56" t="s">
        <v>184</v>
      </c>
      <c r="S15" s="60">
        <v>-9054.7169811320746</v>
      </c>
      <c r="T15" s="56" t="s">
        <v>174</v>
      </c>
      <c r="U15" s="58">
        <v>0.16666666666666666</v>
      </c>
      <c r="V15" s="56" t="s">
        <v>174</v>
      </c>
      <c r="W15" s="58">
        <v>8.3333333333333329E-2</v>
      </c>
      <c r="X15" s="56" t="s">
        <v>188</v>
      </c>
      <c r="Y15" s="59">
        <v>0.23076923076923078</v>
      </c>
      <c r="Z15" s="56" t="s">
        <v>173</v>
      </c>
      <c r="AA15" s="59">
        <v>0.17430077016619375</v>
      </c>
      <c r="AB15" s="56" t="s">
        <v>162</v>
      </c>
      <c r="AC15" s="59">
        <v>0.52354570637119113</v>
      </c>
      <c r="AD15" s="56" t="s">
        <v>184</v>
      </c>
      <c r="AE15" s="59">
        <v>0.31578947368421051</v>
      </c>
      <c r="AF15" s="56" t="s">
        <v>128</v>
      </c>
      <c r="AG15" s="59">
        <v>0.41647058823529409</v>
      </c>
      <c r="AH15" s="56" t="s">
        <v>186</v>
      </c>
      <c r="AI15" s="63">
        <v>78000</v>
      </c>
    </row>
    <row r="16" spans="1:35" x14ac:dyDescent="0.4">
      <c r="A16" s="53">
        <v>14</v>
      </c>
      <c r="B16" s="54" t="s">
        <v>174</v>
      </c>
      <c r="C16" s="55">
        <v>-589.6</v>
      </c>
      <c r="D16" s="56" t="s">
        <v>174</v>
      </c>
      <c r="E16" s="68">
        <v>-7.019047619047619</v>
      </c>
      <c r="F16" s="56" t="s">
        <v>174</v>
      </c>
      <c r="G16" s="57">
        <v>2.1309523809523809</v>
      </c>
      <c r="H16" s="56" t="s">
        <v>162</v>
      </c>
      <c r="I16" s="58">
        <v>0.24311926605504589</v>
      </c>
      <c r="J16" s="56" t="s">
        <v>182</v>
      </c>
      <c r="K16" s="58">
        <v>0.4</v>
      </c>
      <c r="L16" s="56" t="s">
        <v>172</v>
      </c>
      <c r="M16" s="59">
        <v>0.25982256020278832</v>
      </c>
      <c r="N16" s="56" t="s">
        <v>173</v>
      </c>
      <c r="O16" s="59">
        <v>0.18731671554252199</v>
      </c>
      <c r="P16" s="56" t="s">
        <v>174</v>
      </c>
      <c r="Q16" s="60">
        <v>7730.30303030303</v>
      </c>
      <c r="R16" s="56" t="s">
        <v>185</v>
      </c>
      <c r="S16" s="60">
        <v>-9222.8070175438588</v>
      </c>
      <c r="T16" s="56" t="s">
        <v>175</v>
      </c>
      <c r="U16" s="58">
        <v>0.20689655172413793</v>
      </c>
      <c r="V16" s="56" t="s">
        <v>176</v>
      </c>
      <c r="W16" s="58">
        <v>7.1428571428571425E-2</v>
      </c>
      <c r="X16" s="56" t="s">
        <v>162</v>
      </c>
      <c r="Y16" s="59">
        <v>0.22436295835922934</v>
      </c>
      <c r="Z16" s="56" t="s">
        <v>182</v>
      </c>
      <c r="AA16" s="59">
        <v>0.16129032258064516</v>
      </c>
      <c r="AB16" s="56" t="s">
        <v>184</v>
      </c>
      <c r="AC16" s="59">
        <v>0.52307692307692311</v>
      </c>
      <c r="AD16" s="56" t="s">
        <v>175</v>
      </c>
      <c r="AE16" s="59">
        <v>0.2982456140350877</v>
      </c>
      <c r="AF16" s="56" t="s">
        <v>127</v>
      </c>
      <c r="AG16" s="59">
        <v>0.40218132242672122</v>
      </c>
      <c r="AH16" s="56" t="s">
        <v>182</v>
      </c>
      <c r="AI16" s="63">
        <v>57800</v>
      </c>
    </row>
    <row r="17" spans="1:35" x14ac:dyDescent="0.4">
      <c r="A17" s="53">
        <v>15</v>
      </c>
      <c r="B17" s="54" t="s">
        <v>128</v>
      </c>
      <c r="C17" s="55">
        <v>-707.00000000000045</v>
      </c>
      <c r="D17" s="56" t="s">
        <v>187</v>
      </c>
      <c r="E17" s="68">
        <v>-14.05</v>
      </c>
      <c r="F17" s="56" t="s">
        <v>182</v>
      </c>
      <c r="G17" s="57">
        <v>2.2000000000000002</v>
      </c>
      <c r="H17" s="56" t="s">
        <v>182</v>
      </c>
      <c r="I17" s="58">
        <v>0.2</v>
      </c>
      <c r="J17" s="56" t="s">
        <v>174</v>
      </c>
      <c r="K17" s="58">
        <v>0.40476190476190477</v>
      </c>
      <c r="L17" s="56" t="s">
        <v>183</v>
      </c>
      <c r="M17" s="59">
        <v>0.25</v>
      </c>
      <c r="N17" s="56" t="s">
        <v>174</v>
      </c>
      <c r="O17" s="59">
        <v>0.19027777777777777</v>
      </c>
      <c r="P17" s="56" t="s">
        <v>162</v>
      </c>
      <c r="Q17" s="60">
        <v>7580.5914972273567</v>
      </c>
      <c r="R17" s="56" t="s">
        <v>187</v>
      </c>
      <c r="S17" s="60">
        <v>-11280</v>
      </c>
      <c r="T17" s="56" t="s">
        <v>176</v>
      </c>
      <c r="U17" s="58">
        <v>0.25</v>
      </c>
      <c r="V17" s="56" t="s">
        <v>175</v>
      </c>
      <c r="W17" s="58">
        <v>3.4482758620689655E-2</v>
      </c>
      <c r="X17" s="56" t="s">
        <v>174</v>
      </c>
      <c r="Y17" s="59">
        <v>0.22222222222222221</v>
      </c>
      <c r="Z17" s="56" t="s">
        <v>186</v>
      </c>
      <c r="AA17" s="59">
        <v>0.14492753623188406</v>
      </c>
      <c r="AB17" s="56" t="s">
        <v>187</v>
      </c>
      <c r="AC17" s="59">
        <v>0.42857142857142855</v>
      </c>
      <c r="AD17" s="56" t="s">
        <v>187</v>
      </c>
      <c r="AE17" s="59">
        <v>0.25</v>
      </c>
      <c r="AF17" s="56" t="s">
        <v>183</v>
      </c>
      <c r="AG17" s="59">
        <v>0.33333333333333331</v>
      </c>
      <c r="AH17" s="56" t="s">
        <v>187</v>
      </c>
      <c r="AI17" s="63">
        <v>55200</v>
      </c>
    </row>
    <row r="18" spans="1:35" x14ac:dyDescent="0.4">
      <c r="A18" s="53">
        <v>16</v>
      </c>
      <c r="B18" s="54" t="s">
        <v>175</v>
      </c>
      <c r="C18" s="55">
        <v>-720.7</v>
      </c>
      <c r="D18" s="56" t="s">
        <v>182</v>
      </c>
      <c r="E18" s="68">
        <v>-17.28</v>
      </c>
      <c r="F18" s="56" t="s">
        <v>187</v>
      </c>
      <c r="G18" s="57">
        <v>2.25</v>
      </c>
      <c r="H18" s="56" t="s">
        <v>175</v>
      </c>
      <c r="I18" s="58">
        <v>3.4482758620689655E-2</v>
      </c>
      <c r="J18" s="56" t="s">
        <v>187</v>
      </c>
      <c r="K18" s="58">
        <v>0.5</v>
      </c>
      <c r="L18" s="56" t="s">
        <v>175</v>
      </c>
      <c r="M18" s="59">
        <v>0.21518987341772153</v>
      </c>
      <c r="N18" s="56" t="s">
        <v>182</v>
      </c>
      <c r="O18" s="59">
        <v>0.21621621621621623</v>
      </c>
      <c r="P18" s="56" t="s">
        <v>175</v>
      </c>
      <c r="Q18" s="60">
        <v>7245.0980392156862</v>
      </c>
      <c r="R18" s="56" t="s">
        <v>183</v>
      </c>
      <c r="S18" s="60">
        <v>-12000</v>
      </c>
      <c r="T18" s="56" t="s">
        <v>187</v>
      </c>
      <c r="U18" s="58">
        <v>0.25</v>
      </c>
      <c r="V18" s="56" t="s">
        <v>181</v>
      </c>
      <c r="W18" s="58">
        <v>0</v>
      </c>
      <c r="X18" s="56" t="s">
        <v>187</v>
      </c>
      <c r="Y18" s="59">
        <v>0.21875</v>
      </c>
      <c r="Z18" s="56" t="s">
        <v>183</v>
      </c>
      <c r="AA18" s="59">
        <v>0.10526315789473684</v>
      </c>
      <c r="AB18" s="56" t="s">
        <v>188</v>
      </c>
      <c r="AC18" s="59">
        <v>0.33333333333333331</v>
      </c>
      <c r="AD18" s="56" t="s">
        <v>182</v>
      </c>
      <c r="AE18" s="59">
        <v>0.2</v>
      </c>
      <c r="AF18" s="56" t="s">
        <v>182</v>
      </c>
      <c r="AG18" s="59">
        <v>0.3</v>
      </c>
      <c r="AH18" s="56" t="s">
        <v>188</v>
      </c>
      <c r="AI18" s="63">
        <v>48300</v>
      </c>
    </row>
    <row r="19" spans="1:35" x14ac:dyDescent="0.4">
      <c r="A19" s="53">
        <v>17</v>
      </c>
      <c r="B19" s="54" t="s">
        <v>162</v>
      </c>
      <c r="C19" s="55">
        <v>-926.9</v>
      </c>
      <c r="D19" s="56" t="s">
        <v>175</v>
      </c>
      <c r="E19" s="68">
        <v>-24.851724137931036</v>
      </c>
      <c r="F19" s="56" t="s">
        <v>175</v>
      </c>
      <c r="G19" s="57">
        <v>2.5862068965517242</v>
      </c>
      <c r="H19" s="56" t="s">
        <v>181</v>
      </c>
      <c r="I19" s="58">
        <v>0</v>
      </c>
      <c r="J19" s="56" t="s">
        <v>175</v>
      </c>
      <c r="K19" s="58">
        <v>0.62068965517241381</v>
      </c>
      <c r="L19" s="56" t="s">
        <v>188</v>
      </c>
      <c r="M19" s="59">
        <v>0.15384615384615385</v>
      </c>
      <c r="N19" s="56" t="s">
        <v>175</v>
      </c>
      <c r="O19" s="59">
        <v>0.2320675105485232</v>
      </c>
      <c r="P19" s="56" t="s">
        <v>182</v>
      </c>
      <c r="Q19" s="60">
        <v>7100</v>
      </c>
      <c r="R19" s="56" t="s">
        <v>188</v>
      </c>
      <c r="S19" s="60">
        <v>-12000</v>
      </c>
      <c r="T19" s="56" t="s">
        <v>182</v>
      </c>
      <c r="U19" s="58">
        <v>0.4</v>
      </c>
      <c r="V19" s="56" t="s">
        <v>183</v>
      </c>
      <c r="W19" s="58">
        <v>0</v>
      </c>
      <c r="X19" s="56" t="s">
        <v>175</v>
      </c>
      <c r="Y19" s="59">
        <v>0.19831223628691982</v>
      </c>
      <c r="Z19" s="56" t="s">
        <v>188</v>
      </c>
      <c r="AA19" s="59">
        <v>7.6923076923076927E-2</v>
      </c>
      <c r="AB19" s="56" t="s">
        <v>183</v>
      </c>
      <c r="AC19" s="59">
        <v>0.25</v>
      </c>
      <c r="AD19" s="56" t="s">
        <v>181</v>
      </c>
      <c r="AE19" s="59">
        <v>0</v>
      </c>
      <c r="AF19" s="56" t="s">
        <v>187</v>
      </c>
      <c r="AG19" s="59">
        <v>0.3</v>
      </c>
      <c r="AH19" s="56" t="s">
        <v>183</v>
      </c>
      <c r="AI19" s="63">
        <v>46000</v>
      </c>
    </row>
    <row r="20" spans="1:35" x14ac:dyDescent="0.4">
      <c r="A20" s="53">
        <v>18</v>
      </c>
      <c r="B20" s="54" t="s">
        <v>173</v>
      </c>
      <c r="C20" s="55">
        <v>-1338.9999999999998</v>
      </c>
      <c r="D20" s="56" t="s">
        <v>181</v>
      </c>
      <c r="E20" s="68">
        <v>-33.024999999999999</v>
      </c>
      <c r="F20" s="56" t="s">
        <v>181</v>
      </c>
      <c r="G20" s="57">
        <v>3</v>
      </c>
      <c r="H20" s="56" t="s">
        <v>188</v>
      </c>
      <c r="I20" s="58">
        <v>0</v>
      </c>
      <c r="J20" s="56" t="s">
        <v>181</v>
      </c>
      <c r="K20" s="58">
        <v>1</v>
      </c>
      <c r="L20" s="56" t="s">
        <v>181</v>
      </c>
      <c r="M20" s="59">
        <v>0.04</v>
      </c>
      <c r="N20" s="56" t="s">
        <v>181</v>
      </c>
      <c r="O20" s="59">
        <v>0.4</v>
      </c>
      <c r="P20" s="56" t="s">
        <v>187</v>
      </c>
      <c r="Q20" s="60">
        <v>4940</v>
      </c>
      <c r="R20" s="56" t="s">
        <v>182</v>
      </c>
      <c r="S20" s="60">
        <v>-12487.5</v>
      </c>
      <c r="T20" s="56" t="s">
        <v>181</v>
      </c>
      <c r="U20" s="58">
        <v>0.5</v>
      </c>
      <c r="V20" s="56" t="s">
        <v>188</v>
      </c>
      <c r="W20" s="58">
        <v>0</v>
      </c>
      <c r="X20" s="56" t="s">
        <v>181</v>
      </c>
      <c r="Y20" s="59">
        <v>0</v>
      </c>
      <c r="Z20" s="56" t="s">
        <v>181</v>
      </c>
      <c r="AA20" s="59">
        <v>0</v>
      </c>
      <c r="AB20" s="56" t="s">
        <v>181</v>
      </c>
      <c r="AC20" s="59">
        <v>0</v>
      </c>
      <c r="AD20" s="56" t="s">
        <v>188</v>
      </c>
      <c r="AE20" s="59">
        <v>0</v>
      </c>
      <c r="AF20" s="56" t="s">
        <v>186</v>
      </c>
      <c r="AG20" s="59">
        <v>0.29166666666666669</v>
      </c>
      <c r="AH20" s="56" t="s">
        <v>181</v>
      </c>
      <c r="AI20" s="63">
        <v>13000</v>
      </c>
    </row>
  </sheetData>
  <sortState xmlns:xlrd2="http://schemas.microsoft.com/office/spreadsheetml/2017/richdata2" ref="AH3:AI5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D4B77-2A5F-4DC4-9C79-B568BA5AF227}">
  <sheetPr codeName="Sheet3"/>
  <dimension ref="A1:Q221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142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2211</v>
      </c>
      <c r="C2" s="116"/>
      <c r="E2" s="39" t="s">
        <v>67</v>
      </c>
      <c r="F2" s="36" t="s">
        <v>23</v>
      </c>
      <c r="G2" s="24">
        <v>3546</v>
      </c>
      <c r="H2" s="103">
        <f>IF(B$31=0,0,G2/B$31)</f>
        <v>0.72798193389447752</v>
      </c>
      <c r="I2" s="64">
        <v>7</v>
      </c>
      <c r="K2" s="15">
        <v>0</v>
      </c>
      <c r="L2" s="69">
        <v>0</v>
      </c>
      <c r="N2" s="85" t="s">
        <v>129</v>
      </c>
      <c r="O2" s="92">
        <f>IF(P2=0,0,Q2/P2)</f>
        <v>-17.783857729138166</v>
      </c>
      <c r="P2" s="89">
        <v>2193</v>
      </c>
      <c r="Q2" s="73">
        <v>-39000</v>
      </c>
    </row>
    <row r="3" spans="1:17" x14ac:dyDescent="0.4">
      <c r="A3" s="32" t="s">
        <v>8</v>
      </c>
      <c r="B3" s="127">
        <v>17790</v>
      </c>
      <c r="C3" s="128"/>
      <c r="E3" s="40" t="s">
        <v>73</v>
      </c>
      <c r="F3" s="37" t="s">
        <v>28</v>
      </c>
      <c r="G3" s="25">
        <v>2634</v>
      </c>
      <c r="H3" s="104">
        <f>IF(B$31=0,0,G3/B$31)</f>
        <v>0.54075138575241222</v>
      </c>
      <c r="I3" s="65">
        <v>11</v>
      </c>
      <c r="K3" s="17">
        <v>1</v>
      </c>
      <c r="L3" s="70">
        <v>15</v>
      </c>
      <c r="N3" s="86" t="s">
        <v>130</v>
      </c>
      <c r="O3" s="93">
        <f t="shared" ref="O3:O7" si="0">IF(P3=0,0,Q3/P3)</f>
        <v>-2.8208744710860367</v>
      </c>
      <c r="P3" s="90">
        <v>2127</v>
      </c>
      <c r="Q3" s="74">
        <v>-6000</v>
      </c>
    </row>
    <row r="4" spans="1:17" x14ac:dyDescent="0.4">
      <c r="A4" s="32" t="s">
        <v>6</v>
      </c>
      <c r="B4" s="129">
        <v>8.7041485130612273E-14</v>
      </c>
      <c r="C4" s="130"/>
      <c r="E4" s="40" t="s">
        <v>65</v>
      </c>
      <c r="F4" s="37" t="s">
        <v>21</v>
      </c>
      <c r="G4" s="25">
        <v>2448</v>
      </c>
      <c r="H4" s="104">
        <f>IF(B$31=0,0,G4/B$31)</f>
        <v>0.50256620817080677</v>
      </c>
      <c r="I4" s="65">
        <v>8</v>
      </c>
      <c r="K4" s="17">
        <v>2</v>
      </c>
      <c r="L4" s="70">
        <v>-7</v>
      </c>
      <c r="N4" s="86" t="s">
        <v>131</v>
      </c>
      <c r="O4" s="93">
        <f t="shared" si="0"/>
        <v>5.4890219560878242</v>
      </c>
      <c r="P4" s="90">
        <v>2004</v>
      </c>
      <c r="Q4" s="74">
        <v>11000</v>
      </c>
    </row>
    <row r="5" spans="1:17" x14ac:dyDescent="0.4">
      <c r="A5" s="32" t="s">
        <v>7</v>
      </c>
      <c r="B5" s="131">
        <f>IF(B$2=0,0,B$4/B$2)</f>
        <v>3.9367474052741869E-17</v>
      </c>
      <c r="C5" s="132"/>
      <c r="E5" s="40" t="s">
        <v>69</v>
      </c>
      <c r="F5" s="37" t="s">
        <v>12</v>
      </c>
      <c r="G5" s="25">
        <v>1498</v>
      </c>
      <c r="H5" s="104">
        <f>IF(B$31=0,0,G5/B$31)</f>
        <v>0.30753438718948883</v>
      </c>
      <c r="I5" s="65">
        <v>9</v>
      </c>
      <c r="K5" s="17">
        <v>3</v>
      </c>
      <c r="L5" s="70">
        <v>0</v>
      </c>
      <c r="N5" s="86" t="s">
        <v>132</v>
      </c>
      <c r="O5" s="93">
        <f t="shared" si="0"/>
        <v>7.0921985815602833</v>
      </c>
      <c r="P5" s="90">
        <v>1833</v>
      </c>
      <c r="Q5" s="74">
        <v>13000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68</v>
      </c>
      <c r="F6" s="37" t="s">
        <v>24</v>
      </c>
      <c r="G6" s="25">
        <v>1458</v>
      </c>
      <c r="H6" s="104">
        <f>IF(B$31=0,0,G6/B$31)</f>
        <v>0.29932252104290702</v>
      </c>
      <c r="I6" s="65">
        <v>10</v>
      </c>
      <c r="K6" s="17">
        <v>4</v>
      </c>
      <c r="L6" s="70">
        <v>-1</v>
      </c>
      <c r="N6" s="86" t="s">
        <v>133</v>
      </c>
      <c r="O6" s="93">
        <f t="shared" si="0"/>
        <v>0.61050061050061055</v>
      </c>
      <c r="P6" s="90">
        <v>1638</v>
      </c>
      <c r="Q6" s="74">
        <v>1000</v>
      </c>
    </row>
    <row r="7" spans="1:17" x14ac:dyDescent="0.4">
      <c r="A7" s="32" t="s">
        <v>2</v>
      </c>
      <c r="B7" s="25">
        <v>737</v>
      </c>
      <c r="C7" s="18">
        <f>IF(B$2=0,0,B7/B$2)</f>
        <v>0.33333333333333331</v>
      </c>
      <c r="E7" s="40" t="s">
        <v>177</v>
      </c>
      <c r="F7" s="37" t="s">
        <v>178</v>
      </c>
      <c r="G7" s="25">
        <v>1434</v>
      </c>
      <c r="H7" s="104">
        <f>IF(B$31=0,0,G7/B$31)</f>
        <v>0.2943954013549579</v>
      </c>
      <c r="I7" s="65">
        <v>8</v>
      </c>
      <c r="K7" s="17">
        <v>5</v>
      </c>
      <c r="L7" s="70">
        <v>39.9</v>
      </c>
      <c r="N7" s="87" t="s">
        <v>134</v>
      </c>
      <c r="O7" s="94">
        <f t="shared" si="0"/>
        <v>14.524328249818446</v>
      </c>
      <c r="P7" s="91">
        <v>1377</v>
      </c>
      <c r="Q7" s="75">
        <v>20000</v>
      </c>
    </row>
    <row r="8" spans="1:17" x14ac:dyDescent="0.4">
      <c r="A8" s="32" t="s">
        <v>3</v>
      </c>
      <c r="B8" s="25">
        <v>737</v>
      </c>
      <c r="C8" s="18">
        <f>IF(B$2=0,0,B8/B$2)</f>
        <v>0.33333333333333331</v>
      </c>
      <c r="E8" s="40" t="s">
        <v>167</v>
      </c>
      <c r="F8" s="37" t="s">
        <v>168</v>
      </c>
      <c r="G8" s="25">
        <v>1273</v>
      </c>
      <c r="H8" s="104">
        <f>IF(B$31=0,0,G8/B$31)</f>
        <v>0.26134264011496611</v>
      </c>
      <c r="I8" s="65">
        <v>9</v>
      </c>
      <c r="K8" s="17">
        <v>6</v>
      </c>
      <c r="L8" s="70">
        <v>0</v>
      </c>
      <c r="N8" s="22"/>
      <c r="O8" s="98"/>
      <c r="P8" s="82"/>
      <c r="Q8" s="80"/>
    </row>
    <row r="9" spans="1:17" x14ac:dyDescent="0.4">
      <c r="A9" s="33" t="s">
        <v>4</v>
      </c>
      <c r="B9" s="26">
        <v>737</v>
      </c>
      <c r="C9" s="19">
        <f t="shared" ref="C9" si="1">IF(B$2=0,0,B9/B$2)</f>
        <v>0.33333333333333331</v>
      </c>
      <c r="E9" s="40" t="s">
        <v>70</v>
      </c>
      <c r="F9" s="37" t="s">
        <v>25</v>
      </c>
      <c r="G9" s="25">
        <v>745</v>
      </c>
      <c r="H9" s="104">
        <f>IF(B$31=0,0,G9/B$31)</f>
        <v>0.15294600698008623</v>
      </c>
      <c r="I9" s="65">
        <v>7</v>
      </c>
      <c r="K9" s="17">
        <v>7</v>
      </c>
      <c r="L9" s="70">
        <v>15.1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287</v>
      </c>
      <c r="C10" s="19">
        <f>IF(B$2=0,0,B10/B$2)</f>
        <v>0.12980551786521935</v>
      </c>
      <c r="E10" s="40" t="s">
        <v>90</v>
      </c>
      <c r="F10" s="37" t="s">
        <v>45</v>
      </c>
      <c r="G10" s="25">
        <v>675</v>
      </c>
      <c r="H10" s="104">
        <f>IF(B$31=0,0,G10/B$31)</f>
        <v>0.13857524122356807</v>
      </c>
      <c r="I10" s="65">
        <v>7</v>
      </c>
      <c r="K10" s="17">
        <v>8</v>
      </c>
      <c r="L10" s="70">
        <v>-26.699999999999996</v>
      </c>
      <c r="N10" s="85" t="s">
        <v>158</v>
      </c>
      <c r="O10" s="95">
        <f>IF(P10=0,0,Q10/P10)</f>
        <v>-1.6202997275204347</v>
      </c>
      <c r="P10" s="89">
        <v>734</v>
      </c>
      <c r="Q10" s="77">
        <v>-1189.299999999999</v>
      </c>
    </row>
    <row r="11" spans="1:17" x14ac:dyDescent="0.4">
      <c r="A11" s="33" t="s">
        <v>137</v>
      </c>
      <c r="B11" s="26">
        <v>287</v>
      </c>
      <c r="C11" s="19">
        <f>IF(B$2=0,0,B11/B$2)</f>
        <v>0.12980551786521935</v>
      </c>
      <c r="E11" s="40" t="s">
        <v>66</v>
      </c>
      <c r="F11" s="37" t="s">
        <v>22</v>
      </c>
      <c r="G11" s="25">
        <v>546</v>
      </c>
      <c r="H11" s="104">
        <f>IF(B$31=0,0,G11/B$31)</f>
        <v>0.11209197290084172</v>
      </c>
      <c r="I11" s="65">
        <v>8</v>
      </c>
      <c r="K11" s="17">
        <v>9</v>
      </c>
      <c r="L11" s="70">
        <v>3.5527136788005009E-15</v>
      </c>
      <c r="N11" s="86" t="s">
        <v>159</v>
      </c>
      <c r="O11" s="96">
        <f>IF(P11=0,0,Q11/P11)</f>
        <v>0.26798365122615853</v>
      </c>
      <c r="P11" s="90">
        <v>734</v>
      </c>
      <c r="Q11" s="78">
        <v>196.70000000000036</v>
      </c>
    </row>
    <row r="12" spans="1:17" x14ac:dyDescent="0.4">
      <c r="A12" s="34" t="s">
        <v>154</v>
      </c>
      <c r="B12" s="27">
        <v>190</v>
      </c>
      <c r="C12" s="21">
        <f>IF(B$2=0,0,B12/B$2)</f>
        <v>8.5933966530981454E-2</v>
      </c>
      <c r="E12" s="40" t="s">
        <v>71</v>
      </c>
      <c r="F12" s="37" t="s">
        <v>26</v>
      </c>
      <c r="G12" s="25">
        <v>473</v>
      </c>
      <c r="H12" s="104">
        <f>IF(B$31=0,0,G12/B$31)</f>
        <v>9.7105317183329917E-2</v>
      </c>
      <c r="I12" s="65">
        <v>7</v>
      </c>
      <c r="K12" s="17">
        <v>10</v>
      </c>
      <c r="L12" s="70">
        <v>85.2</v>
      </c>
      <c r="N12" s="87" t="s">
        <v>160</v>
      </c>
      <c r="O12" s="97">
        <f>IF(P12=0,0,Q12/P12)</f>
        <v>1.3523160762942785</v>
      </c>
      <c r="P12" s="91">
        <v>734</v>
      </c>
      <c r="Q12" s="79">
        <v>992.60000000000048</v>
      </c>
    </row>
    <row r="13" spans="1:17" x14ac:dyDescent="0.4">
      <c r="A13" s="35" t="s">
        <v>122</v>
      </c>
      <c r="B13" s="28">
        <v>4400</v>
      </c>
      <c r="C13" s="23">
        <f>IF(B$30=0,0,B13/B$30)</f>
        <v>0.26871870037864909</v>
      </c>
      <c r="E13" s="40" t="s">
        <v>72</v>
      </c>
      <c r="F13" s="37" t="s">
        <v>27</v>
      </c>
      <c r="G13" s="25">
        <v>303</v>
      </c>
      <c r="H13" s="104">
        <f>IF(B$31=0,0,G13/B$31)</f>
        <v>6.2204886060357213E-2</v>
      </c>
      <c r="I13" s="65">
        <v>8</v>
      </c>
      <c r="K13" s="17">
        <v>11</v>
      </c>
      <c r="L13" s="70">
        <v>44.5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3610</v>
      </c>
      <c r="C14" s="18">
        <f>IF(B$30=0,0,B14/B$30)</f>
        <v>0.22047147917430071</v>
      </c>
      <c r="E14" s="40" t="s">
        <v>87</v>
      </c>
      <c r="F14" s="37" t="s">
        <v>42</v>
      </c>
      <c r="G14" s="25">
        <v>292</v>
      </c>
      <c r="H14" s="104">
        <f>IF(B$31=0,0,G14/B$31)</f>
        <v>5.994662287004722E-2</v>
      </c>
      <c r="I14" s="65">
        <v>10</v>
      </c>
      <c r="K14" s="17">
        <v>12</v>
      </c>
      <c r="L14" s="70">
        <v>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2533</v>
      </c>
      <c r="C15" s="16">
        <f>IF(B$13=0,0,B15/B$13)</f>
        <v>0.57568181818181818</v>
      </c>
      <c r="E15" s="40" t="s">
        <v>84</v>
      </c>
      <c r="F15" s="37" t="s">
        <v>39</v>
      </c>
      <c r="G15" s="25">
        <v>235</v>
      </c>
      <c r="H15" s="104">
        <f>IF(B$31=0,0,G15/B$31)</f>
        <v>4.8244713611168139E-2</v>
      </c>
      <c r="I15" s="65">
        <v>9</v>
      </c>
      <c r="K15" s="17">
        <v>13</v>
      </c>
      <c r="L15" s="70">
        <v>31.5</v>
      </c>
      <c r="N15" s="85" t="s">
        <v>181</v>
      </c>
      <c r="O15" s="95">
        <f>IF(P15=0,0,Q15/P15)</f>
        <v>49.537499999999994</v>
      </c>
      <c r="P15" s="89">
        <v>8</v>
      </c>
      <c r="Q15" s="77">
        <v>396.29999999999995</v>
      </c>
    </row>
    <row r="16" spans="1:17" x14ac:dyDescent="0.4">
      <c r="A16" s="31" t="s">
        <v>125</v>
      </c>
      <c r="B16" s="24">
        <v>1452</v>
      </c>
      <c r="C16" s="16">
        <f>IF(B$14=0,0,B16/B$14)</f>
        <v>0.40221606648199448</v>
      </c>
      <c r="E16" s="40" t="s">
        <v>79</v>
      </c>
      <c r="F16" s="37" t="s">
        <v>34</v>
      </c>
      <c r="G16" s="25">
        <v>133</v>
      </c>
      <c r="H16" s="104">
        <f>IF(B$31=0,0,G16/B$31)</f>
        <v>2.730445493738452E-2</v>
      </c>
      <c r="I16" s="65">
        <v>7</v>
      </c>
      <c r="K16" s="17">
        <v>14</v>
      </c>
      <c r="L16" s="70">
        <v>-4</v>
      </c>
      <c r="N16" s="86" t="s">
        <v>175</v>
      </c>
      <c r="O16" s="96">
        <f>IF(P16=0,0,Q16/P16)</f>
        <v>37.277586206896551</v>
      </c>
      <c r="P16" s="90">
        <v>58</v>
      </c>
      <c r="Q16" s="78">
        <v>2162.1</v>
      </c>
    </row>
    <row r="17" spans="1:17" x14ac:dyDescent="0.4">
      <c r="A17" s="31" t="s">
        <v>10</v>
      </c>
      <c r="B17" s="24">
        <f>B19+B18</f>
        <v>5305</v>
      </c>
      <c r="C17" s="16">
        <f>IF(B$3=0,0,B17/B$3)</f>
        <v>0.29820123664980325</v>
      </c>
      <c r="E17" s="40" t="s">
        <v>82</v>
      </c>
      <c r="F17" s="37" t="s">
        <v>37</v>
      </c>
      <c r="G17" s="25">
        <v>125</v>
      </c>
      <c r="H17" s="104">
        <f>IF(B$31=0,0,G17/B$31)</f>
        <v>2.5662081708068159E-2</v>
      </c>
      <c r="I17" s="65">
        <v>9</v>
      </c>
      <c r="K17" s="17">
        <v>15</v>
      </c>
      <c r="L17" s="70">
        <v>0</v>
      </c>
      <c r="N17" s="86" t="s">
        <v>182</v>
      </c>
      <c r="O17" s="96">
        <f>IF(P17=0,0,Q17/P17)</f>
        <v>25.919999999999998</v>
      </c>
      <c r="P17" s="90">
        <v>10</v>
      </c>
      <c r="Q17" s="78">
        <v>259.2</v>
      </c>
    </row>
    <row r="18" spans="1:17" x14ac:dyDescent="0.4">
      <c r="A18" s="32" t="s">
        <v>12</v>
      </c>
      <c r="B18" s="25">
        <v>2258</v>
      </c>
      <c r="C18" s="18">
        <f>IF(B$17=0,0,B18/B$17)</f>
        <v>0.42563619227144206</v>
      </c>
      <c r="E18" s="40" t="s">
        <v>92</v>
      </c>
      <c r="F18" s="37" t="s">
        <v>47</v>
      </c>
      <c r="G18" s="25">
        <v>94</v>
      </c>
      <c r="H18" s="104">
        <f>IF(B$31=0,0,G18/B$31)</f>
        <v>1.9297885444467255E-2</v>
      </c>
      <c r="I18" s="65">
        <v>7</v>
      </c>
      <c r="K18" s="17">
        <v>16</v>
      </c>
      <c r="L18" s="70">
        <v>-48</v>
      </c>
      <c r="N18" s="86" t="s">
        <v>187</v>
      </c>
      <c r="O18" s="96">
        <f>IF(P18=0,0,Q18/P18)</f>
        <v>21.074999999999996</v>
      </c>
      <c r="P18" s="90">
        <v>8</v>
      </c>
      <c r="Q18" s="78">
        <v>168.59999999999997</v>
      </c>
    </row>
    <row r="19" spans="1:17" x14ac:dyDescent="0.4">
      <c r="A19" s="32" t="s">
        <v>11</v>
      </c>
      <c r="B19" s="25">
        <v>3047</v>
      </c>
      <c r="C19" s="18">
        <f>IF(B$17=0,0,B19/B$17)</f>
        <v>0.574363807728558</v>
      </c>
      <c r="E19" s="40" t="s">
        <v>80</v>
      </c>
      <c r="F19" s="37" t="s">
        <v>35</v>
      </c>
      <c r="G19" s="25">
        <v>76</v>
      </c>
      <c r="H19" s="104">
        <f>IF(B$31=0,0,G19/B$31)</f>
        <v>1.560254567850544E-2</v>
      </c>
      <c r="I19" s="65">
        <v>9</v>
      </c>
      <c r="K19" s="17">
        <v>17</v>
      </c>
      <c r="L19" s="70">
        <v>-8</v>
      </c>
      <c r="N19" s="86" t="s">
        <v>174</v>
      </c>
      <c r="O19" s="96">
        <f>IF(P19=0,0,Q19/P19)</f>
        <v>10.528571428571425</v>
      </c>
      <c r="P19" s="90">
        <v>168</v>
      </c>
      <c r="Q19" s="78">
        <v>1768.7999999999993</v>
      </c>
    </row>
    <row r="20" spans="1:17" x14ac:dyDescent="0.4">
      <c r="A20" s="32" t="s">
        <v>13</v>
      </c>
      <c r="B20" s="25">
        <v>3002</v>
      </c>
      <c r="C20" s="18">
        <f>IF(B$3=0,0,B20/B$3)</f>
        <v>0.16874648679033163</v>
      </c>
      <c r="E20" s="40" t="s">
        <v>163</v>
      </c>
      <c r="F20" s="37" t="s">
        <v>164</v>
      </c>
      <c r="G20" s="25">
        <v>54</v>
      </c>
      <c r="H20" s="104">
        <f>IF(B$31=0,0,G20/B$31)</f>
        <v>1.1086019297885445E-2</v>
      </c>
      <c r="I20" s="65">
        <v>5</v>
      </c>
      <c r="K20" s="17">
        <v>18</v>
      </c>
      <c r="L20" s="70">
        <v>0</v>
      </c>
      <c r="N20" s="86" t="s">
        <v>162</v>
      </c>
      <c r="O20" s="96">
        <f>IF(P20=0,0,Q20/P20)</f>
        <v>6.3777522935779798</v>
      </c>
      <c r="P20" s="90">
        <v>436</v>
      </c>
      <c r="Q20" s="78">
        <v>2780.6999999999994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78</v>
      </c>
      <c r="F21" s="37" t="s">
        <v>33</v>
      </c>
      <c r="G21" s="25">
        <v>33</v>
      </c>
      <c r="H21" s="104">
        <f>IF(B$31=0,0,G21/B$31)</f>
        <v>6.7747895709299941E-3</v>
      </c>
      <c r="I21" s="65">
        <v>5</v>
      </c>
      <c r="K21" s="17">
        <v>19</v>
      </c>
      <c r="L21" s="70">
        <v>-6.1</v>
      </c>
      <c r="N21" s="86" t="s">
        <v>173</v>
      </c>
      <c r="O21" s="96">
        <f>IF(P21=0,0,Q21/P21)</f>
        <v>5.9423076923076925</v>
      </c>
      <c r="P21" s="90">
        <v>676</v>
      </c>
      <c r="Q21" s="78">
        <v>4017</v>
      </c>
    </row>
    <row r="22" spans="1:17" x14ac:dyDescent="0.4">
      <c r="A22" s="32" t="s">
        <v>166</v>
      </c>
      <c r="B22" s="25">
        <v>35</v>
      </c>
      <c r="C22" s="106">
        <v>0</v>
      </c>
      <c r="E22" s="40" t="s">
        <v>74</v>
      </c>
      <c r="F22" s="37" t="s">
        <v>29</v>
      </c>
      <c r="G22" s="25">
        <v>29</v>
      </c>
      <c r="H22" s="104">
        <f>IF(B$31=0,0,G22/B$31)</f>
        <v>5.9536029562718131E-3</v>
      </c>
      <c r="I22" s="65">
        <v>6</v>
      </c>
      <c r="K22" s="17">
        <v>20</v>
      </c>
      <c r="L22" s="70">
        <v>4.9000000000000004</v>
      </c>
      <c r="N22" s="86" t="s">
        <v>183</v>
      </c>
      <c r="O22" s="96">
        <f>IF(P22=0,0,Q22/P22)</f>
        <v>5.8125</v>
      </c>
      <c r="P22" s="90">
        <v>8</v>
      </c>
      <c r="Q22" s="78">
        <v>46.5</v>
      </c>
    </row>
    <row r="23" spans="1:17" x14ac:dyDescent="0.4">
      <c r="A23" s="32" t="s">
        <v>5</v>
      </c>
      <c r="B23" s="29">
        <f>IF(B$17=0,0,C23/B$17)</f>
        <v>9124.5805843543822</v>
      </c>
      <c r="C23" s="20">
        <v>48405900</v>
      </c>
      <c r="E23" s="40" t="s">
        <v>76</v>
      </c>
      <c r="F23" s="37" t="s">
        <v>31</v>
      </c>
      <c r="G23" s="25">
        <v>28</v>
      </c>
      <c r="H23" s="104">
        <f>IF(B$31=0,0,G23/B$31)</f>
        <v>5.7483063026072673E-3</v>
      </c>
      <c r="I23" s="65">
        <v>4</v>
      </c>
      <c r="K23" s="17">
        <v>21</v>
      </c>
      <c r="L23" s="70">
        <v>0</v>
      </c>
      <c r="N23" s="86" t="s">
        <v>172</v>
      </c>
      <c r="O23" s="96">
        <f>IF(P23=0,0,Q23/P23)</f>
        <v>3.5976683937823841</v>
      </c>
      <c r="P23" s="90">
        <v>386</v>
      </c>
      <c r="Q23" s="78">
        <v>1388.7000000000003</v>
      </c>
    </row>
    <row r="24" spans="1:17" x14ac:dyDescent="0.4">
      <c r="A24" s="33" t="s">
        <v>189</v>
      </c>
      <c r="B24" s="111">
        <f>IF($B$17-B$16=0,0,C24/($B$17-B$16))</f>
        <v>9674.0981053724372</v>
      </c>
      <c r="C24" s="112">
        <v>37274300</v>
      </c>
      <c r="E24" s="40" t="s">
        <v>86</v>
      </c>
      <c r="F24" s="37" t="s">
        <v>41</v>
      </c>
      <c r="G24" s="25">
        <v>23</v>
      </c>
      <c r="H24" s="104">
        <f>IF(B$31=0,0,G24/B$31)</f>
        <v>4.7218230342845413E-3</v>
      </c>
      <c r="I24" s="65">
        <v>4</v>
      </c>
      <c r="K24" s="17">
        <v>22</v>
      </c>
      <c r="L24" s="70">
        <v>-36</v>
      </c>
      <c r="N24" s="86" t="s">
        <v>128</v>
      </c>
      <c r="O24" s="96">
        <f>IF(P24=0,0,Q24/P24)</f>
        <v>2.9705882352941293</v>
      </c>
      <c r="P24" s="90">
        <v>714</v>
      </c>
      <c r="Q24" s="78">
        <v>2121.0000000000082</v>
      </c>
    </row>
    <row r="25" spans="1:17" x14ac:dyDescent="0.4">
      <c r="A25" s="33" t="s">
        <v>190</v>
      </c>
      <c r="B25" s="111">
        <f>IF(B$16=0,0,C25/B$16)</f>
        <v>7666.3911845730026</v>
      </c>
      <c r="C25" s="112">
        <v>11131600</v>
      </c>
      <c r="E25" s="40" t="s">
        <v>93</v>
      </c>
      <c r="F25" s="37" t="s">
        <v>48</v>
      </c>
      <c r="G25" s="25">
        <v>23</v>
      </c>
      <c r="H25" s="104">
        <f>IF(B$31=0,0,G25/B$31)</f>
        <v>4.7218230342845413E-3</v>
      </c>
      <c r="I25" s="65">
        <v>5</v>
      </c>
      <c r="K25" s="17">
        <v>23</v>
      </c>
      <c r="L25" s="70">
        <v>-3</v>
      </c>
      <c r="N25" s="86" t="s">
        <v>171</v>
      </c>
      <c r="O25" s="96">
        <f>IF(P25=0,0,Q25/P25)</f>
        <v>1.6278597785977855</v>
      </c>
      <c r="P25" s="90">
        <v>542</v>
      </c>
      <c r="Q25" s="78">
        <v>882.29999999999973</v>
      </c>
    </row>
    <row r="26" spans="1:17" x14ac:dyDescent="0.4">
      <c r="A26" s="32" t="s">
        <v>14</v>
      </c>
      <c r="B26" s="29">
        <f>IF(B$20=0,0,C26/B$20)</f>
        <v>-8528.3810792804798</v>
      </c>
      <c r="C26" s="20">
        <v>-25602200</v>
      </c>
      <c r="E26" s="40" t="s">
        <v>75</v>
      </c>
      <c r="F26" s="37" t="s">
        <v>30</v>
      </c>
      <c r="G26" s="25">
        <v>18</v>
      </c>
      <c r="H26" s="104">
        <f>IF(B$31=0,0,G26/B$31)</f>
        <v>3.695339765961815E-3</v>
      </c>
      <c r="I26" s="65">
        <v>7</v>
      </c>
      <c r="K26" s="17">
        <v>24</v>
      </c>
      <c r="L26" s="70">
        <v>0</v>
      </c>
      <c r="N26" s="86" t="s">
        <v>176</v>
      </c>
      <c r="O26" s="96">
        <f>IF(P26=0,0,Q26/P26)</f>
        <v>1.1785714285714317</v>
      </c>
      <c r="P26" s="90">
        <v>56</v>
      </c>
      <c r="Q26" s="78">
        <v>66.000000000000171</v>
      </c>
    </row>
    <row r="27" spans="1:17" x14ac:dyDescent="0.4">
      <c r="A27" s="61" t="s">
        <v>139</v>
      </c>
      <c r="B27" s="121">
        <v>10</v>
      </c>
      <c r="C27" s="122"/>
      <c r="E27" s="40" t="s">
        <v>94</v>
      </c>
      <c r="F27" s="37" t="s">
        <v>49</v>
      </c>
      <c r="G27" s="25">
        <v>14</v>
      </c>
      <c r="H27" s="104">
        <f>IF(B$31=0,0,G27/B$31)</f>
        <v>2.8741531513036336E-3</v>
      </c>
      <c r="I27" s="65">
        <v>4</v>
      </c>
      <c r="K27" s="17">
        <v>25</v>
      </c>
      <c r="L27" s="70">
        <v>-41</v>
      </c>
      <c r="N27" s="86" t="s">
        <v>185</v>
      </c>
      <c r="O27" s="96">
        <f>IF(P27=0,0,Q27/P27)</f>
        <v>0.50056179775281484</v>
      </c>
      <c r="P27" s="90">
        <v>178</v>
      </c>
      <c r="Q27" s="78">
        <v>89.100000000001046</v>
      </c>
    </row>
    <row r="28" spans="1:17" x14ac:dyDescent="0.4">
      <c r="A28" s="35" t="s">
        <v>146</v>
      </c>
      <c r="B28" s="119">
        <v>124700</v>
      </c>
      <c r="C28" s="120"/>
      <c r="E28" s="40" t="s">
        <v>85</v>
      </c>
      <c r="F28" s="37" t="s">
        <v>40</v>
      </c>
      <c r="G28" s="25">
        <v>13</v>
      </c>
      <c r="H28" s="104">
        <f>IF(B$31=0,0,G28/B$31)</f>
        <v>2.6688564976390886E-3</v>
      </c>
      <c r="I28" s="65">
        <v>5</v>
      </c>
      <c r="K28" s="17">
        <v>26</v>
      </c>
      <c r="L28" s="70">
        <v>11.5</v>
      </c>
      <c r="N28" s="86" t="s">
        <v>184</v>
      </c>
      <c r="O28" s="96">
        <f>IF(P28=0,0,Q28/P28)</f>
        <v>-3.4999999999999987</v>
      </c>
      <c r="P28" s="90">
        <v>78</v>
      </c>
      <c r="Q28" s="78">
        <v>-272.99999999999989</v>
      </c>
    </row>
    <row r="29" spans="1:17" x14ac:dyDescent="0.4">
      <c r="A29" s="34" t="s">
        <v>140</v>
      </c>
      <c r="B29" s="42">
        <v>51</v>
      </c>
      <c r="C29" s="21">
        <f>IF(B$3=0,0,B29/B$3)</f>
        <v>2.8667790893760542E-3</v>
      </c>
      <c r="E29" s="40" t="s">
        <v>88</v>
      </c>
      <c r="F29" s="37" t="s">
        <v>43</v>
      </c>
      <c r="G29" s="25">
        <v>12</v>
      </c>
      <c r="H29" s="104">
        <f>IF(B$31=0,0,G29/B$31)</f>
        <v>2.4635598439745432E-3</v>
      </c>
      <c r="I29" s="65">
        <v>4</v>
      </c>
      <c r="K29" s="17">
        <v>27</v>
      </c>
      <c r="L29" s="70">
        <v>0</v>
      </c>
      <c r="N29" s="86" t="s">
        <v>127</v>
      </c>
      <c r="O29" s="96">
        <f>IF(P29=0,0,Q29/P29)</f>
        <v>-14.411152416356874</v>
      </c>
      <c r="P29" s="90">
        <v>1076</v>
      </c>
      <c r="Q29" s="78">
        <v>-15506.399999999996</v>
      </c>
    </row>
    <row r="30" spans="1:17" x14ac:dyDescent="0.4">
      <c r="A30" s="31" t="s">
        <v>179</v>
      </c>
      <c r="B30" s="115">
        <v>16374</v>
      </c>
      <c r="C30" s="116"/>
      <c r="E30" s="40" t="s">
        <v>91</v>
      </c>
      <c r="F30" s="37" t="s">
        <v>46</v>
      </c>
      <c r="G30" s="25">
        <v>9</v>
      </c>
      <c r="H30" s="104">
        <f>IF(B$31=0,0,G30/B$31)</f>
        <v>1.8476698829809075E-3</v>
      </c>
      <c r="I30" s="65">
        <v>4</v>
      </c>
      <c r="K30" s="17">
        <v>28</v>
      </c>
      <c r="L30" s="70">
        <v>-31.5</v>
      </c>
      <c r="N30" s="86" t="s">
        <v>186</v>
      </c>
      <c r="O30" s="96">
        <f>IF(P30=0,0,Q30/P30)</f>
        <v>-18.166666666666668</v>
      </c>
      <c r="P30" s="90">
        <v>18</v>
      </c>
      <c r="Q30" s="78">
        <v>-327</v>
      </c>
    </row>
    <row r="31" spans="1:17" x14ac:dyDescent="0.4">
      <c r="A31" s="34" t="s">
        <v>180</v>
      </c>
      <c r="B31" s="117">
        <v>4871</v>
      </c>
      <c r="C31" s="118"/>
      <c r="E31" s="40" t="s">
        <v>89</v>
      </c>
      <c r="F31" s="37" t="s">
        <v>44</v>
      </c>
      <c r="G31" s="25">
        <v>8</v>
      </c>
      <c r="H31" s="104">
        <f>IF(B$31=0,0,G31/B$31)</f>
        <v>1.642373229316362E-3</v>
      </c>
      <c r="I31" s="65">
        <v>4</v>
      </c>
      <c r="K31" s="17">
        <v>29</v>
      </c>
      <c r="L31" s="70">
        <v>36.700000000000003</v>
      </c>
      <c r="N31" s="86" t="s">
        <v>188</v>
      </c>
      <c r="O31" s="96">
        <f>IF(P31=0,0,Q31/P31)</f>
        <v>-19.950000000000003</v>
      </c>
      <c r="P31" s="90">
        <v>2</v>
      </c>
      <c r="Q31" s="78">
        <v>-39.900000000000006</v>
      </c>
    </row>
    <row r="32" spans="1:17" x14ac:dyDescent="0.4">
      <c r="E32" s="40" t="s">
        <v>96</v>
      </c>
      <c r="F32" s="37" t="s">
        <v>51</v>
      </c>
      <c r="G32" s="25">
        <v>4</v>
      </c>
      <c r="H32" s="104">
        <f>IF(B$31=0,0,G32/B$31)</f>
        <v>8.2118661465818102E-4</v>
      </c>
      <c r="I32" s="65">
        <v>3</v>
      </c>
      <c r="K32" s="17">
        <v>30</v>
      </c>
      <c r="L32" s="70">
        <v>0</v>
      </c>
    </row>
    <row r="33" spans="5:12" x14ac:dyDescent="0.4">
      <c r="E33" s="40" t="s">
        <v>102</v>
      </c>
      <c r="F33" s="37" t="s">
        <v>57</v>
      </c>
      <c r="G33" s="25">
        <v>2</v>
      </c>
      <c r="H33" s="104">
        <f>IF(B$31=0,0,G33/B$31)</f>
        <v>4.1059330732909051E-4</v>
      </c>
      <c r="I33" s="65">
        <v>2</v>
      </c>
      <c r="K33" s="17">
        <v>31</v>
      </c>
      <c r="L33" s="70">
        <v>18.3</v>
      </c>
    </row>
    <row r="34" spans="5:12" x14ac:dyDescent="0.4">
      <c r="E34" s="40" t="s">
        <v>107</v>
      </c>
      <c r="F34" s="37" t="s">
        <v>114</v>
      </c>
      <c r="G34" s="25">
        <v>2</v>
      </c>
      <c r="H34" s="104">
        <f>IF(B$31=0,0,G34/B$31)</f>
        <v>4.1059330732909051E-4</v>
      </c>
      <c r="I34" s="65">
        <v>3</v>
      </c>
      <c r="K34" s="17">
        <v>32</v>
      </c>
      <c r="L34" s="70">
        <v>8.6000000000000014</v>
      </c>
    </row>
    <row r="35" spans="5:12" x14ac:dyDescent="0.4">
      <c r="E35" s="40" t="s">
        <v>81</v>
      </c>
      <c r="F35" s="37" t="s">
        <v>36</v>
      </c>
      <c r="G35" s="25">
        <v>1</v>
      </c>
      <c r="H35" s="104">
        <f>IF(B$31=0,0,G35/B$31)</f>
        <v>2.0529665366454526E-4</v>
      </c>
      <c r="I35" s="65">
        <v>2</v>
      </c>
      <c r="K35" s="17">
        <v>33</v>
      </c>
      <c r="L35" s="70">
        <v>1.7763568394002505E-15</v>
      </c>
    </row>
    <row r="36" spans="5:12" x14ac:dyDescent="0.4">
      <c r="E36" s="40" t="s">
        <v>98</v>
      </c>
      <c r="F36" s="37" t="s">
        <v>53</v>
      </c>
      <c r="G36" s="25">
        <v>1</v>
      </c>
      <c r="H36" s="104">
        <f>IF(B$31=0,0,G36/B$31)</f>
        <v>2.0529665366454526E-4</v>
      </c>
      <c r="I36" s="65">
        <v>2</v>
      </c>
      <c r="K36" s="17">
        <v>34</v>
      </c>
      <c r="L36" s="70">
        <v>12.800000000000002</v>
      </c>
    </row>
    <row r="37" spans="5:12" x14ac:dyDescent="0.4">
      <c r="E37" s="40" t="s">
        <v>77</v>
      </c>
      <c r="F37" s="37" t="s">
        <v>32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36.400000000000006</v>
      </c>
    </row>
    <row r="38" spans="5:12" x14ac:dyDescent="0.4">
      <c r="E38" s="40" t="s">
        <v>83</v>
      </c>
      <c r="F38" s="37" t="s">
        <v>38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7.1054273576010019E-15</v>
      </c>
    </row>
    <row r="39" spans="5:12" x14ac:dyDescent="0.4">
      <c r="E39" s="40" t="s">
        <v>95</v>
      </c>
      <c r="F39" s="37" t="s">
        <v>50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57.000000000000007</v>
      </c>
    </row>
    <row r="40" spans="5:12" x14ac:dyDescent="0.4">
      <c r="E40" s="40" t="s">
        <v>97</v>
      </c>
      <c r="F40" s="37" t="s">
        <v>52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32.600000000000009</v>
      </c>
    </row>
    <row r="41" spans="5:12" x14ac:dyDescent="0.4">
      <c r="E41" s="40" t="s">
        <v>99</v>
      </c>
      <c r="F41" s="37" t="s">
        <v>54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7.1054273576010019E-15</v>
      </c>
    </row>
    <row r="42" spans="5:12" x14ac:dyDescent="0.4">
      <c r="E42" s="40" t="s">
        <v>100</v>
      </c>
      <c r="F42" s="37" t="s">
        <v>55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-43.999999999999993</v>
      </c>
    </row>
    <row r="43" spans="5:12" x14ac:dyDescent="0.4">
      <c r="E43" s="40" t="s">
        <v>101</v>
      </c>
      <c r="F43" s="37" t="s">
        <v>56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22.000000000000007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7.1054273576010019E-15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-36.999999999999993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-35.499999999999993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7.1054273576010019E-15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1.6000000000000072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5.4000000000000075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7.1054273576010019E-15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-21.399999999999991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-53.899999999999991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7.1054273576010019E-15</v>
      </c>
    </row>
    <row r="54" spans="5:12" x14ac:dyDescent="0.4">
      <c r="K54" s="17">
        <v>52</v>
      </c>
      <c r="L54" s="70">
        <v>14.900000000000007</v>
      </c>
    </row>
    <row r="55" spans="5:12" x14ac:dyDescent="0.4">
      <c r="K55" s="17">
        <v>53</v>
      </c>
      <c r="L55" s="70">
        <v>1.2000000000000082</v>
      </c>
    </row>
    <row r="56" spans="5:12" x14ac:dyDescent="0.4">
      <c r="K56" s="17">
        <v>54</v>
      </c>
      <c r="L56" s="70">
        <v>8.2156503822261584E-15</v>
      </c>
    </row>
    <row r="57" spans="5:12" x14ac:dyDescent="0.4">
      <c r="K57" s="17">
        <v>55</v>
      </c>
      <c r="L57" s="70">
        <v>57.20000000000001</v>
      </c>
    </row>
    <row r="58" spans="5:12" x14ac:dyDescent="0.4">
      <c r="K58" s="17">
        <v>56</v>
      </c>
      <c r="L58" s="70">
        <v>18.800000000000011</v>
      </c>
    </row>
    <row r="59" spans="5:12" x14ac:dyDescent="0.4">
      <c r="K59" s="17">
        <v>57</v>
      </c>
      <c r="L59" s="70">
        <v>1.0658141036401503E-14</v>
      </c>
    </row>
    <row r="60" spans="5:12" x14ac:dyDescent="0.4">
      <c r="K60" s="17">
        <v>58</v>
      </c>
      <c r="L60" s="70">
        <v>26.20000000000001</v>
      </c>
    </row>
    <row r="61" spans="5:12" x14ac:dyDescent="0.4">
      <c r="K61" s="17">
        <v>59</v>
      </c>
      <c r="L61" s="70">
        <v>1.0000000000000107</v>
      </c>
    </row>
    <row r="62" spans="5:12" x14ac:dyDescent="0.4">
      <c r="K62" s="17">
        <v>60</v>
      </c>
      <c r="L62" s="70">
        <v>1.0658141036401503E-14</v>
      </c>
    </row>
    <row r="63" spans="5:12" x14ac:dyDescent="0.4">
      <c r="K63" s="17">
        <v>61</v>
      </c>
      <c r="L63" s="70">
        <v>56.500000000000014</v>
      </c>
    </row>
    <row r="64" spans="5:12" x14ac:dyDescent="0.4">
      <c r="K64" s="17">
        <v>62</v>
      </c>
      <c r="L64" s="70">
        <v>10.000000000000014</v>
      </c>
    </row>
    <row r="65" spans="11:12" x14ac:dyDescent="0.4">
      <c r="K65" s="17">
        <v>63</v>
      </c>
      <c r="L65" s="70">
        <v>1.4210854715202004E-14</v>
      </c>
    </row>
    <row r="66" spans="11:12" x14ac:dyDescent="0.4">
      <c r="K66" s="17">
        <v>64</v>
      </c>
      <c r="L66" s="70">
        <v>-25.499999999999986</v>
      </c>
    </row>
    <row r="67" spans="11:12" x14ac:dyDescent="0.4">
      <c r="K67" s="17">
        <v>65</v>
      </c>
      <c r="L67" s="70">
        <v>-65.399999999999977</v>
      </c>
    </row>
    <row r="68" spans="11:12" x14ac:dyDescent="0.4">
      <c r="K68" s="17">
        <v>66</v>
      </c>
      <c r="L68" s="70">
        <v>2.8421709430404007E-14</v>
      </c>
    </row>
    <row r="69" spans="11:12" x14ac:dyDescent="0.4">
      <c r="K69" s="17">
        <v>67</v>
      </c>
      <c r="L69" s="70">
        <v>24.700000000000028</v>
      </c>
    </row>
    <row r="70" spans="11:12" x14ac:dyDescent="0.4">
      <c r="K70" s="17">
        <v>68</v>
      </c>
      <c r="L70" s="70">
        <v>-11.099999999999969</v>
      </c>
    </row>
    <row r="71" spans="11:12" x14ac:dyDescent="0.4">
      <c r="K71" s="17">
        <v>69</v>
      </c>
      <c r="L71" s="70">
        <v>3.0198066269804258E-14</v>
      </c>
    </row>
    <row r="72" spans="11:12" x14ac:dyDescent="0.4">
      <c r="K72" s="17">
        <v>70</v>
      </c>
      <c r="L72" s="70">
        <v>-6.4999999999999698</v>
      </c>
    </row>
    <row r="73" spans="11:12" x14ac:dyDescent="0.4">
      <c r="K73" s="17">
        <v>71</v>
      </c>
      <c r="L73" s="70">
        <v>-50.999999999999972</v>
      </c>
    </row>
    <row r="74" spans="11:12" x14ac:dyDescent="0.4">
      <c r="K74" s="17">
        <v>72</v>
      </c>
      <c r="L74" s="70">
        <v>2.8421709430404007E-14</v>
      </c>
    </row>
    <row r="75" spans="11:12" x14ac:dyDescent="0.4">
      <c r="K75" s="17">
        <v>73</v>
      </c>
      <c r="L75" s="70">
        <v>-33.699999999999974</v>
      </c>
    </row>
    <row r="76" spans="11:12" x14ac:dyDescent="0.4">
      <c r="K76" s="17">
        <v>74</v>
      </c>
      <c r="L76" s="70">
        <v>-17.199999999999974</v>
      </c>
    </row>
    <row r="77" spans="11:12" x14ac:dyDescent="0.4">
      <c r="K77" s="17">
        <v>75</v>
      </c>
      <c r="L77" s="70">
        <v>2.4868995751603507E-14</v>
      </c>
    </row>
    <row r="78" spans="11:12" x14ac:dyDescent="0.4">
      <c r="K78" s="17">
        <v>76</v>
      </c>
      <c r="L78" s="70">
        <v>23.900000000000023</v>
      </c>
    </row>
    <row r="79" spans="11:12" x14ac:dyDescent="0.4">
      <c r="K79" s="17">
        <v>77</v>
      </c>
      <c r="L79" s="70">
        <v>15.500000000000023</v>
      </c>
    </row>
    <row r="80" spans="11:12" x14ac:dyDescent="0.4">
      <c r="K80" s="17">
        <v>78</v>
      </c>
      <c r="L80" s="70">
        <v>2.3092638912203256E-14</v>
      </c>
    </row>
    <row r="81" spans="11:12" x14ac:dyDescent="0.4">
      <c r="K81" s="17">
        <v>79</v>
      </c>
      <c r="L81" s="70">
        <v>-36.999999999999979</v>
      </c>
    </row>
    <row r="82" spans="11:12" x14ac:dyDescent="0.4">
      <c r="K82" s="17">
        <v>80</v>
      </c>
      <c r="L82" s="70">
        <v>24.500000000000021</v>
      </c>
    </row>
    <row r="83" spans="11:12" x14ac:dyDescent="0.4">
      <c r="K83" s="17">
        <v>81</v>
      </c>
      <c r="L83" s="70">
        <v>2.1316282072803006E-14</v>
      </c>
    </row>
    <row r="84" spans="11:12" x14ac:dyDescent="0.4">
      <c r="K84" s="17">
        <v>82</v>
      </c>
      <c r="L84" s="70">
        <v>58.000000000000021</v>
      </c>
    </row>
    <row r="85" spans="11:12" x14ac:dyDescent="0.4">
      <c r="K85" s="17">
        <v>83</v>
      </c>
      <c r="L85" s="70">
        <v>41.500000000000021</v>
      </c>
    </row>
    <row r="86" spans="11:12" x14ac:dyDescent="0.4">
      <c r="K86" s="17">
        <v>84</v>
      </c>
      <c r="L86" s="70">
        <v>2.1316282072803006E-14</v>
      </c>
    </row>
    <row r="87" spans="11:12" x14ac:dyDescent="0.4">
      <c r="K87" s="17">
        <v>85</v>
      </c>
      <c r="L87" s="70">
        <v>-8.399999999999979</v>
      </c>
    </row>
    <row r="88" spans="11:12" x14ac:dyDescent="0.4">
      <c r="K88" s="17">
        <v>86</v>
      </c>
      <c r="L88" s="70">
        <v>19.300000000000018</v>
      </c>
    </row>
    <row r="89" spans="11:12" x14ac:dyDescent="0.4">
      <c r="K89" s="17">
        <v>87</v>
      </c>
      <c r="L89" s="70">
        <v>1.7763568394002505E-14</v>
      </c>
    </row>
    <row r="90" spans="11:12" x14ac:dyDescent="0.4">
      <c r="K90" s="17">
        <v>88</v>
      </c>
      <c r="L90" s="70">
        <v>53.300000000000011</v>
      </c>
    </row>
    <row r="91" spans="11:12" x14ac:dyDescent="0.4">
      <c r="K91" s="17">
        <v>89</v>
      </c>
      <c r="L91" s="70">
        <v>14.400000000000013</v>
      </c>
    </row>
    <row r="92" spans="11:12" x14ac:dyDescent="0.4">
      <c r="K92" s="17">
        <v>90</v>
      </c>
      <c r="L92" s="70">
        <v>1.2434497875801753E-14</v>
      </c>
    </row>
    <row r="93" spans="11:12" x14ac:dyDescent="0.4">
      <c r="K93" s="17">
        <v>91</v>
      </c>
      <c r="L93" s="70">
        <v>-13.999999999999988</v>
      </c>
    </row>
    <row r="94" spans="11:12" x14ac:dyDescent="0.4">
      <c r="K94" s="17">
        <v>92</v>
      </c>
      <c r="L94" s="70">
        <v>-51.999999999999986</v>
      </c>
    </row>
    <row r="95" spans="11:12" x14ac:dyDescent="0.4">
      <c r="K95" s="17">
        <v>93</v>
      </c>
      <c r="L95" s="70">
        <v>1.4210854715202004E-14</v>
      </c>
    </row>
    <row r="96" spans="11:12" x14ac:dyDescent="0.4">
      <c r="K96" s="17">
        <v>94</v>
      </c>
      <c r="L96" s="70">
        <v>60.700000000000017</v>
      </c>
    </row>
    <row r="97" spans="11:12" x14ac:dyDescent="0.4">
      <c r="K97" s="17">
        <v>95</v>
      </c>
      <c r="L97" s="70">
        <v>40.40000000000002</v>
      </c>
    </row>
    <row r="98" spans="11:12" x14ac:dyDescent="0.4">
      <c r="K98" s="17">
        <v>96</v>
      </c>
      <c r="L98" s="70">
        <v>2.1316282072803006E-14</v>
      </c>
    </row>
    <row r="99" spans="11:12" x14ac:dyDescent="0.4">
      <c r="K99" s="17">
        <v>97</v>
      </c>
      <c r="L99" s="70">
        <v>50.000000000000021</v>
      </c>
    </row>
    <row r="100" spans="11:12" x14ac:dyDescent="0.4">
      <c r="K100" s="17">
        <v>98</v>
      </c>
      <c r="L100" s="70">
        <v>41.500000000000021</v>
      </c>
    </row>
    <row r="101" spans="11:12" x14ac:dyDescent="0.4">
      <c r="K101" s="17">
        <v>99</v>
      </c>
      <c r="L101" s="70">
        <v>2.1316282072803006E-14</v>
      </c>
    </row>
    <row r="102" spans="11:12" x14ac:dyDescent="0.4">
      <c r="K102" s="17">
        <v>100</v>
      </c>
      <c r="L102" s="70">
        <v>-13.999999999999979</v>
      </c>
    </row>
    <row r="103" spans="11:12" x14ac:dyDescent="0.4">
      <c r="K103" s="17">
        <v>101</v>
      </c>
      <c r="L103" s="70">
        <v>-52.499999999999979</v>
      </c>
    </row>
    <row r="104" spans="11:12" x14ac:dyDescent="0.4">
      <c r="K104" s="17">
        <v>102</v>
      </c>
      <c r="L104" s="70">
        <v>2.1316282072803006E-14</v>
      </c>
    </row>
    <row r="105" spans="11:12" x14ac:dyDescent="0.4">
      <c r="K105" s="17">
        <v>103</v>
      </c>
      <c r="L105" s="70">
        <v>-3.3999999999999786</v>
      </c>
    </row>
    <row r="106" spans="11:12" x14ac:dyDescent="0.4">
      <c r="K106" s="17">
        <v>104</v>
      </c>
      <c r="L106" s="70">
        <v>-14.999999999999979</v>
      </c>
    </row>
    <row r="107" spans="11:12" x14ac:dyDescent="0.4">
      <c r="K107" s="17">
        <v>105</v>
      </c>
      <c r="L107" s="70">
        <v>2.1316282072803006E-14</v>
      </c>
    </row>
    <row r="108" spans="11:12" x14ac:dyDescent="0.4">
      <c r="K108" s="17">
        <v>106</v>
      </c>
      <c r="L108" s="70">
        <v>-17.09999999999998</v>
      </c>
    </row>
    <row r="109" spans="11:12" x14ac:dyDescent="0.4">
      <c r="K109" s="17">
        <v>107</v>
      </c>
      <c r="L109" s="70">
        <v>-16.799999999999979</v>
      </c>
    </row>
    <row r="110" spans="11:12" x14ac:dyDescent="0.4">
      <c r="K110" s="17">
        <v>108</v>
      </c>
      <c r="L110" s="70">
        <v>2.1316282072803006E-14</v>
      </c>
    </row>
    <row r="111" spans="11:12" x14ac:dyDescent="0.4">
      <c r="K111" s="17">
        <v>109</v>
      </c>
      <c r="L111" s="70">
        <v>21.100000000000023</v>
      </c>
    </row>
    <row r="112" spans="11:12" x14ac:dyDescent="0.4">
      <c r="K112" s="17">
        <v>110</v>
      </c>
      <c r="L112" s="70">
        <v>35.800000000000026</v>
      </c>
    </row>
    <row r="113" spans="11:12" x14ac:dyDescent="0.4">
      <c r="K113" s="17">
        <v>111</v>
      </c>
      <c r="L113" s="70">
        <v>2.8421709430404007E-14</v>
      </c>
    </row>
    <row r="114" spans="11:12" x14ac:dyDescent="0.4">
      <c r="K114" s="17">
        <v>112</v>
      </c>
      <c r="L114" s="70">
        <v>-50.599999999999973</v>
      </c>
    </row>
    <row r="115" spans="11:12" x14ac:dyDescent="0.4">
      <c r="K115" s="17">
        <v>113</v>
      </c>
      <c r="L115" s="70">
        <v>-2.599999999999973</v>
      </c>
    </row>
    <row r="116" spans="11:12" x14ac:dyDescent="0.4">
      <c r="K116" s="17">
        <v>114</v>
      </c>
      <c r="L116" s="70">
        <v>2.708944180085382E-14</v>
      </c>
    </row>
    <row r="117" spans="11:12" x14ac:dyDescent="0.4">
      <c r="K117" s="17">
        <v>115</v>
      </c>
      <c r="L117" s="70">
        <v>-8.1999999999999726</v>
      </c>
    </row>
    <row r="118" spans="11:12" x14ac:dyDescent="0.4">
      <c r="K118" s="17">
        <v>116</v>
      </c>
      <c r="L118" s="70">
        <v>-49.999999999999972</v>
      </c>
    </row>
    <row r="119" spans="11:12" x14ac:dyDescent="0.4">
      <c r="K119" s="17">
        <v>117</v>
      </c>
      <c r="L119" s="70">
        <v>2.8421709430404007E-14</v>
      </c>
    </row>
    <row r="120" spans="11:12" x14ac:dyDescent="0.4">
      <c r="K120" s="17">
        <v>118</v>
      </c>
      <c r="L120" s="70">
        <v>-6.9999999999999716</v>
      </c>
    </row>
    <row r="121" spans="11:12" x14ac:dyDescent="0.4">
      <c r="K121" s="17">
        <v>119</v>
      </c>
      <c r="L121" s="70">
        <v>-12.499999999999972</v>
      </c>
    </row>
    <row r="122" spans="11:12" x14ac:dyDescent="0.4">
      <c r="K122" s="17">
        <v>120</v>
      </c>
      <c r="L122" s="70">
        <v>2.8421709430404007E-14</v>
      </c>
    </row>
    <row r="123" spans="11:12" x14ac:dyDescent="0.4">
      <c r="K123" s="17">
        <v>121</v>
      </c>
      <c r="L123" s="70">
        <v>-36.39999999999997</v>
      </c>
    </row>
    <row r="124" spans="11:12" x14ac:dyDescent="0.4">
      <c r="K124" s="17">
        <v>122</v>
      </c>
      <c r="L124" s="70">
        <v>-11.499999999999972</v>
      </c>
    </row>
    <row r="125" spans="11:12" x14ac:dyDescent="0.4">
      <c r="K125" s="17">
        <v>123</v>
      </c>
      <c r="L125" s="70">
        <v>2.8421709430404007E-14</v>
      </c>
    </row>
    <row r="126" spans="11:12" x14ac:dyDescent="0.4">
      <c r="K126" s="17">
        <v>124</v>
      </c>
      <c r="L126" s="70">
        <v>-8.4999999999999716</v>
      </c>
    </row>
    <row r="127" spans="11:12" x14ac:dyDescent="0.4">
      <c r="K127" s="17">
        <v>125</v>
      </c>
      <c r="L127" s="70">
        <v>-5.4999999999999716</v>
      </c>
    </row>
    <row r="128" spans="11:12" x14ac:dyDescent="0.4">
      <c r="K128" s="17">
        <v>126</v>
      </c>
      <c r="L128" s="70">
        <v>2.8421709430404007E-14</v>
      </c>
    </row>
    <row r="129" spans="11:12" x14ac:dyDescent="0.4">
      <c r="K129" s="17">
        <v>127</v>
      </c>
      <c r="L129" s="70">
        <v>8.4000000000000288</v>
      </c>
    </row>
    <row r="130" spans="11:12" x14ac:dyDescent="0.4">
      <c r="K130" s="17">
        <v>128</v>
      </c>
      <c r="L130" s="70">
        <v>23.900000000000027</v>
      </c>
    </row>
    <row r="131" spans="11:12" x14ac:dyDescent="0.4">
      <c r="K131" s="17">
        <v>129</v>
      </c>
      <c r="L131" s="70">
        <v>2.8421709430404007E-14</v>
      </c>
    </row>
    <row r="132" spans="11:12" x14ac:dyDescent="0.4">
      <c r="K132" s="17">
        <v>130</v>
      </c>
      <c r="L132" s="70">
        <v>-10.399999999999972</v>
      </c>
    </row>
    <row r="133" spans="11:12" x14ac:dyDescent="0.4">
      <c r="K133" s="17">
        <v>131</v>
      </c>
      <c r="L133" s="70">
        <v>0.70000000000002771</v>
      </c>
    </row>
    <row r="134" spans="11:12" x14ac:dyDescent="0.4">
      <c r="K134" s="17">
        <v>132</v>
      </c>
      <c r="L134" s="70">
        <v>2.7755575615628914E-14</v>
      </c>
    </row>
    <row r="135" spans="11:12" x14ac:dyDescent="0.4">
      <c r="K135" s="17">
        <v>133</v>
      </c>
      <c r="L135" s="70">
        <v>27.900000000000027</v>
      </c>
    </row>
    <row r="136" spans="11:12" x14ac:dyDescent="0.4">
      <c r="K136" s="17">
        <v>134</v>
      </c>
      <c r="L136" s="70">
        <v>-7.9999999999999716</v>
      </c>
    </row>
    <row r="137" spans="11:12" x14ac:dyDescent="0.4">
      <c r="K137" s="17">
        <v>135</v>
      </c>
      <c r="L137" s="70">
        <v>2.8421709430404007E-14</v>
      </c>
    </row>
    <row r="138" spans="11:12" x14ac:dyDescent="0.4">
      <c r="K138" s="17">
        <v>136</v>
      </c>
      <c r="L138" s="70">
        <v>-20.499999999999972</v>
      </c>
    </row>
    <row r="139" spans="11:12" x14ac:dyDescent="0.4">
      <c r="K139" s="17">
        <v>137</v>
      </c>
      <c r="L139" s="70">
        <v>-25.199999999999971</v>
      </c>
    </row>
    <row r="140" spans="11:12" x14ac:dyDescent="0.4">
      <c r="K140" s="17">
        <v>138</v>
      </c>
      <c r="L140" s="70">
        <v>2.8421709430404007E-14</v>
      </c>
    </row>
    <row r="141" spans="11:12" x14ac:dyDescent="0.4">
      <c r="K141" s="17">
        <v>139</v>
      </c>
      <c r="L141" s="70">
        <v>-31.099999999999973</v>
      </c>
    </row>
    <row r="142" spans="11:12" x14ac:dyDescent="0.4">
      <c r="K142" s="17">
        <v>140</v>
      </c>
      <c r="L142" s="70">
        <v>-62.299999999999969</v>
      </c>
    </row>
    <row r="143" spans="11:12" x14ac:dyDescent="0.4">
      <c r="K143" s="17">
        <v>141</v>
      </c>
      <c r="L143" s="70">
        <v>2.8421709430404007E-14</v>
      </c>
    </row>
    <row r="144" spans="11:12" x14ac:dyDescent="0.4">
      <c r="K144" s="17">
        <v>142</v>
      </c>
      <c r="L144" s="70">
        <v>16.200000000000028</v>
      </c>
    </row>
    <row r="145" spans="11:12" x14ac:dyDescent="0.4">
      <c r="K145" s="17">
        <v>143</v>
      </c>
      <c r="L145" s="70">
        <v>-8.599999999999973</v>
      </c>
    </row>
    <row r="146" spans="11:12" x14ac:dyDescent="0.4">
      <c r="K146" s="17">
        <v>144</v>
      </c>
      <c r="L146" s="70">
        <v>2.6645352591003757E-14</v>
      </c>
    </row>
    <row r="147" spans="11:12" x14ac:dyDescent="0.4">
      <c r="K147" s="17">
        <v>145</v>
      </c>
      <c r="L147" s="70">
        <v>-4.8999999999999737</v>
      </c>
    </row>
    <row r="148" spans="11:12" x14ac:dyDescent="0.4">
      <c r="K148" s="17">
        <v>146</v>
      </c>
      <c r="L148" s="70">
        <v>-16.799999999999976</v>
      </c>
    </row>
    <row r="149" spans="11:12" x14ac:dyDescent="0.4">
      <c r="K149" s="17">
        <v>147</v>
      </c>
      <c r="L149" s="70">
        <v>2.4868995751603507E-14</v>
      </c>
    </row>
    <row r="150" spans="11:12" x14ac:dyDescent="0.4">
      <c r="K150" s="17">
        <v>148</v>
      </c>
      <c r="L150" s="70">
        <v>12.800000000000026</v>
      </c>
    </row>
    <row r="151" spans="11:12" x14ac:dyDescent="0.4">
      <c r="K151" s="17">
        <v>149</v>
      </c>
      <c r="L151" s="70">
        <v>16.700000000000024</v>
      </c>
    </row>
    <row r="152" spans="11:12" x14ac:dyDescent="0.4">
      <c r="K152" s="17">
        <v>150</v>
      </c>
      <c r="L152" s="70">
        <v>2.4868995751603507E-14</v>
      </c>
    </row>
    <row r="153" spans="11:12" x14ac:dyDescent="0.4">
      <c r="K153" s="17">
        <v>151</v>
      </c>
      <c r="L153" s="70">
        <v>0.70000000000002482</v>
      </c>
    </row>
    <row r="154" spans="11:12" x14ac:dyDescent="0.4">
      <c r="K154" s="17">
        <v>152</v>
      </c>
      <c r="L154" s="70">
        <v>43.900000000000027</v>
      </c>
    </row>
    <row r="155" spans="11:12" x14ac:dyDescent="0.4">
      <c r="K155" s="17">
        <v>153</v>
      </c>
      <c r="L155" s="70">
        <v>2.8421709430404007E-14</v>
      </c>
    </row>
    <row r="156" spans="11:12" x14ac:dyDescent="0.4">
      <c r="K156" s="17">
        <v>154</v>
      </c>
      <c r="L156" s="70">
        <v>-6.6999999999999718</v>
      </c>
    </row>
    <row r="157" spans="11:12" x14ac:dyDescent="0.4">
      <c r="K157" s="17">
        <v>155</v>
      </c>
      <c r="L157" s="70">
        <v>-9.4999999999999716</v>
      </c>
    </row>
    <row r="158" spans="11:12" x14ac:dyDescent="0.4">
      <c r="K158" s="17">
        <v>156</v>
      </c>
      <c r="L158" s="70">
        <v>2.8421709430404007E-14</v>
      </c>
    </row>
    <row r="159" spans="11:12" x14ac:dyDescent="0.4">
      <c r="K159" s="17">
        <v>157</v>
      </c>
      <c r="L159" s="70">
        <v>-27.999999999999972</v>
      </c>
    </row>
    <row r="160" spans="11:12" x14ac:dyDescent="0.4">
      <c r="K160" s="17">
        <v>158</v>
      </c>
      <c r="L160" s="70">
        <v>-82.999999999999972</v>
      </c>
    </row>
    <row r="161" spans="11:12" x14ac:dyDescent="0.4">
      <c r="K161" s="17">
        <v>159</v>
      </c>
      <c r="L161" s="70">
        <v>2.8421709430404007E-14</v>
      </c>
    </row>
    <row r="162" spans="11:12" x14ac:dyDescent="0.4">
      <c r="K162" s="17">
        <v>160</v>
      </c>
      <c r="L162" s="70">
        <v>16.700000000000028</v>
      </c>
    </row>
    <row r="163" spans="11:12" x14ac:dyDescent="0.4">
      <c r="K163" s="17">
        <v>161</v>
      </c>
      <c r="L163" s="70">
        <v>-20.999999999999975</v>
      </c>
    </row>
    <row r="164" spans="11:12" x14ac:dyDescent="0.4">
      <c r="K164" s="17">
        <v>162</v>
      </c>
      <c r="L164" s="70">
        <v>2.4868995751603507E-14</v>
      </c>
    </row>
    <row r="165" spans="11:12" x14ac:dyDescent="0.4">
      <c r="K165" s="17">
        <v>163</v>
      </c>
      <c r="L165" s="70">
        <v>-6.9999999999999751</v>
      </c>
    </row>
    <row r="166" spans="11:12" x14ac:dyDescent="0.4">
      <c r="K166" s="17">
        <v>164</v>
      </c>
      <c r="L166" s="70">
        <v>-12.899999999999975</v>
      </c>
    </row>
    <row r="167" spans="11:12" x14ac:dyDescent="0.4">
      <c r="K167" s="17">
        <v>165</v>
      </c>
      <c r="L167" s="70">
        <v>2.4868995751603507E-14</v>
      </c>
    </row>
    <row r="168" spans="11:12" x14ac:dyDescent="0.4">
      <c r="K168" s="17">
        <v>166</v>
      </c>
      <c r="L168" s="70">
        <v>31.600000000000026</v>
      </c>
    </row>
    <row r="169" spans="11:12" x14ac:dyDescent="0.4">
      <c r="K169" s="17">
        <v>167</v>
      </c>
      <c r="L169" s="70">
        <v>37.800000000000026</v>
      </c>
    </row>
    <row r="170" spans="11:12" x14ac:dyDescent="0.4">
      <c r="K170" s="17">
        <v>168</v>
      </c>
      <c r="L170" s="70">
        <v>2.8421709430404007E-14</v>
      </c>
    </row>
    <row r="171" spans="11:12" x14ac:dyDescent="0.4">
      <c r="K171" s="17">
        <v>169</v>
      </c>
      <c r="L171" s="70">
        <v>15.800000000000029</v>
      </c>
    </row>
    <row r="172" spans="11:12" x14ac:dyDescent="0.4">
      <c r="K172" s="17">
        <v>170</v>
      </c>
      <c r="L172" s="70">
        <v>-30.299999999999972</v>
      </c>
    </row>
    <row r="173" spans="11:12" x14ac:dyDescent="0.4">
      <c r="K173" s="17">
        <v>171</v>
      </c>
      <c r="L173" s="70">
        <v>2.8421709430404007E-14</v>
      </c>
    </row>
    <row r="174" spans="11:12" x14ac:dyDescent="0.4">
      <c r="K174" s="17">
        <v>172</v>
      </c>
      <c r="L174" s="70">
        <v>57.000000000000028</v>
      </c>
    </row>
    <row r="175" spans="11:12" x14ac:dyDescent="0.4">
      <c r="K175" s="17">
        <v>173</v>
      </c>
      <c r="L175" s="70">
        <v>6.5000000000000284</v>
      </c>
    </row>
    <row r="176" spans="11:12" x14ac:dyDescent="0.4">
      <c r="K176" s="17">
        <v>174</v>
      </c>
      <c r="L176" s="70">
        <v>2.8421709430404007E-14</v>
      </c>
    </row>
    <row r="177" spans="11:12" x14ac:dyDescent="0.4">
      <c r="K177" s="17">
        <v>175</v>
      </c>
      <c r="L177" s="70">
        <v>5.3000000000000282</v>
      </c>
    </row>
    <row r="178" spans="11:12" x14ac:dyDescent="0.4">
      <c r="K178" s="17">
        <v>176</v>
      </c>
      <c r="L178" s="70">
        <v>11.600000000000028</v>
      </c>
    </row>
    <row r="179" spans="11:12" x14ac:dyDescent="0.4">
      <c r="K179" s="17">
        <v>177</v>
      </c>
      <c r="L179" s="70">
        <v>2.8421709430404007E-14</v>
      </c>
    </row>
    <row r="180" spans="11:12" x14ac:dyDescent="0.4">
      <c r="K180" s="17">
        <v>178</v>
      </c>
      <c r="L180" s="70">
        <v>-36.199999999999974</v>
      </c>
    </row>
    <row r="181" spans="11:12" x14ac:dyDescent="0.4">
      <c r="K181" s="17">
        <v>179</v>
      </c>
      <c r="L181" s="70">
        <v>-17.499999999999975</v>
      </c>
    </row>
    <row r="182" spans="11:12" x14ac:dyDescent="0.4">
      <c r="K182" s="17">
        <v>180</v>
      </c>
      <c r="L182" s="70">
        <v>2.4868995751603507E-14</v>
      </c>
    </row>
    <row r="183" spans="11:12" x14ac:dyDescent="0.4">
      <c r="K183" s="17">
        <v>181</v>
      </c>
      <c r="L183" s="70">
        <v>-46.09999999999998</v>
      </c>
    </row>
    <row r="184" spans="11:12" x14ac:dyDescent="0.4">
      <c r="K184" s="17">
        <v>182</v>
      </c>
      <c r="L184" s="70">
        <v>-40.999999999999979</v>
      </c>
    </row>
    <row r="185" spans="11:12" x14ac:dyDescent="0.4">
      <c r="K185" s="17">
        <v>183</v>
      </c>
      <c r="L185" s="70">
        <v>2.1316282072803006E-14</v>
      </c>
    </row>
    <row r="186" spans="11:12" x14ac:dyDescent="0.4">
      <c r="K186" s="17">
        <v>184</v>
      </c>
      <c r="L186" s="70">
        <v>35.000000000000021</v>
      </c>
    </row>
    <row r="187" spans="11:12" x14ac:dyDescent="0.4">
      <c r="K187" s="17">
        <v>185</v>
      </c>
      <c r="L187" s="70">
        <v>10.500000000000021</v>
      </c>
    </row>
    <row r="188" spans="11:12" x14ac:dyDescent="0.4">
      <c r="K188" s="17">
        <v>186</v>
      </c>
      <c r="L188" s="70">
        <v>2.1316282072803006E-14</v>
      </c>
    </row>
    <row r="189" spans="11:12" x14ac:dyDescent="0.4">
      <c r="K189" s="17">
        <v>187</v>
      </c>
      <c r="L189" s="70">
        <v>21.100000000000023</v>
      </c>
    </row>
    <row r="190" spans="11:12" x14ac:dyDescent="0.4">
      <c r="K190" s="17">
        <v>188</v>
      </c>
      <c r="L190" s="70">
        <v>7.2000000000000224</v>
      </c>
    </row>
    <row r="191" spans="11:12" x14ac:dyDescent="0.4">
      <c r="K191" s="17">
        <v>189</v>
      </c>
      <c r="L191" s="70">
        <v>2.2204460492503131E-14</v>
      </c>
    </row>
    <row r="192" spans="11:12" x14ac:dyDescent="0.4">
      <c r="K192" s="17">
        <v>190</v>
      </c>
      <c r="L192" s="70">
        <v>-65.999999999999972</v>
      </c>
    </row>
    <row r="193" spans="11:12" x14ac:dyDescent="0.4">
      <c r="K193" s="17">
        <v>191</v>
      </c>
      <c r="L193" s="70">
        <v>-74.299999999999969</v>
      </c>
    </row>
    <row r="194" spans="11:12" x14ac:dyDescent="0.4">
      <c r="K194" s="17">
        <v>192</v>
      </c>
      <c r="L194" s="70">
        <v>2.8421709430404007E-14</v>
      </c>
    </row>
    <row r="195" spans="11:12" x14ac:dyDescent="0.4">
      <c r="K195" s="17">
        <v>193</v>
      </c>
      <c r="L195" s="70">
        <v>-4.9999999999999716</v>
      </c>
    </row>
    <row r="196" spans="11:12" x14ac:dyDescent="0.4">
      <c r="K196" s="17">
        <v>194</v>
      </c>
      <c r="L196" s="70">
        <v>-49.999999999999972</v>
      </c>
    </row>
    <row r="197" spans="11:12" x14ac:dyDescent="0.4">
      <c r="K197" s="17">
        <v>195</v>
      </c>
      <c r="L197" s="70">
        <v>2.8421709430404007E-14</v>
      </c>
    </row>
    <row r="198" spans="11:12" x14ac:dyDescent="0.4">
      <c r="K198" s="17">
        <v>196</v>
      </c>
      <c r="L198" s="70">
        <v>1.0000000000000284</v>
      </c>
    </row>
    <row r="199" spans="11:12" x14ac:dyDescent="0.4">
      <c r="K199" s="17">
        <v>197</v>
      </c>
      <c r="L199" s="70">
        <v>-34.999999999999972</v>
      </c>
    </row>
    <row r="200" spans="11:12" x14ac:dyDescent="0.4">
      <c r="K200" s="17">
        <v>198</v>
      </c>
      <c r="L200" s="70">
        <v>2.8421709430404007E-14</v>
      </c>
    </row>
    <row r="201" spans="11:12" x14ac:dyDescent="0.4">
      <c r="K201" s="17">
        <v>199</v>
      </c>
      <c r="L201" s="70">
        <v>31.60000000000003</v>
      </c>
    </row>
    <row r="202" spans="11:12" x14ac:dyDescent="0.4">
      <c r="K202" s="17">
        <v>200</v>
      </c>
      <c r="L202" s="70">
        <v>0.30000000000002913</v>
      </c>
    </row>
    <row r="203" spans="11:12" x14ac:dyDescent="0.4">
      <c r="K203" s="17">
        <v>201</v>
      </c>
      <c r="L203" s="70">
        <v>2.9143354396410359E-14</v>
      </c>
    </row>
    <row r="204" spans="11:12" x14ac:dyDescent="0.4">
      <c r="K204" s="17">
        <v>202</v>
      </c>
      <c r="L204" s="70">
        <v>-18.999999999999972</v>
      </c>
    </row>
    <row r="205" spans="11:12" x14ac:dyDescent="0.4">
      <c r="K205" s="17">
        <v>203</v>
      </c>
      <c r="L205" s="70">
        <v>45.000000000000028</v>
      </c>
    </row>
    <row r="206" spans="11:12" x14ac:dyDescent="0.4">
      <c r="K206" s="17">
        <v>204</v>
      </c>
      <c r="L206" s="70">
        <v>2.8421709430404007E-14</v>
      </c>
    </row>
    <row r="207" spans="11:12" x14ac:dyDescent="0.4">
      <c r="K207" s="17">
        <v>205</v>
      </c>
      <c r="L207" s="70">
        <v>-9.8999999999999719</v>
      </c>
    </row>
    <row r="208" spans="11:12" x14ac:dyDescent="0.4">
      <c r="K208" s="17">
        <v>206</v>
      </c>
      <c r="L208" s="70">
        <v>-6.7999999999999723</v>
      </c>
    </row>
    <row r="209" spans="11:12" x14ac:dyDescent="0.4">
      <c r="K209" s="17">
        <v>207</v>
      </c>
      <c r="L209" s="70">
        <v>2.7533531010703882E-14</v>
      </c>
    </row>
    <row r="210" spans="11:12" x14ac:dyDescent="0.4">
      <c r="K210" s="17">
        <v>208</v>
      </c>
      <c r="L210" s="70">
        <v>0.90000000000002756</v>
      </c>
    </row>
    <row r="211" spans="11:12" x14ac:dyDescent="0.4">
      <c r="K211" s="17">
        <v>209</v>
      </c>
      <c r="L211" s="70">
        <v>2.1000000000000276</v>
      </c>
    </row>
    <row r="212" spans="11:12" x14ac:dyDescent="0.4">
      <c r="K212" s="17">
        <v>210</v>
      </c>
      <c r="L212" s="70">
        <v>2.7533531010703882E-14</v>
      </c>
    </row>
    <row r="213" spans="11:12" x14ac:dyDescent="0.4">
      <c r="K213" s="17">
        <v>211</v>
      </c>
      <c r="L213" s="70">
        <v>32.300000000000026</v>
      </c>
    </row>
    <row r="214" spans="11:12" x14ac:dyDescent="0.4">
      <c r="K214" s="17">
        <v>212</v>
      </c>
      <c r="L214" s="70">
        <v>35.100000000000023</v>
      </c>
    </row>
    <row r="215" spans="11:12" x14ac:dyDescent="0.4">
      <c r="K215" s="17">
        <v>213</v>
      </c>
      <c r="L215" s="70">
        <v>2.1316282072803006E-14</v>
      </c>
    </row>
    <row r="216" spans="11:12" x14ac:dyDescent="0.4">
      <c r="K216" s="17">
        <v>214</v>
      </c>
      <c r="L216" s="70">
        <v>-45.999999999999979</v>
      </c>
    </row>
    <row r="217" spans="11:12" x14ac:dyDescent="0.4">
      <c r="K217" s="17">
        <v>215</v>
      </c>
      <c r="L217" s="70">
        <v>-1.3999999999999773</v>
      </c>
    </row>
    <row r="218" spans="11:12" x14ac:dyDescent="0.4">
      <c r="K218" s="17">
        <v>216</v>
      </c>
      <c r="L218" s="70">
        <v>2.2648549702353193E-14</v>
      </c>
    </row>
    <row r="219" spans="11:12" x14ac:dyDescent="0.4">
      <c r="K219" s="17">
        <v>217</v>
      </c>
      <c r="L219" s="70">
        <v>28.40000000000002</v>
      </c>
    </row>
    <row r="220" spans="11:12" x14ac:dyDescent="0.4">
      <c r="K220" s="17">
        <v>218</v>
      </c>
      <c r="L220" s="70">
        <v>27.000000000000021</v>
      </c>
    </row>
    <row r="221" spans="11:12" x14ac:dyDescent="0.4">
      <c r="K221" s="17">
        <v>219</v>
      </c>
      <c r="L221" s="70">
        <v>2.1316282072803006E-14</v>
      </c>
    </row>
    <row r="222" spans="11:12" x14ac:dyDescent="0.4">
      <c r="K222" s="17">
        <v>220</v>
      </c>
      <c r="L222" s="70">
        <v>-7.399999999999979</v>
      </c>
    </row>
    <row r="223" spans="11:12" x14ac:dyDescent="0.4">
      <c r="K223" s="17">
        <v>221</v>
      </c>
      <c r="L223" s="70">
        <v>-47.09999999999998</v>
      </c>
    </row>
    <row r="224" spans="11:12" x14ac:dyDescent="0.4">
      <c r="K224" s="17">
        <v>222</v>
      </c>
      <c r="L224" s="70">
        <v>2.1316282072803006E-14</v>
      </c>
    </row>
    <row r="225" spans="11:12" x14ac:dyDescent="0.4">
      <c r="K225" s="17">
        <v>223</v>
      </c>
      <c r="L225" s="70">
        <v>18.300000000000022</v>
      </c>
    </row>
    <row r="226" spans="11:12" x14ac:dyDescent="0.4">
      <c r="K226" s="17">
        <v>224</v>
      </c>
      <c r="L226" s="70">
        <v>-14.799999999999979</v>
      </c>
    </row>
    <row r="227" spans="11:12" x14ac:dyDescent="0.4">
      <c r="K227" s="17">
        <v>225</v>
      </c>
      <c r="L227" s="70">
        <v>2.1316282072803006E-14</v>
      </c>
    </row>
    <row r="228" spans="11:12" x14ac:dyDescent="0.4">
      <c r="K228" s="17">
        <v>226</v>
      </c>
      <c r="L228" s="70">
        <v>-13.899999999999979</v>
      </c>
    </row>
    <row r="229" spans="11:12" x14ac:dyDescent="0.4">
      <c r="K229" s="17">
        <v>227</v>
      </c>
      <c r="L229" s="70">
        <v>-32.09999999999998</v>
      </c>
    </row>
    <row r="230" spans="11:12" x14ac:dyDescent="0.4">
      <c r="K230" s="17">
        <v>228</v>
      </c>
      <c r="L230" s="70">
        <v>2.1316282072803006E-14</v>
      </c>
    </row>
    <row r="231" spans="11:12" x14ac:dyDescent="0.4">
      <c r="K231" s="17">
        <v>229</v>
      </c>
      <c r="L231" s="70">
        <v>40.000000000000021</v>
      </c>
    </row>
    <row r="232" spans="11:12" x14ac:dyDescent="0.4">
      <c r="K232" s="17">
        <v>230</v>
      </c>
      <c r="L232" s="70">
        <v>-0.39999999999997726</v>
      </c>
    </row>
    <row r="233" spans="11:12" x14ac:dyDescent="0.4">
      <c r="K233" s="17">
        <v>231</v>
      </c>
      <c r="L233" s="70">
        <v>2.2759572004815709E-14</v>
      </c>
    </row>
    <row r="234" spans="11:12" x14ac:dyDescent="0.4">
      <c r="K234" s="17">
        <v>232</v>
      </c>
      <c r="L234" s="70">
        <v>5.2000000000000233</v>
      </c>
    </row>
    <row r="235" spans="11:12" x14ac:dyDescent="0.4">
      <c r="K235" s="17">
        <v>233</v>
      </c>
      <c r="L235" s="70">
        <v>-5.7999999999999767</v>
      </c>
    </row>
    <row r="236" spans="11:12" x14ac:dyDescent="0.4">
      <c r="K236" s="17">
        <v>234</v>
      </c>
      <c r="L236" s="70">
        <v>2.3092638912203256E-14</v>
      </c>
    </row>
    <row r="237" spans="11:12" x14ac:dyDescent="0.4">
      <c r="K237" s="17">
        <v>235</v>
      </c>
      <c r="L237" s="70">
        <v>-13.699999999999976</v>
      </c>
    </row>
    <row r="238" spans="11:12" x14ac:dyDescent="0.4">
      <c r="K238" s="17">
        <v>236</v>
      </c>
      <c r="L238" s="70">
        <v>-29.499999999999979</v>
      </c>
    </row>
    <row r="239" spans="11:12" x14ac:dyDescent="0.4">
      <c r="K239" s="17">
        <v>237</v>
      </c>
      <c r="L239" s="70">
        <v>2.1316282072803006E-14</v>
      </c>
    </row>
    <row r="240" spans="11:12" x14ac:dyDescent="0.4">
      <c r="K240" s="17">
        <v>238</v>
      </c>
      <c r="L240" s="70">
        <v>-22.999999999999979</v>
      </c>
    </row>
    <row r="241" spans="11:12" x14ac:dyDescent="0.4">
      <c r="K241" s="17">
        <v>239</v>
      </c>
      <c r="L241" s="70">
        <v>-44.899999999999977</v>
      </c>
    </row>
    <row r="242" spans="11:12" x14ac:dyDescent="0.4">
      <c r="K242" s="17">
        <v>240</v>
      </c>
      <c r="L242" s="70">
        <v>2.1316282072803006E-14</v>
      </c>
    </row>
    <row r="243" spans="11:12" x14ac:dyDescent="0.4">
      <c r="K243" s="17">
        <v>241</v>
      </c>
      <c r="L243" s="70">
        <v>5.100000000000021</v>
      </c>
    </row>
    <row r="244" spans="11:12" x14ac:dyDescent="0.4">
      <c r="K244" s="17">
        <v>242</v>
      </c>
      <c r="L244" s="70">
        <v>16.40000000000002</v>
      </c>
    </row>
    <row r="245" spans="11:12" x14ac:dyDescent="0.4">
      <c r="K245" s="17">
        <v>243</v>
      </c>
      <c r="L245" s="70">
        <v>2.1316282072803006E-14</v>
      </c>
    </row>
    <row r="246" spans="11:12" x14ac:dyDescent="0.4">
      <c r="K246" s="17">
        <v>244</v>
      </c>
      <c r="L246" s="70">
        <v>31.90000000000002</v>
      </c>
    </row>
    <row r="247" spans="11:12" x14ac:dyDescent="0.4">
      <c r="K247" s="17">
        <v>245</v>
      </c>
      <c r="L247" s="70">
        <v>38.000000000000021</v>
      </c>
    </row>
    <row r="248" spans="11:12" x14ac:dyDescent="0.4">
      <c r="K248" s="17">
        <v>246</v>
      </c>
      <c r="L248" s="70">
        <v>2.1316282072803006E-14</v>
      </c>
    </row>
    <row r="249" spans="11:12" x14ac:dyDescent="0.4">
      <c r="K249" s="17">
        <v>247</v>
      </c>
      <c r="L249" s="70">
        <v>40.000000000000021</v>
      </c>
    </row>
    <row r="250" spans="11:12" x14ac:dyDescent="0.4">
      <c r="K250" s="17">
        <v>248</v>
      </c>
      <c r="L250" s="70">
        <v>-3.9999999999999787</v>
      </c>
    </row>
    <row r="251" spans="11:12" x14ac:dyDescent="0.4">
      <c r="K251" s="17">
        <v>249</v>
      </c>
      <c r="L251" s="70">
        <v>2.1316282072803006E-14</v>
      </c>
    </row>
    <row r="252" spans="11:12" x14ac:dyDescent="0.4">
      <c r="K252" s="17">
        <v>250</v>
      </c>
      <c r="L252" s="70">
        <v>22.500000000000021</v>
      </c>
    </row>
    <row r="253" spans="11:12" x14ac:dyDescent="0.4">
      <c r="K253" s="17">
        <v>251</v>
      </c>
      <c r="L253" s="70">
        <v>-18.499999999999979</v>
      </c>
    </row>
    <row r="254" spans="11:12" x14ac:dyDescent="0.4">
      <c r="K254" s="17">
        <v>252</v>
      </c>
      <c r="L254" s="70">
        <v>2.1316282072803006E-14</v>
      </c>
    </row>
    <row r="255" spans="11:12" x14ac:dyDescent="0.4">
      <c r="K255" s="17">
        <v>253</v>
      </c>
      <c r="L255" s="70">
        <v>31.500000000000021</v>
      </c>
    </row>
    <row r="256" spans="11:12" x14ac:dyDescent="0.4">
      <c r="K256" s="17">
        <v>254</v>
      </c>
      <c r="L256" s="70">
        <v>20.700000000000021</v>
      </c>
    </row>
    <row r="257" spans="11:12" x14ac:dyDescent="0.4">
      <c r="K257" s="17">
        <v>255</v>
      </c>
      <c r="L257" s="70">
        <v>2.1316282072803006E-14</v>
      </c>
    </row>
    <row r="258" spans="11:12" x14ac:dyDescent="0.4">
      <c r="K258" s="17">
        <v>256</v>
      </c>
      <c r="L258" s="70">
        <v>59.800000000000018</v>
      </c>
    </row>
    <row r="259" spans="11:12" x14ac:dyDescent="0.4">
      <c r="K259" s="17">
        <v>257</v>
      </c>
      <c r="L259" s="70">
        <v>24.300000000000018</v>
      </c>
    </row>
    <row r="260" spans="11:12" x14ac:dyDescent="0.4">
      <c r="K260" s="17">
        <v>258</v>
      </c>
      <c r="L260" s="70">
        <v>1.7763568394002505E-14</v>
      </c>
    </row>
    <row r="261" spans="11:12" x14ac:dyDescent="0.4">
      <c r="K261" s="17">
        <v>259</v>
      </c>
      <c r="L261" s="70">
        <v>11.100000000000017</v>
      </c>
    </row>
    <row r="262" spans="11:12" x14ac:dyDescent="0.4">
      <c r="K262" s="17">
        <v>260</v>
      </c>
      <c r="L262" s="70">
        <v>-15.999999999999984</v>
      </c>
    </row>
    <row r="263" spans="11:12" x14ac:dyDescent="0.4">
      <c r="K263" s="17">
        <v>261</v>
      </c>
      <c r="L263" s="70">
        <v>1.5987211554602254E-14</v>
      </c>
    </row>
    <row r="264" spans="11:12" x14ac:dyDescent="0.4">
      <c r="K264" s="17">
        <v>262</v>
      </c>
      <c r="L264" s="70">
        <v>1.6000000000000161</v>
      </c>
    </row>
    <row r="265" spans="11:12" x14ac:dyDescent="0.4">
      <c r="K265" s="17">
        <v>263</v>
      </c>
      <c r="L265" s="70">
        <v>24.200000000000017</v>
      </c>
    </row>
    <row r="266" spans="11:12" x14ac:dyDescent="0.4">
      <c r="K266" s="17">
        <v>264</v>
      </c>
      <c r="L266" s="70">
        <v>1.7763568394002505E-14</v>
      </c>
    </row>
    <row r="267" spans="11:12" x14ac:dyDescent="0.4">
      <c r="K267" s="17">
        <v>265</v>
      </c>
      <c r="L267" s="70">
        <v>-21.399999999999981</v>
      </c>
    </row>
    <row r="268" spans="11:12" x14ac:dyDescent="0.4">
      <c r="K268" s="17">
        <v>266</v>
      </c>
      <c r="L268" s="70">
        <v>-5.7999999999999812</v>
      </c>
    </row>
    <row r="269" spans="11:12" x14ac:dyDescent="0.4">
      <c r="K269" s="17">
        <v>267</v>
      </c>
      <c r="L269" s="70">
        <v>1.865174681370263E-14</v>
      </c>
    </row>
    <row r="270" spans="11:12" x14ac:dyDescent="0.4">
      <c r="K270" s="17">
        <v>268</v>
      </c>
      <c r="L270" s="70">
        <v>3.5000000000000187</v>
      </c>
    </row>
    <row r="271" spans="11:12" x14ac:dyDescent="0.4">
      <c r="K271" s="17">
        <v>269</v>
      </c>
      <c r="L271" s="70">
        <v>4.1000000000000183</v>
      </c>
    </row>
    <row r="272" spans="11:12" x14ac:dyDescent="0.4">
      <c r="K272" s="17">
        <v>270</v>
      </c>
      <c r="L272" s="70">
        <v>1.865174681370263E-14</v>
      </c>
    </row>
    <row r="273" spans="11:12" x14ac:dyDescent="0.4">
      <c r="K273" s="17">
        <v>271</v>
      </c>
      <c r="L273" s="70">
        <v>-43.399999999999977</v>
      </c>
    </row>
    <row r="274" spans="11:12" x14ac:dyDescent="0.4">
      <c r="K274" s="17">
        <v>272</v>
      </c>
      <c r="L274" s="70">
        <v>-3.1999999999999744</v>
      </c>
    </row>
    <row r="275" spans="11:12" x14ac:dyDescent="0.4">
      <c r="K275" s="17">
        <v>273</v>
      </c>
      <c r="L275" s="70">
        <v>2.5757174171303632E-14</v>
      </c>
    </row>
    <row r="276" spans="11:12" x14ac:dyDescent="0.4">
      <c r="K276" s="17">
        <v>274</v>
      </c>
      <c r="L276" s="70">
        <v>-45.499999999999972</v>
      </c>
    </row>
    <row r="277" spans="11:12" x14ac:dyDescent="0.4">
      <c r="K277" s="17">
        <v>275</v>
      </c>
      <c r="L277" s="70">
        <v>-27.999999999999972</v>
      </c>
    </row>
    <row r="278" spans="11:12" x14ac:dyDescent="0.4">
      <c r="K278" s="17">
        <v>276</v>
      </c>
      <c r="L278" s="70">
        <v>2.8421709430404007E-14</v>
      </c>
    </row>
    <row r="279" spans="11:12" x14ac:dyDescent="0.4">
      <c r="K279" s="17">
        <v>277</v>
      </c>
      <c r="L279" s="70">
        <v>-0.59999999999997156</v>
      </c>
    </row>
    <row r="280" spans="11:12" x14ac:dyDescent="0.4">
      <c r="K280" s="17">
        <v>278</v>
      </c>
      <c r="L280" s="70">
        <v>-39.099999999999973</v>
      </c>
    </row>
    <row r="281" spans="11:12" x14ac:dyDescent="0.4">
      <c r="K281" s="17">
        <v>279</v>
      </c>
      <c r="L281" s="70">
        <v>2.8421709430404007E-14</v>
      </c>
    </row>
    <row r="282" spans="11:12" x14ac:dyDescent="0.4">
      <c r="K282" s="17">
        <v>280</v>
      </c>
      <c r="L282" s="70">
        <v>26.400000000000027</v>
      </c>
    </row>
    <row r="283" spans="11:12" x14ac:dyDescent="0.4">
      <c r="K283" s="17">
        <v>281</v>
      </c>
      <c r="L283" s="70">
        <v>-1.9999999999999716</v>
      </c>
    </row>
    <row r="284" spans="11:12" x14ac:dyDescent="0.4">
      <c r="K284" s="17">
        <v>282</v>
      </c>
      <c r="L284" s="70">
        <v>2.8421709430404007E-14</v>
      </c>
    </row>
    <row r="285" spans="11:12" x14ac:dyDescent="0.4">
      <c r="K285" s="17">
        <v>283</v>
      </c>
      <c r="L285" s="70">
        <v>9.7000000000000277</v>
      </c>
    </row>
    <row r="286" spans="11:12" x14ac:dyDescent="0.4">
      <c r="K286" s="17">
        <v>284</v>
      </c>
      <c r="L286" s="70">
        <v>-32.699999999999974</v>
      </c>
    </row>
    <row r="287" spans="11:12" x14ac:dyDescent="0.4">
      <c r="K287" s="17">
        <v>285</v>
      </c>
      <c r="L287" s="70">
        <v>2.8421709430404007E-14</v>
      </c>
    </row>
    <row r="288" spans="11:12" x14ac:dyDescent="0.4">
      <c r="K288" s="17">
        <v>286</v>
      </c>
      <c r="L288" s="70">
        <v>21.10000000000003</v>
      </c>
    </row>
    <row r="289" spans="11:12" x14ac:dyDescent="0.4">
      <c r="K289" s="17">
        <v>287</v>
      </c>
      <c r="L289" s="70">
        <v>-14.599999999999973</v>
      </c>
    </row>
    <row r="290" spans="11:12" x14ac:dyDescent="0.4">
      <c r="K290" s="17">
        <v>288</v>
      </c>
      <c r="L290" s="70">
        <v>2.6645352591003757E-14</v>
      </c>
    </row>
    <row r="291" spans="11:12" x14ac:dyDescent="0.4">
      <c r="K291" s="17">
        <v>289</v>
      </c>
      <c r="L291" s="70">
        <v>-48.699999999999974</v>
      </c>
    </row>
    <row r="292" spans="11:12" x14ac:dyDescent="0.4">
      <c r="K292" s="17">
        <v>290</v>
      </c>
      <c r="L292" s="70">
        <v>-47.999999999999972</v>
      </c>
    </row>
    <row r="293" spans="11:12" x14ac:dyDescent="0.4">
      <c r="K293" s="17">
        <v>291</v>
      </c>
      <c r="L293" s="70">
        <v>2.8421709430404007E-14</v>
      </c>
    </row>
    <row r="294" spans="11:12" x14ac:dyDescent="0.4">
      <c r="K294" s="17">
        <v>292</v>
      </c>
      <c r="L294" s="70">
        <v>-15.999999999999972</v>
      </c>
    </row>
    <row r="295" spans="11:12" x14ac:dyDescent="0.4">
      <c r="K295" s="17">
        <v>293</v>
      </c>
      <c r="L295" s="70">
        <v>-3.7999999999999723</v>
      </c>
    </row>
    <row r="296" spans="11:12" x14ac:dyDescent="0.4">
      <c r="K296" s="17">
        <v>294</v>
      </c>
      <c r="L296" s="70">
        <v>2.7533531010703882E-14</v>
      </c>
    </row>
    <row r="297" spans="11:12" x14ac:dyDescent="0.4">
      <c r="K297" s="17">
        <v>295</v>
      </c>
      <c r="L297" s="70">
        <v>43.10000000000003</v>
      </c>
    </row>
    <row r="298" spans="11:12" x14ac:dyDescent="0.4">
      <c r="K298" s="17">
        <v>296</v>
      </c>
      <c r="L298" s="70">
        <v>5.8000000000000327</v>
      </c>
    </row>
    <row r="299" spans="11:12" x14ac:dyDescent="0.4">
      <c r="K299" s="17">
        <v>297</v>
      </c>
      <c r="L299" s="70">
        <v>3.2862601528904634E-14</v>
      </c>
    </row>
    <row r="300" spans="11:12" x14ac:dyDescent="0.4">
      <c r="K300" s="17">
        <v>298</v>
      </c>
      <c r="L300" s="70">
        <v>-5.9999999999999671</v>
      </c>
    </row>
    <row r="301" spans="11:12" x14ac:dyDescent="0.4">
      <c r="K301" s="17">
        <v>299</v>
      </c>
      <c r="L301" s="70">
        <v>-57.899999999999963</v>
      </c>
    </row>
    <row r="302" spans="11:12" x14ac:dyDescent="0.4">
      <c r="K302" s="17">
        <v>300</v>
      </c>
      <c r="L302" s="70">
        <v>3.5527136788005009E-14</v>
      </c>
    </row>
    <row r="303" spans="11:12" x14ac:dyDescent="0.4">
      <c r="K303" s="17">
        <v>301</v>
      </c>
      <c r="L303" s="70">
        <v>-37.499999999999964</v>
      </c>
    </row>
    <row r="304" spans="11:12" x14ac:dyDescent="0.4">
      <c r="K304" s="17">
        <v>302</v>
      </c>
      <c r="L304" s="70">
        <v>-49.499999999999964</v>
      </c>
    </row>
    <row r="305" spans="11:12" x14ac:dyDescent="0.4">
      <c r="K305" s="17">
        <v>303</v>
      </c>
      <c r="L305" s="70">
        <v>3.5527136788005009E-14</v>
      </c>
    </row>
    <row r="306" spans="11:12" x14ac:dyDescent="0.4">
      <c r="K306" s="17">
        <v>304</v>
      </c>
      <c r="L306" s="70">
        <v>-39.499999999999964</v>
      </c>
    </row>
    <row r="307" spans="11:12" x14ac:dyDescent="0.4">
      <c r="K307" s="17">
        <v>305</v>
      </c>
      <c r="L307" s="70">
        <v>9.5000000000000355</v>
      </c>
    </row>
    <row r="308" spans="11:12" x14ac:dyDescent="0.4">
      <c r="K308" s="17">
        <v>306</v>
      </c>
      <c r="L308" s="70">
        <v>3.5527136788005009E-14</v>
      </c>
    </row>
    <row r="309" spans="11:12" x14ac:dyDescent="0.4">
      <c r="K309" s="17">
        <v>307</v>
      </c>
      <c r="L309" s="70">
        <v>11.100000000000035</v>
      </c>
    </row>
    <row r="310" spans="11:12" x14ac:dyDescent="0.4">
      <c r="K310" s="17">
        <v>308</v>
      </c>
      <c r="L310" s="70">
        <v>-2.6999999999999655</v>
      </c>
    </row>
    <row r="311" spans="11:12" x14ac:dyDescent="0.4">
      <c r="K311" s="17">
        <v>309</v>
      </c>
      <c r="L311" s="70">
        <v>3.4638958368304884E-14</v>
      </c>
    </row>
    <row r="312" spans="11:12" x14ac:dyDescent="0.4">
      <c r="K312" s="17">
        <v>310</v>
      </c>
      <c r="L312" s="70">
        <v>-1.9999999999999654</v>
      </c>
    </row>
    <row r="313" spans="11:12" x14ac:dyDescent="0.4">
      <c r="K313" s="17">
        <v>311</v>
      </c>
      <c r="L313" s="70">
        <v>39.000000000000036</v>
      </c>
    </row>
    <row r="314" spans="11:12" x14ac:dyDescent="0.4">
      <c r="K314" s="17">
        <v>312</v>
      </c>
      <c r="L314" s="70">
        <v>3.5527136788005009E-14</v>
      </c>
    </row>
    <row r="315" spans="11:12" x14ac:dyDescent="0.4">
      <c r="K315" s="17">
        <v>313</v>
      </c>
      <c r="L315" s="70">
        <v>43.500000000000036</v>
      </c>
    </row>
    <row r="316" spans="11:12" x14ac:dyDescent="0.4">
      <c r="K316" s="17">
        <v>314</v>
      </c>
      <c r="L316" s="70">
        <v>40.100000000000037</v>
      </c>
    </row>
    <row r="317" spans="11:12" x14ac:dyDescent="0.4">
      <c r="K317" s="17">
        <v>315</v>
      </c>
      <c r="L317" s="70">
        <v>3.5527136788005009E-14</v>
      </c>
    </row>
    <row r="318" spans="11:12" x14ac:dyDescent="0.4">
      <c r="K318" s="17">
        <v>316</v>
      </c>
      <c r="L318" s="70">
        <v>-5.5999999999999641</v>
      </c>
    </row>
    <row r="319" spans="11:12" x14ac:dyDescent="0.4">
      <c r="K319" s="17">
        <v>317</v>
      </c>
      <c r="L319" s="70">
        <v>66.000000000000028</v>
      </c>
    </row>
    <row r="320" spans="11:12" x14ac:dyDescent="0.4">
      <c r="K320" s="17">
        <v>318</v>
      </c>
      <c r="L320" s="70">
        <v>2.8421709430404007E-14</v>
      </c>
    </row>
    <row r="321" spans="11:12" x14ac:dyDescent="0.4">
      <c r="K321" s="17">
        <v>319</v>
      </c>
      <c r="L321" s="70">
        <v>-7.3999999999999719</v>
      </c>
    </row>
    <row r="322" spans="11:12" x14ac:dyDescent="0.4">
      <c r="K322" s="17">
        <v>320</v>
      </c>
      <c r="L322" s="70">
        <v>24.10000000000003</v>
      </c>
    </row>
    <row r="323" spans="11:12" x14ac:dyDescent="0.4">
      <c r="K323" s="17">
        <v>321</v>
      </c>
      <c r="L323" s="70">
        <v>2.8421709430404007E-14</v>
      </c>
    </row>
    <row r="324" spans="11:12" x14ac:dyDescent="0.4">
      <c r="K324" s="17">
        <v>322</v>
      </c>
      <c r="L324" s="70">
        <v>-37.999999999999972</v>
      </c>
    </row>
    <row r="325" spans="11:12" x14ac:dyDescent="0.4">
      <c r="K325" s="17">
        <v>323</v>
      </c>
      <c r="L325" s="70">
        <v>-2.599999999999973</v>
      </c>
    </row>
    <row r="326" spans="11:12" x14ac:dyDescent="0.4">
      <c r="K326" s="17">
        <v>324</v>
      </c>
      <c r="L326" s="70">
        <v>2.708944180085382E-14</v>
      </c>
    </row>
    <row r="327" spans="11:12" x14ac:dyDescent="0.4">
      <c r="K327" s="17">
        <v>325</v>
      </c>
      <c r="L327" s="70">
        <v>-18.799999999999972</v>
      </c>
    </row>
    <row r="328" spans="11:12" x14ac:dyDescent="0.4">
      <c r="K328" s="17">
        <v>326</v>
      </c>
      <c r="L328" s="70">
        <v>-7.2999999999999723</v>
      </c>
    </row>
    <row r="329" spans="11:12" x14ac:dyDescent="0.4">
      <c r="K329" s="17">
        <v>327</v>
      </c>
      <c r="L329" s="70">
        <v>2.7533531010703882E-14</v>
      </c>
    </row>
    <row r="330" spans="11:12" x14ac:dyDescent="0.4">
      <c r="K330" s="17">
        <v>328</v>
      </c>
      <c r="L330" s="70">
        <v>27.000000000000028</v>
      </c>
    </row>
    <row r="331" spans="11:12" x14ac:dyDescent="0.4">
      <c r="K331" s="17">
        <v>329</v>
      </c>
      <c r="L331" s="70">
        <v>36.10000000000003</v>
      </c>
    </row>
    <row r="332" spans="11:12" x14ac:dyDescent="0.4">
      <c r="K332" s="17">
        <v>330</v>
      </c>
      <c r="L332" s="70">
        <v>2.8421709430404007E-14</v>
      </c>
    </row>
    <row r="333" spans="11:12" x14ac:dyDescent="0.4">
      <c r="K333" s="17">
        <v>331</v>
      </c>
      <c r="L333" s="70">
        <v>44.60000000000003</v>
      </c>
    </row>
    <row r="334" spans="11:12" x14ac:dyDescent="0.4">
      <c r="K334" s="17">
        <v>332</v>
      </c>
      <c r="L334" s="70">
        <v>39.400000000000027</v>
      </c>
    </row>
    <row r="335" spans="11:12" x14ac:dyDescent="0.4">
      <c r="K335" s="17">
        <v>333</v>
      </c>
      <c r="L335" s="70">
        <v>2.8421709430404007E-14</v>
      </c>
    </row>
    <row r="336" spans="11:12" x14ac:dyDescent="0.4">
      <c r="K336" s="17">
        <v>334</v>
      </c>
      <c r="L336" s="70">
        <v>7.0000000000000284</v>
      </c>
    </row>
    <row r="337" spans="11:12" x14ac:dyDescent="0.4">
      <c r="K337" s="17">
        <v>335</v>
      </c>
      <c r="L337" s="70">
        <v>40.000000000000028</v>
      </c>
    </row>
    <row r="338" spans="11:12" x14ac:dyDescent="0.4">
      <c r="K338" s="17">
        <v>336</v>
      </c>
      <c r="L338" s="70">
        <v>2.8421709430404007E-14</v>
      </c>
    </row>
    <row r="339" spans="11:12" x14ac:dyDescent="0.4">
      <c r="K339" s="17">
        <v>337</v>
      </c>
      <c r="L339" s="70">
        <v>-11.299999999999972</v>
      </c>
    </row>
    <row r="340" spans="11:12" x14ac:dyDescent="0.4">
      <c r="K340" s="17">
        <v>338</v>
      </c>
      <c r="L340" s="70">
        <v>-6.0999999999999721</v>
      </c>
    </row>
    <row r="341" spans="11:12" x14ac:dyDescent="0.4">
      <c r="K341" s="17">
        <v>339</v>
      </c>
      <c r="L341" s="70">
        <v>2.7533531010703882E-14</v>
      </c>
    </row>
    <row r="342" spans="11:12" x14ac:dyDescent="0.4">
      <c r="K342" s="17">
        <v>340</v>
      </c>
      <c r="L342" s="70">
        <v>-15.499999999999972</v>
      </c>
    </row>
    <row r="343" spans="11:12" x14ac:dyDescent="0.4">
      <c r="K343" s="17">
        <v>341</v>
      </c>
      <c r="L343" s="70">
        <v>-50.999999999999972</v>
      </c>
    </row>
    <row r="344" spans="11:12" x14ac:dyDescent="0.4">
      <c r="K344" s="17">
        <v>342</v>
      </c>
      <c r="L344" s="70">
        <v>2.8421709430404007E-14</v>
      </c>
    </row>
    <row r="345" spans="11:12" x14ac:dyDescent="0.4">
      <c r="K345" s="17">
        <v>343</v>
      </c>
      <c r="L345" s="70">
        <v>-19.299999999999972</v>
      </c>
    </row>
    <row r="346" spans="11:12" x14ac:dyDescent="0.4">
      <c r="K346" s="17">
        <v>344</v>
      </c>
      <c r="L346" s="70">
        <v>-3.099999999999973</v>
      </c>
    </row>
    <row r="347" spans="11:12" x14ac:dyDescent="0.4">
      <c r="K347" s="17">
        <v>345</v>
      </c>
      <c r="L347" s="70">
        <v>2.708944180085382E-14</v>
      </c>
    </row>
    <row r="348" spans="11:12" x14ac:dyDescent="0.4">
      <c r="K348" s="17">
        <v>346</v>
      </c>
      <c r="L348" s="70">
        <v>24.000000000000028</v>
      </c>
    </row>
    <row r="349" spans="11:12" x14ac:dyDescent="0.4">
      <c r="K349" s="17">
        <v>347</v>
      </c>
      <c r="L349" s="70">
        <v>18.10000000000003</v>
      </c>
    </row>
    <row r="350" spans="11:12" x14ac:dyDescent="0.4">
      <c r="K350" s="17">
        <v>348</v>
      </c>
      <c r="L350" s="70">
        <v>2.8421709430404007E-14</v>
      </c>
    </row>
    <row r="351" spans="11:12" x14ac:dyDescent="0.4">
      <c r="K351" s="17">
        <v>349</v>
      </c>
      <c r="L351" s="70">
        <v>28.300000000000029</v>
      </c>
    </row>
    <row r="352" spans="11:12" x14ac:dyDescent="0.4">
      <c r="K352" s="17">
        <v>350</v>
      </c>
      <c r="L352" s="70">
        <v>8.1000000000000298</v>
      </c>
    </row>
    <row r="353" spans="11:12" x14ac:dyDescent="0.4">
      <c r="K353" s="17">
        <v>351</v>
      </c>
      <c r="L353" s="70">
        <v>3.0198066269804258E-14</v>
      </c>
    </row>
    <row r="354" spans="11:12" x14ac:dyDescent="0.4">
      <c r="K354" s="17">
        <v>352</v>
      </c>
      <c r="L354" s="70">
        <v>-31.499999999999972</v>
      </c>
    </row>
    <row r="355" spans="11:12" x14ac:dyDescent="0.4">
      <c r="K355" s="17">
        <v>353</v>
      </c>
      <c r="L355" s="70">
        <v>18.500000000000028</v>
      </c>
    </row>
    <row r="356" spans="11:12" x14ac:dyDescent="0.4">
      <c r="K356" s="17">
        <v>354</v>
      </c>
      <c r="L356" s="70">
        <v>2.8421709430404007E-14</v>
      </c>
    </row>
    <row r="357" spans="11:12" x14ac:dyDescent="0.4">
      <c r="K357" s="17">
        <v>355</v>
      </c>
      <c r="L357" s="70">
        <v>19.500000000000028</v>
      </c>
    </row>
    <row r="358" spans="11:12" x14ac:dyDescent="0.4">
      <c r="K358" s="17">
        <v>356</v>
      </c>
      <c r="L358" s="70">
        <v>7.4000000000000288</v>
      </c>
    </row>
    <row r="359" spans="11:12" x14ac:dyDescent="0.4">
      <c r="K359" s="17">
        <v>357</v>
      </c>
      <c r="L359" s="70">
        <v>2.8421709430404007E-14</v>
      </c>
    </row>
    <row r="360" spans="11:12" x14ac:dyDescent="0.4">
      <c r="K360" s="17">
        <v>358</v>
      </c>
      <c r="L360" s="70">
        <v>-5.3999999999999719</v>
      </c>
    </row>
    <row r="361" spans="11:12" x14ac:dyDescent="0.4">
      <c r="K361" s="17">
        <v>359</v>
      </c>
      <c r="L361" s="70">
        <v>10.400000000000029</v>
      </c>
    </row>
    <row r="362" spans="11:12" x14ac:dyDescent="0.4">
      <c r="K362" s="17">
        <v>360</v>
      </c>
      <c r="L362" s="70">
        <v>2.8421709430404007E-14</v>
      </c>
    </row>
    <row r="363" spans="11:12" x14ac:dyDescent="0.4">
      <c r="K363" s="17">
        <v>361</v>
      </c>
      <c r="L363" s="70">
        <v>56.000000000000028</v>
      </c>
    </row>
    <row r="364" spans="11:12" x14ac:dyDescent="0.4">
      <c r="K364" s="17">
        <v>362</v>
      </c>
      <c r="L364" s="70">
        <v>38.000000000000028</v>
      </c>
    </row>
    <row r="365" spans="11:12" x14ac:dyDescent="0.4">
      <c r="K365" s="17">
        <v>363</v>
      </c>
      <c r="L365" s="70">
        <v>2.8421709430404007E-14</v>
      </c>
    </row>
    <row r="366" spans="11:12" x14ac:dyDescent="0.4">
      <c r="K366" s="17">
        <v>364</v>
      </c>
      <c r="L366" s="70">
        <v>43.000000000000028</v>
      </c>
    </row>
    <row r="367" spans="11:12" x14ac:dyDescent="0.4">
      <c r="K367" s="17">
        <v>365</v>
      </c>
      <c r="L367" s="70">
        <v>2.0000000000000284</v>
      </c>
    </row>
    <row r="368" spans="11:12" x14ac:dyDescent="0.4">
      <c r="K368" s="17">
        <v>366</v>
      </c>
      <c r="L368" s="70">
        <v>2.8421709430404007E-14</v>
      </c>
    </row>
    <row r="369" spans="11:12" x14ac:dyDescent="0.4">
      <c r="K369" s="17">
        <v>367</v>
      </c>
      <c r="L369" s="70">
        <v>-13.999999999999972</v>
      </c>
    </row>
    <row r="370" spans="11:12" x14ac:dyDescent="0.4">
      <c r="K370" s="17">
        <v>368</v>
      </c>
      <c r="L370" s="70">
        <v>-21.199999999999971</v>
      </c>
    </row>
    <row r="371" spans="11:12" x14ac:dyDescent="0.4">
      <c r="K371" s="17">
        <v>369</v>
      </c>
      <c r="L371" s="70">
        <v>2.8421709430404007E-14</v>
      </c>
    </row>
    <row r="372" spans="11:12" x14ac:dyDescent="0.4">
      <c r="K372" s="17">
        <v>370</v>
      </c>
      <c r="L372" s="70">
        <v>-48.39999999999997</v>
      </c>
    </row>
    <row r="373" spans="11:12" x14ac:dyDescent="0.4">
      <c r="K373" s="17">
        <v>371</v>
      </c>
      <c r="L373" s="70">
        <v>-14.999999999999972</v>
      </c>
    </row>
    <row r="374" spans="11:12" x14ac:dyDescent="0.4">
      <c r="K374" s="17">
        <v>372</v>
      </c>
      <c r="L374" s="70">
        <v>2.8421709430404007E-14</v>
      </c>
    </row>
    <row r="375" spans="11:12" x14ac:dyDescent="0.4">
      <c r="K375" s="17">
        <v>373</v>
      </c>
      <c r="L375" s="70">
        <v>44.900000000000027</v>
      </c>
    </row>
    <row r="376" spans="11:12" x14ac:dyDescent="0.4">
      <c r="K376" s="17">
        <v>374</v>
      </c>
      <c r="L376" s="70">
        <v>39.300000000000026</v>
      </c>
    </row>
    <row r="377" spans="11:12" x14ac:dyDescent="0.4">
      <c r="K377" s="17">
        <v>375</v>
      </c>
      <c r="L377" s="70">
        <v>2.8421709430404007E-14</v>
      </c>
    </row>
    <row r="378" spans="11:12" x14ac:dyDescent="0.4">
      <c r="K378" s="17">
        <v>376</v>
      </c>
      <c r="L378" s="70">
        <v>17.10000000000003</v>
      </c>
    </row>
    <row r="379" spans="11:12" x14ac:dyDescent="0.4">
      <c r="K379" s="17">
        <v>377</v>
      </c>
      <c r="L379" s="70">
        <v>-9.8999999999999702</v>
      </c>
    </row>
    <row r="380" spans="11:12" x14ac:dyDescent="0.4">
      <c r="K380" s="17">
        <v>378</v>
      </c>
      <c r="L380" s="70">
        <v>3.0198066269804258E-14</v>
      </c>
    </row>
    <row r="381" spans="11:12" x14ac:dyDescent="0.4">
      <c r="K381" s="17">
        <v>379</v>
      </c>
      <c r="L381" s="70">
        <v>-37.999999999999972</v>
      </c>
    </row>
    <row r="382" spans="11:12" x14ac:dyDescent="0.4">
      <c r="K382" s="17">
        <v>380</v>
      </c>
      <c r="L382" s="70">
        <v>-32.799999999999969</v>
      </c>
    </row>
    <row r="383" spans="11:12" x14ac:dyDescent="0.4">
      <c r="K383" s="17">
        <v>381</v>
      </c>
      <c r="L383" s="70">
        <v>2.8421709430404007E-14</v>
      </c>
    </row>
    <row r="384" spans="11:12" x14ac:dyDescent="0.4">
      <c r="K384" s="17">
        <v>382</v>
      </c>
      <c r="L384" s="70">
        <v>16.500000000000028</v>
      </c>
    </row>
    <row r="385" spans="11:12" x14ac:dyDescent="0.4">
      <c r="K385" s="17">
        <v>383</v>
      </c>
      <c r="L385" s="70">
        <v>8.8000000000000291</v>
      </c>
    </row>
    <row r="386" spans="11:12" x14ac:dyDescent="0.4">
      <c r="K386" s="17">
        <v>384</v>
      </c>
      <c r="L386" s="70">
        <v>2.8421709430404007E-14</v>
      </c>
    </row>
    <row r="387" spans="11:12" x14ac:dyDescent="0.4">
      <c r="K387" s="17">
        <v>385</v>
      </c>
      <c r="L387" s="70">
        <v>8.7000000000000277</v>
      </c>
    </row>
    <row r="388" spans="11:12" x14ac:dyDescent="0.4">
      <c r="K388" s="17">
        <v>386</v>
      </c>
      <c r="L388" s="70">
        <v>20.300000000000026</v>
      </c>
    </row>
    <row r="389" spans="11:12" x14ac:dyDescent="0.4">
      <c r="K389" s="17">
        <v>387</v>
      </c>
      <c r="L389" s="70">
        <v>2.4868995751603507E-14</v>
      </c>
    </row>
    <row r="390" spans="11:12" x14ac:dyDescent="0.4">
      <c r="K390" s="17">
        <v>388</v>
      </c>
      <c r="L390" s="70">
        <v>20.700000000000024</v>
      </c>
    </row>
    <row r="391" spans="11:12" x14ac:dyDescent="0.4">
      <c r="K391" s="17">
        <v>389</v>
      </c>
      <c r="L391" s="70">
        <v>-22.799999999999976</v>
      </c>
    </row>
    <row r="392" spans="11:12" x14ac:dyDescent="0.4">
      <c r="K392" s="17">
        <v>390</v>
      </c>
      <c r="L392" s="70">
        <v>2.4868995751603507E-14</v>
      </c>
    </row>
    <row r="393" spans="11:12" x14ac:dyDescent="0.4">
      <c r="K393" s="17">
        <v>391</v>
      </c>
      <c r="L393" s="70">
        <v>15.300000000000026</v>
      </c>
    </row>
    <row r="394" spans="11:12" x14ac:dyDescent="0.4">
      <c r="K394" s="17">
        <v>392</v>
      </c>
      <c r="L394" s="70">
        <v>8.5000000000000249</v>
      </c>
    </row>
    <row r="395" spans="11:12" x14ac:dyDescent="0.4">
      <c r="K395" s="17">
        <v>393</v>
      </c>
      <c r="L395" s="70">
        <v>2.4868995751603507E-14</v>
      </c>
    </row>
    <row r="396" spans="11:12" x14ac:dyDescent="0.4">
      <c r="K396" s="17">
        <v>394</v>
      </c>
      <c r="L396" s="70">
        <v>11.600000000000025</v>
      </c>
    </row>
    <row r="397" spans="11:12" x14ac:dyDescent="0.4">
      <c r="K397" s="17">
        <v>395</v>
      </c>
      <c r="L397" s="70">
        <v>31.200000000000024</v>
      </c>
    </row>
    <row r="398" spans="11:12" x14ac:dyDescent="0.4">
      <c r="K398" s="17">
        <v>396</v>
      </c>
      <c r="L398" s="70">
        <v>2.4868995751603507E-14</v>
      </c>
    </row>
    <row r="399" spans="11:12" x14ac:dyDescent="0.4">
      <c r="K399" s="17">
        <v>397</v>
      </c>
      <c r="L399" s="70">
        <v>8.2000000000000242</v>
      </c>
    </row>
    <row r="400" spans="11:12" x14ac:dyDescent="0.4">
      <c r="K400" s="17">
        <v>398</v>
      </c>
      <c r="L400" s="70">
        <v>-11.799999999999976</v>
      </c>
    </row>
    <row r="401" spans="11:12" x14ac:dyDescent="0.4">
      <c r="K401" s="17">
        <v>399</v>
      </c>
      <c r="L401" s="70">
        <v>2.4868995751603507E-14</v>
      </c>
    </row>
    <row r="402" spans="11:12" x14ac:dyDescent="0.4">
      <c r="K402" s="17">
        <v>400</v>
      </c>
      <c r="L402" s="70">
        <v>24.500000000000025</v>
      </c>
    </row>
    <row r="403" spans="11:12" x14ac:dyDescent="0.4">
      <c r="K403" s="17">
        <v>401</v>
      </c>
      <c r="L403" s="70">
        <v>19.600000000000023</v>
      </c>
    </row>
    <row r="404" spans="11:12" x14ac:dyDescent="0.4">
      <c r="K404" s="17">
        <v>402</v>
      </c>
      <c r="L404" s="70">
        <v>2.1316282072803006E-14</v>
      </c>
    </row>
    <row r="405" spans="11:12" x14ac:dyDescent="0.4">
      <c r="K405" s="17">
        <v>403</v>
      </c>
      <c r="L405" s="70">
        <v>16.90000000000002</v>
      </c>
    </row>
    <row r="406" spans="11:12" x14ac:dyDescent="0.4">
      <c r="K406" s="17">
        <v>404</v>
      </c>
      <c r="L406" s="70">
        <v>18.100000000000019</v>
      </c>
    </row>
    <row r="407" spans="11:12" x14ac:dyDescent="0.4">
      <c r="K407" s="17">
        <v>405</v>
      </c>
      <c r="L407" s="70">
        <v>1.7763568394002505E-14</v>
      </c>
    </row>
    <row r="408" spans="11:12" x14ac:dyDescent="0.4">
      <c r="K408" s="17">
        <v>406</v>
      </c>
      <c r="L408" s="70">
        <v>-37.499999999999986</v>
      </c>
    </row>
    <row r="409" spans="11:12" x14ac:dyDescent="0.4">
      <c r="K409" s="17">
        <v>407</v>
      </c>
      <c r="L409" s="70">
        <v>-11.999999999999986</v>
      </c>
    </row>
    <row r="410" spans="11:12" x14ac:dyDescent="0.4">
      <c r="K410" s="17">
        <v>408</v>
      </c>
      <c r="L410" s="70">
        <v>1.4210854715202004E-14</v>
      </c>
    </row>
    <row r="411" spans="11:12" x14ac:dyDescent="0.4">
      <c r="K411" s="17">
        <v>409</v>
      </c>
      <c r="L411" s="70">
        <v>38.500000000000014</v>
      </c>
    </row>
    <row r="412" spans="11:12" x14ac:dyDescent="0.4">
      <c r="K412" s="17">
        <v>410</v>
      </c>
      <c r="L412" s="70">
        <v>0.50000000000001421</v>
      </c>
    </row>
    <row r="413" spans="11:12" x14ac:dyDescent="0.4">
      <c r="K413" s="17">
        <v>411</v>
      </c>
      <c r="L413" s="70">
        <v>1.4210854715202004E-14</v>
      </c>
    </row>
    <row r="414" spans="11:12" x14ac:dyDescent="0.4">
      <c r="K414" s="17">
        <v>412</v>
      </c>
      <c r="L414" s="70">
        <v>-46.499999999999986</v>
      </c>
    </row>
    <row r="415" spans="11:12" x14ac:dyDescent="0.4">
      <c r="K415" s="17">
        <v>413</v>
      </c>
      <c r="L415" s="70">
        <v>-41.999999999999986</v>
      </c>
    </row>
    <row r="416" spans="11:12" x14ac:dyDescent="0.4">
      <c r="K416" s="17">
        <v>414</v>
      </c>
      <c r="L416" s="70">
        <v>1.4210854715202004E-14</v>
      </c>
    </row>
    <row r="417" spans="11:12" x14ac:dyDescent="0.4">
      <c r="K417" s="17">
        <v>415</v>
      </c>
      <c r="L417" s="70">
        <v>13.200000000000014</v>
      </c>
    </row>
    <row r="418" spans="11:12" x14ac:dyDescent="0.4">
      <c r="K418" s="17">
        <v>416</v>
      </c>
      <c r="L418" s="70">
        <v>5.8000000000000131</v>
      </c>
    </row>
    <row r="419" spans="11:12" x14ac:dyDescent="0.4">
      <c r="K419" s="17">
        <v>417</v>
      </c>
      <c r="L419" s="70">
        <v>1.3322676295501878E-14</v>
      </c>
    </row>
    <row r="420" spans="11:12" x14ac:dyDescent="0.4">
      <c r="K420" s="17">
        <v>418</v>
      </c>
      <c r="L420" s="70">
        <v>-19.499999999999986</v>
      </c>
    </row>
    <row r="421" spans="11:12" x14ac:dyDescent="0.4">
      <c r="K421" s="17">
        <v>419</v>
      </c>
      <c r="L421" s="70">
        <v>-1.6999999999999851</v>
      </c>
    </row>
    <row r="422" spans="11:12" x14ac:dyDescent="0.4">
      <c r="K422" s="17">
        <v>420</v>
      </c>
      <c r="L422" s="70">
        <v>1.4876988529977098E-14</v>
      </c>
    </row>
    <row r="423" spans="11:12" x14ac:dyDescent="0.4">
      <c r="K423" s="17">
        <v>421</v>
      </c>
      <c r="L423" s="70">
        <v>41.400000000000013</v>
      </c>
    </row>
    <row r="424" spans="11:12" x14ac:dyDescent="0.4">
      <c r="K424" s="17">
        <v>422</v>
      </c>
      <c r="L424" s="70">
        <v>15.000000000000014</v>
      </c>
    </row>
    <row r="425" spans="11:12" x14ac:dyDescent="0.4">
      <c r="K425" s="17">
        <v>423</v>
      </c>
      <c r="L425" s="70">
        <v>1.4210854715202004E-14</v>
      </c>
    </row>
    <row r="426" spans="11:12" x14ac:dyDescent="0.4">
      <c r="K426" s="17">
        <v>424</v>
      </c>
      <c r="L426" s="70">
        <v>27.100000000000016</v>
      </c>
    </row>
    <row r="427" spans="11:12" x14ac:dyDescent="0.4">
      <c r="K427" s="17">
        <v>425</v>
      </c>
      <c r="L427" s="70">
        <v>-23.499999999999986</v>
      </c>
    </row>
    <row r="428" spans="11:12" x14ac:dyDescent="0.4">
      <c r="K428" s="17">
        <v>426</v>
      </c>
      <c r="L428" s="70">
        <v>1.4210854715202004E-14</v>
      </c>
    </row>
    <row r="429" spans="11:12" x14ac:dyDescent="0.4">
      <c r="K429" s="17">
        <v>427</v>
      </c>
      <c r="L429" s="70">
        <v>8.5000000000000142</v>
      </c>
    </row>
    <row r="430" spans="11:12" x14ac:dyDescent="0.4">
      <c r="K430" s="17">
        <v>428</v>
      </c>
      <c r="L430" s="70">
        <v>34.200000000000017</v>
      </c>
    </row>
    <row r="431" spans="11:12" x14ac:dyDescent="0.4">
      <c r="K431" s="17">
        <v>429</v>
      </c>
      <c r="L431" s="70">
        <v>1.4210854715202004E-14</v>
      </c>
    </row>
    <row r="432" spans="11:12" x14ac:dyDescent="0.4">
      <c r="K432" s="17">
        <v>430</v>
      </c>
      <c r="L432" s="70">
        <v>4.800000000000014</v>
      </c>
    </row>
    <row r="433" spans="11:12" x14ac:dyDescent="0.4">
      <c r="K433" s="17">
        <v>431</v>
      </c>
      <c r="L433" s="70">
        <v>-11.999999999999986</v>
      </c>
    </row>
    <row r="434" spans="11:12" x14ac:dyDescent="0.4">
      <c r="K434" s="17">
        <v>432</v>
      </c>
      <c r="L434" s="70">
        <v>1.4210854715202004E-14</v>
      </c>
    </row>
    <row r="435" spans="11:12" x14ac:dyDescent="0.4">
      <c r="K435" s="17">
        <v>433</v>
      </c>
      <c r="L435" s="70">
        <v>43.300000000000011</v>
      </c>
    </row>
    <row r="436" spans="11:12" x14ac:dyDescent="0.4">
      <c r="K436" s="17">
        <v>434</v>
      </c>
      <c r="L436" s="70">
        <v>35.500000000000014</v>
      </c>
    </row>
    <row r="437" spans="11:12" x14ac:dyDescent="0.4">
      <c r="K437" s="17">
        <v>435</v>
      </c>
      <c r="L437" s="70">
        <v>1.4210854715202004E-14</v>
      </c>
    </row>
    <row r="438" spans="11:12" x14ac:dyDescent="0.4">
      <c r="K438" s="17">
        <v>436</v>
      </c>
      <c r="L438" s="70">
        <v>26.000000000000014</v>
      </c>
    </row>
    <row r="439" spans="11:12" x14ac:dyDescent="0.4">
      <c r="K439" s="17">
        <v>437</v>
      </c>
      <c r="L439" s="70">
        <v>20.700000000000014</v>
      </c>
    </row>
    <row r="440" spans="11:12" x14ac:dyDescent="0.4">
      <c r="K440" s="17">
        <v>438</v>
      </c>
      <c r="L440" s="70">
        <v>1.4210854715202004E-14</v>
      </c>
    </row>
    <row r="441" spans="11:12" x14ac:dyDescent="0.4">
      <c r="K441" s="17">
        <v>439</v>
      </c>
      <c r="L441" s="70">
        <v>11.000000000000014</v>
      </c>
    </row>
    <row r="442" spans="11:12" x14ac:dyDescent="0.4">
      <c r="K442" s="17">
        <v>440</v>
      </c>
      <c r="L442" s="70">
        <v>-21.799999999999983</v>
      </c>
    </row>
    <row r="443" spans="11:12" x14ac:dyDescent="0.4">
      <c r="K443" s="17">
        <v>441</v>
      </c>
      <c r="L443" s="70">
        <v>1.7763568394002505E-14</v>
      </c>
    </row>
    <row r="444" spans="11:12" x14ac:dyDescent="0.4">
      <c r="K444" s="17">
        <v>442</v>
      </c>
      <c r="L444" s="70">
        <v>41.000000000000014</v>
      </c>
    </row>
    <row r="445" spans="11:12" x14ac:dyDescent="0.4">
      <c r="K445" s="17">
        <v>443</v>
      </c>
      <c r="L445" s="70">
        <v>-4.4999999999999858</v>
      </c>
    </row>
    <row r="446" spans="11:12" x14ac:dyDescent="0.4">
      <c r="K446" s="17">
        <v>444</v>
      </c>
      <c r="L446" s="70">
        <v>1.4210854715202004E-14</v>
      </c>
    </row>
    <row r="447" spans="11:12" x14ac:dyDescent="0.4">
      <c r="K447" s="17">
        <v>445</v>
      </c>
      <c r="L447" s="70">
        <v>25.000000000000014</v>
      </c>
    </row>
    <row r="448" spans="11:12" x14ac:dyDescent="0.4">
      <c r="K448" s="17">
        <v>446</v>
      </c>
      <c r="L448" s="70">
        <v>-10.499999999999986</v>
      </c>
    </row>
    <row r="449" spans="11:12" x14ac:dyDescent="0.4">
      <c r="K449" s="17">
        <v>447</v>
      </c>
      <c r="L449" s="70">
        <v>1.4210854715202004E-14</v>
      </c>
    </row>
    <row r="450" spans="11:12" x14ac:dyDescent="0.4">
      <c r="K450" s="17">
        <v>448</v>
      </c>
      <c r="L450" s="70">
        <v>-19.799999999999986</v>
      </c>
    </row>
    <row r="451" spans="11:12" x14ac:dyDescent="0.4">
      <c r="K451" s="17">
        <v>449</v>
      </c>
      <c r="L451" s="70">
        <v>-29.799999999999986</v>
      </c>
    </row>
    <row r="452" spans="11:12" x14ac:dyDescent="0.4">
      <c r="K452" s="17">
        <v>450</v>
      </c>
      <c r="L452" s="70">
        <v>1.4210854715202004E-14</v>
      </c>
    </row>
    <row r="453" spans="11:12" x14ac:dyDescent="0.4">
      <c r="K453" s="17">
        <v>451</v>
      </c>
      <c r="L453" s="70">
        <v>37.600000000000016</v>
      </c>
    </row>
    <row r="454" spans="11:12" x14ac:dyDescent="0.4">
      <c r="K454" s="17">
        <v>452</v>
      </c>
      <c r="L454" s="70">
        <v>36.500000000000014</v>
      </c>
    </row>
    <row r="455" spans="11:12" x14ac:dyDescent="0.4">
      <c r="K455" s="17">
        <v>453</v>
      </c>
      <c r="L455" s="70">
        <v>1.4210854715202004E-14</v>
      </c>
    </row>
    <row r="456" spans="11:12" x14ac:dyDescent="0.4">
      <c r="K456" s="17">
        <v>454</v>
      </c>
      <c r="L456" s="70">
        <v>7.800000000000014</v>
      </c>
    </row>
    <row r="457" spans="11:12" x14ac:dyDescent="0.4">
      <c r="K457" s="17">
        <v>455</v>
      </c>
      <c r="L457" s="70">
        <v>-29.399999999999988</v>
      </c>
    </row>
    <row r="458" spans="11:12" x14ac:dyDescent="0.4">
      <c r="K458" s="17">
        <v>456</v>
      </c>
      <c r="L458" s="70">
        <v>1.0658141036401503E-14</v>
      </c>
    </row>
    <row r="459" spans="11:12" x14ac:dyDescent="0.4">
      <c r="K459" s="17">
        <v>457</v>
      </c>
      <c r="L459" s="70">
        <v>68.100000000000009</v>
      </c>
    </row>
    <row r="460" spans="11:12" x14ac:dyDescent="0.4">
      <c r="K460" s="17">
        <v>458</v>
      </c>
      <c r="L460" s="70">
        <v>26.800000000000011</v>
      </c>
    </row>
    <row r="461" spans="11:12" x14ac:dyDescent="0.4">
      <c r="K461" s="17">
        <v>459</v>
      </c>
      <c r="L461" s="70">
        <v>1.0658141036401503E-14</v>
      </c>
    </row>
    <row r="462" spans="11:12" x14ac:dyDescent="0.4">
      <c r="K462" s="17">
        <v>460</v>
      </c>
      <c r="L462" s="70">
        <v>-1.9999999999999893</v>
      </c>
    </row>
    <row r="463" spans="11:12" x14ac:dyDescent="0.4">
      <c r="K463" s="17">
        <v>461</v>
      </c>
      <c r="L463" s="70">
        <v>-18.399999999999988</v>
      </c>
    </row>
    <row r="464" spans="11:12" x14ac:dyDescent="0.4">
      <c r="K464" s="17">
        <v>462</v>
      </c>
      <c r="L464" s="70">
        <v>1.0658141036401503E-14</v>
      </c>
    </row>
    <row r="465" spans="11:12" x14ac:dyDescent="0.4">
      <c r="K465" s="17">
        <v>463</v>
      </c>
      <c r="L465" s="70">
        <v>5.2000000000000108</v>
      </c>
    </row>
    <row r="466" spans="11:12" x14ac:dyDescent="0.4">
      <c r="K466" s="17">
        <v>464</v>
      </c>
      <c r="L466" s="70">
        <v>-26.499999999999989</v>
      </c>
    </row>
    <row r="467" spans="11:12" x14ac:dyDescent="0.4">
      <c r="K467" s="17">
        <v>465</v>
      </c>
      <c r="L467" s="70">
        <v>1.0658141036401503E-14</v>
      </c>
    </row>
    <row r="468" spans="11:12" x14ac:dyDescent="0.4">
      <c r="K468" s="17">
        <v>466</v>
      </c>
      <c r="L468" s="70">
        <v>16.20000000000001</v>
      </c>
    </row>
    <row r="469" spans="11:12" x14ac:dyDescent="0.4">
      <c r="K469" s="17">
        <v>467</v>
      </c>
      <c r="L469" s="70">
        <v>11.30000000000001</v>
      </c>
    </row>
    <row r="470" spans="11:12" x14ac:dyDescent="0.4">
      <c r="K470" s="17">
        <v>468</v>
      </c>
      <c r="L470" s="70">
        <v>8.8817841970012523E-15</v>
      </c>
    </row>
    <row r="471" spans="11:12" x14ac:dyDescent="0.4">
      <c r="K471" s="17">
        <v>469</v>
      </c>
      <c r="L471" s="70">
        <v>24.20000000000001</v>
      </c>
    </row>
    <row r="472" spans="11:12" x14ac:dyDescent="0.4">
      <c r="K472" s="17">
        <v>470</v>
      </c>
      <c r="L472" s="70">
        <v>9.3000000000000096</v>
      </c>
    </row>
    <row r="473" spans="11:12" x14ac:dyDescent="0.4">
      <c r="K473" s="17">
        <v>471</v>
      </c>
      <c r="L473" s="70">
        <v>8.8817841970012523E-15</v>
      </c>
    </row>
    <row r="474" spans="11:12" x14ac:dyDescent="0.4">
      <c r="K474" s="17">
        <v>472</v>
      </c>
      <c r="L474" s="70">
        <v>20.600000000000009</v>
      </c>
    </row>
    <row r="475" spans="11:12" x14ac:dyDescent="0.4">
      <c r="K475" s="17">
        <v>473</v>
      </c>
      <c r="L475" s="70">
        <v>-25.099999999999994</v>
      </c>
    </row>
    <row r="476" spans="11:12" x14ac:dyDescent="0.4">
      <c r="K476" s="17">
        <v>474</v>
      </c>
      <c r="L476" s="70">
        <v>7.1054273576010019E-15</v>
      </c>
    </row>
    <row r="477" spans="11:12" x14ac:dyDescent="0.4">
      <c r="K477" s="17">
        <v>475</v>
      </c>
      <c r="L477" s="70">
        <v>7.3000000000000069</v>
      </c>
    </row>
    <row r="478" spans="11:12" x14ac:dyDescent="0.4">
      <c r="K478" s="17">
        <v>476</v>
      </c>
      <c r="L478" s="70">
        <v>33.500000000000007</v>
      </c>
    </row>
    <row r="479" spans="11:12" x14ac:dyDescent="0.4">
      <c r="K479" s="17">
        <v>477</v>
      </c>
      <c r="L479" s="70">
        <v>7.1054273576010019E-15</v>
      </c>
    </row>
    <row r="480" spans="11:12" x14ac:dyDescent="0.4">
      <c r="K480" s="17">
        <v>478</v>
      </c>
      <c r="L480" s="70">
        <v>4.8000000000000069</v>
      </c>
    </row>
    <row r="481" spans="11:12" x14ac:dyDescent="0.4">
      <c r="K481" s="17">
        <v>479</v>
      </c>
      <c r="L481" s="70">
        <v>37.500000000000007</v>
      </c>
    </row>
    <row r="482" spans="11:12" x14ac:dyDescent="0.4">
      <c r="K482" s="17">
        <v>480</v>
      </c>
      <c r="L482" s="70">
        <v>7.1054273576010019E-15</v>
      </c>
    </row>
    <row r="483" spans="11:12" x14ac:dyDescent="0.4">
      <c r="K483" s="17">
        <v>481</v>
      </c>
      <c r="L483" s="70">
        <v>4.1000000000000068</v>
      </c>
    </row>
    <row r="484" spans="11:12" x14ac:dyDescent="0.4">
      <c r="K484" s="17">
        <v>482</v>
      </c>
      <c r="L484" s="70">
        <v>9.4000000000000057</v>
      </c>
    </row>
    <row r="485" spans="11:12" x14ac:dyDescent="0.4">
      <c r="K485" s="17">
        <v>483</v>
      </c>
      <c r="L485" s="70">
        <v>5.3290705182007514E-15</v>
      </c>
    </row>
    <row r="486" spans="11:12" x14ac:dyDescent="0.4">
      <c r="K486" s="17">
        <v>484</v>
      </c>
      <c r="L486" s="70">
        <v>-11.999999999999995</v>
      </c>
    </row>
    <row r="487" spans="11:12" x14ac:dyDescent="0.4">
      <c r="K487" s="17">
        <v>485</v>
      </c>
      <c r="L487" s="70">
        <v>-0.49999999999999467</v>
      </c>
    </row>
    <row r="488" spans="11:12" x14ac:dyDescent="0.4">
      <c r="K488" s="17">
        <v>486</v>
      </c>
      <c r="L488" s="70">
        <v>5.3290705182007514E-15</v>
      </c>
    </row>
    <row r="489" spans="11:12" x14ac:dyDescent="0.4">
      <c r="K489" s="17">
        <v>487</v>
      </c>
      <c r="L489" s="70">
        <v>12.500000000000005</v>
      </c>
    </row>
    <row r="490" spans="11:12" x14ac:dyDescent="0.4">
      <c r="K490" s="17">
        <v>488</v>
      </c>
      <c r="L490" s="70">
        <v>0.40000000000000568</v>
      </c>
    </row>
    <row r="491" spans="11:12" x14ac:dyDescent="0.4">
      <c r="K491" s="17">
        <v>489</v>
      </c>
      <c r="L491" s="70">
        <v>5.6621374255882984E-15</v>
      </c>
    </row>
    <row r="492" spans="11:12" x14ac:dyDescent="0.4">
      <c r="K492" s="17">
        <v>490</v>
      </c>
      <c r="L492" s="70">
        <v>-12.899999999999995</v>
      </c>
    </row>
    <row r="493" spans="11:12" x14ac:dyDescent="0.4">
      <c r="K493" s="17">
        <v>491</v>
      </c>
      <c r="L493" s="70">
        <v>-18.099999999999994</v>
      </c>
    </row>
    <row r="494" spans="11:12" x14ac:dyDescent="0.4">
      <c r="K494" s="17">
        <v>492</v>
      </c>
      <c r="L494" s="70">
        <v>7.1054273576010019E-15</v>
      </c>
    </row>
    <row r="495" spans="11:12" x14ac:dyDescent="0.4">
      <c r="K495" s="17">
        <v>493</v>
      </c>
      <c r="L495" s="70">
        <v>15.600000000000007</v>
      </c>
    </row>
    <row r="496" spans="11:12" x14ac:dyDescent="0.4">
      <c r="K496" s="17">
        <v>494</v>
      </c>
      <c r="L496" s="70">
        <v>-22.79999999999999</v>
      </c>
    </row>
    <row r="497" spans="11:12" x14ac:dyDescent="0.4">
      <c r="K497" s="17">
        <v>495</v>
      </c>
      <c r="L497" s="70">
        <v>1.0658141036401503E-14</v>
      </c>
    </row>
    <row r="498" spans="11:12" x14ac:dyDescent="0.4">
      <c r="K498" s="17">
        <v>496</v>
      </c>
      <c r="L498" s="70">
        <v>15.60000000000001</v>
      </c>
    </row>
    <row r="499" spans="11:12" x14ac:dyDescent="0.4">
      <c r="K499" s="17">
        <v>497</v>
      </c>
      <c r="L499" s="70">
        <v>2.8000000000000096</v>
      </c>
    </row>
    <row r="500" spans="11:12" x14ac:dyDescent="0.4">
      <c r="K500" s="17">
        <v>498</v>
      </c>
      <c r="L500" s="70">
        <v>9.7699626167013776E-15</v>
      </c>
    </row>
    <row r="501" spans="11:12" x14ac:dyDescent="0.4">
      <c r="K501" s="17">
        <v>499</v>
      </c>
      <c r="L501" s="70">
        <v>-35.999999999999993</v>
      </c>
    </row>
    <row r="502" spans="11:12" x14ac:dyDescent="0.4">
      <c r="K502" s="17">
        <v>500</v>
      </c>
      <c r="L502" s="70">
        <v>7.1054273576010019E-15</v>
      </c>
    </row>
    <row r="503" spans="11:12" x14ac:dyDescent="0.4">
      <c r="K503" s="17">
        <v>501</v>
      </c>
      <c r="L503" s="70">
        <v>7.1054273576010019E-15</v>
      </c>
    </row>
    <row r="504" spans="11:12" x14ac:dyDescent="0.4">
      <c r="K504" s="17">
        <v>502</v>
      </c>
      <c r="L504" s="70">
        <v>-29.599999999999994</v>
      </c>
    </row>
    <row r="505" spans="11:12" x14ac:dyDescent="0.4">
      <c r="K505" s="17">
        <v>503</v>
      </c>
      <c r="L505" s="70">
        <v>-78.699999999999989</v>
      </c>
    </row>
    <row r="506" spans="11:12" x14ac:dyDescent="0.4">
      <c r="K506" s="17">
        <v>504</v>
      </c>
      <c r="L506" s="70">
        <v>1.4210854715202004E-14</v>
      </c>
    </row>
    <row r="507" spans="11:12" x14ac:dyDescent="0.4">
      <c r="K507" s="17">
        <v>505</v>
      </c>
      <c r="L507" s="70">
        <v>6.800000000000014</v>
      </c>
    </row>
    <row r="508" spans="11:12" x14ac:dyDescent="0.4">
      <c r="K508" s="17">
        <v>506</v>
      </c>
      <c r="L508" s="70">
        <v>4.2000000000000135</v>
      </c>
    </row>
    <row r="509" spans="11:12" x14ac:dyDescent="0.4">
      <c r="K509" s="17">
        <v>507</v>
      </c>
      <c r="L509" s="70">
        <v>1.3322676295501878E-14</v>
      </c>
    </row>
    <row r="510" spans="11:12" x14ac:dyDescent="0.4">
      <c r="K510" s="17">
        <v>508</v>
      </c>
      <c r="L510" s="70">
        <v>-13.999999999999986</v>
      </c>
    </row>
    <row r="511" spans="11:12" x14ac:dyDescent="0.4">
      <c r="K511" s="17">
        <v>509</v>
      </c>
      <c r="L511" s="70">
        <v>-26.499999999999986</v>
      </c>
    </row>
    <row r="512" spans="11:12" x14ac:dyDescent="0.4">
      <c r="K512" s="17">
        <v>510</v>
      </c>
      <c r="L512" s="70">
        <v>1.4210854715202004E-14</v>
      </c>
    </row>
    <row r="513" spans="11:12" x14ac:dyDescent="0.4">
      <c r="K513" s="17">
        <v>511</v>
      </c>
      <c r="L513" s="70">
        <v>-9.9999999999999858</v>
      </c>
    </row>
    <row r="514" spans="11:12" x14ac:dyDescent="0.4">
      <c r="K514" s="17">
        <v>512</v>
      </c>
      <c r="L514" s="70">
        <v>50.500000000000014</v>
      </c>
    </row>
    <row r="515" spans="11:12" x14ac:dyDescent="0.4">
      <c r="K515" s="17">
        <v>513</v>
      </c>
      <c r="L515" s="70">
        <v>1.4210854715202004E-14</v>
      </c>
    </row>
    <row r="516" spans="11:12" x14ac:dyDescent="0.4">
      <c r="K516" s="17">
        <v>514</v>
      </c>
      <c r="L516" s="70">
        <v>44.600000000000016</v>
      </c>
    </row>
    <row r="517" spans="11:12" x14ac:dyDescent="0.4">
      <c r="K517" s="17">
        <v>515</v>
      </c>
      <c r="L517" s="70">
        <v>15.100000000000016</v>
      </c>
    </row>
    <row r="518" spans="11:12" x14ac:dyDescent="0.4">
      <c r="K518" s="17">
        <v>516</v>
      </c>
      <c r="L518" s="70">
        <v>1.5987211554602254E-14</v>
      </c>
    </row>
    <row r="519" spans="11:12" x14ac:dyDescent="0.4">
      <c r="K519" s="17">
        <v>517</v>
      </c>
      <c r="L519" s="70">
        <v>-4.6999999999999842</v>
      </c>
    </row>
    <row r="520" spans="11:12" x14ac:dyDescent="0.4">
      <c r="K520" s="17">
        <v>518</v>
      </c>
      <c r="L520" s="70">
        <v>13.900000000000016</v>
      </c>
    </row>
    <row r="521" spans="11:12" x14ac:dyDescent="0.4">
      <c r="K521" s="17">
        <v>519</v>
      </c>
      <c r="L521" s="70">
        <v>1.5987211554602254E-14</v>
      </c>
    </row>
    <row r="522" spans="11:12" x14ac:dyDescent="0.4">
      <c r="K522" s="17">
        <v>520</v>
      </c>
      <c r="L522" s="70">
        <v>12.500000000000016</v>
      </c>
    </row>
    <row r="523" spans="11:12" x14ac:dyDescent="0.4">
      <c r="K523" s="17">
        <v>521</v>
      </c>
      <c r="L523" s="70">
        <v>-1.6999999999999833</v>
      </c>
    </row>
    <row r="524" spans="11:12" x14ac:dyDescent="0.4">
      <c r="K524" s="17">
        <v>522</v>
      </c>
      <c r="L524" s="70">
        <v>1.6653345369377348E-14</v>
      </c>
    </row>
    <row r="525" spans="11:12" x14ac:dyDescent="0.4">
      <c r="K525" s="17">
        <v>523</v>
      </c>
      <c r="L525" s="70">
        <v>14.400000000000016</v>
      </c>
    </row>
    <row r="526" spans="11:12" x14ac:dyDescent="0.4">
      <c r="K526" s="17">
        <v>524</v>
      </c>
      <c r="L526" s="70">
        <v>26.700000000000017</v>
      </c>
    </row>
    <row r="527" spans="11:12" x14ac:dyDescent="0.4">
      <c r="K527" s="17">
        <v>525</v>
      </c>
      <c r="L527" s="70">
        <v>1.7763568394002505E-14</v>
      </c>
    </row>
    <row r="528" spans="11:12" x14ac:dyDescent="0.4">
      <c r="K528" s="17">
        <v>526</v>
      </c>
      <c r="L528" s="70">
        <v>-13.999999999999982</v>
      </c>
    </row>
    <row r="529" spans="11:12" x14ac:dyDescent="0.4">
      <c r="K529" s="17">
        <v>527</v>
      </c>
      <c r="L529" s="70">
        <v>-74.299999999999983</v>
      </c>
    </row>
    <row r="530" spans="11:12" x14ac:dyDescent="0.4">
      <c r="K530" s="17">
        <v>528</v>
      </c>
      <c r="L530" s="70">
        <v>1.4210854715202004E-14</v>
      </c>
    </row>
    <row r="531" spans="11:12" x14ac:dyDescent="0.4">
      <c r="K531" s="17">
        <v>529</v>
      </c>
      <c r="L531" s="70">
        <v>7.1000000000000139</v>
      </c>
    </row>
    <row r="532" spans="11:12" x14ac:dyDescent="0.4">
      <c r="K532" s="17">
        <v>530</v>
      </c>
      <c r="L532" s="70">
        <v>-0.89999999999998614</v>
      </c>
    </row>
    <row r="533" spans="11:12" x14ac:dyDescent="0.4">
      <c r="K533" s="17">
        <v>531</v>
      </c>
      <c r="L533" s="70">
        <v>1.3877787807814457E-14</v>
      </c>
    </row>
    <row r="534" spans="11:12" x14ac:dyDescent="0.4">
      <c r="K534" s="17">
        <v>532</v>
      </c>
      <c r="L534" s="70">
        <v>19.700000000000014</v>
      </c>
    </row>
    <row r="535" spans="11:12" x14ac:dyDescent="0.4">
      <c r="K535" s="17">
        <v>533</v>
      </c>
      <c r="L535" s="70">
        <v>3.8000000000000131</v>
      </c>
    </row>
    <row r="536" spans="11:12" x14ac:dyDescent="0.4">
      <c r="K536" s="17">
        <v>534</v>
      </c>
      <c r="L536" s="70">
        <v>1.3322676295501878E-14</v>
      </c>
    </row>
    <row r="537" spans="11:12" x14ac:dyDescent="0.4">
      <c r="K537" s="17">
        <v>535</v>
      </c>
      <c r="L537" s="70">
        <v>23.800000000000015</v>
      </c>
    </row>
    <row r="538" spans="11:12" x14ac:dyDescent="0.4">
      <c r="K538" s="17">
        <v>536</v>
      </c>
      <c r="L538" s="70">
        <v>25.500000000000014</v>
      </c>
    </row>
    <row r="539" spans="11:12" x14ac:dyDescent="0.4">
      <c r="K539" s="17">
        <v>537</v>
      </c>
      <c r="L539" s="70">
        <v>1.4210854715202004E-14</v>
      </c>
    </row>
    <row r="540" spans="11:12" x14ac:dyDescent="0.4">
      <c r="K540" s="17">
        <v>538</v>
      </c>
      <c r="L540" s="70">
        <v>3.5000000000000142</v>
      </c>
    </row>
    <row r="541" spans="11:12" x14ac:dyDescent="0.4">
      <c r="K541" s="17">
        <v>539</v>
      </c>
      <c r="L541" s="70">
        <v>-5.9999999999999858</v>
      </c>
    </row>
    <row r="542" spans="11:12" x14ac:dyDescent="0.4">
      <c r="K542" s="17">
        <v>540</v>
      </c>
      <c r="L542" s="70">
        <v>1.4210854715202004E-14</v>
      </c>
    </row>
    <row r="543" spans="11:12" x14ac:dyDescent="0.4">
      <c r="K543" s="17">
        <v>541</v>
      </c>
      <c r="L543" s="70">
        <v>-4.7999999999999856</v>
      </c>
    </row>
    <row r="544" spans="11:12" x14ac:dyDescent="0.4">
      <c r="K544" s="17">
        <v>542</v>
      </c>
      <c r="L544" s="70">
        <v>21.000000000000014</v>
      </c>
    </row>
    <row r="545" spans="11:12" x14ac:dyDescent="0.4">
      <c r="K545" s="17">
        <v>543</v>
      </c>
      <c r="L545" s="70">
        <v>1.4210854715202004E-14</v>
      </c>
    </row>
    <row r="546" spans="11:12" x14ac:dyDescent="0.4">
      <c r="K546" s="17">
        <v>544</v>
      </c>
      <c r="L546" s="70">
        <v>32.500000000000014</v>
      </c>
    </row>
    <row r="547" spans="11:12" x14ac:dyDescent="0.4">
      <c r="K547" s="17">
        <v>545</v>
      </c>
      <c r="L547" s="70">
        <v>11.900000000000013</v>
      </c>
    </row>
    <row r="548" spans="11:12" x14ac:dyDescent="0.4">
      <c r="K548" s="17">
        <v>546</v>
      </c>
      <c r="L548" s="70">
        <v>1.2434497875801753E-14</v>
      </c>
    </row>
    <row r="549" spans="11:12" x14ac:dyDescent="0.4">
      <c r="K549" s="17">
        <v>547</v>
      </c>
      <c r="L549" s="70">
        <v>17.100000000000016</v>
      </c>
    </row>
    <row r="550" spans="11:12" x14ac:dyDescent="0.4">
      <c r="K550" s="17">
        <v>548</v>
      </c>
      <c r="L550" s="70">
        <v>17.500000000000014</v>
      </c>
    </row>
    <row r="551" spans="11:12" x14ac:dyDescent="0.4">
      <c r="K551" s="17">
        <v>549</v>
      </c>
      <c r="L551" s="70">
        <v>1.4210854715202004E-14</v>
      </c>
    </row>
    <row r="552" spans="11:12" x14ac:dyDescent="0.4">
      <c r="K552" s="17">
        <v>550</v>
      </c>
      <c r="L552" s="70">
        <v>12.300000000000015</v>
      </c>
    </row>
    <row r="553" spans="11:12" x14ac:dyDescent="0.4">
      <c r="K553" s="17">
        <v>551</v>
      </c>
      <c r="L553" s="70">
        <v>23.100000000000016</v>
      </c>
    </row>
    <row r="554" spans="11:12" x14ac:dyDescent="0.4">
      <c r="K554" s="17">
        <v>552</v>
      </c>
      <c r="L554" s="70">
        <v>1.4210854715202004E-14</v>
      </c>
    </row>
    <row r="555" spans="11:12" x14ac:dyDescent="0.4">
      <c r="K555" s="17">
        <v>553</v>
      </c>
      <c r="L555" s="70">
        <v>24.300000000000015</v>
      </c>
    </row>
    <row r="556" spans="11:12" x14ac:dyDescent="0.4">
      <c r="K556" s="17">
        <v>554</v>
      </c>
      <c r="L556" s="70">
        <v>11.400000000000015</v>
      </c>
    </row>
    <row r="557" spans="11:12" x14ac:dyDescent="0.4">
      <c r="K557" s="17">
        <v>555</v>
      </c>
      <c r="L557" s="70">
        <v>1.4210854715202004E-14</v>
      </c>
    </row>
    <row r="558" spans="11:12" x14ac:dyDescent="0.4">
      <c r="K558" s="17">
        <v>556</v>
      </c>
      <c r="L558" s="70">
        <v>-12.199999999999985</v>
      </c>
    </row>
    <row r="559" spans="11:12" x14ac:dyDescent="0.4">
      <c r="K559" s="17">
        <v>557</v>
      </c>
      <c r="L559" s="70">
        <v>-7.2999999999999847</v>
      </c>
    </row>
    <row r="560" spans="11:12" x14ac:dyDescent="0.4">
      <c r="K560" s="17">
        <v>558</v>
      </c>
      <c r="L560" s="70">
        <v>1.5099033134902129E-14</v>
      </c>
    </row>
    <row r="561" spans="11:12" x14ac:dyDescent="0.4">
      <c r="K561" s="17">
        <v>559</v>
      </c>
      <c r="L561" s="70">
        <v>-1.9999999999999849</v>
      </c>
    </row>
    <row r="562" spans="11:12" x14ac:dyDescent="0.4">
      <c r="K562" s="17">
        <v>560</v>
      </c>
      <c r="L562" s="70">
        <v>4.6000000000000147</v>
      </c>
    </row>
    <row r="563" spans="11:12" x14ac:dyDescent="0.4">
      <c r="K563" s="17">
        <v>561</v>
      </c>
      <c r="L563" s="70">
        <v>1.5099033134902129E-14</v>
      </c>
    </row>
    <row r="564" spans="11:12" x14ac:dyDescent="0.4">
      <c r="K564" s="17">
        <v>562</v>
      </c>
      <c r="L564" s="70">
        <v>-40.599999999999987</v>
      </c>
    </row>
    <row r="565" spans="11:12" x14ac:dyDescent="0.4">
      <c r="K565" s="17">
        <v>563</v>
      </c>
      <c r="L565" s="70">
        <v>-76.499999999999986</v>
      </c>
    </row>
    <row r="566" spans="11:12" x14ac:dyDescent="0.4">
      <c r="K566" s="17">
        <v>564</v>
      </c>
      <c r="L566" s="70">
        <v>1.4210854715202004E-14</v>
      </c>
    </row>
    <row r="567" spans="11:12" x14ac:dyDescent="0.4">
      <c r="K567" s="17">
        <v>565</v>
      </c>
      <c r="L567" s="70">
        <v>21.700000000000014</v>
      </c>
    </row>
    <row r="568" spans="11:12" x14ac:dyDescent="0.4">
      <c r="K568" s="17">
        <v>566</v>
      </c>
      <c r="L568" s="70">
        <v>35.800000000000011</v>
      </c>
    </row>
    <row r="569" spans="11:12" x14ac:dyDescent="0.4">
      <c r="K569" s="17">
        <v>567</v>
      </c>
      <c r="L569" s="70">
        <v>1.4210854715202004E-14</v>
      </c>
    </row>
    <row r="570" spans="11:12" x14ac:dyDescent="0.4">
      <c r="K570" s="17">
        <v>568</v>
      </c>
      <c r="L570" s="70">
        <v>40.700000000000017</v>
      </c>
    </row>
    <row r="571" spans="11:12" x14ac:dyDescent="0.4">
      <c r="K571" s="17">
        <v>569</v>
      </c>
      <c r="L571" s="70">
        <v>2.2000000000000171</v>
      </c>
    </row>
    <row r="572" spans="11:12" x14ac:dyDescent="0.4">
      <c r="K572" s="17">
        <v>570</v>
      </c>
      <c r="L572" s="70">
        <v>1.6875389974302379E-14</v>
      </c>
    </row>
    <row r="573" spans="11:12" x14ac:dyDescent="0.4">
      <c r="K573" s="17">
        <v>571</v>
      </c>
      <c r="L573" s="70">
        <v>8.0000000000000178</v>
      </c>
    </row>
    <row r="574" spans="11:12" x14ac:dyDescent="0.4">
      <c r="K574" s="17">
        <v>572</v>
      </c>
      <c r="L574" s="70">
        <v>16.90000000000002</v>
      </c>
    </row>
    <row r="575" spans="11:12" x14ac:dyDescent="0.4">
      <c r="K575" s="17">
        <v>573</v>
      </c>
      <c r="L575" s="70">
        <v>2.1316282072803006E-14</v>
      </c>
    </row>
    <row r="576" spans="11:12" x14ac:dyDescent="0.4">
      <c r="K576" s="17">
        <v>574</v>
      </c>
      <c r="L576" s="70">
        <v>7.7000000000000215</v>
      </c>
    </row>
    <row r="577" spans="11:12" x14ac:dyDescent="0.4">
      <c r="K577" s="17">
        <v>575</v>
      </c>
      <c r="L577" s="70">
        <v>37.40000000000002</v>
      </c>
    </row>
    <row r="578" spans="11:12" x14ac:dyDescent="0.4">
      <c r="K578" s="17">
        <v>576</v>
      </c>
      <c r="L578" s="70">
        <v>2.1316282072803006E-14</v>
      </c>
    </row>
    <row r="579" spans="11:12" x14ac:dyDescent="0.4">
      <c r="K579" s="17">
        <v>577</v>
      </c>
      <c r="L579" s="70">
        <v>-68.999999999999972</v>
      </c>
    </row>
    <row r="580" spans="11:12" x14ac:dyDescent="0.4">
      <c r="K580" s="17">
        <v>578</v>
      </c>
      <c r="L580" s="70">
        <v>-89.699999999999974</v>
      </c>
    </row>
    <row r="581" spans="11:12" x14ac:dyDescent="0.4">
      <c r="K581" s="17">
        <v>579</v>
      </c>
      <c r="L581" s="70">
        <v>2.8421709430404007E-14</v>
      </c>
    </row>
    <row r="582" spans="11:12" x14ac:dyDescent="0.4">
      <c r="K582" s="17">
        <v>580</v>
      </c>
      <c r="L582" s="70">
        <v>-2.9999999999999716</v>
      </c>
    </row>
    <row r="583" spans="11:12" x14ac:dyDescent="0.4">
      <c r="K583" s="17">
        <v>581</v>
      </c>
      <c r="L583" s="70">
        <v>-31.199999999999971</v>
      </c>
    </row>
    <row r="584" spans="11:12" x14ac:dyDescent="0.4">
      <c r="K584" s="17">
        <v>582</v>
      </c>
      <c r="L584" s="70">
        <v>2.8421709430404007E-14</v>
      </c>
    </row>
    <row r="585" spans="11:12" x14ac:dyDescent="0.4">
      <c r="K585" s="17">
        <v>583</v>
      </c>
      <c r="L585" s="70">
        <v>-2.5999999999999717</v>
      </c>
    </row>
    <row r="586" spans="11:12" x14ac:dyDescent="0.4">
      <c r="K586" s="17">
        <v>584</v>
      </c>
      <c r="L586" s="70">
        <v>-40.199999999999974</v>
      </c>
    </row>
    <row r="587" spans="11:12" x14ac:dyDescent="0.4">
      <c r="K587" s="17">
        <v>585</v>
      </c>
      <c r="L587" s="70">
        <v>2.8421709430404007E-14</v>
      </c>
    </row>
    <row r="588" spans="11:12" x14ac:dyDescent="0.4">
      <c r="K588" s="17">
        <v>586</v>
      </c>
      <c r="L588" s="70">
        <v>59.000000000000028</v>
      </c>
    </row>
    <row r="589" spans="11:12" x14ac:dyDescent="0.4">
      <c r="K589" s="17">
        <v>587</v>
      </c>
      <c r="L589" s="70">
        <v>21.000000000000028</v>
      </c>
    </row>
    <row r="590" spans="11:12" x14ac:dyDescent="0.4">
      <c r="K590" s="17">
        <v>588</v>
      </c>
      <c r="L590" s="70">
        <v>2.8421709430404007E-14</v>
      </c>
    </row>
    <row r="591" spans="11:12" x14ac:dyDescent="0.4">
      <c r="K591" s="17">
        <v>589</v>
      </c>
      <c r="L591" s="70">
        <v>2.8421709430404007E-14</v>
      </c>
    </row>
    <row r="592" spans="11:12" x14ac:dyDescent="0.4">
      <c r="K592" s="17">
        <v>590</v>
      </c>
      <c r="L592" s="70">
        <v>36.000000000000028</v>
      </c>
    </row>
    <row r="593" spans="11:12" x14ac:dyDescent="0.4">
      <c r="K593" s="17">
        <v>591</v>
      </c>
      <c r="L593" s="70">
        <v>2.8421709430404007E-14</v>
      </c>
    </row>
    <row r="594" spans="11:12" x14ac:dyDescent="0.4">
      <c r="K594" s="17">
        <v>592</v>
      </c>
      <c r="L594" s="70">
        <v>-20.499999999999972</v>
      </c>
    </row>
    <row r="595" spans="11:12" x14ac:dyDescent="0.4">
      <c r="K595" s="17">
        <v>593</v>
      </c>
      <c r="L595" s="70">
        <v>9.400000000000027</v>
      </c>
    </row>
    <row r="596" spans="11:12" x14ac:dyDescent="0.4">
      <c r="K596" s="17">
        <v>594</v>
      </c>
      <c r="L596" s="70">
        <v>2.6645352591003757E-14</v>
      </c>
    </row>
    <row r="597" spans="11:12" x14ac:dyDescent="0.4">
      <c r="K597" s="17">
        <v>595</v>
      </c>
      <c r="L597" s="70">
        <v>14.500000000000027</v>
      </c>
    </row>
    <row r="598" spans="11:12" x14ac:dyDescent="0.4">
      <c r="K598" s="17">
        <v>596</v>
      </c>
      <c r="L598" s="70">
        <v>23.400000000000027</v>
      </c>
    </row>
    <row r="599" spans="11:12" x14ac:dyDescent="0.4">
      <c r="K599" s="17">
        <v>597</v>
      </c>
      <c r="L599" s="70">
        <v>2.8421709430404007E-14</v>
      </c>
    </row>
    <row r="600" spans="11:12" x14ac:dyDescent="0.4">
      <c r="K600" s="17">
        <v>598</v>
      </c>
      <c r="L600" s="70">
        <v>15.900000000000029</v>
      </c>
    </row>
    <row r="601" spans="11:12" x14ac:dyDescent="0.4">
      <c r="K601" s="17">
        <v>599</v>
      </c>
      <c r="L601" s="70">
        <v>39.400000000000027</v>
      </c>
    </row>
    <row r="602" spans="11:12" x14ac:dyDescent="0.4">
      <c r="K602" s="17">
        <v>600</v>
      </c>
      <c r="L602" s="70">
        <v>2.8421709430404007E-14</v>
      </c>
    </row>
    <row r="603" spans="11:12" x14ac:dyDescent="0.4">
      <c r="K603" s="17">
        <v>601</v>
      </c>
      <c r="L603" s="70">
        <v>-3.3999999999999715</v>
      </c>
    </row>
    <row r="604" spans="11:12" x14ac:dyDescent="0.4">
      <c r="K604" s="17">
        <v>602</v>
      </c>
      <c r="L604" s="70">
        <v>-17.89999999999997</v>
      </c>
    </row>
    <row r="605" spans="11:12" x14ac:dyDescent="0.4">
      <c r="K605" s="17">
        <v>603</v>
      </c>
      <c r="L605" s="70">
        <v>2.8421709430404007E-14</v>
      </c>
    </row>
    <row r="606" spans="11:12" x14ac:dyDescent="0.4">
      <c r="K606" s="17">
        <v>604</v>
      </c>
      <c r="L606" s="70">
        <v>4.4000000000000288</v>
      </c>
    </row>
    <row r="607" spans="11:12" x14ac:dyDescent="0.4">
      <c r="K607" s="17">
        <v>605</v>
      </c>
      <c r="L607" s="70">
        <v>-1.399999999999971</v>
      </c>
    </row>
    <row r="608" spans="11:12" x14ac:dyDescent="0.4">
      <c r="K608" s="17">
        <v>606</v>
      </c>
      <c r="L608" s="70">
        <v>2.886579864025407E-14</v>
      </c>
    </row>
    <row r="609" spans="11:12" x14ac:dyDescent="0.4">
      <c r="K609" s="17">
        <v>607</v>
      </c>
      <c r="L609" s="70">
        <v>39.500000000000028</v>
      </c>
    </row>
    <row r="610" spans="11:12" x14ac:dyDescent="0.4">
      <c r="K610" s="17">
        <v>608</v>
      </c>
      <c r="L610" s="70">
        <v>2.8000000000000256</v>
      </c>
    </row>
    <row r="611" spans="11:12" x14ac:dyDescent="0.4">
      <c r="K611" s="17">
        <v>609</v>
      </c>
      <c r="L611" s="70">
        <v>2.5757174171303632E-14</v>
      </c>
    </row>
    <row r="612" spans="11:12" x14ac:dyDescent="0.4">
      <c r="K612" s="17">
        <v>610</v>
      </c>
      <c r="L612" s="70">
        <v>61.000000000000028</v>
      </c>
    </row>
    <row r="613" spans="11:12" x14ac:dyDescent="0.4">
      <c r="K613" s="17">
        <v>611</v>
      </c>
      <c r="L613" s="70">
        <v>13.500000000000028</v>
      </c>
    </row>
    <row r="614" spans="11:12" x14ac:dyDescent="0.4">
      <c r="K614" s="17">
        <v>612</v>
      </c>
      <c r="L614" s="70">
        <v>2.8421709430404007E-14</v>
      </c>
    </row>
    <row r="615" spans="11:12" x14ac:dyDescent="0.4">
      <c r="K615" s="17">
        <v>613</v>
      </c>
      <c r="L615" s="70">
        <v>11.700000000000028</v>
      </c>
    </row>
    <row r="616" spans="11:12" x14ac:dyDescent="0.4">
      <c r="K616" s="17">
        <v>614</v>
      </c>
      <c r="L616" s="70">
        <v>-11.799999999999972</v>
      </c>
    </row>
    <row r="617" spans="11:12" x14ac:dyDescent="0.4">
      <c r="K617" s="17">
        <v>615</v>
      </c>
      <c r="L617" s="70">
        <v>2.8421709430404007E-14</v>
      </c>
    </row>
    <row r="618" spans="11:12" x14ac:dyDescent="0.4">
      <c r="K618" s="17">
        <v>616</v>
      </c>
      <c r="L618" s="70">
        <v>16.10000000000003</v>
      </c>
    </row>
    <row r="619" spans="11:12" x14ac:dyDescent="0.4">
      <c r="K619" s="17">
        <v>617</v>
      </c>
      <c r="L619" s="70">
        <v>15.10000000000003</v>
      </c>
    </row>
    <row r="620" spans="11:12" x14ac:dyDescent="0.4">
      <c r="K620" s="17">
        <v>618</v>
      </c>
      <c r="L620" s="70">
        <v>3.0198066269804258E-14</v>
      </c>
    </row>
    <row r="621" spans="11:12" x14ac:dyDescent="0.4">
      <c r="K621" s="17">
        <v>619</v>
      </c>
      <c r="L621" s="70">
        <v>57.500000000000028</v>
      </c>
    </row>
    <row r="622" spans="11:12" x14ac:dyDescent="0.4">
      <c r="K622" s="17">
        <v>620</v>
      </c>
      <c r="L622" s="70">
        <v>11.700000000000031</v>
      </c>
    </row>
    <row r="623" spans="11:12" x14ac:dyDescent="0.4">
      <c r="K623" s="17">
        <v>621</v>
      </c>
      <c r="L623" s="70">
        <v>3.1974423109204508E-14</v>
      </c>
    </row>
    <row r="624" spans="11:12" x14ac:dyDescent="0.4">
      <c r="K624" s="17">
        <v>622</v>
      </c>
      <c r="L624" s="70">
        <v>-12.499999999999968</v>
      </c>
    </row>
    <row r="625" spans="11:12" x14ac:dyDescent="0.4">
      <c r="K625" s="17">
        <v>623</v>
      </c>
      <c r="L625" s="70">
        <v>-56.399999999999963</v>
      </c>
    </row>
    <row r="626" spans="11:12" x14ac:dyDescent="0.4">
      <c r="K626" s="17">
        <v>624</v>
      </c>
      <c r="L626" s="70">
        <v>3.5527136788005009E-14</v>
      </c>
    </row>
    <row r="627" spans="11:12" x14ac:dyDescent="0.4">
      <c r="K627" s="17">
        <v>625</v>
      </c>
      <c r="L627" s="70">
        <v>-41.999999999999964</v>
      </c>
    </row>
    <row r="628" spans="11:12" x14ac:dyDescent="0.4">
      <c r="K628" s="17">
        <v>626</v>
      </c>
      <c r="L628" s="70">
        <v>-44.999999999999964</v>
      </c>
    </row>
    <row r="629" spans="11:12" x14ac:dyDescent="0.4">
      <c r="K629" s="17">
        <v>627</v>
      </c>
      <c r="L629" s="70">
        <v>3.5527136788005009E-14</v>
      </c>
    </row>
    <row r="630" spans="11:12" x14ac:dyDescent="0.4">
      <c r="K630" s="17">
        <v>628</v>
      </c>
      <c r="L630" s="70">
        <v>10.700000000000035</v>
      </c>
    </row>
    <row r="631" spans="11:12" x14ac:dyDescent="0.4">
      <c r="K631" s="17">
        <v>629</v>
      </c>
      <c r="L631" s="70">
        <v>6.7000000000000348</v>
      </c>
    </row>
    <row r="632" spans="11:12" x14ac:dyDescent="0.4">
      <c r="K632" s="17">
        <v>630</v>
      </c>
      <c r="L632" s="70">
        <v>3.4638958368304884E-14</v>
      </c>
    </row>
    <row r="633" spans="11:12" x14ac:dyDescent="0.4">
      <c r="K633" s="17">
        <v>631</v>
      </c>
      <c r="L633" s="70">
        <v>31.100000000000037</v>
      </c>
    </row>
    <row r="634" spans="11:12" x14ac:dyDescent="0.4">
      <c r="K634" s="17">
        <v>632</v>
      </c>
      <c r="L634" s="70">
        <v>0.70000000000003837</v>
      </c>
    </row>
    <row r="635" spans="11:12" x14ac:dyDescent="0.4">
      <c r="K635" s="17">
        <v>633</v>
      </c>
      <c r="L635" s="70">
        <v>3.8413716652030416E-14</v>
      </c>
    </row>
    <row r="636" spans="11:12" x14ac:dyDescent="0.4">
      <c r="K636" s="17">
        <v>634</v>
      </c>
      <c r="L636" s="70">
        <v>10.200000000000038</v>
      </c>
    </row>
    <row r="637" spans="11:12" x14ac:dyDescent="0.4">
      <c r="K637" s="17">
        <v>635</v>
      </c>
      <c r="L637" s="70">
        <v>-10.099999999999962</v>
      </c>
    </row>
    <row r="638" spans="11:12" x14ac:dyDescent="0.4">
      <c r="K638" s="17">
        <v>636</v>
      </c>
      <c r="L638" s="70">
        <v>3.730349362740526E-14</v>
      </c>
    </row>
    <row r="639" spans="11:12" x14ac:dyDescent="0.4">
      <c r="K639" s="17">
        <v>637</v>
      </c>
      <c r="L639" s="70">
        <v>8.300000000000038</v>
      </c>
    </row>
    <row r="640" spans="11:12" x14ac:dyDescent="0.4">
      <c r="K640" s="17">
        <v>638</v>
      </c>
      <c r="L640" s="70">
        <v>35.80000000000004</v>
      </c>
    </row>
    <row r="641" spans="11:12" x14ac:dyDescent="0.4">
      <c r="K641" s="17">
        <v>639</v>
      </c>
      <c r="L641" s="70">
        <v>4.2632564145606011E-14</v>
      </c>
    </row>
    <row r="642" spans="11:12" x14ac:dyDescent="0.4">
      <c r="K642" s="17">
        <v>640</v>
      </c>
      <c r="L642" s="70">
        <v>-1.8999999999999573</v>
      </c>
    </row>
    <row r="643" spans="11:12" x14ac:dyDescent="0.4">
      <c r="K643" s="17">
        <v>641</v>
      </c>
      <c r="L643" s="70">
        <v>3.8000000000000429</v>
      </c>
    </row>
    <row r="644" spans="11:12" x14ac:dyDescent="0.4">
      <c r="K644" s="17">
        <v>642</v>
      </c>
      <c r="L644" s="70">
        <v>4.3076653355456074E-14</v>
      </c>
    </row>
    <row r="645" spans="11:12" x14ac:dyDescent="0.4">
      <c r="K645" s="17">
        <v>643</v>
      </c>
      <c r="L645" s="70">
        <v>0.50000000000004308</v>
      </c>
    </row>
    <row r="646" spans="11:12" x14ac:dyDescent="0.4">
      <c r="K646" s="17">
        <v>644</v>
      </c>
      <c r="L646" s="70">
        <v>13.700000000000042</v>
      </c>
    </row>
    <row r="647" spans="11:12" x14ac:dyDescent="0.4">
      <c r="K647" s="17">
        <v>645</v>
      </c>
      <c r="L647" s="70">
        <v>4.2632564145606011E-14</v>
      </c>
    </row>
    <row r="648" spans="11:12" x14ac:dyDescent="0.4">
      <c r="K648" s="17">
        <v>646</v>
      </c>
      <c r="L648" s="70">
        <v>48.000000000000043</v>
      </c>
    </row>
    <row r="649" spans="11:12" x14ac:dyDescent="0.4">
      <c r="K649" s="17">
        <v>647</v>
      </c>
      <c r="L649" s="70">
        <v>41.000000000000043</v>
      </c>
    </row>
    <row r="650" spans="11:12" x14ac:dyDescent="0.4">
      <c r="K650" s="17">
        <v>648</v>
      </c>
      <c r="L650" s="70">
        <v>4.2632564145606011E-14</v>
      </c>
    </row>
    <row r="651" spans="11:12" x14ac:dyDescent="0.4">
      <c r="K651" s="17">
        <v>649</v>
      </c>
      <c r="L651" s="70">
        <v>22.800000000000043</v>
      </c>
    </row>
    <row r="652" spans="11:12" x14ac:dyDescent="0.4">
      <c r="K652" s="17">
        <v>650</v>
      </c>
      <c r="L652" s="70">
        <v>43.100000000000044</v>
      </c>
    </row>
    <row r="653" spans="11:12" x14ac:dyDescent="0.4">
      <c r="K653" s="17">
        <v>651</v>
      </c>
      <c r="L653" s="70">
        <v>4.2632564145606011E-14</v>
      </c>
    </row>
    <row r="654" spans="11:12" x14ac:dyDescent="0.4">
      <c r="K654" s="17">
        <v>652</v>
      </c>
      <c r="L654" s="70">
        <v>6.0000000000000426</v>
      </c>
    </row>
    <row r="655" spans="11:12" x14ac:dyDescent="0.4">
      <c r="K655" s="17">
        <v>653</v>
      </c>
      <c r="L655" s="70">
        <v>4.2632564145606011E-14</v>
      </c>
    </row>
    <row r="656" spans="11:12" x14ac:dyDescent="0.4">
      <c r="K656" s="17">
        <v>654</v>
      </c>
      <c r="L656" s="70">
        <v>4.2632564145606011E-14</v>
      </c>
    </row>
    <row r="657" spans="11:12" x14ac:dyDescent="0.4">
      <c r="K657" s="17">
        <v>655</v>
      </c>
      <c r="L657" s="70">
        <v>-16.999999999999957</v>
      </c>
    </row>
    <row r="658" spans="11:12" x14ac:dyDescent="0.4">
      <c r="K658" s="17">
        <v>656</v>
      </c>
      <c r="L658" s="70">
        <v>3.7000000000000419</v>
      </c>
    </row>
    <row r="659" spans="11:12" x14ac:dyDescent="0.4">
      <c r="K659" s="17">
        <v>657</v>
      </c>
      <c r="L659" s="70">
        <v>4.1744385725905886E-14</v>
      </c>
    </row>
    <row r="660" spans="11:12" x14ac:dyDescent="0.4">
      <c r="K660" s="17">
        <v>658</v>
      </c>
      <c r="L660" s="70">
        <v>-26.199999999999957</v>
      </c>
    </row>
    <row r="661" spans="11:12" x14ac:dyDescent="0.4">
      <c r="K661" s="17">
        <v>659</v>
      </c>
      <c r="L661" s="70">
        <v>36.500000000000043</v>
      </c>
    </row>
    <row r="662" spans="11:12" x14ac:dyDescent="0.4">
      <c r="K662" s="17">
        <v>660</v>
      </c>
      <c r="L662" s="70">
        <v>4.2632564145606011E-14</v>
      </c>
    </row>
    <row r="663" spans="11:12" x14ac:dyDescent="0.4">
      <c r="K663" s="17">
        <v>661</v>
      </c>
      <c r="L663" s="70">
        <v>-18.899999999999956</v>
      </c>
    </row>
    <row r="664" spans="11:12" x14ac:dyDescent="0.4">
      <c r="K664" s="17">
        <v>662</v>
      </c>
      <c r="L664" s="70">
        <v>-12.299999999999956</v>
      </c>
    </row>
    <row r="665" spans="11:12" x14ac:dyDescent="0.4">
      <c r="K665" s="17">
        <v>663</v>
      </c>
      <c r="L665" s="70">
        <v>4.4408920985006262E-14</v>
      </c>
    </row>
    <row r="666" spans="11:12" x14ac:dyDescent="0.4">
      <c r="K666" s="17">
        <v>664</v>
      </c>
      <c r="L666" s="70">
        <v>36.000000000000043</v>
      </c>
    </row>
    <row r="667" spans="11:12" x14ac:dyDescent="0.4">
      <c r="K667" s="17">
        <v>665</v>
      </c>
      <c r="L667" s="70">
        <v>15.500000000000043</v>
      </c>
    </row>
    <row r="668" spans="11:12" x14ac:dyDescent="0.4">
      <c r="K668" s="17">
        <v>666</v>
      </c>
      <c r="L668" s="70">
        <v>4.2632564145606011E-14</v>
      </c>
    </row>
    <row r="669" spans="11:12" x14ac:dyDescent="0.4">
      <c r="K669" s="17">
        <v>667</v>
      </c>
      <c r="L669" s="70">
        <v>36.700000000000045</v>
      </c>
    </row>
    <row r="670" spans="11:12" x14ac:dyDescent="0.4">
      <c r="K670" s="17">
        <v>668</v>
      </c>
      <c r="L670" s="70">
        <v>-0.29999999999995453</v>
      </c>
    </row>
    <row r="671" spans="11:12" x14ac:dyDescent="0.4">
      <c r="K671" s="17">
        <v>669</v>
      </c>
      <c r="L671" s="70">
        <v>4.546363285840016E-14</v>
      </c>
    </row>
    <row r="672" spans="11:12" x14ac:dyDescent="0.4">
      <c r="K672" s="17">
        <v>670</v>
      </c>
      <c r="L672" s="70">
        <v>12.400000000000047</v>
      </c>
    </row>
    <row r="673" spans="11:12" x14ac:dyDescent="0.4">
      <c r="K673" s="17">
        <v>671</v>
      </c>
      <c r="L673" s="70">
        <v>-4.1999999999999549</v>
      </c>
    </row>
    <row r="674" spans="11:12" x14ac:dyDescent="0.4">
      <c r="K674" s="17">
        <v>672</v>
      </c>
      <c r="L674" s="70">
        <v>4.5297099404706387E-14</v>
      </c>
    </row>
    <row r="675" spans="11:12" x14ac:dyDescent="0.4">
      <c r="K675" s="17">
        <v>673</v>
      </c>
      <c r="L675" s="70">
        <v>14.000000000000046</v>
      </c>
    </row>
    <row r="676" spans="11:12" x14ac:dyDescent="0.4">
      <c r="K676" s="17">
        <v>674</v>
      </c>
      <c r="L676" s="70">
        <v>41.400000000000048</v>
      </c>
    </row>
    <row r="677" spans="11:12" x14ac:dyDescent="0.4">
      <c r="K677" s="17">
        <v>675</v>
      </c>
      <c r="L677" s="70">
        <v>4.9737991503207013E-14</v>
      </c>
    </row>
    <row r="678" spans="11:12" x14ac:dyDescent="0.4">
      <c r="K678" s="17">
        <v>676</v>
      </c>
      <c r="L678" s="70">
        <v>6.8000000000000496</v>
      </c>
    </row>
    <row r="679" spans="11:12" x14ac:dyDescent="0.4">
      <c r="K679" s="17">
        <v>677</v>
      </c>
      <c r="L679" s="70">
        <v>34.50000000000005</v>
      </c>
    </row>
    <row r="680" spans="11:12" x14ac:dyDescent="0.4">
      <c r="K680" s="17">
        <v>678</v>
      </c>
      <c r="L680" s="70">
        <v>4.9737991503207013E-14</v>
      </c>
    </row>
    <row r="681" spans="11:12" x14ac:dyDescent="0.4">
      <c r="K681" s="17">
        <v>679</v>
      </c>
      <c r="L681" s="70">
        <v>-7.5999999999999499</v>
      </c>
    </row>
    <row r="682" spans="11:12" x14ac:dyDescent="0.4">
      <c r="K682" s="17">
        <v>680</v>
      </c>
      <c r="L682" s="70">
        <v>-9.5999999999999499</v>
      </c>
    </row>
    <row r="683" spans="11:12" x14ac:dyDescent="0.4">
      <c r="K683" s="17">
        <v>681</v>
      </c>
      <c r="L683" s="70">
        <v>4.9737991503207013E-14</v>
      </c>
    </row>
    <row r="684" spans="11:12" x14ac:dyDescent="0.4">
      <c r="K684" s="17">
        <v>682</v>
      </c>
      <c r="L684" s="70">
        <v>26.200000000000049</v>
      </c>
    </row>
    <row r="685" spans="11:12" x14ac:dyDescent="0.4">
      <c r="K685" s="17">
        <v>683</v>
      </c>
      <c r="L685" s="70">
        <v>-2.1999999999999496</v>
      </c>
    </row>
    <row r="686" spans="11:12" x14ac:dyDescent="0.4">
      <c r="K686" s="17">
        <v>684</v>
      </c>
      <c r="L686" s="70">
        <v>5.0626169922907138E-14</v>
      </c>
    </row>
    <row r="687" spans="11:12" x14ac:dyDescent="0.4">
      <c r="K687" s="17">
        <v>685</v>
      </c>
      <c r="L687" s="70">
        <v>13.700000000000049</v>
      </c>
    </row>
    <row r="688" spans="11:12" x14ac:dyDescent="0.4">
      <c r="K688" s="17">
        <v>686</v>
      </c>
      <c r="L688" s="70">
        <v>-9.9999999999951683E-2</v>
      </c>
    </row>
    <row r="689" spans="11:12" x14ac:dyDescent="0.4">
      <c r="K689" s="17">
        <v>687</v>
      </c>
      <c r="L689" s="70">
        <v>4.8322457146809938E-14</v>
      </c>
    </row>
    <row r="690" spans="11:12" x14ac:dyDescent="0.4">
      <c r="K690" s="17">
        <v>688</v>
      </c>
      <c r="L690" s="70">
        <v>0.30000000000004834</v>
      </c>
    </row>
    <row r="691" spans="11:12" x14ac:dyDescent="0.4">
      <c r="K691" s="17">
        <v>689</v>
      </c>
      <c r="L691" s="70">
        <v>-16.599999999999952</v>
      </c>
    </row>
    <row r="692" spans="11:12" x14ac:dyDescent="0.4">
      <c r="K692" s="17">
        <v>690</v>
      </c>
      <c r="L692" s="70">
        <v>4.9737991503207013E-14</v>
      </c>
    </row>
    <row r="693" spans="11:12" x14ac:dyDescent="0.4">
      <c r="K693" s="17">
        <v>691</v>
      </c>
      <c r="L693" s="70">
        <v>-5.3999999999999506</v>
      </c>
    </row>
    <row r="694" spans="11:12" x14ac:dyDescent="0.4">
      <c r="K694" s="17">
        <v>692</v>
      </c>
      <c r="L694" s="70">
        <v>-30.799999999999947</v>
      </c>
    </row>
    <row r="695" spans="11:12" x14ac:dyDescent="0.4">
      <c r="K695" s="17">
        <v>693</v>
      </c>
      <c r="L695" s="70">
        <v>5.3290705182007514E-14</v>
      </c>
    </row>
    <row r="696" spans="11:12" x14ac:dyDescent="0.4">
      <c r="K696" s="17">
        <v>694</v>
      </c>
      <c r="L696" s="70">
        <v>-43.199999999999946</v>
      </c>
    </row>
    <row r="697" spans="11:12" x14ac:dyDescent="0.4">
      <c r="K697" s="17">
        <v>695</v>
      </c>
      <c r="L697" s="70">
        <v>-63.699999999999946</v>
      </c>
    </row>
    <row r="698" spans="11:12" x14ac:dyDescent="0.4">
      <c r="K698" s="17">
        <v>696</v>
      </c>
      <c r="L698" s="70">
        <v>5.6843418860808015E-14</v>
      </c>
    </row>
    <row r="699" spans="11:12" x14ac:dyDescent="0.4">
      <c r="K699" s="17">
        <v>697</v>
      </c>
      <c r="L699" s="70">
        <v>18.200000000000056</v>
      </c>
    </row>
    <row r="700" spans="11:12" x14ac:dyDescent="0.4">
      <c r="K700" s="17">
        <v>698</v>
      </c>
      <c r="L700" s="70">
        <v>-12.499999999999943</v>
      </c>
    </row>
    <row r="701" spans="11:12" x14ac:dyDescent="0.4">
      <c r="K701" s="17">
        <v>699</v>
      </c>
      <c r="L701" s="70">
        <v>5.6843418860808015E-14</v>
      </c>
    </row>
    <row r="702" spans="11:12" x14ac:dyDescent="0.4">
      <c r="K702" s="17">
        <v>700</v>
      </c>
      <c r="L702" s="70">
        <v>22.800000000000058</v>
      </c>
    </row>
    <row r="703" spans="11:12" x14ac:dyDescent="0.4">
      <c r="K703" s="17">
        <v>701</v>
      </c>
      <c r="L703" s="70">
        <v>-17.199999999999942</v>
      </c>
    </row>
    <row r="704" spans="11:12" x14ac:dyDescent="0.4">
      <c r="K704" s="17">
        <v>702</v>
      </c>
      <c r="L704" s="70">
        <v>5.6843418860808015E-14</v>
      </c>
    </row>
    <row r="705" spans="11:12" x14ac:dyDescent="0.4">
      <c r="K705" s="17">
        <v>703</v>
      </c>
      <c r="L705" s="70">
        <v>8.1000000000000565</v>
      </c>
    </row>
    <row r="706" spans="11:12" x14ac:dyDescent="0.4">
      <c r="K706" s="17">
        <v>704</v>
      </c>
      <c r="L706" s="70">
        <v>30.600000000000058</v>
      </c>
    </row>
    <row r="707" spans="11:12" x14ac:dyDescent="0.4">
      <c r="K707" s="17">
        <v>705</v>
      </c>
      <c r="L707" s="70">
        <v>5.6843418860808015E-14</v>
      </c>
    </row>
    <row r="708" spans="11:12" x14ac:dyDescent="0.4">
      <c r="K708" s="17">
        <v>706</v>
      </c>
      <c r="L708" s="70">
        <v>5.0000000000000568</v>
      </c>
    </row>
    <row r="709" spans="11:12" x14ac:dyDescent="0.4">
      <c r="K709" s="17">
        <v>707</v>
      </c>
      <c r="L709" s="70">
        <v>-23.799999999999944</v>
      </c>
    </row>
    <row r="710" spans="11:12" x14ac:dyDescent="0.4">
      <c r="K710" s="17">
        <v>708</v>
      </c>
      <c r="L710" s="70">
        <v>5.6843418860808015E-14</v>
      </c>
    </row>
    <row r="711" spans="11:12" x14ac:dyDescent="0.4">
      <c r="K711" s="17">
        <v>709</v>
      </c>
      <c r="L711" s="70">
        <v>-38.999999999999943</v>
      </c>
    </row>
    <row r="712" spans="11:12" x14ac:dyDescent="0.4">
      <c r="K712" s="17">
        <v>710</v>
      </c>
      <c r="L712" s="70">
        <v>-23.499999999999943</v>
      </c>
    </row>
    <row r="713" spans="11:12" x14ac:dyDescent="0.4">
      <c r="K713" s="17">
        <v>711</v>
      </c>
      <c r="L713" s="70">
        <v>5.6843418860808015E-14</v>
      </c>
    </row>
    <row r="714" spans="11:12" x14ac:dyDescent="0.4">
      <c r="K714" s="17">
        <v>712</v>
      </c>
      <c r="L714" s="70">
        <v>7.5000000000000568</v>
      </c>
    </row>
    <row r="715" spans="11:12" x14ac:dyDescent="0.4">
      <c r="K715" s="17">
        <v>713</v>
      </c>
      <c r="L715" s="70">
        <v>50.500000000000057</v>
      </c>
    </row>
    <row r="716" spans="11:12" x14ac:dyDescent="0.4">
      <c r="K716" s="17">
        <v>714</v>
      </c>
      <c r="L716" s="70">
        <v>5.6843418860808015E-14</v>
      </c>
    </row>
    <row r="717" spans="11:12" x14ac:dyDescent="0.4">
      <c r="K717" s="17">
        <v>715</v>
      </c>
      <c r="L717" s="70">
        <v>17.800000000000058</v>
      </c>
    </row>
    <row r="718" spans="11:12" x14ac:dyDescent="0.4">
      <c r="K718" s="17">
        <v>716</v>
      </c>
      <c r="L718" s="70">
        <v>-1.7999999999999439</v>
      </c>
    </row>
    <row r="719" spans="11:12" x14ac:dyDescent="0.4">
      <c r="K719" s="17">
        <v>717</v>
      </c>
      <c r="L719" s="70">
        <v>5.6177285046032921E-14</v>
      </c>
    </row>
    <row r="720" spans="11:12" x14ac:dyDescent="0.4">
      <c r="K720" s="17">
        <v>718</v>
      </c>
      <c r="L720" s="70">
        <v>8.2000000000000561</v>
      </c>
    </row>
    <row r="721" spans="11:12" x14ac:dyDescent="0.4">
      <c r="K721" s="17">
        <v>719</v>
      </c>
      <c r="L721" s="70">
        <v>-13.599999999999945</v>
      </c>
    </row>
    <row r="722" spans="11:12" x14ac:dyDescent="0.4">
      <c r="K722" s="17">
        <v>720</v>
      </c>
      <c r="L722" s="70">
        <v>5.5067062021407764E-14</v>
      </c>
    </row>
    <row r="723" spans="11:12" x14ac:dyDescent="0.4">
      <c r="K723" s="17">
        <v>721</v>
      </c>
      <c r="L723" s="70">
        <v>13.000000000000055</v>
      </c>
    </row>
    <row r="724" spans="11:12" x14ac:dyDescent="0.4">
      <c r="K724" s="17">
        <v>722</v>
      </c>
      <c r="L724" s="70">
        <v>15.100000000000055</v>
      </c>
    </row>
    <row r="725" spans="11:12" x14ac:dyDescent="0.4">
      <c r="K725" s="17">
        <v>723</v>
      </c>
      <c r="L725" s="70">
        <v>5.5067062021407764E-14</v>
      </c>
    </row>
    <row r="726" spans="11:12" x14ac:dyDescent="0.4">
      <c r="K726" s="17">
        <v>724</v>
      </c>
      <c r="L726" s="70">
        <v>-39.099999999999945</v>
      </c>
    </row>
    <row r="727" spans="11:12" x14ac:dyDescent="0.4">
      <c r="K727" s="17">
        <v>725</v>
      </c>
      <c r="L727" s="70">
        <v>-51.29999999999994</v>
      </c>
    </row>
    <row r="728" spans="11:12" x14ac:dyDescent="0.4">
      <c r="K728" s="17">
        <v>726</v>
      </c>
      <c r="L728" s="70">
        <v>5.6843418860808015E-14</v>
      </c>
    </row>
    <row r="729" spans="11:12" x14ac:dyDescent="0.4">
      <c r="K729" s="17">
        <v>727</v>
      </c>
      <c r="L729" s="70">
        <v>36.900000000000055</v>
      </c>
    </row>
    <row r="730" spans="11:12" x14ac:dyDescent="0.4">
      <c r="K730" s="17">
        <v>728</v>
      </c>
      <c r="L730" s="70">
        <v>25.100000000000055</v>
      </c>
    </row>
    <row r="731" spans="11:12" x14ac:dyDescent="0.4">
      <c r="K731" s="17">
        <v>729</v>
      </c>
      <c r="L731" s="70">
        <v>5.3290705182007514E-14</v>
      </c>
    </row>
    <row r="732" spans="11:12" x14ac:dyDescent="0.4">
      <c r="K732" s="17">
        <v>730</v>
      </c>
      <c r="L732" s="70">
        <v>11.000000000000053</v>
      </c>
    </row>
    <row r="733" spans="11:12" x14ac:dyDescent="0.4">
      <c r="K733" s="17">
        <v>731</v>
      </c>
      <c r="L733" s="70">
        <v>-0.49999999999994671</v>
      </c>
    </row>
    <row r="734" spans="11:12" x14ac:dyDescent="0.4">
      <c r="K734" s="17">
        <v>732</v>
      </c>
      <c r="L734" s="70">
        <v>5.3290705182007514E-14</v>
      </c>
    </row>
    <row r="735" spans="11:12" x14ac:dyDescent="0.4">
      <c r="K735" s="17">
        <v>733</v>
      </c>
      <c r="L735" s="70">
        <v>-36.999999999999943</v>
      </c>
    </row>
    <row r="736" spans="11:12" x14ac:dyDescent="0.4">
      <c r="K736" s="17">
        <v>734</v>
      </c>
      <c r="L736" s="70">
        <v>-32.999999999999943</v>
      </c>
    </row>
    <row r="737" spans="11:12" x14ac:dyDescent="0.4">
      <c r="K737" s="17">
        <v>735</v>
      </c>
      <c r="L737" s="70">
        <v>5.6843418860808015E-14</v>
      </c>
    </row>
    <row r="738" spans="11:12" x14ac:dyDescent="0.4">
      <c r="K738" s="17">
        <v>736</v>
      </c>
      <c r="L738" s="70">
        <v>10.300000000000058</v>
      </c>
    </row>
    <row r="739" spans="11:12" x14ac:dyDescent="0.4">
      <c r="K739" s="17">
        <v>737</v>
      </c>
      <c r="L739" s="70">
        <v>10.000000000000057</v>
      </c>
    </row>
    <row r="740" spans="11:12" x14ac:dyDescent="0.4">
      <c r="K740" s="17">
        <v>738</v>
      </c>
      <c r="L740" s="70">
        <v>5.6843418860808015E-14</v>
      </c>
    </row>
    <row r="741" spans="11:12" x14ac:dyDescent="0.4">
      <c r="K741" s="17">
        <v>739</v>
      </c>
      <c r="L741" s="70">
        <v>10.100000000000056</v>
      </c>
    </row>
    <row r="742" spans="11:12" x14ac:dyDescent="0.4">
      <c r="K742" s="17">
        <v>740</v>
      </c>
      <c r="L742" s="70">
        <v>34.20000000000006</v>
      </c>
    </row>
    <row r="743" spans="11:12" x14ac:dyDescent="0.4">
      <c r="K743" s="17">
        <v>741</v>
      </c>
      <c r="L743" s="70">
        <v>5.6843418860808015E-14</v>
      </c>
    </row>
    <row r="744" spans="11:12" x14ac:dyDescent="0.4">
      <c r="K744" s="17">
        <v>742</v>
      </c>
      <c r="L744" s="70">
        <v>21.700000000000056</v>
      </c>
    </row>
    <row r="745" spans="11:12" x14ac:dyDescent="0.4">
      <c r="K745" s="17">
        <v>743</v>
      </c>
      <c r="L745" s="70">
        <v>46.20000000000006</v>
      </c>
    </row>
    <row r="746" spans="11:12" x14ac:dyDescent="0.4">
      <c r="K746" s="17">
        <v>744</v>
      </c>
      <c r="L746" s="70">
        <v>5.6843418860808015E-14</v>
      </c>
    </row>
    <row r="747" spans="11:12" x14ac:dyDescent="0.4">
      <c r="K747" s="17">
        <v>745</v>
      </c>
      <c r="L747" s="70">
        <v>-40.399999999999942</v>
      </c>
    </row>
    <row r="748" spans="11:12" x14ac:dyDescent="0.4">
      <c r="K748" s="17">
        <v>746</v>
      </c>
      <c r="L748" s="70">
        <v>0.90000000000005542</v>
      </c>
    </row>
    <row r="749" spans="11:12" x14ac:dyDescent="0.4">
      <c r="K749" s="17">
        <v>747</v>
      </c>
      <c r="L749" s="70">
        <v>5.5400128928795311E-14</v>
      </c>
    </row>
    <row r="750" spans="11:12" x14ac:dyDescent="0.4">
      <c r="K750" s="17">
        <v>748</v>
      </c>
      <c r="L750" s="70">
        <v>5.6000000000000547</v>
      </c>
    </row>
    <row r="751" spans="11:12" x14ac:dyDescent="0.4">
      <c r="K751" s="17">
        <v>749</v>
      </c>
      <c r="L751" s="70">
        <v>17.000000000000057</v>
      </c>
    </row>
    <row r="752" spans="11:12" x14ac:dyDescent="0.4">
      <c r="K752" s="17">
        <v>750</v>
      </c>
      <c r="L752" s="70">
        <v>5.6843418860808015E-14</v>
      </c>
    </row>
    <row r="753" spans="11:12" x14ac:dyDescent="0.4">
      <c r="K753" s="17">
        <v>751</v>
      </c>
      <c r="L753" s="70">
        <v>-48.999999999999943</v>
      </c>
    </row>
    <row r="754" spans="11:12" x14ac:dyDescent="0.4">
      <c r="K754" s="17">
        <v>752</v>
      </c>
      <c r="L754" s="70">
        <v>-32.499999999999943</v>
      </c>
    </row>
    <row r="755" spans="11:12" x14ac:dyDescent="0.4">
      <c r="K755" s="17">
        <v>753</v>
      </c>
      <c r="L755" s="70">
        <v>5.6843418860808015E-14</v>
      </c>
    </row>
    <row r="756" spans="11:12" x14ac:dyDescent="0.4">
      <c r="K756" s="17">
        <v>754</v>
      </c>
      <c r="L756" s="70">
        <v>52.100000000000058</v>
      </c>
    </row>
    <row r="757" spans="11:12" x14ac:dyDescent="0.4">
      <c r="K757" s="17">
        <v>755</v>
      </c>
      <c r="L757" s="70">
        <v>36.70000000000006</v>
      </c>
    </row>
    <row r="758" spans="11:12" x14ac:dyDescent="0.4">
      <c r="K758" s="17">
        <v>756</v>
      </c>
      <c r="L758" s="70">
        <v>5.6843418860808015E-14</v>
      </c>
    </row>
    <row r="759" spans="11:12" x14ac:dyDescent="0.4">
      <c r="K759" s="17">
        <v>757</v>
      </c>
      <c r="L759" s="70">
        <v>4.5000000000000568</v>
      </c>
    </row>
    <row r="760" spans="11:12" x14ac:dyDescent="0.4">
      <c r="K760" s="17">
        <v>758</v>
      </c>
      <c r="L760" s="70">
        <v>47.000000000000057</v>
      </c>
    </row>
    <row r="761" spans="11:12" x14ac:dyDescent="0.4">
      <c r="K761" s="17">
        <v>759</v>
      </c>
      <c r="L761" s="70">
        <v>5.6843418860808015E-14</v>
      </c>
    </row>
    <row r="762" spans="11:12" x14ac:dyDescent="0.4">
      <c r="K762" s="17">
        <v>760</v>
      </c>
      <c r="L762" s="70">
        <v>-14.999999999999943</v>
      </c>
    </row>
    <row r="763" spans="11:12" x14ac:dyDescent="0.4">
      <c r="K763" s="17">
        <v>761</v>
      </c>
      <c r="L763" s="70">
        <v>-58.199999999999946</v>
      </c>
    </row>
    <row r="764" spans="11:12" x14ac:dyDescent="0.4">
      <c r="K764" s="17">
        <v>762</v>
      </c>
      <c r="L764" s="70">
        <v>5.6843418860808015E-14</v>
      </c>
    </row>
    <row r="765" spans="11:12" x14ac:dyDescent="0.4">
      <c r="K765" s="17">
        <v>763</v>
      </c>
      <c r="L765" s="70">
        <v>7.8000000000000567</v>
      </c>
    </row>
    <row r="766" spans="11:12" x14ac:dyDescent="0.4">
      <c r="K766" s="17">
        <v>764</v>
      </c>
      <c r="L766" s="70">
        <v>16.800000000000058</v>
      </c>
    </row>
    <row r="767" spans="11:12" x14ac:dyDescent="0.4">
      <c r="K767" s="17">
        <v>765</v>
      </c>
      <c r="L767" s="70">
        <v>5.6843418860808015E-14</v>
      </c>
    </row>
    <row r="768" spans="11:12" x14ac:dyDescent="0.4">
      <c r="K768" s="17">
        <v>766</v>
      </c>
      <c r="L768" s="70">
        <v>18.600000000000058</v>
      </c>
    </row>
    <row r="769" spans="11:12" x14ac:dyDescent="0.4">
      <c r="K769" s="17">
        <v>767</v>
      </c>
      <c r="L769" s="70">
        <v>16.600000000000058</v>
      </c>
    </row>
    <row r="770" spans="11:12" x14ac:dyDescent="0.4">
      <c r="K770" s="17">
        <v>768</v>
      </c>
      <c r="L770" s="70">
        <v>5.6843418860808015E-14</v>
      </c>
    </row>
    <row r="771" spans="11:12" x14ac:dyDescent="0.4">
      <c r="K771" s="17">
        <v>769</v>
      </c>
      <c r="L771" s="70">
        <v>6.200000000000057</v>
      </c>
    </row>
    <row r="772" spans="11:12" x14ac:dyDescent="0.4">
      <c r="K772" s="17">
        <v>770</v>
      </c>
      <c r="L772" s="70">
        <v>10.700000000000056</v>
      </c>
    </row>
    <row r="773" spans="11:12" x14ac:dyDescent="0.4">
      <c r="K773" s="17">
        <v>771</v>
      </c>
      <c r="L773" s="70">
        <v>5.6843418860808015E-14</v>
      </c>
    </row>
    <row r="774" spans="11:12" x14ac:dyDescent="0.4">
      <c r="K774" s="17">
        <v>772</v>
      </c>
      <c r="L774" s="70">
        <v>12.600000000000056</v>
      </c>
    </row>
    <row r="775" spans="11:12" x14ac:dyDescent="0.4">
      <c r="K775" s="17">
        <v>773</v>
      </c>
      <c r="L775" s="70">
        <v>13.400000000000057</v>
      </c>
    </row>
    <row r="776" spans="11:12" x14ac:dyDescent="0.4">
      <c r="K776" s="17">
        <v>774</v>
      </c>
      <c r="L776" s="70">
        <v>5.6843418860808015E-14</v>
      </c>
    </row>
    <row r="777" spans="11:12" x14ac:dyDescent="0.4">
      <c r="K777" s="17">
        <v>775</v>
      </c>
      <c r="L777" s="70">
        <v>4.0000000000000568</v>
      </c>
    </row>
    <row r="778" spans="11:12" x14ac:dyDescent="0.4">
      <c r="K778" s="17">
        <v>776</v>
      </c>
      <c r="L778" s="70">
        <v>-33.29999999999994</v>
      </c>
    </row>
    <row r="779" spans="11:12" x14ac:dyDescent="0.4">
      <c r="K779" s="17">
        <v>777</v>
      </c>
      <c r="L779" s="70">
        <v>5.6843418860808015E-14</v>
      </c>
    </row>
    <row r="780" spans="11:12" x14ac:dyDescent="0.4">
      <c r="K780" s="17">
        <v>778</v>
      </c>
      <c r="L780" s="70">
        <v>35.000000000000057</v>
      </c>
    </row>
    <row r="781" spans="11:12" x14ac:dyDescent="0.4">
      <c r="K781" s="17">
        <v>779</v>
      </c>
      <c r="L781" s="70">
        <v>-0.49999999999994316</v>
      </c>
    </row>
    <row r="782" spans="11:12" x14ac:dyDescent="0.4">
      <c r="K782" s="17">
        <v>780</v>
      </c>
      <c r="L782" s="70">
        <v>5.6843418860808015E-14</v>
      </c>
    </row>
    <row r="783" spans="11:12" x14ac:dyDescent="0.4">
      <c r="K783" s="17">
        <v>781</v>
      </c>
      <c r="L783" s="70">
        <v>13.400000000000057</v>
      </c>
    </row>
    <row r="784" spans="11:12" x14ac:dyDescent="0.4">
      <c r="K784" s="17">
        <v>782</v>
      </c>
      <c r="L784" s="70">
        <v>22.400000000000055</v>
      </c>
    </row>
    <row r="785" spans="11:12" x14ac:dyDescent="0.4">
      <c r="K785" s="17">
        <v>783</v>
      </c>
      <c r="L785" s="70">
        <v>5.6843418860808015E-14</v>
      </c>
    </row>
    <row r="786" spans="11:12" x14ac:dyDescent="0.4">
      <c r="K786" s="17">
        <v>784</v>
      </c>
      <c r="L786" s="70">
        <v>6.1000000000000565</v>
      </c>
    </row>
    <row r="787" spans="11:12" x14ac:dyDescent="0.4">
      <c r="K787" s="17">
        <v>785</v>
      </c>
      <c r="L787" s="70">
        <v>0.80000000000005667</v>
      </c>
    </row>
    <row r="788" spans="11:12" x14ac:dyDescent="0.4">
      <c r="K788" s="17">
        <v>786</v>
      </c>
      <c r="L788" s="70">
        <v>5.6621374255882984E-14</v>
      </c>
    </row>
    <row r="789" spans="11:12" x14ac:dyDescent="0.4">
      <c r="K789" s="17">
        <v>787</v>
      </c>
      <c r="L789" s="70">
        <v>66.70000000000006</v>
      </c>
    </row>
    <row r="790" spans="11:12" x14ac:dyDescent="0.4">
      <c r="K790" s="17">
        <v>788</v>
      </c>
      <c r="L790" s="70">
        <v>7.8000000000000611</v>
      </c>
    </row>
    <row r="791" spans="11:12" x14ac:dyDescent="0.4">
      <c r="K791" s="17">
        <v>789</v>
      </c>
      <c r="L791" s="70">
        <v>6.1284310959308641E-14</v>
      </c>
    </row>
    <row r="792" spans="11:12" x14ac:dyDescent="0.4">
      <c r="K792" s="17">
        <v>790</v>
      </c>
      <c r="L792" s="70">
        <v>-38.099999999999937</v>
      </c>
    </row>
    <row r="793" spans="11:12" x14ac:dyDescent="0.4">
      <c r="K793" s="17">
        <v>791</v>
      </c>
      <c r="L793" s="70">
        <v>2.6000000000000654</v>
      </c>
    </row>
    <row r="794" spans="11:12" x14ac:dyDescent="0.4">
      <c r="K794" s="17">
        <v>792</v>
      </c>
      <c r="L794" s="70">
        <v>6.5281113847959205E-14</v>
      </c>
    </row>
    <row r="795" spans="11:12" x14ac:dyDescent="0.4">
      <c r="K795" s="17">
        <v>793</v>
      </c>
      <c r="L795" s="70">
        <v>23.000000000000064</v>
      </c>
    </row>
    <row r="796" spans="11:12" x14ac:dyDescent="0.4">
      <c r="K796" s="17">
        <v>794</v>
      </c>
      <c r="L796" s="70">
        <v>14.500000000000064</v>
      </c>
    </row>
    <row r="797" spans="11:12" x14ac:dyDescent="0.4">
      <c r="K797" s="17">
        <v>795</v>
      </c>
      <c r="L797" s="70">
        <v>6.3948846218409017E-14</v>
      </c>
    </row>
    <row r="798" spans="11:12" x14ac:dyDescent="0.4">
      <c r="K798" s="17">
        <v>796</v>
      </c>
      <c r="L798" s="70">
        <v>9.5000000000000639</v>
      </c>
    </row>
    <row r="799" spans="11:12" x14ac:dyDescent="0.4">
      <c r="K799" s="17">
        <v>797</v>
      </c>
      <c r="L799" s="70">
        <v>-1.7999999999999368</v>
      </c>
    </row>
    <row r="800" spans="11:12" x14ac:dyDescent="0.4">
      <c r="K800" s="17">
        <v>798</v>
      </c>
      <c r="L800" s="70">
        <v>6.3282712403633923E-14</v>
      </c>
    </row>
    <row r="801" spans="11:12" x14ac:dyDescent="0.4">
      <c r="K801" s="17">
        <v>799</v>
      </c>
      <c r="L801" s="70">
        <v>5.0000000000000631</v>
      </c>
    </row>
    <row r="802" spans="11:12" x14ac:dyDescent="0.4">
      <c r="K802" s="17">
        <v>800</v>
      </c>
      <c r="L802" s="70">
        <v>5.7000000000000632</v>
      </c>
    </row>
    <row r="803" spans="11:12" x14ac:dyDescent="0.4">
      <c r="K803" s="17">
        <v>801</v>
      </c>
      <c r="L803" s="70">
        <v>6.3060667798708891E-14</v>
      </c>
    </row>
    <row r="804" spans="11:12" x14ac:dyDescent="0.4">
      <c r="K804" s="17">
        <v>802</v>
      </c>
      <c r="L804" s="70">
        <v>7.8000000000000629</v>
      </c>
    </row>
    <row r="805" spans="11:12" x14ac:dyDescent="0.4">
      <c r="K805" s="17">
        <v>803</v>
      </c>
      <c r="L805" s="70">
        <v>-31.699999999999939</v>
      </c>
    </row>
    <row r="806" spans="11:12" x14ac:dyDescent="0.4">
      <c r="K806" s="17">
        <v>804</v>
      </c>
      <c r="L806" s="70">
        <v>6.0396132539608516E-14</v>
      </c>
    </row>
    <row r="807" spans="11:12" x14ac:dyDescent="0.4">
      <c r="K807" s="17">
        <v>805</v>
      </c>
      <c r="L807" s="70">
        <v>42.300000000000054</v>
      </c>
    </row>
    <row r="808" spans="11:12" x14ac:dyDescent="0.4">
      <c r="K808" s="17">
        <v>806</v>
      </c>
      <c r="L808" s="70">
        <v>-2.9999999999999432</v>
      </c>
    </row>
    <row r="809" spans="11:12" x14ac:dyDescent="0.4">
      <c r="K809" s="17">
        <v>807</v>
      </c>
      <c r="L809" s="70">
        <v>5.6843418860808015E-14</v>
      </c>
    </row>
    <row r="810" spans="11:12" x14ac:dyDescent="0.4">
      <c r="K810" s="17">
        <v>808</v>
      </c>
      <c r="L810" s="70">
        <v>40.70000000000006</v>
      </c>
    </row>
    <row r="811" spans="11:12" x14ac:dyDescent="0.4">
      <c r="K811" s="17">
        <v>809</v>
      </c>
      <c r="L811" s="70">
        <v>13.00000000000006</v>
      </c>
    </row>
    <row r="812" spans="11:12" x14ac:dyDescent="0.4">
      <c r="K812" s="17">
        <v>810</v>
      </c>
      <c r="L812" s="70">
        <v>6.0396132539608516E-14</v>
      </c>
    </row>
    <row r="813" spans="11:12" x14ac:dyDescent="0.4">
      <c r="K813" s="17">
        <v>811</v>
      </c>
      <c r="L813" s="70">
        <v>0.1000000000000604</v>
      </c>
    </row>
    <row r="814" spans="11:12" x14ac:dyDescent="0.4">
      <c r="K814" s="17">
        <v>812</v>
      </c>
      <c r="L814" s="70">
        <v>8.60000000000006</v>
      </c>
    </row>
    <row r="815" spans="11:12" x14ac:dyDescent="0.4">
      <c r="K815" s="17">
        <v>813</v>
      </c>
      <c r="L815" s="70">
        <v>6.0396132539608516E-14</v>
      </c>
    </row>
    <row r="816" spans="11:12" x14ac:dyDescent="0.4">
      <c r="K816" s="17">
        <v>814</v>
      </c>
      <c r="L816" s="70">
        <v>12.20000000000006</v>
      </c>
    </row>
    <row r="817" spans="11:12" x14ac:dyDescent="0.4">
      <c r="K817" s="17">
        <v>815</v>
      </c>
      <c r="L817" s="70">
        <v>16.900000000000059</v>
      </c>
    </row>
    <row r="818" spans="11:12" x14ac:dyDescent="0.4">
      <c r="K818" s="17">
        <v>816</v>
      </c>
      <c r="L818" s="70">
        <v>6.0396132539608516E-14</v>
      </c>
    </row>
    <row r="819" spans="11:12" x14ac:dyDescent="0.4">
      <c r="K819" s="17">
        <v>817</v>
      </c>
      <c r="L819" s="70">
        <v>9.5000000000000604</v>
      </c>
    </row>
    <row r="820" spans="11:12" x14ac:dyDescent="0.4">
      <c r="K820" s="17">
        <v>818</v>
      </c>
      <c r="L820" s="70">
        <v>-1.0999999999999392</v>
      </c>
    </row>
    <row r="821" spans="11:12" x14ac:dyDescent="0.4">
      <c r="K821" s="17">
        <v>819</v>
      </c>
      <c r="L821" s="70">
        <v>6.0840221749458578E-14</v>
      </c>
    </row>
    <row r="822" spans="11:12" x14ac:dyDescent="0.4">
      <c r="K822" s="17">
        <v>820</v>
      </c>
      <c r="L822" s="70">
        <v>27.20000000000006</v>
      </c>
    </row>
    <row r="823" spans="11:12" x14ac:dyDescent="0.4">
      <c r="K823" s="17">
        <v>821</v>
      </c>
      <c r="L823" s="70">
        <v>33.000000000000057</v>
      </c>
    </row>
    <row r="824" spans="11:12" x14ac:dyDescent="0.4">
      <c r="K824" s="17">
        <v>822</v>
      </c>
      <c r="L824" s="70">
        <v>5.6843418860808015E-14</v>
      </c>
    </row>
    <row r="825" spans="11:12" x14ac:dyDescent="0.4">
      <c r="K825" s="17">
        <v>823</v>
      </c>
      <c r="L825" s="70">
        <v>-12.599999999999943</v>
      </c>
    </row>
    <row r="826" spans="11:12" x14ac:dyDescent="0.4">
      <c r="K826" s="17">
        <v>824</v>
      </c>
      <c r="L826" s="70">
        <v>7.5000000000000586</v>
      </c>
    </row>
    <row r="827" spans="11:12" x14ac:dyDescent="0.4">
      <c r="K827" s="17">
        <v>825</v>
      </c>
      <c r="L827" s="70">
        <v>5.8619775700208265E-14</v>
      </c>
    </row>
    <row r="828" spans="11:12" x14ac:dyDescent="0.4">
      <c r="K828" s="17">
        <v>826</v>
      </c>
      <c r="L828" s="70">
        <v>7.5000000000000586</v>
      </c>
    </row>
    <row r="829" spans="11:12" x14ac:dyDescent="0.4">
      <c r="K829" s="17">
        <v>827</v>
      </c>
      <c r="L829" s="70">
        <v>-17.599999999999945</v>
      </c>
    </row>
    <row r="830" spans="11:12" x14ac:dyDescent="0.4">
      <c r="K830" s="17">
        <v>828</v>
      </c>
      <c r="L830" s="70">
        <v>5.6843418860808015E-14</v>
      </c>
    </row>
    <row r="831" spans="11:12" x14ac:dyDescent="0.4">
      <c r="K831" s="17">
        <v>829</v>
      </c>
      <c r="L831" s="70">
        <v>-17.599999999999945</v>
      </c>
    </row>
    <row r="832" spans="11:12" x14ac:dyDescent="0.4">
      <c r="K832" s="17">
        <v>830</v>
      </c>
      <c r="L832" s="70">
        <v>8.0000000000000568</v>
      </c>
    </row>
    <row r="833" spans="11:12" x14ac:dyDescent="0.4">
      <c r="K833" s="17">
        <v>831</v>
      </c>
      <c r="L833" s="70">
        <v>5.6843418860808015E-14</v>
      </c>
    </row>
    <row r="834" spans="11:12" x14ac:dyDescent="0.4">
      <c r="K834" s="17">
        <v>832</v>
      </c>
      <c r="L834" s="70">
        <v>7.8000000000000567</v>
      </c>
    </row>
    <row r="835" spans="11:12" x14ac:dyDescent="0.4">
      <c r="K835" s="17">
        <v>833</v>
      </c>
      <c r="L835" s="70">
        <v>-6.5999999999999437</v>
      </c>
    </row>
    <row r="836" spans="11:12" x14ac:dyDescent="0.4">
      <c r="K836" s="17">
        <v>834</v>
      </c>
      <c r="L836" s="70">
        <v>5.595524044110789E-14</v>
      </c>
    </row>
    <row r="837" spans="11:12" x14ac:dyDescent="0.4">
      <c r="K837" s="17">
        <v>835</v>
      </c>
      <c r="L837" s="70">
        <v>46.900000000000055</v>
      </c>
    </row>
    <row r="838" spans="11:12" x14ac:dyDescent="0.4">
      <c r="K838" s="17">
        <v>836</v>
      </c>
      <c r="L838" s="70">
        <v>7.0000000000000568</v>
      </c>
    </row>
    <row r="839" spans="11:12" x14ac:dyDescent="0.4">
      <c r="K839" s="17">
        <v>837</v>
      </c>
      <c r="L839" s="70">
        <v>5.6843418860808015E-14</v>
      </c>
    </row>
    <row r="840" spans="11:12" x14ac:dyDescent="0.4">
      <c r="K840" s="17">
        <v>838</v>
      </c>
      <c r="L840" s="70">
        <v>6.3000000000000567</v>
      </c>
    </row>
    <row r="841" spans="11:12" x14ac:dyDescent="0.4">
      <c r="K841" s="17">
        <v>839</v>
      </c>
      <c r="L841" s="70">
        <v>6.0000000000000568</v>
      </c>
    </row>
    <row r="842" spans="11:12" x14ac:dyDescent="0.4">
      <c r="K842" s="17">
        <v>840</v>
      </c>
      <c r="L842" s="70">
        <v>5.6843418860808015E-14</v>
      </c>
    </row>
    <row r="843" spans="11:12" x14ac:dyDescent="0.4">
      <c r="K843" s="17">
        <v>841</v>
      </c>
      <c r="L843" s="70">
        <v>24.300000000000058</v>
      </c>
    </row>
    <row r="844" spans="11:12" x14ac:dyDescent="0.4">
      <c r="K844" s="17">
        <v>842</v>
      </c>
      <c r="L844" s="70">
        <v>-9.6999999999999424</v>
      </c>
    </row>
    <row r="845" spans="11:12" x14ac:dyDescent="0.4">
      <c r="K845" s="17">
        <v>843</v>
      </c>
      <c r="L845" s="70">
        <v>5.6843418860808015E-14</v>
      </c>
    </row>
    <row r="846" spans="11:12" x14ac:dyDescent="0.4">
      <c r="K846" s="17">
        <v>844</v>
      </c>
      <c r="L846" s="70">
        <v>-10.399999999999944</v>
      </c>
    </row>
    <row r="847" spans="11:12" x14ac:dyDescent="0.4">
      <c r="K847" s="17">
        <v>845</v>
      </c>
      <c r="L847" s="70">
        <v>-21.899999999999942</v>
      </c>
    </row>
    <row r="848" spans="11:12" x14ac:dyDescent="0.4">
      <c r="K848" s="17">
        <v>846</v>
      </c>
      <c r="L848" s="70">
        <v>5.6843418860808015E-14</v>
      </c>
    </row>
    <row r="849" spans="11:12" x14ac:dyDescent="0.4">
      <c r="K849" s="17">
        <v>847</v>
      </c>
      <c r="L849" s="70">
        <v>-17.199999999999942</v>
      </c>
    </row>
    <row r="850" spans="11:12" x14ac:dyDescent="0.4">
      <c r="K850" s="17">
        <v>848</v>
      </c>
      <c r="L850" s="70">
        <v>-26.499999999999943</v>
      </c>
    </row>
    <row r="851" spans="11:12" x14ac:dyDescent="0.4">
      <c r="K851" s="17">
        <v>849</v>
      </c>
      <c r="L851" s="70">
        <v>5.6843418860808015E-14</v>
      </c>
    </row>
    <row r="852" spans="11:12" x14ac:dyDescent="0.4">
      <c r="K852" s="17">
        <v>850</v>
      </c>
      <c r="L852" s="70">
        <v>-0.99999999999994316</v>
      </c>
    </row>
    <row r="853" spans="11:12" x14ac:dyDescent="0.4">
      <c r="K853" s="17">
        <v>851</v>
      </c>
      <c r="L853" s="70">
        <v>-17.999999999999943</v>
      </c>
    </row>
    <row r="854" spans="11:12" x14ac:dyDescent="0.4">
      <c r="K854" s="17">
        <v>852</v>
      </c>
      <c r="L854" s="70">
        <v>5.6843418860808015E-14</v>
      </c>
    </row>
    <row r="855" spans="11:12" x14ac:dyDescent="0.4">
      <c r="K855" s="17">
        <v>853</v>
      </c>
      <c r="L855" s="70">
        <v>19.800000000000058</v>
      </c>
    </row>
    <row r="856" spans="11:12" x14ac:dyDescent="0.4">
      <c r="K856" s="17">
        <v>854</v>
      </c>
      <c r="L856" s="70">
        <v>41.500000000000057</v>
      </c>
    </row>
    <row r="857" spans="11:12" x14ac:dyDescent="0.4">
      <c r="K857" s="17">
        <v>855</v>
      </c>
      <c r="L857" s="70">
        <v>5.6843418860808015E-14</v>
      </c>
    </row>
    <row r="858" spans="11:12" x14ac:dyDescent="0.4">
      <c r="K858" s="17">
        <v>856</v>
      </c>
      <c r="L858" s="70">
        <v>27.700000000000056</v>
      </c>
    </row>
    <row r="859" spans="11:12" x14ac:dyDescent="0.4">
      <c r="K859" s="17">
        <v>857</v>
      </c>
      <c r="L859" s="70">
        <v>25.900000000000055</v>
      </c>
    </row>
    <row r="860" spans="11:12" x14ac:dyDescent="0.4">
      <c r="K860" s="17">
        <v>858</v>
      </c>
      <c r="L860" s="70">
        <v>5.6843418860808015E-14</v>
      </c>
    </row>
    <row r="861" spans="11:12" x14ac:dyDescent="0.4">
      <c r="K861" s="17">
        <v>859</v>
      </c>
      <c r="L861" s="70">
        <v>7.5000000000000568</v>
      </c>
    </row>
    <row r="862" spans="11:12" x14ac:dyDescent="0.4">
      <c r="K862" s="17">
        <v>860</v>
      </c>
      <c r="L862" s="70">
        <v>45.500000000000057</v>
      </c>
    </row>
    <row r="863" spans="11:12" x14ac:dyDescent="0.4">
      <c r="K863" s="17">
        <v>861</v>
      </c>
      <c r="L863" s="70">
        <v>5.6843418860808015E-14</v>
      </c>
    </row>
    <row r="864" spans="11:12" x14ac:dyDescent="0.4">
      <c r="K864" s="17">
        <v>862</v>
      </c>
      <c r="L864" s="70">
        <v>31.500000000000057</v>
      </c>
    </row>
    <row r="865" spans="11:12" x14ac:dyDescent="0.4">
      <c r="K865" s="17">
        <v>863</v>
      </c>
      <c r="L865" s="70">
        <v>25.900000000000055</v>
      </c>
    </row>
    <row r="866" spans="11:12" x14ac:dyDescent="0.4">
      <c r="K866" s="17">
        <v>864</v>
      </c>
      <c r="L866" s="70">
        <v>5.6843418860808015E-14</v>
      </c>
    </row>
    <row r="867" spans="11:12" x14ac:dyDescent="0.4">
      <c r="K867" s="17">
        <v>865</v>
      </c>
      <c r="L867" s="70">
        <v>46.800000000000054</v>
      </c>
    </row>
    <row r="868" spans="11:12" x14ac:dyDescent="0.4">
      <c r="K868" s="17">
        <v>866</v>
      </c>
      <c r="L868" s="70">
        <v>26.300000000000054</v>
      </c>
    </row>
    <row r="869" spans="11:12" x14ac:dyDescent="0.4">
      <c r="K869" s="17">
        <v>867</v>
      </c>
      <c r="L869" s="70">
        <v>5.3290705182007514E-14</v>
      </c>
    </row>
    <row r="870" spans="11:12" x14ac:dyDescent="0.4">
      <c r="K870" s="17">
        <v>868</v>
      </c>
      <c r="L870" s="70">
        <v>52.500000000000057</v>
      </c>
    </row>
    <row r="871" spans="11:12" x14ac:dyDescent="0.4">
      <c r="K871" s="17">
        <v>869</v>
      </c>
      <c r="L871" s="70">
        <v>7.5000000000000568</v>
      </c>
    </row>
    <row r="872" spans="11:12" x14ac:dyDescent="0.4">
      <c r="K872" s="17">
        <v>870</v>
      </c>
      <c r="L872" s="70">
        <v>5.6843418860808015E-14</v>
      </c>
    </row>
    <row r="873" spans="11:12" x14ac:dyDescent="0.4">
      <c r="K873" s="17">
        <v>871</v>
      </c>
      <c r="L873" s="70">
        <v>-6.1999999999999433</v>
      </c>
    </row>
    <row r="874" spans="11:12" x14ac:dyDescent="0.4">
      <c r="K874" s="17">
        <v>872</v>
      </c>
      <c r="L874" s="70">
        <v>-44.699999999999946</v>
      </c>
    </row>
    <row r="875" spans="11:12" x14ac:dyDescent="0.4">
      <c r="K875" s="17">
        <v>873</v>
      </c>
      <c r="L875" s="70">
        <v>5.6843418860808015E-14</v>
      </c>
    </row>
    <row r="876" spans="11:12" x14ac:dyDescent="0.4">
      <c r="K876" s="17">
        <v>874</v>
      </c>
      <c r="L876" s="70">
        <v>-8.7999999999999439</v>
      </c>
    </row>
    <row r="877" spans="11:12" x14ac:dyDescent="0.4">
      <c r="K877" s="17">
        <v>875</v>
      </c>
      <c r="L877" s="70">
        <v>-44.199999999999946</v>
      </c>
    </row>
    <row r="878" spans="11:12" x14ac:dyDescent="0.4">
      <c r="K878" s="17">
        <v>876</v>
      </c>
      <c r="L878" s="70">
        <v>5.6843418860808015E-14</v>
      </c>
    </row>
    <row r="879" spans="11:12" x14ac:dyDescent="0.4">
      <c r="K879" s="17">
        <v>877</v>
      </c>
      <c r="L879" s="70">
        <v>18.500000000000057</v>
      </c>
    </row>
    <row r="880" spans="11:12" x14ac:dyDescent="0.4">
      <c r="K880" s="17">
        <v>878</v>
      </c>
      <c r="L880" s="70">
        <v>12.000000000000057</v>
      </c>
    </row>
    <row r="881" spans="11:12" x14ac:dyDescent="0.4">
      <c r="K881" s="17">
        <v>879</v>
      </c>
      <c r="L881" s="70">
        <v>5.6843418860808015E-14</v>
      </c>
    </row>
    <row r="882" spans="11:12" x14ac:dyDescent="0.4">
      <c r="K882" s="17">
        <v>880</v>
      </c>
      <c r="L882" s="70">
        <v>33.100000000000058</v>
      </c>
    </row>
    <row r="883" spans="11:12" x14ac:dyDescent="0.4">
      <c r="K883" s="17">
        <v>881</v>
      </c>
      <c r="L883" s="70">
        <v>24.600000000000058</v>
      </c>
    </row>
    <row r="884" spans="11:12" x14ac:dyDescent="0.4">
      <c r="K884" s="17">
        <v>882</v>
      </c>
      <c r="L884" s="70">
        <v>5.6843418860808015E-14</v>
      </c>
    </row>
    <row r="885" spans="11:12" x14ac:dyDescent="0.4">
      <c r="K885" s="17">
        <v>883</v>
      </c>
      <c r="L885" s="70">
        <v>68.000000000000057</v>
      </c>
    </row>
    <row r="886" spans="11:12" x14ac:dyDescent="0.4">
      <c r="K886" s="17">
        <v>884</v>
      </c>
      <c r="L886" s="70">
        <v>20.000000000000057</v>
      </c>
    </row>
    <row r="887" spans="11:12" x14ac:dyDescent="0.4">
      <c r="K887" s="17">
        <v>885</v>
      </c>
      <c r="L887" s="70">
        <v>5.6843418860808015E-14</v>
      </c>
    </row>
    <row r="888" spans="11:12" x14ac:dyDescent="0.4">
      <c r="K888" s="17">
        <v>886</v>
      </c>
      <c r="L888" s="70">
        <v>-21.899999999999942</v>
      </c>
    </row>
    <row r="889" spans="11:12" x14ac:dyDescent="0.4">
      <c r="K889" s="17">
        <v>887</v>
      </c>
      <c r="L889" s="70">
        <v>-7.3999999999999417</v>
      </c>
    </row>
    <row r="890" spans="11:12" x14ac:dyDescent="0.4">
      <c r="K890" s="17">
        <v>888</v>
      </c>
      <c r="L890" s="70">
        <v>5.8619775700208265E-14</v>
      </c>
    </row>
    <row r="891" spans="11:12" x14ac:dyDescent="0.4">
      <c r="K891" s="17">
        <v>889</v>
      </c>
      <c r="L891" s="70">
        <v>9.0000000000000586</v>
      </c>
    </row>
    <row r="892" spans="11:12" x14ac:dyDescent="0.4">
      <c r="K892" s="17">
        <v>890</v>
      </c>
      <c r="L892" s="70">
        <v>-17.199999999999939</v>
      </c>
    </row>
    <row r="893" spans="11:12" x14ac:dyDescent="0.4">
      <c r="K893" s="17">
        <v>891</v>
      </c>
      <c r="L893" s="70">
        <v>6.0396132539608516E-14</v>
      </c>
    </row>
    <row r="894" spans="11:12" x14ac:dyDescent="0.4">
      <c r="K894" s="17">
        <v>892</v>
      </c>
      <c r="L894" s="70">
        <v>18.70000000000006</v>
      </c>
    </row>
    <row r="895" spans="11:12" x14ac:dyDescent="0.4">
      <c r="K895" s="17">
        <v>893</v>
      </c>
      <c r="L895" s="70">
        <v>14.900000000000059</v>
      </c>
    </row>
    <row r="896" spans="11:12" x14ac:dyDescent="0.4">
      <c r="K896" s="17">
        <v>894</v>
      </c>
      <c r="L896" s="70">
        <v>5.8619775700208265E-14</v>
      </c>
    </row>
    <row r="897" spans="11:12" x14ac:dyDescent="0.4">
      <c r="K897" s="17">
        <v>895</v>
      </c>
      <c r="L897" s="70">
        <v>26.600000000000058</v>
      </c>
    </row>
    <row r="898" spans="11:12" x14ac:dyDescent="0.4">
      <c r="K898" s="17">
        <v>896</v>
      </c>
      <c r="L898" s="70">
        <v>7.7000000000000597</v>
      </c>
    </row>
    <row r="899" spans="11:12" x14ac:dyDescent="0.4">
      <c r="K899" s="17">
        <v>897</v>
      </c>
      <c r="L899" s="70">
        <v>5.9507954119908391E-14</v>
      </c>
    </row>
    <row r="900" spans="11:12" x14ac:dyDescent="0.4">
      <c r="K900" s="17">
        <v>898</v>
      </c>
      <c r="L900" s="70">
        <v>20.00000000000006</v>
      </c>
    </row>
    <row r="901" spans="11:12" x14ac:dyDescent="0.4">
      <c r="K901" s="17">
        <v>899</v>
      </c>
      <c r="L901" s="70">
        <v>1.400000000000059</v>
      </c>
    </row>
    <row r="902" spans="11:12" x14ac:dyDescent="0.4">
      <c r="K902" s="17">
        <v>900</v>
      </c>
      <c r="L902" s="70">
        <v>5.9063864910058328E-14</v>
      </c>
    </row>
    <row r="903" spans="11:12" x14ac:dyDescent="0.4">
      <c r="K903" s="17">
        <v>901</v>
      </c>
      <c r="L903" s="70">
        <v>-45.399999999999942</v>
      </c>
    </row>
    <row r="904" spans="11:12" x14ac:dyDescent="0.4">
      <c r="K904" s="17">
        <v>902</v>
      </c>
      <c r="L904" s="70">
        <v>-5.8999999999999417</v>
      </c>
    </row>
    <row r="905" spans="11:12" x14ac:dyDescent="0.4">
      <c r="K905" s="17">
        <v>903</v>
      </c>
      <c r="L905" s="70">
        <v>5.8619775700208265E-14</v>
      </c>
    </row>
    <row r="906" spans="11:12" x14ac:dyDescent="0.4">
      <c r="K906" s="17">
        <v>904</v>
      </c>
      <c r="L906" s="70">
        <v>-5.099999999999941</v>
      </c>
    </row>
    <row r="907" spans="11:12" x14ac:dyDescent="0.4">
      <c r="K907" s="17">
        <v>905</v>
      </c>
      <c r="L907" s="70">
        <v>40.400000000000055</v>
      </c>
    </row>
    <row r="908" spans="11:12" x14ac:dyDescent="0.4">
      <c r="K908" s="17">
        <v>906</v>
      </c>
      <c r="L908" s="70">
        <v>5.8619775700208265E-14</v>
      </c>
    </row>
    <row r="909" spans="11:12" x14ac:dyDescent="0.4">
      <c r="K909" s="17">
        <v>907</v>
      </c>
      <c r="L909" s="70">
        <v>2.2000000000000588</v>
      </c>
    </row>
    <row r="910" spans="11:12" x14ac:dyDescent="0.4">
      <c r="K910" s="17">
        <v>908</v>
      </c>
      <c r="L910" s="70">
        <v>-36.999999999999943</v>
      </c>
    </row>
    <row r="911" spans="11:12" x14ac:dyDescent="0.4">
      <c r="K911" s="17">
        <v>909</v>
      </c>
      <c r="L911" s="70">
        <v>5.8619775700208265E-14</v>
      </c>
    </row>
    <row r="912" spans="11:12" x14ac:dyDescent="0.4">
      <c r="K912" s="17">
        <v>910</v>
      </c>
      <c r="L912" s="70">
        <v>73.300000000000054</v>
      </c>
    </row>
    <row r="913" spans="11:12" x14ac:dyDescent="0.4">
      <c r="K913" s="17">
        <v>911</v>
      </c>
      <c r="L913" s="70">
        <v>19.700000000000053</v>
      </c>
    </row>
    <row r="914" spans="11:12" x14ac:dyDescent="0.4">
      <c r="K914" s="17">
        <v>912</v>
      </c>
      <c r="L914" s="70">
        <v>5.5067062021407764E-14</v>
      </c>
    </row>
    <row r="915" spans="11:12" x14ac:dyDescent="0.4">
      <c r="K915" s="17">
        <v>913</v>
      </c>
      <c r="L915" s="70">
        <v>40.100000000000051</v>
      </c>
    </row>
    <row r="916" spans="11:12" x14ac:dyDescent="0.4">
      <c r="K916" s="17">
        <v>914</v>
      </c>
      <c r="L916" s="70">
        <v>-11.09999999999995</v>
      </c>
    </row>
    <row r="917" spans="11:12" x14ac:dyDescent="0.4">
      <c r="K917" s="17">
        <v>915</v>
      </c>
      <c r="L917" s="70">
        <v>4.9737991503207013E-14</v>
      </c>
    </row>
    <row r="918" spans="11:12" x14ac:dyDescent="0.4">
      <c r="K918" s="17">
        <v>916</v>
      </c>
      <c r="L918" s="70">
        <v>-42.099999999999952</v>
      </c>
    </row>
    <row r="919" spans="11:12" x14ac:dyDescent="0.4">
      <c r="K919" s="17">
        <v>917</v>
      </c>
      <c r="L919" s="70">
        <v>18.800000000000047</v>
      </c>
    </row>
    <row r="920" spans="11:12" x14ac:dyDescent="0.4">
      <c r="K920" s="17">
        <v>918</v>
      </c>
      <c r="L920" s="70">
        <v>4.7961634663806763E-14</v>
      </c>
    </row>
    <row r="921" spans="11:12" x14ac:dyDescent="0.4">
      <c r="K921" s="17">
        <v>919</v>
      </c>
      <c r="L921" s="70">
        <v>90.900000000000048</v>
      </c>
    </row>
    <row r="922" spans="11:12" x14ac:dyDescent="0.4">
      <c r="K922" s="17">
        <v>920</v>
      </c>
      <c r="L922" s="70">
        <v>8.3000000000000558</v>
      </c>
    </row>
    <row r="923" spans="11:12" x14ac:dyDescent="0.4">
      <c r="K923" s="17">
        <v>921</v>
      </c>
      <c r="L923" s="70">
        <v>5.5067062021407764E-14</v>
      </c>
    </row>
    <row r="924" spans="11:12" x14ac:dyDescent="0.4">
      <c r="K924" s="17">
        <v>922</v>
      </c>
      <c r="L924" s="70">
        <v>31.000000000000057</v>
      </c>
    </row>
    <row r="925" spans="11:12" x14ac:dyDescent="0.4">
      <c r="K925" s="17">
        <v>923</v>
      </c>
      <c r="L925" s="70">
        <v>0.80000000000005578</v>
      </c>
    </row>
    <row r="926" spans="11:12" x14ac:dyDescent="0.4">
      <c r="K926" s="17">
        <v>924</v>
      </c>
      <c r="L926" s="70">
        <v>5.5733195836182858E-14</v>
      </c>
    </row>
    <row r="927" spans="11:12" x14ac:dyDescent="0.4">
      <c r="K927" s="17">
        <v>925</v>
      </c>
      <c r="L927" s="70">
        <v>23.700000000000053</v>
      </c>
    </row>
    <row r="928" spans="11:12" x14ac:dyDescent="0.4">
      <c r="K928" s="17">
        <v>926</v>
      </c>
      <c r="L928" s="70">
        <v>26.300000000000054</v>
      </c>
    </row>
    <row r="929" spans="11:12" x14ac:dyDescent="0.4">
      <c r="K929" s="17">
        <v>927</v>
      </c>
      <c r="L929" s="70">
        <v>5.5067062021407764E-14</v>
      </c>
    </row>
    <row r="930" spans="11:12" x14ac:dyDescent="0.4">
      <c r="K930" s="17">
        <v>928</v>
      </c>
      <c r="L930" s="70">
        <v>-31.299999999999947</v>
      </c>
    </row>
    <row r="931" spans="11:12" x14ac:dyDescent="0.4">
      <c r="K931" s="17">
        <v>929</v>
      </c>
      <c r="L931" s="70">
        <v>1.9000000000000572</v>
      </c>
    </row>
    <row r="932" spans="11:12" x14ac:dyDescent="0.4">
      <c r="K932" s="17">
        <v>930</v>
      </c>
      <c r="L932" s="70">
        <v>5.7287508070658077E-14</v>
      </c>
    </row>
    <row r="933" spans="11:12" x14ac:dyDescent="0.4">
      <c r="K933" s="17">
        <v>931</v>
      </c>
      <c r="L933" s="70">
        <v>-58.29999999999994</v>
      </c>
    </row>
    <row r="934" spans="11:12" x14ac:dyDescent="0.4">
      <c r="K934" s="17">
        <v>932</v>
      </c>
      <c r="L934" s="70">
        <v>-9.4999999999999414</v>
      </c>
    </row>
    <row r="935" spans="11:12" x14ac:dyDescent="0.4">
      <c r="K935" s="17">
        <v>933</v>
      </c>
      <c r="L935" s="70">
        <v>5.8619775700208265E-14</v>
      </c>
    </row>
    <row r="936" spans="11:12" x14ac:dyDescent="0.4">
      <c r="K936" s="17">
        <v>934</v>
      </c>
      <c r="L936" s="70">
        <v>29.100000000000058</v>
      </c>
    </row>
    <row r="937" spans="11:12" x14ac:dyDescent="0.4">
      <c r="K937" s="17">
        <v>935</v>
      </c>
      <c r="L937" s="70">
        <v>4.3000000000000593</v>
      </c>
    </row>
    <row r="938" spans="11:12" x14ac:dyDescent="0.4">
      <c r="K938" s="17">
        <v>936</v>
      </c>
      <c r="L938" s="70">
        <v>5.9507954119908391E-14</v>
      </c>
    </row>
    <row r="939" spans="11:12" x14ac:dyDescent="0.4">
      <c r="K939" s="17">
        <v>937</v>
      </c>
      <c r="L939" s="70">
        <v>-7.2999999999999403</v>
      </c>
    </row>
    <row r="940" spans="11:12" x14ac:dyDescent="0.4">
      <c r="K940" s="17">
        <v>938</v>
      </c>
      <c r="L940" s="70">
        <v>-37.199999999999939</v>
      </c>
    </row>
    <row r="941" spans="11:12" x14ac:dyDescent="0.4">
      <c r="K941" s="17">
        <v>939</v>
      </c>
      <c r="L941" s="70">
        <v>6.5725203057809267E-14</v>
      </c>
    </row>
    <row r="942" spans="11:12" x14ac:dyDescent="0.4">
      <c r="K942" s="17">
        <v>940</v>
      </c>
      <c r="L942" s="70">
        <v>-31.699999999999932</v>
      </c>
    </row>
    <row r="943" spans="11:12" x14ac:dyDescent="0.4">
      <c r="K943" s="17">
        <v>941</v>
      </c>
      <c r="L943" s="70">
        <v>-33.099999999999937</v>
      </c>
    </row>
    <row r="944" spans="11:12" x14ac:dyDescent="0.4">
      <c r="K944" s="17">
        <v>942</v>
      </c>
      <c r="L944" s="70">
        <v>6.5725203057809267E-14</v>
      </c>
    </row>
    <row r="945" spans="11:12" x14ac:dyDescent="0.4">
      <c r="K945" s="17">
        <v>943</v>
      </c>
      <c r="L945" s="70">
        <v>-39.699999999999939</v>
      </c>
    </row>
    <row r="946" spans="11:12" x14ac:dyDescent="0.4">
      <c r="K946" s="17">
        <v>944</v>
      </c>
      <c r="L946" s="70">
        <v>5.5000000000000657</v>
      </c>
    </row>
    <row r="947" spans="11:12" x14ac:dyDescent="0.4">
      <c r="K947" s="17">
        <v>945</v>
      </c>
      <c r="L947" s="70">
        <v>6.5725203057809267E-14</v>
      </c>
    </row>
    <row r="948" spans="11:12" x14ac:dyDescent="0.4">
      <c r="K948" s="17">
        <v>946</v>
      </c>
      <c r="L948" s="70">
        <v>87.100000000000051</v>
      </c>
    </row>
    <row r="949" spans="11:12" x14ac:dyDescent="0.4">
      <c r="K949" s="17">
        <v>947</v>
      </c>
      <c r="L949" s="70">
        <v>60.400000000000048</v>
      </c>
    </row>
    <row r="950" spans="11:12" x14ac:dyDescent="0.4">
      <c r="K950" s="17">
        <v>948</v>
      </c>
      <c r="L950" s="70">
        <v>5.1514348342607263E-14</v>
      </c>
    </row>
    <row r="951" spans="11:12" x14ac:dyDescent="0.4">
      <c r="K951" s="17">
        <v>949</v>
      </c>
      <c r="L951" s="70">
        <v>-47.99999999999995</v>
      </c>
    </row>
    <row r="952" spans="11:12" x14ac:dyDescent="0.4">
      <c r="K952" s="17">
        <v>950</v>
      </c>
      <c r="L952" s="70">
        <v>-49.599999999999952</v>
      </c>
    </row>
    <row r="953" spans="11:12" x14ac:dyDescent="0.4">
      <c r="K953" s="17">
        <v>951</v>
      </c>
      <c r="L953" s="70">
        <v>5.1514348342607263E-14</v>
      </c>
    </row>
    <row r="954" spans="11:12" x14ac:dyDescent="0.4">
      <c r="K954" s="17">
        <v>952</v>
      </c>
      <c r="L954" s="70">
        <v>38.400000000000048</v>
      </c>
    </row>
    <row r="955" spans="11:12" x14ac:dyDescent="0.4">
      <c r="K955" s="17">
        <v>953</v>
      </c>
      <c r="L955" s="70">
        <v>4.1000000000000529</v>
      </c>
    </row>
    <row r="956" spans="11:12" x14ac:dyDescent="0.4">
      <c r="K956" s="17">
        <v>954</v>
      </c>
      <c r="L956" s="70">
        <v>5.3290705182007514E-14</v>
      </c>
    </row>
    <row r="957" spans="11:12" x14ac:dyDescent="0.4">
      <c r="K957" s="17">
        <v>955</v>
      </c>
      <c r="L957" s="70">
        <v>27.800000000000054</v>
      </c>
    </row>
    <row r="958" spans="11:12" x14ac:dyDescent="0.4">
      <c r="K958" s="17">
        <v>956</v>
      </c>
      <c r="L958" s="70">
        <v>25.100000000000058</v>
      </c>
    </row>
    <row r="959" spans="11:12" x14ac:dyDescent="0.4">
      <c r="K959" s="17">
        <v>957</v>
      </c>
      <c r="L959" s="70">
        <v>5.5067062021407764E-14</v>
      </c>
    </row>
    <row r="960" spans="11:12" x14ac:dyDescent="0.4">
      <c r="K960" s="17">
        <v>958</v>
      </c>
      <c r="L960" s="70">
        <v>47.20000000000006</v>
      </c>
    </row>
    <row r="961" spans="11:12" x14ac:dyDescent="0.4">
      <c r="K961" s="17">
        <v>959</v>
      </c>
      <c r="L961" s="70">
        <v>-3.4999999999999414</v>
      </c>
    </row>
    <row r="962" spans="11:12" x14ac:dyDescent="0.4">
      <c r="K962" s="17">
        <v>960</v>
      </c>
      <c r="L962" s="70">
        <v>5.8619775700208265E-14</v>
      </c>
    </row>
    <row r="963" spans="11:12" x14ac:dyDescent="0.4">
      <c r="K963" s="17">
        <v>961</v>
      </c>
      <c r="L963" s="70">
        <v>-28.499999999999943</v>
      </c>
    </row>
    <row r="964" spans="11:12" x14ac:dyDescent="0.4">
      <c r="K964" s="17">
        <v>962</v>
      </c>
      <c r="L964" s="70">
        <v>-31.899999999999942</v>
      </c>
    </row>
    <row r="965" spans="11:12" x14ac:dyDescent="0.4">
      <c r="K965" s="17">
        <v>963</v>
      </c>
      <c r="L965" s="70">
        <v>5.8619775700208265E-14</v>
      </c>
    </row>
    <row r="966" spans="11:12" x14ac:dyDescent="0.4">
      <c r="K966" s="17">
        <v>964</v>
      </c>
      <c r="L966" s="70">
        <v>28.900000000000055</v>
      </c>
    </row>
    <row r="967" spans="11:12" x14ac:dyDescent="0.4">
      <c r="K967" s="17">
        <v>965</v>
      </c>
      <c r="L967" s="70">
        <v>3.5000000000000586</v>
      </c>
    </row>
    <row r="968" spans="11:12" x14ac:dyDescent="0.4">
      <c r="K968" s="17">
        <v>966</v>
      </c>
      <c r="L968" s="70">
        <v>5.8619775700208265E-14</v>
      </c>
    </row>
    <row r="969" spans="11:12" x14ac:dyDescent="0.4">
      <c r="K969" s="17">
        <v>967</v>
      </c>
      <c r="L969" s="70">
        <v>-15.299999999999942</v>
      </c>
    </row>
    <row r="970" spans="11:12" x14ac:dyDescent="0.4">
      <c r="K970" s="17">
        <v>968</v>
      </c>
      <c r="L970" s="70">
        <v>41.000000000000057</v>
      </c>
    </row>
    <row r="971" spans="11:12" x14ac:dyDescent="0.4">
      <c r="K971" s="17">
        <v>969</v>
      </c>
      <c r="L971" s="70">
        <v>5.8619775700208265E-14</v>
      </c>
    </row>
    <row r="972" spans="11:12" x14ac:dyDescent="0.4">
      <c r="K972" s="17">
        <v>970</v>
      </c>
      <c r="L972" s="70">
        <v>-15.799999999999942</v>
      </c>
    </row>
    <row r="973" spans="11:12" x14ac:dyDescent="0.4">
      <c r="K973" s="17">
        <v>971</v>
      </c>
      <c r="L973" s="70">
        <v>57.800000000000054</v>
      </c>
    </row>
    <row r="974" spans="11:12" x14ac:dyDescent="0.4">
      <c r="K974" s="17">
        <v>972</v>
      </c>
      <c r="L974" s="70">
        <v>5.8619775700208265E-14</v>
      </c>
    </row>
    <row r="975" spans="11:12" x14ac:dyDescent="0.4">
      <c r="K975" s="17">
        <v>973</v>
      </c>
      <c r="L975" s="70">
        <v>54.600000000000058</v>
      </c>
    </row>
    <row r="976" spans="11:12" x14ac:dyDescent="0.4">
      <c r="K976" s="17">
        <v>974</v>
      </c>
      <c r="L976" s="70">
        <v>14.60000000000006</v>
      </c>
    </row>
    <row r="977" spans="11:12" x14ac:dyDescent="0.4">
      <c r="K977" s="17">
        <v>975</v>
      </c>
      <c r="L977" s="70">
        <v>6.0396132539608516E-14</v>
      </c>
    </row>
    <row r="978" spans="11:12" x14ac:dyDescent="0.4">
      <c r="K978" s="17">
        <v>976</v>
      </c>
      <c r="L978" s="70">
        <v>-43.699999999999946</v>
      </c>
    </row>
    <row r="979" spans="11:12" x14ac:dyDescent="0.4">
      <c r="K979" s="17">
        <v>977</v>
      </c>
      <c r="L979" s="70">
        <v>6.3000000000000558</v>
      </c>
    </row>
    <row r="980" spans="11:12" x14ac:dyDescent="0.4">
      <c r="K980" s="17">
        <v>978</v>
      </c>
      <c r="L980" s="70">
        <v>5.595524044110789E-14</v>
      </c>
    </row>
    <row r="981" spans="11:12" x14ac:dyDescent="0.4">
      <c r="K981" s="17">
        <v>979</v>
      </c>
      <c r="L981" s="70">
        <v>-32.499999999999943</v>
      </c>
    </row>
    <row r="982" spans="11:12" x14ac:dyDescent="0.4">
      <c r="K982" s="17">
        <v>980</v>
      </c>
      <c r="L982" s="70">
        <v>-37.099999999999945</v>
      </c>
    </row>
    <row r="983" spans="11:12" x14ac:dyDescent="0.4">
      <c r="K983" s="17">
        <v>981</v>
      </c>
      <c r="L983" s="70">
        <v>5.8619775700208265E-14</v>
      </c>
    </row>
    <row r="984" spans="11:12" x14ac:dyDescent="0.4">
      <c r="K984" s="17">
        <v>982</v>
      </c>
      <c r="L984" s="70">
        <v>8.0000000000000586</v>
      </c>
    </row>
    <row r="985" spans="11:12" x14ac:dyDescent="0.4">
      <c r="K985" s="17">
        <v>983</v>
      </c>
      <c r="L985" s="70">
        <v>-29.29999999999994</v>
      </c>
    </row>
    <row r="986" spans="11:12" x14ac:dyDescent="0.4">
      <c r="K986" s="17">
        <v>984</v>
      </c>
      <c r="L986" s="70">
        <v>6.2172489379008766E-14</v>
      </c>
    </row>
    <row r="987" spans="11:12" x14ac:dyDescent="0.4">
      <c r="K987" s="17">
        <v>985</v>
      </c>
      <c r="L987" s="70">
        <v>-6.9999999999999378</v>
      </c>
    </row>
    <row r="988" spans="11:12" x14ac:dyDescent="0.4">
      <c r="K988" s="17">
        <v>986</v>
      </c>
      <c r="L988" s="70">
        <v>-38.499999999999943</v>
      </c>
    </row>
    <row r="989" spans="11:12" x14ac:dyDescent="0.4">
      <c r="K989" s="17">
        <v>987</v>
      </c>
      <c r="L989" s="70">
        <v>5.8619775700208265E-14</v>
      </c>
    </row>
    <row r="990" spans="11:12" x14ac:dyDescent="0.4">
      <c r="K990" s="17">
        <v>988</v>
      </c>
      <c r="L990" s="70">
        <v>52.900000000000055</v>
      </c>
    </row>
    <row r="991" spans="11:12" x14ac:dyDescent="0.4">
      <c r="K991" s="17">
        <v>989</v>
      </c>
      <c r="L991" s="70">
        <v>-3.0999999999999428</v>
      </c>
    </row>
    <row r="992" spans="11:12" x14ac:dyDescent="0.4">
      <c r="K992" s="17">
        <v>990</v>
      </c>
      <c r="L992" s="70">
        <v>5.7287508070658077E-14</v>
      </c>
    </row>
    <row r="993" spans="11:12" x14ac:dyDescent="0.4">
      <c r="K993" s="17">
        <v>991</v>
      </c>
      <c r="L993" s="70">
        <v>22.100000000000058</v>
      </c>
    </row>
    <row r="994" spans="11:12" x14ac:dyDescent="0.4">
      <c r="K994" s="17">
        <v>992</v>
      </c>
      <c r="L994" s="70">
        <v>24.000000000000057</v>
      </c>
    </row>
    <row r="995" spans="11:12" x14ac:dyDescent="0.4">
      <c r="K995" s="17">
        <v>993</v>
      </c>
      <c r="L995" s="70">
        <v>5.8619775700208265E-14</v>
      </c>
    </row>
    <row r="996" spans="11:12" x14ac:dyDescent="0.4">
      <c r="K996" s="17">
        <v>994</v>
      </c>
      <c r="L996" s="70">
        <v>22.100000000000058</v>
      </c>
    </row>
    <row r="997" spans="11:12" x14ac:dyDescent="0.4">
      <c r="K997" s="17">
        <v>995</v>
      </c>
      <c r="L997" s="70">
        <v>24.000000000000057</v>
      </c>
    </row>
    <row r="998" spans="11:12" x14ac:dyDescent="0.4">
      <c r="K998" s="17">
        <v>996</v>
      </c>
      <c r="L998" s="70">
        <v>5.8619775700208265E-14</v>
      </c>
    </row>
    <row r="999" spans="11:12" x14ac:dyDescent="0.4">
      <c r="K999" s="17">
        <v>997</v>
      </c>
      <c r="L999" s="70">
        <v>25.70000000000006</v>
      </c>
    </row>
    <row r="1000" spans="11:12" x14ac:dyDescent="0.4">
      <c r="K1000" s="17">
        <v>998</v>
      </c>
      <c r="L1000" s="70">
        <v>1.8000000000000593</v>
      </c>
    </row>
    <row r="1001" spans="11:12" x14ac:dyDescent="0.4">
      <c r="K1001" s="17">
        <v>999</v>
      </c>
      <c r="L1001" s="70">
        <v>5.9285909514983359E-14</v>
      </c>
    </row>
    <row r="1002" spans="11:12" x14ac:dyDescent="0.4">
      <c r="K1002" s="17">
        <v>1000</v>
      </c>
      <c r="L1002" s="70">
        <v>39.600000000000058</v>
      </c>
    </row>
    <row r="1003" spans="11:12" x14ac:dyDescent="0.4">
      <c r="K1003" s="17">
        <v>1001</v>
      </c>
      <c r="L1003" s="70">
        <v>-64.199999999999932</v>
      </c>
    </row>
    <row r="1004" spans="11:12" x14ac:dyDescent="0.4">
      <c r="K1004" s="17">
        <v>1002</v>
      </c>
      <c r="L1004" s="70">
        <v>7.2830630415410269E-14</v>
      </c>
    </row>
    <row r="1005" spans="11:12" x14ac:dyDescent="0.4">
      <c r="K1005" s="17">
        <v>1003</v>
      </c>
      <c r="L1005" s="70">
        <v>-74.499999999999929</v>
      </c>
    </row>
    <row r="1006" spans="11:12" x14ac:dyDescent="0.4">
      <c r="K1006" s="17">
        <v>1004</v>
      </c>
      <c r="L1006" s="70">
        <v>2.2000000000000757</v>
      </c>
    </row>
    <row r="1007" spans="11:12" x14ac:dyDescent="0.4">
      <c r="K1007" s="17">
        <v>1005</v>
      </c>
      <c r="L1007" s="70">
        <v>7.5495165674510645E-14</v>
      </c>
    </row>
    <row r="1008" spans="11:12" x14ac:dyDescent="0.4">
      <c r="K1008" s="17">
        <v>1006</v>
      </c>
      <c r="L1008" s="70">
        <v>-31.599999999999923</v>
      </c>
    </row>
    <row r="1009" spans="11:12" x14ac:dyDescent="0.4">
      <c r="K1009" s="17">
        <v>1007</v>
      </c>
      <c r="L1009" s="70">
        <v>-35.799999999999926</v>
      </c>
    </row>
    <row r="1010" spans="11:12" x14ac:dyDescent="0.4">
      <c r="K1010" s="17">
        <v>1008</v>
      </c>
      <c r="L1010" s="70">
        <v>7.2830630415410269E-14</v>
      </c>
    </row>
    <row r="1011" spans="11:12" x14ac:dyDescent="0.4">
      <c r="K1011" s="17">
        <v>1009</v>
      </c>
      <c r="L1011" s="70">
        <v>35.300000000000068</v>
      </c>
    </row>
    <row r="1012" spans="11:12" x14ac:dyDescent="0.4">
      <c r="K1012" s="17">
        <v>1010</v>
      </c>
      <c r="L1012" s="70">
        <v>34.000000000000071</v>
      </c>
    </row>
    <row r="1013" spans="11:12" x14ac:dyDescent="0.4">
      <c r="K1013" s="17">
        <v>1011</v>
      </c>
      <c r="L1013" s="70">
        <v>7.2830630415410269E-14</v>
      </c>
    </row>
    <row r="1014" spans="11:12" x14ac:dyDescent="0.4">
      <c r="K1014" s="17">
        <v>1012</v>
      </c>
      <c r="L1014" s="70">
        <v>6.1000000000000725</v>
      </c>
    </row>
    <row r="1015" spans="11:12" x14ac:dyDescent="0.4">
      <c r="K1015" s="17">
        <v>1013</v>
      </c>
      <c r="L1015" s="70">
        <v>57.000000000000071</v>
      </c>
    </row>
    <row r="1016" spans="11:12" x14ac:dyDescent="0.4">
      <c r="K1016" s="17">
        <v>1014</v>
      </c>
      <c r="L1016" s="70">
        <v>7.2830630415410269E-14</v>
      </c>
    </row>
    <row r="1017" spans="11:12" x14ac:dyDescent="0.4">
      <c r="K1017" s="17">
        <v>1015</v>
      </c>
      <c r="L1017" s="70">
        <v>-5.0999999999999268</v>
      </c>
    </row>
    <row r="1018" spans="11:12" x14ac:dyDescent="0.4">
      <c r="K1018" s="17">
        <v>1016</v>
      </c>
      <c r="L1018" s="70">
        <v>31.600000000000072</v>
      </c>
    </row>
    <row r="1019" spans="11:12" x14ac:dyDescent="0.4">
      <c r="K1019" s="17">
        <v>1017</v>
      </c>
      <c r="L1019" s="70">
        <v>7.2830630415410269E-14</v>
      </c>
    </row>
    <row r="1020" spans="11:12" x14ac:dyDescent="0.4">
      <c r="K1020" s="17">
        <v>1018</v>
      </c>
      <c r="L1020" s="70">
        <v>5.200000000000073</v>
      </c>
    </row>
    <row r="1021" spans="11:12" x14ac:dyDescent="0.4">
      <c r="K1021" s="17">
        <v>1019</v>
      </c>
      <c r="L1021" s="70">
        <v>41.500000000000071</v>
      </c>
    </row>
    <row r="1022" spans="11:12" x14ac:dyDescent="0.4">
      <c r="K1022" s="17">
        <v>1020</v>
      </c>
      <c r="L1022" s="70">
        <v>7.2830630415410269E-14</v>
      </c>
    </row>
    <row r="1023" spans="11:12" x14ac:dyDescent="0.4">
      <c r="K1023" s="17">
        <v>1021</v>
      </c>
      <c r="L1023" s="70">
        <v>-7.8999999999999275</v>
      </c>
    </row>
    <row r="1024" spans="11:12" x14ac:dyDescent="0.4">
      <c r="K1024" s="17">
        <v>1022</v>
      </c>
      <c r="L1024" s="70">
        <v>55.100000000000072</v>
      </c>
    </row>
    <row r="1025" spans="11:12" x14ac:dyDescent="0.4">
      <c r="K1025" s="17">
        <v>1023</v>
      </c>
      <c r="L1025" s="70">
        <v>7.2830630415410269E-14</v>
      </c>
    </row>
    <row r="1026" spans="11:12" x14ac:dyDescent="0.4">
      <c r="K1026" s="17">
        <v>1024</v>
      </c>
      <c r="L1026" s="70">
        <v>-0.99999999999992717</v>
      </c>
    </row>
    <row r="1027" spans="11:12" x14ac:dyDescent="0.4">
      <c r="K1027" s="17">
        <v>1025</v>
      </c>
      <c r="L1027" s="70">
        <v>-30.799999999999926</v>
      </c>
    </row>
    <row r="1028" spans="11:12" x14ac:dyDescent="0.4">
      <c r="K1028" s="17">
        <v>1026</v>
      </c>
      <c r="L1028" s="70">
        <v>7.2830630415410269E-14</v>
      </c>
    </row>
    <row r="1029" spans="11:12" x14ac:dyDescent="0.4">
      <c r="K1029" s="17">
        <v>1027</v>
      </c>
      <c r="L1029" s="70">
        <v>0.50000000000007283</v>
      </c>
    </row>
    <row r="1030" spans="11:12" x14ac:dyDescent="0.4">
      <c r="K1030" s="17">
        <v>1028</v>
      </c>
      <c r="L1030" s="70">
        <v>29.100000000000072</v>
      </c>
    </row>
    <row r="1031" spans="11:12" x14ac:dyDescent="0.4">
      <c r="K1031" s="17">
        <v>1029</v>
      </c>
      <c r="L1031" s="70">
        <v>7.2830630415410269E-14</v>
      </c>
    </row>
    <row r="1032" spans="11:12" x14ac:dyDescent="0.4">
      <c r="K1032" s="17">
        <v>1030</v>
      </c>
      <c r="L1032" s="70">
        <v>-45.299999999999926</v>
      </c>
    </row>
    <row r="1033" spans="11:12" x14ac:dyDescent="0.4">
      <c r="K1033" s="17">
        <v>1031</v>
      </c>
      <c r="L1033" s="70">
        <v>-59.299999999999926</v>
      </c>
    </row>
    <row r="1034" spans="11:12" x14ac:dyDescent="0.4">
      <c r="K1034" s="17">
        <v>1032</v>
      </c>
      <c r="L1034" s="70">
        <v>7.2830630415410269E-14</v>
      </c>
    </row>
    <row r="1035" spans="11:12" x14ac:dyDescent="0.4">
      <c r="K1035" s="17">
        <v>1033</v>
      </c>
      <c r="L1035" s="70">
        <v>-8.8999999999999275</v>
      </c>
    </row>
    <row r="1036" spans="11:12" x14ac:dyDescent="0.4">
      <c r="K1036" s="17">
        <v>1034</v>
      </c>
      <c r="L1036" s="70">
        <v>-47.499999999999929</v>
      </c>
    </row>
    <row r="1037" spans="11:12" x14ac:dyDescent="0.4">
      <c r="K1037" s="17">
        <v>1035</v>
      </c>
      <c r="L1037" s="70">
        <v>7.2830630415410269E-14</v>
      </c>
    </row>
    <row r="1038" spans="11:12" x14ac:dyDescent="0.4">
      <c r="K1038" s="17">
        <v>1036</v>
      </c>
      <c r="L1038" s="70">
        <v>-3.4999999999999272</v>
      </c>
    </row>
    <row r="1039" spans="11:12" x14ac:dyDescent="0.4">
      <c r="K1039" s="17">
        <v>1037</v>
      </c>
      <c r="L1039" s="70">
        <v>27.000000000000071</v>
      </c>
    </row>
    <row r="1040" spans="11:12" x14ac:dyDescent="0.4">
      <c r="K1040" s="17">
        <v>1038</v>
      </c>
      <c r="L1040" s="70">
        <v>7.2830630415410269E-14</v>
      </c>
    </row>
    <row r="1041" spans="11:12" x14ac:dyDescent="0.4">
      <c r="K1041" s="17">
        <v>1039</v>
      </c>
      <c r="L1041" s="70">
        <v>-55.199999999999932</v>
      </c>
    </row>
    <row r="1042" spans="11:12" x14ac:dyDescent="0.4">
      <c r="K1042" s="17">
        <v>1040</v>
      </c>
      <c r="L1042" s="70">
        <v>-80.699999999999932</v>
      </c>
    </row>
    <row r="1043" spans="11:12" x14ac:dyDescent="0.4">
      <c r="K1043" s="17">
        <v>1041</v>
      </c>
      <c r="L1043" s="70">
        <v>7.2830630415410269E-14</v>
      </c>
    </row>
    <row r="1044" spans="11:12" x14ac:dyDescent="0.4">
      <c r="K1044" s="17">
        <v>1042</v>
      </c>
      <c r="L1044" s="70">
        <v>8.0000000000000728</v>
      </c>
    </row>
    <row r="1045" spans="11:12" x14ac:dyDescent="0.4">
      <c r="K1045" s="17">
        <v>1043</v>
      </c>
      <c r="L1045" s="70">
        <v>-63.199999999999932</v>
      </c>
    </row>
    <row r="1046" spans="11:12" x14ac:dyDescent="0.4">
      <c r="K1046" s="17">
        <v>1044</v>
      </c>
      <c r="L1046" s="70">
        <v>7.2830630415410269E-14</v>
      </c>
    </row>
    <row r="1047" spans="11:12" x14ac:dyDescent="0.4">
      <c r="K1047" s="17">
        <v>1045</v>
      </c>
      <c r="L1047" s="70">
        <v>54.500000000000071</v>
      </c>
    </row>
    <row r="1048" spans="11:12" x14ac:dyDescent="0.4">
      <c r="K1048" s="17">
        <v>1046</v>
      </c>
      <c r="L1048" s="70">
        <v>8.5000000000000728</v>
      </c>
    </row>
    <row r="1049" spans="11:12" x14ac:dyDescent="0.4">
      <c r="K1049" s="17">
        <v>1047</v>
      </c>
      <c r="L1049" s="70">
        <v>7.2830630415410269E-14</v>
      </c>
    </row>
    <row r="1050" spans="11:12" x14ac:dyDescent="0.4">
      <c r="K1050" s="17">
        <v>1048</v>
      </c>
      <c r="L1050" s="70">
        <v>-10.599999999999927</v>
      </c>
    </row>
    <row r="1051" spans="11:12" x14ac:dyDescent="0.4">
      <c r="K1051" s="17">
        <v>1049</v>
      </c>
      <c r="L1051" s="70">
        <v>-61.799999999999933</v>
      </c>
    </row>
    <row r="1052" spans="11:12" x14ac:dyDescent="0.4">
      <c r="K1052" s="17">
        <v>1050</v>
      </c>
      <c r="L1052" s="70">
        <v>6.5725203057809267E-14</v>
      </c>
    </row>
    <row r="1053" spans="11:12" x14ac:dyDescent="0.4">
      <c r="K1053" s="17">
        <v>1051</v>
      </c>
      <c r="L1053" s="70">
        <v>4.6000000000000654</v>
      </c>
    </row>
    <row r="1054" spans="11:12" x14ac:dyDescent="0.4">
      <c r="K1054" s="17">
        <v>1052</v>
      </c>
      <c r="L1054" s="70">
        <v>-25.299999999999933</v>
      </c>
    </row>
    <row r="1055" spans="11:12" x14ac:dyDescent="0.4">
      <c r="K1055" s="17">
        <v>1053</v>
      </c>
      <c r="L1055" s="70">
        <v>6.9277916736609768E-14</v>
      </c>
    </row>
    <row r="1056" spans="11:12" x14ac:dyDescent="0.4">
      <c r="K1056" s="17">
        <v>1054</v>
      </c>
      <c r="L1056" s="70">
        <v>-2.4999999999999307</v>
      </c>
    </row>
    <row r="1057" spans="11:12" x14ac:dyDescent="0.4">
      <c r="K1057" s="17">
        <v>1055</v>
      </c>
      <c r="L1057" s="70">
        <v>-49.999999999999929</v>
      </c>
    </row>
    <row r="1058" spans="11:12" x14ac:dyDescent="0.4">
      <c r="K1058" s="17">
        <v>1056</v>
      </c>
      <c r="L1058" s="70">
        <v>7.2830630415410269E-14</v>
      </c>
    </row>
    <row r="1059" spans="11:12" x14ac:dyDescent="0.4">
      <c r="K1059" s="17">
        <v>1057</v>
      </c>
      <c r="L1059" s="70">
        <v>31.90000000000007</v>
      </c>
    </row>
    <row r="1060" spans="11:12" x14ac:dyDescent="0.4">
      <c r="K1060" s="17">
        <v>1058</v>
      </c>
      <c r="L1060" s="70">
        <v>28.100000000000072</v>
      </c>
    </row>
    <row r="1061" spans="11:12" x14ac:dyDescent="0.4">
      <c r="K1061" s="17">
        <v>1059</v>
      </c>
      <c r="L1061" s="70">
        <v>6.9277916736609768E-14</v>
      </c>
    </row>
    <row r="1062" spans="11:12" x14ac:dyDescent="0.4">
      <c r="K1062" s="17">
        <v>1060</v>
      </c>
      <c r="L1062" s="70">
        <v>-55.999999999999929</v>
      </c>
    </row>
    <row r="1063" spans="11:12" x14ac:dyDescent="0.4">
      <c r="K1063" s="17">
        <v>1061</v>
      </c>
      <c r="L1063" s="70">
        <v>13.000000000000073</v>
      </c>
    </row>
    <row r="1064" spans="11:12" x14ac:dyDescent="0.4">
      <c r="K1064" s="17">
        <v>1062</v>
      </c>
      <c r="L1064" s="70">
        <v>7.2830630415410269E-14</v>
      </c>
    </row>
    <row r="1065" spans="11:12" x14ac:dyDescent="0.4">
      <c r="K1065" s="17">
        <v>1063</v>
      </c>
      <c r="L1065" s="70">
        <v>12.400000000000073</v>
      </c>
    </row>
    <row r="1066" spans="11:12" x14ac:dyDescent="0.4">
      <c r="K1066" s="17">
        <v>1064</v>
      </c>
      <c r="L1066" s="70">
        <v>49.100000000000072</v>
      </c>
    </row>
    <row r="1067" spans="11:12" x14ac:dyDescent="0.4">
      <c r="K1067" s="17">
        <v>1065</v>
      </c>
      <c r="L1067" s="70">
        <v>7.2830630415410269E-14</v>
      </c>
    </row>
    <row r="1068" spans="11:12" x14ac:dyDescent="0.4">
      <c r="K1068" s="17">
        <v>1066</v>
      </c>
      <c r="L1068" s="70">
        <v>-60.299999999999926</v>
      </c>
    </row>
    <row r="1069" spans="11:12" x14ac:dyDescent="0.4">
      <c r="K1069" s="17">
        <v>1067</v>
      </c>
      <c r="L1069" s="70">
        <v>9.30000000000007</v>
      </c>
    </row>
    <row r="1070" spans="11:12" x14ac:dyDescent="0.4">
      <c r="K1070" s="17">
        <v>1068</v>
      </c>
      <c r="L1070" s="70">
        <v>6.9277916736609768E-14</v>
      </c>
    </row>
    <row r="1071" spans="11:12" x14ac:dyDescent="0.4">
      <c r="K1071" s="17">
        <v>1069</v>
      </c>
      <c r="L1071" s="70">
        <v>48.500000000000071</v>
      </c>
    </row>
    <row r="1072" spans="11:12" x14ac:dyDescent="0.4">
      <c r="K1072" s="17">
        <v>1070</v>
      </c>
      <c r="L1072" s="70">
        <v>68.000000000000071</v>
      </c>
    </row>
    <row r="1073" spans="11:12" x14ac:dyDescent="0.4">
      <c r="K1073" s="17">
        <v>1071</v>
      </c>
      <c r="L1073" s="70">
        <v>7.2830630415410269E-14</v>
      </c>
    </row>
    <row r="1074" spans="11:12" x14ac:dyDescent="0.4">
      <c r="K1074" s="17">
        <v>1072</v>
      </c>
      <c r="L1074" s="70">
        <v>-1.4999999999999272</v>
      </c>
    </row>
    <row r="1075" spans="11:12" x14ac:dyDescent="0.4">
      <c r="K1075" s="17">
        <v>1073</v>
      </c>
      <c r="L1075" s="70">
        <v>-32.59999999999993</v>
      </c>
    </row>
    <row r="1076" spans="11:12" x14ac:dyDescent="0.4">
      <c r="K1076" s="17">
        <v>1074</v>
      </c>
      <c r="L1076" s="70">
        <v>7.2830630415410269E-14</v>
      </c>
    </row>
    <row r="1077" spans="11:12" x14ac:dyDescent="0.4">
      <c r="K1077" s="17">
        <v>1075</v>
      </c>
      <c r="L1077" s="70">
        <v>47.40000000000007</v>
      </c>
    </row>
    <row r="1078" spans="11:12" x14ac:dyDescent="0.4">
      <c r="K1078" s="17">
        <v>1076</v>
      </c>
      <c r="L1078" s="70">
        <v>52.300000000000068</v>
      </c>
    </row>
    <row r="1079" spans="11:12" x14ac:dyDescent="0.4">
      <c r="K1079" s="17">
        <v>1077</v>
      </c>
      <c r="L1079" s="70">
        <v>7.2830630415410269E-14</v>
      </c>
    </row>
    <row r="1080" spans="11:12" x14ac:dyDescent="0.4">
      <c r="K1080" s="17">
        <v>1078</v>
      </c>
      <c r="L1080" s="70">
        <v>73.600000000000065</v>
      </c>
    </row>
    <row r="1081" spans="11:12" x14ac:dyDescent="0.4">
      <c r="K1081" s="17">
        <v>1079</v>
      </c>
      <c r="L1081" s="70">
        <v>7.30000000000007</v>
      </c>
    </row>
    <row r="1082" spans="11:12" x14ac:dyDescent="0.4">
      <c r="K1082" s="17">
        <v>1080</v>
      </c>
      <c r="L1082" s="70">
        <v>7.0166095156309893E-14</v>
      </c>
    </row>
    <row r="1083" spans="11:12" x14ac:dyDescent="0.4">
      <c r="K1083" s="17">
        <v>1081</v>
      </c>
      <c r="L1083" s="70">
        <v>-33.59999999999993</v>
      </c>
    </row>
    <row r="1084" spans="11:12" x14ac:dyDescent="0.4">
      <c r="K1084" s="17">
        <v>1082</v>
      </c>
      <c r="L1084" s="70">
        <v>-32.499999999999929</v>
      </c>
    </row>
    <row r="1085" spans="11:12" x14ac:dyDescent="0.4">
      <c r="K1085" s="17">
        <v>1083</v>
      </c>
      <c r="L1085" s="70">
        <v>7.2830630415410269E-14</v>
      </c>
    </row>
    <row r="1086" spans="11:12" x14ac:dyDescent="0.4">
      <c r="K1086" s="17">
        <v>1084</v>
      </c>
      <c r="L1086" s="70">
        <v>5.4000000000000732</v>
      </c>
    </row>
    <row r="1087" spans="11:12" x14ac:dyDescent="0.4">
      <c r="K1087" s="17">
        <v>1085</v>
      </c>
      <c r="L1087" s="70">
        <v>-26.899999999999928</v>
      </c>
    </row>
    <row r="1088" spans="11:12" x14ac:dyDescent="0.4">
      <c r="K1088" s="17">
        <v>1086</v>
      </c>
      <c r="L1088" s="70">
        <v>7.2830630415410269E-14</v>
      </c>
    </row>
    <row r="1089" spans="11:12" x14ac:dyDescent="0.4">
      <c r="K1089" s="17">
        <v>1087</v>
      </c>
      <c r="L1089" s="70">
        <v>15.100000000000072</v>
      </c>
    </row>
    <row r="1090" spans="11:12" x14ac:dyDescent="0.4">
      <c r="K1090" s="17">
        <v>1088</v>
      </c>
      <c r="L1090" s="70">
        <v>-35.199999999999925</v>
      </c>
    </row>
    <row r="1091" spans="11:12" x14ac:dyDescent="0.4">
      <c r="K1091" s="17">
        <v>1089</v>
      </c>
      <c r="L1091" s="70">
        <v>7.9936057773011271E-14</v>
      </c>
    </row>
    <row r="1092" spans="11:12" x14ac:dyDescent="0.4">
      <c r="K1092" s="17">
        <v>1090</v>
      </c>
      <c r="L1092" s="70">
        <v>-28.199999999999918</v>
      </c>
    </row>
    <row r="1093" spans="11:12" x14ac:dyDescent="0.4">
      <c r="K1093" s="17">
        <v>1091</v>
      </c>
      <c r="L1093" s="70">
        <v>-33.499999999999922</v>
      </c>
    </row>
    <row r="1094" spans="11:12" x14ac:dyDescent="0.4">
      <c r="K1094" s="17">
        <v>1092</v>
      </c>
      <c r="L1094" s="70">
        <v>7.9936057773011271E-14</v>
      </c>
    </row>
    <row r="1095" spans="11:12" x14ac:dyDescent="0.4">
      <c r="K1095" s="17">
        <v>1093</v>
      </c>
      <c r="L1095" s="70">
        <v>-60.89999999999992</v>
      </c>
    </row>
    <row r="1096" spans="11:12" x14ac:dyDescent="0.4">
      <c r="K1096" s="17">
        <v>1094</v>
      </c>
      <c r="L1096" s="70">
        <v>-57.39999999999992</v>
      </c>
    </row>
    <row r="1097" spans="11:12" x14ac:dyDescent="0.4">
      <c r="K1097" s="17">
        <v>1095</v>
      </c>
      <c r="L1097" s="70">
        <v>7.9936057773011271E-14</v>
      </c>
    </row>
    <row r="1098" spans="11:12" x14ac:dyDescent="0.4">
      <c r="K1098" s="17">
        <v>1096</v>
      </c>
      <c r="L1098" s="70">
        <v>-57.699999999999925</v>
      </c>
    </row>
    <row r="1099" spans="11:12" x14ac:dyDescent="0.4">
      <c r="K1099" s="17">
        <v>1097</v>
      </c>
      <c r="L1099" s="70">
        <v>-13.799999999999924</v>
      </c>
    </row>
    <row r="1100" spans="11:12" x14ac:dyDescent="0.4">
      <c r="K1100" s="17">
        <v>1098</v>
      </c>
      <c r="L1100" s="70">
        <v>7.638334409421077E-14</v>
      </c>
    </row>
    <row r="1101" spans="11:12" x14ac:dyDescent="0.4">
      <c r="K1101" s="17">
        <v>1099</v>
      </c>
      <c r="L1101" s="70">
        <v>-55.499999999999929</v>
      </c>
    </row>
    <row r="1102" spans="11:12" x14ac:dyDescent="0.4">
      <c r="K1102" s="17">
        <v>1100</v>
      </c>
      <c r="L1102" s="70">
        <v>1.5000000000000728</v>
      </c>
    </row>
    <row r="1103" spans="11:12" x14ac:dyDescent="0.4">
      <c r="K1103" s="17">
        <v>1101</v>
      </c>
      <c r="L1103" s="70">
        <v>7.2830630415410269E-14</v>
      </c>
    </row>
    <row r="1104" spans="11:12" x14ac:dyDescent="0.4">
      <c r="K1104" s="17">
        <v>1102</v>
      </c>
      <c r="L1104" s="70">
        <v>46.90000000000007</v>
      </c>
    </row>
    <row r="1105" spans="11:12" x14ac:dyDescent="0.4">
      <c r="K1105" s="17">
        <v>1103</v>
      </c>
      <c r="L1105" s="70">
        <v>12.500000000000073</v>
      </c>
    </row>
    <row r="1106" spans="11:12" x14ac:dyDescent="0.4">
      <c r="K1106" s="17">
        <v>1104</v>
      </c>
      <c r="L1106" s="70">
        <v>7.2830630415410269E-14</v>
      </c>
    </row>
    <row r="1107" spans="11:12" x14ac:dyDescent="0.4">
      <c r="K1107" s="17">
        <v>1105</v>
      </c>
      <c r="L1107" s="70">
        <v>-59.899999999999928</v>
      </c>
    </row>
    <row r="1108" spans="11:12" x14ac:dyDescent="0.4">
      <c r="K1108" s="17">
        <v>1106</v>
      </c>
      <c r="L1108" s="70">
        <v>4.4000000000000714</v>
      </c>
    </row>
    <row r="1109" spans="11:12" x14ac:dyDescent="0.4">
      <c r="K1109" s="17">
        <v>1107</v>
      </c>
      <c r="L1109" s="70">
        <v>7.1054273576010019E-14</v>
      </c>
    </row>
    <row r="1110" spans="11:12" x14ac:dyDescent="0.4">
      <c r="K1110" s="17">
        <v>1108</v>
      </c>
      <c r="L1110" s="70">
        <v>54.500000000000071</v>
      </c>
    </row>
    <row r="1111" spans="11:12" x14ac:dyDescent="0.4">
      <c r="K1111" s="17">
        <v>1109</v>
      </c>
      <c r="L1111" s="70">
        <v>-8.9999999999999272</v>
      </c>
    </row>
    <row r="1112" spans="11:12" x14ac:dyDescent="0.4">
      <c r="K1112" s="17">
        <v>1110</v>
      </c>
      <c r="L1112" s="70">
        <v>7.2830630415410269E-14</v>
      </c>
    </row>
    <row r="1113" spans="11:12" x14ac:dyDescent="0.4">
      <c r="K1113" s="17">
        <v>1111</v>
      </c>
      <c r="L1113" s="70">
        <v>-55.399999999999928</v>
      </c>
    </row>
    <row r="1114" spans="11:12" x14ac:dyDescent="0.4">
      <c r="K1114" s="17">
        <v>1112</v>
      </c>
      <c r="L1114" s="70">
        <v>-51.899999999999928</v>
      </c>
    </row>
    <row r="1115" spans="11:12" x14ac:dyDescent="0.4">
      <c r="K1115" s="17">
        <v>1113</v>
      </c>
      <c r="L1115" s="70">
        <v>7.2830630415410269E-14</v>
      </c>
    </row>
    <row r="1116" spans="11:12" x14ac:dyDescent="0.4">
      <c r="K1116" s="17">
        <v>1114</v>
      </c>
      <c r="L1116" s="70">
        <v>4.1000000000000725</v>
      </c>
    </row>
    <row r="1117" spans="11:12" x14ac:dyDescent="0.4">
      <c r="K1117" s="17">
        <v>1115</v>
      </c>
      <c r="L1117" s="70">
        <v>35.200000000000074</v>
      </c>
    </row>
    <row r="1118" spans="11:12" x14ac:dyDescent="0.4">
      <c r="K1118" s="17">
        <v>1116</v>
      </c>
      <c r="L1118" s="70">
        <v>7.2830630415410269E-14</v>
      </c>
    </row>
    <row r="1119" spans="11:12" x14ac:dyDescent="0.4">
      <c r="K1119" s="17">
        <v>1117</v>
      </c>
      <c r="L1119" s="70">
        <v>-5.1999999999999273</v>
      </c>
    </row>
    <row r="1120" spans="11:12" x14ac:dyDescent="0.4">
      <c r="K1120" s="17">
        <v>1118</v>
      </c>
      <c r="L1120" s="70">
        <v>-32.299999999999933</v>
      </c>
    </row>
    <row r="1121" spans="11:12" x14ac:dyDescent="0.4">
      <c r="K1121" s="17">
        <v>1119</v>
      </c>
      <c r="L1121" s="70">
        <v>6.5725203057809267E-14</v>
      </c>
    </row>
    <row r="1122" spans="11:12" x14ac:dyDescent="0.4">
      <c r="K1122" s="17">
        <v>1120</v>
      </c>
      <c r="L1122" s="70">
        <v>30.600000000000065</v>
      </c>
    </row>
    <row r="1123" spans="11:12" x14ac:dyDescent="0.4">
      <c r="K1123" s="17">
        <v>1121</v>
      </c>
      <c r="L1123" s="70">
        <v>-10.099999999999936</v>
      </c>
    </row>
    <row r="1124" spans="11:12" x14ac:dyDescent="0.4">
      <c r="K1124" s="17">
        <v>1122</v>
      </c>
      <c r="L1124" s="70">
        <v>6.3948846218409017E-14</v>
      </c>
    </row>
    <row r="1125" spans="11:12" x14ac:dyDescent="0.4">
      <c r="K1125" s="17">
        <v>1123</v>
      </c>
      <c r="L1125" s="70">
        <v>-28.599999999999937</v>
      </c>
    </row>
    <row r="1126" spans="11:12" x14ac:dyDescent="0.4">
      <c r="K1126" s="17">
        <v>1124</v>
      </c>
      <c r="L1126" s="70">
        <v>1.3000000000000629</v>
      </c>
    </row>
    <row r="1127" spans="11:12" x14ac:dyDescent="0.4">
      <c r="K1127" s="17">
        <v>1125</v>
      </c>
      <c r="L1127" s="70">
        <v>6.283862319378386E-14</v>
      </c>
    </row>
    <row r="1128" spans="11:12" x14ac:dyDescent="0.4">
      <c r="K1128" s="17">
        <v>1126</v>
      </c>
      <c r="L1128" s="70">
        <v>-26.29999999999994</v>
      </c>
    </row>
    <row r="1129" spans="11:12" x14ac:dyDescent="0.4">
      <c r="K1129" s="17">
        <v>1127</v>
      </c>
      <c r="L1129" s="70">
        <v>4.10000000000006</v>
      </c>
    </row>
    <row r="1130" spans="11:12" x14ac:dyDescent="0.4">
      <c r="K1130" s="17">
        <v>1128</v>
      </c>
      <c r="L1130" s="70">
        <v>6.0396132539608516E-14</v>
      </c>
    </row>
    <row r="1131" spans="11:12" x14ac:dyDescent="0.4">
      <c r="K1131" s="17">
        <v>1129</v>
      </c>
      <c r="L1131" s="70">
        <v>-39.499999999999943</v>
      </c>
    </row>
    <row r="1132" spans="11:12" x14ac:dyDescent="0.4">
      <c r="K1132" s="17">
        <v>1130</v>
      </c>
      <c r="L1132" s="70">
        <v>-33.699999999999946</v>
      </c>
    </row>
    <row r="1133" spans="11:12" x14ac:dyDescent="0.4">
      <c r="K1133" s="17">
        <v>1131</v>
      </c>
      <c r="L1133" s="70">
        <v>5.8619775700208265E-14</v>
      </c>
    </row>
    <row r="1134" spans="11:12" x14ac:dyDescent="0.4">
      <c r="K1134" s="17">
        <v>1132</v>
      </c>
      <c r="L1134" s="70">
        <v>4.1000000000000583</v>
      </c>
    </row>
    <row r="1135" spans="11:12" x14ac:dyDescent="0.4">
      <c r="K1135" s="17">
        <v>1133</v>
      </c>
      <c r="L1135" s="70">
        <v>-55.999999999999943</v>
      </c>
    </row>
    <row r="1136" spans="11:12" x14ac:dyDescent="0.4">
      <c r="K1136" s="17">
        <v>1134</v>
      </c>
      <c r="L1136" s="70">
        <v>5.8619775700208265E-14</v>
      </c>
    </row>
    <row r="1137" spans="11:12" x14ac:dyDescent="0.4">
      <c r="K1137" s="17">
        <v>1135</v>
      </c>
      <c r="L1137" s="70">
        <v>-20.999999999999943</v>
      </c>
    </row>
    <row r="1138" spans="11:12" x14ac:dyDescent="0.4">
      <c r="K1138" s="17">
        <v>1136</v>
      </c>
      <c r="L1138" s="70">
        <v>58.000000000000057</v>
      </c>
    </row>
    <row r="1139" spans="11:12" x14ac:dyDescent="0.4">
      <c r="K1139" s="17">
        <v>1137</v>
      </c>
      <c r="L1139" s="70">
        <v>5.8619775700208265E-14</v>
      </c>
    </row>
    <row r="1140" spans="11:12" x14ac:dyDescent="0.4">
      <c r="K1140" s="17">
        <v>1138</v>
      </c>
      <c r="L1140" s="70">
        <v>-33.999999999999943</v>
      </c>
    </row>
    <row r="1141" spans="11:12" x14ac:dyDescent="0.4">
      <c r="K1141" s="17">
        <v>1139</v>
      </c>
      <c r="L1141" s="70">
        <v>-100.99999999999994</v>
      </c>
    </row>
    <row r="1142" spans="11:12" x14ac:dyDescent="0.4">
      <c r="K1142" s="17">
        <v>1140</v>
      </c>
      <c r="L1142" s="70">
        <v>5.8619775700208265E-14</v>
      </c>
    </row>
    <row r="1143" spans="11:12" x14ac:dyDescent="0.4">
      <c r="K1143" s="17">
        <v>1141</v>
      </c>
      <c r="L1143" s="70">
        <v>-12.999999999999941</v>
      </c>
    </row>
    <row r="1144" spans="11:12" x14ac:dyDescent="0.4">
      <c r="K1144" s="17">
        <v>1142</v>
      </c>
      <c r="L1144" s="70">
        <v>-92.899999999999949</v>
      </c>
    </row>
    <row r="1145" spans="11:12" x14ac:dyDescent="0.4">
      <c r="K1145" s="17">
        <v>1143</v>
      </c>
      <c r="L1145" s="70">
        <v>5.8619775700208265E-14</v>
      </c>
    </row>
    <row r="1146" spans="11:12" x14ac:dyDescent="0.4">
      <c r="K1146" s="17">
        <v>1144</v>
      </c>
      <c r="L1146" s="70">
        <v>-3.0999999999999415</v>
      </c>
    </row>
    <row r="1147" spans="11:12" x14ac:dyDescent="0.4">
      <c r="K1147" s="17">
        <v>1145</v>
      </c>
      <c r="L1147" s="70">
        <v>30.300000000000054</v>
      </c>
    </row>
    <row r="1148" spans="11:12" x14ac:dyDescent="0.4">
      <c r="K1148" s="17">
        <v>1146</v>
      </c>
      <c r="L1148" s="70">
        <v>5.5067062021407764E-14</v>
      </c>
    </row>
    <row r="1149" spans="11:12" x14ac:dyDescent="0.4">
      <c r="K1149" s="17">
        <v>1147</v>
      </c>
      <c r="L1149" s="70">
        <v>5.4000000000000554</v>
      </c>
    </row>
    <row r="1150" spans="11:12" x14ac:dyDescent="0.4">
      <c r="K1150" s="17">
        <v>1148</v>
      </c>
      <c r="L1150" s="70">
        <v>-29.399999999999942</v>
      </c>
    </row>
    <row r="1151" spans="11:12" x14ac:dyDescent="0.4">
      <c r="K1151" s="17">
        <v>1149</v>
      </c>
      <c r="L1151" s="70">
        <v>5.8619775700208265E-14</v>
      </c>
    </row>
    <row r="1152" spans="11:12" x14ac:dyDescent="0.4">
      <c r="K1152" s="17">
        <v>1150</v>
      </c>
      <c r="L1152" s="70">
        <v>-61.199999999999946</v>
      </c>
    </row>
    <row r="1153" spans="11:12" x14ac:dyDescent="0.4">
      <c r="K1153" s="17">
        <v>1151</v>
      </c>
      <c r="L1153" s="70">
        <v>-8.9999999999999414</v>
      </c>
    </row>
    <row r="1154" spans="11:12" x14ac:dyDescent="0.4">
      <c r="K1154" s="17">
        <v>1152</v>
      </c>
      <c r="L1154" s="70">
        <v>5.8619775700208265E-14</v>
      </c>
    </row>
    <row r="1155" spans="11:12" x14ac:dyDescent="0.4">
      <c r="K1155" s="17">
        <v>1153</v>
      </c>
      <c r="L1155" s="70">
        <v>-15.599999999999941</v>
      </c>
    </row>
    <row r="1156" spans="11:12" x14ac:dyDescent="0.4">
      <c r="K1156" s="17">
        <v>1154</v>
      </c>
      <c r="L1156" s="70">
        <v>-74.29999999999994</v>
      </c>
    </row>
    <row r="1157" spans="11:12" x14ac:dyDescent="0.4">
      <c r="K1157" s="17">
        <v>1155</v>
      </c>
      <c r="L1157" s="70">
        <v>5.8619775700208265E-14</v>
      </c>
    </row>
    <row r="1158" spans="11:12" x14ac:dyDescent="0.4">
      <c r="K1158" s="17">
        <v>1156</v>
      </c>
      <c r="L1158" s="70">
        <v>7.7000000000000588</v>
      </c>
    </row>
    <row r="1159" spans="11:12" x14ac:dyDescent="0.4">
      <c r="K1159" s="17">
        <v>1157</v>
      </c>
      <c r="L1159" s="70">
        <v>38.500000000000057</v>
      </c>
    </row>
    <row r="1160" spans="11:12" x14ac:dyDescent="0.4">
      <c r="K1160" s="17">
        <v>1158</v>
      </c>
      <c r="L1160" s="70">
        <v>5.8619775700208265E-14</v>
      </c>
    </row>
    <row r="1161" spans="11:12" x14ac:dyDescent="0.4">
      <c r="K1161" s="17">
        <v>1159</v>
      </c>
      <c r="L1161" s="70">
        <v>3.4000000000000585</v>
      </c>
    </row>
    <row r="1162" spans="11:12" x14ac:dyDescent="0.4">
      <c r="K1162" s="17">
        <v>1160</v>
      </c>
      <c r="L1162" s="70">
        <v>-28.29999999999994</v>
      </c>
    </row>
    <row r="1163" spans="11:12" x14ac:dyDescent="0.4">
      <c r="K1163" s="17">
        <v>1161</v>
      </c>
      <c r="L1163" s="70">
        <v>5.8619775700208265E-14</v>
      </c>
    </row>
    <row r="1164" spans="11:12" x14ac:dyDescent="0.4">
      <c r="K1164" s="17">
        <v>1162</v>
      </c>
      <c r="L1164" s="70">
        <v>-42.29999999999994</v>
      </c>
    </row>
    <row r="1165" spans="11:12" x14ac:dyDescent="0.4">
      <c r="K1165" s="17">
        <v>1163</v>
      </c>
      <c r="L1165" s="70">
        <v>-2.4999999999999414</v>
      </c>
    </row>
    <row r="1166" spans="11:12" x14ac:dyDescent="0.4">
      <c r="K1166" s="17">
        <v>1164</v>
      </c>
      <c r="L1166" s="70">
        <v>5.8619775700208265E-14</v>
      </c>
    </row>
    <row r="1167" spans="11:12" x14ac:dyDescent="0.4">
      <c r="K1167" s="17">
        <v>1165</v>
      </c>
      <c r="L1167" s="70">
        <v>-28.79999999999994</v>
      </c>
    </row>
    <row r="1168" spans="11:12" x14ac:dyDescent="0.4">
      <c r="K1168" s="17">
        <v>1166</v>
      </c>
      <c r="L1168" s="70">
        <v>-36.399999999999942</v>
      </c>
    </row>
    <row r="1169" spans="11:12" x14ac:dyDescent="0.4">
      <c r="K1169" s="17">
        <v>1167</v>
      </c>
      <c r="L1169" s="70">
        <v>5.8619775700208265E-14</v>
      </c>
    </row>
    <row r="1170" spans="11:12" x14ac:dyDescent="0.4">
      <c r="K1170" s="17">
        <v>1168</v>
      </c>
      <c r="L1170" s="70">
        <v>-46.999999999999943</v>
      </c>
    </row>
    <row r="1171" spans="11:12" x14ac:dyDescent="0.4">
      <c r="K1171" s="17">
        <v>1169</v>
      </c>
      <c r="L1171" s="70">
        <v>-7.4999999999999414</v>
      </c>
    </row>
    <row r="1172" spans="11:12" x14ac:dyDescent="0.4">
      <c r="K1172" s="17">
        <v>1170</v>
      </c>
      <c r="L1172" s="70">
        <v>5.8619775700208265E-14</v>
      </c>
    </row>
    <row r="1173" spans="11:12" x14ac:dyDescent="0.4">
      <c r="K1173" s="17">
        <v>1171</v>
      </c>
      <c r="L1173" s="70">
        <v>2.9000000000000585</v>
      </c>
    </row>
    <row r="1174" spans="11:12" x14ac:dyDescent="0.4">
      <c r="K1174" s="17">
        <v>1172</v>
      </c>
      <c r="L1174" s="70">
        <v>32.100000000000058</v>
      </c>
    </row>
    <row r="1175" spans="11:12" x14ac:dyDescent="0.4">
      <c r="K1175" s="17">
        <v>1173</v>
      </c>
      <c r="L1175" s="70">
        <v>5.8619775700208265E-14</v>
      </c>
    </row>
    <row r="1176" spans="11:12" x14ac:dyDescent="0.4">
      <c r="K1176" s="17">
        <v>1174</v>
      </c>
      <c r="L1176" s="70">
        <v>-24.79999999999994</v>
      </c>
    </row>
    <row r="1177" spans="11:12" x14ac:dyDescent="0.4">
      <c r="K1177" s="17">
        <v>1175</v>
      </c>
      <c r="L1177" s="70">
        <v>-82.499999999999943</v>
      </c>
    </row>
    <row r="1178" spans="11:12" x14ac:dyDescent="0.4">
      <c r="K1178" s="17">
        <v>1176</v>
      </c>
      <c r="L1178" s="70">
        <v>5.8619775700208265E-14</v>
      </c>
    </row>
    <row r="1179" spans="11:12" x14ac:dyDescent="0.4">
      <c r="K1179" s="17">
        <v>1177</v>
      </c>
      <c r="L1179" s="70">
        <v>30.300000000000061</v>
      </c>
    </row>
    <row r="1180" spans="11:12" x14ac:dyDescent="0.4">
      <c r="K1180" s="17">
        <v>1178</v>
      </c>
      <c r="L1180" s="70">
        <v>27.500000000000057</v>
      </c>
    </row>
    <row r="1181" spans="11:12" x14ac:dyDescent="0.4">
      <c r="K1181" s="17">
        <v>1179</v>
      </c>
      <c r="L1181" s="70">
        <v>5.8619775700208265E-14</v>
      </c>
    </row>
    <row r="1182" spans="11:12" x14ac:dyDescent="0.4">
      <c r="K1182" s="17">
        <v>1180</v>
      </c>
      <c r="L1182" s="70">
        <v>-5.4999999999999414</v>
      </c>
    </row>
    <row r="1183" spans="11:12" x14ac:dyDescent="0.4">
      <c r="K1183" s="17">
        <v>1181</v>
      </c>
      <c r="L1183" s="70">
        <v>-66.599999999999937</v>
      </c>
    </row>
    <row r="1184" spans="11:12" x14ac:dyDescent="0.4">
      <c r="K1184" s="17">
        <v>1182</v>
      </c>
      <c r="L1184" s="70">
        <v>5.8619775700208265E-14</v>
      </c>
    </row>
    <row r="1185" spans="11:12" x14ac:dyDescent="0.4">
      <c r="K1185" s="17">
        <v>1183</v>
      </c>
      <c r="L1185" s="70">
        <v>-32.899999999999942</v>
      </c>
    </row>
    <row r="1186" spans="11:12" x14ac:dyDescent="0.4">
      <c r="K1186" s="17">
        <v>1184</v>
      </c>
      <c r="L1186" s="70">
        <v>12.500000000000059</v>
      </c>
    </row>
    <row r="1187" spans="11:12" x14ac:dyDescent="0.4">
      <c r="K1187" s="17">
        <v>1185</v>
      </c>
      <c r="L1187" s="70">
        <v>5.8619775700208265E-14</v>
      </c>
    </row>
    <row r="1188" spans="11:12" x14ac:dyDescent="0.4">
      <c r="K1188" s="17">
        <v>1186</v>
      </c>
      <c r="L1188" s="70">
        <v>45.100000000000058</v>
      </c>
    </row>
    <row r="1189" spans="11:12" x14ac:dyDescent="0.4">
      <c r="K1189" s="17">
        <v>1187</v>
      </c>
      <c r="L1189" s="70">
        <v>7.10000000000006</v>
      </c>
    </row>
    <row r="1190" spans="11:12" x14ac:dyDescent="0.4">
      <c r="K1190" s="17">
        <v>1188</v>
      </c>
      <c r="L1190" s="70">
        <v>6.0396132539608516E-14</v>
      </c>
    </row>
    <row r="1191" spans="11:12" x14ac:dyDescent="0.4">
      <c r="K1191" s="17">
        <v>1189</v>
      </c>
      <c r="L1191" s="70">
        <v>-56.399999999999942</v>
      </c>
    </row>
    <row r="1192" spans="11:12" x14ac:dyDescent="0.4">
      <c r="K1192" s="17">
        <v>1190</v>
      </c>
      <c r="L1192" s="70">
        <v>-51.099999999999945</v>
      </c>
    </row>
    <row r="1193" spans="11:12" x14ac:dyDescent="0.4">
      <c r="K1193" s="17">
        <v>1191</v>
      </c>
      <c r="L1193" s="70">
        <v>5.8619775700208265E-14</v>
      </c>
    </row>
    <row r="1194" spans="11:12" x14ac:dyDescent="0.4">
      <c r="K1194" s="17">
        <v>1192</v>
      </c>
      <c r="L1194" s="70">
        <v>45.400000000000055</v>
      </c>
    </row>
    <row r="1195" spans="11:12" x14ac:dyDescent="0.4">
      <c r="K1195" s="17">
        <v>1193</v>
      </c>
      <c r="L1195" s="70">
        <v>37.500000000000057</v>
      </c>
    </row>
    <row r="1196" spans="11:12" x14ac:dyDescent="0.4">
      <c r="K1196" s="17">
        <v>1194</v>
      </c>
      <c r="L1196" s="70">
        <v>5.8619775700208265E-14</v>
      </c>
    </row>
    <row r="1197" spans="11:12" x14ac:dyDescent="0.4">
      <c r="K1197" s="17">
        <v>1195</v>
      </c>
      <c r="L1197" s="70">
        <v>-58.699999999999946</v>
      </c>
    </row>
    <row r="1198" spans="11:12" x14ac:dyDescent="0.4">
      <c r="K1198" s="17">
        <v>1196</v>
      </c>
      <c r="L1198" s="70">
        <v>-59.199999999999946</v>
      </c>
    </row>
    <row r="1199" spans="11:12" x14ac:dyDescent="0.4">
      <c r="K1199" s="17">
        <v>1197</v>
      </c>
      <c r="L1199" s="70">
        <v>5.8619775700208265E-14</v>
      </c>
    </row>
    <row r="1200" spans="11:12" x14ac:dyDescent="0.4">
      <c r="K1200" s="17">
        <v>1198</v>
      </c>
      <c r="L1200" s="70">
        <v>6.7000000000000588</v>
      </c>
    </row>
    <row r="1201" spans="11:12" x14ac:dyDescent="0.4">
      <c r="K1201" s="17">
        <v>1199</v>
      </c>
      <c r="L1201" s="70">
        <v>-27.699999999999939</v>
      </c>
    </row>
    <row r="1202" spans="11:12" x14ac:dyDescent="0.4">
      <c r="K1202" s="17">
        <v>1200</v>
      </c>
      <c r="L1202" s="70">
        <v>5.8619775700208265E-14</v>
      </c>
    </row>
    <row r="1203" spans="11:12" x14ac:dyDescent="0.4">
      <c r="K1203" s="17">
        <v>1201</v>
      </c>
      <c r="L1203" s="70">
        <v>6.1000000000000583</v>
      </c>
    </row>
    <row r="1204" spans="11:12" x14ac:dyDescent="0.4">
      <c r="K1204" s="17">
        <v>1202</v>
      </c>
      <c r="L1204" s="70">
        <v>32.70000000000006</v>
      </c>
    </row>
    <row r="1205" spans="11:12" x14ac:dyDescent="0.4">
      <c r="K1205" s="17">
        <v>1203</v>
      </c>
      <c r="L1205" s="70">
        <v>5.8619775700208265E-14</v>
      </c>
    </row>
    <row r="1206" spans="11:12" x14ac:dyDescent="0.4">
      <c r="K1206" s="17">
        <v>1204</v>
      </c>
      <c r="L1206" s="70">
        <v>-54.899999999999942</v>
      </c>
    </row>
    <row r="1207" spans="11:12" x14ac:dyDescent="0.4">
      <c r="K1207" s="17">
        <v>1205</v>
      </c>
      <c r="L1207" s="70">
        <v>-9.1999999999999371</v>
      </c>
    </row>
    <row r="1208" spans="11:12" x14ac:dyDescent="0.4">
      <c r="K1208" s="17">
        <v>1206</v>
      </c>
      <c r="L1208" s="70">
        <v>6.2172489379008766E-14</v>
      </c>
    </row>
    <row r="1209" spans="11:12" x14ac:dyDescent="0.4">
      <c r="K1209" s="17">
        <v>1207</v>
      </c>
      <c r="L1209" s="70">
        <v>-52.79999999999994</v>
      </c>
    </row>
    <row r="1210" spans="11:12" x14ac:dyDescent="0.4">
      <c r="K1210" s="17">
        <v>1208</v>
      </c>
      <c r="L1210" s="70">
        <v>-70.899999999999949</v>
      </c>
    </row>
    <row r="1211" spans="11:12" x14ac:dyDescent="0.4">
      <c r="K1211" s="17">
        <v>1209</v>
      </c>
      <c r="L1211" s="70">
        <v>5.8619775700208265E-14</v>
      </c>
    </row>
    <row r="1212" spans="11:12" x14ac:dyDescent="0.4">
      <c r="K1212" s="17">
        <v>1210</v>
      </c>
      <c r="L1212" s="70">
        <v>82.300000000000054</v>
      </c>
    </row>
    <row r="1213" spans="11:12" x14ac:dyDescent="0.4">
      <c r="K1213" s="17">
        <v>1211</v>
      </c>
      <c r="L1213" s="70">
        <v>25.500000000000057</v>
      </c>
    </row>
    <row r="1214" spans="11:12" x14ac:dyDescent="0.4">
      <c r="K1214" s="17">
        <v>1212</v>
      </c>
      <c r="L1214" s="70">
        <v>5.8619775700208265E-14</v>
      </c>
    </row>
    <row r="1215" spans="11:12" x14ac:dyDescent="0.4">
      <c r="K1215" s="17">
        <v>1213</v>
      </c>
      <c r="L1215" s="70">
        <v>22.400000000000055</v>
      </c>
    </row>
    <row r="1216" spans="11:12" x14ac:dyDescent="0.4">
      <c r="K1216" s="17">
        <v>1214</v>
      </c>
      <c r="L1216" s="70">
        <v>23.500000000000057</v>
      </c>
    </row>
    <row r="1217" spans="11:12" x14ac:dyDescent="0.4">
      <c r="K1217" s="17">
        <v>1215</v>
      </c>
      <c r="L1217" s="70">
        <v>5.8619775700208265E-14</v>
      </c>
    </row>
    <row r="1218" spans="11:12" x14ac:dyDescent="0.4">
      <c r="K1218" s="17">
        <v>1216</v>
      </c>
      <c r="L1218" s="70">
        <v>-24.599999999999945</v>
      </c>
    </row>
    <row r="1219" spans="11:12" x14ac:dyDescent="0.4">
      <c r="K1219" s="17">
        <v>1217</v>
      </c>
      <c r="L1219" s="70">
        <v>-2.1999999999999442</v>
      </c>
    </row>
    <row r="1220" spans="11:12" x14ac:dyDescent="0.4">
      <c r="K1220" s="17">
        <v>1218</v>
      </c>
      <c r="L1220" s="70">
        <v>5.595524044110789E-14</v>
      </c>
    </row>
    <row r="1221" spans="11:12" x14ac:dyDescent="0.4">
      <c r="K1221" s="17">
        <v>1219</v>
      </c>
      <c r="L1221" s="70">
        <v>-5.2999999999999439</v>
      </c>
    </row>
    <row r="1222" spans="11:12" x14ac:dyDescent="0.4">
      <c r="K1222" s="17">
        <v>1220</v>
      </c>
      <c r="L1222" s="70">
        <v>76.600000000000065</v>
      </c>
    </row>
    <row r="1223" spans="11:12" x14ac:dyDescent="0.4">
      <c r="K1223" s="17">
        <v>1221</v>
      </c>
      <c r="L1223" s="70">
        <v>7.2830630415410269E-14</v>
      </c>
    </row>
    <row r="1224" spans="11:12" x14ac:dyDescent="0.4">
      <c r="K1224" s="17">
        <v>1222</v>
      </c>
      <c r="L1224" s="70">
        <v>-12.599999999999927</v>
      </c>
    </row>
    <row r="1225" spans="11:12" x14ac:dyDescent="0.4">
      <c r="K1225" s="17">
        <v>1223</v>
      </c>
      <c r="L1225" s="70">
        <v>35.100000000000072</v>
      </c>
    </row>
    <row r="1226" spans="11:12" x14ac:dyDescent="0.4">
      <c r="K1226" s="17">
        <v>1224</v>
      </c>
      <c r="L1226" s="70">
        <v>7.2830630415410269E-14</v>
      </c>
    </row>
    <row r="1227" spans="11:12" x14ac:dyDescent="0.4">
      <c r="K1227" s="17">
        <v>1225</v>
      </c>
      <c r="L1227" s="70">
        <v>66.200000000000074</v>
      </c>
    </row>
    <row r="1228" spans="11:12" x14ac:dyDescent="0.4">
      <c r="K1228" s="17">
        <v>1226</v>
      </c>
      <c r="L1228" s="70">
        <v>57.300000000000075</v>
      </c>
    </row>
    <row r="1229" spans="11:12" x14ac:dyDescent="0.4">
      <c r="K1229" s="17">
        <v>1227</v>
      </c>
      <c r="L1229" s="70">
        <v>7.9936057773011271E-14</v>
      </c>
    </row>
    <row r="1230" spans="11:12" x14ac:dyDescent="0.4">
      <c r="K1230" s="17">
        <v>1228</v>
      </c>
      <c r="L1230" s="70">
        <v>-35.599999999999923</v>
      </c>
    </row>
    <row r="1231" spans="11:12" x14ac:dyDescent="0.4">
      <c r="K1231" s="17">
        <v>1229</v>
      </c>
      <c r="L1231" s="70">
        <v>-38.599999999999923</v>
      </c>
    </row>
    <row r="1232" spans="11:12" x14ac:dyDescent="0.4">
      <c r="K1232" s="17">
        <v>1230</v>
      </c>
      <c r="L1232" s="70">
        <v>7.9936057773011271E-14</v>
      </c>
    </row>
    <row r="1233" spans="11:12" x14ac:dyDescent="0.4">
      <c r="K1233" s="17">
        <v>1231</v>
      </c>
      <c r="L1233" s="70">
        <v>32.500000000000078</v>
      </c>
    </row>
    <row r="1234" spans="11:12" x14ac:dyDescent="0.4">
      <c r="K1234" s="17">
        <v>1232</v>
      </c>
      <c r="L1234" s="70">
        <v>38.60000000000008</v>
      </c>
    </row>
    <row r="1235" spans="11:12" x14ac:dyDescent="0.4">
      <c r="K1235" s="17">
        <v>1233</v>
      </c>
      <c r="L1235" s="70">
        <v>7.9936057773011271E-14</v>
      </c>
    </row>
    <row r="1236" spans="11:12" x14ac:dyDescent="0.4">
      <c r="K1236" s="17">
        <v>1234</v>
      </c>
      <c r="L1236" s="70">
        <v>-36.799999999999919</v>
      </c>
    </row>
    <row r="1237" spans="11:12" x14ac:dyDescent="0.4">
      <c r="K1237" s="17">
        <v>1235</v>
      </c>
      <c r="L1237" s="70">
        <v>1.4000000000000856</v>
      </c>
    </row>
    <row r="1238" spans="11:12" x14ac:dyDescent="0.4">
      <c r="K1238" s="17">
        <v>1236</v>
      </c>
      <c r="L1238" s="70">
        <v>8.5709217501062085E-14</v>
      </c>
    </row>
    <row r="1239" spans="11:12" x14ac:dyDescent="0.4">
      <c r="K1239" s="17">
        <v>1237</v>
      </c>
      <c r="L1239" s="70">
        <v>10.000000000000085</v>
      </c>
    </row>
    <row r="1240" spans="11:12" x14ac:dyDescent="0.4">
      <c r="K1240" s="17">
        <v>1238</v>
      </c>
      <c r="L1240" s="70">
        <v>-39.699999999999918</v>
      </c>
    </row>
    <row r="1241" spans="11:12" x14ac:dyDescent="0.4">
      <c r="K1241" s="17">
        <v>1239</v>
      </c>
      <c r="L1241" s="70">
        <v>8.7041485130612273E-14</v>
      </c>
    </row>
    <row r="1242" spans="11:12" x14ac:dyDescent="0.4">
      <c r="K1242" s="17">
        <v>1240</v>
      </c>
      <c r="L1242" s="70">
        <v>42.500000000000085</v>
      </c>
    </row>
    <row r="1243" spans="11:12" x14ac:dyDescent="0.4">
      <c r="K1243" s="17">
        <v>1241</v>
      </c>
      <c r="L1243" s="70">
        <v>3.000000000000087</v>
      </c>
    </row>
    <row r="1244" spans="11:12" x14ac:dyDescent="0.4">
      <c r="K1244" s="17">
        <v>1242</v>
      </c>
      <c r="L1244" s="70">
        <v>8.7041485130612273E-14</v>
      </c>
    </row>
    <row r="1245" spans="11:12" x14ac:dyDescent="0.4">
      <c r="K1245" s="17">
        <v>1243</v>
      </c>
      <c r="L1245" s="70">
        <v>-6.999999999999913</v>
      </c>
    </row>
    <row r="1246" spans="11:12" x14ac:dyDescent="0.4">
      <c r="K1246" s="17">
        <v>1244</v>
      </c>
      <c r="L1246" s="70">
        <v>-41.799999999999912</v>
      </c>
    </row>
    <row r="1247" spans="11:12" x14ac:dyDescent="0.4">
      <c r="K1247" s="17">
        <v>1245</v>
      </c>
      <c r="L1247" s="70">
        <v>8.7041485130612273E-14</v>
      </c>
    </row>
    <row r="1248" spans="11:12" x14ac:dyDescent="0.4">
      <c r="K1248" s="17">
        <v>1246</v>
      </c>
      <c r="L1248" s="70">
        <v>-34.199999999999918</v>
      </c>
    </row>
    <row r="1249" spans="11:12" x14ac:dyDescent="0.4">
      <c r="K1249" s="17">
        <v>1247</v>
      </c>
      <c r="L1249" s="70">
        <v>0.3000000000000842</v>
      </c>
    </row>
    <row r="1250" spans="11:12" x14ac:dyDescent="0.4">
      <c r="K1250" s="17">
        <v>1248</v>
      </c>
      <c r="L1250" s="70">
        <v>8.4210416417818124E-14</v>
      </c>
    </row>
    <row r="1251" spans="11:12" x14ac:dyDescent="0.4">
      <c r="K1251" s="17">
        <v>1249</v>
      </c>
      <c r="L1251" s="70">
        <v>-58.499999999999915</v>
      </c>
    </row>
    <row r="1252" spans="11:12" x14ac:dyDescent="0.4">
      <c r="K1252" s="17">
        <v>1250</v>
      </c>
      <c r="L1252" s="70">
        <v>-44.999999999999915</v>
      </c>
    </row>
    <row r="1253" spans="11:12" x14ac:dyDescent="0.4">
      <c r="K1253" s="17">
        <v>1251</v>
      </c>
      <c r="L1253" s="70">
        <v>8.7041485130612273E-14</v>
      </c>
    </row>
    <row r="1254" spans="11:12" x14ac:dyDescent="0.4">
      <c r="K1254" s="17">
        <v>1252</v>
      </c>
      <c r="L1254" s="70">
        <v>-77.999999999999915</v>
      </c>
    </row>
    <row r="1255" spans="11:12" x14ac:dyDescent="0.4">
      <c r="K1255" s="17">
        <v>1253</v>
      </c>
      <c r="L1255" s="70">
        <v>-17.599999999999916</v>
      </c>
    </row>
    <row r="1256" spans="11:12" x14ac:dyDescent="0.4">
      <c r="K1256" s="17">
        <v>1254</v>
      </c>
      <c r="L1256" s="70">
        <v>8.7041485130612273E-14</v>
      </c>
    </row>
    <row r="1257" spans="11:12" x14ac:dyDescent="0.4">
      <c r="K1257" s="17">
        <v>1255</v>
      </c>
      <c r="L1257" s="70">
        <v>2.1000000000000871</v>
      </c>
    </row>
    <row r="1258" spans="11:12" x14ac:dyDescent="0.4">
      <c r="K1258" s="17">
        <v>1256</v>
      </c>
      <c r="L1258" s="70">
        <v>30.500000000000085</v>
      </c>
    </row>
    <row r="1259" spans="11:12" x14ac:dyDescent="0.4">
      <c r="K1259" s="17">
        <v>1257</v>
      </c>
      <c r="L1259" s="70">
        <v>8.7041485130612273E-14</v>
      </c>
    </row>
    <row r="1260" spans="11:12" x14ac:dyDescent="0.4">
      <c r="K1260" s="17">
        <v>1258</v>
      </c>
      <c r="L1260" s="70">
        <v>8.8000000000000878</v>
      </c>
    </row>
    <row r="1261" spans="11:12" x14ac:dyDescent="0.4">
      <c r="K1261" s="17">
        <v>1259</v>
      </c>
      <c r="L1261" s="70">
        <v>40.900000000000091</v>
      </c>
    </row>
    <row r="1262" spans="11:12" x14ac:dyDescent="0.4">
      <c r="K1262" s="17">
        <v>1260</v>
      </c>
      <c r="L1262" s="70">
        <v>9.4146912488213275E-14</v>
      </c>
    </row>
    <row r="1263" spans="11:12" x14ac:dyDescent="0.4">
      <c r="K1263" s="17">
        <v>1261</v>
      </c>
      <c r="L1263" s="70">
        <v>9.6000000000000938</v>
      </c>
    </row>
    <row r="1264" spans="11:12" x14ac:dyDescent="0.4">
      <c r="K1264" s="17">
        <v>1262</v>
      </c>
      <c r="L1264" s="70">
        <v>-30.699999999999903</v>
      </c>
    </row>
    <row r="1265" spans="11:12" x14ac:dyDescent="0.4">
      <c r="K1265" s="17">
        <v>1263</v>
      </c>
      <c r="L1265" s="70">
        <v>9.7699626167013776E-14</v>
      </c>
    </row>
    <row r="1266" spans="11:12" x14ac:dyDescent="0.4">
      <c r="K1266" s="17">
        <v>1264</v>
      </c>
      <c r="L1266" s="70">
        <v>-1.2999999999999023</v>
      </c>
    </row>
    <row r="1267" spans="11:12" x14ac:dyDescent="0.4">
      <c r="K1267" s="17">
        <v>1265</v>
      </c>
      <c r="L1267" s="70">
        <v>25.100000000000094</v>
      </c>
    </row>
    <row r="1268" spans="11:12" x14ac:dyDescent="0.4">
      <c r="K1268" s="17">
        <v>1266</v>
      </c>
      <c r="L1268" s="70">
        <v>9.4146912488213275E-14</v>
      </c>
    </row>
    <row r="1269" spans="11:12" x14ac:dyDescent="0.4">
      <c r="K1269" s="17">
        <v>1267</v>
      </c>
      <c r="L1269" s="70">
        <v>-65.099999999999909</v>
      </c>
    </row>
    <row r="1270" spans="11:12" x14ac:dyDescent="0.4">
      <c r="K1270" s="17">
        <v>1268</v>
      </c>
      <c r="L1270" s="70">
        <v>-9.1999999999999087</v>
      </c>
    </row>
    <row r="1271" spans="11:12" x14ac:dyDescent="0.4">
      <c r="K1271" s="17">
        <v>1269</v>
      </c>
      <c r="L1271" s="70">
        <v>9.0594198809412774E-14</v>
      </c>
    </row>
    <row r="1272" spans="11:12" x14ac:dyDescent="0.4">
      <c r="K1272" s="17">
        <v>1270</v>
      </c>
      <c r="L1272" s="70">
        <v>31.600000000000094</v>
      </c>
    </row>
    <row r="1273" spans="11:12" x14ac:dyDescent="0.4">
      <c r="K1273" s="17">
        <v>1271</v>
      </c>
      <c r="L1273" s="70">
        <v>4.600000000000092</v>
      </c>
    </row>
    <row r="1274" spans="11:12" x14ac:dyDescent="0.4">
      <c r="K1274" s="17">
        <v>1272</v>
      </c>
      <c r="L1274" s="70">
        <v>9.2370555648813024E-14</v>
      </c>
    </row>
    <row r="1275" spans="11:12" x14ac:dyDescent="0.4">
      <c r="K1275" s="17">
        <v>1273</v>
      </c>
      <c r="L1275" s="70">
        <v>-43.399999999999906</v>
      </c>
    </row>
    <row r="1276" spans="11:12" x14ac:dyDescent="0.4">
      <c r="K1276" s="17">
        <v>1274</v>
      </c>
      <c r="L1276" s="70">
        <v>0.30000000000009841</v>
      </c>
    </row>
    <row r="1277" spans="11:12" x14ac:dyDescent="0.4">
      <c r="K1277" s="17">
        <v>1275</v>
      </c>
      <c r="L1277" s="70">
        <v>9.8421271133020127E-14</v>
      </c>
    </row>
    <row r="1278" spans="11:12" x14ac:dyDescent="0.4">
      <c r="K1278" s="17">
        <v>1276</v>
      </c>
      <c r="L1278" s="70">
        <v>-31.699999999999903</v>
      </c>
    </row>
    <row r="1279" spans="11:12" x14ac:dyDescent="0.4">
      <c r="K1279" s="17">
        <v>1277</v>
      </c>
      <c r="L1279" s="70">
        <v>-34.799999999999905</v>
      </c>
    </row>
    <row r="1280" spans="11:12" x14ac:dyDescent="0.4">
      <c r="K1280" s="17">
        <v>1278</v>
      </c>
      <c r="L1280" s="70">
        <v>9.4146912488213275E-14</v>
      </c>
    </row>
    <row r="1281" spans="11:12" x14ac:dyDescent="0.4">
      <c r="K1281" s="17">
        <v>1279</v>
      </c>
      <c r="L1281" s="70">
        <v>63.100000000000094</v>
      </c>
    </row>
    <row r="1282" spans="11:12" x14ac:dyDescent="0.4">
      <c r="K1282" s="17">
        <v>1280</v>
      </c>
      <c r="L1282" s="70">
        <v>75.300000000000097</v>
      </c>
    </row>
    <row r="1283" spans="11:12" x14ac:dyDescent="0.4">
      <c r="K1283" s="17">
        <v>1281</v>
      </c>
      <c r="L1283" s="70">
        <v>1.0125233984581428E-13</v>
      </c>
    </row>
    <row r="1284" spans="11:12" x14ac:dyDescent="0.4">
      <c r="K1284" s="17">
        <v>1282</v>
      </c>
      <c r="L1284" s="70">
        <v>-10.499999999999899</v>
      </c>
    </row>
    <row r="1285" spans="11:12" x14ac:dyDescent="0.4">
      <c r="K1285" s="17">
        <v>1283</v>
      </c>
      <c r="L1285" s="70">
        <v>35.500000000000099</v>
      </c>
    </row>
    <row r="1286" spans="11:12" x14ac:dyDescent="0.4">
      <c r="K1286" s="17">
        <v>1284</v>
      </c>
      <c r="L1286" s="70">
        <v>1.0125233984581428E-13</v>
      </c>
    </row>
    <row r="1287" spans="11:12" x14ac:dyDescent="0.4">
      <c r="K1287" s="17">
        <v>1285</v>
      </c>
      <c r="L1287" s="70">
        <v>-57.599999999999902</v>
      </c>
    </row>
    <row r="1288" spans="11:12" x14ac:dyDescent="0.4">
      <c r="K1288" s="17">
        <v>1286</v>
      </c>
      <c r="L1288" s="70">
        <v>-4.9999999999998987</v>
      </c>
    </row>
    <row r="1289" spans="11:12" x14ac:dyDescent="0.4">
      <c r="K1289" s="17">
        <v>1287</v>
      </c>
      <c r="L1289" s="70">
        <v>1.0125233984581428E-13</v>
      </c>
    </row>
    <row r="1290" spans="11:12" x14ac:dyDescent="0.4">
      <c r="K1290" s="17">
        <v>1288</v>
      </c>
      <c r="L1290" s="70">
        <v>-33.299999999999898</v>
      </c>
    </row>
    <row r="1291" spans="11:12" x14ac:dyDescent="0.4">
      <c r="K1291" s="17">
        <v>1289</v>
      </c>
      <c r="L1291" s="70">
        <v>-2.6999999999998945</v>
      </c>
    </row>
    <row r="1292" spans="11:12" x14ac:dyDescent="0.4">
      <c r="K1292" s="17">
        <v>1290</v>
      </c>
      <c r="L1292" s="70">
        <v>1.056932319443149E-13</v>
      </c>
    </row>
    <row r="1293" spans="11:12" x14ac:dyDescent="0.4">
      <c r="K1293" s="17">
        <v>1291</v>
      </c>
      <c r="L1293" s="70">
        <v>-39.599999999999895</v>
      </c>
    </row>
    <row r="1294" spans="11:12" x14ac:dyDescent="0.4">
      <c r="K1294" s="17">
        <v>1292</v>
      </c>
      <c r="L1294" s="70">
        <v>-38.199999999999896</v>
      </c>
    </row>
    <row r="1295" spans="11:12" x14ac:dyDescent="0.4">
      <c r="K1295" s="17">
        <v>1293</v>
      </c>
      <c r="L1295" s="70">
        <v>1.0835776720341528E-13</v>
      </c>
    </row>
    <row r="1296" spans="11:12" x14ac:dyDescent="0.4">
      <c r="K1296" s="17">
        <v>1294</v>
      </c>
      <c r="L1296" s="70">
        <v>-29.799999999999891</v>
      </c>
    </row>
    <row r="1297" spans="11:12" x14ac:dyDescent="0.4">
      <c r="K1297" s="17">
        <v>1295</v>
      </c>
      <c r="L1297" s="70">
        <v>3.2000000000001076</v>
      </c>
    </row>
    <row r="1298" spans="11:12" x14ac:dyDescent="0.4">
      <c r="K1298" s="17">
        <v>1296</v>
      </c>
      <c r="L1298" s="70">
        <v>1.0746958878371515E-13</v>
      </c>
    </row>
    <row r="1299" spans="11:12" x14ac:dyDescent="0.4">
      <c r="K1299" s="17">
        <v>1297</v>
      </c>
      <c r="L1299" s="70">
        <v>-7.2999999999998924</v>
      </c>
    </row>
    <row r="1300" spans="11:12" x14ac:dyDescent="0.4">
      <c r="K1300" s="17">
        <v>1298</v>
      </c>
      <c r="L1300" s="70">
        <v>58.200000000000102</v>
      </c>
    </row>
    <row r="1301" spans="11:12" x14ac:dyDescent="0.4">
      <c r="K1301" s="17">
        <v>1299</v>
      </c>
      <c r="L1301" s="70">
        <v>1.0125233984581428E-13</v>
      </c>
    </row>
    <row r="1302" spans="11:12" x14ac:dyDescent="0.4">
      <c r="K1302" s="17">
        <v>1300</v>
      </c>
      <c r="L1302" s="70">
        <v>-35.999999999999901</v>
      </c>
    </row>
    <row r="1303" spans="11:12" x14ac:dyDescent="0.4">
      <c r="K1303" s="17">
        <v>1301</v>
      </c>
      <c r="L1303" s="70">
        <v>-34.399999999999899</v>
      </c>
    </row>
    <row r="1304" spans="11:12" x14ac:dyDescent="0.4">
      <c r="K1304" s="17">
        <v>1302</v>
      </c>
      <c r="L1304" s="70">
        <v>1.0125233984581428E-13</v>
      </c>
    </row>
    <row r="1305" spans="11:12" x14ac:dyDescent="0.4">
      <c r="K1305" s="17">
        <v>1303</v>
      </c>
      <c r="L1305" s="70">
        <v>-59.199999999999903</v>
      </c>
    </row>
    <row r="1306" spans="11:12" x14ac:dyDescent="0.4">
      <c r="K1306" s="17">
        <v>1304</v>
      </c>
      <c r="L1306" s="70">
        <v>-59.899999999999906</v>
      </c>
    </row>
    <row r="1307" spans="11:12" x14ac:dyDescent="0.4">
      <c r="K1307" s="17">
        <v>1305</v>
      </c>
      <c r="L1307" s="70">
        <v>9.4146912488213275E-14</v>
      </c>
    </row>
    <row r="1308" spans="11:12" x14ac:dyDescent="0.4">
      <c r="K1308" s="17">
        <v>1306</v>
      </c>
      <c r="L1308" s="70">
        <v>35.400000000000091</v>
      </c>
    </row>
    <row r="1309" spans="11:12" x14ac:dyDescent="0.4">
      <c r="K1309" s="17">
        <v>1307</v>
      </c>
      <c r="L1309" s="70">
        <v>46.100000000000094</v>
      </c>
    </row>
    <row r="1310" spans="11:12" x14ac:dyDescent="0.4">
      <c r="K1310" s="17">
        <v>1308</v>
      </c>
      <c r="L1310" s="70">
        <v>9.4146912488213275E-14</v>
      </c>
    </row>
    <row r="1311" spans="11:12" x14ac:dyDescent="0.4">
      <c r="K1311" s="17">
        <v>1309</v>
      </c>
      <c r="L1311" s="70">
        <v>42.900000000000091</v>
      </c>
    </row>
    <row r="1312" spans="11:12" x14ac:dyDescent="0.4">
      <c r="K1312" s="17">
        <v>1310</v>
      </c>
      <c r="L1312" s="70">
        <v>-13.29999999999991</v>
      </c>
    </row>
    <row r="1313" spans="11:12" x14ac:dyDescent="0.4">
      <c r="K1313" s="17">
        <v>1311</v>
      </c>
      <c r="L1313" s="70">
        <v>9.0594198809412774E-14</v>
      </c>
    </row>
    <row r="1314" spans="11:12" x14ac:dyDescent="0.4">
      <c r="K1314" s="17">
        <v>1312</v>
      </c>
      <c r="L1314" s="70">
        <v>-36.999999999999915</v>
      </c>
    </row>
    <row r="1315" spans="11:12" x14ac:dyDescent="0.4">
      <c r="K1315" s="17">
        <v>1313</v>
      </c>
      <c r="L1315" s="70">
        <v>-43.699999999999918</v>
      </c>
    </row>
    <row r="1316" spans="11:12" x14ac:dyDescent="0.4">
      <c r="K1316" s="17">
        <v>1314</v>
      </c>
      <c r="L1316" s="70">
        <v>8.7041485130612273E-14</v>
      </c>
    </row>
    <row r="1317" spans="11:12" x14ac:dyDescent="0.4">
      <c r="K1317" s="17">
        <v>1315</v>
      </c>
      <c r="L1317" s="70">
        <v>-57.499999999999915</v>
      </c>
    </row>
    <row r="1318" spans="11:12" x14ac:dyDescent="0.4">
      <c r="K1318" s="17">
        <v>1316</v>
      </c>
      <c r="L1318" s="70">
        <v>5.2000000000000899</v>
      </c>
    </row>
    <row r="1319" spans="11:12" x14ac:dyDescent="0.4">
      <c r="K1319" s="17">
        <v>1317</v>
      </c>
      <c r="L1319" s="70">
        <v>8.9706020389712648E-14</v>
      </c>
    </row>
    <row r="1320" spans="11:12" x14ac:dyDescent="0.4">
      <c r="K1320" s="17">
        <v>1318</v>
      </c>
      <c r="L1320" s="70">
        <v>-43.899999999999913</v>
      </c>
    </row>
    <row r="1321" spans="11:12" x14ac:dyDescent="0.4">
      <c r="K1321" s="17">
        <v>1319</v>
      </c>
      <c r="L1321" s="70">
        <v>-35.099999999999909</v>
      </c>
    </row>
    <row r="1322" spans="11:12" x14ac:dyDescent="0.4">
      <c r="K1322" s="17">
        <v>1320</v>
      </c>
      <c r="L1322" s="70">
        <v>9.4146912488213275E-14</v>
      </c>
    </row>
    <row r="1323" spans="11:12" x14ac:dyDescent="0.4">
      <c r="K1323" s="17">
        <v>1321</v>
      </c>
      <c r="L1323" s="70">
        <v>-0.29999999999990584</v>
      </c>
    </row>
    <row r="1324" spans="11:12" x14ac:dyDescent="0.4">
      <c r="K1324" s="17">
        <v>1322</v>
      </c>
      <c r="L1324" s="70">
        <v>-22.899999999999906</v>
      </c>
    </row>
    <row r="1325" spans="11:12" x14ac:dyDescent="0.4">
      <c r="K1325" s="17">
        <v>1323</v>
      </c>
      <c r="L1325" s="70">
        <v>9.0594198809412774E-14</v>
      </c>
    </row>
    <row r="1326" spans="11:12" x14ac:dyDescent="0.4">
      <c r="K1326" s="17">
        <v>1324</v>
      </c>
      <c r="L1326" s="70">
        <v>-34.299999999999912</v>
      </c>
    </row>
    <row r="1327" spans="11:12" x14ac:dyDescent="0.4">
      <c r="K1327" s="17">
        <v>1325</v>
      </c>
      <c r="L1327" s="70">
        <v>-7.0999999999999108</v>
      </c>
    </row>
    <row r="1328" spans="11:12" x14ac:dyDescent="0.4">
      <c r="K1328" s="17">
        <v>1326</v>
      </c>
      <c r="L1328" s="70">
        <v>8.8817841970012523E-14</v>
      </c>
    </row>
    <row r="1329" spans="11:12" x14ac:dyDescent="0.4">
      <c r="K1329" s="17">
        <v>1327</v>
      </c>
      <c r="L1329" s="70">
        <v>-38.899999999999913</v>
      </c>
    </row>
    <row r="1330" spans="11:12" x14ac:dyDescent="0.4">
      <c r="K1330" s="17">
        <v>1328</v>
      </c>
      <c r="L1330" s="70">
        <v>14.600000000000088</v>
      </c>
    </row>
    <row r="1331" spans="11:12" x14ac:dyDescent="0.4">
      <c r="K1331" s="17">
        <v>1329</v>
      </c>
      <c r="L1331" s="70">
        <v>8.8817841970012523E-14</v>
      </c>
    </row>
    <row r="1332" spans="11:12" x14ac:dyDescent="0.4">
      <c r="K1332" s="17">
        <v>1330</v>
      </c>
      <c r="L1332" s="70">
        <v>30.600000000000087</v>
      </c>
    </row>
    <row r="1333" spans="11:12" x14ac:dyDescent="0.4">
      <c r="K1333" s="17">
        <v>1331</v>
      </c>
      <c r="L1333" s="70">
        <v>33.600000000000087</v>
      </c>
    </row>
    <row r="1334" spans="11:12" x14ac:dyDescent="0.4">
      <c r="K1334" s="17">
        <v>1332</v>
      </c>
      <c r="L1334" s="70">
        <v>8.7041485130612273E-14</v>
      </c>
    </row>
    <row r="1335" spans="11:12" x14ac:dyDescent="0.4">
      <c r="K1335" s="17">
        <v>1333</v>
      </c>
      <c r="L1335" s="70">
        <v>-58.899999999999913</v>
      </c>
    </row>
    <row r="1336" spans="11:12" x14ac:dyDescent="0.4">
      <c r="K1336" s="17">
        <v>1334</v>
      </c>
      <c r="L1336" s="70">
        <v>-17.19999999999991</v>
      </c>
    </row>
    <row r="1337" spans="11:12" x14ac:dyDescent="0.4">
      <c r="K1337" s="17">
        <v>1335</v>
      </c>
      <c r="L1337" s="70">
        <v>9.0594198809412774E-14</v>
      </c>
    </row>
    <row r="1338" spans="11:12" x14ac:dyDescent="0.4">
      <c r="K1338" s="17">
        <v>1336</v>
      </c>
      <c r="L1338" s="70">
        <v>-56.299999999999912</v>
      </c>
    </row>
    <row r="1339" spans="11:12" x14ac:dyDescent="0.4">
      <c r="K1339" s="17">
        <v>1337</v>
      </c>
      <c r="L1339" s="70">
        <v>-13.899999999999912</v>
      </c>
    </row>
    <row r="1340" spans="11:12" x14ac:dyDescent="0.4">
      <c r="K1340" s="17">
        <v>1338</v>
      </c>
      <c r="L1340" s="70">
        <v>8.8817841970012523E-14</v>
      </c>
    </row>
    <row r="1341" spans="11:12" x14ac:dyDescent="0.4">
      <c r="K1341" s="17">
        <v>1339</v>
      </c>
      <c r="L1341" s="70">
        <v>-12.399999999999912</v>
      </c>
    </row>
    <row r="1342" spans="11:12" x14ac:dyDescent="0.4">
      <c r="K1342" s="17">
        <v>1340</v>
      </c>
      <c r="L1342" s="70">
        <v>-52.499999999999915</v>
      </c>
    </row>
    <row r="1343" spans="11:12" x14ac:dyDescent="0.4">
      <c r="K1343" s="17">
        <v>1341</v>
      </c>
      <c r="L1343" s="70">
        <v>8.7041485130612273E-14</v>
      </c>
    </row>
    <row r="1344" spans="11:12" x14ac:dyDescent="0.4">
      <c r="K1344" s="17">
        <v>1342</v>
      </c>
      <c r="L1344" s="70">
        <v>-36.199999999999918</v>
      </c>
    </row>
    <row r="1345" spans="11:12" x14ac:dyDescent="0.4">
      <c r="K1345" s="17">
        <v>1343</v>
      </c>
      <c r="L1345" s="70">
        <v>0.20000000000008278</v>
      </c>
    </row>
    <row r="1346" spans="11:12" x14ac:dyDescent="0.4">
      <c r="K1346" s="17">
        <v>1344</v>
      </c>
      <c r="L1346" s="70">
        <v>8.276712648580542E-14</v>
      </c>
    </row>
    <row r="1347" spans="11:12" x14ac:dyDescent="0.4">
      <c r="K1347" s="17">
        <v>1345</v>
      </c>
      <c r="L1347" s="70">
        <v>-14.499999999999917</v>
      </c>
    </row>
    <row r="1348" spans="11:12" x14ac:dyDescent="0.4">
      <c r="K1348" s="17">
        <v>1346</v>
      </c>
      <c r="L1348" s="70">
        <v>73.500000000000085</v>
      </c>
    </row>
    <row r="1349" spans="11:12" x14ac:dyDescent="0.4">
      <c r="K1349" s="17">
        <v>1347</v>
      </c>
      <c r="L1349" s="70">
        <v>8.7041485130612273E-14</v>
      </c>
    </row>
    <row r="1350" spans="11:12" x14ac:dyDescent="0.4">
      <c r="K1350" s="17">
        <v>1348</v>
      </c>
      <c r="L1350" s="70">
        <v>-57.399999999999913</v>
      </c>
    </row>
    <row r="1351" spans="11:12" x14ac:dyDescent="0.4">
      <c r="K1351" s="17">
        <v>1349</v>
      </c>
      <c r="L1351" s="70">
        <v>-11.399999999999912</v>
      </c>
    </row>
    <row r="1352" spans="11:12" x14ac:dyDescent="0.4">
      <c r="K1352" s="17">
        <v>1350</v>
      </c>
      <c r="L1352" s="70">
        <v>8.8817841970012523E-14</v>
      </c>
    </row>
    <row r="1353" spans="11:12" x14ac:dyDescent="0.4">
      <c r="K1353" s="17">
        <v>1351</v>
      </c>
      <c r="L1353" s="70">
        <v>34.300000000000082</v>
      </c>
    </row>
    <row r="1354" spans="11:12" x14ac:dyDescent="0.4">
      <c r="K1354" s="17">
        <v>1352</v>
      </c>
      <c r="L1354" s="70">
        <v>32.200000000000081</v>
      </c>
    </row>
    <row r="1355" spans="11:12" x14ac:dyDescent="0.4">
      <c r="K1355" s="17">
        <v>1353</v>
      </c>
      <c r="L1355" s="70">
        <v>7.9936057773011271E-14</v>
      </c>
    </row>
    <row r="1356" spans="11:12" x14ac:dyDescent="0.4">
      <c r="K1356" s="17">
        <v>1354</v>
      </c>
      <c r="L1356" s="70">
        <v>-56.199999999999925</v>
      </c>
    </row>
    <row r="1357" spans="11:12" x14ac:dyDescent="0.4">
      <c r="K1357" s="17">
        <v>1355</v>
      </c>
      <c r="L1357" s="70">
        <v>-14.599999999999921</v>
      </c>
    </row>
    <row r="1358" spans="11:12" x14ac:dyDescent="0.4">
      <c r="K1358" s="17">
        <v>1356</v>
      </c>
      <c r="L1358" s="70">
        <v>7.815970093361102E-14</v>
      </c>
    </row>
    <row r="1359" spans="11:12" x14ac:dyDescent="0.4">
      <c r="K1359" s="17">
        <v>1357</v>
      </c>
      <c r="L1359" s="70">
        <v>-50.599999999999923</v>
      </c>
    </row>
    <row r="1360" spans="11:12" x14ac:dyDescent="0.4">
      <c r="K1360" s="17">
        <v>1358</v>
      </c>
      <c r="L1360" s="70">
        <v>-66.299999999999926</v>
      </c>
    </row>
    <row r="1361" spans="11:12" x14ac:dyDescent="0.4">
      <c r="K1361" s="17">
        <v>1359</v>
      </c>
      <c r="L1361" s="70">
        <v>7.2830630415410269E-14</v>
      </c>
    </row>
    <row r="1362" spans="11:12" x14ac:dyDescent="0.4">
      <c r="K1362" s="17">
        <v>1360</v>
      </c>
      <c r="L1362" s="70">
        <v>69.600000000000065</v>
      </c>
    </row>
    <row r="1363" spans="11:12" x14ac:dyDescent="0.4">
      <c r="K1363" s="17">
        <v>1361</v>
      </c>
      <c r="L1363" s="70">
        <v>59.200000000000067</v>
      </c>
    </row>
    <row r="1364" spans="11:12" x14ac:dyDescent="0.4">
      <c r="K1364" s="17">
        <v>1362</v>
      </c>
      <c r="L1364" s="70">
        <v>6.5725203057809267E-14</v>
      </c>
    </row>
    <row r="1365" spans="11:12" x14ac:dyDescent="0.4">
      <c r="K1365" s="17">
        <v>1363</v>
      </c>
      <c r="L1365" s="70">
        <v>-18.699999999999932</v>
      </c>
    </row>
    <row r="1366" spans="11:12" x14ac:dyDescent="0.4">
      <c r="K1366" s="17">
        <v>1364</v>
      </c>
      <c r="L1366" s="70">
        <v>56.500000000000071</v>
      </c>
    </row>
    <row r="1367" spans="11:12" x14ac:dyDescent="0.4">
      <c r="K1367" s="17">
        <v>1365</v>
      </c>
      <c r="L1367" s="70">
        <v>7.2830630415410269E-14</v>
      </c>
    </row>
    <row r="1368" spans="11:12" x14ac:dyDescent="0.4">
      <c r="K1368" s="17">
        <v>1366</v>
      </c>
      <c r="L1368" s="70">
        <v>37.40000000000007</v>
      </c>
    </row>
    <row r="1369" spans="11:12" x14ac:dyDescent="0.4">
      <c r="K1369" s="17">
        <v>1367</v>
      </c>
      <c r="L1369" s="70">
        <v>6.80000000000007</v>
      </c>
    </row>
    <row r="1370" spans="11:12" x14ac:dyDescent="0.4">
      <c r="K1370" s="17">
        <v>1368</v>
      </c>
      <c r="L1370" s="70">
        <v>7.0166095156309893E-14</v>
      </c>
    </row>
    <row r="1371" spans="11:12" x14ac:dyDescent="0.4">
      <c r="K1371" s="17">
        <v>1369</v>
      </c>
      <c r="L1371" s="70">
        <v>-6.0999999999999295</v>
      </c>
    </row>
    <row r="1372" spans="11:12" x14ac:dyDescent="0.4">
      <c r="K1372" s="17">
        <v>1370</v>
      </c>
      <c r="L1372" s="70">
        <v>38.700000000000067</v>
      </c>
    </row>
    <row r="1373" spans="11:12" x14ac:dyDescent="0.4">
      <c r="K1373" s="17">
        <v>1371</v>
      </c>
      <c r="L1373" s="70">
        <v>6.5725203057809267E-14</v>
      </c>
    </row>
    <row r="1374" spans="11:12" x14ac:dyDescent="0.4">
      <c r="K1374" s="17">
        <v>1372</v>
      </c>
      <c r="L1374" s="70">
        <v>62.500000000000064</v>
      </c>
    </row>
    <row r="1375" spans="11:12" x14ac:dyDescent="0.4">
      <c r="K1375" s="17">
        <v>1373</v>
      </c>
      <c r="L1375" s="70">
        <v>2.5000000000000657</v>
      </c>
    </row>
    <row r="1376" spans="11:12" x14ac:dyDescent="0.4">
      <c r="K1376" s="17">
        <v>1374</v>
      </c>
      <c r="L1376" s="70">
        <v>6.5725203057809267E-14</v>
      </c>
    </row>
    <row r="1377" spans="11:12" x14ac:dyDescent="0.4">
      <c r="K1377" s="17">
        <v>1375</v>
      </c>
      <c r="L1377" s="70">
        <v>-37.699999999999939</v>
      </c>
    </row>
    <row r="1378" spans="11:12" x14ac:dyDescent="0.4">
      <c r="K1378" s="17">
        <v>1376</v>
      </c>
      <c r="L1378" s="70">
        <v>-47.599999999999937</v>
      </c>
    </row>
    <row r="1379" spans="11:12" x14ac:dyDescent="0.4">
      <c r="K1379" s="17">
        <v>1377</v>
      </c>
      <c r="L1379" s="70">
        <v>6.5725203057809267E-14</v>
      </c>
    </row>
    <row r="1380" spans="11:12" x14ac:dyDescent="0.4">
      <c r="K1380" s="17">
        <v>1378</v>
      </c>
      <c r="L1380" s="70">
        <v>20.500000000000064</v>
      </c>
    </row>
    <row r="1381" spans="11:12" x14ac:dyDescent="0.4">
      <c r="K1381" s="17">
        <v>1379</v>
      </c>
      <c r="L1381" s="70">
        <v>-45.399999999999942</v>
      </c>
    </row>
    <row r="1382" spans="11:12" x14ac:dyDescent="0.4">
      <c r="K1382" s="17">
        <v>1380</v>
      </c>
      <c r="L1382" s="70">
        <v>5.8619775700208265E-14</v>
      </c>
    </row>
    <row r="1383" spans="11:12" x14ac:dyDescent="0.4">
      <c r="K1383" s="17">
        <v>1381</v>
      </c>
      <c r="L1383" s="70">
        <v>51.800000000000054</v>
      </c>
    </row>
    <row r="1384" spans="11:12" x14ac:dyDescent="0.4">
      <c r="K1384" s="17">
        <v>1382</v>
      </c>
      <c r="L1384" s="70">
        <v>59.200000000000053</v>
      </c>
    </row>
    <row r="1385" spans="11:12" x14ac:dyDescent="0.4">
      <c r="K1385" s="17">
        <v>1383</v>
      </c>
      <c r="L1385" s="70">
        <v>5.1514348342607263E-14</v>
      </c>
    </row>
    <row r="1386" spans="11:12" x14ac:dyDescent="0.4">
      <c r="K1386" s="17">
        <v>1384</v>
      </c>
      <c r="L1386" s="70">
        <v>-56.899999999999949</v>
      </c>
    </row>
    <row r="1387" spans="11:12" x14ac:dyDescent="0.4">
      <c r="K1387" s="17">
        <v>1385</v>
      </c>
      <c r="L1387" s="70">
        <v>-67.699999999999946</v>
      </c>
    </row>
    <row r="1388" spans="11:12" x14ac:dyDescent="0.4">
      <c r="K1388" s="17">
        <v>1386</v>
      </c>
      <c r="L1388" s="70">
        <v>5.8619775700208265E-14</v>
      </c>
    </row>
    <row r="1389" spans="11:12" x14ac:dyDescent="0.4">
      <c r="K1389" s="17">
        <v>1387</v>
      </c>
      <c r="L1389" s="70">
        <v>36.300000000000054</v>
      </c>
    </row>
    <row r="1390" spans="11:12" x14ac:dyDescent="0.4">
      <c r="K1390" s="17">
        <v>1388</v>
      </c>
      <c r="L1390" s="70">
        <v>-1.4999999999999414</v>
      </c>
    </row>
    <row r="1391" spans="11:12" x14ac:dyDescent="0.4">
      <c r="K1391" s="17">
        <v>1389</v>
      </c>
      <c r="L1391" s="70">
        <v>5.8619775700208265E-14</v>
      </c>
    </row>
    <row r="1392" spans="11:12" x14ac:dyDescent="0.4">
      <c r="K1392" s="17">
        <v>1390</v>
      </c>
      <c r="L1392" s="70">
        <v>-30.499999999999943</v>
      </c>
    </row>
    <row r="1393" spans="11:12" x14ac:dyDescent="0.4">
      <c r="K1393" s="17">
        <v>1391</v>
      </c>
      <c r="L1393" s="70">
        <v>9.60000000000006</v>
      </c>
    </row>
    <row r="1394" spans="11:12" x14ac:dyDescent="0.4">
      <c r="K1394" s="17">
        <v>1392</v>
      </c>
      <c r="L1394" s="70">
        <v>6.0396132539608516E-14</v>
      </c>
    </row>
    <row r="1395" spans="11:12" x14ac:dyDescent="0.4">
      <c r="K1395" s="17">
        <v>1393</v>
      </c>
      <c r="L1395" s="70">
        <v>44.600000000000058</v>
      </c>
    </row>
    <row r="1396" spans="11:12" x14ac:dyDescent="0.4">
      <c r="K1396" s="17">
        <v>1394</v>
      </c>
      <c r="L1396" s="70">
        <v>51.800000000000061</v>
      </c>
    </row>
    <row r="1397" spans="11:12" x14ac:dyDescent="0.4">
      <c r="K1397" s="17">
        <v>1395</v>
      </c>
      <c r="L1397" s="70">
        <v>6.5725203057809267E-14</v>
      </c>
    </row>
    <row r="1398" spans="11:12" x14ac:dyDescent="0.4">
      <c r="K1398" s="17">
        <v>1396</v>
      </c>
      <c r="L1398" s="70">
        <v>-56.099999999999937</v>
      </c>
    </row>
    <row r="1399" spans="11:12" x14ac:dyDescent="0.4">
      <c r="K1399" s="17">
        <v>1397</v>
      </c>
      <c r="L1399" s="70">
        <v>15.400000000000064</v>
      </c>
    </row>
    <row r="1400" spans="11:12" x14ac:dyDescent="0.4">
      <c r="K1400" s="17">
        <v>1398</v>
      </c>
      <c r="L1400" s="70">
        <v>6.3948846218409017E-14</v>
      </c>
    </row>
    <row r="1401" spans="11:12" x14ac:dyDescent="0.4">
      <c r="K1401" s="17">
        <v>1399</v>
      </c>
      <c r="L1401" s="70">
        <v>-16.099999999999937</v>
      </c>
    </row>
    <row r="1402" spans="11:12" x14ac:dyDescent="0.4">
      <c r="K1402" s="17">
        <v>1400</v>
      </c>
      <c r="L1402" s="70">
        <v>-61.599999999999937</v>
      </c>
    </row>
    <row r="1403" spans="11:12" x14ac:dyDescent="0.4">
      <c r="K1403" s="17">
        <v>1401</v>
      </c>
      <c r="L1403" s="70">
        <v>6.5725203057809267E-14</v>
      </c>
    </row>
    <row r="1404" spans="11:12" x14ac:dyDescent="0.4">
      <c r="K1404" s="17">
        <v>1402</v>
      </c>
      <c r="L1404" s="70">
        <v>-58.999999999999936</v>
      </c>
    </row>
    <row r="1405" spans="11:12" x14ac:dyDescent="0.4">
      <c r="K1405" s="17">
        <v>1403</v>
      </c>
      <c r="L1405" s="70">
        <v>9.0000000000000657</v>
      </c>
    </row>
    <row r="1406" spans="11:12" x14ac:dyDescent="0.4">
      <c r="K1406" s="17">
        <v>1404</v>
      </c>
      <c r="L1406" s="70">
        <v>6.5725203057809267E-14</v>
      </c>
    </row>
    <row r="1407" spans="11:12" x14ac:dyDescent="0.4">
      <c r="K1407" s="17">
        <v>1405</v>
      </c>
      <c r="L1407" s="70">
        <v>74.800000000000068</v>
      </c>
    </row>
    <row r="1408" spans="11:12" x14ac:dyDescent="0.4">
      <c r="K1408" s="17">
        <v>1406</v>
      </c>
      <c r="L1408" s="70">
        <v>56.000000000000071</v>
      </c>
    </row>
    <row r="1409" spans="11:12" x14ac:dyDescent="0.4">
      <c r="K1409" s="17">
        <v>1407</v>
      </c>
      <c r="L1409" s="70">
        <v>7.2830630415410269E-14</v>
      </c>
    </row>
    <row r="1410" spans="11:12" x14ac:dyDescent="0.4">
      <c r="K1410" s="17">
        <v>1408</v>
      </c>
      <c r="L1410" s="70">
        <v>-63.399999999999928</v>
      </c>
    </row>
    <row r="1411" spans="11:12" x14ac:dyDescent="0.4">
      <c r="K1411" s="17">
        <v>1409</v>
      </c>
      <c r="L1411" s="70">
        <v>-65.199999999999932</v>
      </c>
    </row>
    <row r="1412" spans="11:12" x14ac:dyDescent="0.4">
      <c r="K1412" s="17">
        <v>1410</v>
      </c>
      <c r="L1412" s="70">
        <v>7.2830630415410269E-14</v>
      </c>
    </row>
    <row r="1413" spans="11:12" x14ac:dyDescent="0.4">
      <c r="K1413" s="17">
        <v>1411</v>
      </c>
      <c r="L1413" s="70">
        <v>-20.299999999999926</v>
      </c>
    </row>
    <row r="1414" spans="11:12" x14ac:dyDescent="0.4">
      <c r="K1414" s="17">
        <v>1412</v>
      </c>
      <c r="L1414" s="70">
        <v>-66.399999999999935</v>
      </c>
    </row>
    <row r="1415" spans="11:12" x14ac:dyDescent="0.4">
      <c r="K1415" s="17">
        <v>1413</v>
      </c>
      <c r="L1415" s="70">
        <v>7.2830630415410269E-14</v>
      </c>
    </row>
    <row r="1416" spans="11:12" x14ac:dyDescent="0.4">
      <c r="K1416" s="17">
        <v>1414</v>
      </c>
      <c r="L1416" s="70">
        <v>4.3000000000000727</v>
      </c>
    </row>
    <row r="1417" spans="11:12" x14ac:dyDescent="0.4">
      <c r="K1417" s="17">
        <v>1415</v>
      </c>
      <c r="L1417" s="70">
        <v>41.100000000000065</v>
      </c>
    </row>
    <row r="1418" spans="11:12" x14ac:dyDescent="0.4">
      <c r="K1418" s="17">
        <v>1416</v>
      </c>
      <c r="L1418" s="70">
        <v>6.5725203057809267E-14</v>
      </c>
    </row>
    <row r="1419" spans="11:12" x14ac:dyDescent="0.4">
      <c r="K1419" s="17">
        <v>1417</v>
      </c>
      <c r="L1419" s="70">
        <v>84.400000000000063</v>
      </c>
    </row>
    <row r="1420" spans="11:12" x14ac:dyDescent="0.4">
      <c r="K1420" s="17">
        <v>1418</v>
      </c>
      <c r="L1420" s="70">
        <v>20.900000000000063</v>
      </c>
    </row>
    <row r="1421" spans="11:12" x14ac:dyDescent="0.4">
      <c r="K1421" s="17">
        <v>1419</v>
      </c>
      <c r="L1421" s="70">
        <v>6.5725203057809267E-14</v>
      </c>
    </row>
    <row r="1422" spans="11:12" x14ac:dyDescent="0.4">
      <c r="K1422" s="17">
        <v>1420</v>
      </c>
      <c r="L1422" s="70">
        <v>40.600000000000065</v>
      </c>
    </row>
    <row r="1423" spans="11:12" x14ac:dyDescent="0.4">
      <c r="K1423" s="17">
        <v>1421</v>
      </c>
      <c r="L1423" s="70">
        <v>42.700000000000067</v>
      </c>
    </row>
    <row r="1424" spans="11:12" x14ac:dyDescent="0.4">
      <c r="K1424" s="17">
        <v>1422</v>
      </c>
      <c r="L1424" s="70">
        <v>6.5725203057809267E-14</v>
      </c>
    </row>
    <row r="1425" spans="11:12" x14ac:dyDescent="0.4">
      <c r="K1425" s="17">
        <v>1423</v>
      </c>
      <c r="L1425" s="70">
        <v>-57.999999999999936</v>
      </c>
    </row>
    <row r="1426" spans="11:12" x14ac:dyDescent="0.4">
      <c r="K1426" s="17">
        <v>1424</v>
      </c>
      <c r="L1426" s="70">
        <v>-1.9999999999999343</v>
      </c>
    </row>
    <row r="1427" spans="11:12" x14ac:dyDescent="0.4">
      <c r="K1427" s="17">
        <v>1425</v>
      </c>
      <c r="L1427" s="70">
        <v>6.5725203057809267E-14</v>
      </c>
    </row>
    <row r="1428" spans="11:12" x14ac:dyDescent="0.4">
      <c r="K1428" s="17">
        <v>1426</v>
      </c>
      <c r="L1428" s="70">
        <v>36.400000000000063</v>
      </c>
    </row>
    <row r="1429" spans="11:12" x14ac:dyDescent="0.4">
      <c r="K1429" s="17">
        <v>1427</v>
      </c>
      <c r="L1429" s="70">
        <v>45.900000000000063</v>
      </c>
    </row>
    <row r="1430" spans="11:12" x14ac:dyDescent="0.4">
      <c r="K1430" s="17">
        <v>1428</v>
      </c>
      <c r="L1430" s="70">
        <v>6.5725203057809267E-14</v>
      </c>
    </row>
    <row r="1431" spans="11:12" x14ac:dyDescent="0.4">
      <c r="K1431" s="17">
        <v>1429</v>
      </c>
      <c r="L1431" s="70">
        <v>-78.699999999999932</v>
      </c>
    </row>
    <row r="1432" spans="11:12" x14ac:dyDescent="0.4">
      <c r="K1432" s="17">
        <v>1430</v>
      </c>
      <c r="L1432" s="70">
        <v>-20.699999999999932</v>
      </c>
    </row>
    <row r="1433" spans="11:12" x14ac:dyDescent="0.4">
      <c r="K1433" s="17">
        <v>1431</v>
      </c>
      <c r="L1433" s="70">
        <v>6.9277916736609768E-14</v>
      </c>
    </row>
    <row r="1434" spans="11:12" x14ac:dyDescent="0.4">
      <c r="K1434" s="17">
        <v>1432</v>
      </c>
      <c r="L1434" s="70">
        <v>37.400000000000063</v>
      </c>
    </row>
    <row r="1435" spans="11:12" x14ac:dyDescent="0.4">
      <c r="K1435" s="17">
        <v>1433</v>
      </c>
      <c r="L1435" s="70">
        <v>-5.5999999999999357</v>
      </c>
    </row>
    <row r="1436" spans="11:12" x14ac:dyDescent="0.4">
      <c r="K1436" s="17">
        <v>1434</v>
      </c>
      <c r="L1436" s="70">
        <v>6.3948846218409017E-14</v>
      </c>
    </row>
    <row r="1437" spans="11:12" x14ac:dyDescent="0.4">
      <c r="K1437" s="17">
        <v>1435</v>
      </c>
      <c r="L1437" s="70">
        <v>6.3948846218409017E-14</v>
      </c>
    </row>
    <row r="1438" spans="11:12" x14ac:dyDescent="0.4">
      <c r="K1438" s="17">
        <v>1436</v>
      </c>
      <c r="L1438" s="70">
        <v>-56.999999999999936</v>
      </c>
    </row>
    <row r="1439" spans="11:12" x14ac:dyDescent="0.4">
      <c r="K1439" s="17">
        <v>1437</v>
      </c>
      <c r="L1439" s="70">
        <v>6.5725203057809267E-14</v>
      </c>
    </row>
    <row r="1440" spans="11:12" x14ac:dyDescent="0.4">
      <c r="K1440" s="17">
        <v>1438</v>
      </c>
      <c r="L1440" s="70">
        <v>-23.699999999999932</v>
      </c>
    </row>
    <row r="1441" spans="11:12" x14ac:dyDescent="0.4">
      <c r="K1441" s="17">
        <v>1439</v>
      </c>
      <c r="L1441" s="70">
        <v>-1.299999999999935</v>
      </c>
    </row>
    <row r="1442" spans="11:12" x14ac:dyDescent="0.4">
      <c r="K1442" s="17">
        <v>1440</v>
      </c>
      <c r="L1442" s="70">
        <v>6.5059069243034173E-14</v>
      </c>
    </row>
    <row r="1443" spans="11:12" x14ac:dyDescent="0.4">
      <c r="K1443" s="17">
        <v>1441</v>
      </c>
      <c r="L1443" s="70">
        <v>-2.9999999999999352</v>
      </c>
    </row>
    <row r="1444" spans="11:12" x14ac:dyDescent="0.4">
      <c r="K1444" s="17">
        <v>1442</v>
      </c>
      <c r="L1444" s="70">
        <v>43.000000000000064</v>
      </c>
    </row>
    <row r="1445" spans="11:12" x14ac:dyDescent="0.4">
      <c r="K1445" s="17">
        <v>1443</v>
      </c>
      <c r="L1445" s="70">
        <v>6.5725203057809267E-14</v>
      </c>
    </row>
    <row r="1446" spans="11:12" x14ac:dyDescent="0.4">
      <c r="K1446" s="17">
        <v>1444</v>
      </c>
      <c r="L1446" s="70">
        <v>-35.099999999999937</v>
      </c>
    </row>
    <row r="1447" spans="11:12" x14ac:dyDescent="0.4">
      <c r="K1447" s="17">
        <v>1445</v>
      </c>
      <c r="L1447" s="70">
        <v>-5.4999999999999343</v>
      </c>
    </row>
    <row r="1448" spans="11:12" x14ac:dyDescent="0.4">
      <c r="K1448" s="17">
        <v>1446</v>
      </c>
      <c r="L1448" s="70">
        <v>6.5725203057809267E-14</v>
      </c>
    </row>
    <row r="1449" spans="11:12" x14ac:dyDescent="0.4">
      <c r="K1449" s="17">
        <v>1447</v>
      </c>
      <c r="L1449" s="70">
        <v>-26.999999999999936</v>
      </c>
    </row>
    <row r="1450" spans="11:12" x14ac:dyDescent="0.4">
      <c r="K1450" s="17">
        <v>1448</v>
      </c>
      <c r="L1450" s="70">
        <v>6.5000000000000657</v>
      </c>
    </row>
    <row r="1451" spans="11:12" x14ac:dyDescent="0.4">
      <c r="K1451" s="17">
        <v>1449</v>
      </c>
      <c r="L1451" s="70">
        <v>6.5725203057809267E-14</v>
      </c>
    </row>
    <row r="1452" spans="11:12" x14ac:dyDescent="0.4">
      <c r="K1452" s="17">
        <v>1450</v>
      </c>
      <c r="L1452" s="70">
        <v>49.000000000000064</v>
      </c>
    </row>
    <row r="1453" spans="11:12" x14ac:dyDescent="0.4">
      <c r="K1453" s="17">
        <v>1451</v>
      </c>
      <c r="L1453" s="70">
        <v>57.100000000000065</v>
      </c>
    </row>
    <row r="1454" spans="11:12" x14ac:dyDescent="0.4">
      <c r="K1454" s="17">
        <v>1452</v>
      </c>
      <c r="L1454" s="70">
        <v>6.5725203057809267E-14</v>
      </c>
    </row>
    <row r="1455" spans="11:12" x14ac:dyDescent="0.4">
      <c r="K1455" s="17">
        <v>1453</v>
      </c>
      <c r="L1455" s="70">
        <v>-28.199999999999932</v>
      </c>
    </row>
    <row r="1456" spans="11:12" x14ac:dyDescent="0.4">
      <c r="K1456" s="17">
        <v>1454</v>
      </c>
      <c r="L1456" s="70">
        <v>2.200000000000065</v>
      </c>
    </row>
    <row r="1457" spans="11:12" x14ac:dyDescent="0.4">
      <c r="K1457" s="17">
        <v>1455</v>
      </c>
      <c r="L1457" s="70">
        <v>6.4837024638109142E-14</v>
      </c>
    </row>
    <row r="1458" spans="11:12" x14ac:dyDescent="0.4">
      <c r="K1458" s="17">
        <v>1456</v>
      </c>
      <c r="L1458" s="70">
        <v>6.1000000000000645</v>
      </c>
    </row>
    <row r="1459" spans="11:12" x14ac:dyDescent="0.4">
      <c r="K1459" s="17">
        <v>1457</v>
      </c>
      <c r="L1459" s="70">
        <v>-33.799999999999933</v>
      </c>
    </row>
    <row r="1460" spans="11:12" x14ac:dyDescent="0.4">
      <c r="K1460" s="17">
        <v>1458</v>
      </c>
      <c r="L1460" s="70">
        <v>6.5725203057809267E-14</v>
      </c>
    </row>
    <row r="1461" spans="11:12" x14ac:dyDescent="0.4">
      <c r="K1461" s="17">
        <v>1459</v>
      </c>
      <c r="L1461" s="70">
        <v>-62.999999999999936</v>
      </c>
    </row>
    <row r="1462" spans="11:12" x14ac:dyDescent="0.4">
      <c r="K1462" s="17">
        <v>1460</v>
      </c>
      <c r="L1462" s="70">
        <v>-44.999999999999936</v>
      </c>
    </row>
    <row r="1463" spans="11:12" x14ac:dyDescent="0.4">
      <c r="K1463" s="17">
        <v>1461</v>
      </c>
      <c r="L1463" s="70">
        <v>6.5725203057809267E-14</v>
      </c>
    </row>
    <row r="1464" spans="11:12" x14ac:dyDescent="0.4">
      <c r="K1464" s="17">
        <v>1462</v>
      </c>
      <c r="L1464" s="70">
        <v>100.90000000000006</v>
      </c>
    </row>
    <row r="1465" spans="11:12" x14ac:dyDescent="0.4">
      <c r="K1465" s="17">
        <v>1463</v>
      </c>
      <c r="L1465" s="70">
        <v>27.20000000000006</v>
      </c>
    </row>
    <row r="1466" spans="11:12" x14ac:dyDescent="0.4">
      <c r="K1466" s="17">
        <v>1464</v>
      </c>
      <c r="L1466" s="70">
        <v>6.2172489379008766E-14</v>
      </c>
    </row>
    <row r="1467" spans="11:12" x14ac:dyDescent="0.4">
      <c r="K1467" s="17">
        <v>1465</v>
      </c>
      <c r="L1467" s="70">
        <v>27.100000000000065</v>
      </c>
    </row>
    <row r="1468" spans="11:12" x14ac:dyDescent="0.4">
      <c r="K1468" s="17">
        <v>1466</v>
      </c>
      <c r="L1468" s="70">
        <v>31.800000000000061</v>
      </c>
    </row>
    <row r="1469" spans="11:12" x14ac:dyDescent="0.4">
      <c r="K1469" s="17">
        <v>1467</v>
      </c>
      <c r="L1469" s="70">
        <v>6.2172489379008766E-14</v>
      </c>
    </row>
    <row r="1470" spans="11:12" x14ac:dyDescent="0.4">
      <c r="K1470" s="17">
        <v>1468</v>
      </c>
      <c r="L1470" s="70">
        <v>-0.79999999999993787</v>
      </c>
    </row>
    <row r="1471" spans="11:12" x14ac:dyDescent="0.4">
      <c r="K1471" s="17">
        <v>1469</v>
      </c>
      <c r="L1471" s="70">
        <v>23.400000000000063</v>
      </c>
    </row>
    <row r="1472" spans="11:12" x14ac:dyDescent="0.4">
      <c r="K1472" s="17">
        <v>1470</v>
      </c>
      <c r="L1472" s="70">
        <v>6.2172489379008766E-14</v>
      </c>
    </row>
    <row r="1473" spans="11:12" x14ac:dyDescent="0.4">
      <c r="K1473" s="17">
        <v>1471</v>
      </c>
      <c r="L1473" s="70">
        <v>57.20000000000006</v>
      </c>
    </row>
    <row r="1474" spans="11:12" x14ac:dyDescent="0.4">
      <c r="K1474" s="17">
        <v>1472</v>
      </c>
      <c r="L1474" s="70">
        <v>69.500000000000057</v>
      </c>
    </row>
    <row r="1475" spans="11:12" x14ac:dyDescent="0.4">
      <c r="K1475" s="17">
        <v>1473</v>
      </c>
      <c r="L1475" s="70">
        <v>5.8619775700208265E-14</v>
      </c>
    </row>
    <row r="1476" spans="11:12" x14ac:dyDescent="0.4">
      <c r="K1476" s="17">
        <v>1474</v>
      </c>
      <c r="L1476" s="70">
        <v>-48.699999999999946</v>
      </c>
    </row>
    <row r="1477" spans="11:12" x14ac:dyDescent="0.4">
      <c r="K1477" s="17">
        <v>1475</v>
      </c>
      <c r="L1477" s="70">
        <v>-37.099999999999945</v>
      </c>
    </row>
    <row r="1478" spans="11:12" x14ac:dyDescent="0.4">
      <c r="K1478" s="17">
        <v>1476</v>
      </c>
      <c r="L1478" s="70">
        <v>5.8619775700208265E-14</v>
      </c>
    </row>
    <row r="1479" spans="11:12" x14ac:dyDescent="0.4">
      <c r="K1479" s="17">
        <v>1477</v>
      </c>
      <c r="L1479" s="70">
        <v>29.400000000000055</v>
      </c>
    </row>
    <row r="1480" spans="11:12" x14ac:dyDescent="0.4">
      <c r="K1480" s="17">
        <v>1478</v>
      </c>
      <c r="L1480" s="70">
        <v>-0.79999999999994209</v>
      </c>
    </row>
    <row r="1481" spans="11:12" x14ac:dyDescent="0.4">
      <c r="K1481" s="17">
        <v>1479</v>
      </c>
      <c r="L1481" s="70">
        <v>5.7953641885433171E-14</v>
      </c>
    </row>
    <row r="1482" spans="11:12" x14ac:dyDescent="0.4">
      <c r="K1482" s="17">
        <v>1480</v>
      </c>
      <c r="L1482" s="70">
        <v>79.600000000000051</v>
      </c>
    </row>
    <row r="1483" spans="11:12" x14ac:dyDescent="0.4">
      <c r="K1483" s="17">
        <v>1481</v>
      </c>
      <c r="L1483" s="70">
        <v>70.800000000000054</v>
      </c>
    </row>
    <row r="1484" spans="11:12" x14ac:dyDescent="0.4">
      <c r="K1484" s="17">
        <v>1482</v>
      </c>
      <c r="L1484" s="70">
        <v>5.8619775700208265E-14</v>
      </c>
    </row>
    <row r="1485" spans="11:12" x14ac:dyDescent="0.4">
      <c r="K1485" s="17">
        <v>1483</v>
      </c>
      <c r="L1485" s="70">
        <v>-55.699999999999946</v>
      </c>
    </row>
    <row r="1486" spans="11:12" x14ac:dyDescent="0.4">
      <c r="K1486" s="17">
        <v>1484</v>
      </c>
      <c r="L1486" s="70">
        <v>7.7000000000000544</v>
      </c>
    </row>
    <row r="1487" spans="11:12" x14ac:dyDescent="0.4">
      <c r="K1487" s="17">
        <v>1485</v>
      </c>
      <c r="L1487" s="70">
        <v>5.4178883601707639E-14</v>
      </c>
    </row>
    <row r="1488" spans="11:12" x14ac:dyDescent="0.4">
      <c r="K1488" s="17">
        <v>1486</v>
      </c>
      <c r="L1488" s="70">
        <v>40.600000000000051</v>
      </c>
    </row>
    <row r="1489" spans="11:12" x14ac:dyDescent="0.4">
      <c r="K1489" s="17">
        <v>1487</v>
      </c>
      <c r="L1489" s="70">
        <v>43.600000000000051</v>
      </c>
    </row>
    <row r="1490" spans="11:12" x14ac:dyDescent="0.4">
      <c r="K1490" s="17">
        <v>1488</v>
      </c>
      <c r="L1490" s="70">
        <v>5.1514348342607263E-14</v>
      </c>
    </row>
    <row r="1491" spans="11:12" x14ac:dyDescent="0.4">
      <c r="K1491" s="17">
        <v>1489</v>
      </c>
      <c r="L1491" s="70">
        <v>-50.49999999999995</v>
      </c>
    </row>
    <row r="1492" spans="11:12" x14ac:dyDescent="0.4">
      <c r="K1492" s="17">
        <v>1490</v>
      </c>
      <c r="L1492" s="70">
        <v>-47.899999999999949</v>
      </c>
    </row>
    <row r="1493" spans="11:12" x14ac:dyDescent="0.4">
      <c r="K1493" s="17">
        <v>1491</v>
      </c>
      <c r="L1493" s="70">
        <v>5.1514348342607263E-14</v>
      </c>
    </row>
    <row r="1494" spans="11:12" x14ac:dyDescent="0.4">
      <c r="K1494" s="17">
        <v>1492</v>
      </c>
      <c r="L1494" s="70">
        <v>-41.699999999999953</v>
      </c>
    </row>
    <row r="1495" spans="11:12" x14ac:dyDescent="0.4">
      <c r="K1495" s="17">
        <v>1493</v>
      </c>
      <c r="L1495" s="70">
        <v>-0.69999999999995133</v>
      </c>
    </row>
    <row r="1496" spans="11:12" x14ac:dyDescent="0.4">
      <c r="K1496" s="17">
        <v>1494</v>
      </c>
      <c r="L1496" s="70">
        <v>4.8627768478581856E-14</v>
      </c>
    </row>
    <row r="1497" spans="11:12" x14ac:dyDescent="0.4">
      <c r="K1497" s="17">
        <v>1495</v>
      </c>
      <c r="L1497" s="70">
        <v>-34.899999999999949</v>
      </c>
    </row>
    <row r="1498" spans="11:12" x14ac:dyDescent="0.4">
      <c r="K1498" s="17">
        <v>1496</v>
      </c>
      <c r="L1498" s="70">
        <v>-38.099999999999952</v>
      </c>
    </row>
    <row r="1499" spans="11:12" x14ac:dyDescent="0.4">
      <c r="K1499" s="17">
        <v>1497</v>
      </c>
      <c r="L1499" s="70">
        <v>5.1514348342607263E-14</v>
      </c>
    </row>
    <row r="1500" spans="11:12" x14ac:dyDescent="0.4">
      <c r="K1500" s="17">
        <v>1498</v>
      </c>
      <c r="L1500" s="70">
        <v>64.200000000000045</v>
      </c>
    </row>
    <row r="1501" spans="11:12" x14ac:dyDescent="0.4">
      <c r="K1501" s="17">
        <v>1499</v>
      </c>
      <c r="L1501" s="70">
        <v>58.000000000000043</v>
      </c>
    </row>
    <row r="1502" spans="11:12" x14ac:dyDescent="0.4">
      <c r="K1502" s="17">
        <v>1500</v>
      </c>
      <c r="L1502" s="70">
        <v>4.4408920985006262E-14</v>
      </c>
    </row>
    <row r="1503" spans="11:12" x14ac:dyDescent="0.4">
      <c r="K1503" s="17">
        <v>1501</v>
      </c>
      <c r="L1503" s="70">
        <v>60.30000000000004</v>
      </c>
    </row>
    <row r="1504" spans="11:12" x14ac:dyDescent="0.4">
      <c r="K1504" s="17">
        <v>1502</v>
      </c>
      <c r="L1504" s="70">
        <v>-1.6999999999999584</v>
      </c>
    </row>
    <row r="1505" spans="11:12" x14ac:dyDescent="0.4">
      <c r="K1505" s="17">
        <v>1503</v>
      </c>
      <c r="L1505" s="70">
        <v>4.1522341120980855E-14</v>
      </c>
    </row>
    <row r="1506" spans="11:12" x14ac:dyDescent="0.4">
      <c r="K1506" s="17">
        <v>1504</v>
      </c>
      <c r="L1506" s="70">
        <v>7.3000000000000416</v>
      </c>
    </row>
    <row r="1507" spans="11:12" x14ac:dyDescent="0.4">
      <c r="K1507" s="17">
        <v>1505</v>
      </c>
      <c r="L1507" s="70">
        <v>36.100000000000037</v>
      </c>
    </row>
    <row r="1508" spans="11:12" x14ac:dyDescent="0.4">
      <c r="K1508" s="17">
        <v>1506</v>
      </c>
      <c r="L1508" s="70">
        <v>3.730349362740526E-14</v>
      </c>
    </row>
    <row r="1509" spans="11:12" x14ac:dyDescent="0.4">
      <c r="K1509" s="17">
        <v>1507</v>
      </c>
      <c r="L1509" s="70">
        <v>-41.399999999999963</v>
      </c>
    </row>
    <row r="1510" spans="11:12" x14ac:dyDescent="0.4">
      <c r="K1510" s="17">
        <v>1508</v>
      </c>
      <c r="L1510" s="70">
        <v>-47.999999999999964</v>
      </c>
    </row>
    <row r="1511" spans="11:12" x14ac:dyDescent="0.4">
      <c r="K1511" s="17">
        <v>1509</v>
      </c>
      <c r="L1511" s="70">
        <v>3.730349362740526E-14</v>
      </c>
    </row>
    <row r="1512" spans="11:12" x14ac:dyDescent="0.4">
      <c r="K1512" s="17">
        <v>1510</v>
      </c>
      <c r="L1512" s="70">
        <v>31.900000000000034</v>
      </c>
    </row>
    <row r="1513" spans="11:12" x14ac:dyDescent="0.4">
      <c r="K1513" s="17">
        <v>1511</v>
      </c>
      <c r="L1513" s="70">
        <v>33.900000000000034</v>
      </c>
    </row>
    <row r="1514" spans="11:12" x14ac:dyDescent="0.4">
      <c r="K1514" s="17">
        <v>1512</v>
      </c>
      <c r="L1514" s="70">
        <v>3.730349362740526E-14</v>
      </c>
    </row>
    <row r="1515" spans="11:12" x14ac:dyDescent="0.4">
      <c r="K1515" s="17">
        <v>1513</v>
      </c>
      <c r="L1515" s="70">
        <v>-11.099999999999962</v>
      </c>
    </row>
    <row r="1516" spans="11:12" x14ac:dyDescent="0.4">
      <c r="K1516" s="17">
        <v>1514</v>
      </c>
      <c r="L1516" s="70">
        <v>56.700000000000031</v>
      </c>
    </row>
    <row r="1517" spans="11:12" x14ac:dyDescent="0.4">
      <c r="K1517" s="17">
        <v>1515</v>
      </c>
      <c r="L1517" s="70">
        <v>3.0198066269804258E-14</v>
      </c>
    </row>
    <row r="1518" spans="11:12" x14ac:dyDescent="0.4">
      <c r="K1518" s="17">
        <v>1516</v>
      </c>
      <c r="L1518" s="70">
        <v>-24.39999999999997</v>
      </c>
    </row>
    <row r="1519" spans="11:12" x14ac:dyDescent="0.4">
      <c r="K1519" s="17">
        <v>1517</v>
      </c>
      <c r="L1519" s="70">
        <v>-25.599999999999966</v>
      </c>
    </row>
    <row r="1520" spans="11:12" x14ac:dyDescent="0.4">
      <c r="K1520" s="17">
        <v>1518</v>
      </c>
      <c r="L1520" s="70">
        <v>3.3750779948604759E-14</v>
      </c>
    </row>
    <row r="1521" spans="11:12" x14ac:dyDescent="0.4">
      <c r="K1521" s="17">
        <v>1519</v>
      </c>
      <c r="L1521" s="70">
        <v>-44.599999999999966</v>
      </c>
    </row>
    <row r="1522" spans="11:12" x14ac:dyDescent="0.4">
      <c r="K1522" s="17">
        <v>1520</v>
      </c>
      <c r="L1522" s="70">
        <v>-34.899999999999963</v>
      </c>
    </row>
    <row r="1523" spans="11:12" x14ac:dyDescent="0.4">
      <c r="K1523" s="17">
        <v>1521</v>
      </c>
      <c r="L1523" s="70">
        <v>3.730349362740526E-14</v>
      </c>
    </row>
    <row r="1524" spans="11:12" x14ac:dyDescent="0.4">
      <c r="K1524" s="17">
        <v>1522</v>
      </c>
      <c r="L1524" s="70">
        <v>46.100000000000037</v>
      </c>
    </row>
    <row r="1525" spans="11:12" x14ac:dyDescent="0.4">
      <c r="K1525" s="17">
        <v>1523</v>
      </c>
      <c r="L1525" s="70">
        <v>54.600000000000037</v>
      </c>
    </row>
    <row r="1526" spans="11:12" x14ac:dyDescent="0.4">
      <c r="K1526" s="17">
        <v>1524</v>
      </c>
      <c r="L1526" s="70">
        <v>3.730349362740526E-14</v>
      </c>
    </row>
    <row r="1527" spans="11:12" x14ac:dyDescent="0.4">
      <c r="K1527" s="17">
        <v>1525</v>
      </c>
      <c r="L1527" s="70">
        <v>56.500000000000036</v>
      </c>
    </row>
    <row r="1528" spans="11:12" x14ac:dyDescent="0.4">
      <c r="K1528" s="17">
        <v>1526</v>
      </c>
      <c r="L1528" s="70">
        <v>64.700000000000031</v>
      </c>
    </row>
    <row r="1529" spans="11:12" x14ac:dyDescent="0.4">
      <c r="K1529" s="17">
        <v>1527</v>
      </c>
      <c r="L1529" s="70">
        <v>3.0198066269804258E-14</v>
      </c>
    </row>
    <row r="1530" spans="11:12" x14ac:dyDescent="0.4">
      <c r="K1530" s="17">
        <v>1528</v>
      </c>
      <c r="L1530" s="70">
        <v>23.700000000000031</v>
      </c>
    </row>
    <row r="1531" spans="11:12" x14ac:dyDescent="0.4">
      <c r="K1531" s="17">
        <v>1529</v>
      </c>
      <c r="L1531" s="70">
        <v>1.5000000000000302</v>
      </c>
    </row>
    <row r="1532" spans="11:12" x14ac:dyDescent="0.4">
      <c r="K1532" s="17">
        <v>1530</v>
      </c>
      <c r="L1532" s="70">
        <v>3.0198066269804258E-14</v>
      </c>
    </row>
    <row r="1533" spans="11:12" x14ac:dyDescent="0.4">
      <c r="K1533" s="17">
        <v>1531</v>
      </c>
      <c r="L1533" s="70">
        <v>27.700000000000031</v>
      </c>
    </row>
    <row r="1534" spans="11:12" x14ac:dyDescent="0.4">
      <c r="K1534" s="17">
        <v>1532</v>
      </c>
      <c r="L1534" s="70">
        <v>3.4000000000000288</v>
      </c>
    </row>
    <row r="1535" spans="11:12" x14ac:dyDescent="0.4">
      <c r="K1535" s="17">
        <v>1533</v>
      </c>
      <c r="L1535" s="70">
        <v>2.886579864025407E-14</v>
      </c>
    </row>
    <row r="1536" spans="11:12" x14ac:dyDescent="0.4">
      <c r="K1536" s="17">
        <v>1534</v>
      </c>
      <c r="L1536" s="70">
        <v>45.300000000000026</v>
      </c>
    </row>
    <row r="1537" spans="11:12" x14ac:dyDescent="0.4">
      <c r="K1537" s="17">
        <v>1535</v>
      </c>
      <c r="L1537" s="70">
        <v>-5.7999999999999741</v>
      </c>
    </row>
    <row r="1538" spans="11:12" x14ac:dyDescent="0.4">
      <c r="K1538" s="17">
        <v>1536</v>
      </c>
      <c r="L1538" s="70">
        <v>2.5757174171303632E-14</v>
      </c>
    </row>
    <row r="1539" spans="11:12" x14ac:dyDescent="0.4">
      <c r="K1539" s="17">
        <v>1537</v>
      </c>
      <c r="L1539" s="70">
        <v>9.0000000000000266</v>
      </c>
    </row>
    <row r="1540" spans="11:12" x14ac:dyDescent="0.4">
      <c r="K1540" s="17">
        <v>1538</v>
      </c>
      <c r="L1540" s="70">
        <v>57.300000000000026</v>
      </c>
    </row>
    <row r="1541" spans="11:12" x14ac:dyDescent="0.4">
      <c r="K1541" s="17">
        <v>1539</v>
      </c>
      <c r="L1541" s="70">
        <v>3.0198066269804258E-14</v>
      </c>
    </row>
    <row r="1542" spans="11:12" x14ac:dyDescent="0.4">
      <c r="K1542" s="17">
        <v>1540</v>
      </c>
      <c r="L1542" s="70">
        <v>-55.999999999999972</v>
      </c>
    </row>
    <row r="1543" spans="11:12" x14ac:dyDescent="0.4">
      <c r="K1543" s="17">
        <v>1541</v>
      </c>
      <c r="L1543" s="70">
        <v>-49.999999999999972</v>
      </c>
    </row>
    <row r="1544" spans="11:12" x14ac:dyDescent="0.4">
      <c r="K1544" s="17">
        <v>1542</v>
      </c>
      <c r="L1544" s="70">
        <v>3.0198066269804258E-14</v>
      </c>
    </row>
    <row r="1545" spans="11:12" x14ac:dyDescent="0.4">
      <c r="K1545" s="17">
        <v>1543</v>
      </c>
      <c r="L1545" s="70">
        <v>-56.199999999999974</v>
      </c>
    </row>
    <row r="1546" spans="11:12" x14ac:dyDescent="0.4">
      <c r="K1546" s="17">
        <v>1544</v>
      </c>
      <c r="L1546" s="70">
        <v>11.700000000000033</v>
      </c>
    </row>
    <row r="1547" spans="11:12" x14ac:dyDescent="0.4">
      <c r="K1547" s="17">
        <v>1545</v>
      </c>
      <c r="L1547" s="70">
        <v>3.3750779948604759E-14</v>
      </c>
    </row>
    <row r="1548" spans="11:12" x14ac:dyDescent="0.4">
      <c r="K1548" s="17">
        <v>1546</v>
      </c>
      <c r="L1548" s="70">
        <v>-31.799999999999969</v>
      </c>
    </row>
    <row r="1549" spans="11:12" x14ac:dyDescent="0.4">
      <c r="K1549" s="17">
        <v>1547</v>
      </c>
      <c r="L1549" s="70">
        <v>-42.699999999999967</v>
      </c>
    </row>
    <row r="1550" spans="11:12" x14ac:dyDescent="0.4">
      <c r="K1550" s="17">
        <v>1548</v>
      </c>
      <c r="L1550" s="70">
        <v>3.730349362740526E-14</v>
      </c>
    </row>
    <row r="1551" spans="11:12" x14ac:dyDescent="0.4">
      <c r="K1551" s="17">
        <v>1549</v>
      </c>
      <c r="L1551" s="70">
        <v>-7.2999999999999625</v>
      </c>
    </row>
    <row r="1552" spans="11:12" x14ac:dyDescent="0.4">
      <c r="K1552" s="17">
        <v>1550</v>
      </c>
      <c r="L1552" s="70">
        <v>47.000000000000036</v>
      </c>
    </row>
    <row r="1553" spans="11:12" x14ac:dyDescent="0.4">
      <c r="K1553" s="17">
        <v>1551</v>
      </c>
      <c r="L1553" s="70">
        <v>3.730349362740526E-14</v>
      </c>
    </row>
    <row r="1554" spans="11:12" x14ac:dyDescent="0.4">
      <c r="K1554" s="17">
        <v>1552</v>
      </c>
      <c r="L1554" s="70">
        <v>-14.299999999999963</v>
      </c>
    </row>
    <row r="1555" spans="11:12" x14ac:dyDescent="0.4">
      <c r="K1555" s="17">
        <v>1553</v>
      </c>
      <c r="L1555" s="70">
        <v>36.100000000000037</v>
      </c>
    </row>
    <row r="1556" spans="11:12" x14ac:dyDescent="0.4">
      <c r="K1556" s="17">
        <v>1554</v>
      </c>
      <c r="L1556" s="70">
        <v>3.730349362740526E-14</v>
      </c>
    </row>
    <row r="1557" spans="11:12" x14ac:dyDescent="0.4">
      <c r="K1557" s="17">
        <v>1555</v>
      </c>
      <c r="L1557" s="70">
        <v>-60.899999999999963</v>
      </c>
    </row>
    <row r="1558" spans="11:12" x14ac:dyDescent="0.4">
      <c r="K1558" s="17">
        <v>1556</v>
      </c>
      <c r="L1558" s="70">
        <v>3.5000000000000444</v>
      </c>
    </row>
    <row r="1559" spans="11:12" x14ac:dyDescent="0.4">
      <c r="K1559" s="17">
        <v>1557</v>
      </c>
      <c r="L1559" s="70">
        <v>4.4408920985006262E-14</v>
      </c>
    </row>
    <row r="1560" spans="11:12" x14ac:dyDescent="0.4">
      <c r="K1560" s="17">
        <v>1558</v>
      </c>
      <c r="L1560" s="70">
        <v>67.80000000000004</v>
      </c>
    </row>
    <row r="1561" spans="11:12" x14ac:dyDescent="0.4">
      <c r="K1561" s="17">
        <v>1559</v>
      </c>
      <c r="L1561" s="70">
        <v>55.900000000000041</v>
      </c>
    </row>
    <row r="1562" spans="11:12" x14ac:dyDescent="0.4">
      <c r="K1562" s="17">
        <v>1560</v>
      </c>
      <c r="L1562" s="70">
        <v>4.4408920985006262E-14</v>
      </c>
    </row>
    <row r="1563" spans="11:12" x14ac:dyDescent="0.4">
      <c r="K1563" s="17">
        <v>1561</v>
      </c>
      <c r="L1563" s="70">
        <v>-14.899999999999956</v>
      </c>
    </row>
    <row r="1564" spans="11:12" x14ac:dyDescent="0.4">
      <c r="K1564" s="17">
        <v>1562</v>
      </c>
      <c r="L1564" s="70">
        <v>-51.299999999999955</v>
      </c>
    </row>
    <row r="1565" spans="11:12" x14ac:dyDescent="0.4">
      <c r="K1565" s="17">
        <v>1563</v>
      </c>
      <c r="L1565" s="70">
        <v>4.4408920985006262E-14</v>
      </c>
    </row>
    <row r="1566" spans="11:12" x14ac:dyDescent="0.4">
      <c r="K1566" s="17">
        <v>1564</v>
      </c>
      <c r="L1566" s="70">
        <v>-57.69999999999996</v>
      </c>
    </row>
    <row r="1567" spans="11:12" x14ac:dyDescent="0.4">
      <c r="K1567" s="17">
        <v>1565</v>
      </c>
      <c r="L1567" s="70">
        <v>-40.099999999999959</v>
      </c>
    </row>
    <row r="1568" spans="11:12" x14ac:dyDescent="0.4">
      <c r="K1568" s="17">
        <v>1566</v>
      </c>
      <c r="L1568" s="70">
        <v>4.4408920985006262E-14</v>
      </c>
    </row>
    <row r="1569" spans="11:12" x14ac:dyDescent="0.4">
      <c r="K1569" s="17">
        <v>1567</v>
      </c>
      <c r="L1569" s="70">
        <v>-1.8999999999999555</v>
      </c>
    </row>
    <row r="1570" spans="11:12" x14ac:dyDescent="0.4">
      <c r="K1570" s="17">
        <v>1568</v>
      </c>
      <c r="L1570" s="70">
        <v>32.800000000000047</v>
      </c>
    </row>
    <row r="1571" spans="11:12" x14ac:dyDescent="0.4">
      <c r="K1571" s="17">
        <v>1569</v>
      </c>
      <c r="L1571" s="70">
        <v>5.1514348342607263E-14</v>
      </c>
    </row>
    <row r="1572" spans="11:12" x14ac:dyDescent="0.4">
      <c r="K1572" s="17">
        <v>1570</v>
      </c>
      <c r="L1572" s="70">
        <v>11.600000000000051</v>
      </c>
    </row>
    <row r="1573" spans="11:12" x14ac:dyDescent="0.4">
      <c r="K1573" s="17">
        <v>1571</v>
      </c>
      <c r="L1573" s="70">
        <v>-43.799999999999947</v>
      </c>
    </row>
    <row r="1574" spans="11:12" x14ac:dyDescent="0.4">
      <c r="K1574" s="17">
        <v>1572</v>
      </c>
      <c r="L1574" s="70">
        <v>5.1514348342607263E-14</v>
      </c>
    </row>
    <row r="1575" spans="11:12" x14ac:dyDescent="0.4">
      <c r="K1575" s="17">
        <v>1573</v>
      </c>
      <c r="L1575" s="70">
        <v>-0.99999999999994849</v>
      </c>
    </row>
    <row r="1576" spans="11:12" x14ac:dyDescent="0.4">
      <c r="K1576" s="17">
        <v>1574</v>
      </c>
      <c r="L1576" s="70">
        <v>-58.99999999999995</v>
      </c>
    </row>
    <row r="1577" spans="11:12" x14ac:dyDescent="0.4">
      <c r="K1577" s="17">
        <v>1575</v>
      </c>
      <c r="L1577" s="70">
        <v>5.1514348342607263E-14</v>
      </c>
    </row>
    <row r="1578" spans="11:12" x14ac:dyDescent="0.4">
      <c r="K1578" s="17">
        <v>1576</v>
      </c>
      <c r="L1578" s="70">
        <v>-1.2999999999999485</v>
      </c>
    </row>
    <row r="1579" spans="11:12" x14ac:dyDescent="0.4">
      <c r="K1579" s="17">
        <v>1577</v>
      </c>
      <c r="L1579" s="70">
        <v>34.700000000000053</v>
      </c>
    </row>
    <row r="1580" spans="11:12" x14ac:dyDescent="0.4">
      <c r="K1580" s="17">
        <v>1578</v>
      </c>
      <c r="L1580" s="70">
        <v>5.1514348342607263E-14</v>
      </c>
    </row>
    <row r="1581" spans="11:12" x14ac:dyDescent="0.4">
      <c r="K1581" s="17">
        <v>1579</v>
      </c>
      <c r="L1581" s="70">
        <v>-7.3999999999999488</v>
      </c>
    </row>
    <row r="1582" spans="11:12" x14ac:dyDescent="0.4">
      <c r="K1582" s="17">
        <v>1580</v>
      </c>
      <c r="L1582" s="70">
        <v>-71.099999999999952</v>
      </c>
    </row>
    <row r="1583" spans="11:12" x14ac:dyDescent="0.4">
      <c r="K1583" s="17">
        <v>1581</v>
      </c>
      <c r="L1583" s="70">
        <v>4.4408920985006262E-14</v>
      </c>
    </row>
    <row r="1584" spans="11:12" x14ac:dyDescent="0.4">
      <c r="K1584" s="17">
        <v>1582</v>
      </c>
      <c r="L1584" s="70">
        <v>77.000000000000043</v>
      </c>
    </row>
    <row r="1585" spans="11:12" x14ac:dyDescent="0.4">
      <c r="K1585" s="17">
        <v>1583</v>
      </c>
      <c r="L1585" s="70">
        <v>-4.9999999999999556</v>
      </c>
    </row>
    <row r="1586" spans="11:12" x14ac:dyDescent="0.4">
      <c r="K1586" s="17">
        <v>1584</v>
      </c>
      <c r="L1586" s="70">
        <v>4.4408920985006262E-14</v>
      </c>
    </row>
    <row r="1587" spans="11:12" x14ac:dyDescent="0.4">
      <c r="K1587" s="17">
        <v>1585</v>
      </c>
      <c r="L1587" s="70">
        <v>92.600000000000037</v>
      </c>
    </row>
    <row r="1588" spans="11:12" x14ac:dyDescent="0.4">
      <c r="K1588" s="17">
        <v>1586</v>
      </c>
      <c r="L1588" s="70">
        <v>62.30000000000004</v>
      </c>
    </row>
    <row r="1589" spans="11:12" x14ac:dyDescent="0.4">
      <c r="K1589" s="17">
        <v>1587</v>
      </c>
      <c r="L1589" s="70">
        <v>4.4408920985006262E-14</v>
      </c>
    </row>
    <row r="1590" spans="11:12" x14ac:dyDescent="0.4">
      <c r="K1590" s="17">
        <v>1588</v>
      </c>
      <c r="L1590" s="70">
        <v>49.700000000000045</v>
      </c>
    </row>
    <row r="1591" spans="11:12" x14ac:dyDescent="0.4">
      <c r="K1591" s="17">
        <v>1589</v>
      </c>
      <c r="L1591" s="70">
        <v>38.800000000000047</v>
      </c>
    </row>
    <row r="1592" spans="11:12" x14ac:dyDescent="0.4">
      <c r="K1592" s="17">
        <v>1590</v>
      </c>
      <c r="L1592" s="70">
        <v>5.1514348342607263E-14</v>
      </c>
    </row>
    <row r="1593" spans="11:12" x14ac:dyDescent="0.4">
      <c r="K1593" s="17">
        <v>1591</v>
      </c>
      <c r="L1593" s="70">
        <v>-28.399999999999949</v>
      </c>
    </row>
    <row r="1594" spans="11:12" x14ac:dyDescent="0.4">
      <c r="K1594" s="17">
        <v>1592</v>
      </c>
      <c r="L1594" s="70">
        <v>57.000000000000057</v>
      </c>
    </row>
    <row r="1595" spans="11:12" x14ac:dyDescent="0.4">
      <c r="K1595" s="17">
        <v>1593</v>
      </c>
      <c r="L1595" s="70">
        <v>5.8619775700208265E-14</v>
      </c>
    </row>
    <row r="1596" spans="11:12" x14ac:dyDescent="0.4">
      <c r="K1596" s="17">
        <v>1594</v>
      </c>
      <c r="L1596" s="70">
        <v>-47.699999999999946</v>
      </c>
    </row>
    <row r="1597" spans="11:12" x14ac:dyDescent="0.4">
      <c r="K1597" s="17">
        <v>1595</v>
      </c>
      <c r="L1597" s="70">
        <v>-69.299999999999955</v>
      </c>
    </row>
    <row r="1598" spans="11:12" x14ac:dyDescent="0.4">
      <c r="K1598" s="17">
        <v>1596</v>
      </c>
      <c r="L1598" s="70">
        <v>4.4408920985006262E-14</v>
      </c>
    </row>
    <row r="1599" spans="11:12" x14ac:dyDescent="0.4">
      <c r="K1599" s="17">
        <v>1597</v>
      </c>
      <c r="L1599" s="70">
        <v>-32.899999999999956</v>
      </c>
    </row>
    <row r="1600" spans="11:12" x14ac:dyDescent="0.4">
      <c r="K1600" s="17">
        <v>1598</v>
      </c>
      <c r="L1600" s="70">
        <v>-42.599999999999952</v>
      </c>
    </row>
    <row r="1601" spans="11:12" x14ac:dyDescent="0.4">
      <c r="K1601" s="17">
        <v>1599</v>
      </c>
      <c r="L1601" s="70">
        <v>5.1514348342607263E-14</v>
      </c>
    </row>
    <row r="1602" spans="11:12" x14ac:dyDescent="0.4">
      <c r="K1602" s="17">
        <v>1600</v>
      </c>
      <c r="L1602" s="70">
        <v>11.300000000000052</v>
      </c>
    </row>
    <row r="1603" spans="11:12" x14ac:dyDescent="0.4">
      <c r="K1603" s="17">
        <v>1601</v>
      </c>
      <c r="L1603" s="70">
        <v>56.300000000000054</v>
      </c>
    </row>
    <row r="1604" spans="11:12" x14ac:dyDescent="0.4">
      <c r="K1604" s="17">
        <v>1602</v>
      </c>
      <c r="L1604" s="70">
        <v>5.8619775700208265E-14</v>
      </c>
    </row>
    <row r="1605" spans="11:12" x14ac:dyDescent="0.4">
      <c r="K1605" s="17">
        <v>1603</v>
      </c>
      <c r="L1605" s="70">
        <v>15.000000000000059</v>
      </c>
    </row>
    <row r="1606" spans="11:12" x14ac:dyDescent="0.4">
      <c r="K1606" s="17">
        <v>1604</v>
      </c>
      <c r="L1606" s="70">
        <v>60.000000000000057</v>
      </c>
    </row>
    <row r="1607" spans="11:12" x14ac:dyDescent="0.4">
      <c r="K1607" s="17">
        <v>1605</v>
      </c>
      <c r="L1607" s="70">
        <v>5.8619775700208265E-14</v>
      </c>
    </row>
    <row r="1608" spans="11:12" x14ac:dyDescent="0.4">
      <c r="K1608" s="17">
        <v>1606</v>
      </c>
      <c r="L1608" s="70">
        <v>-50.899999999999942</v>
      </c>
    </row>
    <row r="1609" spans="11:12" x14ac:dyDescent="0.4">
      <c r="K1609" s="17">
        <v>1607</v>
      </c>
      <c r="L1609" s="70">
        <v>1.2000000000000615</v>
      </c>
    </row>
    <row r="1610" spans="11:12" x14ac:dyDescent="0.4">
      <c r="K1610" s="17">
        <v>1608</v>
      </c>
      <c r="L1610" s="70">
        <v>6.1506355564233672E-14</v>
      </c>
    </row>
    <row r="1611" spans="11:12" x14ac:dyDescent="0.4">
      <c r="K1611" s="17">
        <v>1609</v>
      </c>
      <c r="L1611" s="70">
        <v>-10.799999999999939</v>
      </c>
    </row>
    <row r="1612" spans="11:12" x14ac:dyDescent="0.4">
      <c r="K1612" s="17">
        <v>1610</v>
      </c>
      <c r="L1612" s="70">
        <v>-51.999999999999943</v>
      </c>
    </row>
    <row r="1613" spans="11:12" x14ac:dyDescent="0.4">
      <c r="K1613" s="17">
        <v>1611</v>
      </c>
      <c r="L1613" s="70">
        <v>5.8619775700208265E-14</v>
      </c>
    </row>
    <row r="1614" spans="11:12" x14ac:dyDescent="0.4">
      <c r="K1614" s="17">
        <v>1612</v>
      </c>
      <c r="L1614" s="70">
        <v>5.3000000000000584</v>
      </c>
    </row>
    <row r="1615" spans="11:12" x14ac:dyDescent="0.4">
      <c r="K1615" s="17">
        <v>1613</v>
      </c>
      <c r="L1615" s="70">
        <v>-26.79999999999994</v>
      </c>
    </row>
    <row r="1616" spans="11:12" x14ac:dyDescent="0.4">
      <c r="K1616" s="17">
        <v>1614</v>
      </c>
      <c r="L1616" s="70">
        <v>5.8619775700208265E-14</v>
      </c>
    </row>
    <row r="1617" spans="11:12" x14ac:dyDescent="0.4">
      <c r="K1617" s="17">
        <v>1615</v>
      </c>
      <c r="L1617" s="70">
        <v>9.400000000000059</v>
      </c>
    </row>
    <row r="1618" spans="11:12" x14ac:dyDescent="0.4">
      <c r="K1618" s="17">
        <v>1616</v>
      </c>
      <c r="L1618" s="70">
        <v>-36.399999999999942</v>
      </c>
    </row>
    <row r="1619" spans="11:12" x14ac:dyDescent="0.4">
      <c r="K1619" s="17">
        <v>1617</v>
      </c>
      <c r="L1619" s="70">
        <v>5.8619775700208265E-14</v>
      </c>
    </row>
    <row r="1620" spans="11:12" x14ac:dyDescent="0.4">
      <c r="K1620" s="17">
        <v>1618</v>
      </c>
      <c r="L1620" s="70">
        <v>-2.2999999999999412</v>
      </c>
    </row>
    <row r="1621" spans="11:12" x14ac:dyDescent="0.4">
      <c r="K1621" s="17">
        <v>1619</v>
      </c>
      <c r="L1621" s="70">
        <v>-58.899999999999942</v>
      </c>
    </row>
    <row r="1622" spans="11:12" x14ac:dyDescent="0.4">
      <c r="K1622" s="17">
        <v>1620</v>
      </c>
      <c r="L1622" s="70">
        <v>5.8619775700208265E-14</v>
      </c>
    </row>
    <row r="1623" spans="11:12" x14ac:dyDescent="0.4">
      <c r="K1623" s="17">
        <v>1621</v>
      </c>
      <c r="L1623" s="70">
        <v>-24.499999999999943</v>
      </c>
    </row>
    <row r="1624" spans="11:12" x14ac:dyDescent="0.4">
      <c r="K1624" s="17">
        <v>1622</v>
      </c>
      <c r="L1624" s="70">
        <v>56.500000000000057</v>
      </c>
    </row>
    <row r="1625" spans="11:12" x14ac:dyDescent="0.4">
      <c r="K1625" s="17">
        <v>1623</v>
      </c>
      <c r="L1625" s="70">
        <v>5.8619775700208265E-14</v>
      </c>
    </row>
    <row r="1626" spans="11:12" x14ac:dyDescent="0.4">
      <c r="K1626" s="17">
        <v>1624</v>
      </c>
      <c r="L1626" s="70">
        <v>39.20000000000006</v>
      </c>
    </row>
    <row r="1627" spans="11:12" x14ac:dyDescent="0.4">
      <c r="K1627" s="17">
        <v>1625</v>
      </c>
      <c r="L1627" s="70">
        <v>6.3000000000000629</v>
      </c>
    </row>
    <row r="1628" spans="11:12" x14ac:dyDescent="0.4">
      <c r="K1628" s="17">
        <v>1626</v>
      </c>
      <c r="L1628" s="70">
        <v>6.3060667798708891E-14</v>
      </c>
    </row>
    <row r="1629" spans="11:12" x14ac:dyDescent="0.4">
      <c r="K1629" s="17">
        <v>1627</v>
      </c>
      <c r="L1629" s="70">
        <v>-51.699999999999939</v>
      </c>
    </row>
    <row r="1630" spans="11:12" x14ac:dyDescent="0.4">
      <c r="K1630" s="17">
        <v>1628</v>
      </c>
      <c r="L1630" s="70">
        <v>-38.199999999999939</v>
      </c>
    </row>
    <row r="1631" spans="11:12" x14ac:dyDescent="0.4">
      <c r="K1631" s="17">
        <v>1629</v>
      </c>
      <c r="L1631" s="70">
        <v>6.5725203057809267E-14</v>
      </c>
    </row>
    <row r="1632" spans="11:12" x14ac:dyDescent="0.4">
      <c r="K1632" s="17">
        <v>1630</v>
      </c>
      <c r="L1632" s="70">
        <v>-61.699999999999939</v>
      </c>
    </row>
    <row r="1633" spans="11:12" x14ac:dyDescent="0.4">
      <c r="K1633" s="17">
        <v>1631</v>
      </c>
      <c r="L1633" s="70">
        <v>-91.29999999999994</v>
      </c>
    </row>
    <row r="1634" spans="11:12" x14ac:dyDescent="0.4">
      <c r="K1634" s="17">
        <v>1632</v>
      </c>
      <c r="L1634" s="70">
        <v>5.8619775700208265E-14</v>
      </c>
    </row>
    <row r="1635" spans="11:12" x14ac:dyDescent="0.4">
      <c r="K1635" s="17">
        <v>1633</v>
      </c>
      <c r="L1635" s="70">
        <v>41.600000000000058</v>
      </c>
    </row>
    <row r="1636" spans="11:12" x14ac:dyDescent="0.4">
      <c r="K1636" s="17">
        <v>1634</v>
      </c>
      <c r="L1636" s="70">
        <v>8.7000000000000615</v>
      </c>
    </row>
    <row r="1637" spans="11:12" x14ac:dyDescent="0.4">
      <c r="K1637" s="17">
        <v>1635</v>
      </c>
      <c r="L1637" s="70">
        <v>6.2172489379008766E-14</v>
      </c>
    </row>
    <row r="1638" spans="11:12" x14ac:dyDescent="0.4">
      <c r="K1638" s="17">
        <v>1636</v>
      </c>
      <c r="L1638" s="70">
        <v>-55.899999999999935</v>
      </c>
    </row>
    <row r="1639" spans="11:12" x14ac:dyDescent="0.4">
      <c r="K1639" s="17">
        <v>1637</v>
      </c>
      <c r="L1639" s="70">
        <v>-42.199999999999932</v>
      </c>
    </row>
    <row r="1640" spans="11:12" x14ac:dyDescent="0.4">
      <c r="K1640" s="17">
        <v>1638</v>
      </c>
      <c r="L1640" s="70">
        <v>7.2830630415410269E-14</v>
      </c>
    </row>
    <row r="1641" spans="11:12" x14ac:dyDescent="0.4">
      <c r="K1641" s="17">
        <v>1639</v>
      </c>
      <c r="L1641" s="70">
        <v>62.500000000000071</v>
      </c>
    </row>
    <row r="1642" spans="11:12" x14ac:dyDescent="0.4">
      <c r="K1642" s="17">
        <v>1640</v>
      </c>
      <c r="L1642" s="70">
        <v>5.0000000000000728</v>
      </c>
    </row>
    <row r="1643" spans="11:12" x14ac:dyDescent="0.4">
      <c r="K1643" s="17">
        <v>1641</v>
      </c>
      <c r="L1643" s="70">
        <v>7.2830630415410269E-14</v>
      </c>
    </row>
    <row r="1644" spans="11:12" x14ac:dyDescent="0.4">
      <c r="K1644" s="17">
        <v>1642</v>
      </c>
      <c r="L1644" s="70">
        <v>12.200000000000072</v>
      </c>
    </row>
    <row r="1645" spans="11:12" x14ac:dyDescent="0.4">
      <c r="K1645" s="17">
        <v>1643</v>
      </c>
      <c r="L1645" s="70">
        <v>55.100000000000065</v>
      </c>
    </row>
    <row r="1646" spans="11:12" x14ac:dyDescent="0.4">
      <c r="K1646" s="17">
        <v>1644</v>
      </c>
      <c r="L1646" s="70">
        <v>6.5725203057809267E-14</v>
      </c>
    </row>
    <row r="1647" spans="11:12" x14ac:dyDescent="0.4">
      <c r="K1647" s="17">
        <v>1645</v>
      </c>
      <c r="L1647" s="70">
        <v>9.0000000000000657</v>
      </c>
    </row>
    <row r="1648" spans="11:12" x14ac:dyDescent="0.4">
      <c r="K1648" s="17">
        <v>1646</v>
      </c>
      <c r="L1648" s="70">
        <v>-37.699999999999939</v>
      </c>
    </row>
    <row r="1649" spans="11:12" x14ac:dyDescent="0.4">
      <c r="K1649" s="17">
        <v>1647</v>
      </c>
      <c r="L1649" s="70">
        <v>6.5725203057809267E-14</v>
      </c>
    </row>
    <row r="1650" spans="11:12" x14ac:dyDescent="0.4">
      <c r="K1650" s="17">
        <v>1648</v>
      </c>
      <c r="L1650" s="70">
        <v>-11.999999999999934</v>
      </c>
    </row>
    <row r="1651" spans="11:12" x14ac:dyDescent="0.4">
      <c r="K1651" s="17">
        <v>1649</v>
      </c>
      <c r="L1651" s="70">
        <v>65.100000000000051</v>
      </c>
    </row>
    <row r="1652" spans="11:12" x14ac:dyDescent="0.4">
      <c r="K1652" s="17">
        <v>1650</v>
      </c>
      <c r="L1652" s="70">
        <v>5.8619775700208265E-14</v>
      </c>
    </row>
    <row r="1653" spans="11:12" x14ac:dyDescent="0.4">
      <c r="K1653" s="17">
        <v>1651</v>
      </c>
      <c r="L1653" s="70">
        <v>14.700000000000058</v>
      </c>
    </row>
    <row r="1654" spans="11:12" x14ac:dyDescent="0.4">
      <c r="K1654" s="17">
        <v>1652</v>
      </c>
      <c r="L1654" s="70">
        <v>75.20000000000006</v>
      </c>
    </row>
    <row r="1655" spans="11:12" x14ac:dyDescent="0.4">
      <c r="K1655" s="17">
        <v>1653</v>
      </c>
      <c r="L1655" s="70">
        <v>5.8619775700208265E-14</v>
      </c>
    </row>
    <row r="1656" spans="11:12" x14ac:dyDescent="0.4">
      <c r="K1656" s="17">
        <v>1654</v>
      </c>
      <c r="L1656" s="70">
        <v>-43.199999999999946</v>
      </c>
    </row>
    <row r="1657" spans="11:12" x14ac:dyDescent="0.4">
      <c r="K1657" s="17">
        <v>1655</v>
      </c>
      <c r="L1657" s="70">
        <v>-39.799999999999947</v>
      </c>
    </row>
    <row r="1658" spans="11:12" x14ac:dyDescent="0.4">
      <c r="K1658" s="17">
        <v>1656</v>
      </c>
      <c r="L1658" s="70">
        <v>5.1514348342607263E-14</v>
      </c>
    </row>
    <row r="1659" spans="11:12" x14ac:dyDescent="0.4">
      <c r="K1659" s="17">
        <v>1657</v>
      </c>
      <c r="L1659" s="70">
        <v>-53.299999999999947</v>
      </c>
    </row>
    <row r="1660" spans="11:12" x14ac:dyDescent="0.4">
      <c r="K1660" s="17">
        <v>1658</v>
      </c>
      <c r="L1660" s="70">
        <v>-61.599999999999952</v>
      </c>
    </row>
    <row r="1661" spans="11:12" x14ac:dyDescent="0.4">
      <c r="K1661" s="17">
        <v>1659</v>
      </c>
      <c r="L1661" s="70">
        <v>5.1514348342607263E-14</v>
      </c>
    </row>
    <row r="1662" spans="11:12" x14ac:dyDescent="0.4">
      <c r="K1662" s="17">
        <v>1660</v>
      </c>
      <c r="L1662" s="70">
        <v>31.700000000000053</v>
      </c>
    </row>
    <row r="1663" spans="11:12" x14ac:dyDescent="0.4">
      <c r="K1663" s="17">
        <v>1661</v>
      </c>
      <c r="L1663" s="70">
        <v>-10.099999999999946</v>
      </c>
    </row>
    <row r="1664" spans="11:12" x14ac:dyDescent="0.4">
      <c r="K1664" s="17">
        <v>1662</v>
      </c>
      <c r="L1664" s="70">
        <v>5.3290705182007514E-14</v>
      </c>
    </row>
    <row r="1665" spans="11:12" x14ac:dyDescent="0.4">
      <c r="K1665" s="17">
        <v>1663</v>
      </c>
      <c r="L1665" s="70">
        <v>42.700000000000053</v>
      </c>
    </row>
    <row r="1666" spans="11:12" x14ac:dyDescent="0.4">
      <c r="K1666" s="17">
        <v>1664</v>
      </c>
      <c r="L1666" s="70">
        <v>-2.5999999999999428</v>
      </c>
    </row>
    <row r="1667" spans="11:12" x14ac:dyDescent="0.4">
      <c r="K1667" s="17">
        <v>1665</v>
      </c>
      <c r="L1667" s="70">
        <v>5.7287508070658077E-14</v>
      </c>
    </row>
    <row r="1668" spans="11:12" x14ac:dyDescent="0.4">
      <c r="K1668" s="17">
        <v>1666</v>
      </c>
      <c r="L1668" s="70">
        <v>62.000000000000057</v>
      </c>
    </row>
    <row r="1669" spans="11:12" x14ac:dyDescent="0.4">
      <c r="K1669" s="17">
        <v>1667</v>
      </c>
      <c r="L1669" s="70">
        <v>3.9000000000000572</v>
      </c>
    </row>
    <row r="1670" spans="11:12" x14ac:dyDescent="0.4">
      <c r="K1670" s="17">
        <v>1668</v>
      </c>
      <c r="L1670" s="70">
        <v>5.7287508070658077E-14</v>
      </c>
    </row>
    <row r="1671" spans="11:12" x14ac:dyDescent="0.4">
      <c r="K1671" s="17">
        <v>1669</v>
      </c>
      <c r="L1671" s="70">
        <v>35.000000000000057</v>
      </c>
    </row>
    <row r="1672" spans="11:12" x14ac:dyDescent="0.4">
      <c r="K1672" s="17">
        <v>1670</v>
      </c>
      <c r="L1672" s="70">
        <v>-9.5999999999999428</v>
      </c>
    </row>
    <row r="1673" spans="11:12" x14ac:dyDescent="0.4">
      <c r="K1673" s="17">
        <v>1671</v>
      </c>
      <c r="L1673" s="70">
        <v>5.6843418860808015E-14</v>
      </c>
    </row>
    <row r="1674" spans="11:12" x14ac:dyDescent="0.4">
      <c r="K1674" s="17">
        <v>1672</v>
      </c>
      <c r="L1674" s="70">
        <v>39.300000000000054</v>
      </c>
    </row>
    <row r="1675" spans="11:12" x14ac:dyDescent="0.4">
      <c r="K1675" s="17">
        <v>1673</v>
      </c>
      <c r="L1675" s="70">
        <v>-18.999999999999943</v>
      </c>
    </row>
    <row r="1676" spans="11:12" x14ac:dyDescent="0.4">
      <c r="K1676" s="17">
        <v>1674</v>
      </c>
      <c r="L1676" s="70">
        <v>5.8619775700208265E-14</v>
      </c>
    </row>
    <row r="1677" spans="11:12" x14ac:dyDescent="0.4">
      <c r="K1677" s="17">
        <v>1675</v>
      </c>
      <c r="L1677" s="70">
        <v>1.1000000000000587</v>
      </c>
    </row>
    <row r="1678" spans="11:12" x14ac:dyDescent="0.4">
      <c r="K1678" s="17">
        <v>1676</v>
      </c>
      <c r="L1678" s="70">
        <v>-34.699999999999939</v>
      </c>
    </row>
    <row r="1679" spans="11:12" x14ac:dyDescent="0.4">
      <c r="K1679" s="17">
        <v>1677</v>
      </c>
      <c r="L1679" s="70">
        <v>6.5725203057809267E-14</v>
      </c>
    </row>
    <row r="1680" spans="11:12" x14ac:dyDescent="0.4">
      <c r="K1680" s="17">
        <v>1678</v>
      </c>
      <c r="L1680" s="70">
        <v>-32.099999999999937</v>
      </c>
    </row>
    <row r="1681" spans="11:12" x14ac:dyDescent="0.4">
      <c r="K1681" s="17">
        <v>1679</v>
      </c>
      <c r="L1681" s="70">
        <v>-36.399999999999935</v>
      </c>
    </row>
    <row r="1682" spans="11:12" x14ac:dyDescent="0.4">
      <c r="K1682" s="17">
        <v>1680</v>
      </c>
      <c r="L1682" s="70">
        <v>6.5725203057809267E-14</v>
      </c>
    </row>
    <row r="1683" spans="11:12" x14ac:dyDescent="0.4">
      <c r="K1683" s="17">
        <v>1681</v>
      </c>
      <c r="L1683" s="70">
        <v>-7.3999999999999346</v>
      </c>
    </row>
    <row r="1684" spans="11:12" x14ac:dyDescent="0.4">
      <c r="K1684" s="17">
        <v>1682</v>
      </c>
      <c r="L1684" s="70">
        <v>-65.999999999999943</v>
      </c>
    </row>
    <row r="1685" spans="11:12" x14ac:dyDescent="0.4">
      <c r="K1685" s="17">
        <v>1683</v>
      </c>
      <c r="L1685" s="70">
        <v>5.8619775700208265E-14</v>
      </c>
    </row>
    <row r="1686" spans="11:12" x14ac:dyDescent="0.4">
      <c r="K1686" s="17">
        <v>1684</v>
      </c>
      <c r="L1686" s="70">
        <v>-55.399999999999942</v>
      </c>
    </row>
    <row r="1687" spans="11:12" x14ac:dyDescent="0.4">
      <c r="K1687" s="17">
        <v>1685</v>
      </c>
      <c r="L1687" s="70">
        <v>-42.599999999999937</v>
      </c>
    </row>
    <row r="1688" spans="11:12" x14ac:dyDescent="0.4">
      <c r="K1688" s="17">
        <v>1686</v>
      </c>
      <c r="L1688" s="70">
        <v>6.5725203057809267E-14</v>
      </c>
    </row>
    <row r="1689" spans="11:12" x14ac:dyDescent="0.4">
      <c r="K1689" s="17">
        <v>1687</v>
      </c>
      <c r="L1689" s="70">
        <v>17.800000000000068</v>
      </c>
    </row>
    <row r="1690" spans="11:12" x14ac:dyDescent="0.4">
      <c r="K1690" s="17">
        <v>1688</v>
      </c>
      <c r="L1690" s="70">
        <v>-49.199999999999932</v>
      </c>
    </row>
    <row r="1691" spans="11:12" x14ac:dyDescent="0.4">
      <c r="K1691" s="17">
        <v>1689</v>
      </c>
      <c r="L1691" s="70">
        <v>7.2830630415410269E-14</v>
      </c>
    </row>
    <row r="1692" spans="11:12" x14ac:dyDescent="0.4">
      <c r="K1692" s="17">
        <v>1690</v>
      </c>
      <c r="L1692" s="70">
        <v>-17.899999999999928</v>
      </c>
    </row>
    <row r="1693" spans="11:12" x14ac:dyDescent="0.4">
      <c r="K1693" s="17">
        <v>1691</v>
      </c>
      <c r="L1693" s="70">
        <v>80.400000000000063</v>
      </c>
    </row>
    <row r="1694" spans="11:12" x14ac:dyDescent="0.4">
      <c r="K1694" s="17">
        <v>1692</v>
      </c>
      <c r="L1694" s="70">
        <v>5.8619775700208265E-14</v>
      </c>
    </row>
    <row r="1695" spans="11:12" x14ac:dyDescent="0.4">
      <c r="K1695" s="17">
        <v>1693</v>
      </c>
      <c r="L1695" s="70">
        <v>9.5000000000000586</v>
      </c>
    </row>
    <row r="1696" spans="11:12" x14ac:dyDescent="0.4">
      <c r="K1696" s="17">
        <v>1694</v>
      </c>
      <c r="L1696" s="70">
        <v>-49.999999999999943</v>
      </c>
    </row>
    <row r="1697" spans="11:12" x14ac:dyDescent="0.4">
      <c r="K1697" s="17">
        <v>1695</v>
      </c>
      <c r="L1697" s="70">
        <v>5.8619775700208265E-14</v>
      </c>
    </row>
    <row r="1698" spans="11:12" x14ac:dyDescent="0.4">
      <c r="K1698" s="17">
        <v>1696</v>
      </c>
      <c r="L1698" s="70">
        <v>-55.29999999999994</v>
      </c>
    </row>
    <row r="1699" spans="11:12" x14ac:dyDescent="0.4">
      <c r="K1699" s="17">
        <v>1697</v>
      </c>
      <c r="L1699" s="70">
        <v>3.5000000000000586</v>
      </c>
    </row>
    <row r="1700" spans="11:12" x14ac:dyDescent="0.4">
      <c r="K1700" s="17">
        <v>1698</v>
      </c>
      <c r="L1700" s="70">
        <v>5.8619775700208265E-14</v>
      </c>
    </row>
    <row r="1701" spans="11:12" x14ac:dyDescent="0.4">
      <c r="K1701" s="17">
        <v>1699</v>
      </c>
      <c r="L1701" s="70">
        <v>31.000000000000057</v>
      </c>
    </row>
    <row r="1702" spans="11:12" x14ac:dyDescent="0.4">
      <c r="K1702" s="17">
        <v>1700</v>
      </c>
      <c r="L1702" s="70">
        <v>-4.9999999999999414</v>
      </c>
    </row>
    <row r="1703" spans="11:12" x14ac:dyDescent="0.4">
      <c r="K1703" s="17">
        <v>1701</v>
      </c>
      <c r="L1703" s="70">
        <v>5.8619775700208265E-14</v>
      </c>
    </row>
    <row r="1704" spans="11:12" x14ac:dyDescent="0.4">
      <c r="K1704" s="17">
        <v>1702</v>
      </c>
      <c r="L1704" s="70">
        <v>-35.29999999999994</v>
      </c>
    </row>
    <row r="1705" spans="11:12" x14ac:dyDescent="0.4">
      <c r="K1705" s="17">
        <v>1703</v>
      </c>
      <c r="L1705" s="70">
        <v>-38.899999999999942</v>
      </c>
    </row>
    <row r="1706" spans="11:12" x14ac:dyDescent="0.4">
      <c r="K1706" s="17">
        <v>1704</v>
      </c>
      <c r="L1706" s="70">
        <v>5.8619775700208265E-14</v>
      </c>
    </row>
    <row r="1707" spans="11:12" x14ac:dyDescent="0.4">
      <c r="K1707" s="17">
        <v>1705</v>
      </c>
      <c r="L1707" s="70">
        <v>41.100000000000058</v>
      </c>
    </row>
    <row r="1708" spans="11:12" x14ac:dyDescent="0.4">
      <c r="K1708" s="17">
        <v>1706</v>
      </c>
      <c r="L1708" s="70">
        <v>52.000000000000057</v>
      </c>
    </row>
    <row r="1709" spans="11:12" x14ac:dyDescent="0.4">
      <c r="K1709" s="17">
        <v>1707</v>
      </c>
      <c r="L1709" s="70">
        <v>5.8619775700208265E-14</v>
      </c>
    </row>
    <row r="1710" spans="11:12" x14ac:dyDescent="0.4">
      <c r="K1710" s="17">
        <v>1708</v>
      </c>
      <c r="L1710" s="70">
        <v>54.600000000000058</v>
      </c>
    </row>
    <row r="1711" spans="11:12" x14ac:dyDescent="0.4">
      <c r="K1711" s="17">
        <v>1709</v>
      </c>
      <c r="L1711" s="70">
        <v>55.900000000000055</v>
      </c>
    </row>
    <row r="1712" spans="11:12" x14ac:dyDescent="0.4">
      <c r="K1712" s="17">
        <v>1710</v>
      </c>
      <c r="L1712" s="70">
        <v>5.8619775700208265E-14</v>
      </c>
    </row>
    <row r="1713" spans="11:12" x14ac:dyDescent="0.4">
      <c r="K1713" s="17">
        <v>1711</v>
      </c>
      <c r="L1713" s="70">
        <v>27.500000000000057</v>
      </c>
    </row>
    <row r="1714" spans="11:12" x14ac:dyDescent="0.4">
      <c r="K1714" s="17">
        <v>1712</v>
      </c>
      <c r="L1714" s="70">
        <v>28.500000000000057</v>
      </c>
    </row>
    <row r="1715" spans="11:12" x14ac:dyDescent="0.4">
      <c r="K1715" s="17">
        <v>1713</v>
      </c>
      <c r="L1715" s="70">
        <v>5.8619775700208265E-14</v>
      </c>
    </row>
    <row r="1716" spans="11:12" x14ac:dyDescent="0.4">
      <c r="K1716" s="17">
        <v>1714</v>
      </c>
      <c r="L1716" s="70">
        <v>33.400000000000055</v>
      </c>
    </row>
    <row r="1717" spans="11:12" x14ac:dyDescent="0.4">
      <c r="K1717" s="17">
        <v>1715</v>
      </c>
      <c r="L1717" s="70">
        <v>0.10000000000006004</v>
      </c>
    </row>
    <row r="1718" spans="11:12" x14ac:dyDescent="0.4">
      <c r="K1718" s="17">
        <v>1716</v>
      </c>
      <c r="L1718" s="70">
        <v>6.003531005660534E-14</v>
      </c>
    </row>
    <row r="1719" spans="11:12" x14ac:dyDescent="0.4">
      <c r="K1719" s="17">
        <v>1717</v>
      </c>
      <c r="L1719" s="70">
        <v>38.300000000000054</v>
      </c>
    </row>
    <row r="1720" spans="11:12" x14ac:dyDescent="0.4">
      <c r="K1720" s="17">
        <v>1718</v>
      </c>
      <c r="L1720" s="70">
        <v>-12.899999999999947</v>
      </c>
    </row>
    <row r="1721" spans="11:12" x14ac:dyDescent="0.4">
      <c r="K1721" s="17">
        <v>1719</v>
      </c>
      <c r="L1721" s="70">
        <v>5.3290705182007514E-14</v>
      </c>
    </row>
    <row r="1722" spans="11:12" x14ac:dyDescent="0.4">
      <c r="K1722" s="17">
        <v>1720</v>
      </c>
      <c r="L1722" s="70">
        <v>47.900000000000048</v>
      </c>
    </row>
    <row r="1723" spans="11:12" x14ac:dyDescent="0.4">
      <c r="K1723" s="17">
        <v>1721</v>
      </c>
      <c r="L1723" s="70">
        <v>-22.599999999999952</v>
      </c>
    </row>
    <row r="1724" spans="11:12" x14ac:dyDescent="0.4">
      <c r="K1724" s="17">
        <v>1722</v>
      </c>
      <c r="L1724" s="70">
        <v>5.1514348342607263E-14</v>
      </c>
    </row>
    <row r="1725" spans="11:12" x14ac:dyDescent="0.4">
      <c r="K1725" s="17">
        <v>1723</v>
      </c>
      <c r="L1725" s="70">
        <v>-7.5999999999999481</v>
      </c>
    </row>
    <row r="1726" spans="11:12" x14ac:dyDescent="0.4">
      <c r="K1726" s="17">
        <v>1724</v>
      </c>
      <c r="L1726" s="70">
        <v>-54.599999999999952</v>
      </c>
    </row>
    <row r="1727" spans="11:12" x14ac:dyDescent="0.4">
      <c r="K1727" s="17">
        <v>1725</v>
      </c>
      <c r="L1727" s="70">
        <v>5.1514348342607263E-14</v>
      </c>
    </row>
    <row r="1728" spans="11:12" x14ac:dyDescent="0.4">
      <c r="K1728" s="17">
        <v>1726</v>
      </c>
      <c r="L1728" s="70">
        <v>-34.599999999999952</v>
      </c>
    </row>
    <row r="1729" spans="11:12" x14ac:dyDescent="0.4">
      <c r="K1729" s="17">
        <v>1727</v>
      </c>
      <c r="L1729" s="70">
        <v>9.1000000000000529</v>
      </c>
    </row>
    <row r="1730" spans="11:12" x14ac:dyDescent="0.4">
      <c r="K1730" s="17">
        <v>1728</v>
      </c>
      <c r="L1730" s="70">
        <v>5.3290705182007514E-14</v>
      </c>
    </row>
    <row r="1731" spans="11:12" x14ac:dyDescent="0.4">
      <c r="K1731" s="17">
        <v>1729</v>
      </c>
      <c r="L1731" s="70">
        <v>-29.49999999999995</v>
      </c>
    </row>
    <row r="1732" spans="11:12" x14ac:dyDescent="0.4">
      <c r="K1732" s="17">
        <v>1730</v>
      </c>
      <c r="L1732" s="70">
        <v>-29.99999999999995</v>
      </c>
    </row>
    <row r="1733" spans="11:12" x14ac:dyDescent="0.4">
      <c r="K1733" s="17">
        <v>1731</v>
      </c>
      <c r="L1733" s="70">
        <v>5.1514348342607263E-14</v>
      </c>
    </row>
    <row r="1734" spans="11:12" x14ac:dyDescent="0.4">
      <c r="K1734" s="17">
        <v>1732</v>
      </c>
      <c r="L1734" s="70">
        <v>0.90000000000005154</v>
      </c>
    </row>
    <row r="1735" spans="11:12" x14ac:dyDescent="0.4">
      <c r="K1735" s="17">
        <v>1733</v>
      </c>
      <c r="L1735" s="70">
        <v>49.800000000000047</v>
      </c>
    </row>
    <row r="1736" spans="11:12" x14ac:dyDescent="0.4">
      <c r="K1736" s="17">
        <v>1734</v>
      </c>
      <c r="L1736" s="70">
        <v>5.1514348342607263E-14</v>
      </c>
    </row>
    <row r="1737" spans="11:12" x14ac:dyDescent="0.4">
      <c r="K1737" s="17">
        <v>1735</v>
      </c>
      <c r="L1737" s="70">
        <v>-23.699999999999946</v>
      </c>
    </row>
    <row r="1738" spans="11:12" x14ac:dyDescent="0.4">
      <c r="K1738" s="17">
        <v>1736</v>
      </c>
      <c r="L1738" s="70">
        <v>-0.59999999999994635</v>
      </c>
    </row>
    <row r="1739" spans="11:12" x14ac:dyDescent="0.4">
      <c r="K1739" s="17">
        <v>1737</v>
      </c>
      <c r="L1739" s="70">
        <v>5.3623772089395061E-14</v>
      </c>
    </row>
    <row r="1740" spans="11:12" x14ac:dyDescent="0.4">
      <c r="K1740" s="17">
        <v>1738</v>
      </c>
      <c r="L1740" s="70">
        <v>9.0000000000000533</v>
      </c>
    </row>
    <row r="1741" spans="11:12" x14ac:dyDescent="0.4">
      <c r="K1741" s="17">
        <v>1739</v>
      </c>
      <c r="L1741" s="70">
        <v>-31.49999999999995</v>
      </c>
    </row>
    <row r="1742" spans="11:12" x14ac:dyDescent="0.4">
      <c r="K1742" s="17">
        <v>1740</v>
      </c>
      <c r="L1742" s="70">
        <v>5.1514348342607263E-14</v>
      </c>
    </row>
    <row r="1743" spans="11:12" x14ac:dyDescent="0.4">
      <c r="K1743" s="17">
        <v>1741</v>
      </c>
      <c r="L1743" s="70">
        <v>26.900000000000048</v>
      </c>
    </row>
    <row r="1744" spans="11:12" x14ac:dyDescent="0.4">
      <c r="K1744" s="17">
        <v>1742</v>
      </c>
      <c r="L1744" s="70">
        <v>28.400000000000048</v>
      </c>
    </row>
    <row r="1745" spans="11:12" x14ac:dyDescent="0.4">
      <c r="K1745" s="17">
        <v>1743</v>
      </c>
      <c r="L1745" s="70">
        <v>5.1514348342607263E-14</v>
      </c>
    </row>
    <row r="1746" spans="11:12" x14ac:dyDescent="0.4">
      <c r="K1746" s="17">
        <v>1744</v>
      </c>
      <c r="L1746" s="70">
        <v>-33.799999999999947</v>
      </c>
    </row>
    <row r="1747" spans="11:12" x14ac:dyDescent="0.4">
      <c r="K1747" s="17">
        <v>1745</v>
      </c>
      <c r="L1747" s="70">
        <v>5.1000000000000529</v>
      </c>
    </row>
    <row r="1748" spans="11:12" x14ac:dyDescent="0.4">
      <c r="K1748" s="17">
        <v>1746</v>
      </c>
      <c r="L1748" s="70">
        <v>5.3290705182007514E-14</v>
      </c>
    </row>
    <row r="1749" spans="11:12" x14ac:dyDescent="0.4">
      <c r="K1749" s="17">
        <v>1747</v>
      </c>
      <c r="L1749" s="70">
        <v>-31.799999999999947</v>
      </c>
    </row>
    <row r="1750" spans="11:12" x14ac:dyDescent="0.4">
      <c r="K1750" s="17">
        <v>1748</v>
      </c>
      <c r="L1750" s="70">
        <v>-1.4999999999999449</v>
      </c>
    </row>
    <row r="1751" spans="11:12" x14ac:dyDescent="0.4">
      <c r="K1751" s="17">
        <v>1749</v>
      </c>
      <c r="L1751" s="70">
        <v>5.5067062021407764E-14</v>
      </c>
    </row>
    <row r="1752" spans="11:12" x14ac:dyDescent="0.4">
      <c r="K1752" s="17">
        <v>1750</v>
      </c>
      <c r="L1752" s="70">
        <v>-0.79999999999994498</v>
      </c>
    </row>
    <row r="1753" spans="11:12" x14ac:dyDescent="0.4">
      <c r="K1753" s="17">
        <v>1751</v>
      </c>
      <c r="L1753" s="70">
        <v>26.900000000000055</v>
      </c>
    </row>
    <row r="1754" spans="11:12" x14ac:dyDescent="0.4">
      <c r="K1754" s="17">
        <v>1752</v>
      </c>
      <c r="L1754" s="70">
        <v>5.5067062021407764E-14</v>
      </c>
    </row>
    <row r="1755" spans="11:12" x14ac:dyDescent="0.4">
      <c r="K1755" s="17">
        <v>1753</v>
      </c>
      <c r="L1755" s="70">
        <v>72.000000000000057</v>
      </c>
    </row>
    <row r="1756" spans="11:12" x14ac:dyDescent="0.4">
      <c r="K1756" s="17">
        <v>1754</v>
      </c>
      <c r="L1756" s="70">
        <v>62.000000000000057</v>
      </c>
    </row>
    <row r="1757" spans="11:12" x14ac:dyDescent="0.4">
      <c r="K1757" s="17">
        <v>1755</v>
      </c>
      <c r="L1757" s="70">
        <v>5.8619775700208265E-14</v>
      </c>
    </row>
    <row r="1758" spans="11:12" x14ac:dyDescent="0.4">
      <c r="K1758" s="17">
        <v>1756</v>
      </c>
      <c r="L1758" s="70">
        <v>-32.699999999999946</v>
      </c>
    </row>
    <row r="1759" spans="11:12" x14ac:dyDescent="0.4">
      <c r="K1759" s="17">
        <v>1757</v>
      </c>
      <c r="L1759" s="70">
        <v>-31.099999999999945</v>
      </c>
    </row>
    <row r="1760" spans="11:12" x14ac:dyDescent="0.4">
      <c r="K1760" s="17">
        <v>1758</v>
      </c>
      <c r="L1760" s="70">
        <v>5.8619775700208265E-14</v>
      </c>
    </row>
    <row r="1761" spans="11:12" x14ac:dyDescent="0.4">
      <c r="K1761" s="17">
        <v>1759</v>
      </c>
      <c r="L1761" s="70">
        <v>-36.599999999999945</v>
      </c>
    </row>
    <row r="1762" spans="11:12" x14ac:dyDescent="0.4">
      <c r="K1762" s="17">
        <v>1760</v>
      </c>
      <c r="L1762" s="70">
        <v>-0.79999999999994564</v>
      </c>
    </row>
    <row r="1763" spans="11:12" x14ac:dyDescent="0.4">
      <c r="K1763" s="17">
        <v>1761</v>
      </c>
      <c r="L1763" s="70">
        <v>5.440092820663267E-14</v>
      </c>
    </row>
    <row r="1764" spans="11:12" x14ac:dyDescent="0.4">
      <c r="K1764" s="17">
        <v>1762</v>
      </c>
      <c r="L1764" s="70">
        <v>-29.399999999999942</v>
      </c>
    </row>
    <row r="1765" spans="11:12" x14ac:dyDescent="0.4">
      <c r="K1765" s="17">
        <v>1763</v>
      </c>
      <c r="L1765" s="70">
        <v>-37.599999999999945</v>
      </c>
    </row>
    <row r="1766" spans="11:12" x14ac:dyDescent="0.4">
      <c r="K1766" s="17">
        <v>1764</v>
      </c>
      <c r="L1766" s="70">
        <v>5.8619775700208265E-14</v>
      </c>
    </row>
    <row r="1767" spans="11:12" x14ac:dyDescent="0.4">
      <c r="K1767" s="17">
        <v>1765</v>
      </c>
      <c r="L1767" s="70">
        <v>-48.29999999999994</v>
      </c>
    </row>
    <row r="1768" spans="11:12" x14ac:dyDescent="0.4">
      <c r="K1768" s="17">
        <v>1766</v>
      </c>
      <c r="L1768" s="70">
        <v>-53.199999999999939</v>
      </c>
    </row>
    <row r="1769" spans="11:12" x14ac:dyDescent="0.4">
      <c r="K1769" s="17">
        <v>1767</v>
      </c>
      <c r="L1769" s="70">
        <v>6.5725203057809267E-14</v>
      </c>
    </row>
    <row r="1770" spans="11:12" x14ac:dyDescent="0.4">
      <c r="K1770" s="17">
        <v>1768</v>
      </c>
      <c r="L1770" s="70">
        <v>-32.799999999999933</v>
      </c>
    </row>
    <row r="1771" spans="11:12" x14ac:dyDescent="0.4">
      <c r="K1771" s="17">
        <v>1769</v>
      </c>
      <c r="L1771" s="70">
        <v>3.30000000000007</v>
      </c>
    </row>
    <row r="1772" spans="11:12" x14ac:dyDescent="0.4">
      <c r="K1772" s="17">
        <v>1770</v>
      </c>
      <c r="L1772" s="70">
        <v>7.0166095156309893E-14</v>
      </c>
    </row>
    <row r="1773" spans="11:12" x14ac:dyDescent="0.4">
      <c r="K1773" s="17">
        <v>1771</v>
      </c>
      <c r="L1773" s="70">
        <v>-1.7999999999999299</v>
      </c>
    </row>
    <row r="1774" spans="11:12" x14ac:dyDescent="0.4">
      <c r="K1774" s="17">
        <v>1772</v>
      </c>
      <c r="L1774" s="70">
        <v>-28.199999999999932</v>
      </c>
    </row>
    <row r="1775" spans="11:12" x14ac:dyDescent="0.4">
      <c r="K1775" s="17">
        <v>1773</v>
      </c>
      <c r="L1775" s="70">
        <v>6.9277916736609768E-14</v>
      </c>
    </row>
    <row r="1776" spans="11:12" x14ac:dyDescent="0.4">
      <c r="K1776" s="17">
        <v>1774</v>
      </c>
      <c r="L1776" s="70">
        <v>-56.799999999999926</v>
      </c>
    </row>
    <row r="1777" spans="11:12" x14ac:dyDescent="0.4">
      <c r="K1777" s="17">
        <v>1775</v>
      </c>
      <c r="L1777" s="70">
        <v>4.2000000000000757</v>
      </c>
    </row>
    <row r="1778" spans="11:12" x14ac:dyDescent="0.4">
      <c r="K1778" s="17">
        <v>1776</v>
      </c>
      <c r="L1778" s="70">
        <v>7.5495165674510645E-14</v>
      </c>
    </row>
    <row r="1779" spans="11:12" x14ac:dyDescent="0.4">
      <c r="K1779" s="17">
        <v>1777</v>
      </c>
      <c r="L1779" s="70">
        <v>-32.499999999999929</v>
      </c>
    </row>
    <row r="1780" spans="11:12" x14ac:dyDescent="0.4">
      <c r="K1780" s="17">
        <v>1778</v>
      </c>
      <c r="L1780" s="70">
        <v>2.9000000000000714</v>
      </c>
    </row>
    <row r="1781" spans="11:12" x14ac:dyDescent="0.4">
      <c r="K1781" s="17">
        <v>1779</v>
      </c>
      <c r="L1781" s="70">
        <v>7.1498362785860081E-14</v>
      </c>
    </row>
    <row r="1782" spans="11:12" x14ac:dyDescent="0.4">
      <c r="K1782" s="17">
        <v>1780</v>
      </c>
      <c r="L1782" s="70">
        <v>-12.699999999999928</v>
      </c>
    </row>
    <row r="1783" spans="11:12" x14ac:dyDescent="0.4">
      <c r="K1783" s="17">
        <v>1781</v>
      </c>
      <c r="L1783" s="70">
        <v>42.800000000000068</v>
      </c>
    </row>
    <row r="1784" spans="11:12" x14ac:dyDescent="0.4">
      <c r="K1784" s="17">
        <v>1782</v>
      </c>
      <c r="L1784" s="70">
        <v>7.2830630415410269E-14</v>
      </c>
    </row>
    <row r="1785" spans="11:12" x14ac:dyDescent="0.4">
      <c r="K1785" s="17">
        <v>1783</v>
      </c>
      <c r="L1785" s="70">
        <v>-43.09999999999993</v>
      </c>
    </row>
    <row r="1786" spans="11:12" x14ac:dyDescent="0.4">
      <c r="K1786" s="17">
        <v>1784</v>
      </c>
      <c r="L1786" s="70">
        <v>-9.7999999999999314</v>
      </c>
    </row>
    <row r="1787" spans="11:12" x14ac:dyDescent="0.4">
      <c r="K1787" s="17">
        <v>1785</v>
      </c>
      <c r="L1787" s="70">
        <v>6.9277916736609768E-14</v>
      </c>
    </row>
    <row r="1788" spans="11:12" x14ac:dyDescent="0.4">
      <c r="K1788" s="17">
        <v>1786</v>
      </c>
      <c r="L1788" s="70">
        <v>26.500000000000071</v>
      </c>
    </row>
    <row r="1789" spans="11:12" x14ac:dyDescent="0.4">
      <c r="K1789" s="17">
        <v>1787</v>
      </c>
      <c r="L1789" s="70">
        <v>-0.29999999999993143</v>
      </c>
    </row>
    <row r="1790" spans="11:12" x14ac:dyDescent="0.4">
      <c r="K1790" s="17">
        <v>1788</v>
      </c>
      <c r="L1790" s="70">
        <v>6.8556271770603416E-14</v>
      </c>
    </row>
    <row r="1791" spans="11:12" x14ac:dyDescent="0.4">
      <c r="K1791" s="17">
        <v>1789</v>
      </c>
      <c r="L1791" s="70">
        <v>40.800000000000061</v>
      </c>
    </row>
    <row r="1792" spans="11:12" x14ac:dyDescent="0.4">
      <c r="K1792" s="17">
        <v>1790</v>
      </c>
      <c r="L1792" s="70">
        <v>34.100000000000058</v>
      </c>
    </row>
    <row r="1793" spans="11:12" x14ac:dyDescent="0.4">
      <c r="K1793" s="17">
        <v>1791</v>
      </c>
      <c r="L1793" s="70">
        <v>5.8619775700208265E-14</v>
      </c>
    </row>
    <row r="1794" spans="11:12" x14ac:dyDescent="0.4">
      <c r="K1794" s="17">
        <v>1792</v>
      </c>
      <c r="L1794" s="70">
        <v>-2.9999999999999414</v>
      </c>
    </row>
    <row r="1795" spans="11:12" x14ac:dyDescent="0.4">
      <c r="K1795" s="17">
        <v>1793</v>
      </c>
      <c r="L1795" s="70">
        <v>37.400000000000055</v>
      </c>
    </row>
    <row r="1796" spans="11:12" x14ac:dyDescent="0.4">
      <c r="K1796" s="17">
        <v>1794</v>
      </c>
      <c r="L1796" s="70">
        <v>5.8619775700208265E-14</v>
      </c>
    </row>
    <row r="1797" spans="11:12" x14ac:dyDescent="0.4">
      <c r="K1797" s="17">
        <v>1795</v>
      </c>
      <c r="L1797" s="70">
        <v>58.800000000000054</v>
      </c>
    </row>
    <row r="1798" spans="11:12" x14ac:dyDescent="0.4">
      <c r="K1798" s="17">
        <v>1796</v>
      </c>
      <c r="L1798" s="70">
        <v>0.80000000000005578</v>
      </c>
    </row>
    <row r="1799" spans="11:12" x14ac:dyDescent="0.4">
      <c r="K1799" s="17">
        <v>1797</v>
      </c>
      <c r="L1799" s="70">
        <v>5.5733195836182858E-14</v>
      </c>
    </row>
    <row r="1800" spans="11:12" x14ac:dyDescent="0.4">
      <c r="K1800" s="17">
        <v>1798</v>
      </c>
      <c r="L1800" s="70">
        <v>8.6000000000000547</v>
      </c>
    </row>
    <row r="1801" spans="11:12" x14ac:dyDescent="0.4">
      <c r="K1801" s="17">
        <v>1799</v>
      </c>
      <c r="L1801" s="70">
        <v>56.100000000000051</v>
      </c>
    </row>
    <row r="1802" spans="11:12" x14ac:dyDescent="0.4">
      <c r="K1802" s="17">
        <v>1800</v>
      </c>
      <c r="L1802" s="70">
        <v>5.1514348342607263E-14</v>
      </c>
    </row>
    <row r="1803" spans="11:12" x14ac:dyDescent="0.4">
      <c r="K1803" s="17">
        <v>1801</v>
      </c>
      <c r="L1803" s="70">
        <v>-35.699999999999953</v>
      </c>
    </row>
    <row r="1804" spans="11:12" x14ac:dyDescent="0.4">
      <c r="K1804" s="17">
        <v>1802</v>
      </c>
      <c r="L1804" s="70">
        <v>-37.599999999999952</v>
      </c>
    </row>
    <row r="1805" spans="11:12" x14ac:dyDescent="0.4">
      <c r="K1805" s="17">
        <v>1803</v>
      </c>
      <c r="L1805" s="70">
        <v>5.1514348342607263E-14</v>
      </c>
    </row>
    <row r="1806" spans="11:12" x14ac:dyDescent="0.4">
      <c r="K1806" s="17">
        <v>1804</v>
      </c>
      <c r="L1806" s="70">
        <v>5.2000000000000517</v>
      </c>
    </row>
    <row r="1807" spans="11:12" x14ac:dyDescent="0.4">
      <c r="K1807" s="17">
        <v>1805</v>
      </c>
      <c r="L1807" s="70">
        <v>59.600000000000051</v>
      </c>
    </row>
    <row r="1808" spans="11:12" x14ac:dyDescent="0.4">
      <c r="K1808" s="17">
        <v>1806</v>
      </c>
      <c r="L1808" s="70">
        <v>5.1514348342607263E-14</v>
      </c>
    </row>
    <row r="1809" spans="11:12" x14ac:dyDescent="0.4">
      <c r="K1809" s="17">
        <v>1807</v>
      </c>
      <c r="L1809" s="70">
        <v>29.600000000000051</v>
      </c>
    </row>
    <row r="1810" spans="11:12" x14ac:dyDescent="0.4">
      <c r="K1810" s="17">
        <v>1808</v>
      </c>
      <c r="L1810" s="70">
        <v>32.400000000000048</v>
      </c>
    </row>
    <row r="1811" spans="11:12" x14ac:dyDescent="0.4">
      <c r="K1811" s="17">
        <v>1809</v>
      </c>
      <c r="L1811" s="70">
        <v>5.1514348342607263E-14</v>
      </c>
    </row>
    <row r="1812" spans="11:12" x14ac:dyDescent="0.4">
      <c r="K1812" s="17">
        <v>1810</v>
      </c>
      <c r="L1812" s="70">
        <v>44.50000000000005</v>
      </c>
    </row>
    <row r="1813" spans="11:12" x14ac:dyDescent="0.4">
      <c r="K1813" s="17">
        <v>1811</v>
      </c>
      <c r="L1813" s="70">
        <v>41.400000000000048</v>
      </c>
    </row>
    <row r="1814" spans="11:12" x14ac:dyDescent="0.4">
      <c r="K1814" s="17">
        <v>1812</v>
      </c>
      <c r="L1814" s="70">
        <v>5.1514348342607263E-14</v>
      </c>
    </row>
    <row r="1815" spans="11:12" x14ac:dyDescent="0.4">
      <c r="K1815" s="17">
        <v>1813</v>
      </c>
      <c r="L1815" s="70">
        <v>7.0000000000000515</v>
      </c>
    </row>
    <row r="1816" spans="11:12" x14ac:dyDescent="0.4">
      <c r="K1816" s="17">
        <v>1814</v>
      </c>
      <c r="L1816" s="70">
        <v>-27.49999999999995</v>
      </c>
    </row>
    <row r="1817" spans="11:12" x14ac:dyDescent="0.4">
      <c r="K1817" s="17">
        <v>1815</v>
      </c>
      <c r="L1817" s="70">
        <v>5.1514348342607263E-14</v>
      </c>
    </row>
    <row r="1818" spans="11:12" x14ac:dyDescent="0.4">
      <c r="K1818" s="17">
        <v>1816</v>
      </c>
      <c r="L1818" s="70">
        <v>-4.5999999999999481</v>
      </c>
    </row>
    <row r="1819" spans="11:12" x14ac:dyDescent="0.4">
      <c r="K1819" s="17">
        <v>1817</v>
      </c>
      <c r="L1819" s="70">
        <v>46.50000000000005</v>
      </c>
    </row>
    <row r="1820" spans="11:12" x14ac:dyDescent="0.4">
      <c r="K1820" s="17">
        <v>1818</v>
      </c>
      <c r="L1820" s="70">
        <v>5.1514348342607263E-14</v>
      </c>
    </row>
    <row r="1821" spans="11:12" x14ac:dyDescent="0.4">
      <c r="K1821" s="17">
        <v>1819</v>
      </c>
      <c r="L1821" s="70">
        <v>-29.099999999999952</v>
      </c>
    </row>
    <row r="1822" spans="11:12" x14ac:dyDescent="0.4">
      <c r="K1822" s="17">
        <v>1820</v>
      </c>
      <c r="L1822" s="70">
        <v>-36.49999999999995</v>
      </c>
    </row>
    <row r="1823" spans="11:12" x14ac:dyDescent="0.4">
      <c r="K1823" s="17">
        <v>1821</v>
      </c>
      <c r="L1823" s="70">
        <v>5.1514348342607263E-14</v>
      </c>
    </row>
    <row r="1824" spans="11:12" x14ac:dyDescent="0.4">
      <c r="K1824" s="17">
        <v>1822</v>
      </c>
      <c r="L1824" s="70">
        <v>42.50000000000005</v>
      </c>
    </row>
    <row r="1825" spans="11:12" x14ac:dyDescent="0.4">
      <c r="K1825" s="17">
        <v>1823</v>
      </c>
      <c r="L1825" s="70">
        <v>34.600000000000051</v>
      </c>
    </row>
    <row r="1826" spans="11:12" x14ac:dyDescent="0.4">
      <c r="K1826" s="17">
        <v>1824</v>
      </c>
      <c r="L1826" s="70">
        <v>5.1514348342607263E-14</v>
      </c>
    </row>
    <row r="1827" spans="11:12" x14ac:dyDescent="0.4">
      <c r="K1827" s="17">
        <v>1825</v>
      </c>
      <c r="L1827" s="70">
        <v>-46.099999999999952</v>
      </c>
    </row>
    <row r="1828" spans="11:12" x14ac:dyDescent="0.4">
      <c r="K1828" s="17">
        <v>1826</v>
      </c>
      <c r="L1828" s="70">
        <v>-11.59999999999995</v>
      </c>
    </row>
    <row r="1829" spans="11:12" x14ac:dyDescent="0.4">
      <c r="K1829" s="17">
        <v>1827</v>
      </c>
      <c r="L1829" s="70">
        <v>4.9737991503207013E-14</v>
      </c>
    </row>
    <row r="1830" spans="11:12" x14ac:dyDescent="0.4">
      <c r="K1830" s="17">
        <v>1828</v>
      </c>
      <c r="L1830" s="70">
        <v>-53.99999999999995</v>
      </c>
    </row>
    <row r="1831" spans="11:12" x14ac:dyDescent="0.4">
      <c r="K1831" s="17">
        <v>1829</v>
      </c>
      <c r="L1831" s="70">
        <v>-67.299999999999955</v>
      </c>
    </row>
    <row r="1832" spans="11:12" x14ac:dyDescent="0.4">
      <c r="K1832" s="17">
        <v>1830</v>
      </c>
      <c r="L1832" s="70">
        <v>4.4408920985006262E-14</v>
      </c>
    </row>
    <row r="1833" spans="11:12" x14ac:dyDescent="0.4">
      <c r="K1833" s="17">
        <v>1831</v>
      </c>
      <c r="L1833" s="70">
        <v>-33.999999999999957</v>
      </c>
    </row>
    <row r="1834" spans="11:12" x14ac:dyDescent="0.4">
      <c r="K1834" s="17">
        <v>1832</v>
      </c>
      <c r="L1834" s="70">
        <v>-32.19999999999996</v>
      </c>
    </row>
    <row r="1835" spans="11:12" x14ac:dyDescent="0.4">
      <c r="K1835" s="17">
        <v>1833</v>
      </c>
      <c r="L1835" s="70">
        <v>4.4408920985006262E-14</v>
      </c>
    </row>
    <row r="1836" spans="11:12" x14ac:dyDescent="0.4">
      <c r="K1836" s="17">
        <v>1834</v>
      </c>
      <c r="L1836" s="70">
        <v>48.000000000000043</v>
      </c>
    </row>
    <row r="1837" spans="11:12" x14ac:dyDescent="0.4">
      <c r="K1837" s="17">
        <v>1835</v>
      </c>
      <c r="L1837" s="70">
        <v>44.30000000000004</v>
      </c>
    </row>
    <row r="1838" spans="11:12" x14ac:dyDescent="0.4">
      <c r="K1838" s="17">
        <v>1836</v>
      </c>
      <c r="L1838" s="70">
        <v>4.4408920985006262E-14</v>
      </c>
    </row>
    <row r="1839" spans="11:12" x14ac:dyDescent="0.4">
      <c r="K1839" s="17">
        <v>1837</v>
      </c>
      <c r="L1839" s="70">
        <v>55.100000000000044</v>
      </c>
    </row>
    <row r="1840" spans="11:12" x14ac:dyDescent="0.4">
      <c r="K1840" s="17">
        <v>1838</v>
      </c>
      <c r="L1840" s="70">
        <v>51.100000000000044</v>
      </c>
    </row>
    <row r="1841" spans="11:12" x14ac:dyDescent="0.4">
      <c r="K1841" s="17">
        <v>1839</v>
      </c>
      <c r="L1841" s="70">
        <v>4.4408920985006262E-14</v>
      </c>
    </row>
    <row r="1842" spans="11:12" x14ac:dyDescent="0.4">
      <c r="K1842" s="17">
        <v>1840</v>
      </c>
      <c r="L1842" s="70">
        <v>-16.599999999999959</v>
      </c>
    </row>
    <row r="1843" spans="11:12" x14ac:dyDescent="0.4">
      <c r="K1843" s="17">
        <v>1841</v>
      </c>
      <c r="L1843" s="70">
        <v>58.600000000000044</v>
      </c>
    </row>
    <row r="1844" spans="11:12" x14ac:dyDescent="0.4">
      <c r="K1844" s="17">
        <v>1842</v>
      </c>
      <c r="L1844" s="70">
        <v>4.4408920985006262E-14</v>
      </c>
    </row>
    <row r="1845" spans="11:12" x14ac:dyDescent="0.4">
      <c r="K1845" s="17">
        <v>1843</v>
      </c>
      <c r="L1845" s="70">
        <v>-36.399999999999956</v>
      </c>
    </row>
    <row r="1846" spans="11:12" x14ac:dyDescent="0.4">
      <c r="K1846" s="17">
        <v>1844</v>
      </c>
      <c r="L1846" s="70">
        <v>-0.89999999999995417</v>
      </c>
    </row>
    <row r="1847" spans="11:12" x14ac:dyDescent="0.4">
      <c r="K1847" s="17">
        <v>1845</v>
      </c>
      <c r="L1847" s="70">
        <v>4.5852210917018965E-14</v>
      </c>
    </row>
    <row r="1848" spans="11:12" x14ac:dyDescent="0.4">
      <c r="K1848" s="17">
        <v>1846</v>
      </c>
      <c r="L1848" s="70">
        <v>61.600000000000044</v>
      </c>
    </row>
    <row r="1849" spans="11:12" x14ac:dyDescent="0.4">
      <c r="K1849" s="17">
        <v>1847</v>
      </c>
      <c r="L1849" s="70">
        <v>16.800000000000047</v>
      </c>
    </row>
    <row r="1850" spans="11:12" x14ac:dyDescent="0.4">
      <c r="K1850" s="17">
        <v>1848</v>
      </c>
      <c r="L1850" s="70">
        <v>4.7961634663806763E-14</v>
      </c>
    </row>
    <row r="1851" spans="11:12" x14ac:dyDescent="0.4">
      <c r="K1851" s="17">
        <v>1849</v>
      </c>
      <c r="L1851" s="70">
        <v>-7.1999999999999522</v>
      </c>
    </row>
    <row r="1852" spans="11:12" x14ac:dyDescent="0.4">
      <c r="K1852" s="17">
        <v>1850</v>
      </c>
      <c r="L1852" s="70">
        <v>-79.799999999999955</v>
      </c>
    </row>
    <row r="1853" spans="11:12" x14ac:dyDescent="0.4">
      <c r="K1853" s="17">
        <v>1851</v>
      </c>
      <c r="L1853" s="70">
        <v>4.4408920985006262E-14</v>
      </c>
    </row>
    <row r="1854" spans="11:12" x14ac:dyDescent="0.4">
      <c r="K1854" s="17">
        <v>1852</v>
      </c>
      <c r="L1854" s="70">
        <v>47.30000000000004</v>
      </c>
    </row>
    <row r="1855" spans="11:12" x14ac:dyDescent="0.4">
      <c r="K1855" s="17">
        <v>1853</v>
      </c>
      <c r="L1855" s="70">
        <v>-8.4999999999999556</v>
      </c>
    </row>
    <row r="1856" spans="11:12" x14ac:dyDescent="0.4">
      <c r="K1856" s="17">
        <v>1854</v>
      </c>
      <c r="L1856" s="70">
        <v>4.4408920985006262E-14</v>
      </c>
    </row>
    <row r="1857" spans="11:12" x14ac:dyDescent="0.4">
      <c r="K1857" s="17">
        <v>1855</v>
      </c>
      <c r="L1857" s="70">
        <v>61.000000000000043</v>
      </c>
    </row>
    <row r="1858" spans="11:12" x14ac:dyDescent="0.4">
      <c r="K1858" s="17">
        <v>1856</v>
      </c>
      <c r="L1858" s="70">
        <v>13.400000000000043</v>
      </c>
    </row>
    <row r="1859" spans="11:12" x14ac:dyDescent="0.4">
      <c r="K1859" s="17">
        <v>1857</v>
      </c>
      <c r="L1859" s="70">
        <v>4.2632564145606011E-14</v>
      </c>
    </row>
    <row r="1860" spans="11:12" x14ac:dyDescent="0.4">
      <c r="K1860" s="17">
        <v>1858</v>
      </c>
      <c r="L1860" s="70">
        <v>44.900000000000041</v>
      </c>
    </row>
    <row r="1861" spans="11:12" x14ac:dyDescent="0.4">
      <c r="K1861" s="17">
        <v>1859</v>
      </c>
      <c r="L1861" s="70">
        <v>-19.599999999999959</v>
      </c>
    </row>
    <row r="1862" spans="11:12" x14ac:dyDescent="0.4">
      <c r="K1862" s="17">
        <v>1860</v>
      </c>
      <c r="L1862" s="70">
        <v>4.4408920985006262E-14</v>
      </c>
    </row>
    <row r="1863" spans="11:12" x14ac:dyDescent="0.4">
      <c r="K1863" s="17">
        <v>1861</v>
      </c>
      <c r="L1863" s="70">
        <v>52.000000000000043</v>
      </c>
    </row>
    <row r="1864" spans="11:12" x14ac:dyDescent="0.4">
      <c r="K1864" s="17">
        <v>1862</v>
      </c>
      <c r="L1864" s="70">
        <v>-7.3999999999999542</v>
      </c>
    </row>
    <row r="1865" spans="11:12" x14ac:dyDescent="0.4">
      <c r="K1865" s="17">
        <v>1863</v>
      </c>
      <c r="L1865" s="70">
        <v>4.6185277824406512E-14</v>
      </c>
    </row>
    <row r="1866" spans="11:12" x14ac:dyDescent="0.4">
      <c r="K1866" s="17">
        <v>1864</v>
      </c>
      <c r="L1866" s="70">
        <v>-64.999999999999957</v>
      </c>
    </row>
    <row r="1867" spans="11:12" x14ac:dyDescent="0.4">
      <c r="K1867" s="17">
        <v>1865</v>
      </c>
      <c r="L1867" s="70">
        <v>-64.999999999999957</v>
      </c>
    </row>
    <row r="1868" spans="11:12" x14ac:dyDescent="0.4">
      <c r="K1868" s="17">
        <v>1866</v>
      </c>
      <c r="L1868" s="70">
        <v>4.4408920985006262E-14</v>
      </c>
    </row>
    <row r="1869" spans="11:12" x14ac:dyDescent="0.4">
      <c r="K1869" s="17">
        <v>1867</v>
      </c>
      <c r="L1869" s="70">
        <v>-10.799999999999956</v>
      </c>
    </row>
    <row r="1870" spans="11:12" x14ac:dyDescent="0.4">
      <c r="K1870" s="17">
        <v>1868</v>
      </c>
      <c r="L1870" s="70">
        <v>-57.599999999999952</v>
      </c>
    </row>
    <row r="1871" spans="11:12" x14ac:dyDescent="0.4">
      <c r="K1871" s="17">
        <v>1869</v>
      </c>
      <c r="L1871" s="70">
        <v>5.1514348342607263E-14</v>
      </c>
    </row>
    <row r="1872" spans="11:12" x14ac:dyDescent="0.4">
      <c r="K1872" s="17">
        <v>1870</v>
      </c>
      <c r="L1872" s="70">
        <v>-66.499999999999943</v>
      </c>
    </row>
    <row r="1873" spans="11:12" x14ac:dyDescent="0.4">
      <c r="K1873" s="17">
        <v>1871</v>
      </c>
      <c r="L1873" s="70">
        <v>-19.499999999999943</v>
      </c>
    </row>
    <row r="1874" spans="11:12" x14ac:dyDescent="0.4">
      <c r="K1874" s="17">
        <v>1872</v>
      </c>
      <c r="L1874" s="70">
        <v>5.8619775700208265E-14</v>
      </c>
    </row>
    <row r="1875" spans="11:12" x14ac:dyDescent="0.4">
      <c r="K1875" s="17">
        <v>1873</v>
      </c>
      <c r="L1875" s="70">
        <v>11.100000000000058</v>
      </c>
    </row>
    <row r="1876" spans="11:12" x14ac:dyDescent="0.4">
      <c r="K1876" s="17">
        <v>1874</v>
      </c>
      <c r="L1876" s="70">
        <v>-35.899999999999942</v>
      </c>
    </row>
    <row r="1877" spans="11:12" x14ac:dyDescent="0.4">
      <c r="K1877" s="17">
        <v>1875</v>
      </c>
      <c r="L1877" s="70">
        <v>5.8619775700208265E-14</v>
      </c>
    </row>
    <row r="1878" spans="11:12" x14ac:dyDescent="0.4">
      <c r="K1878" s="17">
        <v>1876</v>
      </c>
      <c r="L1878" s="70">
        <v>-0.19999999999994139</v>
      </c>
    </row>
    <row r="1879" spans="11:12" x14ac:dyDescent="0.4">
      <c r="K1879" s="17">
        <v>1877</v>
      </c>
      <c r="L1879" s="70">
        <v>-26.499999999999943</v>
      </c>
    </row>
    <row r="1880" spans="11:12" x14ac:dyDescent="0.4">
      <c r="K1880" s="17">
        <v>1878</v>
      </c>
      <c r="L1880" s="70">
        <v>5.8619775700208265E-14</v>
      </c>
    </row>
    <row r="1881" spans="11:12" x14ac:dyDescent="0.4">
      <c r="K1881" s="17">
        <v>1879</v>
      </c>
      <c r="L1881" s="70">
        <v>-6.9999999999999414</v>
      </c>
    </row>
    <row r="1882" spans="11:12" x14ac:dyDescent="0.4">
      <c r="K1882" s="17">
        <v>1880</v>
      </c>
      <c r="L1882" s="70">
        <v>50.500000000000057</v>
      </c>
    </row>
    <row r="1883" spans="11:12" x14ac:dyDescent="0.4">
      <c r="K1883" s="17">
        <v>1881</v>
      </c>
      <c r="L1883" s="70">
        <v>5.8619775700208265E-14</v>
      </c>
    </row>
    <row r="1884" spans="11:12" x14ac:dyDescent="0.4">
      <c r="K1884" s="17">
        <v>1882</v>
      </c>
      <c r="L1884" s="70">
        <v>-0.3999999999999414</v>
      </c>
    </row>
    <row r="1885" spans="11:12" x14ac:dyDescent="0.4">
      <c r="K1885" s="17">
        <v>1883</v>
      </c>
      <c r="L1885" s="70">
        <v>24.400000000000063</v>
      </c>
    </row>
    <row r="1886" spans="11:12" x14ac:dyDescent="0.4">
      <c r="K1886" s="17">
        <v>1884</v>
      </c>
      <c r="L1886" s="70">
        <v>6.2172489379008766E-14</v>
      </c>
    </row>
    <row r="1887" spans="11:12" x14ac:dyDescent="0.4">
      <c r="K1887" s="17">
        <v>1885</v>
      </c>
      <c r="L1887" s="70">
        <v>-47.099999999999937</v>
      </c>
    </row>
    <row r="1888" spans="11:12" x14ac:dyDescent="0.4">
      <c r="K1888" s="17">
        <v>1886</v>
      </c>
      <c r="L1888" s="70">
        <v>-64.199999999999932</v>
      </c>
    </row>
    <row r="1889" spans="11:12" x14ac:dyDescent="0.4">
      <c r="K1889" s="17">
        <v>1887</v>
      </c>
      <c r="L1889" s="70">
        <v>7.2830630415410269E-14</v>
      </c>
    </row>
    <row r="1890" spans="11:12" x14ac:dyDescent="0.4">
      <c r="K1890" s="17">
        <v>1888</v>
      </c>
      <c r="L1890" s="70">
        <v>-37.699999999999932</v>
      </c>
    </row>
    <row r="1891" spans="11:12" x14ac:dyDescent="0.4">
      <c r="K1891" s="17">
        <v>1889</v>
      </c>
      <c r="L1891" s="70">
        <v>15.30000000000007</v>
      </c>
    </row>
    <row r="1892" spans="11:12" x14ac:dyDescent="0.4">
      <c r="K1892" s="17">
        <v>1890</v>
      </c>
      <c r="L1892" s="70">
        <v>6.9277916736609768E-14</v>
      </c>
    </row>
    <row r="1893" spans="11:12" x14ac:dyDescent="0.4">
      <c r="K1893" s="17">
        <v>1891</v>
      </c>
      <c r="L1893" s="70">
        <v>40.200000000000074</v>
      </c>
    </row>
    <row r="1894" spans="11:12" x14ac:dyDescent="0.4">
      <c r="K1894" s="17">
        <v>1892</v>
      </c>
      <c r="L1894" s="70">
        <v>34.800000000000075</v>
      </c>
    </row>
    <row r="1895" spans="11:12" x14ac:dyDescent="0.4">
      <c r="K1895" s="17">
        <v>1893</v>
      </c>
      <c r="L1895" s="70">
        <v>7.9936057773011271E-14</v>
      </c>
    </row>
    <row r="1896" spans="11:12" x14ac:dyDescent="0.4">
      <c r="K1896" s="17">
        <v>1894</v>
      </c>
      <c r="L1896" s="70">
        <v>0.90000000000007996</v>
      </c>
    </row>
    <row r="1897" spans="11:12" x14ac:dyDescent="0.4">
      <c r="K1897" s="17">
        <v>1895</v>
      </c>
      <c r="L1897" s="70">
        <v>-47.499999999999922</v>
      </c>
    </row>
    <row r="1898" spans="11:12" x14ac:dyDescent="0.4">
      <c r="K1898" s="17">
        <v>1896</v>
      </c>
      <c r="L1898" s="70">
        <v>7.9936057773011271E-14</v>
      </c>
    </row>
    <row r="1899" spans="11:12" x14ac:dyDescent="0.4">
      <c r="K1899" s="17">
        <v>1897</v>
      </c>
      <c r="L1899" s="70">
        <v>-61.599999999999923</v>
      </c>
    </row>
    <row r="1900" spans="11:12" x14ac:dyDescent="0.4">
      <c r="K1900" s="17">
        <v>1898</v>
      </c>
      <c r="L1900" s="70">
        <v>-49.499999999999922</v>
      </c>
    </row>
    <row r="1901" spans="11:12" x14ac:dyDescent="0.4">
      <c r="K1901" s="17">
        <v>1899</v>
      </c>
      <c r="L1901" s="70">
        <v>7.9936057773011271E-14</v>
      </c>
    </row>
    <row r="1902" spans="11:12" x14ac:dyDescent="0.4">
      <c r="K1902" s="17">
        <v>1900</v>
      </c>
      <c r="L1902" s="70">
        <v>-43.89999999999992</v>
      </c>
    </row>
    <row r="1903" spans="11:12" x14ac:dyDescent="0.4">
      <c r="K1903" s="17">
        <v>1901</v>
      </c>
      <c r="L1903" s="70">
        <v>-34.699999999999918</v>
      </c>
    </row>
    <row r="1904" spans="11:12" x14ac:dyDescent="0.4">
      <c r="K1904" s="17">
        <v>1902</v>
      </c>
      <c r="L1904" s="70">
        <v>8.7041485130612273E-14</v>
      </c>
    </row>
    <row r="1905" spans="11:12" x14ac:dyDescent="0.4">
      <c r="K1905" s="17">
        <v>1903</v>
      </c>
      <c r="L1905" s="70">
        <v>62.700000000000088</v>
      </c>
    </row>
    <row r="1906" spans="11:12" x14ac:dyDescent="0.4">
      <c r="K1906" s="17">
        <v>1904</v>
      </c>
      <c r="L1906" s="70">
        <v>13.900000000000093</v>
      </c>
    </row>
    <row r="1907" spans="11:12" x14ac:dyDescent="0.4">
      <c r="K1907" s="17">
        <v>1905</v>
      </c>
      <c r="L1907" s="70">
        <v>9.2370555648813024E-14</v>
      </c>
    </row>
    <row r="1908" spans="11:12" x14ac:dyDescent="0.4">
      <c r="K1908" s="17">
        <v>1906</v>
      </c>
      <c r="L1908" s="70">
        <v>10.700000000000092</v>
      </c>
    </row>
    <row r="1909" spans="11:12" x14ac:dyDescent="0.4">
      <c r="K1909" s="17">
        <v>1907</v>
      </c>
      <c r="L1909" s="70">
        <v>-46.999999999999915</v>
      </c>
    </row>
    <row r="1910" spans="11:12" x14ac:dyDescent="0.4">
      <c r="K1910" s="17">
        <v>1908</v>
      </c>
      <c r="L1910" s="70">
        <v>8.7041485130612273E-14</v>
      </c>
    </row>
    <row r="1911" spans="11:12" x14ac:dyDescent="0.4">
      <c r="K1911" s="17">
        <v>1909</v>
      </c>
      <c r="L1911" s="70">
        <v>35.700000000000088</v>
      </c>
    </row>
    <row r="1912" spans="11:12" x14ac:dyDescent="0.4">
      <c r="K1912" s="17">
        <v>1910</v>
      </c>
      <c r="L1912" s="70">
        <v>-1.0999999999999073</v>
      </c>
    </row>
    <row r="1913" spans="11:12" x14ac:dyDescent="0.4">
      <c r="K1913" s="17">
        <v>1911</v>
      </c>
      <c r="L1913" s="70">
        <v>9.2814644858663087E-14</v>
      </c>
    </row>
    <row r="1914" spans="11:12" x14ac:dyDescent="0.4">
      <c r="K1914" s="17">
        <v>1912</v>
      </c>
      <c r="L1914" s="70">
        <v>27.200000000000095</v>
      </c>
    </row>
    <row r="1915" spans="11:12" x14ac:dyDescent="0.4">
      <c r="K1915" s="17">
        <v>1913</v>
      </c>
      <c r="L1915" s="70">
        <v>25.300000000000097</v>
      </c>
    </row>
    <row r="1916" spans="11:12" x14ac:dyDescent="0.4">
      <c r="K1916" s="17">
        <v>1914</v>
      </c>
      <c r="L1916" s="70">
        <v>9.4146912488213275E-14</v>
      </c>
    </row>
    <row r="1917" spans="11:12" x14ac:dyDescent="0.4">
      <c r="K1917" s="17">
        <v>1915</v>
      </c>
      <c r="L1917" s="70">
        <v>15.800000000000095</v>
      </c>
    </row>
    <row r="1918" spans="11:12" x14ac:dyDescent="0.4">
      <c r="K1918" s="17">
        <v>1916</v>
      </c>
      <c r="L1918" s="70">
        <v>56.000000000000099</v>
      </c>
    </row>
    <row r="1919" spans="11:12" x14ac:dyDescent="0.4">
      <c r="K1919" s="17">
        <v>1917</v>
      </c>
      <c r="L1919" s="70">
        <v>1.0125233984581428E-13</v>
      </c>
    </row>
    <row r="1920" spans="11:12" x14ac:dyDescent="0.4">
      <c r="K1920" s="17">
        <v>1918</v>
      </c>
      <c r="L1920" s="70">
        <v>25.200000000000102</v>
      </c>
    </row>
    <row r="1921" spans="11:12" x14ac:dyDescent="0.4">
      <c r="K1921" s="17">
        <v>1919</v>
      </c>
      <c r="L1921" s="70">
        <v>-3.5999999999999002</v>
      </c>
    </row>
    <row r="1922" spans="11:12" x14ac:dyDescent="0.4">
      <c r="K1922" s="17">
        <v>1920</v>
      </c>
      <c r="L1922" s="70">
        <v>9.9920072216264089E-14</v>
      </c>
    </row>
    <row r="1923" spans="11:12" x14ac:dyDescent="0.4">
      <c r="K1923" s="17">
        <v>1921</v>
      </c>
      <c r="L1923" s="70">
        <v>-9.2999999999999012</v>
      </c>
    </row>
    <row r="1924" spans="11:12" x14ac:dyDescent="0.4">
      <c r="K1924" s="17">
        <v>1922</v>
      </c>
      <c r="L1924" s="70">
        <v>51.900000000000098</v>
      </c>
    </row>
    <row r="1925" spans="11:12" x14ac:dyDescent="0.4">
      <c r="K1925" s="17">
        <v>1923</v>
      </c>
      <c r="L1925" s="70">
        <v>1.0125233984581428E-13</v>
      </c>
    </row>
    <row r="1926" spans="11:12" x14ac:dyDescent="0.4">
      <c r="K1926" s="17">
        <v>1924</v>
      </c>
      <c r="L1926" s="70">
        <v>3.2000000000001014</v>
      </c>
    </row>
    <row r="1927" spans="11:12" x14ac:dyDescent="0.4">
      <c r="K1927" s="17">
        <v>1925</v>
      </c>
      <c r="L1927" s="70">
        <v>-27.599999999999902</v>
      </c>
    </row>
    <row r="1928" spans="11:12" x14ac:dyDescent="0.4">
      <c r="K1928" s="17">
        <v>1926</v>
      </c>
      <c r="L1928" s="70">
        <v>1.0125233984581428E-13</v>
      </c>
    </row>
    <row r="1929" spans="11:12" x14ac:dyDescent="0.4">
      <c r="K1929" s="17">
        <v>1927</v>
      </c>
      <c r="L1929" s="70">
        <v>-2.7999999999998986</v>
      </c>
    </row>
    <row r="1930" spans="11:12" x14ac:dyDescent="0.4">
      <c r="K1930" s="17">
        <v>1928</v>
      </c>
      <c r="L1930" s="70">
        <v>38.700000000000102</v>
      </c>
    </row>
    <row r="1931" spans="11:12" x14ac:dyDescent="0.4">
      <c r="K1931" s="17">
        <v>1929</v>
      </c>
      <c r="L1931" s="70">
        <v>1.0125233984581428E-13</v>
      </c>
    </row>
    <row r="1932" spans="11:12" x14ac:dyDescent="0.4">
      <c r="K1932" s="17">
        <v>1930</v>
      </c>
      <c r="L1932" s="70">
        <v>-4.5999999999998984</v>
      </c>
    </row>
    <row r="1933" spans="11:12" x14ac:dyDescent="0.4">
      <c r="K1933" s="17">
        <v>1931</v>
      </c>
      <c r="L1933" s="70">
        <v>45.600000000000101</v>
      </c>
    </row>
    <row r="1934" spans="11:12" x14ac:dyDescent="0.4">
      <c r="K1934" s="17">
        <v>1932</v>
      </c>
      <c r="L1934" s="70">
        <v>1.0125233984581428E-13</v>
      </c>
    </row>
    <row r="1935" spans="11:12" x14ac:dyDescent="0.4">
      <c r="K1935" s="17">
        <v>1933</v>
      </c>
      <c r="L1935" s="70">
        <v>24.500000000000099</v>
      </c>
    </row>
    <row r="1936" spans="11:12" x14ac:dyDescent="0.4">
      <c r="K1936" s="17">
        <v>1934</v>
      </c>
      <c r="L1936" s="70">
        <v>-11.299999999999896</v>
      </c>
    </row>
    <row r="1937" spans="11:12" x14ac:dyDescent="0.4">
      <c r="K1937" s="17">
        <v>1935</v>
      </c>
      <c r="L1937" s="70">
        <v>1.0480505352461478E-13</v>
      </c>
    </row>
    <row r="1938" spans="11:12" x14ac:dyDescent="0.4">
      <c r="K1938" s="17">
        <v>1936</v>
      </c>
      <c r="L1938" s="70">
        <v>-37.799999999999898</v>
      </c>
    </row>
    <row r="1939" spans="11:12" x14ac:dyDescent="0.4">
      <c r="K1939" s="17">
        <v>1937</v>
      </c>
      <c r="L1939" s="70">
        <v>-46.899999999999899</v>
      </c>
    </row>
    <row r="1940" spans="11:12" x14ac:dyDescent="0.4">
      <c r="K1940" s="17">
        <v>1938</v>
      </c>
      <c r="L1940" s="70">
        <v>1.0125233984581428E-13</v>
      </c>
    </row>
    <row r="1941" spans="11:12" x14ac:dyDescent="0.4">
      <c r="K1941" s="17">
        <v>1939</v>
      </c>
      <c r="L1941" s="70">
        <v>-11.999999999999899</v>
      </c>
    </row>
    <row r="1942" spans="11:12" x14ac:dyDescent="0.4">
      <c r="K1942" s="17">
        <v>1940</v>
      </c>
      <c r="L1942" s="70">
        <v>58.200000000000102</v>
      </c>
    </row>
    <row r="1943" spans="11:12" x14ac:dyDescent="0.4">
      <c r="K1943" s="17">
        <v>1941</v>
      </c>
      <c r="L1943" s="70">
        <v>1.0125233984581428E-13</v>
      </c>
    </row>
    <row r="1944" spans="11:12" x14ac:dyDescent="0.4">
      <c r="K1944" s="17">
        <v>1942</v>
      </c>
      <c r="L1944" s="70">
        <v>-1.6999999999998987</v>
      </c>
    </row>
    <row r="1945" spans="11:12" x14ac:dyDescent="0.4">
      <c r="K1945" s="17">
        <v>1943</v>
      </c>
      <c r="L1945" s="70">
        <v>24.300000000000104</v>
      </c>
    </row>
    <row r="1946" spans="11:12" x14ac:dyDescent="0.4">
      <c r="K1946" s="17">
        <v>1944</v>
      </c>
      <c r="L1946" s="70">
        <v>1.0125233984581428E-13</v>
      </c>
    </row>
    <row r="1947" spans="11:12" x14ac:dyDescent="0.4">
      <c r="K1947" s="17">
        <v>1945</v>
      </c>
      <c r="L1947" s="70">
        <v>-28.199999999999896</v>
      </c>
    </row>
    <row r="1948" spans="11:12" x14ac:dyDescent="0.4">
      <c r="K1948" s="17">
        <v>1946</v>
      </c>
      <c r="L1948" s="70">
        <v>-20.499999999999901</v>
      </c>
    </row>
    <row r="1949" spans="11:12" x14ac:dyDescent="0.4">
      <c r="K1949" s="17">
        <v>1947</v>
      </c>
      <c r="L1949" s="70">
        <v>1.0125233984581428E-13</v>
      </c>
    </row>
    <row r="1950" spans="11:12" x14ac:dyDescent="0.4">
      <c r="K1950" s="17">
        <v>1948</v>
      </c>
      <c r="L1950" s="70">
        <v>-22.399999999999899</v>
      </c>
    </row>
    <row r="1951" spans="11:12" x14ac:dyDescent="0.4">
      <c r="K1951" s="17">
        <v>1949</v>
      </c>
      <c r="L1951" s="70">
        <v>-61.199999999999896</v>
      </c>
    </row>
    <row r="1952" spans="11:12" x14ac:dyDescent="0.4">
      <c r="K1952" s="17">
        <v>1950</v>
      </c>
      <c r="L1952" s="70">
        <v>1.0835776720341528E-13</v>
      </c>
    </row>
    <row r="1953" spans="11:12" x14ac:dyDescent="0.4">
      <c r="K1953" s="17">
        <v>1951</v>
      </c>
      <c r="L1953" s="70">
        <v>-25.099999999999895</v>
      </c>
    </row>
    <row r="1954" spans="11:12" x14ac:dyDescent="0.4">
      <c r="K1954" s="17">
        <v>1952</v>
      </c>
      <c r="L1954" s="70">
        <v>-26.799999999999891</v>
      </c>
    </row>
    <row r="1955" spans="11:12" x14ac:dyDescent="0.4">
      <c r="K1955" s="17">
        <v>1953</v>
      </c>
      <c r="L1955" s="70">
        <v>1.0835776720341528E-13</v>
      </c>
    </row>
    <row r="1956" spans="11:12" x14ac:dyDescent="0.4">
      <c r="K1956" s="17">
        <v>1954</v>
      </c>
      <c r="L1956" s="70">
        <v>15.000000000000108</v>
      </c>
    </row>
    <row r="1957" spans="11:12" x14ac:dyDescent="0.4">
      <c r="K1957" s="17">
        <v>1955</v>
      </c>
      <c r="L1957" s="70">
        <v>0.600000000000108</v>
      </c>
    </row>
    <row r="1958" spans="11:12" x14ac:dyDescent="0.4">
      <c r="K1958" s="17">
        <v>1956</v>
      </c>
      <c r="L1958" s="70">
        <v>1.0802470029602773E-13</v>
      </c>
    </row>
    <row r="1959" spans="11:12" x14ac:dyDescent="0.4">
      <c r="K1959" s="17">
        <v>1957</v>
      </c>
      <c r="L1959" s="70">
        <v>-30.199999999999889</v>
      </c>
    </row>
    <row r="1960" spans="11:12" x14ac:dyDescent="0.4">
      <c r="K1960" s="17">
        <v>1958</v>
      </c>
      <c r="L1960" s="70">
        <v>-2.3999999999998902</v>
      </c>
    </row>
    <row r="1961" spans="11:12" x14ac:dyDescent="0.4">
      <c r="K1961" s="17">
        <v>1959</v>
      </c>
      <c r="L1961" s="70">
        <v>1.0969003483296547E-13</v>
      </c>
    </row>
    <row r="1962" spans="11:12" x14ac:dyDescent="0.4">
      <c r="K1962" s="17">
        <v>1960</v>
      </c>
      <c r="L1962" s="70">
        <v>12.50000000000011</v>
      </c>
    </row>
    <row r="1963" spans="11:12" x14ac:dyDescent="0.4">
      <c r="K1963" s="17">
        <v>1961</v>
      </c>
      <c r="L1963" s="70">
        <v>47.300000000000104</v>
      </c>
    </row>
    <row r="1964" spans="11:12" x14ac:dyDescent="0.4">
      <c r="K1964" s="17">
        <v>1962</v>
      </c>
      <c r="L1964" s="70">
        <v>1.0835776720341528E-13</v>
      </c>
    </row>
    <row r="1965" spans="11:12" x14ac:dyDescent="0.4">
      <c r="K1965" s="17">
        <v>1963</v>
      </c>
      <c r="L1965" s="70">
        <v>-5.899999999999892</v>
      </c>
    </row>
    <row r="1966" spans="11:12" x14ac:dyDescent="0.4">
      <c r="K1966" s="17">
        <v>1964</v>
      </c>
      <c r="L1966" s="70">
        <v>26.900000000000105</v>
      </c>
    </row>
    <row r="1967" spans="11:12" x14ac:dyDescent="0.4">
      <c r="K1967" s="17">
        <v>1965</v>
      </c>
      <c r="L1967" s="70">
        <v>1.0835776720341528E-13</v>
      </c>
    </row>
    <row r="1968" spans="11:12" x14ac:dyDescent="0.4">
      <c r="K1968" s="17">
        <v>1966</v>
      </c>
      <c r="L1968" s="70">
        <v>17.400000000000105</v>
      </c>
    </row>
    <row r="1969" spans="11:12" x14ac:dyDescent="0.4">
      <c r="K1969" s="17">
        <v>1967</v>
      </c>
      <c r="L1969" s="70">
        <v>-5.2999999999998924</v>
      </c>
    </row>
    <row r="1970" spans="11:12" x14ac:dyDescent="0.4">
      <c r="K1970" s="17">
        <v>1968</v>
      </c>
      <c r="L1970" s="70">
        <v>1.0746958878371515E-13</v>
      </c>
    </row>
    <row r="1971" spans="11:12" x14ac:dyDescent="0.4">
      <c r="K1971" s="17">
        <v>1969</v>
      </c>
      <c r="L1971" s="70">
        <v>10.300000000000109</v>
      </c>
    </row>
    <row r="1972" spans="11:12" x14ac:dyDescent="0.4">
      <c r="K1972" s="17">
        <v>1970</v>
      </c>
      <c r="L1972" s="70">
        <v>-26.999999999999886</v>
      </c>
    </row>
    <row r="1973" spans="11:12" x14ac:dyDescent="0.4">
      <c r="K1973" s="17">
        <v>1971</v>
      </c>
      <c r="L1973" s="70">
        <v>1.1191048088221578E-13</v>
      </c>
    </row>
    <row r="1974" spans="11:12" x14ac:dyDescent="0.4">
      <c r="K1974" s="17">
        <v>1972</v>
      </c>
      <c r="L1974" s="70">
        <v>-20.899999999999885</v>
      </c>
    </row>
    <row r="1975" spans="11:12" x14ac:dyDescent="0.4">
      <c r="K1975" s="17">
        <v>1973</v>
      </c>
      <c r="L1975" s="70">
        <v>0.30000000000011262</v>
      </c>
    </row>
    <row r="1976" spans="11:12" x14ac:dyDescent="0.4">
      <c r="K1976" s="17">
        <v>1974</v>
      </c>
      <c r="L1976" s="70">
        <v>1.1263212584822213E-13</v>
      </c>
    </row>
    <row r="1977" spans="11:12" x14ac:dyDescent="0.4">
      <c r="K1977" s="17">
        <v>1975</v>
      </c>
      <c r="L1977" s="70">
        <v>2.200000000000113</v>
      </c>
    </row>
    <row r="1978" spans="11:12" x14ac:dyDescent="0.4">
      <c r="K1978" s="17">
        <v>1976</v>
      </c>
      <c r="L1978" s="70">
        <v>-21.499999999999886</v>
      </c>
    </row>
    <row r="1979" spans="11:12" x14ac:dyDescent="0.4">
      <c r="K1979" s="17">
        <v>1977</v>
      </c>
      <c r="L1979" s="70">
        <v>1.1546319456101628E-13</v>
      </c>
    </row>
    <row r="1980" spans="11:12" x14ac:dyDescent="0.4">
      <c r="K1980" s="17">
        <v>1978</v>
      </c>
      <c r="L1980" s="70">
        <v>-51.599999999999888</v>
      </c>
    </row>
    <row r="1981" spans="11:12" x14ac:dyDescent="0.4">
      <c r="K1981" s="17">
        <v>1979</v>
      </c>
      <c r="L1981" s="70">
        <v>-33.699999999999889</v>
      </c>
    </row>
    <row r="1982" spans="11:12" x14ac:dyDescent="0.4">
      <c r="K1982" s="17">
        <v>1980</v>
      </c>
      <c r="L1982" s="70">
        <v>1.1546319456101628E-13</v>
      </c>
    </row>
    <row r="1983" spans="11:12" x14ac:dyDescent="0.4">
      <c r="K1983" s="17">
        <v>1981</v>
      </c>
      <c r="L1983" s="70">
        <v>-5.8999999999998849</v>
      </c>
    </row>
    <row r="1984" spans="11:12" x14ac:dyDescent="0.4">
      <c r="K1984" s="17">
        <v>1982</v>
      </c>
      <c r="L1984" s="70">
        <v>-29.399999999999885</v>
      </c>
    </row>
    <row r="1985" spans="11:12" x14ac:dyDescent="0.4">
      <c r="K1985" s="17">
        <v>1983</v>
      </c>
      <c r="L1985" s="70">
        <v>1.1546319456101628E-13</v>
      </c>
    </row>
    <row r="1986" spans="11:12" x14ac:dyDescent="0.4">
      <c r="K1986" s="17">
        <v>1984</v>
      </c>
      <c r="L1986" s="70">
        <v>-42.999999999999886</v>
      </c>
    </row>
    <row r="1987" spans="11:12" x14ac:dyDescent="0.4">
      <c r="K1987" s="17">
        <v>1985</v>
      </c>
      <c r="L1987" s="70">
        <v>-54.199999999999889</v>
      </c>
    </row>
    <row r="1988" spans="11:12" x14ac:dyDescent="0.4">
      <c r="K1988" s="17">
        <v>1986</v>
      </c>
      <c r="L1988" s="70">
        <v>1.1546319456101628E-13</v>
      </c>
    </row>
    <row r="1989" spans="11:12" x14ac:dyDescent="0.4">
      <c r="K1989" s="17">
        <v>1987</v>
      </c>
      <c r="L1989" s="70">
        <v>7.6000000000001151</v>
      </c>
    </row>
    <row r="1990" spans="11:12" x14ac:dyDescent="0.4">
      <c r="K1990" s="17">
        <v>1988</v>
      </c>
      <c r="L1990" s="70">
        <v>-35.399999999999885</v>
      </c>
    </row>
    <row r="1991" spans="11:12" x14ac:dyDescent="0.4">
      <c r="K1991" s="17">
        <v>1989</v>
      </c>
      <c r="L1991" s="70">
        <v>1.1546319456101628E-13</v>
      </c>
    </row>
    <row r="1992" spans="11:12" x14ac:dyDescent="0.4">
      <c r="K1992" s="17">
        <v>1990</v>
      </c>
      <c r="L1992" s="70">
        <v>66.800000000000111</v>
      </c>
    </row>
    <row r="1993" spans="11:12" x14ac:dyDescent="0.4">
      <c r="K1993" s="17">
        <v>1991</v>
      </c>
      <c r="L1993" s="70">
        <v>6.7000000000001112</v>
      </c>
    </row>
    <row r="1994" spans="11:12" x14ac:dyDescent="0.4">
      <c r="K1994" s="17">
        <v>1992</v>
      </c>
      <c r="L1994" s="70">
        <v>1.1102230246251565E-13</v>
      </c>
    </row>
    <row r="1995" spans="11:12" x14ac:dyDescent="0.4">
      <c r="K1995" s="17">
        <v>1993</v>
      </c>
      <c r="L1995" s="70">
        <v>-49.499999999999893</v>
      </c>
    </row>
    <row r="1996" spans="11:12" x14ac:dyDescent="0.4">
      <c r="K1996" s="17">
        <v>1994</v>
      </c>
      <c r="L1996" s="70">
        <v>-30.799999999999891</v>
      </c>
    </row>
    <row r="1997" spans="11:12" x14ac:dyDescent="0.4">
      <c r="K1997" s="17">
        <v>1995</v>
      </c>
      <c r="L1997" s="70">
        <v>1.0835776720341528E-13</v>
      </c>
    </row>
    <row r="1998" spans="11:12" x14ac:dyDescent="0.4">
      <c r="K1998" s="17">
        <v>1996</v>
      </c>
      <c r="L1998" s="70">
        <v>66.400000000000105</v>
      </c>
    </row>
    <row r="1999" spans="11:12" x14ac:dyDescent="0.4">
      <c r="K1999" s="17">
        <v>1997</v>
      </c>
      <c r="L1999" s="70">
        <v>17.700000000000102</v>
      </c>
    </row>
    <row r="2000" spans="11:12" x14ac:dyDescent="0.4">
      <c r="K2000" s="17">
        <v>1998</v>
      </c>
      <c r="L2000" s="70">
        <v>1.0480505352461478E-13</v>
      </c>
    </row>
    <row r="2001" spans="11:12" x14ac:dyDescent="0.4">
      <c r="K2001" s="17">
        <v>1999</v>
      </c>
      <c r="L2001" s="70">
        <v>17.700000000000102</v>
      </c>
    </row>
    <row r="2002" spans="11:12" x14ac:dyDescent="0.4">
      <c r="K2002" s="17">
        <v>2000</v>
      </c>
      <c r="L2002" s="70">
        <v>-28.799999999999898</v>
      </c>
    </row>
    <row r="2003" spans="11:12" x14ac:dyDescent="0.4">
      <c r="K2003" s="17">
        <v>2001</v>
      </c>
      <c r="L2003" s="70">
        <v>1.0480505352461478E-13</v>
      </c>
    </row>
    <row r="2004" spans="11:12" x14ac:dyDescent="0.4">
      <c r="K2004" s="17">
        <v>2002</v>
      </c>
      <c r="L2004" s="70">
        <v>7.5000000000001048</v>
      </c>
    </row>
    <row r="2005" spans="11:12" x14ac:dyDescent="0.4">
      <c r="K2005" s="17">
        <v>2003</v>
      </c>
      <c r="L2005" s="70">
        <v>28.600000000000108</v>
      </c>
    </row>
    <row r="2006" spans="11:12" x14ac:dyDescent="0.4">
      <c r="K2006" s="17">
        <v>2004</v>
      </c>
      <c r="L2006" s="70">
        <v>1.0480505352461478E-13</v>
      </c>
    </row>
    <row r="2007" spans="11:12" x14ac:dyDescent="0.4">
      <c r="K2007" s="17">
        <v>2005</v>
      </c>
      <c r="L2007" s="70">
        <v>39.500000000000099</v>
      </c>
    </row>
    <row r="2008" spans="11:12" x14ac:dyDescent="0.4">
      <c r="K2008" s="17">
        <v>2006</v>
      </c>
      <c r="L2008" s="70">
        <v>-6.9999999999998987</v>
      </c>
    </row>
    <row r="2009" spans="11:12" x14ac:dyDescent="0.4">
      <c r="K2009" s="17">
        <v>2007</v>
      </c>
      <c r="L2009" s="70">
        <v>1.0125233984581428E-13</v>
      </c>
    </row>
    <row r="2010" spans="11:12" x14ac:dyDescent="0.4">
      <c r="K2010" s="17">
        <v>2008</v>
      </c>
      <c r="L2010" s="70">
        <v>-45.099999999999902</v>
      </c>
    </row>
    <row r="2011" spans="11:12" x14ac:dyDescent="0.4">
      <c r="K2011" s="17">
        <v>2009</v>
      </c>
      <c r="L2011" s="70">
        <v>-39.199999999999903</v>
      </c>
    </row>
    <row r="2012" spans="11:12" x14ac:dyDescent="0.4">
      <c r="K2012" s="17">
        <v>2010</v>
      </c>
      <c r="L2012" s="70">
        <v>1.0125233984581428E-13</v>
      </c>
    </row>
    <row r="2013" spans="11:12" x14ac:dyDescent="0.4">
      <c r="K2013" s="17">
        <v>2011</v>
      </c>
      <c r="L2013" s="70">
        <v>17.700000000000102</v>
      </c>
    </row>
    <row r="2014" spans="11:12" x14ac:dyDescent="0.4">
      <c r="K2014" s="17">
        <v>2012</v>
      </c>
      <c r="L2014" s="70">
        <v>-28.799999999999898</v>
      </c>
    </row>
    <row r="2015" spans="11:12" x14ac:dyDescent="0.4">
      <c r="K2015" s="17">
        <v>2013</v>
      </c>
      <c r="L2015" s="70">
        <v>1.0125233984581428E-13</v>
      </c>
    </row>
    <row r="2016" spans="11:12" x14ac:dyDescent="0.4">
      <c r="K2016" s="17">
        <v>2014</v>
      </c>
      <c r="L2016" s="70">
        <v>42.900000000000098</v>
      </c>
    </row>
    <row r="2017" spans="11:12" x14ac:dyDescent="0.4">
      <c r="K2017" s="17">
        <v>2015</v>
      </c>
      <c r="L2017" s="70">
        <v>-0.79999999999990301</v>
      </c>
    </row>
    <row r="2018" spans="11:12" x14ac:dyDescent="0.4">
      <c r="K2018" s="17">
        <v>2016</v>
      </c>
      <c r="L2018" s="70">
        <v>9.7033492352238682E-14</v>
      </c>
    </row>
    <row r="2019" spans="11:12" x14ac:dyDescent="0.4">
      <c r="K2019" s="17">
        <v>2017</v>
      </c>
      <c r="L2019" s="70">
        <v>-57.999999999999908</v>
      </c>
    </row>
    <row r="2020" spans="11:12" x14ac:dyDescent="0.4">
      <c r="K2020" s="17">
        <v>2018</v>
      </c>
      <c r="L2020" s="70">
        <v>9.4146912488213275E-14</v>
      </c>
    </row>
    <row r="2021" spans="11:12" x14ac:dyDescent="0.4">
      <c r="K2021" s="17">
        <v>2019</v>
      </c>
      <c r="L2021" s="70">
        <v>9.4146912488213275E-14</v>
      </c>
    </row>
    <row r="2022" spans="11:12" x14ac:dyDescent="0.4">
      <c r="K2022" s="17">
        <v>2020</v>
      </c>
      <c r="L2022" s="70">
        <v>-26.399999999999906</v>
      </c>
    </row>
    <row r="2023" spans="11:12" x14ac:dyDescent="0.4">
      <c r="K2023" s="17">
        <v>2021</v>
      </c>
      <c r="L2023" s="70">
        <v>-26.899999999999906</v>
      </c>
    </row>
    <row r="2024" spans="11:12" x14ac:dyDescent="0.4">
      <c r="K2024" s="17">
        <v>2022</v>
      </c>
      <c r="L2024" s="70">
        <v>9.4146912488213275E-14</v>
      </c>
    </row>
    <row r="2025" spans="11:12" x14ac:dyDescent="0.4">
      <c r="K2025" s="17">
        <v>2023</v>
      </c>
      <c r="L2025" s="70">
        <v>-34.899999999999906</v>
      </c>
    </row>
    <row r="2026" spans="11:12" x14ac:dyDescent="0.4">
      <c r="K2026" s="17">
        <v>2024</v>
      </c>
      <c r="L2026" s="70">
        <v>-8.0999999999999037</v>
      </c>
    </row>
    <row r="2027" spans="11:12" x14ac:dyDescent="0.4">
      <c r="K2027" s="17">
        <v>2025</v>
      </c>
      <c r="L2027" s="70">
        <v>9.5923269327613525E-14</v>
      </c>
    </row>
    <row r="2028" spans="11:12" x14ac:dyDescent="0.4">
      <c r="K2028" s="17">
        <v>2026</v>
      </c>
      <c r="L2028" s="70">
        <v>34.30000000000009</v>
      </c>
    </row>
    <row r="2029" spans="11:12" x14ac:dyDescent="0.4">
      <c r="K2029" s="17">
        <v>2027</v>
      </c>
      <c r="L2029" s="70">
        <v>31.500000000000092</v>
      </c>
    </row>
    <row r="2030" spans="11:12" x14ac:dyDescent="0.4">
      <c r="K2030" s="17">
        <v>2028</v>
      </c>
      <c r="L2030" s="70">
        <v>9.0594198809412774E-14</v>
      </c>
    </row>
    <row r="2031" spans="11:12" x14ac:dyDescent="0.4">
      <c r="K2031" s="17">
        <v>2029</v>
      </c>
      <c r="L2031" s="70">
        <v>34.500000000000085</v>
      </c>
    </row>
    <row r="2032" spans="11:12" x14ac:dyDescent="0.4">
      <c r="K2032" s="17">
        <v>2030</v>
      </c>
      <c r="L2032" s="70">
        <v>46.900000000000084</v>
      </c>
    </row>
    <row r="2033" spans="11:12" x14ac:dyDescent="0.4">
      <c r="K2033" s="17">
        <v>2031</v>
      </c>
      <c r="L2033" s="70">
        <v>8.7041485130612273E-14</v>
      </c>
    </row>
    <row r="2034" spans="11:12" x14ac:dyDescent="0.4">
      <c r="K2034" s="17">
        <v>2032</v>
      </c>
      <c r="L2034" s="70">
        <v>-49.399999999999913</v>
      </c>
    </row>
    <row r="2035" spans="11:12" x14ac:dyDescent="0.4">
      <c r="K2035" s="17">
        <v>2033</v>
      </c>
      <c r="L2035" s="70">
        <v>-17.999999999999915</v>
      </c>
    </row>
    <row r="2036" spans="11:12" x14ac:dyDescent="0.4">
      <c r="K2036" s="17">
        <v>2034</v>
      </c>
      <c r="L2036" s="70">
        <v>8.7041485130612273E-14</v>
      </c>
    </row>
    <row r="2037" spans="11:12" x14ac:dyDescent="0.4">
      <c r="K2037" s="17">
        <v>2035</v>
      </c>
      <c r="L2037" s="70">
        <v>-10.799999999999914</v>
      </c>
    </row>
    <row r="2038" spans="11:12" x14ac:dyDescent="0.4">
      <c r="K2038" s="17">
        <v>2036</v>
      </c>
      <c r="L2038" s="70">
        <v>-56.89999999999992</v>
      </c>
    </row>
    <row r="2039" spans="11:12" x14ac:dyDescent="0.4">
      <c r="K2039" s="17">
        <v>2037</v>
      </c>
      <c r="L2039" s="70">
        <v>7.9936057773011271E-14</v>
      </c>
    </row>
    <row r="2040" spans="11:12" x14ac:dyDescent="0.4">
      <c r="K2040" s="17">
        <v>2038</v>
      </c>
      <c r="L2040" s="70">
        <v>7.7000000000000801</v>
      </c>
    </row>
    <row r="2041" spans="11:12" x14ac:dyDescent="0.4">
      <c r="K2041" s="17">
        <v>2039</v>
      </c>
      <c r="L2041" s="70">
        <v>-22.699999999999918</v>
      </c>
    </row>
    <row r="2042" spans="11:12" x14ac:dyDescent="0.4">
      <c r="K2042" s="17">
        <v>2040</v>
      </c>
      <c r="L2042" s="70">
        <v>7.9936057773011271E-14</v>
      </c>
    </row>
    <row r="2043" spans="11:12" x14ac:dyDescent="0.4">
      <c r="K2043" s="17">
        <v>2041</v>
      </c>
      <c r="L2043" s="70">
        <v>2.5000000000000799</v>
      </c>
    </row>
    <row r="2044" spans="11:12" x14ac:dyDescent="0.4">
      <c r="K2044" s="17">
        <v>2042</v>
      </c>
      <c r="L2044" s="70">
        <v>24.000000000000078</v>
      </c>
    </row>
    <row r="2045" spans="11:12" x14ac:dyDescent="0.4">
      <c r="K2045" s="17">
        <v>2043</v>
      </c>
      <c r="L2045" s="70">
        <v>7.9936057773011271E-14</v>
      </c>
    </row>
    <row r="2046" spans="11:12" x14ac:dyDescent="0.4">
      <c r="K2046" s="17">
        <v>2044</v>
      </c>
      <c r="L2046" s="70">
        <v>33.10000000000008</v>
      </c>
    </row>
    <row r="2047" spans="11:12" x14ac:dyDescent="0.4">
      <c r="K2047" s="17">
        <v>2045</v>
      </c>
      <c r="L2047" s="70">
        <v>6.7000000000000828</v>
      </c>
    </row>
    <row r="2048" spans="11:12" x14ac:dyDescent="0.4">
      <c r="K2048" s="17">
        <v>2046</v>
      </c>
      <c r="L2048" s="70">
        <v>8.2600593032111647E-14</v>
      </c>
    </row>
    <row r="2049" spans="11:12" x14ac:dyDescent="0.4">
      <c r="K2049" s="17">
        <v>2047</v>
      </c>
      <c r="L2049" s="70">
        <v>-44.199999999999925</v>
      </c>
    </row>
    <row r="2050" spans="11:12" x14ac:dyDescent="0.4">
      <c r="K2050" s="17">
        <v>2048</v>
      </c>
      <c r="L2050" s="70">
        <v>-30.799999999999926</v>
      </c>
    </row>
    <row r="2051" spans="11:12" x14ac:dyDescent="0.4">
      <c r="K2051" s="17">
        <v>2049</v>
      </c>
      <c r="L2051" s="70">
        <v>7.638334409421077E-14</v>
      </c>
    </row>
    <row r="2052" spans="11:12" x14ac:dyDescent="0.4">
      <c r="K2052" s="17">
        <v>2050</v>
      </c>
      <c r="L2052" s="70">
        <v>-55.799999999999926</v>
      </c>
    </row>
    <row r="2053" spans="11:12" x14ac:dyDescent="0.4">
      <c r="K2053" s="17">
        <v>2051</v>
      </c>
      <c r="L2053" s="70">
        <v>-50.499999999999929</v>
      </c>
    </row>
    <row r="2054" spans="11:12" x14ac:dyDescent="0.4">
      <c r="K2054" s="17">
        <v>2052</v>
      </c>
      <c r="L2054" s="70">
        <v>7.2830630415410269E-14</v>
      </c>
    </row>
    <row r="2055" spans="11:12" x14ac:dyDescent="0.4">
      <c r="K2055" s="17">
        <v>2053</v>
      </c>
      <c r="L2055" s="70">
        <v>31.700000000000074</v>
      </c>
    </row>
    <row r="2056" spans="11:12" x14ac:dyDescent="0.4">
      <c r="K2056" s="17">
        <v>2054</v>
      </c>
      <c r="L2056" s="70">
        <v>-8.599999999999925</v>
      </c>
    </row>
    <row r="2057" spans="11:12" x14ac:dyDescent="0.4">
      <c r="K2057" s="17">
        <v>2055</v>
      </c>
      <c r="L2057" s="70">
        <v>7.460698725481052E-14</v>
      </c>
    </row>
    <row r="2058" spans="11:12" x14ac:dyDescent="0.4">
      <c r="K2058" s="17">
        <v>2056</v>
      </c>
      <c r="L2058" s="70">
        <v>-3.3999999999999253</v>
      </c>
    </row>
    <row r="2059" spans="11:12" x14ac:dyDescent="0.4">
      <c r="K2059" s="17">
        <v>2057</v>
      </c>
      <c r="L2059" s="70">
        <v>-24.699999999999925</v>
      </c>
    </row>
    <row r="2060" spans="11:12" x14ac:dyDescent="0.4">
      <c r="K2060" s="17">
        <v>2058</v>
      </c>
      <c r="L2060" s="70">
        <v>7.2830630415410269E-14</v>
      </c>
    </row>
    <row r="2061" spans="11:12" x14ac:dyDescent="0.4">
      <c r="K2061" s="17">
        <v>2059</v>
      </c>
      <c r="L2061" s="70">
        <v>-16.699999999999925</v>
      </c>
    </row>
    <row r="2062" spans="11:12" x14ac:dyDescent="0.4">
      <c r="K2062" s="17">
        <v>2060</v>
      </c>
      <c r="L2062" s="70">
        <v>-15.099999999999927</v>
      </c>
    </row>
    <row r="2063" spans="11:12" x14ac:dyDescent="0.4">
      <c r="K2063" s="17">
        <v>2061</v>
      </c>
      <c r="L2063" s="70">
        <v>7.2830630415410269E-14</v>
      </c>
    </row>
    <row r="2064" spans="11:12" x14ac:dyDescent="0.4">
      <c r="K2064" s="17">
        <v>2062</v>
      </c>
      <c r="L2064" s="70">
        <v>-2.799999999999927</v>
      </c>
    </row>
    <row r="2065" spans="11:12" x14ac:dyDescent="0.4">
      <c r="K2065" s="17">
        <v>2063</v>
      </c>
      <c r="L2065" s="70">
        <v>14.100000000000071</v>
      </c>
    </row>
    <row r="2066" spans="11:12" x14ac:dyDescent="0.4">
      <c r="K2066" s="17">
        <v>2064</v>
      </c>
      <c r="L2066" s="70">
        <v>7.1054273576010019E-14</v>
      </c>
    </row>
    <row r="2067" spans="11:12" x14ac:dyDescent="0.4">
      <c r="K2067" s="17">
        <v>2065</v>
      </c>
      <c r="L2067" s="70">
        <v>-43.799999999999926</v>
      </c>
    </row>
    <row r="2068" spans="11:12" x14ac:dyDescent="0.4">
      <c r="K2068" s="17">
        <v>2066</v>
      </c>
      <c r="L2068" s="70">
        <v>6.2000000000000757</v>
      </c>
    </row>
    <row r="2069" spans="11:12" x14ac:dyDescent="0.4">
      <c r="K2069" s="17">
        <v>2067</v>
      </c>
      <c r="L2069" s="70">
        <v>7.5495165674510645E-14</v>
      </c>
    </row>
    <row r="2070" spans="11:12" x14ac:dyDescent="0.4">
      <c r="K2070" s="17">
        <v>2068</v>
      </c>
      <c r="L2070" s="70">
        <v>-35.299999999999926</v>
      </c>
    </row>
    <row r="2071" spans="11:12" x14ac:dyDescent="0.4">
      <c r="K2071" s="17">
        <v>2069</v>
      </c>
      <c r="L2071" s="70">
        <v>7.3000000000000771</v>
      </c>
    </row>
    <row r="2072" spans="11:12" x14ac:dyDescent="0.4">
      <c r="K2072" s="17">
        <v>2070</v>
      </c>
      <c r="L2072" s="70">
        <v>7.7271522513910895E-14</v>
      </c>
    </row>
    <row r="2073" spans="11:12" x14ac:dyDescent="0.4">
      <c r="K2073" s="17">
        <v>2071</v>
      </c>
      <c r="L2073" s="70">
        <v>60.10000000000008</v>
      </c>
    </row>
    <row r="2074" spans="11:12" x14ac:dyDescent="0.4">
      <c r="K2074" s="17">
        <v>2072</v>
      </c>
      <c r="L2074" s="70">
        <v>50.400000000000077</v>
      </c>
    </row>
    <row r="2075" spans="11:12" x14ac:dyDescent="0.4">
      <c r="K2075" s="17">
        <v>2073</v>
      </c>
      <c r="L2075" s="70">
        <v>7.9936057773011271E-14</v>
      </c>
    </row>
    <row r="2076" spans="11:12" x14ac:dyDescent="0.4">
      <c r="K2076" s="17">
        <v>2074</v>
      </c>
      <c r="L2076" s="70">
        <v>-53.099999999999923</v>
      </c>
    </row>
    <row r="2077" spans="11:12" x14ac:dyDescent="0.4">
      <c r="K2077" s="17">
        <v>2075</v>
      </c>
      <c r="L2077" s="70">
        <v>-53.199999999999925</v>
      </c>
    </row>
    <row r="2078" spans="11:12" x14ac:dyDescent="0.4">
      <c r="K2078" s="17">
        <v>2076</v>
      </c>
      <c r="L2078" s="70">
        <v>7.9936057773011271E-14</v>
      </c>
    </row>
    <row r="2079" spans="11:12" x14ac:dyDescent="0.4">
      <c r="K2079" s="17">
        <v>2077</v>
      </c>
      <c r="L2079" s="70">
        <v>-21.89999999999992</v>
      </c>
    </row>
    <row r="2080" spans="11:12" x14ac:dyDescent="0.4">
      <c r="K2080" s="17">
        <v>2078</v>
      </c>
      <c r="L2080" s="70">
        <v>8.0000000000000799</v>
      </c>
    </row>
    <row r="2081" spans="11:12" x14ac:dyDescent="0.4">
      <c r="K2081" s="17">
        <v>2079</v>
      </c>
      <c r="L2081" s="70">
        <v>7.9936057773011271E-14</v>
      </c>
    </row>
    <row r="2082" spans="11:12" x14ac:dyDescent="0.4">
      <c r="K2082" s="17">
        <v>2080</v>
      </c>
      <c r="L2082" s="70">
        <v>45.900000000000077</v>
      </c>
    </row>
    <row r="2083" spans="11:12" x14ac:dyDescent="0.4">
      <c r="K2083" s="17">
        <v>2081</v>
      </c>
      <c r="L2083" s="70">
        <v>45.700000000000074</v>
      </c>
    </row>
    <row r="2084" spans="11:12" x14ac:dyDescent="0.4">
      <c r="K2084" s="17">
        <v>2082</v>
      </c>
      <c r="L2084" s="70">
        <v>7.2830630415410269E-14</v>
      </c>
    </row>
    <row r="2085" spans="11:12" x14ac:dyDescent="0.4">
      <c r="K2085" s="17">
        <v>2083</v>
      </c>
      <c r="L2085" s="70">
        <v>-27.09999999999993</v>
      </c>
    </row>
    <row r="2086" spans="11:12" x14ac:dyDescent="0.4">
      <c r="K2086" s="17">
        <v>2084</v>
      </c>
      <c r="L2086" s="70">
        <v>-5.7999999999999279</v>
      </c>
    </row>
    <row r="2087" spans="11:12" x14ac:dyDescent="0.4">
      <c r="K2087" s="17">
        <v>2085</v>
      </c>
      <c r="L2087" s="70">
        <v>7.1942451995710144E-14</v>
      </c>
    </row>
    <row r="2088" spans="11:12" x14ac:dyDescent="0.4">
      <c r="K2088" s="17">
        <v>2086</v>
      </c>
      <c r="L2088" s="70">
        <v>11.400000000000071</v>
      </c>
    </row>
    <row r="2089" spans="11:12" x14ac:dyDescent="0.4">
      <c r="K2089" s="17">
        <v>2087</v>
      </c>
      <c r="L2089" s="70">
        <v>-25.299999999999933</v>
      </c>
    </row>
    <row r="2090" spans="11:12" x14ac:dyDescent="0.4">
      <c r="K2090" s="17">
        <v>2088</v>
      </c>
      <c r="L2090" s="70">
        <v>6.9277916736609768E-14</v>
      </c>
    </row>
    <row r="2091" spans="11:12" x14ac:dyDescent="0.4">
      <c r="K2091" s="17">
        <v>2089</v>
      </c>
      <c r="L2091" s="70">
        <v>22.000000000000071</v>
      </c>
    </row>
    <row r="2092" spans="11:12" x14ac:dyDescent="0.4">
      <c r="K2092" s="17">
        <v>2090</v>
      </c>
      <c r="L2092" s="70">
        <v>16.600000000000065</v>
      </c>
    </row>
    <row r="2093" spans="11:12" x14ac:dyDescent="0.4">
      <c r="K2093" s="17">
        <v>2091</v>
      </c>
      <c r="L2093" s="70">
        <v>6.5725203057809267E-14</v>
      </c>
    </row>
    <row r="2094" spans="11:12" x14ac:dyDescent="0.4">
      <c r="K2094" s="17">
        <v>2092</v>
      </c>
      <c r="L2094" s="70">
        <v>40.400000000000063</v>
      </c>
    </row>
    <row r="2095" spans="11:12" x14ac:dyDescent="0.4">
      <c r="K2095" s="17">
        <v>2093</v>
      </c>
      <c r="L2095" s="70">
        <v>45.800000000000061</v>
      </c>
    </row>
    <row r="2096" spans="11:12" x14ac:dyDescent="0.4">
      <c r="K2096" s="17">
        <v>2094</v>
      </c>
      <c r="L2096" s="70">
        <v>6.5725203057809267E-14</v>
      </c>
    </row>
    <row r="2097" spans="11:12" x14ac:dyDescent="0.4">
      <c r="K2097" s="17">
        <v>2095</v>
      </c>
      <c r="L2097" s="70">
        <v>-32.599999999999937</v>
      </c>
    </row>
    <row r="2098" spans="11:12" x14ac:dyDescent="0.4">
      <c r="K2098" s="17">
        <v>2096</v>
      </c>
      <c r="L2098" s="70">
        <v>-47.899999999999935</v>
      </c>
    </row>
    <row r="2099" spans="11:12" x14ac:dyDescent="0.4">
      <c r="K2099" s="17">
        <v>2097</v>
      </c>
      <c r="L2099" s="70">
        <v>6.5725203057809267E-14</v>
      </c>
    </row>
    <row r="2100" spans="11:12" x14ac:dyDescent="0.4">
      <c r="K2100" s="17">
        <v>2098</v>
      </c>
      <c r="L2100" s="70">
        <v>2.0000000000000657</v>
      </c>
    </row>
    <row r="2101" spans="11:12" x14ac:dyDescent="0.4">
      <c r="K2101" s="17">
        <v>2099</v>
      </c>
      <c r="L2101" s="70">
        <v>15.000000000000066</v>
      </c>
    </row>
    <row r="2102" spans="11:12" x14ac:dyDescent="0.4">
      <c r="K2102" s="17">
        <v>2100</v>
      </c>
      <c r="L2102" s="70">
        <v>6.5725203057809267E-14</v>
      </c>
    </row>
    <row r="2103" spans="11:12" x14ac:dyDescent="0.4">
      <c r="K2103" s="17">
        <v>2101</v>
      </c>
      <c r="L2103" s="70">
        <v>-0.49999999999993427</v>
      </c>
    </row>
    <row r="2104" spans="11:12" x14ac:dyDescent="0.4">
      <c r="K2104" s="17">
        <v>2102</v>
      </c>
      <c r="L2104" s="70">
        <v>34.900000000000063</v>
      </c>
    </row>
    <row r="2105" spans="11:12" x14ac:dyDescent="0.4">
      <c r="K2105" s="17">
        <v>2103</v>
      </c>
      <c r="L2105" s="70">
        <v>6.5725203057809267E-14</v>
      </c>
    </row>
    <row r="2106" spans="11:12" x14ac:dyDescent="0.4">
      <c r="K2106" s="17">
        <v>2104</v>
      </c>
      <c r="L2106" s="70">
        <v>4.9000000000000661</v>
      </c>
    </row>
    <row r="2107" spans="11:12" x14ac:dyDescent="0.4">
      <c r="K2107" s="17">
        <v>2105</v>
      </c>
      <c r="L2107" s="70">
        <v>49.20000000000006</v>
      </c>
    </row>
    <row r="2108" spans="11:12" x14ac:dyDescent="0.4">
      <c r="K2108" s="17">
        <v>2106</v>
      </c>
      <c r="L2108" s="70">
        <v>5.8619775700208265E-14</v>
      </c>
    </row>
    <row r="2109" spans="11:12" x14ac:dyDescent="0.4">
      <c r="K2109" s="17">
        <v>2107</v>
      </c>
      <c r="L2109" s="70">
        <v>-31.29999999999994</v>
      </c>
    </row>
    <row r="2110" spans="11:12" x14ac:dyDescent="0.4">
      <c r="K2110" s="17">
        <v>2108</v>
      </c>
      <c r="L2110" s="70">
        <v>-25.29999999999994</v>
      </c>
    </row>
    <row r="2111" spans="11:12" x14ac:dyDescent="0.4">
      <c r="K2111" s="17">
        <v>2109</v>
      </c>
      <c r="L2111" s="70">
        <v>5.8619775700208265E-14</v>
      </c>
    </row>
    <row r="2112" spans="11:12" x14ac:dyDescent="0.4">
      <c r="K2112" s="17">
        <v>2110</v>
      </c>
      <c r="L2112" s="70">
        <v>-23.899999999999942</v>
      </c>
    </row>
    <row r="2113" spans="11:12" x14ac:dyDescent="0.4">
      <c r="K2113" s="17">
        <v>2111</v>
      </c>
      <c r="L2113" s="70">
        <v>-21.999999999999943</v>
      </c>
    </row>
    <row r="2114" spans="11:12" x14ac:dyDescent="0.4">
      <c r="K2114" s="17">
        <v>2112</v>
      </c>
      <c r="L2114" s="70">
        <v>5.8619775700208265E-14</v>
      </c>
    </row>
    <row r="2115" spans="11:12" x14ac:dyDescent="0.4">
      <c r="K2115" s="17">
        <v>2113</v>
      </c>
      <c r="L2115" s="70">
        <v>-1.8999999999999413</v>
      </c>
    </row>
    <row r="2116" spans="11:12" x14ac:dyDescent="0.4">
      <c r="K2116" s="17">
        <v>2114</v>
      </c>
      <c r="L2116" s="70">
        <v>36.800000000000061</v>
      </c>
    </row>
    <row r="2117" spans="11:12" x14ac:dyDescent="0.4">
      <c r="K2117" s="17">
        <v>2115</v>
      </c>
      <c r="L2117" s="70">
        <v>6.5725203057809267E-14</v>
      </c>
    </row>
    <row r="2118" spans="11:12" x14ac:dyDescent="0.4">
      <c r="K2118" s="17">
        <v>2116</v>
      </c>
      <c r="L2118" s="70">
        <v>-40.699999999999939</v>
      </c>
    </row>
    <row r="2119" spans="11:12" x14ac:dyDescent="0.4">
      <c r="K2119" s="17">
        <v>2117</v>
      </c>
      <c r="L2119" s="70">
        <v>-33.399999999999942</v>
      </c>
    </row>
    <row r="2120" spans="11:12" x14ac:dyDescent="0.4">
      <c r="K2120" s="17">
        <v>2118</v>
      </c>
      <c r="L2120" s="70">
        <v>5.8619775700208265E-14</v>
      </c>
    </row>
    <row r="2121" spans="11:12" x14ac:dyDescent="0.4">
      <c r="K2121" s="17">
        <v>2119</v>
      </c>
      <c r="L2121" s="70">
        <v>-30.499999999999943</v>
      </c>
    </row>
    <row r="2122" spans="11:12" x14ac:dyDescent="0.4">
      <c r="K2122" s="17">
        <v>2120</v>
      </c>
      <c r="L2122" s="70">
        <v>0.30000000000005933</v>
      </c>
    </row>
    <row r="2123" spans="11:12" x14ac:dyDescent="0.4">
      <c r="K2123" s="17">
        <v>2121</v>
      </c>
      <c r="L2123" s="70">
        <v>5.9341420666214617E-14</v>
      </c>
    </row>
    <row r="2124" spans="11:12" x14ac:dyDescent="0.4">
      <c r="K2124" s="17">
        <v>2122</v>
      </c>
      <c r="L2124" s="70">
        <v>52.100000000000058</v>
      </c>
    </row>
    <row r="2125" spans="11:12" x14ac:dyDescent="0.4">
      <c r="K2125" s="17">
        <v>2123</v>
      </c>
      <c r="L2125" s="70">
        <v>49.300000000000061</v>
      </c>
    </row>
    <row r="2126" spans="11:12" x14ac:dyDescent="0.4">
      <c r="K2126" s="17">
        <v>2124</v>
      </c>
      <c r="L2126" s="70">
        <v>6.5725203057809267E-14</v>
      </c>
    </row>
    <row r="2127" spans="11:12" x14ac:dyDescent="0.4">
      <c r="K2127" s="17">
        <v>2125</v>
      </c>
      <c r="L2127" s="70">
        <v>-5.5999999999999339</v>
      </c>
    </row>
    <row r="2128" spans="11:12" x14ac:dyDescent="0.4">
      <c r="K2128" s="17">
        <v>2126</v>
      </c>
      <c r="L2128" s="70">
        <v>-28.199999999999939</v>
      </c>
    </row>
    <row r="2129" spans="11:12" x14ac:dyDescent="0.4">
      <c r="K2129" s="17">
        <v>2127</v>
      </c>
      <c r="L2129" s="70">
        <v>6.2172489379008766E-14</v>
      </c>
    </row>
    <row r="2130" spans="11:12" x14ac:dyDescent="0.4">
      <c r="K2130" s="17">
        <v>2128</v>
      </c>
      <c r="L2130" s="70">
        <v>-21.999999999999936</v>
      </c>
    </row>
    <row r="2131" spans="11:12" x14ac:dyDescent="0.4">
      <c r="K2131" s="17">
        <v>2129</v>
      </c>
      <c r="L2131" s="70">
        <v>-20.899999999999935</v>
      </c>
    </row>
    <row r="2132" spans="11:12" x14ac:dyDescent="0.4">
      <c r="K2132" s="17">
        <v>2130</v>
      </c>
      <c r="L2132" s="70">
        <v>6.2172489379008766E-14</v>
      </c>
    </row>
    <row r="2133" spans="11:12" x14ac:dyDescent="0.4">
      <c r="K2133" s="17">
        <v>2131</v>
      </c>
      <c r="L2133" s="70">
        <v>-0.99999999999993783</v>
      </c>
    </row>
    <row r="2134" spans="11:12" x14ac:dyDescent="0.4">
      <c r="K2134" s="17">
        <v>2132</v>
      </c>
      <c r="L2134" s="70">
        <v>18.400000000000063</v>
      </c>
    </row>
    <row r="2135" spans="11:12" x14ac:dyDescent="0.4">
      <c r="K2135" s="17">
        <v>2133</v>
      </c>
      <c r="L2135" s="70">
        <v>6.2172489379008766E-14</v>
      </c>
    </row>
    <row r="2136" spans="11:12" x14ac:dyDescent="0.4">
      <c r="K2136" s="17">
        <v>2134</v>
      </c>
      <c r="L2136" s="70">
        <v>-47.199999999999946</v>
      </c>
    </row>
    <row r="2137" spans="11:12" x14ac:dyDescent="0.4">
      <c r="K2137" s="17">
        <v>2135</v>
      </c>
      <c r="L2137" s="70">
        <v>-56.699999999999946</v>
      </c>
    </row>
    <row r="2138" spans="11:12" x14ac:dyDescent="0.4">
      <c r="K2138" s="17">
        <v>2136</v>
      </c>
      <c r="L2138" s="70">
        <v>5.8619775700208265E-14</v>
      </c>
    </row>
    <row r="2139" spans="11:12" x14ac:dyDescent="0.4">
      <c r="K2139" s="17">
        <v>2137</v>
      </c>
      <c r="L2139" s="70">
        <v>-45.499999999999943</v>
      </c>
    </row>
    <row r="2140" spans="11:12" x14ac:dyDescent="0.4">
      <c r="K2140" s="17">
        <v>2138</v>
      </c>
      <c r="L2140" s="70">
        <v>-7.39999999999994</v>
      </c>
    </row>
    <row r="2141" spans="11:12" x14ac:dyDescent="0.4">
      <c r="K2141" s="17">
        <v>2139</v>
      </c>
      <c r="L2141" s="70">
        <v>6.0396132539608516E-14</v>
      </c>
    </row>
    <row r="2142" spans="11:12" x14ac:dyDescent="0.4">
      <c r="K2142" s="17">
        <v>2140</v>
      </c>
      <c r="L2142" s="70">
        <v>-31.79999999999994</v>
      </c>
    </row>
    <row r="2143" spans="11:12" x14ac:dyDescent="0.4">
      <c r="K2143" s="17">
        <v>2141</v>
      </c>
      <c r="L2143" s="70">
        <v>-26.29999999999994</v>
      </c>
    </row>
    <row r="2144" spans="11:12" x14ac:dyDescent="0.4">
      <c r="K2144" s="17">
        <v>2142</v>
      </c>
      <c r="L2144" s="70">
        <v>6.2172489379008766E-14</v>
      </c>
    </row>
    <row r="2145" spans="11:12" x14ac:dyDescent="0.4">
      <c r="K2145" s="17">
        <v>2143</v>
      </c>
      <c r="L2145" s="70">
        <v>23.000000000000064</v>
      </c>
    </row>
    <row r="2146" spans="11:12" x14ac:dyDescent="0.4">
      <c r="K2146" s="17">
        <v>2144</v>
      </c>
      <c r="L2146" s="70">
        <v>22.600000000000065</v>
      </c>
    </row>
    <row r="2147" spans="11:12" x14ac:dyDescent="0.4">
      <c r="K2147" s="17">
        <v>2145</v>
      </c>
      <c r="L2147" s="70">
        <v>6.2172489379008766E-14</v>
      </c>
    </row>
    <row r="2148" spans="11:12" x14ac:dyDescent="0.4">
      <c r="K2148" s="17">
        <v>2146</v>
      </c>
      <c r="L2148" s="70">
        <v>-18.699999999999939</v>
      </c>
    </row>
    <row r="2149" spans="11:12" x14ac:dyDescent="0.4">
      <c r="K2149" s="17">
        <v>2147</v>
      </c>
      <c r="L2149" s="70">
        <v>31.400000000000063</v>
      </c>
    </row>
    <row r="2150" spans="11:12" x14ac:dyDescent="0.4">
      <c r="K2150" s="17">
        <v>2148</v>
      </c>
      <c r="L2150" s="70">
        <v>6.5725203057809267E-14</v>
      </c>
    </row>
    <row r="2151" spans="11:12" x14ac:dyDescent="0.4">
      <c r="K2151" s="17">
        <v>2149</v>
      </c>
      <c r="L2151" s="70">
        <v>11.500000000000066</v>
      </c>
    </row>
    <row r="2152" spans="11:12" x14ac:dyDescent="0.4">
      <c r="K2152" s="17">
        <v>2150</v>
      </c>
      <c r="L2152" s="70">
        <v>-1.299999999999935</v>
      </c>
    </row>
    <row r="2153" spans="11:12" x14ac:dyDescent="0.4">
      <c r="K2153" s="17">
        <v>2151</v>
      </c>
      <c r="L2153" s="70">
        <v>6.5059069243034173E-14</v>
      </c>
    </row>
    <row r="2154" spans="11:12" x14ac:dyDescent="0.4">
      <c r="K2154" s="17">
        <v>2152</v>
      </c>
      <c r="L2154" s="70">
        <v>-41.099999999999937</v>
      </c>
    </row>
    <row r="2155" spans="11:12" x14ac:dyDescent="0.4">
      <c r="K2155" s="17">
        <v>2153</v>
      </c>
      <c r="L2155" s="70">
        <v>-0.99999999999993427</v>
      </c>
    </row>
    <row r="2156" spans="11:12" x14ac:dyDescent="0.4">
      <c r="K2156" s="17">
        <v>2154</v>
      </c>
      <c r="L2156" s="70">
        <v>6.5725203057809267E-14</v>
      </c>
    </row>
    <row r="2157" spans="11:12" x14ac:dyDescent="0.4">
      <c r="K2157" s="17">
        <v>2155</v>
      </c>
      <c r="L2157" s="70">
        <v>61.900000000000063</v>
      </c>
    </row>
    <row r="2158" spans="11:12" x14ac:dyDescent="0.4">
      <c r="K2158" s="17">
        <v>2156</v>
      </c>
      <c r="L2158" s="70">
        <v>16.100000000000065</v>
      </c>
    </row>
    <row r="2159" spans="11:12" x14ac:dyDescent="0.4">
      <c r="K2159" s="17">
        <v>2157</v>
      </c>
      <c r="L2159" s="70">
        <v>6.5725203057809267E-14</v>
      </c>
    </row>
    <row r="2160" spans="11:12" x14ac:dyDescent="0.4">
      <c r="K2160" s="17">
        <v>2158</v>
      </c>
      <c r="L2160" s="70">
        <v>-30.699999999999932</v>
      </c>
    </row>
    <row r="2161" spans="11:12" x14ac:dyDescent="0.4">
      <c r="K2161" s="17">
        <v>2159</v>
      </c>
      <c r="L2161" s="70">
        <v>-8.8999999999999329</v>
      </c>
    </row>
    <row r="2162" spans="11:12" x14ac:dyDescent="0.4">
      <c r="K2162" s="17">
        <v>2160</v>
      </c>
      <c r="L2162" s="70">
        <v>6.7501559897209518E-14</v>
      </c>
    </row>
    <row r="2163" spans="11:12" x14ac:dyDescent="0.4">
      <c r="K2163" s="17">
        <v>2161</v>
      </c>
      <c r="L2163" s="70">
        <v>4.6000000000000671</v>
      </c>
    </row>
    <row r="2164" spans="11:12" x14ac:dyDescent="0.4">
      <c r="K2164" s="17">
        <v>2162</v>
      </c>
      <c r="L2164" s="70">
        <v>-43.799999999999933</v>
      </c>
    </row>
    <row r="2165" spans="11:12" x14ac:dyDescent="0.4">
      <c r="K2165" s="17">
        <v>2163</v>
      </c>
      <c r="L2165" s="70">
        <v>6.5725203057809267E-14</v>
      </c>
    </row>
    <row r="2166" spans="11:12" x14ac:dyDescent="0.4">
      <c r="K2166" s="17">
        <v>2164</v>
      </c>
      <c r="L2166" s="70">
        <v>2.8000000000000655</v>
      </c>
    </row>
    <row r="2167" spans="11:12" x14ac:dyDescent="0.4">
      <c r="K2167" s="17">
        <v>2165</v>
      </c>
      <c r="L2167" s="70">
        <v>-12.899999999999933</v>
      </c>
    </row>
    <row r="2168" spans="11:12" x14ac:dyDescent="0.4">
      <c r="K2168" s="17">
        <v>2166</v>
      </c>
      <c r="L2168" s="70">
        <v>6.7501559897209518E-14</v>
      </c>
    </row>
    <row r="2169" spans="11:12" x14ac:dyDescent="0.4">
      <c r="K2169" s="17">
        <v>2167</v>
      </c>
      <c r="L2169" s="70">
        <v>46.900000000000063</v>
      </c>
    </row>
    <row r="2170" spans="11:12" x14ac:dyDescent="0.4">
      <c r="K2170" s="17">
        <v>2168</v>
      </c>
      <c r="L2170" s="70">
        <v>49.300000000000061</v>
      </c>
    </row>
    <row r="2171" spans="11:12" x14ac:dyDescent="0.4">
      <c r="K2171" s="17">
        <v>2169</v>
      </c>
      <c r="L2171" s="70">
        <v>6.5725203057809267E-14</v>
      </c>
    </row>
    <row r="2172" spans="11:12" x14ac:dyDescent="0.4">
      <c r="K2172" s="17">
        <v>2170</v>
      </c>
      <c r="L2172" s="70">
        <v>10.500000000000066</v>
      </c>
    </row>
    <row r="2173" spans="11:12" x14ac:dyDescent="0.4">
      <c r="K2173" s="17">
        <v>2171</v>
      </c>
      <c r="L2173" s="70">
        <v>37.000000000000064</v>
      </c>
    </row>
    <row r="2174" spans="11:12" x14ac:dyDescent="0.4">
      <c r="K2174" s="17">
        <v>2172</v>
      </c>
      <c r="L2174" s="70">
        <v>6.5725203057809267E-14</v>
      </c>
    </row>
    <row r="2175" spans="11:12" x14ac:dyDescent="0.4">
      <c r="K2175" s="17">
        <v>2173</v>
      </c>
      <c r="L2175" s="70">
        <v>34.100000000000065</v>
      </c>
    </row>
    <row r="2176" spans="11:12" x14ac:dyDescent="0.4">
      <c r="K2176" s="17">
        <v>2174</v>
      </c>
      <c r="L2176" s="70">
        <v>47.800000000000068</v>
      </c>
    </row>
    <row r="2177" spans="11:12" x14ac:dyDescent="0.4">
      <c r="K2177" s="17">
        <v>2175</v>
      </c>
      <c r="L2177" s="70">
        <v>7.2830630415410269E-14</v>
      </c>
    </row>
    <row r="2178" spans="11:12" x14ac:dyDescent="0.4">
      <c r="K2178" s="17">
        <v>2176</v>
      </c>
      <c r="L2178" s="70">
        <v>-47.299999999999926</v>
      </c>
    </row>
    <row r="2179" spans="11:12" x14ac:dyDescent="0.4">
      <c r="K2179" s="17">
        <v>2177</v>
      </c>
      <c r="L2179" s="70">
        <v>-42.699999999999925</v>
      </c>
    </row>
    <row r="2180" spans="11:12" x14ac:dyDescent="0.4">
      <c r="K2180" s="17">
        <v>2178</v>
      </c>
      <c r="L2180" s="70">
        <v>7.9936057773011271E-14</v>
      </c>
    </row>
    <row r="2181" spans="11:12" x14ac:dyDescent="0.4">
      <c r="K2181" s="17">
        <v>2179</v>
      </c>
      <c r="L2181" s="70">
        <v>-32.299999999999919</v>
      </c>
    </row>
    <row r="2182" spans="11:12" x14ac:dyDescent="0.4">
      <c r="K2182" s="17">
        <v>2180</v>
      </c>
      <c r="L2182" s="70">
        <v>-5.1999999999999158</v>
      </c>
    </row>
    <row r="2183" spans="11:12" x14ac:dyDescent="0.4">
      <c r="K2183" s="17">
        <v>2181</v>
      </c>
      <c r="L2183" s="70">
        <v>8.4376949871511897E-14</v>
      </c>
    </row>
    <row r="2184" spans="11:12" x14ac:dyDescent="0.4">
      <c r="K2184" s="17">
        <v>2182</v>
      </c>
      <c r="L2184" s="70">
        <v>-2.8999999999999155</v>
      </c>
    </row>
    <row r="2185" spans="11:12" x14ac:dyDescent="0.4">
      <c r="K2185" s="17">
        <v>2183</v>
      </c>
      <c r="L2185" s="70">
        <v>15.100000000000085</v>
      </c>
    </row>
    <row r="2186" spans="11:12" x14ac:dyDescent="0.4">
      <c r="K2186" s="17">
        <v>2184</v>
      </c>
      <c r="L2186" s="70">
        <v>8.5265128291212022E-14</v>
      </c>
    </row>
    <row r="2187" spans="11:12" x14ac:dyDescent="0.4">
      <c r="K2187" s="17">
        <v>2185</v>
      </c>
      <c r="L2187" s="70">
        <v>-45.099999999999916</v>
      </c>
    </row>
    <row r="2188" spans="11:12" x14ac:dyDescent="0.4">
      <c r="K2188" s="17">
        <v>2186</v>
      </c>
      <c r="L2188" s="70">
        <v>8.4000000000000856</v>
      </c>
    </row>
    <row r="2189" spans="11:12" x14ac:dyDescent="0.4">
      <c r="K2189" s="17">
        <v>2187</v>
      </c>
      <c r="L2189" s="70">
        <v>8.5265128291212022E-14</v>
      </c>
    </row>
    <row r="2190" spans="11:12" x14ac:dyDescent="0.4">
      <c r="K2190" s="17">
        <v>2188</v>
      </c>
      <c r="L2190" s="70">
        <v>-27.499999999999915</v>
      </c>
    </row>
    <row r="2191" spans="11:12" x14ac:dyDescent="0.4">
      <c r="K2191" s="17">
        <v>2189</v>
      </c>
      <c r="L2191" s="70">
        <v>-6.999999999999913</v>
      </c>
    </row>
    <row r="2192" spans="11:12" x14ac:dyDescent="0.4">
      <c r="K2192" s="17">
        <v>2190</v>
      </c>
      <c r="L2192" s="70">
        <v>8.7041485130612273E-14</v>
      </c>
    </row>
    <row r="2193" spans="11:12" x14ac:dyDescent="0.4">
      <c r="K2193" s="17">
        <v>2191</v>
      </c>
      <c r="L2193" s="70">
        <v>6.1000000000000867</v>
      </c>
    </row>
    <row r="2194" spans="11:12" x14ac:dyDescent="0.4">
      <c r="K2194" s="17">
        <v>2192</v>
      </c>
      <c r="L2194" s="70">
        <v>-26.099999999999916</v>
      </c>
    </row>
    <row r="2195" spans="11:12" x14ac:dyDescent="0.4">
      <c r="K2195" s="17">
        <v>2193</v>
      </c>
      <c r="L2195" s="70">
        <v>8.7041485130612273E-14</v>
      </c>
    </row>
    <row r="2196" spans="11:12" x14ac:dyDescent="0.4">
      <c r="K2196" s="17">
        <v>2194</v>
      </c>
      <c r="L2196" s="70">
        <v>14.100000000000087</v>
      </c>
    </row>
    <row r="2197" spans="11:12" x14ac:dyDescent="0.4">
      <c r="K2197" s="17">
        <v>2195</v>
      </c>
      <c r="L2197" s="70">
        <v>16.500000000000085</v>
      </c>
    </row>
    <row r="2198" spans="11:12" x14ac:dyDescent="0.4">
      <c r="K2198" s="17">
        <v>2196</v>
      </c>
      <c r="L2198" s="70">
        <v>8.7041485130612273E-14</v>
      </c>
    </row>
    <row r="2199" spans="11:12" x14ac:dyDescent="0.4">
      <c r="K2199" s="17">
        <v>2197</v>
      </c>
      <c r="L2199" s="70">
        <v>4.500000000000087</v>
      </c>
    </row>
    <row r="2200" spans="11:12" x14ac:dyDescent="0.4">
      <c r="K2200" s="17">
        <v>2198</v>
      </c>
      <c r="L2200" s="70">
        <v>-21.099999999999916</v>
      </c>
    </row>
    <row r="2201" spans="11:12" x14ac:dyDescent="0.4">
      <c r="K2201" s="17">
        <v>2199</v>
      </c>
      <c r="L2201" s="70">
        <v>8.7041485130612273E-14</v>
      </c>
    </row>
    <row r="2202" spans="11:12" x14ac:dyDescent="0.4">
      <c r="K2202" s="17">
        <v>2200</v>
      </c>
      <c r="L2202" s="70">
        <v>-2.099999999999913</v>
      </c>
    </row>
    <row r="2203" spans="11:12" x14ac:dyDescent="0.4">
      <c r="K2203" s="17">
        <v>2201</v>
      </c>
      <c r="L2203" s="70">
        <v>-28.099999999999916</v>
      </c>
    </row>
    <row r="2204" spans="11:12" x14ac:dyDescent="0.4">
      <c r="K2204" s="17">
        <v>2202</v>
      </c>
      <c r="L2204" s="70">
        <v>8.7041485130612273E-14</v>
      </c>
    </row>
    <row r="2205" spans="11:12" x14ac:dyDescent="0.4">
      <c r="K2205" s="17">
        <v>2203</v>
      </c>
      <c r="L2205" s="70">
        <v>0.80000000000008709</v>
      </c>
    </row>
    <row r="2206" spans="11:12" x14ac:dyDescent="0.4">
      <c r="K2206" s="17">
        <v>2204</v>
      </c>
      <c r="L2206" s="70">
        <v>-26.19999999999991</v>
      </c>
    </row>
    <row r="2207" spans="11:12" x14ac:dyDescent="0.4">
      <c r="K2207" s="17">
        <v>2205</v>
      </c>
      <c r="L2207" s="70">
        <v>8.7041485130612273E-14</v>
      </c>
    </row>
    <row r="2208" spans="11:12" x14ac:dyDescent="0.4">
      <c r="K2208" s="17">
        <v>2206</v>
      </c>
      <c r="L2208" s="70">
        <v>-5.499999999999913</v>
      </c>
    </row>
    <row r="2209" spans="11:12" x14ac:dyDescent="0.4">
      <c r="K2209" s="17">
        <v>2207</v>
      </c>
      <c r="L2209" s="70">
        <v>-22.299999999999912</v>
      </c>
    </row>
    <row r="2210" spans="11:12" x14ac:dyDescent="0.4">
      <c r="K2210" s="17">
        <v>2208</v>
      </c>
      <c r="L2210" s="70">
        <v>8.7041485130612273E-14</v>
      </c>
    </row>
    <row r="2211" spans="11:12" x14ac:dyDescent="0.4">
      <c r="K2211" s="17">
        <v>2209</v>
      </c>
      <c r="L2211" s="70">
        <v>47.400000000000084</v>
      </c>
    </row>
    <row r="2212" spans="11:12" x14ac:dyDescent="0.4">
      <c r="K2212" s="17">
        <v>2210</v>
      </c>
      <c r="L2212" s="70">
        <v>51.500000000000085</v>
      </c>
    </row>
    <row r="2213" spans="11:12" x14ac:dyDescent="0.4">
      <c r="K2213" s="17">
        <v>2211</v>
      </c>
      <c r="L2213" s="70">
        <v>8.7041485130612273E-14</v>
      </c>
    </row>
  </sheetData>
  <sortState xmlns:xlrd2="http://schemas.microsoft.com/office/spreadsheetml/2017/richdata2" ref="N15:Q3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93595-9CEA-4771-AB91-F1E7BF15B54F}">
  <sheetPr codeName="Sheet4"/>
  <dimension ref="A1:Q540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127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538</v>
      </c>
      <c r="C2" s="116"/>
      <c r="E2" s="39" t="s">
        <v>67</v>
      </c>
      <c r="F2" s="36" t="s">
        <v>23</v>
      </c>
      <c r="G2" s="24">
        <v>969</v>
      </c>
      <c r="H2" s="103">
        <f>IF(B$31=0,0,G2/B$31)</f>
        <v>0.73913043478260865</v>
      </c>
      <c r="I2" s="64">
        <v>6</v>
      </c>
      <c r="K2" s="15">
        <v>0</v>
      </c>
      <c r="L2" s="69">
        <v>0</v>
      </c>
      <c r="N2" s="85" t="s">
        <v>129</v>
      </c>
      <c r="O2" s="92">
        <f>IF(P2=0,0,Q2/P2)</f>
        <v>1248.1203007518798</v>
      </c>
      <c r="P2" s="89">
        <v>532</v>
      </c>
      <c r="Q2" s="73">
        <v>664000</v>
      </c>
    </row>
    <row r="3" spans="1:17" x14ac:dyDescent="0.4">
      <c r="A3" s="32" t="s">
        <v>8</v>
      </c>
      <c r="B3" s="127">
        <v>4242</v>
      </c>
      <c r="C3" s="128"/>
      <c r="E3" s="40" t="s">
        <v>73</v>
      </c>
      <c r="F3" s="37" t="s">
        <v>28</v>
      </c>
      <c r="G3" s="25">
        <v>714</v>
      </c>
      <c r="H3" s="104">
        <f>IF(B$31=0,0,G3/B$31)</f>
        <v>0.54462242562929064</v>
      </c>
      <c r="I3" s="65">
        <v>9</v>
      </c>
      <c r="K3" s="17">
        <v>1</v>
      </c>
      <c r="L3" s="70">
        <v>15</v>
      </c>
      <c r="N3" s="86" t="s">
        <v>130</v>
      </c>
      <c r="O3" s="93">
        <f t="shared" ref="O3:O7" si="0">IF(P3=0,0,Q3/P3)</f>
        <v>1098.2524271844661</v>
      </c>
      <c r="P3" s="90">
        <v>515</v>
      </c>
      <c r="Q3" s="74">
        <v>565600</v>
      </c>
    </row>
    <row r="4" spans="1:17" x14ac:dyDescent="0.4">
      <c r="A4" s="32" t="s">
        <v>6</v>
      </c>
      <c r="B4" s="129">
        <v>5168.7999999999993</v>
      </c>
      <c r="C4" s="130"/>
      <c r="E4" s="40" t="s">
        <v>65</v>
      </c>
      <c r="F4" s="37" t="s">
        <v>21</v>
      </c>
      <c r="G4" s="25">
        <v>650</v>
      </c>
      <c r="H4" s="104">
        <f>IF(B$31=0,0,G4/B$31)</f>
        <v>0.49580472921434021</v>
      </c>
      <c r="I4" s="65">
        <v>11</v>
      </c>
      <c r="K4" s="17">
        <v>2</v>
      </c>
      <c r="L4" s="70">
        <v>14</v>
      </c>
      <c r="N4" s="86" t="s">
        <v>131</v>
      </c>
      <c r="O4" s="93">
        <f t="shared" si="0"/>
        <v>1160.122699386503</v>
      </c>
      <c r="P4" s="90">
        <v>489</v>
      </c>
      <c r="Q4" s="74">
        <v>567300</v>
      </c>
    </row>
    <row r="5" spans="1:17" x14ac:dyDescent="0.4">
      <c r="A5" s="32" t="s">
        <v>7</v>
      </c>
      <c r="B5" s="131">
        <f>IF(B$2=0,0,B$4/B$2)</f>
        <v>9.6074349442379177</v>
      </c>
      <c r="C5" s="132"/>
      <c r="E5" s="40" t="s">
        <v>177</v>
      </c>
      <c r="F5" s="37" t="s">
        <v>178</v>
      </c>
      <c r="G5" s="25">
        <v>457</v>
      </c>
      <c r="H5" s="104">
        <f>IF(B$31=0,0,G5/B$31)</f>
        <v>0.34858886346300533</v>
      </c>
      <c r="I5" s="65">
        <v>7</v>
      </c>
      <c r="K5" s="17">
        <v>3</v>
      </c>
      <c r="L5" s="70">
        <v>29.1</v>
      </c>
      <c r="N5" s="86" t="s">
        <v>132</v>
      </c>
      <c r="O5" s="93">
        <f t="shared" si="0"/>
        <v>1959.0090090090091</v>
      </c>
      <c r="P5" s="90">
        <v>444</v>
      </c>
      <c r="Q5" s="74">
        <v>869800</v>
      </c>
    </row>
    <row r="6" spans="1:17" x14ac:dyDescent="0.4">
      <c r="A6" s="32" t="s">
        <v>1</v>
      </c>
      <c r="B6" s="123">
        <f>IF(B$2=0,0,(B$7*1+B$8*2+B$9*3)/B$2)</f>
        <v>1.754646840148699</v>
      </c>
      <c r="C6" s="124"/>
      <c r="E6" s="40" t="s">
        <v>68</v>
      </c>
      <c r="F6" s="37" t="s">
        <v>24</v>
      </c>
      <c r="G6" s="25">
        <v>399</v>
      </c>
      <c r="H6" s="104">
        <f>IF(B$31=0,0,G6/B$31)</f>
        <v>0.30434782608695654</v>
      </c>
      <c r="I6" s="65">
        <v>9</v>
      </c>
      <c r="K6" s="17">
        <v>4</v>
      </c>
      <c r="L6" s="70">
        <v>114.30000000000001</v>
      </c>
      <c r="N6" s="86" t="s">
        <v>133</v>
      </c>
      <c r="O6" s="93">
        <f t="shared" si="0"/>
        <v>1712.3737373737374</v>
      </c>
      <c r="P6" s="90">
        <v>396</v>
      </c>
      <c r="Q6" s="74">
        <v>678100</v>
      </c>
    </row>
    <row r="7" spans="1:17" x14ac:dyDescent="0.4">
      <c r="A7" s="32" t="s">
        <v>2</v>
      </c>
      <c r="B7" s="25">
        <v>250</v>
      </c>
      <c r="C7" s="18">
        <f>IF(B$2=0,0,B7/B$2)</f>
        <v>0.46468401486988847</v>
      </c>
      <c r="E7" s="40" t="s">
        <v>69</v>
      </c>
      <c r="F7" s="37" t="s">
        <v>12</v>
      </c>
      <c r="G7" s="25">
        <v>374</v>
      </c>
      <c r="H7" s="104">
        <f>IF(B$31=0,0,G7/B$31)</f>
        <v>0.28527841342486654</v>
      </c>
      <c r="I7" s="65">
        <v>11</v>
      </c>
      <c r="K7" s="17">
        <v>5</v>
      </c>
      <c r="L7" s="70">
        <v>145.80000000000001</v>
      </c>
      <c r="N7" s="87" t="s">
        <v>134</v>
      </c>
      <c r="O7" s="94">
        <f t="shared" si="0"/>
        <v>1789.0577507598784</v>
      </c>
      <c r="P7" s="91">
        <v>329</v>
      </c>
      <c r="Q7" s="75">
        <v>588600</v>
      </c>
    </row>
    <row r="8" spans="1:17" x14ac:dyDescent="0.4">
      <c r="A8" s="32" t="s">
        <v>3</v>
      </c>
      <c r="B8" s="25">
        <v>170</v>
      </c>
      <c r="C8" s="18">
        <f>IF(B$2=0,0,B8/B$2)</f>
        <v>0.31598513011152418</v>
      </c>
      <c r="E8" s="40" t="s">
        <v>167</v>
      </c>
      <c r="F8" s="37" t="s">
        <v>168</v>
      </c>
      <c r="G8" s="25">
        <v>297</v>
      </c>
      <c r="H8" s="104">
        <f>IF(B$31=0,0,G8/B$31)</f>
        <v>0.22654462242562928</v>
      </c>
      <c r="I8" s="65">
        <v>10</v>
      </c>
      <c r="K8" s="17">
        <v>6</v>
      </c>
      <c r="L8" s="70">
        <v>97.800000000000011</v>
      </c>
      <c r="N8" s="22"/>
      <c r="O8" s="98"/>
      <c r="P8" s="82"/>
      <c r="Q8" s="80"/>
    </row>
    <row r="9" spans="1:17" x14ac:dyDescent="0.4">
      <c r="A9" s="33" t="s">
        <v>4</v>
      </c>
      <c r="B9" s="26">
        <v>118</v>
      </c>
      <c r="C9" s="19">
        <f t="shared" ref="C9" si="1">IF(B$2=0,0,B9/B$2)</f>
        <v>0.21933085501858737</v>
      </c>
      <c r="E9" s="40" t="s">
        <v>90</v>
      </c>
      <c r="F9" s="37" t="s">
        <v>45</v>
      </c>
      <c r="G9" s="25">
        <v>227</v>
      </c>
      <c r="H9" s="104">
        <f>IF(B$31=0,0,G9/B$31)</f>
        <v>0.17315026697177727</v>
      </c>
      <c r="I9" s="65">
        <v>3</v>
      </c>
      <c r="K9" s="17">
        <v>7</v>
      </c>
      <c r="L9" s="70">
        <v>91.700000000000017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46</v>
      </c>
      <c r="C10" s="19">
        <f>IF(B$2=0,0,B10/B$2)</f>
        <v>8.5501858736059477E-2</v>
      </c>
      <c r="E10" s="40" t="s">
        <v>70</v>
      </c>
      <c r="F10" s="37" t="s">
        <v>25</v>
      </c>
      <c r="G10" s="25">
        <v>201</v>
      </c>
      <c r="H10" s="104">
        <f>IF(B$31=0,0,G10/B$31)</f>
        <v>0.15331807780320367</v>
      </c>
      <c r="I10" s="65">
        <v>6</v>
      </c>
      <c r="K10" s="17">
        <v>8</v>
      </c>
      <c r="L10" s="70">
        <v>55.700000000000017</v>
      </c>
      <c r="N10" s="85" t="s">
        <v>158</v>
      </c>
      <c r="O10" s="95">
        <f>IF(P10=0,0,Q10/P10)</f>
        <v>13.870072992700734</v>
      </c>
      <c r="P10" s="89">
        <v>137</v>
      </c>
      <c r="Q10" s="77">
        <v>1900.2000000000005</v>
      </c>
    </row>
    <row r="11" spans="1:17" x14ac:dyDescent="0.4">
      <c r="A11" s="33" t="s">
        <v>137</v>
      </c>
      <c r="B11" s="26">
        <v>91</v>
      </c>
      <c r="C11" s="19">
        <f>IF(B$2=0,0,B11/B$2)</f>
        <v>0.16914498141263939</v>
      </c>
      <c r="E11" s="40" t="s">
        <v>66</v>
      </c>
      <c r="F11" s="37" t="s">
        <v>22</v>
      </c>
      <c r="G11" s="25">
        <v>155</v>
      </c>
      <c r="H11" s="104">
        <f>IF(B$31=0,0,G11/B$31)</f>
        <v>0.11823035850495804</v>
      </c>
      <c r="I11" s="65">
        <v>6</v>
      </c>
      <c r="K11" s="17">
        <v>9</v>
      </c>
      <c r="L11" s="70">
        <v>14.700000000000017</v>
      </c>
      <c r="N11" s="86" t="s">
        <v>159</v>
      </c>
      <c r="O11" s="96">
        <f>IF(P11=0,0,Q11/P11)</f>
        <v>7.291379310344829</v>
      </c>
      <c r="P11" s="90">
        <v>174</v>
      </c>
      <c r="Q11" s="78">
        <v>1268.7000000000003</v>
      </c>
    </row>
    <row r="12" spans="1:17" x14ac:dyDescent="0.4">
      <c r="A12" s="34" t="s">
        <v>154</v>
      </c>
      <c r="B12" s="27">
        <v>63</v>
      </c>
      <c r="C12" s="21">
        <f>IF(B$2=0,0,B12/B$2)</f>
        <v>0.1171003717472119</v>
      </c>
      <c r="E12" s="40" t="s">
        <v>71</v>
      </c>
      <c r="F12" s="37" t="s">
        <v>26</v>
      </c>
      <c r="G12" s="25">
        <v>102</v>
      </c>
      <c r="H12" s="104">
        <f>IF(B$31=0,0,G12/B$31)</f>
        <v>7.780320366132723E-2</v>
      </c>
      <c r="I12" s="65">
        <v>11</v>
      </c>
      <c r="K12" s="17">
        <v>10</v>
      </c>
      <c r="L12" s="70">
        <v>-16.799999999999983</v>
      </c>
      <c r="N12" s="87" t="s">
        <v>160</v>
      </c>
      <c r="O12" s="97">
        <f>IF(P12=0,0,Q12/P12)</f>
        <v>8.8049107142857164</v>
      </c>
      <c r="P12" s="91">
        <v>224</v>
      </c>
      <c r="Q12" s="79">
        <v>1972.3000000000004</v>
      </c>
    </row>
    <row r="13" spans="1:17" x14ac:dyDescent="0.4">
      <c r="A13" s="35" t="s">
        <v>122</v>
      </c>
      <c r="B13" s="28">
        <v>1118</v>
      </c>
      <c r="C13" s="23">
        <f>IF(B$30=0,0,B13/B$30)</f>
        <v>0.29529846804014792</v>
      </c>
      <c r="E13" s="40" t="s">
        <v>87</v>
      </c>
      <c r="F13" s="37" t="s">
        <v>42</v>
      </c>
      <c r="G13" s="25">
        <v>86</v>
      </c>
      <c r="H13" s="104">
        <f>IF(B$31=0,0,G13/B$31)</f>
        <v>6.5598779557589623E-2</v>
      </c>
      <c r="I13" s="65">
        <v>8</v>
      </c>
      <c r="K13" s="17">
        <v>11</v>
      </c>
      <c r="L13" s="70">
        <v>1.5000000000000178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822</v>
      </c>
      <c r="C14" s="18">
        <f>IF(B$30=0,0,B14/B$30)</f>
        <v>0.21711568938193343</v>
      </c>
      <c r="E14" s="40" t="s">
        <v>72</v>
      </c>
      <c r="F14" s="37" t="s">
        <v>27</v>
      </c>
      <c r="G14" s="25">
        <v>82</v>
      </c>
      <c r="H14" s="104">
        <f>IF(B$31=0,0,G14/B$31)</f>
        <v>6.2547673531655232E-2</v>
      </c>
      <c r="I14" s="65">
        <v>7</v>
      </c>
      <c r="K14" s="17">
        <v>12</v>
      </c>
      <c r="L14" s="70">
        <v>14.300000000000018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688</v>
      </c>
      <c r="C15" s="16">
        <f>IF(B$13=0,0,B15/B$13)</f>
        <v>0.61538461538461542</v>
      </c>
      <c r="E15" s="40" t="s">
        <v>84</v>
      </c>
      <c r="F15" s="37" t="s">
        <v>39</v>
      </c>
      <c r="G15" s="25">
        <v>56</v>
      </c>
      <c r="H15" s="104">
        <f>IF(B$31=0,0,G15/B$31)</f>
        <v>4.2715484363081618E-2</v>
      </c>
      <c r="I15" s="65">
        <v>10</v>
      </c>
      <c r="K15" s="17">
        <v>13</v>
      </c>
      <c r="L15" s="70">
        <v>71.300000000000011</v>
      </c>
      <c r="N15" s="85" t="s">
        <v>182</v>
      </c>
      <c r="O15" s="95">
        <f>IF(P15=0,0,Q15/P15)</f>
        <v>125.9</v>
      </c>
      <c r="P15" s="89">
        <v>1</v>
      </c>
      <c r="Q15" s="77">
        <v>125.9</v>
      </c>
    </row>
    <row r="16" spans="1:17" x14ac:dyDescent="0.4">
      <c r="A16" s="31" t="s">
        <v>125</v>
      </c>
      <c r="B16" s="24">
        <v>408</v>
      </c>
      <c r="C16" s="16">
        <f>IF(B$14=0,0,B16/B$14)</f>
        <v>0.49635036496350365</v>
      </c>
      <c r="E16" s="40" t="s">
        <v>163</v>
      </c>
      <c r="F16" s="37" t="s">
        <v>164</v>
      </c>
      <c r="G16" s="25">
        <v>30</v>
      </c>
      <c r="H16" s="104">
        <f>IF(B$31=0,0,G16/B$31)</f>
        <v>2.2883295194508008E-2</v>
      </c>
      <c r="I16" s="65">
        <v>2</v>
      </c>
      <c r="K16" s="17">
        <v>14</v>
      </c>
      <c r="L16" s="70">
        <v>27.300000000000011</v>
      </c>
      <c r="N16" s="86" t="s">
        <v>181</v>
      </c>
      <c r="O16" s="96">
        <f>IF(P16=0,0,Q16/P16)</f>
        <v>71.75</v>
      </c>
      <c r="P16" s="90">
        <v>4</v>
      </c>
      <c r="Q16" s="78">
        <v>287</v>
      </c>
    </row>
    <row r="17" spans="1:17" x14ac:dyDescent="0.4">
      <c r="A17" s="31" t="s">
        <v>10</v>
      </c>
      <c r="B17" s="24">
        <f>B19+B18</f>
        <v>1467</v>
      </c>
      <c r="C17" s="16">
        <f>IF(B$3=0,0,B17/B$3)</f>
        <v>0.34582743988684583</v>
      </c>
      <c r="E17" s="40" t="s">
        <v>79</v>
      </c>
      <c r="F17" s="37" t="s">
        <v>34</v>
      </c>
      <c r="G17" s="25">
        <v>27</v>
      </c>
      <c r="H17" s="104">
        <f>IF(B$31=0,0,G17/B$31)</f>
        <v>2.0594965675057208E-2</v>
      </c>
      <c r="I17" s="65">
        <v>9</v>
      </c>
      <c r="K17" s="17">
        <v>15</v>
      </c>
      <c r="L17" s="70">
        <v>-9.6999999999999886</v>
      </c>
      <c r="N17" s="86" t="s">
        <v>186</v>
      </c>
      <c r="O17" s="96">
        <f>IF(P17=0,0,Q17/P17)</f>
        <v>69.2</v>
      </c>
      <c r="P17" s="90">
        <v>1</v>
      </c>
      <c r="Q17" s="78">
        <v>69.2</v>
      </c>
    </row>
    <row r="18" spans="1:17" x14ac:dyDescent="0.4">
      <c r="A18" s="32" t="s">
        <v>12</v>
      </c>
      <c r="B18" s="25">
        <v>590</v>
      </c>
      <c r="C18" s="18">
        <f>IF(B$17=0,0,B18/B$17)</f>
        <v>0.40218132242672122</v>
      </c>
      <c r="E18" s="40" t="s">
        <v>82</v>
      </c>
      <c r="F18" s="37" t="s">
        <v>37</v>
      </c>
      <c r="G18" s="25">
        <v>24</v>
      </c>
      <c r="H18" s="104">
        <f>IF(B$31=0,0,G18/B$31)</f>
        <v>1.8306636155606407E-2</v>
      </c>
      <c r="I18" s="65">
        <v>11</v>
      </c>
      <c r="K18" s="17">
        <v>16</v>
      </c>
      <c r="L18" s="70">
        <v>-8.099999999999989</v>
      </c>
      <c r="N18" s="86" t="s">
        <v>175</v>
      </c>
      <c r="O18" s="96">
        <f>IF(P18=0,0,Q18/P18)</f>
        <v>47.199999999999989</v>
      </c>
      <c r="P18" s="90">
        <v>6</v>
      </c>
      <c r="Q18" s="78">
        <v>283.19999999999993</v>
      </c>
    </row>
    <row r="19" spans="1:17" x14ac:dyDescent="0.4">
      <c r="A19" s="32" t="s">
        <v>11</v>
      </c>
      <c r="B19" s="25">
        <v>877</v>
      </c>
      <c r="C19" s="18">
        <f>IF(B$17=0,0,B19/B$17)</f>
        <v>0.59781867757327878</v>
      </c>
      <c r="E19" s="40" t="s">
        <v>92</v>
      </c>
      <c r="F19" s="37" t="s">
        <v>47</v>
      </c>
      <c r="G19" s="25">
        <v>23</v>
      </c>
      <c r="H19" s="104">
        <f>IF(B$31=0,0,G19/B$31)</f>
        <v>1.7543859649122806E-2</v>
      </c>
      <c r="I19" s="65">
        <v>8</v>
      </c>
      <c r="K19" s="17">
        <v>17</v>
      </c>
      <c r="L19" s="70">
        <v>-29.499999999999986</v>
      </c>
      <c r="N19" s="86" t="s">
        <v>188</v>
      </c>
      <c r="O19" s="96">
        <f>IF(P19=0,0,Q19/P19)</f>
        <v>29.599999999999998</v>
      </c>
      <c r="P19" s="90">
        <v>1</v>
      </c>
      <c r="Q19" s="78">
        <v>29.599999999999998</v>
      </c>
    </row>
    <row r="20" spans="1:17" x14ac:dyDescent="0.4">
      <c r="A20" s="32" t="s">
        <v>13</v>
      </c>
      <c r="B20" s="25">
        <v>614</v>
      </c>
      <c r="C20" s="18">
        <f>IF(B$3=0,0,B20/B$3)</f>
        <v>0.14474304573314475</v>
      </c>
      <c r="E20" s="40" t="s">
        <v>80</v>
      </c>
      <c r="F20" s="37" t="s">
        <v>35</v>
      </c>
      <c r="G20" s="25">
        <v>14</v>
      </c>
      <c r="H20" s="104">
        <f>IF(B$31=0,0,G20/B$31)</f>
        <v>1.0678871090770405E-2</v>
      </c>
      <c r="I20" s="65">
        <v>12</v>
      </c>
      <c r="K20" s="17">
        <v>18</v>
      </c>
      <c r="L20" s="70">
        <v>-14.599999999999985</v>
      </c>
      <c r="N20" s="86" t="s">
        <v>174</v>
      </c>
      <c r="O20" s="96">
        <f>IF(P20=0,0,Q20/P20)</f>
        <v>29.347499999999997</v>
      </c>
      <c r="P20" s="90">
        <v>40</v>
      </c>
      <c r="Q20" s="78">
        <v>1173.8999999999999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78</v>
      </c>
      <c r="F21" s="37" t="s">
        <v>33</v>
      </c>
      <c r="G21" s="25">
        <v>11</v>
      </c>
      <c r="H21" s="104">
        <f>IF(B$31=0,0,G21/B$31)</f>
        <v>8.3905415713196041E-3</v>
      </c>
      <c r="I21" s="65">
        <v>3</v>
      </c>
      <c r="K21" s="17">
        <v>19</v>
      </c>
      <c r="L21" s="70">
        <v>42.600000000000016</v>
      </c>
      <c r="N21" s="86" t="s">
        <v>172</v>
      </c>
      <c r="O21" s="96">
        <f>IF(P21=0,0,Q21/P21)</f>
        <v>23.634065934065937</v>
      </c>
      <c r="P21" s="90">
        <v>91</v>
      </c>
      <c r="Q21" s="78">
        <v>2150.7000000000003</v>
      </c>
    </row>
    <row r="22" spans="1:17" x14ac:dyDescent="0.4">
      <c r="A22" s="32" t="s">
        <v>166</v>
      </c>
      <c r="B22" s="25">
        <v>39</v>
      </c>
      <c r="C22" s="106">
        <v>0</v>
      </c>
      <c r="E22" s="40" t="s">
        <v>86</v>
      </c>
      <c r="F22" s="37" t="s">
        <v>41</v>
      </c>
      <c r="G22" s="25">
        <v>10</v>
      </c>
      <c r="H22" s="104">
        <f>IF(B$31=0,0,G22/B$31)</f>
        <v>7.6277650648360028E-3</v>
      </c>
      <c r="I22" s="65">
        <v>2</v>
      </c>
      <c r="K22" s="17">
        <v>20</v>
      </c>
      <c r="L22" s="70">
        <v>68.800000000000011</v>
      </c>
      <c r="N22" s="86" t="s">
        <v>162</v>
      </c>
      <c r="O22" s="96">
        <f>IF(P22=0,0,Q22/P22)</f>
        <v>18.725174825174825</v>
      </c>
      <c r="P22" s="90">
        <v>143</v>
      </c>
      <c r="Q22" s="78">
        <v>2677.7</v>
      </c>
    </row>
    <row r="23" spans="1:17" x14ac:dyDescent="0.4">
      <c r="A23" s="32" t="s">
        <v>5</v>
      </c>
      <c r="B23" s="29">
        <f>IF(B$17=0,0,C23/B$17)</f>
        <v>9418.677573278801</v>
      </c>
      <c r="C23" s="20">
        <v>13817200</v>
      </c>
      <c r="E23" s="40" t="s">
        <v>93</v>
      </c>
      <c r="F23" s="37" t="s">
        <v>48</v>
      </c>
      <c r="G23" s="25">
        <v>9</v>
      </c>
      <c r="H23" s="104">
        <f>IF(B$31=0,0,G23/B$31)</f>
        <v>6.8649885583524023E-3</v>
      </c>
      <c r="I23" s="65">
        <v>3</v>
      </c>
      <c r="K23" s="17">
        <v>21</v>
      </c>
      <c r="L23" s="70">
        <v>125.30000000000001</v>
      </c>
      <c r="N23" s="86" t="s">
        <v>173</v>
      </c>
      <c r="O23" s="96">
        <f>IF(P23=0,0,Q23/P23)</f>
        <v>15.221343873517787</v>
      </c>
      <c r="P23" s="90">
        <v>253</v>
      </c>
      <c r="Q23" s="78">
        <v>3851</v>
      </c>
    </row>
    <row r="24" spans="1:17" x14ac:dyDescent="0.4">
      <c r="A24" s="33" t="s">
        <v>189</v>
      </c>
      <c r="B24" s="111">
        <f>IF($B$17-B$16=0,0,C24/($B$17-B$16))</f>
        <v>9688.3852691218126</v>
      </c>
      <c r="C24" s="112">
        <v>10260000</v>
      </c>
      <c r="E24" s="40" t="s">
        <v>74</v>
      </c>
      <c r="F24" s="37" t="s">
        <v>29</v>
      </c>
      <c r="G24" s="25">
        <v>7</v>
      </c>
      <c r="H24" s="104">
        <f>IF(B$31=0,0,G24/B$31)</f>
        <v>5.3394355453852023E-3</v>
      </c>
      <c r="I24" s="65">
        <v>8</v>
      </c>
      <c r="K24" s="17">
        <v>22</v>
      </c>
      <c r="L24" s="70">
        <v>99.800000000000011</v>
      </c>
      <c r="N24" s="86" t="s">
        <v>128</v>
      </c>
      <c r="O24" s="96">
        <f>IF(P24=0,0,Q24/P24)</f>
        <v>12.322222222222226</v>
      </c>
      <c r="P24" s="90">
        <v>252</v>
      </c>
      <c r="Q24" s="78">
        <v>3105.2000000000012</v>
      </c>
    </row>
    <row r="25" spans="1:17" x14ac:dyDescent="0.4">
      <c r="A25" s="33" t="s">
        <v>190</v>
      </c>
      <c r="B25" s="111">
        <f>IF(B$16=0,0,C25/B$16)</f>
        <v>8718.6274509803916</v>
      </c>
      <c r="C25" s="112">
        <v>3557200</v>
      </c>
      <c r="E25" s="40" t="s">
        <v>76</v>
      </c>
      <c r="F25" s="37" t="s">
        <v>31</v>
      </c>
      <c r="G25" s="25">
        <v>5</v>
      </c>
      <c r="H25" s="104">
        <f>IF(B$31=0,0,G25/B$31)</f>
        <v>3.8138825324180014E-3</v>
      </c>
      <c r="I25" s="65">
        <v>9</v>
      </c>
      <c r="K25" s="17">
        <v>23</v>
      </c>
      <c r="L25" s="70">
        <v>124.50000000000001</v>
      </c>
      <c r="N25" s="86" t="s">
        <v>183</v>
      </c>
      <c r="O25" s="96">
        <f>IF(P25=0,0,Q25/P25)</f>
        <v>8</v>
      </c>
      <c r="P25" s="90">
        <v>1</v>
      </c>
      <c r="Q25" s="78">
        <v>8</v>
      </c>
    </row>
    <row r="26" spans="1:17" x14ac:dyDescent="0.4">
      <c r="A26" s="32" t="s">
        <v>14</v>
      </c>
      <c r="B26" s="29">
        <f>IF(B$20=0,0,C26/B$20)</f>
        <v>-8526.2214983713347</v>
      </c>
      <c r="C26" s="20">
        <v>-5235100</v>
      </c>
      <c r="E26" s="40" t="s">
        <v>91</v>
      </c>
      <c r="F26" s="37" t="s">
        <v>46</v>
      </c>
      <c r="G26" s="25">
        <v>5</v>
      </c>
      <c r="H26" s="104">
        <f>IF(B$31=0,0,G26/B$31)</f>
        <v>3.8138825324180014E-3</v>
      </c>
      <c r="I26" s="65">
        <v>2</v>
      </c>
      <c r="K26" s="17">
        <v>24</v>
      </c>
      <c r="L26" s="70">
        <v>118.00000000000001</v>
      </c>
      <c r="N26" s="86" t="s">
        <v>185</v>
      </c>
      <c r="O26" s="96">
        <f>IF(P26=0,0,Q26/P26)</f>
        <v>6.7275362318840566</v>
      </c>
      <c r="P26" s="90">
        <v>69</v>
      </c>
      <c r="Q26" s="78">
        <v>464.19999999999993</v>
      </c>
    </row>
    <row r="27" spans="1:17" x14ac:dyDescent="0.4">
      <c r="A27" s="61" t="s">
        <v>139</v>
      </c>
      <c r="B27" s="121">
        <v>10</v>
      </c>
      <c r="C27" s="122"/>
      <c r="E27" s="40" t="s">
        <v>85</v>
      </c>
      <c r="F27" s="37" t="s">
        <v>40</v>
      </c>
      <c r="G27" s="25">
        <v>4</v>
      </c>
      <c r="H27" s="104">
        <f>IF(B$31=0,0,G27/B$31)</f>
        <v>3.0511060259344014E-3</v>
      </c>
      <c r="I27" s="65">
        <v>4</v>
      </c>
      <c r="K27" s="17">
        <v>25</v>
      </c>
      <c r="L27" s="70">
        <v>84.300000000000011</v>
      </c>
      <c r="N27" s="86" t="s">
        <v>171</v>
      </c>
      <c r="O27" s="96">
        <f>IF(P27=0,0,Q27/P27)</f>
        <v>6.3142857142857149</v>
      </c>
      <c r="P27" s="90">
        <v>182</v>
      </c>
      <c r="Q27" s="78">
        <v>1149.2</v>
      </c>
    </row>
    <row r="28" spans="1:17" x14ac:dyDescent="0.4">
      <c r="A28" s="35" t="s">
        <v>146</v>
      </c>
      <c r="B28" s="119">
        <v>120200</v>
      </c>
      <c r="C28" s="120"/>
      <c r="E28" s="40" t="s">
        <v>75</v>
      </c>
      <c r="F28" s="37" t="s">
        <v>30</v>
      </c>
      <c r="G28" s="25">
        <v>3</v>
      </c>
      <c r="H28" s="104">
        <f>IF(B$31=0,0,G28/B$31)</f>
        <v>2.2883295194508009E-3</v>
      </c>
      <c r="I28" s="65">
        <v>8</v>
      </c>
      <c r="K28" s="17">
        <v>26</v>
      </c>
      <c r="L28" s="70">
        <v>108.20000000000002</v>
      </c>
      <c r="N28" s="86" t="s">
        <v>184</v>
      </c>
      <c r="O28" s="96">
        <f>IF(P28=0,0,Q28/P28)</f>
        <v>5.283333333333335</v>
      </c>
      <c r="P28" s="90">
        <v>30</v>
      </c>
      <c r="Q28" s="78">
        <v>158.50000000000006</v>
      </c>
    </row>
    <row r="29" spans="1:17" x14ac:dyDescent="0.4">
      <c r="A29" s="34" t="s">
        <v>140</v>
      </c>
      <c r="B29" s="42">
        <v>3</v>
      </c>
      <c r="C29" s="21">
        <f>IF(B$3=0,0,B29/B$3)</f>
        <v>7.0721357850070724E-4</v>
      </c>
      <c r="E29" s="40" t="s">
        <v>88</v>
      </c>
      <c r="F29" s="37" t="s">
        <v>43</v>
      </c>
      <c r="G29" s="25">
        <v>3</v>
      </c>
      <c r="H29" s="104">
        <f>IF(B$31=0,0,G29/B$31)</f>
        <v>2.2883295194508009E-3</v>
      </c>
      <c r="I29" s="65">
        <v>5</v>
      </c>
      <c r="K29" s="17">
        <v>27</v>
      </c>
      <c r="L29" s="70">
        <v>71.200000000000017</v>
      </c>
      <c r="N29" s="86" t="s">
        <v>176</v>
      </c>
      <c r="O29" s="96">
        <f>IF(P29=0,0,Q29/P29)</f>
        <v>-13.45</v>
      </c>
      <c r="P29" s="90">
        <v>2</v>
      </c>
      <c r="Q29" s="78">
        <v>-26.9</v>
      </c>
    </row>
    <row r="30" spans="1:17" x14ac:dyDescent="0.4">
      <c r="A30" s="31" t="s">
        <v>179</v>
      </c>
      <c r="B30" s="115">
        <v>3786</v>
      </c>
      <c r="C30" s="116"/>
      <c r="E30" s="40" t="s">
        <v>89</v>
      </c>
      <c r="F30" s="37" t="s">
        <v>44</v>
      </c>
      <c r="G30" s="25">
        <v>3</v>
      </c>
      <c r="H30" s="104">
        <f>IF(B$31=0,0,G30/B$31)</f>
        <v>2.2883295194508009E-3</v>
      </c>
      <c r="I30" s="65">
        <v>3</v>
      </c>
      <c r="K30" s="17">
        <v>28</v>
      </c>
      <c r="L30" s="70">
        <v>129.20000000000002</v>
      </c>
    </row>
    <row r="31" spans="1:17" x14ac:dyDescent="0.4">
      <c r="A31" s="34" t="s">
        <v>180</v>
      </c>
      <c r="B31" s="117">
        <v>1311</v>
      </c>
      <c r="C31" s="118"/>
      <c r="E31" s="40" t="s">
        <v>94</v>
      </c>
      <c r="F31" s="37" t="s">
        <v>49</v>
      </c>
      <c r="G31" s="25">
        <v>3</v>
      </c>
      <c r="H31" s="104">
        <f>IF(B$31=0,0,G31/B$31)</f>
        <v>2.2883295194508009E-3</v>
      </c>
      <c r="I31" s="65">
        <v>6</v>
      </c>
      <c r="K31" s="17">
        <v>29</v>
      </c>
      <c r="L31" s="70">
        <v>120.80000000000001</v>
      </c>
    </row>
    <row r="32" spans="1:17" x14ac:dyDescent="0.4">
      <c r="E32" s="40" t="s">
        <v>96</v>
      </c>
      <c r="F32" s="37" t="s">
        <v>51</v>
      </c>
      <c r="G32" s="25">
        <v>3</v>
      </c>
      <c r="H32" s="104">
        <f>IF(B$31=0,0,G32/B$31)</f>
        <v>2.2883295194508009E-3</v>
      </c>
      <c r="I32" s="65">
        <v>1</v>
      </c>
      <c r="K32" s="17">
        <v>30</v>
      </c>
      <c r="L32" s="70">
        <v>174.10000000000002</v>
      </c>
    </row>
    <row r="33" spans="5:12" x14ac:dyDescent="0.4">
      <c r="E33" s="40" t="s">
        <v>107</v>
      </c>
      <c r="F33" s="37" t="s">
        <v>114</v>
      </c>
      <c r="G33" s="25">
        <v>1</v>
      </c>
      <c r="H33" s="104">
        <f>IF(B$31=0,0,G33/B$31)</f>
        <v>7.6277650648360034E-4</v>
      </c>
      <c r="I33" s="65">
        <v>2</v>
      </c>
      <c r="K33" s="17">
        <v>31</v>
      </c>
      <c r="L33" s="70">
        <v>160.10000000000002</v>
      </c>
    </row>
    <row r="34" spans="5:12" x14ac:dyDescent="0.4">
      <c r="E34" s="40" t="s">
        <v>77</v>
      </c>
      <c r="F34" s="37" t="s">
        <v>32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220.8</v>
      </c>
    </row>
    <row r="35" spans="5:12" x14ac:dyDescent="0.4">
      <c r="E35" s="40" t="s">
        <v>81</v>
      </c>
      <c r="F35" s="37" t="s">
        <v>36</v>
      </c>
      <c r="G35" s="25">
        <v>0</v>
      </c>
      <c r="H35" s="104">
        <f>IF(B$31=0,0,G35/B$31)</f>
        <v>0</v>
      </c>
      <c r="I35" s="65">
        <v>3</v>
      </c>
      <c r="K35" s="17">
        <v>33</v>
      </c>
      <c r="L35" s="70">
        <v>270.8</v>
      </c>
    </row>
    <row r="36" spans="5:12" x14ac:dyDescent="0.4">
      <c r="E36" s="40" t="s">
        <v>83</v>
      </c>
      <c r="F36" s="37" t="s">
        <v>38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256.8</v>
      </c>
    </row>
    <row r="37" spans="5:12" x14ac:dyDescent="0.4">
      <c r="E37" s="40" t="s">
        <v>95</v>
      </c>
      <c r="F37" s="37" t="s">
        <v>50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253.4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236.3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257.40000000000003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206.80000000000004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198.60000000000005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191.60000000000005</v>
      </c>
    </row>
    <row r="43" spans="5:12" x14ac:dyDescent="0.4">
      <c r="E43" s="40" t="s">
        <v>102</v>
      </c>
      <c r="F43" s="37" t="s">
        <v>57</v>
      </c>
      <c r="G43" s="25">
        <v>0</v>
      </c>
      <c r="H43" s="104">
        <f>IF(B$31=0,0,G43/B$31)</f>
        <v>0</v>
      </c>
      <c r="I43" s="65">
        <v>3</v>
      </c>
      <c r="K43" s="17">
        <v>41</v>
      </c>
      <c r="L43" s="70">
        <v>155.20000000000005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146.70000000000005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155.10000000000005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144.70000000000005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172.60000000000005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152.10000000000005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121.00000000000006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137.20000000000005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132.30000000000004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145.10000000000005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145.80000000000004</v>
      </c>
    </row>
    <row r="54" spans="5:12" x14ac:dyDescent="0.4">
      <c r="K54" s="17">
        <v>52</v>
      </c>
      <c r="L54" s="70">
        <v>139.10000000000005</v>
      </c>
    </row>
    <row r="55" spans="5:12" x14ac:dyDescent="0.4">
      <c r="K55" s="17">
        <v>53</v>
      </c>
      <c r="L55" s="70">
        <v>111.10000000000005</v>
      </c>
    </row>
    <row r="56" spans="5:12" x14ac:dyDescent="0.4">
      <c r="K56" s="17">
        <v>54</v>
      </c>
      <c r="L56" s="70">
        <v>127.80000000000005</v>
      </c>
    </row>
    <row r="57" spans="5:12" x14ac:dyDescent="0.4">
      <c r="K57" s="17">
        <v>55</v>
      </c>
      <c r="L57" s="70">
        <v>120.80000000000005</v>
      </c>
    </row>
    <row r="58" spans="5:12" x14ac:dyDescent="0.4">
      <c r="K58" s="17">
        <v>56</v>
      </c>
      <c r="L58" s="70">
        <v>152.40000000000006</v>
      </c>
    </row>
    <row r="59" spans="5:12" x14ac:dyDescent="0.4">
      <c r="K59" s="17">
        <v>57</v>
      </c>
      <c r="L59" s="70">
        <v>168.20000000000007</v>
      </c>
    </row>
    <row r="60" spans="5:12" x14ac:dyDescent="0.4">
      <c r="K60" s="17">
        <v>58</v>
      </c>
      <c r="L60" s="70">
        <v>225.20000000000007</v>
      </c>
    </row>
    <row r="61" spans="5:12" x14ac:dyDescent="0.4">
      <c r="K61" s="17">
        <v>59</v>
      </c>
      <c r="L61" s="70">
        <v>230.50000000000009</v>
      </c>
    </row>
    <row r="62" spans="5:12" x14ac:dyDescent="0.4">
      <c r="K62" s="17">
        <v>60</v>
      </c>
      <c r="L62" s="70">
        <v>184.40000000000009</v>
      </c>
    </row>
    <row r="63" spans="5:12" x14ac:dyDescent="0.4">
      <c r="K63" s="17">
        <v>61</v>
      </c>
      <c r="L63" s="70">
        <v>205.50000000000009</v>
      </c>
    </row>
    <row r="64" spans="5:12" x14ac:dyDescent="0.4">
      <c r="K64" s="17">
        <v>62</v>
      </c>
      <c r="L64" s="70">
        <v>139.50000000000009</v>
      </c>
    </row>
    <row r="65" spans="11:12" x14ac:dyDescent="0.4">
      <c r="K65" s="17">
        <v>63</v>
      </c>
      <c r="L65" s="70">
        <v>134.50000000000009</v>
      </c>
    </row>
    <row r="66" spans="11:12" x14ac:dyDescent="0.4">
      <c r="K66" s="17">
        <v>64</v>
      </c>
      <c r="L66" s="70">
        <v>135.50000000000009</v>
      </c>
    </row>
    <row r="67" spans="11:12" x14ac:dyDescent="0.4">
      <c r="K67" s="17">
        <v>65</v>
      </c>
      <c r="L67" s="70">
        <v>167.10000000000008</v>
      </c>
    </row>
    <row r="68" spans="11:12" x14ac:dyDescent="0.4">
      <c r="K68" s="17">
        <v>66</v>
      </c>
      <c r="L68" s="70">
        <v>148.10000000000008</v>
      </c>
    </row>
    <row r="69" spans="11:12" x14ac:dyDescent="0.4">
      <c r="K69" s="17">
        <v>67</v>
      </c>
      <c r="L69" s="70">
        <v>138.20000000000007</v>
      </c>
    </row>
    <row r="70" spans="11:12" x14ac:dyDescent="0.4">
      <c r="K70" s="17">
        <v>68</v>
      </c>
      <c r="L70" s="70">
        <v>139.10000000000008</v>
      </c>
    </row>
    <row r="71" spans="11:12" x14ac:dyDescent="0.4">
      <c r="K71" s="17">
        <v>69</v>
      </c>
      <c r="L71" s="70">
        <v>171.40000000000009</v>
      </c>
    </row>
    <row r="72" spans="11:12" x14ac:dyDescent="0.4">
      <c r="K72" s="17">
        <v>70</v>
      </c>
      <c r="L72" s="70">
        <v>199.8000000000001</v>
      </c>
    </row>
    <row r="73" spans="11:12" x14ac:dyDescent="0.4">
      <c r="K73" s="17">
        <v>71</v>
      </c>
      <c r="L73" s="70">
        <v>192.40000000000009</v>
      </c>
    </row>
    <row r="74" spans="11:12" x14ac:dyDescent="0.4">
      <c r="K74" s="17">
        <v>72</v>
      </c>
      <c r="L74" s="70">
        <v>210.7000000000001</v>
      </c>
    </row>
    <row r="75" spans="11:12" x14ac:dyDescent="0.4">
      <c r="K75" s="17">
        <v>73</v>
      </c>
      <c r="L75" s="70">
        <v>196.8000000000001</v>
      </c>
    </row>
    <row r="76" spans="11:12" x14ac:dyDescent="0.4">
      <c r="K76" s="17">
        <v>74</v>
      </c>
      <c r="L76" s="70">
        <v>236.8000000000001</v>
      </c>
    </row>
    <row r="77" spans="11:12" x14ac:dyDescent="0.4">
      <c r="K77" s="17">
        <v>75</v>
      </c>
      <c r="L77" s="70">
        <v>242.00000000000009</v>
      </c>
    </row>
    <row r="78" spans="11:12" x14ac:dyDescent="0.4">
      <c r="K78" s="17">
        <v>76</v>
      </c>
      <c r="L78" s="70">
        <v>228.3000000000001</v>
      </c>
    </row>
    <row r="79" spans="11:12" x14ac:dyDescent="0.4">
      <c r="K79" s="17">
        <v>77</v>
      </c>
      <c r="L79" s="70">
        <v>233.40000000000009</v>
      </c>
    </row>
    <row r="80" spans="11:12" x14ac:dyDescent="0.4">
      <c r="K80" s="17">
        <v>78</v>
      </c>
      <c r="L80" s="70">
        <v>265.30000000000007</v>
      </c>
    </row>
    <row r="81" spans="11:12" x14ac:dyDescent="0.4">
      <c r="K81" s="17">
        <v>79</v>
      </c>
      <c r="L81" s="70">
        <v>305.30000000000007</v>
      </c>
    </row>
    <row r="82" spans="11:12" x14ac:dyDescent="0.4">
      <c r="K82" s="17">
        <v>80</v>
      </c>
      <c r="L82" s="70">
        <v>327.80000000000007</v>
      </c>
    </row>
    <row r="83" spans="11:12" x14ac:dyDescent="0.4">
      <c r="K83" s="17">
        <v>81</v>
      </c>
      <c r="L83" s="70">
        <v>359.30000000000007</v>
      </c>
    </row>
    <row r="84" spans="11:12" x14ac:dyDescent="0.4">
      <c r="K84" s="17">
        <v>82</v>
      </c>
      <c r="L84" s="70">
        <v>419.10000000000008</v>
      </c>
    </row>
    <row r="85" spans="11:12" x14ac:dyDescent="0.4">
      <c r="K85" s="17">
        <v>83</v>
      </c>
      <c r="L85" s="70">
        <v>430.2000000000001</v>
      </c>
    </row>
    <row r="86" spans="11:12" x14ac:dyDescent="0.4">
      <c r="K86" s="17">
        <v>84</v>
      </c>
      <c r="L86" s="70">
        <v>431.80000000000013</v>
      </c>
    </row>
    <row r="87" spans="11:12" x14ac:dyDescent="0.4">
      <c r="K87" s="17">
        <v>85</v>
      </c>
      <c r="L87" s="70">
        <v>410.40000000000015</v>
      </c>
    </row>
    <row r="88" spans="11:12" x14ac:dyDescent="0.4">
      <c r="K88" s="17">
        <v>86</v>
      </c>
      <c r="L88" s="70">
        <v>413.90000000000015</v>
      </c>
    </row>
    <row r="89" spans="11:12" x14ac:dyDescent="0.4">
      <c r="K89" s="17">
        <v>87</v>
      </c>
      <c r="L89" s="70">
        <v>368.40000000000015</v>
      </c>
    </row>
    <row r="90" spans="11:12" x14ac:dyDescent="0.4">
      <c r="K90" s="17">
        <v>88</v>
      </c>
      <c r="L90" s="70">
        <v>367.80000000000013</v>
      </c>
    </row>
    <row r="91" spans="11:12" x14ac:dyDescent="0.4">
      <c r="K91" s="17">
        <v>89</v>
      </c>
      <c r="L91" s="70">
        <v>394.2000000000001</v>
      </c>
    </row>
    <row r="92" spans="11:12" x14ac:dyDescent="0.4">
      <c r="K92" s="17">
        <v>90</v>
      </c>
      <c r="L92" s="70">
        <v>403.90000000000009</v>
      </c>
    </row>
    <row r="93" spans="11:12" x14ac:dyDescent="0.4">
      <c r="K93" s="17">
        <v>91</v>
      </c>
      <c r="L93" s="70">
        <v>425.00000000000011</v>
      </c>
    </row>
    <row r="94" spans="11:12" x14ac:dyDescent="0.4">
      <c r="K94" s="17">
        <v>92</v>
      </c>
      <c r="L94" s="70">
        <v>468.10000000000014</v>
      </c>
    </row>
    <row r="95" spans="11:12" x14ac:dyDescent="0.4">
      <c r="K95" s="17">
        <v>93</v>
      </c>
      <c r="L95" s="70">
        <v>462.10000000000014</v>
      </c>
    </row>
    <row r="96" spans="11:12" x14ac:dyDescent="0.4">
      <c r="K96" s="17">
        <v>94</v>
      </c>
      <c r="L96" s="70">
        <v>424.60000000000014</v>
      </c>
    </row>
    <row r="97" spans="11:12" x14ac:dyDescent="0.4">
      <c r="K97" s="17">
        <v>95</v>
      </c>
      <c r="L97" s="70">
        <v>385.10000000000014</v>
      </c>
    </row>
    <row r="98" spans="11:12" x14ac:dyDescent="0.4">
      <c r="K98" s="17">
        <v>96</v>
      </c>
      <c r="L98" s="70">
        <v>396.20000000000016</v>
      </c>
    </row>
    <row r="99" spans="11:12" x14ac:dyDescent="0.4">
      <c r="K99" s="17">
        <v>97</v>
      </c>
      <c r="L99" s="70">
        <v>394.20000000000016</v>
      </c>
    </row>
    <row r="100" spans="11:12" x14ac:dyDescent="0.4">
      <c r="K100" s="17">
        <v>98</v>
      </c>
      <c r="L100" s="70">
        <v>437.70000000000016</v>
      </c>
    </row>
    <row r="101" spans="11:12" x14ac:dyDescent="0.4">
      <c r="K101" s="17">
        <v>99</v>
      </c>
      <c r="L101" s="70">
        <v>432.10000000000014</v>
      </c>
    </row>
    <row r="102" spans="11:12" x14ac:dyDescent="0.4">
      <c r="K102" s="17">
        <v>100</v>
      </c>
      <c r="L102" s="70">
        <v>424.70000000000016</v>
      </c>
    </row>
    <row r="103" spans="11:12" x14ac:dyDescent="0.4">
      <c r="K103" s="17">
        <v>101</v>
      </c>
      <c r="L103" s="70">
        <v>386.70000000000016</v>
      </c>
    </row>
    <row r="104" spans="11:12" x14ac:dyDescent="0.4">
      <c r="K104" s="17">
        <v>102</v>
      </c>
      <c r="L104" s="70">
        <v>367.90000000000015</v>
      </c>
    </row>
    <row r="105" spans="11:12" x14ac:dyDescent="0.4">
      <c r="K105" s="17">
        <v>103</v>
      </c>
      <c r="L105" s="70">
        <v>394.90000000000015</v>
      </c>
    </row>
    <row r="106" spans="11:12" x14ac:dyDescent="0.4">
      <c r="K106" s="17">
        <v>104</v>
      </c>
      <c r="L106" s="70">
        <v>439.50000000000017</v>
      </c>
    </row>
    <row r="107" spans="11:12" x14ac:dyDescent="0.4">
      <c r="K107" s="17">
        <v>105</v>
      </c>
      <c r="L107" s="70">
        <v>446.50000000000017</v>
      </c>
    </row>
    <row r="108" spans="11:12" x14ac:dyDescent="0.4">
      <c r="K108" s="17">
        <v>106</v>
      </c>
      <c r="L108" s="70">
        <v>435.20000000000016</v>
      </c>
    </row>
    <row r="109" spans="11:12" x14ac:dyDescent="0.4">
      <c r="K109" s="17">
        <v>107</v>
      </c>
      <c r="L109" s="70">
        <v>419.70000000000016</v>
      </c>
    </row>
    <row r="110" spans="11:12" x14ac:dyDescent="0.4">
      <c r="K110" s="17">
        <v>108</v>
      </c>
      <c r="L110" s="70">
        <v>400.40000000000015</v>
      </c>
    </row>
    <row r="111" spans="11:12" x14ac:dyDescent="0.4">
      <c r="K111" s="17">
        <v>109</v>
      </c>
      <c r="L111" s="70">
        <v>424.40000000000015</v>
      </c>
    </row>
    <row r="112" spans="11:12" x14ac:dyDescent="0.4">
      <c r="K112" s="17">
        <v>110</v>
      </c>
      <c r="L112" s="70">
        <v>443.90000000000015</v>
      </c>
    </row>
    <row r="113" spans="11:12" x14ac:dyDescent="0.4">
      <c r="K113" s="17">
        <v>111</v>
      </c>
      <c r="L113" s="70">
        <v>438.50000000000017</v>
      </c>
    </row>
    <row r="114" spans="11:12" x14ac:dyDescent="0.4">
      <c r="K114" s="17">
        <v>112</v>
      </c>
      <c r="L114" s="70">
        <v>494.50000000000017</v>
      </c>
    </row>
    <row r="115" spans="11:12" x14ac:dyDescent="0.4">
      <c r="K115" s="17">
        <v>113</v>
      </c>
      <c r="L115" s="70">
        <v>511.60000000000019</v>
      </c>
    </row>
    <row r="116" spans="11:12" x14ac:dyDescent="0.4">
      <c r="K116" s="17">
        <v>114</v>
      </c>
      <c r="L116" s="70">
        <v>473.60000000000019</v>
      </c>
    </row>
    <row r="117" spans="11:12" x14ac:dyDescent="0.4">
      <c r="K117" s="17">
        <v>115</v>
      </c>
      <c r="L117" s="70">
        <v>490.10000000000019</v>
      </c>
    </row>
    <row r="118" spans="11:12" x14ac:dyDescent="0.4">
      <c r="K118" s="17">
        <v>116</v>
      </c>
      <c r="L118" s="70">
        <v>505.4000000000002</v>
      </c>
    </row>
    <row r="119" spans="11:12" x14ac:dyDescent="0.4">
      <c r="K119" s="17">
        <v>117</v>
      </c>
      <c r="L119" s="70">
        <v>517.00000000000023</v>
      </c>
    </row>
    <row r="120" spans="11:12" x14ac:dyDescent="0.4">
      <c r="K120" s="17">
        <v>118</v>
      </c>
      <c r="L120" s="70">
        <v>533.9000000000002</v>
      </c>
    </row>
    <row r="121" spans="11:12" x14ac:dyDescent="0.4">
      <c r="K121" s="17">
        <v>119</v>
      </c>
      <c r="L121" s="70">
        <v>496.4000000000002</v>
      </c>
    </row>
    <row r="122" spans="11:12" x14ac:dyDescent="0.4">
      <c r="K122" s="17">
        <v>120</v>
      </c>
      <c r="L122" s="70">
        <v>534.9000000000002</v>
      </c>
    </row>
    <row r="123" spans="11:12" x14ac:dyDescent="0.4">
      <c r="K123" s="17">
        <v>121</v>
      </c>
      <c r="L123" s="70">
        <v>488.4000000000002</v>
      </c>
    </row>
    <row r="124" spans="11:12" x14ac:dyDescent="0.4">
      <c r="K124" s="17">
        <v>122</v>
      </c>
      <c r="L124" s="70">
        <v>501.60000000000019</v>
      </c>
    </row>
    <row r="125" spans="11:12" x14ac:dyDescent="0.4">
      <c r="K125" s="17">
        <v>123</v>
      </c>
      <c r="L125" s="70">
        <v>482.10000000000019</v>
      </c>
    </row>
    <row r="126" spans="11:12" x14ac:dyDescent="0.4">
      <c r="K126" s="17">
        <v>124</v>
      </c>
      <c r="L126" s="70">
        <v>523.50000000000023</v>
      </c>
    </row>
    <row r="127" spans="11:12" x14ac:dyDescent="0.4">
      <c r="K127" s="17">
        <v>125</v>
      </c>
      <c r="L127" s="70">
        <v>550.60000000000025</v>
      </c>
    </row>
    <row r="128" spans="11:12" x14ac:dyDescent="0.4">
      <c r="K128" s="17">
        <v>126</v>
      </c>
      <c r="L128" s="70">
        <v>559.10000000000025</v>
      </c>
    </row>
    <row r="129" spans="11:12" x14ac:dyDescent="0.4">
      <c r="K129" s="17">
        <v>127</v>
      </c>
      <c r="L129" s="70">
        <v>602.4000000000002</v>
      </c>
    </row>
    <row r="130" spans="11:12" x14ac:dyDescent="0.4">
      <c r="K130" s="17">
        <v>128</v>
      </c>
      <c r="L130" s="70">
        <v>628.4000000000002</v>
      </c>
    </row>
    <row r="131" spans="11:12" x14ac:dyDescent="0.4">
      <c r="K131" s="17">
        <v>129</v>
      </c>
      <c r="L131" s="70">
        <v>639.4000000000002</v>
      </c>
    </row>
    <row r="132" spans="11:12" x14ac:dyDescent="0.4">
      <c r="K132" s="17">
        <v>130</v>
      </c>
      <c r="L132" s="70">
        <v>680.4000000000002</v>
      </c>
    </row>
    <row r="133" spans="11:12" x14ac:dyDescent="0.4">
      <c r="K133" s="17">
        <v>131</v>
      </c>
      <c r="L133" s="70">
        <v>660.60000000000025</v>
      </c>
    </row>
    <row r="134" spans="11:12" x14ac:dyDescent="0.4">
      <c r="K134" s="17">
        <v>132</v>
      </c>
      <c r="L134" s="70">
        <v>698.20000000000027</v>
      </c>
    </row>
    <row r="135" spans="11:12" x14ac:dyDescent="0.4">
      <c r="K135" s="17">
        <v>133</v>
      </c>
      <c r="L135" s="70">
        <v>706.00000000000023</v>
      </c>
    </row>
    <row r="136" spans="11:12" x14ac:dyDescent="0.4">
      <c r="K136" s="17">
        <v>134</v>
      </c>
      <c r="L136" s="70">
        <v>774.10000000000025</v>
      </c>
    </row>
    <row r="137" spans="11:12" x14ac:dyDescent="0.4">
      <c r="K137" s="17">
        <v>135</v>
      </c>
      <c r="L137" s="70">
        <v>779.3000000000003</v>
      </c>
    </row>
    <row r="138" spans="11:12" x14ac:dyDescent="0.4">
      <c r="K138" s="17">
        <v>136</v>
      </c>
      <c r="L138" s="70">
        <v>795.50000000000034</v>
      </c>
    </row>
    <row r="139" spans="11:12" x14ac:dyDescent="0.4">
      <c r="K139" s="17">
        <v>137</v>
      </c>
      <c r="L139" s="70">
        <v>819.70000000000039</v>
      </c>
    </row>
    <row r="140" spans="11:12" x14ac:dyDescent="0.4">
      <c r="K140" s="17">
        <v>138</v>
      </c>
      <c r="L140" s="70">
        <v>840.30000000000041</v>
      </c>
    </row>
    <row r="141" spans="11:12" x14ac:dyDescent="0.4">
      <c r="K141" s="17">
        <v>139</v>
      </c>
      <c r="L141" s="70">
        <v>847.60000000000036</v>
      </c>
    </row>
    <row r="142" spans="11:12" x14ac:dyDescent="0.4">
      <c r="K142" s="17">
        <v>140</v>
      </c>
      <c r="L142" s="70">
        <v>852.40000000000032</v>
      </c>
    </row>
    <row r="143" spans="11:12" x14ac:dyDescent="0.4">
      <c r="K143" s="17">
        <v>141</v>
      </c>
      <c r="L143" s="70">
        <v>856.50000000000034</v>
      </c>
    </row>
    <row r="144" spans="11:12" x14ac:dyDescent="0.4">
      <c r="K144" s="17">
        <v>142</v>
      </c>
      <c r="L144" s="70">
        <v>844.50000000000034</v>
      </c>
    </row>
    <row r="145" spans="11:12" x14ac:dyDescent="0.4">
      <c r="K145" s="17">
        <v>143</v>
      </c>
      <c r="L145" s="70">
        <v>857.00000000000034</v>
      </c>
    </row>
    <row r="146" spans="11:12" x14ac:dyDescent="0.4">
      <c r="K146" s="17">
        <v>144</v>
      </c>
      <c r="L146" s="70">
        <v>844.10000000000036</v>
      </c>
    </row>
    <row r="147" spans="11:12" x14ac:dyDescent="0.4">
      <c r="K147" s="17">
        <v>145</v>
      </c>
      <c r="L147" s="70">
        <v>859.70000000000039</v>
      </c>
    </row>
    <row r="148" spans="11:12" x14ac:dyDescent="0.4">
      <c r="K148" s="17">
        <v>146</v>
      </c>
      <c r="L148" s="70">
        <v>875.30000000000041</v>
      </c>
    </row>
    <row r="149" spans="11:12" x14ac:dyDescent="0.4">
      <c r="K149" s="17">
        <v>147</v>
      </c>
      <c r="L149" s="70">
        <v>839.30000000000041</v>
      </c>
    </row>
    <row r="150" spans="11:12" x14ac:dyDescent="0.4">
      <c r="K150" s="17">
        <v>148</v>
      </c>
      <c r="L150" s="70">
        <v>809.70000000000039</v>
      </c>
    </row>
    <row r="151" spans="11:12" x14ac:dyDescent="0.4">
      <c r="K151" s="17">
        <v>149</v>
      </c>
      <c r="L151" s="70">
        <v>816.50000000000034</v>
      </c>
    </row>
    <row r="152" spans="11:12" x14ac:dyDescent="0.4">
      <c r="K152" s="17">
        <v>150</v>
      </c>
      <c r="L152" s="70">
        <v>802.50000000000034</v>
      </c>
    </row>
    <row r="153" spans="11:12" x14ac:dyDescent="0.4">
      <c r="K153" s="17">
        <v>151</v>
      </c>
      <c r="L153" s="70">
        <v>792.50000000000034</v>
      </c>
    </row>
    <row r="154" spans="11:12" x14ac:dyDescent="0.4">
      <c r="K154" s="17">
        <v>152</v>
      </c>
      <c r="L154" s="70">
        <v>837.10000000000036</v>
      </c>
    </row>
    <row r="155" spans="11:12" x14ac:dyDescent="0.4">
      <c r="K155" s="17">
        <v>153</v>
      </c>
      <c r="L155" s="70">
        <v>832.40000000000032</v>
      </c>
    </row>
    <row r="156" spans="11:12" x14ac:dyDescent="0.4">
      <c r="K156" s="17">
        <v>154</v>
      </c>
      <c r="L156" s="70">
        <v>846.8000000000003</v>
      </c>
    </row>
    <row r="157" spans="11:12" x14ac:dyDescent="0.4">
      <c r="K157" s="17">
        <v>155</v>
      </c>
      <c r="L157" s="70">
        <v>832.8000000000003</v>
      </c>
    </row>
    <row r="158" spans="11:12" x14ac:dyDescent="0.4">
      <c r="K158" s="17">
        <v>156</v>
      </c>
      <c r="L158" s="70">
        <v>839.90000000000032</v>
      </c>
    </row>
    <row r="159" spans="11:12" x14ac:dyDescent="0.4">
      <c r="K159" s="17">
        <v>157</v>
      </c>
      <c r="L159" s="70">
        <v>859.60000000000036</v>
      </c>
    </row>
    <row r="160" spans="11:12" x14ac:dyDescent="0.4">
      <c r="K160" s="17">
        <v>158</v>
      </c>
      <c r="L160" s="70">
        <v>883.40000000000032</v>
      </c>
    </row>
    <row r="161" spans="11:12" x14ac:dyDescent="0.4">
      <c r="K161" s="17">
        <v>159</v>
      </c>
      <c r="L161" s="70">
        <v>878.60000000000036</v>
      </c>
    </row>
    <row r="162" spans="11:12" x14ac:dyDescent="0.4">
      <c r="K162" s="17">
        <v>160</v>
      </c>
      <c r="L162" s="70">
        <v>911.10000000000036</v>
      </c>
    </row>
    <row r="163" spans="11:12" x14ac:dyDescent="0.4">
      <c r="K163" s="17">
        <v>161</v>
      </c>
      <c r="L163" s="70">
        <v>928.20000000000039</v>
      </c>
    </row>
    <row r="164" spans="11:12" x14ac:dyDescent="0.4">
      <c r="K164" s="17">
        <v>162</v>
      </c>
      <c r="L164" s="70">
        <v>940.50000000000034</v>
      </c>
    </row>
    <row r="165" spans="11:12" x14ac:dyDescent="0.4">
      <c r="K165" s="17">
        <v>163</v>
      </c>
      <c r="L165" s="70">
        <v>964.8000000000003</v>
      </c>
    </row>
    <row r="166" spans="11:12" x14ac:dyDescent="0.4">
      <c r="K166" s="17">
        <v>164</v>
      </c>
      <c r="L166" s="70">
        <v>952.60000000000025</v>
      </c>
    </row>
    <row r="167" spans="11:12" x14ac:dyDescent="0.4">
      <c r="K167" s="17">
        <v>165</v>
      </c>
      <c r="L167" s="70">
        <v>950.60000000000025</v>
      </c>
    </row>
    <row r="168" spans="11:12" x14ac:dyDescent="0.4">
      <c r="K168" s="17">
        <v>166</v>
      </c>
      <c r="L168" s="70">
        <v>910.00000000000023</v>
      </c>
    </row>
    <row r="169" spans="11:12" x14ac:dyDescent="0.4">
      <c r="K169" s="17">
        <v>167</v>
      </c>
      <c r="L169" s="70">
        <v>931.70000000000027</v>
      </c>
    </row>
    <row r="170" spans="11:12" x14ac:dyDescent="0.4">
      <c r="K170" s="17">
        <v>168</v>
      </c>
      <c r="L170" s="70">
        <v>972.40000000000032</v>
      </c>
    </row>
    <row r="171" spans="11:12" x14ac:dyDescent="0.4">
      <c r="K171" s="17">
        <v>169</v>
      </c>
      <c r="L171" s="70">
        <v>980.40000000000032</v>
      </c>
    </row>
    <row r="172" spans="11:12" x14ac:dyDescent="0.4">
      <c r="K172" s="17">
        <v>170</v>
      </c>
      <c r="L172" s="70">
        <v>988.10000000000036</v>
      </c>
    </row>
    <row r="173" spans="11:12" x14ac:dyDescent="0.4">
      <c r="K173" s="17">
        <v>171</v>
      </c>
      <c r="L173" s="70">
        <v>919.10000000000036</v>
      </c>
    </row>
    <row r="174" spans="11:12" x14ac:dyDescent="0.4">
      <c r="K174" s="17">
        <v>172</v>
      </c>
      <c r="L174" s="70">
        <v>916.10000000000036</v>
      </c>
    </row>
    <row r="175" spans="11:12" x14ac:dyDescent="0.4">
      <c r="K175" s="17">
        <v>173</v>
      </c>
      <c r="L175" s="70">
        <v>913.50000000000034</v>
      </c>
    </row>
    <row r="176" spans="11:12" x14ac:dyDescent="0.4">
      <c r="K176" s="17">
        <v>174</v>
      </c>
      <c r="L176" s="70">
        <v>972.50000000000034</v>
      </c>
    </row>
    <row r="177" spans="11:12" x14ac:dyDescent="0.4">
      <c r="K177" s="17">
        <v>175</v>
      </c>
      <c r="L177" s="70">
        <v>972.50000000000034</v>
      </c>
    </row>
    <row r="178" spans="11:12" x14ac:dyDescent="0.4">
      <c r="K178" s="17">
        <v>176</v>
      </c>
      <c r="L178" s="70">
        <v>952.00000000000034</v>
      </c>
    </row>
    <row r="179" spans="11:12" x14ac:dyDescent="0.4">
      <c r="K179" s="17">
        <v>177</v>
      </c>
      <c r="L179" s="70">
        <v>948.60000000000036</v>
      </c>
    </row>
    <row r="180" spans="11:12" x14ac:dyDescent="0.4">
      <c r="K180" s="17">
        <v>178</v>
      </c>
      <c r="L180" s="70">
        <v>988.10000000000036</v>
      </c>
    </row>
    <row r="181" spans="11:12" x14ac:dyDescent="0.4">
      <c r="K181" s="17">
        <v>179</v>
      </c>
      <c r="L181" s="70">
        <v>1049.1000000000004</v>
      </c>
    </row>
    <row r="182" spans="11:12" x14ac:dyDescent="0.4">
      <c r="K182" s="17">
        <v>180</v>
      </c>
      <c r="L182" s="70">
        <v>1060.8000000000004</v>
      </c>
    </row>
    <row r="183" spans="11:12" x14ac:dyDescent="0.4">
      <c r="K183" s="17">
        <v>181</v>
      </c>
      <c r="L183" s="70">
        <v>1076.9000000000003</v>
      </c>
    </row>
    <row r="184" spans="11:12" x14ac:dyDescent="0.4">
      <c r="K184" s="17">
        <v>182</v>
      </c>
      <c r="L184" s="70">
        <v>1134.4000000000003</v>
      </c>
    </row>
    <row r="185" spans="11:12" x14ac:dyDescent="0.4">
      <c r="K185" s="17">
        <v>183</v>
      </c>
      <c r="L185" s="70">
        <v>1121.9000000000003</v>
      </c>
    </row>
    <row r="186" spans="11:12" x14ac:dyDescent="0.4">
      <c r="K186" s="17">
        <v>184</v>
      </c>
      <c r="L186" s="70">
        <v>1132.6000000000004</v>
      </c>
    </row>
    <row r="187" spans="11:12" x14ac:dyDescent="0.4">
      <c r="K187" s="17">
        <v>185</v>
      </c>
      <c r="L187" s="70">
        <v>1163.7000000000003</v>
      </c>
    </row>
    <row r="188" spans="11:12" x14ac:dyDescent="0.4">
      <c r="K188" s="17">
        <v>186</v>
      </c>
      <c r="L188" s="70">
        <v>1173.9000000000003</v>
      </c>
    </row>
    <row r="189" spans="11:12" x14ac:dyDescent="0.4">
      <c r="K189" s="17">
        <v>187</v>
      </c>
      <c r="L189" s="70">
        <v>1182.2000000000003</v>
      </c>
    </row>
    <row r="190" spans="11:12" x14ac:dyDescent="0.4">
      <c r="K190" s="17">
        <v>188</v>
      </c>
      <c r="L190" s="70">
        <v>1180.3000000000002</v>
      </c>
    </row>
    <row r="191" spans="11:12" x14ac:dyDescent="0.4">
      <c r="K191" s="17">
        <v>189</v>
      </c>
      <c r="L191" s="70">
        <v>1180.8000000000002</v>
      </c>
    </row>
    <row r="192" spans="11:12" x14ac:dyDescent="0.4">
      <c r="K192" s="17">
        <v>190</v>
      </c>
      <c r="L192" s="70">
        <v>1228.8000000000002</v>
      </c>
    </row>
    <row r="193" spans="11:12" x14ac:dyDescent="0.4">
      <c r="K193" s="17">
        <v>191</v>
      </c>
      <c r="L193" s="70">
        <v>1251.6000000000001</v>
      </c>
    </row>
    <row r="194" spans="11:12" x14ac:dyDescent="0.4">
      <c r="K194" s="17">
        <v>192</v>
      </c>
      <c r="L194" s="70">
        <v>1257.6000000000001</v>
      </c>
    </row>
    <row r="195" spans="11:12" x14ac:dyDescent="0.4">
      <c r="K195" s="17">
        <v>193</v>
      </c>
      <c r="L195" s="70">
        <v>1240.6000000000001</v>
      </c>
    </row>
    <row r="196" spans="11:12" x14ac:dyDescent="0.4">
      <c r="K196" s="17">
        <v>194</v>
      </c>
      <c r="L196" s="70">
        <v>1221.7</v>
      </c>
    </row>
    <row r="197" spans="11:12" x14ac:dyDescent="0.4">
      <c r="K197" s="17">
        <v>195</v>
      </c>
      <c r="L197" s="70">
        <v>1258.4000000000001</v>
      </c>
    </row>
    <row r="198" spans="11:12" x14ac:dyDescent="0.4">
      <c r="K198" s="17">
        <v>196</v>
      </c>
      <c r="L198" s="70">
        <v>1270.8000000000002</v>
      </c>
    </row>
    <row r="199" spans="11:12" x14ac:dyDescent="0.4">
      <c r="K199" s="17">
        <v>197</v>
      </c>
      <c r="L199" s="70">
        <v>1284.8000000000002</v>
      </c>
    </row>
    <row r="200" spans="11:12" x14ac:dyDescent="0.4">
      <c r="K200" s="17">
        <v>198</v>
      </c>
      <c r="L200" s="70">
        <v>1291.6000000000001</v>
      </c>
    </row>
    <row r="201" spans="11:12" x14ac:dyDescent="0.4">
      <c r="K201" s="17">
        <v>199</v>
      </c>
      <c r="L201" s="70">
        <v>1284.0000000000002</v>
      </c>
    </row>
    <row r="202" spans="11:12" x14ac:dyDescent="0.4">
      <c r="K202" s="17">
        <v>200</v>
      </c>
      <c r="L202" s="70">
        <v>1297.7000000000003</v>
      </c>
    </row>
    <row r="203" spans="11:12" x14ac:dyDescent="0.4">
      <c r="K203" s="17">
        <v>201</v>
      </c>
      <c r="L203" s="70">
        <v>1298.0000000000002</v>
      </c>
    </row>
    <row r="204" spans="11:12" x14ac:dyDescent="0.4">
      <c r="K204" s="17">
        <v>202</v>
      </c>
      <c r="L204" s="70">
        <v>1292.6000000000001</v>
      </c>
    </row>
    <row r="205" spans="11:12" x14ac:dyDescent="0.4">
      <c r="K205" s="17">
        <v>203</v>
      </c>
      <c r="L205" s="70">
        <v>1249.4000000000001</v>
      </c>
    </row>
    <row r="206" spans="11:12" x14ac:dyDescent="0.4">
      <c r="K206" s="17">
        <v>204</v>
      </c>
      <c r="L206" s="70">
        <v>1267.6000000000001</v>
      </c>
    </row>
    <row r="207" spans="11:12" x14ac:dyDescent="0.4">
      <c r="K207" s="17">
        <v>205</v>
      </c>
      <c r="L207" s="70">
        <v>1290.4000000000001</v>
      </c>
    </row>
    <row r="208" spans="11:12" x14ac:dyDescent="0.4">
      <c r="K208" s="17">
        <v>206</v>
      </c>
      <c r="L208" s="70">
        <v>1298.5</v>
      </c>
    </row>
    <row r="209" spans="11:12" x14ac:dyDescent="0.4">
      <c r="K209" s="17">
        <v>207</v>
      </c>
      <c r="L209" s="70">
        <v>1303.5</v>
      </c>
    </row>
    <row r="210" spans="11:12" x14ac:dyDescent="0.4">
      <c r="K210" s="17">
        <v>208</v>
      </c>
      <c r="L210" s="70">
        <v>1264.5</v>
      </c>
    </row>
    <row r="211" spans="11:12" x14ac:dyDescent="0.4">
      <c r="K211" s="17">
        <v>209</v>
      </c>
      <c r="L211" s="70">
        <v>1272.7</v>
      </c>
    </row>
    <row r="212" spans="11:12" x14ac:dyDescent="0.4">
      <c r="K212" s="17">
        <v>210</v>
      </c>
      <c r="L212" s="70">
        <v>1285.7</v>
      </c>
    </row>
    <row r="213" spans="11:12" x14ac:dyDescent="0.4">
      <c r="K213" s="17">
        <v>211</v>
      </c>
      <c r="L213" s="70">
        <v>1295.8</v>
      </c>
    </row>
    <row r="214" spans="11:12" x14ac:dyDescent="0.4">
      <c r="K214" s="17">
        <v>212</v>
      </c>
      <c r="L214" s="70">
        <v>1317.5</v>
      </c>
    </row>
    <row r="215" spans="11:12" x14ac:dyDescent="0.4">
      <c r="K215" s="17">
        <v>213</v>
      </c>
      <c r="L215" s="70">
        <v>1277.0999999999999</v>
      </c>
    </row>
    <row r="216" spans="11:12" x14ac:dyDescent="0.4">
      <c r="K216" s="17">
        <v>214</v>
      </c>
      <c r="L216" s="70">
        <v>1329.1999999999998</v>
      </c>
    </row>
    <row r="217" spans="11:12" x14ac:dyDescent="0.4">
      <c r="K217" s="17">
        <v>215</v>
      </c>
      <c r="L217" s="70">
        <v>1333.6999999999998</v>
      </c>
    </row>
    <row r="218" spans="11:12" x14ac:dyDescent="0.4">
      <c r="K218" s="17">
        <v>216</v>
      </c>
      <c r="L218" s="70">
        <v>1318.6999999999998</v>
      </c>
    </row>
    <row r="219" spans="11:12" x14ac:dyDescent="0.4">
      <c r="K219" s="17">
        <v>217</v>
      </c>
      <c r="L219" s="70">
        <v>1326.4999999999998</v>
      </c>
    </row>
    <row r="220" spans="11:12" x14ac:dyDescent="0.4">
      <c r="K220" s="17">
        <v>218</v>
      </c>
      <c r="L220" s="70">
        <v>1345.0999999999997</v>
      </c>
    </row>
    <row r="221" spans="11:12" x14ac:dyDescent="0.4">
      <c r="K221" s="17">
        <v>219</v>
      </c>
      <c r="L221" s="70">
        <v>1351.2999999999997</v>
      </c>
    </row>
    <row r="222" spans="11:12" x14ac:dyDescent="0.4">
      <c r="K222" s="17">
        <v>220</v>
      </c>
      <c r="L222" s="70">
        <v>1363.8999999999996</v>
      </c>
    </row>
    <row r="223" spans="11:12" x14ac:dyDescent="0.4">
      <c r="K223" s="17">
        <v>221</v>
      </c>
      <c r="L223" s="70">
        <v>1377.2999999999997</v>
      </c>
    </row>
    <row r="224" spans="11:12" x14ac:dyDescent="0.4">
      <c r="K224" s="17">
        <v>222</v>
      </c>
      <c r="L224" s="70">
        <v>1383.3999999999996</v>
      </c>
    </row>
    <row r="225" spans="11:12" x14ac:dyDescent="0.4">
      <c r="K225" s="17">
        <v>223</v>
      </c>
      <c r="L225" s="70">
        <v>1450.0999999999997</v>
      </c>
    </row>
    <row r="226" spans="11:12" x14ac:dyDescent="0.4">
      <c r="K226" s="17">
        <v>224</v>
      </c>
      <c r="L226" s="70">
        <v>1411.9999999999998</v>
      </c>
    </row>
    <row r="227" spans="11:12" x14ac:dyDescent="0.4">
      <c r="K227" s="17">
        <v>225</v>
      </c>
      <c r="L227" s="70">
        <v>1434.9999999999998</v>
      </c>
    </row>
    <row r="228" spans="11:12" x14ac:dyDescent="0.4">
      <c r="K228" s="17">
        <v>226</v>
      </c>
      <c r="L228" s="70">
        <v>1444.4999999999998</v>
      </c>
    </row>
    <row r="229" spans="11:12" x14ac:dyDescent="0.4">
      <c r="K229" s="17">
        <v>227</v>
      </c>
      <c r="L229" s="70">
        <v>1449.4999999999998</v>
      </c>
    </row>
    <row r="230" spans="11:12" x14ac:dyDescent="0.4">
      <c r="K230" s="17">
        <v>228</v>
      </c>
      <c r="L230" s="70">
        <v>1457.2999999999997</v>
      </c>
    </row>
    <row r="231" spans="11:12" x14ac:dyDescent="0.4">
      <c r="K231" s="17">
        <v>229</v>
      </c>
      <c r="L231" s="70">
        <v>1499.5999999999997</v>
      </c>
    </row>
    <row r="232" spans="11:12" x14ac:dyDescent="0.4">
      <c r="K232" s="17">
        <v>230</v>
      </c>
      <c r="L232" s="70">
        <v>1540.2999999999997</v>
      </c>
    </row>
    <row r="233" spans="11:12" x14ac:dyDescent="0.4">
      <c r="K233" s="17">
        <v>231</v>
      </c>
      <c r="L233" s="70">
        <v>1540.3999999999996</v>
      </c>
    </row>
    <row r="234" spans="11:12" x14ac:dyDescent="0.4">
      <c r="K234" s="17">
        <v>232</v>
      </c>
      <c r="L234" s="70">
        <v>1552.5999999999997</v>
      </c>
    </row>
    <row r="235" spans="11:12" x14ac:dyDescent="0.4">
      <c r="K235" s="17">
        <v>233</v>
      </c>
      <c r="L235" s="70">
        <v>1562.0999999999997</v>
      </c>
    </row>
    <row r="236" spans="11:12" x14ac:dyDescent="0.4">
      <c r="K236" s="17">
        <v>234</v>
      </c>
      <c r="L236" s="70">
        <v>1589.2999999999997</v>
      </c>
    </row>
    <row r="237" spans="11:12" x14ac:dyDescent="0.4">
      <c r="K237" s="17">
        <v>235</v>
      </c>
      <c r="L237" s="70">
        <v>1576.6999999999998</v>
      </c>
    </row>
    <row r="238" spans="11:12" x14ac:dyDescent="0.4">
      <c r="K238" s="17">
        <v>236</v>
      </c>
      <c r="L238" s="70">
        <v>1584.1999999999998</v>
      </c>
    </row>
    <row r="239" spans="11:12" x14ac:dyDescent="0.4">
      <c r="K239" s="17">
        <v>237</v>
      </c>
      <c r="L239" s="70">
        <v>1591.9999999999998</v>
      </c>
    </row>
    <row r="240" spans="11:12" x14ac:dyDescent="0.4">
      <c r="K240" s="17">
        <v>238</v>
      </c>
      <c r="L240" s="70">
        <v>1638.8999999999999</v>
      </c>
    </row>
    <row r="241" spans="11:12" x14ac:dyDescent="0.4">
      <c r="K241" s="17">
        <v>239</v>
      </c>
      <c r="L241" s="70">
        <v>1645.1999999999998</v>
      </c>
    </row>
    <row r="242" spans="11:12" x14ac:dyDescent="0.4">
      <c r="K242" s="17">
        <v>240</v>
      </c>
      <c r="L242" s="70">
        <v>1669.4999999999998</v>
      </c>
    </row>
    <row r="243" spans="11:12" x14ac:dyDescent="0.4">
      <c r="K243" s="17">
        <v>241</v>
      </c>
      <c r="L243" s="70">
        <v>1659.0999999999997</v>
      </c>
    </row>
    <row r="244" spans="11:12" x14ac:dyDescent="0.4">
      <c r="K244" s="17">
        <v>242</v>
      </c>
      <c r="L244" s="70">
        <v>1658.0999999999997</v>
      </c>
    </row>
    <row r="245" spans="11:12" x14ac:dyDescent="0.4">
      <c r="K245" s="17">
        <v>243</v>
      </c>
      <c r="L245" s="70">
        <v>1677.8999999999996</v>
      </c>
    </row>
    <row r="246" spans="11:12" x14ac:dyDescent="0.4">
      <c r="K246" s="17">
        <v>244</v>
      </c>
      <c r="L246" s="70">
        <v>1705.5999999999997</v>
      </c>
    </row>
    <row r="247" spans="11:12" x14ac:dyDescent="0.4">
      <c r="K247" s="17">
        <v>245</v>
      </c>
      <c r="L247" s="70">
        <v>1713.0999999999997</v>
      </c>
    </row>
    <row r="248" spans="11:12" x14ac:dyDescent="0.4">
      <c r="K248" s="17">
        <v>246</v>
      </c>
      <c r="L248" s="70">
        <v>1744.5999999999997</v>
      </c>
    </row>
    <row r="249" spans="11:12" x14ac:dyDescent="0.4">
      <c r="K249" s="17">
        <v>247</v>
      </c>
      <c r="L249" s="70">
        <v>1797.0999999999997</v>
      </c>
    </row>
    <row r="250" spans="11:12" x14ac:dyDescent="0.4">
      <c r="K250" s="17">
        <v>248</v>
      </c>
      <c r="L250" s="70">
        <v>1790.8999999999996</v>
      </c>
    </row>
    <row r="251" spans="11:12" x14ac:dyDescent="0.4">
      <c r="K251" s="17">
        <v>249</v>
      </c>
      <c r="L251" s="70">
        <v>1782.0999999999997</v>
      </c>
    </row>
    <row r="252" spans="11:12" x14ac:dyDescent="0.4">
      <c r="K252" s="17">
        <v>250</v>
      </c>
      <c r="L252" s="70">
        <v>1800.5999999999997</v>
      </c>
    </row>
    <row r="253" spans="11:12" x14ac:dyDescent="0.4">
      <c r="K253" s="17">
        <v>251</v>
      </c>
      <c r="L253" s="70">
        <v>1833.6999999999996</v>
      </c>
    </row>
    <row r="254" spans="11:12" x14ac:dyDescent="0.4">
      <c r="K254" s="17">
        <v>252</v>
      </c>
      <c r="L254" s="70">
        <v>1901.6999999999996</v>
      </c>
    </row>
    <row r="255" spans="11:12" x14ac:dyDescent="0.4">
      <c r="K255" s="17">
        <v>253</v>
      </c>
      <c r="L255" s="70">
        <v>1879.7999999999995</v>
      </c>
    </row>
    <row r="256" spans="11:12" x14ac:dyDescent="0.4">
      <c r="K256" s="17">
        <v>254</v>
      </c>
      <c r="L256" s="70">
        <v>1888.7999999999995</v>
      </c>
    </row>
    <row r="257" spans="11:12" x14ac:dyDescent="0.4">
      <c r="K257" s="17">
        <v>255</v>
      </c>
      <c r="L257" s="70">
        <v>1915.3999999999994</v>
      </c>
    </row>
    <row r="258" spans="11:12" x14ac:dyDescent="0.4">
      <c r="K258" s="17">
        <v>256</v>
      </c>
      <c r="L258" s="70">
        <v>1935.3999999999994</v>
      </c>
    </row>
    <row r="259" spans="11:12" x14ac:dyDescent="0.4">
      <c r="K259" s="17">
        <v>257</v>
      </c>
      <c r="L259" s="70">
        <v>1889.9999999999993</v>
      </c>
    </row>
    <row r="260" spans="11:12" x14ac:dyDescent="0.4">
      <c r="K260" s="17">
        <v>258</v>
      </c>
      <c r="L260" s="70">
        <v>1884.8999999999994</v>
      </c>
    </row>
    <row r="261" spans="11:12" x14ac:dyDescent="0.4">
      <c r="K261" s="17">
        <v>259</v>
      </c>
      <c r="L261" s="70">
        <v>1887.0999999999992</v>
      </c>
    </row>
    <row r="262" spans="11:12" x14ac:dyDescent="0.4">
      <c r="K262" s="17">
        <v>260</v>
      </c>
      <c r="L262" s="70">
        <v>1960.3999999999994</v>
      </c>
    </row>
    <row r="263" spans="11:12" x14ac:dyDescent="0.4">
      <c r="K263" s="17">
        <v>261</v>
      </c>
      <c r="L263" s="70">
        <v>2000.4999999999993</v>
      </c>
    </row>
    <row r="264" spans="11:12" x14ac:dyDescent="0.4">
      <c r="K264" s="17">
        <v>262</v>
      </c>
      <c r="L264" s="70">
        <v>2091.3999999999992</v>
      </c>
    </row>
    <row r="265" spans="11:12" x14ac:dyDescent="0.4">
      <c r="K265" s="17">
        <v>263</v>
      </c>
      <c r="L265" s="70">
        <v>2122.3999999999992</v>
      </c>
    </row>
    <row r="266" spans="11:12" x14ac:dyDescent="0.4">
      <c r="K266" s="17">
        <v>264</v>
      </c>
      <c r="L266" s="70">
        <v>2146.0999999999995</v>
      </c>
    </row>
    <row r="267" spans="11:12" x14ac:dyDescent="0.4">
      <c r="K267" s="17">
        <v>265</v>
      </c>
      <c r="L267" s="70">
        <v>2175.1999999999994</v>
      </c>
    </row>
    <row r="268" spans="11:12" x14ac:dyDescent="0.4">
      <c r="K268" s="17">
        <v>266</v>
      </c>
      <c r="L268" s="70">
        <v>2167.8999999999992</v>
      </c>
    </row>
    <row r="269" spans="11:12" x14ac:dyDescent="0.4">
      <c r="K269" s="17">
        <v>267</v>
      </c>
      <c r="L269" s="70">
        <v>2136.1999999999994</v>
      </c>
    </row>
    <row r="270" spans="11:12" x14ac:dyDescent="0.4">
      <c r="K270" s="17">
        <v>268</v>
      </c>
      <c r="L270" s="70">
        <v>2223.2999999999993</v>
      </c>
    </row>
    <row r="271" spans="11:12" x14ac:dyDescent="0.4">
      <c r="K271" s="17">
        <v>269</v>
      </c>
      <c r="L271" s="70">
        <v>2261.6999999999994</v>
      </c>
    </row>
    <row r="272" spans="11:12" x14ac:dyDescent="0.4">
      <c r="K272" s="17">
        <v>270</v>
      </c>
      <c r="L272" s="70">
        <v>2308.8999999999992</v>
      </c>
    </row>
    <row r="273" spans="11:12" x14ac:dyDescent="0.4">
      <c r="K273" s="17">
        <v>271</v>
      </c>
      <c r="L273" s="70">
        <v>2363.4999999999995</v>
      </c>
    </row>
    <row r="274" spans="11:12" x14ac:dyDescent="0.4">
      <c r="K274" s="17">
        <v>272</v>
      </c>
      <c r="L274" s="70">
        <v>2371.4999999999995</v>
      </c>
    </row>
    <row r="275" spans="11:12" x14ac:dyDescent="0.4">
      <c r="K275" s="17">
        <v>273</v>
      </c>
      <c r="L275" s="70">
        <v>2315.4999999999995</v>
      </c>
    </row>
    <row r="276" spans="11:12" x14ac:dyDescent="0.4">
      <c r="K276" s="17">
        <v>274</v>
      </c>
      <c r="L276" s="70">
        <v>2317.3999999999992</v>
      </c>
    </row>
    <row r="277" spans="11:12" x14ac:dyDescent="0.4">
      <c r="K277" s="17">
        <v>275</v>
      </c>
      <c r="L277" s="70">
        <v>2319.2999999999993</v>
      </c>
    </row>
    <row r="278" spans="11:12" x14ac:dyDescent="0.4">
      <c r="K278" s="17">
        <v>276</v>
      </c>
      <c r="L278" s="70">
        <v>2295.3999999999992</v>
      </c>
    </row>
    <row r="279" spans="11:12" x14ac:dyDescent="0.4">
      <c r="K279" s="17">
        <v>277</v>
      </c>
      <c r="L279" s="70">
        <v>2359.5999999999995</v>
      </c>
    </row>
    <row r="280" spans="11:12" x14ac:dyDescent="0.4">
      <c r="K280" s="17">
        <v>278</v>
      </c>
      <c r="L280" s="70">
        <v>2358.2999999999993</v>
      </c>
    </row>
    <row r="281" spans="11:12" x14ac:dyDescent="0.4">
      <c r="K281" s="17">
        <v>279</v>
      </c>
      <c r="L281" s="70">
        <v>2409.1999999999994</v>
      </c>
    </row>
    <row r="282" spans="11:12" x14ac:dyDescent="0.4">
      <c r="K282" s="17">
        <v>280</v>
      </c>
      <c r="L282" s="70">
        <v>2445.8999999999996</v>
      </c>
    </row>
    <row r="283" spans="11:12" x14ac:dyDescent="0.4">
      <c r="K283" s="17">
        <v>281</v>
      </c>
      <c r="L283" s="70">
        <v>2482.1999999999994</v>
      </c>
    </row>
    <row r="284" spans="11:12" x14ac:dyDescent="0.4">
      <c r="K284" s="17">
        <v>282</v>
      </c>
      <c r="L284" s="70">
        <v>2545.1999999999994</v>
      </c>
    </row>
    <row r="285" spans="11:12" x14ac:dyDescent="0.4">
      <c r="K285" s="17">
        <v>283</v>
      </c>
      <c r="L285" s="70">
        <v>2515.3999999999996</v>
      </c>
    </row>
    <row r="286" spans="11:12" x14ac:dyDescent="0.4">
      <c r="K286" s="17">
        <v>284</v>
      </c>
      <c r="L286" s="70">
        <v>2486.2999999999993</v>
      </c>
    </row>
    <row r="287" spans="11:12" x14ac:dyDescent="0.4">
      <c r="K287" s="17">
        <v>285</v>
      </c>
      <c r="L287" s="70">
        <v>2545.5999999999995</v>
      </c>
    </row>
    <row r="288" spans="11:12" x14ac:dyDescent="0.4">
      <c r="K288" s="17">
        <v>286</v>
      </c>
      <c r="L288" s="70">
        <v>2593.0999999999995</v>
      </c>
    </row>
    <row r="289" spans="11:12" x14ac:dyDescent="0.4">
      <c r="K289" s="17">
        <v>287</v>
      </c>
      <c r="L289" s="70">
        <v>2623.5999999999995</v>
      </c>
    </row>
    <row r="290" spans="11:12" x14ac:dyDescent="0.4">
      <c r="K290" s="17">
        <v>288</v>
      </c>
      <c r="L290" s="70">
        <v>2686.7999999999993</v>
      </c>
    </row>
    <row r="291" spans="11:12" x14ac:dyDescent="0.4">
      <c r="K291" s="17">
        <v>289</v>
      </c>
      <c r="L291" s="70">
        <v>2678.2999999999993</v>
      </c>
    </row>
    <row r="292" spans="11:12" x14ac:dyDescent="0.4">
      <c r="K292" s="17">
        <v>290</v>
      </c>
      <c r="L292" s="70">
        <v>2740.0999999999995</v>
      </c>
    </row>
    <row r="293" spans="11:12" x14ac:dyDescent="0.4">
      <c r="K293" s="17">
        <v>291</v>
      </c>
      <c r="L293" s="70">
        <v>2765.3999999999992</v>
      </c>
    </row>
    <row r="294" spans="11:12" x14ac:dyDescent="0.4">
      <c r="K294" s="17">
        <v>292</v>
      </c>
      <c r="L294" s="70">
        <v>2797.2999999999993</v>
      </c>
    </row>
    <row r="295" spans="11:12" x14ac:dyDescent="0.4">
      <c r="K295" s="17">
        <v>293</v>
      </c>
      <c r="L295" s="70">
        <v>2866.2999999999993</v>
      </c>
    </row>
    <row r="296" spans="11:12" x14ac:dyDescent="0.4">
      <c r="K296" s="17">
        <v>294</v>
      </c>
      <c r="L296" s="70">
        <v>2902.9999999999991</v>
      </c>
    </row>
    <row r="297" spans="11:12" x14ac:dyDescent="0.4">
      <c r="K297" s="17">
        <v>295</v>
      </c>
      <c r="L297" s="70">
        <v>2972.5999999999995</v>
      </c>
    </row>
    <row r="298" spans="11:12" x14ac:dyDescent="0.4">
      <c r="K298" s="17">
        <v>296</v>
      </c>
      <c r="L298" s="70">
        <v>3021.0999999999995</v>
      </c>
    </row>
    <row r="299" spans="11:12" x14ac:dyDescent="0.4">
      <c r="K299" s="17">
        <v>297</v>
      </c>
      <c r="L299" s="70">
        <v>2968.7999999999993</v>
      </c>
    </row>
    <row r="300" spans="11:12" x14ac:dyDescent="0.4">
      <c r="K300" s="17">
        <v>298</v>
      </c>
      <c r="L300" s="70">
        <v>3003.9999999999991</v>
      </c>
    </row>
    <row r="301" spans="11:12" x14ac:dyDescent="0.4">
      <c r="K301" s="17">
        <v>299</v>
      </c>
      <c r="L301" s="70">
        <v>3037.4999999999991</v>
      </c>
    </row>
    <row r="302" spans="11:12" x14ac:dyDescent="0.4">
      <c r="K302" s="17">
        <v>300</v>
      </c>
      <c r="L302" s="70">
        <v>3040.9999999999991</v>
      </c>
    </row>
    <row r="303" spans="11:12" x14ac:dyDescent="0.4">
      <c r="K303" s="17">
        <v>301</v>
      </c>
      <c r="L303" s="70">
        <v>3097.9999999999991</v>
      </c>
    </row>
    <row r="304" spans="11:12" x14ac:dyDescent="0.4">
      <c r="K304" s="17">
        <v>302</v>
      </c>
      <c r="L304" s="70">
        <v>3093.5999999999995</v>
      </c>
    </row>
    <row r="305" spans="11:12" x14ac:dyDescent="0.4">
      <c r="K305" s="17">
        <v>303</v>
      </c>
      <c r="L305" s="70">
        <v>3102.5999999999995</v>
      </c>
    </row>
    <row r="306" spans="11:12" x14ac:dyDescent="0.4">
      <c r="K306" s="17">
        <v>304</v>
      </c>
      <c r="L306" s="70">
        <v>3154.4999999999991</v>
      </c>
    </row>
    <row r="307" spans="11:12" x14ac:dyDescent="0.4">
      <c r="K307" s="17">
        <v>305</v>
      </c>
      <c r="L307" s="70">
        <v>3149.2999999999993</v>
      </c>
    </row>
    <row r="308" spans="11:12" x14ac:dyDescent="0.4">
      <c r="K308" s="17">
        <v>306</v>
      </c>
      <c r="L308" s="70">
        <v>3179.8999999999992</v>
      </c>
    </row>
    <row r="309" spans="11:12" x14ac:dyDescent="0.4">
      <c r="K309" s="17">
        <v>307</v>
      </c>
      <c r="L309" s="70">
        <v>3178.5999999999995</v>
      </c>
    </row>
    <row r="310" spans="11:12" x14ac:dyDescent="0.4">
      <c r="K310" s="17">
        <v>308</v>
      </c>
      <c r="L310" s="70">
        <v>3174.4999999999991</v>
      </c>
    </row>
    <row r="311" spans="11:12" x14ac:dyDescent="0.4">
      <c r="K311" s="17">
        <v>309</v>
      </c>
      <c r="L311" s="70">
        <v>3208.1999999999994</v>
      </c>
    </row>
    <row r="312" spans="11:12" x14ac:dyDescent="0.4">
      <c r="K312" s="17">
        <v>310</v>
      </c>
      <c r="L312" s="70">
        <v>3264.1999999999994</v>
      </c>
    </row>
    <row r="313" spans="11:12" x14ac:dyDescent="0.4">
      <c r="K313" s="17">
        <v>311</v>
      </c>
      <c r="L313" s="70">
        <v>3206.1999999999994</v>
      </c>
    </row>
    <row r="314" spans="11:12" x14ac:dyDescent="0.4">
      <c r="K314" s="17">
        <v>312</v>
      </c>
      <c r="L314" s="70">
        <v>3307.1999999999994</v>
      </c>
    </row>
    <row r="315" spans="11:12" x14ac:dyDescent="0.4">
      <c r="K315" s="17">
        <v>313</v>
      </c>
      <c r="L315" s="70">
        <v>3400.0999999999995</v>
      </c>
    </row>
    <row r="316" spans="11:12" x14ac:dyDescent="0.4">
      <c r="K316" s="17">
        <v>314</v>
      </c>
      <c r="L316" s="70">
        <v>3369.7999999999993</v>
      </c>
    </row>
    <row r="317" spans="11:12" x14ac:dyDescent="0.4">
      <c r="K317" s="17">
        <v>315</v>
      </c>
      <c r="L317" s="70">
        <v>3399.2</v>
      </c>
    </row>
    <row r="318" spans="11:12" x14ac:dyDescent="0.4">
      <c r="K318" s="17">
        <v>316</v>
      </c>
      <c r="L318" s="70">
        <v>3408.2</v>
      </c>
    </row>
    <row r="319" spans="11:12" x14ac:dyDescent="0.4">
      <c r="K319" s="17">
        <v>317</v>
      </c>
      <c r="L319" s="70">
        <v>3438.9999999999995</v>
      </c>
    </row>
    <row r="320" spans="11:12" x14ac:dyDescent="0.4">
      <c r="K320" s="17">
        <v>318</v>
      </c>
      <c r="L320" s="70">
        <v>3475.3999999999996</v>
      </c>
    </row>
    <row r="321" spans="11:12" x14ac:dyDescent="0.4">
      <c r="K321" s="17">
        <v>319</v>
      </c>
      <c r="L321" s="70">
        <v>3514.8999999999996</v>
      </c>
    </row>
    <row r="322" spans="11:12" x14ac:dyDescent="0.4">
      <c r="K322" s="17">
        <v>320</v>
      </c>
      <c r="L322" s="70">
        <v>3544.0999999999995</v>
      </c>
    </row>
    <row r="323" spans="11:12" x14ac:dyDescent="0.4">
      <c r="K323" s="17">
        <v>321</v>
      </c>
      <c r="L323" s="70">
        <v>3519.2999999999997</v>
      </c>
    </row>
    <row r="324" spans="11:12" x14ac:dyDescent="0.4">
      <c r="K324" s="17">
        <v>322</v>
      </c>
      <c r="L324" s="70">
        <v>3516.5</v>
      </c>
    </row>
    <row r="325" spans="11:12" x14ac:dyDescent="0.4">
      <c r="K325" s="17">
        <v>323</v>
      </c>
      <c r="L325" s="70">
        <v>3455.3999999999996</v>
      </c>
    </row>
    <row r="326" spans="11:12" x14ac:dyDescent="0.4">
      <c r="K326" s="17">
        <v>324</v>
      </c>
      <c r="L326" s="70">
        <v>3500.8</v>
      </c>
    </row>
    <row r="327" spans="11:12" x14ac:dyDescent="0.4">
      <c r="K327" s="17">
        <v>325</v>
      </c>
      <c r="L327" s="70">
        <v>3462.8</v>
      </c>
    </row>
    <row r="328" spans="11:12" x14ac:dyDescent="0.4">
      <c r="K328" s="17">
        <v>326</v>
      </c>
      <c r="L328" s="70">
        <v>3462.3</v>
      </c>
    </row>
    <row r="329" spans="11:12" x14ac:dyDescent="0.4">
      <c r="K329" s="17">
        <v>327</v>
      </c>
      <c r="L329" s="70">
        <v>3488.8999999999996</v>
      </c>
    </row>
    <row r="330" spans="11:12" x14ac:dyDescent="0.4">
      <c r="K330" s="17">
        <v>328</v>
      </c>
      <c r="L330" s="70">
        <v>3534.6</v>
      </c>
    </row>
    <row r="331" spans="11:12" x14ac:dyDescent="0.4">
      <c r="K331" s="17">
        <v>329</v>
      </c>
      <c r="L331" s="70">
        <v>3477.8</v>
      </c>
    </row>
    <row r="332" spans="11:12" x14ac:dyDescent="0.4">
      <c r="K332" s="17">
        <v>330</v>
      </c>
      <c r="L332" s="70">
        <v>3478.8999999999996</v>
      </c>
    </row>
    <row r="333" spans="11:12" x14ac:dyDescent="0.4">
      <c r="K333" s="17">
        <v>331</v>
      </c>
      <c r="L333" s="70">
        <v>3443.8</v>
      </c>
    </row>
    <row r="334" spans="11:12" x14ac:dyDescent="0.4">
      <c r="K334" s="17">
        <v>332</v>
      </c>
      <c r="L334" s="70">
        <v>3386.5</v>
      </c>
    </row>
    <row r="335" spans="11:12" x14ac:dyDescent="0.4">
      <c r="K335" s="17">
        <v>333</v>
      </c>
      <c r="L335" s="70">
        <v>3425.1</v>
      </c>
    </row>
    <row r="336" spans="11:12" x14ac:dyDescent="0.4">
      <c r="K336" s="17">
        <v>334</v>
      </c>
      <c r="L336" s="70">
        <v>3386.5</v>
      </c>
    </row>
    <row r="337" spans="11:12" x14ac:dyDescent="0.4">
      <c r="K337" s="17">
        <v>335</v>
      </c>
      <c r="L337" s="70">
        <v>3424.7</v>
      </c>
    </row>
    <row r="338" spans="11:12" x14ac:dyDescent="0.4">
      <c r="K338" s="17">
        <v>336</v>
      </c>
      <c r="L338" s="70">
        <v>3375</v>
      </c>
    </row>
    <row r="339" spans="11:12" x14ac:dyDescent="0.4">
      <c r="K339" s="17">
        <v>337</v>
      </c>
      <c r="L339" s="70">
        <v>3372</v>
      </c>
    </row>
    <row r="340" spans="11:12" x14ac:dyDescent="0.4">
      <c r="K340" s="17">
        <v>338</v>
      </c>
      <c r="L340" s="70">
        <v>3413.8</v>
      </c>
    </row>
    <row r="341" spans="11:12" x14ac:dyDescent="0.4">
      <c r="K341" s="17">
        <v>339</v>
      </c>
      <c r="L341" s="70">
        <v>3442.2</v>
      </c>
    </row>
    <row r="342" spans="11:12" x14ac:dyDescent="0.4">
      <c r="K342" s="17">
        <v>340</v>
      </c>
      <c r="L342" s="70">
        <v>3401.9</v>
      </c>
    </row>
    <row r="343" spans="11:12" x14ac:dyDescent="0.4">
      <c r="K343" s="17">
        <v>341</v>
      </c>
      <c r="L343" s="70">
        <v>3400.6000000000004</v>
      </c>
    </row>
    <row r="344" spans="11:12" x14ac:dyDescent="0.4">
      <c r="K344" s="17">
        <v>342</v>
      </c>
      <c r="L344" s="70">
        <v>3456.5</v>
      </c>
    </row>
    <row r="345" spans="11:12" x14ac:dyDescent="0.4">
      <c r="K345" s="17">
        <v>343</v>
      </c>
      <c r="L345" s="70">
        <v>3500.2000000000003</v>
      </c>
    </row>
    <row r="346" spans="11:12" x14ac:dyDescent="0.4">
      <c r="K346" s="17">
        <v>344</v>
      </c>
      <c r="L346" s="70">
        <v>3552.8</v>
      </c>
    </row>
    <row r="347" spans="11:12" x14ac:dyDescent="0.4">
      <c r="K347" s="17">
        <v>345</v>
      </c>
      <c r="L347" s="70">
        <v>3554.2000000000003</v>
      </c>
    </row>
    <row r="348" spans="11:12" x14ac:dyDescent="0.4">
      <c r="K348" s="17">
        <v>346</v>
      </c>
      <c r="L348" s="70">
        <v>3546.9000000000005</v>
      </c>
    </row>
    <row r="349" spans="11:12" x14ac:dyDescent="0.4">
      <c r="K349" s="17">
        <v>347</v>
      </c>
      <c r="L349" s="70">
        <v>3510.9000000000005</v>
      </c>
    </row>
    <row r="350" spans="11:12" x14ac:dyDescent="0.4">
      <c r="K350" s="17">
        <v>348</v>
      </c>
      <c r="L350" s="70">
        <v>3570.8</v>
      </c>
    </row>
    <row r="351" spans="11:12" x14ac:dyDescent="0.4">
      <c r="K351" s="17">
        <v>349</v>
      </c>
      <c r="L351" s="70">
        <v>3524.7000000000007</v>
      </c>
    </row>
    <row r="352" spans="11:12" x14ac:dyDescent="0.4">
      <c r="K352" s="17">
        <v>350</v>
      </c>
      <c r="L352" s="70">
        <v>3567.6000000000004</v>
      </c>
    </row>
    <row r="353" spans="11:12" x14ac:dyDescent="0.4">
      <c r="K353" s="17">
        <v>351</v>
      </c>
      <c r="L353" s="70">
        <v>3562.4000000000005</v>
      </c>
    </row>
    <row r="354" spans="11:12" x14ac:dyDescent="0.4">
      <c r="K354" s="17">
        <v>352</v>
      </c>
      <c r="L354" s="70">
        <v>3571.2000000000007</v>
      </c>
    </row>
    <row r="355" spans="11:12" x14ac:dyDescent="0.4">
      <c r="K355" s="17">
        <v>353</v>
      </c>
      <c r="L355" s="70">
        <v>3570.9000000000005</v>
      </c>
    </row>
    <row r="356" spans="11:12" x14ac:dyDescent="0.4">
      <c r="K356" s="17">
        <v>354</v>
      </c>
      <c r="L356" s="70">
        <v>3624.4000000000005</v>
      </c>
    </row>
    <row r="357" spans="11:12" x14ac:dyDescent="0.4">
      <c r="K357" s="17">
        <v>355</v>
      </c>
      <c r="L357" s="70">
        <v>3627.4000000000005</v>
      </c>
    </row>
    <row r="358" spans="11:12" x14ac:dyDescent="0.4">
      <c r="K358" s="17">
        <v>356</v>
      </c>
      <c r="L358" s="70">
        <v>3568.5000000000005</v>
      </c>
    </row>
    <row r="359" spans="11:12" x14ac:dyDescent="0.4">
      <c r="K359" s="17">
        <v>357</v>
      </c>
      <c r="L359" s="70">
        <v>3512.2000000000007</v>
      </c>
    </row>
    <row r="360" spans="11:12" x14ac:dyDescent="0.4">
      <c r="K360" s="17">
        <v>358</v>
      </c>
      <c r="L360" s="70">
        <v>3454.8</v>
      </c>
    </row>
    <row r="361" spans="11:12" x14ac:dyDescent="0.4">
      <c r="K361" s="17">
        <v>359</v>
      </c>
      <c r="L361" s="70">
        <v>3524.4000000000005</v>
      </c>
    </row>
    <row r="362" spans="11:12" x14ac:dyDescent="0.4">
      <c r="K362" s="17">
        <v>360</v>
      </c>
      <c r="L362" s="70">
        <v>3505.7000000000003</v>
      </c>
    </row>
    <row r="363" spans="11:12" x14ac:dyDescent="0.4">
      <c r="K363" s="17">
        <v>361</v>
      </c>
      <c r="L363" s="70">
        <v>3543.1000000000004</v>
      </c>
    </row>
    <row r="364" spans="11:12" x14ac:dyDescent="0.4">
      <c r="K364" s="17">
        <v>362</v>
      </c>
      <c r="L364" s="70">
        <v>3483.1000000000004</v>
      </c>
    </row>
    <row r="365" spans="11:12" x14ac:dyDescent="0.4">
      <c r="K365" s="17">
        <v>363</v>
      </c>
      <c r="L365" s="70">
        <v>3473.2000000000003</v>
      </c>
    </row>
    <row r="366" spans="11:12" x14ac:dyDescent="0.4">
      <c r="K366" s="17">
        <v>364</v>
      </c>
      <c r="L366" s="70">
        <v>3407.3</v>
      </c>
    </row>
    <row r="367" spans="11:12" x14ac:dyDescent="0.4">
      <c r="K367" s="17">
        <v>365</v>
      </c>
      <c r="L367" s="70">
        <v>3459.1000000000004</v>
      </c>
    </row>
    <row r="368" spans="11:12" x14ac:dyDescent="0.4">
      <c r="K368" s="17">
        <v>366</v>
      </c>
      <c r="L368" s="70">
        <v>3402.2</v>
      </c>
    </row>
    <row r="369" spans="11:12" x14ac:dyDescent="0.4">
      <c r="K369" s="17">
        <v>367</v>
      </c>
      <c r="L369" s="70">
        <v>3403.7</v>
      </c>
    </row>
    <row r="370" spans="11:12" x14ac:dyDescent="0.4">
      <c r="K370" s="17">
        <v>368</v>
      </c>
      <c r="L370" s="70">
        <v>3351.9</v>
      </c>
    </row>
    <row r="371" spans="11:12" x14ac:dyDescent="0.4">
      <c r="K371" s="17">
        <v>369</v>
      </c>
      <c r="L371" s="70">
        <v>3295.8</v>
      </c>
    </row>
    <row r="372" spans="11:12" x14ac:dyDescent="0.4">
      <c r="K372" s="17">
        <v>370</v>
      </c>
      <c r="L372" s="70">
        <v>3236.8</v>
      </c>
    </row>
    <row r="373" spans="11:12" x14ac:dyDescent="0.4">
      <c r="K373" s="17">
        <v>371</v>
      </c>
      <c r="L373" s="70">
        <v>3241.1000000000004</v>
      </c>
    </row>
    <row r="374" spans="11:12" x14ac:dyDescent="0.4">
      <c r="K374" s="17">
        <v>372</v>
      </c>
      <c r="L374" s="70">
        <v>3325.5</v>
      </c>
    </row>
    <row r="375" spans="11:12" x14ac:dyDescent="0.4">
      <c r="K375" s="17">
        <v>373</v>
      </c>
      <c r="L375" s="70">
        <v>3361.9000000000005</v>
      </c>
    </row>
    <row r="376" spans="11:12" x14ac:dyDescent="0.4">
      <c r="K376" s="17">
        <v>374</v>
      </c>
      <c r="L376" s="70">
        <v>3382.6000000000004</v>
      </c>
    </row>
    <row r="377" spans="11:12" x14ac:dyDescent="0.4">
      <c r="K377" s="17">
        <v>375</v>
      </c>
      <c r="L377" s="70">
        <v>3420.0000000000005</v>
      </c>
    </row>
    <row r="378" spans="11:12" x14ac:dyDescent="0.4">
      <c r="K378" s="17">
        <v>376</v>
      </c>
      <c r="L378" s="70">
        <v>3420.0000000000005</v>
      </c>
    </row>
    <row r="379" spans="11:12" x14ac:dyDescent="0.4">
      <c r="K379" s="17">
        <v>377</v>
      </c>
      <c r="L379" s="70">
        <v>3417.0000000000005</v>
      </c>
    </row>
    <row r="380" spans="11:12" x14ac:dyDescent="0.4">
      <c r="K380" s="17">
        <v>378</v>
      </c>
      <c r="L380" s="70">
        <v>3446.6000000000004</v>
      </c>
    </row>
    <row r="381" spans="11:12" x14ac:dyDescent="0.4">
      <c r="K381" s="17">
        <v>379</v>
      </c>
      <c r="L381" s="70">
        <v>3480.1000000000004</v>
      </c>
    </row>
    <row r="382" spans="11:12" x14ac:dyDescent="0.4">
      <c r="K382" s="17">
        <v>380</v>
      </c>
      <c r="L382" s="70">
        <v>3488.2000000000003</v>
      </c>
    </row>
    <row r="383" spans="11:12" x14ac:dyDescent="0.4">
      <c r="K383" s="17">
        <v>381</v>
      </c>
      <c r="L383" s="70">
        <v>3518.6000000000004</v>
      </c>
    </row>
    <row r="384" spans="11:12" x14ac:dyDescent="0.4">
      <c r="K384" s="17">
        <v>382</v>
      </c>
      <c r="L384" s="70">
        <v>3455.6000000000004</v>
      </c>
    </row>
    <row r="385" spans="11:12" x14ac:dyDescent="0.4">
      <c r="K385" s="17">
        <v>383</v>
      </c>
      <c r="L385" s="70">
        <v>3556.5000000000005</v>
      </c>
    </row>
    <row r="386" spans="11:12" x14ac:dyDescent="0.4">
      <c r="K386" s="17">
        <v>384</v>
      </c>
      <c r="L386" s="70">
        <v>3533.1000000000004</v>
      </c>
    </row>
    <row r="387" spans="11:12" x14ac:dyDescent="0.4">
      <c r="K387" s="17">
        <v>385</v>
      </c>
      <c r="L387" s="70">
        <v>3463.6000000000004</v>
      </c>
    </row>
    <row r="388" spans="11:12" x14ac:dyDescent="0.4">
      <c r="K388" s="17">
        <v>386</v>
      </c>
      <c r="L388" s="70">
        <v>3493.0000000000005</v>
      </c>
    </row>
    <row r="389" spans="11:12" x14ac:dyDescent="0.4">
      <c r="K389" s="17">
        <v>387</v>
      </c>
      <c r="L389" s="70">
        <v>3572.6000000000004</v>
      </c>
    </row>
    <row r="390" spans="11:12" x14ac:dyDescent="0.4">
      <c r="K390" s="17">
        <v>388</v>
      </c>
      <c r="L390" s="70">
        <v>3522.1000000000004</v>
      </c>
    </row>
    <row r="391" spans="11:12" x14ac:dyDescent="0.4">
      <c r="K391" s="17">
        <v>389</v>
      </c>
      <c r="L391" s="70">
        <v>3480.4000000000005</v>
      </c>
    </row>
    <row r="392" spans="11:12" x14ac:dyDescent="0.4">
      <c r="K392" s="17">
        <v>390</v>
      </c>
      <c r="L392" s="70">
        <v>3445.5</v>
      </c>
    </row>
    <row r="393" spans="11:12" x14ac:dyDescent="0.4">
      <c r="K393" s="17">
        <v>391</v>
      </c>
      <c r="L393" s="70">
        <v>3439.3</v>
      </c>
    </row>
    <row r="394" spans="11:12" x14ac:dyDescent="0.4">
      <c r="K394" s="17">
        <v>392</v>
      </c>
      <c r="L394" s="70">
        <v>3499.6000000000004</v>
      </c>
    </row>
    <row r="395" spans="11:12" x14ac:dyDescent="0.4">
      <c r="K395" s="17">
        <v>393</v>
      </c>
      <c r="L395" s="70">
        <v>3528.4</v>
      </c>
    </row>
    <row r="396" spans="11:12" x14ac:dyDescent="0.4">
      <c r="K396" s="17">
        <v>394</v>
      </c>
      <c r="L396" s="70">
        <v>3521.8</v>
      </c>
    </row>
    <row r="397" spans="11:12" x14ac:dyDescent="0.4">
      <c r="K397" s="17">
        <v>395</v>
      </c>
      <c r="L397" s="70">
        <v>3523.8</v>
      </c>
    </row>
    <row r="398" spans="11:12" x14ac:dyDescent="0.4">
      <c r="K398" s="17">
        <v>396</v>
      </c>
      <c r="L398" s="70">
        <v>3591.6000000000004</v>
      </c>
    </row>
    <row r="399" spans="11:12" x14ac:dyDescent="0.4">
      <c r="K399" s="17">
        <v>397</v>
      </c>
      <c r="L399" s="70">
        <v>3590.4</v>
      </c>
    </row>
    <row r="400" spans="11:12" x14ac:dyDescent="0.4">
      <c r="K400" s="17">
        <v>398</v>
      </c>
      <c r="L400" s="70">
        <v>3614.1000000000004</v>
      </c>
    </row>
    <row r="401" spans="11:12" x14ac:dyDescent="0.4">
      <c r="K401" s="17">
        <v>399</v>
      </c>
      <c r="L401" s="70">
        <v>3641.8</v>
      </c>
    </row>
    <row r="402" spans="11:12" x14ac:dyDescent="0.4">
      <c r="K402" s="17">
        <v>400</v>
      </c>
      <c r="L402" s="70">
        <v>3687.1000000000004</v>
      </c>
    </row>
    <row r="403" spans="11:12" x14ac:dyDescent="0.4">
      <c r="K403" s="17">
        <v>401</v>
      </c>
      <c r="L403" s="70">
        <v>3696.1000000000004</v>
      </c>
    </row>
    <row r="404" spans="11:12" x14ac:dyDescent="0.4">
      <c r="K404" s="17">
        <v>402</v>
      </c>
      <c r="L404" s="70">
        <v>3664.3</v>
      </c>
    </row>
    <row r="405" spans="11:12" x14ac:dyDescent="0.4">
      <c r="K405" s="17">
        <v>403</v>
      </c>
      <c r="L405" s="70">
        <v>3657</v>
      </c>
    </row>
    <row r="406" spans="11:12" x14ac:dyDescent="0.4">
      <c r="K406" s="17">
        <v>404</v>
      </c>
      <c r="L406" s="70">
        <v>3653.5</v>
      </c>
    </row>
    <row r="407" spans="11:12" x14ac:dyDescent="0.4">
      <c r="K407" s="17">
        <v>405</v>
      </c>
      <c r="L407" s="70">
        <v>3617.1000000000004</v>
      </c>
    </row>
    <row r="408" spans="11:12" x14ac:dyDescent="0.4">
      <c r="K408" s="17">
        <v>406</v>
      </c>
      <c r="L408" s="70">
        <v>3634.7</v>
      </c>
    </row>
    <row r="409" spans="11:12" x14ac:dyDescent="0.4">
      <c r="K409" s="17">
        <v>407</v>
      </c>
      <c r="L409" s="70">
        <v>3678.5</v>
      </c>
    </row>
    <row r="410" spans="11:12" x14ac:dyDescent="0.4">
      <c r="K410" s="17">
        <v>408</v>
      </c>
      <c r="L410" s="70">
        <v>3737.5</v>
      </c>
    </row>
    <row r="411" spans="11:12" x14ac:dyDescent="0.4">
      <c r="K411" s="17">
        <v>409</v>
      </c>
      <c r="L411" s="70">
        <v>3702.8</v>
      </c>
    </row>
    <row r="412" spans="11:12" x14ac:dyDescent="0.4">
      <c r="K412" s="17">
        <v>410</v>
      </c>
      <c r="L412" s="70">
        <v>3695.3999999999996</v>
      </c>
    </row>
    <row r="413" spans="11:12" x14ac:dyDescent="0.4">
      <c r="K413" s="17">
        <v>411</v>
      </c>
      <c r="L413" s="70">
        <v>3745.1</v>
      </c>
    </row>
    <row r="414" spans="11:12" x14ac:dyDescent="0.4">
      <c r="K414" s="17">
        <v>412</v>
      </c>
      <c r="L414" s="70">
        <v>3830.5</v>
      </c>
    </row>
    <row r="415" spans="11:12" x14ac:dyDescent="0.4">
      <c r="K415" s="17">
        <v>413</v>
      </c>
      <c r="L415" s="70">
        <v>3899.8</v>
      </c>
    </row>
    <row r="416" spans="11:12" x14ac:dyDescent="0.4">
      <c r="K416" s="17">
        <v>414</v>
      </c>
      <c r="L416" s="70">
        <v>3914.8</v>
      </c>
    </row>
    <row r="417" spans="11:12" x14ac:dyDescent="0.4">
      <c r="K417" s="17">
        <v>415</v>
      </c>
      <c r="L417" s="70">
        <v>3863.8999999999996</v>
      </c>
    </row>
    <row r="418" spans="11:12" x14ac:dyDescent="0.4">
      <c r="K418" s="17">
        <v>416</v>
      </c>
      <c r="L418" s="70">
        <v>3822.7</v>
      </c>
    </row>
    <row r="419" spans="11:12" x14ac:dyDescent="0.4">
      <c r="K419" s="17">
        <v>417</v>
      </c>
      <c r="L419" s="70">
        <v>3789.7999999999997</v>
      </c>
    </row>
    <row r="420" spans="11:12" x14ac:dyDescent="0.4">
      <c r="K420" s="17">
        <v>418</v>
      </c>
      <c r="L420" s="70">
        <v>3803.2999999999997</v>
      </c>
    </row>
    <row r="421" spans="11:12" x14ac:dyDescent="0.4">
      <c r="K421" s="17">
        <v>419</v>
      </c>
      <c r="L421" s="70">
        <v>3845.5</v>
      </c>
    </row>
    <row r="422" spans="11:12" x14ac:dyDescent="0.4">
      <c r="K422" s="17">
        <v>420</v>
      </c>
      <c r="L422" s="70">
        <v>3840.5</v>
      </c>
    </row>
    <row r="423" spans="11:12" x14ac:dyDescent="0.4">
      <c r="K423" s="17">
        <v>421</v>
      </c>
      <c r="L423" s="70">
        <v>3875.5</v>
      </c>
    </row>
    <row r="424" spans="11:12" x14ac:dyDescent="0.4">
      <c r="K424" s="17">
        <v>422</v>
      </c>
      <c r="L424" s="70">
        <v>3885</v>
      </c>
    </row>
    <row r="425" spans="11:12" x14ac:dyDescent="0.4">
      <c r="K425" s="17">
        <v>423</v>
      </c>
      <c r="L425" s="70">
        <v>3829.7</v>
      </c>
    </row>
    <row r="426" spans="11:12" x14ac:dyDescent="0.4">
      <c r="K426" s="17">
        <v>424</v>
      </c>
      <c r="L426" s="70">
        <v>3860.7</v>
      </c>
    </row>
    <row r="427" spans="11:12" x14ac:dyDescent="0.4">
      <c r="K427" s="17">
        <v>425</v>
      </c>
      <c r="L427" s="70">
        <v>3825.3999999999996</v>
      </c>
    </row>
    <row r="428" spans="11:12" x14ac:dyDescent="0.4">
      <c r="K428" s="17">
        <v>426</v>
      </c>
      <c r="L428" s="70">
        <v>3866.5</v>
      </c>
    </row>
    <row r="429" spans="11:12" x14ac:dyDescent="0.4">
      <c r="K429" s="17">
        <v>427</v>
      </c>
      <c r="L429" s="70">
        <v>3921.0999999999995</v>
      </c>
    </row>
    <row r="430" spans="11:12" x14ac:dyDescent="0.4">
      <c r="K430" s="17">
        <v>428</v>
      </c>
      <c r="L430" s="70">
        <v>3921</v>
      </c>
    </row>
    <row r="431" spans="11:12" x14ac:dyDescent="0.4">
      <c r="K431" s="17">
        <v>429</v>
      </c>
      <c r="L431" s="70">
        <v>3933.8999999999996</v>
      </c>
    </row>
    <row r="432" spans="11:12" x14ac:dyDescent="0.4">
      <c r="K432" s="17">
        <v>430</v>
      </c>
      <c r="L432" s="70">
        <v>3956.5</v>
      </c>
    </row>
    <row r="433" spans="11:12" x14ac:dyDescent="0.4">
      <c r="K433" s="17">
        <v>431</v>
      </c>
      <c r="L433" s="70">
        <v>4011.0999999999995</v>
      </c>
    </row>
    <row r="434" spans="11:12" x14ac:dyDescent="0.4">
      <c r="K434" s="17">
        <v>432</v>
      </c>
      <c r="L434" s="70">
        <v>3977.2999999999993</v>
      </c>
    </row>
    <row r="435" spans="11:12" x14ac:dyDescent="0.4">
      <c r="K435" s="17">
        <v>433</v>
      </c>
      <c r="L435" s="70">
        <v>3945.4999999999991</v>
      </c>
    </row>
    <row r="436" spans="11:12" x14ac:dyDescent="0.4">
      <c r="K436" s="17">
        <v>434</v>
      </c>
      <c r="L436" s="70">
        <v>3983.0999999999995</v>
      </c>
    </row>
    <row r="437" spans="11:12" x14ac:dyDescent="0.4">
      <c r="K437" s="17">
        <v>435</v>
      </c>
      <c r="L437" s="70">
        <v>4036.2999999999993</v>
      </c>
    </row>
    <row r="438" spans="11:12" x14ac:dyDescent="0.4">
      <c r="K438" s="17">
        <v>436</v>
      </c>
      <c r="L438" s="70">
        <v>4072.3999999999987</v>
      </c>
    </row>
    <row r="439" spans="11:12" x14ac:dyDescent="0.4">
      <c r="K439" s="17">
        <v>437</v>
      </c>
      <c r="L439" s="70">
        <v>4045.9999999999991</v>
      </c>
    </row>
    <row r="440" spans="11:12" x14ac:dyDescent="0.4">
      <c r="K440" s="17">
        <v>438</v>
      </c>
      <c r="L440" s="70">
        <v>4106.9999999999991</v>
      </c>
    </row>
    <row r="441" spans="11:12" x14ac:dyDescent="0.4">
      <c r="K441" s="17">
        <v>439</v>
      </c>
      <c r="L441" s="70">
        <v>4142.3999999999987</v>
      </c>
    </row>
    <row r="442" spans="11:12" x14ac:dyDescent="0.4">
      <c r="K442" s="17">
        <v>440</v>
      </c>
      <c r="L442" s="70">
        <v>4197.8999999999987</v>
      </c>
    </row>
    <row r="443" spans="11:12" x14ac:dyDescent="0.4">
      <c r="K443" s="17">
        <v>441</v>
      </c>
      <c r="L443" s="70">
        <v>4231.1999999999989</v>
      </c>
    </row>
    <row r="444" spans="11:12" x14ac:dyDescent="0.4">
      <c r="K444" s="17">
        <v>442</v>
      </c>
      <c r="L444" s="70">
        <v>4204.3999999999987</v>
      </c>
    </row>
    <row r="445" spans="11:12" x14ac:dyDescent="0.4">
      <c r="K445" s="17">
        <v>443</v>
      </c>
      <c r="L445" s="70">
        <v>4197.6999999999989</v>
      </c>
    </row>
    <row r="446" spans="11:12" x14ac:dyDescent="0.4">
      <c r="K446" s="17">
        <v>444</v>
      </c>
      <c r="L446" s="70">
        <v>4238.0999999999995</v>
      </c>
    </row>
    <row r="447" spans="11:12" x14ac:dyDescent="0.4">
      <c r="K447" s="17">
        <v>445</v>
      </c>
      <c r="L447" s="70">
        <v>4180.0999999999995</v>
      </c>
    </row>
    <row r="448" spans="11:12" x14ac:dyDescent="0.4">
      <c r="K448" s="17">
        <v>446</v>
      </c>
      <c r="L448" s="70">
        <v>4227.5999999999995</v>
      </c>
    </row>
    <row r="449" spans="11:12" x14ac:dyDescent="0.4">
      <c r="K449" s="17">
        <v>447</v>
      </c>
      <c r="L449" s="70">
        <v>4225.6999999999989</v>
      </c>
    </row>
    <row r="450" spans="11:12" x14ac:dyDescent="0.4">
      <c r="K450" s="17">
        <v>448</v>
      </c>
      <c r="L450" s="70">
        <v>4280.0999999999995</v>
      </c>
    </row>
    <row r="451" spans="11:12" x14ac:dyDescent="0.4">
      <c r="K451" s="17">
        <v>449</v>
      </c>
      <c r="L451" s="70">
        <v>4282.8999999999996</v>
      </c>
    </row>
    <row r="452" spans="11:12" x14ac:dyDescent="0.4">
      <c r="K452" s="17">
        <v>450</v>
      </c>
      <c r="L452" s="70">
        <v>4279.7999999999993</v>
      </c>
    </row>
    <row r="453" spans="11:12" x14ac:dyDescent="0.4">
      <c r="K453" s="17">
        <v>451</v>
      </c>
      <c r="L453" s="70">
        <v>4245.2999999999993</v>
      </c>
    </row>
    <row r="454" spans="11:12" x14ac:dyDescent="0.4">
      <c r="K454" s="17">
        <v>452</v>
      </c>
      <c r="L454" s="70">
        <v>4296.3999999999996</v>
      </c>
    </row>
    <row r="455" spans="11:12" x14ac:dyDescent="0.4">
      <c r="K455" s="17">
        <v>453</v>
      </c>
      <c r="L455" s="70">
        <v>4332.8999999999996</v>
      </c>
    </row>
    <row r="456" spans="11:12" x14ac:dyDescent="0.4">
      <c r="K456" s="17">
        <v>454</v>
      </c>
      <c r="L456" s="70">
        <v>4375.3999999999996</v>
      </c>
    </row>
    <row r="457" spans="11:12" x14ac:dyDescent="0.4">
      <c r="K457" s="17">
        <v>455</v>
      </c>
      <c r="L457" s="70">
        <v>4409.8999999999996</v>
      </c>
    </row>
    <row r="458" spans="11:12" x14ac:dyDescent="0.4">
      <c r="K458" s="17">
        <v>456</v>
      </c>
      <c r="L458" s="70">
        <v>4393.2999999999993</v>
      </c>
    </row>
    <row r="459" spans="11:12" x14ac:dyDescent="0.4">
      <c r="K459" s="17">
        <v>457</v>
      </c>
      <c r="L459" s="70">
        <v>4356.8999999999996</v>
      </c>
    </row>
    <row r="460" spans="11:12" x14ac:dyDescent="0.4">
      <c r="K460" s="17">
        <v>458</v>
      </c>
      <c r="L460" s="70">
        <v>4418.4999999999991</v>
      </c>
    </row>
    <row r="461" spans="11:12" x14ac:dyDescent="0.4">
      <c r="K461" s="17">
        <v>459</v>
      </c>
      <c r="L461" s="70">
        <v>4411.2999999999993</v>
      </c>
    </row>
    <row r="462" spans="11:12" x14ac:dyDescent="0.4">
      <c r="K462" s="17">
        <v>460</v>
      </c>
      <c r="L462" s="70">
        <v>4458.5999999999995</v>
      </c>
    </row>
    <row r="463" spans="11:12" x14ac:dyDescent="0.4">
      <c r="K463" s="17">
        <v>461</v>
      </c>
      <c r="L463" s="70">
        <v>4519.5999999999995</v>
      </c>
    </row>
    <row r="464" spans="11:12" x14ac:dyDescent="0.4">
      <c r="K464" s="17">
        <v>462</v>
      </c>
      <c r="L464" s="70">
        <v>4564.5</v>
      </c>
    </row>
    <row r="465" spans="11:12" x14ac:dyDescent="0.4">
      <c r="K465" s="17">
        <v>463</v>
      </c>
      <c r="L465" s="70">
        <v>4616.5</v>
      </c>
    </row>
    <row r="466" spans="11:12" x14ac:dyDescent="0.4">
      <c r="K466" s="17">
        <v>464</v>
      </c>
      <c r="L466" s="70">
        <v>4551.5</v>
      </c>
    </row>
    <row r="467" spans="11:12" x14ac:dyDescent="0.4">
      <c r="K467" s="17">
        <v>465</v>
      </c>
      <c r="L467" s="70">
        <v>4504.7</v>
      </c>
    </row>
    <row r="468" spans="11:12" x14ac:dyDescent="0.4">
      <c r="K468" s="17">
        <v>466</v>
      </c>
      <c r="L468" s="70">
        <v>4551.7</v>
      </c>
    </row>
    <row r="469" spans="11:12" x14ac:dyDescent="0.4">
      <c r="K469" s="17">
        <v>467</v>
      </c>
      <c r="L469" s="70">
        <v>4504.7</v>
      </c>
    </row>
    <row r="470" spans="11:12" x14ac:dyDescent="0.4">
      <c r="K470" s="17">
        <v>468</v>
      </c>
      <c r="L470" s="70">
        <v>4478.3999999999996</v>
      </c>
    </row>
    <row r="471" spans="11:12" x14ac:dyDescent="0.4">
      <c r="K471" s="17">
        <v>469</v>
      </c>
      <c r="L471" s="70">
        <v>4535.8999999999996</v>
      </c>
    </row>
    <row r="472" spans="11:12" x14ac:dyDescent="0.4">
      <c r="K472" s="17">
        <v>470</v>
      </c>
      <c r="L472" s="70">
        <v>4560.7</v>
      </c>
    </row>
    <row r="473" spans="11:12" x14ac:dyDescent="0.4">
      <c r="K473" s="17">
        <v>471</v>
      </c>
      <c r="L473" s="70">
        <v>4513.5999999999995</v>
      </c>
    </row>
    <row r="474" spans="11:12" x14ac:dyDescent="0.4">
      <c r="K474" s="17">
        <v>472</v>
      </c>
      <c r="L474" s="70">
        <v>4566.5999999999995</v>
      </c>
    </row>
    <row r="475" spans="11:12" x14ac:dyDescent="0.4">
      <c r="K475" s="17">
        <v>473</v>
      </c>
      <c r="L475" s="70">
        <v>4561.2</v>
      </c>
    </row>
    <row r="476" spans="11:12" x14ac:dyDescent="0.4">
      <c r="K476" s="17">
        <v>474</v>
      </c>
      <c r="L476" s="70">
        <v>4562.0999999999995</v>
      </c>
    </row>
    <row r="477" spans="11:12" x14ac:dyDescent="0.4">
      <c r="K477" s="17">
        <v>475</v>
      </c>
      <c r="L477" s="70">
        <v>4574.2</v>
      </c>
    </row>
    <row r="478" spans="11:12" x14ac:dyDescent="0.4">
      <c r="K478" s="17">
        <v>476</v>
      </c>
      <c r="L478" s="70">
        <v>4636.8999999999996</v>
      </c>
    </row>
    <row r="479" spans="11:12" x14ac:dyDescent="0.4">
      <c r="K479" s="17">
        <v>477</v>
      </c>
      <c r="L479" s="70">
        <v>4687.0999999999995</v>
      </c>
    </row>
    <row r="480" spans="11:12" x14ac:dyDescent="0.4">
      <c r="K480" s="17">
        <v>478</v>
      </c>
      <c r="L480" s="70">
        <v>4651.2999999999993</v>
      </c>
    </row>
    <row r="481" spans="11:12" x14ac:dyDescent="0.4">
      <c r="K481" s="17">
        <v>479</v>
      </c>
      <c r="L481" s="70">
        <v>4677.2999999999993</v>
      </c>
    </row>
    <row r="482" spans="11:12" x14ac:dyDescent="0.4">
      <c r="K482" s="17">
        <v>480</v>
      </c>
      <c r="L482" s="70">
        <v>4738.5</v>
      </c>
    </row>
    <row r="483" spans="11:12" x14ac:dyDescent="0.4">
      <c r="K483" s="17">
        <v>481</v>
      </c>
      <c r="L483" s="70">
        <v>4736.7999999999993</v>
      </c>
    </row>
    <row r="484" spans="11:12" x14ac:dyDescent="0.4">
      <c r="K484" s="17">
        <v>482</v>
      </c>
      <c r="L484" s="70">
        <v>4722.3999999999996</v>
      </c>
    </row>
    <row r="485" spans="11:12" x14ac:dyDescent="0.4">
      <c r="K485" s="17">
        <v>483</v>
      </c>
      <c r="L485" s="70">
        <v>4750.2</v>
      </c>
    </row>
    <row r="486" spans="11:12" x14ac:dyDescent="0.4">
      <c r="K486" s="17">
        <v>484</v>
      </c>
      <c r="L486" s="70">
        <v>4785</v>
      </c>
    </row>
    <row r="487" spans="11:12" x14ac:dyDescent="0.4">
      <c r="K487" s="17">
        <v>485</v>
      </c>
      <c r="L487" s="70">
        <v>4817.7999999999993</v>
      </c>
    </row>
    <row r="488" spans="11:12" x14ac:dyDescent="0.4">
      <c r="K488" s="17">
        <v>486</v>
      </c>
      <c r="L488" s="70">
        <v>4795.0999999999995</v>
      </c>
    </row>
    <row r="489" spans="11:12" x14ac:dyDescent="0.4">
      <c r="K489" s="17">
        <v>487</v>
      </c>
      <c r="L489" s="70">
        <v>4822.0999999999995</v>
      </c>
    </row>
    <row r="490" spans="11:12" x14ac:dyDescent="0.4">
      <c r="K490" s="17">
        <v>488</v>
      </c>
      <c r="L490" s="70">
        <v>4821.7999999999993</v>
      </c>
    </row>
    <row r="491" spans="11:12" x14ac:dyDescent="0.4">
      <c r="K491" s="17">
        <v>489</v>
      </c>
      <c r="L491" s="70">
        <v>4843.2999999999993</v>
      </c>
    </row>
    <row r="492" spans="11:12" x14ac:dyDescent="0.4">
      <c r="K492" s="17">
        <v>490</v>
      </c>
      <c r="L492" s="70">
        <v>4877</v>
      </c>
    </row>
    <row r="493" spans="11:12" x14ac:dyDescent="0.4">
      <c r="K493" s="17">
        <v>491</v>
      </c>
      <c r="L493" s="70">
        <v>4906.3999999999996</v>
      </c>
    </row>
    <row r="494" spans="11:12" x14ac:dyDescent="0.4">
      <c r="K494" s="17">
        <v>492</v>
      </c>
      <c r="L494" s="70">
        <v>4960.5999999999995</v>
      </c>
    </row>
    <row r="495" spans="11:12" x14ac:dyDescent="0.4">
      <c r="K495" s="17">
        <v>493</v>
      </c>
      <c r="L495" s="70">
        <v>4996</v>
      </c>
    </row>
    <row r="496" spans="11:12" x14ac:dyDescent="0.4">
      <c r="K496" s="17">
        <v>494</v>
      </c>
      <c r="L496" s="70">
        <v>4989.2999999999993</v>
      </c>
    </row>
    <row r="497" spans="11:12" x14ac:dyDescent="0.4">
      <c r="K497" s="17">
        <v>495</v>
      </c>
      <c r="L497" s="70">
        <v>5020.0999999999995</v>
      </c>
    </row>
    <row r="498" spans="11:12" x14ac:dyDescent="0.4">
      <c r="K498" s="17">
        <v>496</v>
      </c>
      <c r="L498" s="70">
        <v>5002.3999999999996</v>
      </c>
    </row>
    <row r="499" spans="11:12" x14ac:dyDescent="0.4">
      <c r="K499" s="17">
        <v>497</v>
      </c>
      <c r="L499" s="70">
        <v>5008.2999999999993</v>
      </c>
    </row>
    <row r="500" spans="11:12" x14ac:dyDescent="0.4">
      <c r="K500" s="17">
        <v>498</v>
      </c>
      <c r="L500" s="70">
        <v>5051.2</v>
      </c>
    </row>
    <row r="501" spans="11:12" x14ac:dyDescent="0.4">
      <c r="K501" s="17">
        <v>499</v>
      </c>
      <c r="L501" s="70">
        <v>4993.2</v>
      </c>
    </row>
    <row r="502" spans="11:12" x14ac:dyDescent="0.4">
      <c r="K502" s="17">
        <v>500</v>
      </c>
      <c r="L502" s="70">
        <v>4966.7999999999993</v>
      </c>
    </row>
    <row r="503" spans="11:12" x14ac:dyDescent="0.4">
      <c r="K503" s="17">
        <v>501</v>
      </c>
      <c r="L503" s="70">
        <v>4931.8999999999996</v>
      </c>
    </row>
    <row r="504" spans="11:12" x14ac:dyDescent="0.4">
      <c r="K504" s="17">
        <v>502</v>
      </c>
      <c r="L504" s="70">
        <v>4966.2</v>
      </c>
    </row>
    <row r="505" spans="11:12" x14ac:dyDescent="0.4">
      <c r="K505" s="17">
        <v>503</v>
      </c>
      <c r="L505" s="70">
        <v>4999.2999999999993</v>
      </c>
    </row>
    <row r="506" spans="11:12" x14ac:dyDescent="0.4">
      <c r="K506" s="17">
        <v>504</v>
      </c>
      <c r="L506" s="70">
        <v>5012.7</v>
      </c>
    </row>
    <row r="507" spans="11:12" x14ac:dyDescent="0.4">
      <c r="K507" s="17">
        <v>505</v>
      </c>
      <c r="L507" s="70">
        <v>5018</v>
      </c>
    </row>
    <row r="508" spans="11:12" x14ac:dyDescent="0.4">
      <c r="K508" s="17">
        <v>506</v>
      </c>
      <c r="L508" s="70">
        <v>4977.7</v>
      </c>
    </row>
    <row r="509" spans="11:12" x14ac:dyDescent="0.4">
      <c r="K509" s="17">
        <v>507</v>
      </c>
      <c r="L509" s="70">
        <v>4956.3999999999996</v>
      </c>
    </row>
    <row r="510" spans="11:12" x14ac:dyDescent="0.4">
      <c r="K510" s="17">
        <v>508</v>
      </c>
      <c r="L510" s="70">
        <v>4986.2999999999993</v>
      </c>
    </row>
    <row r="511" spans="11:12" x14ac:dyDescent="0.4">
      <c r="K511" s="17">
        <v>509</v>
      </c>
      <c r="L511" s="70">
        <v>4986.0999999999995</v>
      </c>
    </row>
    <row r="512" spans="11:12" x14ac:dyDescent="0.4">
      <c r="K512" s="17">
        <v>510</v>
      </c>
      <c r="L512" s="70">
        <v>5011.3999999999996</v>
      </c>
    </row>
    <row r="513" spans="11:12" x14ac:dyDescent="0.4">
      <c r="K513" s="17">
        <v>511</v>
      </c>
      <c r="L513" s="70">
        <v>4994.7999999999993</v>
      </c>
    </row>
    <row r="514" spans="11:12" x14ac:dyDescent="0.4">
      <c r="K514" s="17">
        <v>512</v>
      </c>
      <c r="L514" s="70">
        <v>4949</v>
      </c>
    </row>
    <row r="515" spans="11:12" x14ac:dyDescent="0.4">
      <c r="K515" s="17">
        <v>513</v>
      </c>
      <c r="L515" s="70">
        <v>4962</v>
      </c>
    </row>
    <row r="516" spans="11:12" x14ac:dyDescent="0.4">
      <c r="K516" s="17">
        <v>514</v>
      </c>
      <c r="L516" s="70">
        <v>4997.3999999999996</v>
      </c>
    </row>
    <row r="517" spans="11:12" x14ac:dyDescent="0.4">
      <c r="K517" s="17">
        <v>515</v>
      </c>
      <c r="L517" s="70">
        <v>5002.2999999999993</v>
      </c>
    </row>
    <row r="518" spans="11:12" x14ac:dyDescent="0.4">
      <c r="K518" s="17">
        <v>516</v>
      </c>
      <c r="L518" s="70">
        <v>5035.7</v>
      </c>
    </row>
    <row r="519" spans="11:12" x14ac:dyDescent="0.4">
      <c r="K519" s="17">
        <v>517</v>
      </c>
      <c r="L519" s="70">
        <v>5036.7999999999993</v>
      </c>
    </row>
    <row r="520" spans="11:12" x14ac:dyDescent="0.4">
      <c r="K520" s="17">
        <v>518</v>
      </c>
      <c r="L520" s="70">
        <v>5056.2</v>
      </c>
    </row>
    <row r="521" spans="11:12" x14ac:dyDescent="0.4">
      <c r="K521" s="17">
        <v>519</v>
      </c>
      <c r="L521" s="70">
        <v>5061.7</v>
      </c>
    </row>
    <row r="522" spans="11:12" x14ac:dyDescent="0.4">
      <c r="K522" s="17">
        <v>520</v>
      </c>
      <c r="L522" s="70">
        <v>5061.2999999999993</v>
      </c>
    </row>
    <row r="523" spans="11:12" x14ac:dyDescent="0.4">
      <c r="K523" s="17">
        <v>521</v>
      </c>
      <c r="L523" s="70">
        <v>5062.5999999999995</v>
      </c>
    </row>
    <row r="524" spans="11:12" x14ac:dyDescent="0.4">
      <c r="K524" s="17">
        <v>522</v>
      </c>
      <c r="L524" s="70">
        <v>5102.7</v>
      </c>
    </row>
    <row r="525" spans="11:12" x14ac:dyDescent="0.4">
      <c r="K525" s="17">
        <v>523</v>
      </c>
      <c r="L525" s="70">
        <v>5056.8999999999996</v>
      </c>
    </row>
    <row r="526" spans="11:12" x14ac:dyDescent="0.4">
      <c r="K526" s="17">
        <v>524</v>
      </c>
      <c r="L526" s="70">
        <v>5061.5</v>
      </c>
    </row>
    <row r="527" spans="11:12" x14ac:dyDescent="0.4">
      <c r="K527" s="17">
        <v>525</v>
      </c>
      <c r="L527" s="70">
        <v>5064.2999999999993</v>
      </c>
    </row>
    <row r="528" spans="11:12" x14ac:dyDescent="0.4">
      <c r="K528" s="17">
        <v>526</v>
      </c>
      <c r="L528" s="70">
        <v>5111.2</v>
      </c>
    </row>
    <row r="529" spans="11:12" x14ac:dyDescent="0.4">
      <c r="K529" s="17">
        <v>527</v>
      </c>
      <c r="L529" s="70">
        <v>5137.7</v>
      </c>
    </row>
    <row r="530" spans="11:12" x14ac:dyDescent="0.4">
      <c r="K530" s="17">
        <v>528</v>
      </c>
      <c r="L530" s="70">
        <v>5171.7999999999993</v>
      </c>
    </row>
    <row r="531" spans="11:12" x14ac:dyDescent="0.4">
      <c r="K531" s="17">
        <v>529</v>
      </c>
      <c r="L531" s="70">
        <v>5176.3999999999996</v>
      </c>
    </row>
    <row r="532" spans="11:12" x14ac:dyDescent="0.4">
      <c r="K532" s="17">
        <v>530</v>
      </c>
      <c r="L532" s="70">
        <v>5203.5</v>
      </c>
    </row>
    <row r="533" spans="11:12" x14ac:dyDescent="0.4">
      <c r="K533" s="17">
        <v>531</v>
      </c>
      <c r="L533" s="70">
        <v>5221.5</v>
      </c>
    </row>
    <row r="534" spans="11:12" x14ac:dyDescent="0.4">
      <c r="K534" s="17">
        <v>532</v>
      </c>
      <c r="L534" s="70">
        <v>5227.5999999999995</v>
      </c>
    </row>
    <row r="535" spans="11:12" x14ac:dyDescent="0.4">
      <c r="K535" s="17">
        <v>533</v>
      </c>
      <c r="L535" s="70">
        <v>5230</v>
      </c>
    </row>
    <row r="536" spans="11:12" x14ac:dyDescent="0.4">
      <c r="K536" s="17">
        <v>534</v>
      </c>
      <c r="L536" s="70">
        <v>5234.5</v>
      </c>
    </row>
    <row r="537" spans="11:12" x14ac:dyDescent="0.4">
      <c r="K537" s="17">
        <v>535</v>
      </c>
      <c r="L537" s="70">
        <v>5208.5</v>
      </c>
    </row>
    <row r="538" spans="11:12" x14ac:dyDescent="0.4">
      <c r="K538" s="17">
        <v>536</v>
      </c>
      <c r="L538" s="70">
        <v>5181.5</v>
      </c>
    </row>
    <row r="539" spans="11:12" x14ac:dyDescent="0.4">
      <c r="K539" s="17">
        <v>537</v>
      </c>
      <c r="L539" s="70">
        <v>5164.7</v>
      </c>
    </row>
    <row r="540" spans="11:12" x14ac:dyDescent="0.4">
      <c r="K540" s="17">
        <v>538</v>
      </c>
      <c r="L540" s="70">
        <v>5168.7999999999993</v>
      </c>
    </row>
  </sheetData>
  <sortState xmlns:xlrd2="http://schemas.microsoft.com/office/spreadsheetml/2017/richdata2" ref="N15:Q2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992DE-D489-4E59-996C-5C0BA261CE0D}">
  <sheetPr codeName="Sheet5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181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4</v>
      </c>
      <c r="C2" s="116"/>
      <c r="E2" s="39" t="s">
        <v>65</v>
      </c>
      <c r="F2" s="36" t="s">
        <v>21</v>
      </c>
      <c r="G2" s="24">
        <v>0</v>
      </c>
      <c r="H2" s="103">
        <f>IF(B$31=0,0,G2/B$31)</f>
        <v>0</v>
      </c>
      <c r="I2" s="64">
        <v>18</v>
      </c>
      <c r="K2" s="15">
        <v>0</v>
      </c>
      <c r="L2" s="69">
        <v>0</v>
      </c>
      <c r="N2" s="85" t="s">
        <v>129</v>
      </c>
      <c r="O2" s="92">
        <f>IF(P2=0,0,Q2/P2)</f>
        <v>-9250</v>
      </c>
      <c r="P2" s="89">
        <v>4</v>
      </c>
      <c r="Q2" s="73">
        <v>-37000</v>
      </c>
    </row>
    <row r="3" spans="1:17" x14ac:dyDescent="0.4">
      <c r="A3" s="32" t="s">
        <v>8</v>
      </c>
      <c r="B3" s="127">
        <v>25</v>
      </c>
      <c r="C3" s="128"/>
      <c r="E3" s="40" t="s">
        <v>66</v>
      </c>
      <c r="F3" s="37" t="s">
        <v>22</v>
      </c>
      <c r="G3" s="25">
        <v>0</v>
      </c>
      <c r="H3" s="104">
        <f>IF(B$31=0,0,G3/B$31)</f>
        <v>0</v>
      </c>
      <c r="I3" s="65">
        <v>16</v>
      </c>
      <c r="K3" s="17">
        <v>1</v>
      </c>
      <c r="L3" s="70">
        <v>-22</v>
      </c>
      <c r="N3" s="86" t="s">
        <v>130</v>
      </c>
      <c r="O3" s="93">
        <f t="shared" ref="O3:O7" si="0">IF(P3=0,0,Q3/P3)</f>
        <v>-7225</v>
      </c>
      <c r="P3" s="90">
        <v>4</v>
      </c>
      <c r="Q3" s="74">
        <v>-28900</v>
      </c>
    </row>
    <row r="4" spans="1:17" x14ac:dyDescent="0.4">
      <c r="A4" s="32" t="s">
        <v>6</v>
      </c>
      <c r="B4" s="129">
        <v>-132.1</v>
      </c>
      <c r="C4" s="130"/>
      <c r="E4" s="40" t="s">
        <v>67</v>
      </c>
      <c r="F4" s="37" t="s">
        <v>23</v>
      </c>
      <c r="G4" s="25">
        <v>0</v>
      </c>
      <c r="H4" s="104">
        <f>IF(B$31=0,0,G4/B$31)</f>
        <v>0</v>
      </c>
      <c r="I4" s="65">
        <v>18</v>
      </c>
      <c r="K4" s="17">
        <v>2</v>
      </c>
      <c r="L4" s="70">
        <v>-60.4</v>
      </c>
      <c r="N4" s="86" t="s">
        <v>131</v>
      </c>
      <c r="O4" s="93">
        <f t="shared" si="0"/>
        <v>-10875</v>
      </c>
      <c r="P4" s="90">
        <v>4</v>
      </c>
      <c r="Q4" s="74">
        <v>-43500</v>
      </c>
    </row>
    <row r="5" spans="1:17" x14ac:dyDescent="0.4">
      <c r="A5" s="32" t="s">
        <v>7</v>
      </c>
      <c r="B5" s="131">
        <f>IF(B$2=0,0,B$4/B$2)</f>
        <v>-33.024999999999999</v>
      </c>
      <c r="C5" s="132"/>
      <c r="E5" s="40" t="s">
        <v>68</v>
      </c>
      <c r="F5" s="37" t="s">
        <v>24</v>
      </c>
      <c r="G5" s="25">
        <v>0</v>
      </c>
      <c r="H5" s="104">
        <f>IF(B$31=0,0,G5/B$31)</f>
        <v>0</v>
      </c>
      <c r="I5" s="65">
        <v>18</v>
      </c>
      <c r="K5" s="17">
        <v>3</v>
      </c>
      <c r="L5" s="70">
        <v>-85.6</v>
      </c>
      <c r="N5" s="86" t="s">
        <v>132</v>
      </c>
      <c r="O5" s="93">
        <f t="shared" si="0"/>
        <v>-2850</v>
      </c>
      <c r="P5" s="90">
        <v>2</v>
      </c>
      <c r="Q5" s="74">
        <v>-5700</v>
      </c>
    </row>
    <row r="6" spans="1:17" x14ac:dyDescent="0.4">
      <c r="A6" s="32" t="s">
        <v>1</v>
      </c>
      <c r="B6" s="123">
        <f>IF(B$2=0,0,(B$7*1+B$8*2+B$9*3)/B$2)</f>
        <v>3</v>
      </c>
      <c r="C6" s="124"/>
      <c r="E6" s="40" t="s">
        <v>177</v>
      </c>
      <c r="F6" s="37" t="s">
        <v>178</v>
      </c>
      <c r="G6" s="25">
        <v>0</v>
      </c>
      <c r="H6" s="104">
        <f>IF(B$31=0,0,G6/B$31)</f>
        <v>0</v>
      </c>
      <c r="I6" s="65">
        <v>14</v>
      </c>
      <c r="K6" s="17">
        <v>4</v>
      </c>
      <c r="L6" s="70">
        <v>-132.1</v>
      </c>
      <c r="N6" s="86" t="s">
        <v>133</v>
      </c>
      <c r="O6" s="93">
        <f t="shared" si="0"/>
        <v>-6000</v>
      </c>
      <c r="P6" s="90">
        <v>2</v>
      </c>
      <c r="Q6" s="74">
        <v>-12000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69</v>
      </c>
      <c r="F7" s="37" t="s">
        <v>12</v>
      </c>
      <c r="G7" s="25">
        <v>0</v>
      </c>
      <c r="H7" s="104">
        <f>IF(B$31=0,0,G7/B$31)</f>
        <v>0</v>
      </c>
      <c r="I7" s="65">
        <v>18</v>
      </c>
      <c r="N7" s="87" t="s">
        <v>134</v>
      </c>
      <c r="O7" s="94">
        <f t="shared" si="0"/>
        <v>-5000</v>
      </c>
      <c r="P7" s="91">
        <v>1</v>
      </c>
      <c r="Q7" s="75">
        <v>-5000</v>
      </c>
    </row>
    <row r="8" spans="1:17" x14ac:dyDescent="0.4">
      <c r="A8" s="32" t="s">
        <v>3</v>
      </c>
      <c r="B8" s="25">
        <v>0</v>
      </c>
      <c r="C8" s="18">
        <f>IF(B$2=0,0,B8/B$2)</f>
        <v>0</v>
      </c>
      <c r="E8" s="40" t="s">
        <v>70</v>
      </c>
      <c r="F8" s="37" t="s">
        <v>25</v>
      </c>
      <c r="G8" s="25">
        <v>0</v>
      </c>
      <c r="H8" s="104">
        <f>IF(B$31=0,0,G8/B$31)</f>
        <v>0</v>
      </c>
      <c r="I8" s="65">
        <v>17</v>
      </c>
      <c r="N8" s="22"/>
      <c r="O8" s="98"/>
      <c r="P8" s="82"/>
      <c r="Q8" s="80"/>
    </row>
    <row r="9" spans="1:17" x14ac:dyDescent="0.4">
      <c r="A9" s="33" t="s">
        <v>4</v>
      </c>
      <c r="B9" s="26">
        <v>4</v>
      </c>
      <c r="C9" s="19">
        <f t="shared" ref="C9" si="1">IF(B$2=0,0,B9/B$2)</f>
        <v>1</v>
      </c>
      <c r="E9" s="40" t="s">
        <v>71</v>
      </c>
      <c r="F9" s="37" t="s">
        <v>26</v>
      </c>
      <c r="G9" s="25">
        <v>0</v>
      </c>
      <c r="H9" s="104">
        <f>IF(B$31=0,0,G9/B$31)</f>
        <v>0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</v>
      </c>
      <c r="C10" s="19">
        <f>IF(B$2=0,0,B10/B$2)</f>
        <v>0.5</v>
      </c>
      <c r="E10" s="40" t="s">
        <v>72</v>
      </c>
      <c r="F10" s="37" t="s">
        <v>27</v>
      </c>
      <c r="G10" s="25">
        <v>0</v>
      </c>
      <c r="H10" s="104">
        <f>IF(B$31=0,0,G10/B$31)</f>
        <v>0</v>
      </c>
      <c r="I10" s="65">
        <v>15</v>
      </c>
      <c r="N10" s="85" t="s">
        <v>158</v>
      </c>
      <c r="O10" s="95">
        <f>IF(P10=0,0,Q10/P10)</f>
        <v>-30.2</v>
      </c>
      <c r="P10" s="89">
        <v>2</v>
      </c>
      <c r="Q10" s="77">
        <v>-60.4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73</v>
      </c>
      <c r="F11" s="37" t="s">
        <v>28</v>
      </c>
      <c r="G11" s="25">
        <v>0</v>
      </c>
      <c r="H11" s="104">
        <f>IF(B$31=0,0,G11/B$31)</f>
        <v>0</v>
      </c>
      <c r="I11" s="65">
        <v>17</v>
      </c>
      <c r="N11" s="86" t="s">
        <v>159</v>
      </c>
      <c r="O11" s="96">
        <f>IF(P11=0,0,Q11/P11)</f>
        <v>-25.2</v>
      </c>
      <c r="P11" s="90">
        <v>1</v>
      </c>
      <c r="Q11" s="78">
        <v>-25.2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74</v>
      </c>
      <c r="F12" s="37" t="s">
        <v>29</v>
      </c>
      <c r="G12" s="25">
        <v>0</v>
      </c>
      <c r="H12" s="104">
        <f>IF(B$31=0,0,G12/B$31)</f>
        <v>0</v>
      </c>
      <c r="I12" s="65">
        <v>10</v>
      </c>
      <c r="N12" s="87" t="s">
        <v>160</v>
      </c>
      <c r="O12" s="97">
        <f>IF(P12=0,0,Q12/P12)</f>
        <v>-46.5</v>
      </c>
      <c r="P12" s="91">
        <v>1</v>
      </c>
      <c r="Q12" s="79">
        <v>-46.5</v>
      </c>
    </row>
    <row r="13" spans="1:17" x14ac:dyDescent="0.4">
      <c r="A13" s="35" t="s">
        <v>122</v>
      </c>
      <c r="B13" s="28">
        <v>0</v>
      </c>
      <c r="C13" s="23">
        <f>IF(B$30=0,0,B13/B$30)</f>
        <v>0</v>
      </c>
      <c r="E13" s="40" t="s">
        <v>75</v>
      </c>
      <c r="F13" s="37" t="s">
        <v>30</v>
      </c>
      <c r="G13" s="25">
        <v>0</v>
      </c>
      <c r="H13" s="104">
        <f>IF(B$31=0,0,G13/B$31)</f>
        <v>0</v>
      </c>
      <c r="I13" s="65">
        <v>10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0</v>
      </c>
      <c r="C14" s="18">
        <f>IF(B$30=0,0,B14/B$30)</f>
        <v>0</v>
      </c>
      <c r="E14" s="40" t="s">
        <v>76</v>
      </c>
      <c r="F14" s="37" t="s">
        <v>31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0</v>
      </c>
      <c r="C15" s="16">
        <f>IF(B$13=0,0,B15/B$13)</f>
        <v>0</v>
      </c>
      <c r="E15" s="40" t="s">
        <v>77</v>
      </c>
      <c r="F15" s="37" t="s">
        <v>32</v>
      </c>
      <c r="G15" s="25">
        <v>0</v>
      </c>
      <c r="H15" s="104">
        <f>IF(B$31=0,0,G15/B$31)</f>
        <v>0</v>
      </c>
      <c r="I15" s="65">
        <v>1</v>
      </c>
      <c r="N15" s="85" t="s">
        <v>185</v>
      </c>
      <c r="O15" s="95">
        <f>IF(P15=0,0,Q15/P15)</f>
        <v>-26.766666666666666</v>
      </c>
      <c r="P15" s="89">
        <v>3</v>
      </c>
      <c r="Q15" s="77">
        <v>-80.3</v>
      </c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78</v>
      </c>
      <c r="F16" s="37" t="s">
        <v>33</v>
      </c>
      <c r="G16" s="25">
        <v>0</v>
      </c>
      <c r="H16" s="104">
        <f>IF(B$31=0,0,G16/B$31)</f>
        <v>0</v>
      </c>
      <c r="I16" s="65">
        <v>9</v>
      </c>
      <c r="N16" s="86" t="s">
        <v>183</v>
      </c>
      <c r="O16" s="96">
        <f>IF(P16=0,0,Q16/P16)</f>
        <v>-29</v>
      </c>
      <c r="P16" s="90">
        <v>1</v>
      </c>
      <c r="Q16" s="78">
        <v>-29</v>
      </c>
    </row>
    <row r="17" spans="1:17" x14ac:dyDescent="0.4">
      <c r="A17" s="31" t="s">
        <v>10</v>
      </c>
      <c r="B17" s="24">
        <f>B19+B18</f>
        <v>1</v>
      </c>
      <c r="C17" s="16">
        <f>IF(B$3=0,0,B17/B$3)</f>
        <v>0.04</v>
      </c>
      <c r="E17" s="40" t="s">
        <v>79</v>
      </c>
      <c r="F17" s="37" t="s">
        <v>34</v>
      </c>
      <c r="G17" s="25">
        <v>0</v>
      </c>
      <c r="H17" s="104">
        <f>IF(B$31=0,0,G17/B$31)</f>
        <v>0</v>
      </c>
      <c r="I17" s="65">
        <v>13</v>
      </c>
      <c r="N17" s="86" t="s">
        <v>127</v>
      </c>
      <c r="O17" s="96">
        <f>IF(P17=0,0,Q17/P17)</f>
        <v>-71.75</v>
      </c>
      <c r="P17" s="90">
        <v>4</v>
      </c>
      <c r="Q17" s="78">
        <v>-287</v>
      </c>
    </row>
    <row r="18" spans="1:17" x14ac:dyDescent="0.4">
      <c r="A18" s="32" t="s">
        <v>12</v>
      </c>
      <c r="B18" s="25">
        <v>1</v>
      </c>
      <c r="C18" s="18">
        <f>IF(B$17=0,0,B18/B$17)</f>
        <v>1</v>
      </c>
      <c r="E18" s="40" t="s">
        <v>80</v>
      </c>
      <c r="F18" s="37" t="s">
        <v>35</v>
      </c>
      <c r="G18" s="25">
        <v>0</v>
      </c>
      <c r="H18" s="104">
        <f>IF(B$31=0,0,G18/B$31)</f>
        <v>0</v>
      </c>
      <c r="I18" s="65">
        <v>13</v>
      </c>
    </row>
    <row r="19" spans="1:17" x14ac:dyDescent="0.4">
      <c r="A19" s="32" t="s">
        <v>11</v>
      </c>
      <c r="B19" s="25">
        <v>0</v>
      </c>
      <c r="C19" s="18">
        <f>IF(B$17=0,0,B19/B$17)</f>
        <v>0</v>
      </c>
      <c r="E19" s="40" t="s">
        <v>81</v>
      </c>
      <c r="F19" s="37" t="s">
        <v>36</v>
      </c>
      <c r="G19" s="25">
        <v>0</v>
      </c>
      <c r="H19" s="104">
        <f>IF(B$31=0,0,G19/B$31)</f>
        <v>0</v>
      </c>
      <c r="I19" s="65">
        <v>3</v>
      </c>
    </row>
    <row r="20" spans="1:17" x14ac:dyDescent="0.4">
      <c r="A20" s="32" t="s">
        <v>13</v>
      </c>
      <c r="B20" s="25">
        <v>10</v>
      </c>
      <c r="C20" s="18">
        <f>IF(B$3=0,0,B20/B$3)</f>
        <v>0.4</v>
      </c>
      <c r="E20" s="40" t="s">
        <v>82</v>
      </c>
      <c r="F20" s="37" t="s">
        <v>37</v>
      </c>
      <c r="G20" s="25">
        <v>0</v>
      </c>
      <c r="H20" s="104">
        <f>IF(B$31=0,0,G20/B$31)</f>
        <v>0</v>
      </c>
      <c r="I20" s="65">
        <v>14</v>
      </c>
    </row>
    <row r="21" spans="1:17" x14ac:dyDescent="0.4">
      <c r="A21" s="32" t="s">
        <v>165</v>
      </c>
      <c r="B21" s="25">
        <v>1</v>
      </c>
      <c r="C21" s="106">
        <v>0</v>
      </c>
      <c r="E21" s="40" t="s">
        <v>83</v>
      </c>
      <c r="F21" s="37" t="s">
        <v>38</v>
      </c>
      <c r="G21" s="25">
        <v>0</v>
      </c>
      <c r="H21" s="104">
        <f>IF(B$31=0,0,G21/B$31)</f>
        <v>0</v>
      </c>
      <c r="I21" s="65">
        <v>1</v>
      </c>
    </row>
    <row r="22" spans="1:17" x14ac:dyDescent="0.4">
      <c r="A22" s="32" t="s">
        <v>166</v>
      </c>
      <c r="B22" s="25">
        <v>4</v>
      </c>
      <c r="C22" s="106">
        <v>0</v>
      </c>
      <c r="E22" s="40" t="s">
        <v>84</v>
      </c>
      <c r="F22" s="37" t="s">
        <v>39</v>
      </c>
      <c r="G22" s="25">
        <v>0</v>
      </c>
      <c r="H22" s="104">
        <f>IF(B$31=0,0,G22/B$31)</f>
        <v>0</v>
      </c>
      <c r="I22" s="65">
        <v>15</v>
      </c>
    </row>
    <row r="23" spans="1:17" x14ac:dyDescent="0.4">
      <c r="A23" s="32" t="s">
        <v>5</v>
      </c>
      <c r="B23" s="29">
        <f>IF(B$17=0,0,C23/B$17)</f>
        <v>7800</v>
      </c>
      <c r="C23" s="20">
        <v>7800</v>
      </c>
      <c r="E23" s="40" t="s">
        <v>85</v>
      </c>
      <c r="F23" s="37" t="s">
        <v>40</v>
      </c>
      <c r="G23" s="25">
        <v>0</v>
      </c>
      <c r="H23" s="104">
        <f>IF(B$31=0,0,G23/B$31)</f>
        <v>0</v>
      </c>
      <c r="I23" s="65">
        <v>6</v>
      </c>
    </row>
    <row r="24" spans="1:17" x14ac:dyDescent="0.4">
      <c r="A24" s="33" t="s">
        <v>189</v>
      </c>
      <c r="B24" s="111">
        <f>IF($B$17-B$16=0,0,C24/($B$17-B$16))</f>
        <v>7800</v>
      </c>
      <c r="C24" s="112">
        <v>7800</v>
      </c>
      <c r="E24" s="40" t="s">
        <v>86</v>
      </c>
      <c r="F24" s="37" t="s">
        <v>41</v>
      </c>
      <c r="G24" s="25">
        <v>0</v>
      </c>
      <c r="H24" s="104">
        <f>IF(B$31=0,0,G24/B$31)</f>
        <v>0</v>
      </c>
      <c r="I24" s="65">
        <v>8</v>
      </c>
    </row>
    <row r="25" spans="1:17" x14ac:dyDescent="0.4">
      <c r="A25" s="33" t="s">
        <v>190</v>
      </c>
      <c r="B25" s="111">
        <f>IF(B$16=0,0,C25/B$16)</f>
        <v>0</v>
      </c>
      <c r="C25" s="112">
        <v>0</v>
      </c>
      <c r="E25" s="40" t="s">
        <v>87</v>
      </c>
      <c r="F25" s="37" t="s">
        <v>42</v>
      </c>
      <c r="G25" s="25">
        <v>0</v>
      </c>
      <c r="H25" s="104">
        <f>IF(B$31=0,0,G25/B$31)</f>
        <v>0</v>
      </c>
      <c r="I25" s="65">
        <v>17</v>
      </c>
    </row>
    <row r="26" spans="1:17" x14ac:dyDescent="0.4">
      <c r="A26" s="32" t="s">
        <v>14</v>
      </c>
      <c r="B26" s="29">
        <f>IF(B$20=0,0,C26/B$20)</f>
        <v>-8240</v>
      </c>
      <c r="C26" s="20">
        <v>-82400</v>
      </c>
      <c r="E26" s="40" t="s">
        <v>88</v>
      </c>
      <c r="F26" s="37" t="s">
        <v>43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1">
        <v>0</v>
      </c>
      <c r="C27" s="122"/>
      <c r="E27" s="40" t="s">
        <v>89</v>
      </c>
      <c r="F27" s="37" t="s">
        <v>44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19">
        <v>13000</v>
      </c>
      <c r="C28" s="120"/>
      <c r="E28" s="40" t="s">
        <v>90</v>
      </c>
      <c r="F28" s="37" t="s">
        <v>45</v>
      </c>
      <c r="G28" s="25">
        <v>0</v>
      </c>
      <c r="H28" s="104">
        <f>IF(B$31=0,0,G28/B$31)</f>
        <v>0</v>
      </c>
      <c r="I28" s="65">
        <v>16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5">
        <v>0</v>
      </c>
      <c r="C30" s="116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17">
        <v>0</v>
      </c>
      <c r="C31" s="118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4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6300A-5A62-4F0B-8BD7-3682E6C55C7E}">
  <sheetPr codeName="Sheet6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183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4</v>
      </c>
      <c r="C2" s="116"/>
      <c r="E2" s="39" t="s">
        <v>67</v>
      </c>
      <c r="F2" s="36" t="s">
        <v>23</v>
      </c>
      <c r="G2" s="24">
        <v>5</v>
      </c>
      <c r="H2" s="103">
        <f>IF(B$31=0,0,G2/B$31)</f>
        <v>1.25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-7250</v>
      </c>
      <c r="P2" s="89">
        <v>4</v>
      </c>
      <c r="Q2" s="73">
        <v>-29000</v>
      </c>
    </row>
    <row r="3" spans="1:17" x14ac:dyDescent="0.4">
      <c r="A3" s="32" t="s">
        <v>8</v>
      </c>
      <c r="B3" s="127">
        <v>24</v>
      </c>
      <c r="C3" s="128"/>
      <c r="E3" s="40" t="s">
        <v>73</v>
      </c>
      <c r="F3" s="37" t="s">
        <v>28</v>
      </c>
      <c r="G3" s="25">
        <v>3</v>
      </c>
      <c r="H3" s="104">
        <f>IF(B$31=0,0,G3/B$31)</f>
        <v>0.75</v>
      </c>
      <c r="I3" s="65">
        <v>1</v>
      </c>
      <c r="K3" s="17">
        <v>1</v>
      </c>
      <c r="L3" s="70">
        <v>7</v>
      </c>
      <c r="N3" s="86" t="s">
        <v>130</v>
      </c>
      <c r="O3" s="93">
        <f t="shared" ref="O3:O7" si="0">IF(P3=0,0,Q3/P3)</f>
        <v>-3166.6666666666665</v>
      </c>
      <c r="P3" s="90">
        <v>3</v>
      </c>
      <c r="Q3" s="74">
        <v>-9500</v>
      </c>
    </row>
    <row r="4" spans="1:17" x14ac:dyDescent="0.4">
      <c r="A4" s="32" t="s">
        <v>6</v>
      </c>
      <c r="B4" s="129">
        <v>-15.5</v>
      </c>
      <c r="C4" s="130"/>
      <c r="E4" s="40" t="s">
        <v>65</v>
      </c>
      <c r="F4" s="37" t="s">
        <v>21</v>
      </c>
      <c r="G4" s="25">
        <v>2</v>
      </c>
      <c r="H4" s="104">
        <f>IF(B$31=0,0,G4/B$31)</f>
        <v>0.5</v>
      </c>
      <c r="I4" s="65">
        <v>9</v>
      </c>
      <c r="K4" s="17">
        <v>2</v>
      </c>
      <c r="L4" s="70">
        <v>-24.5</v>
      </c>
      <c r="N4" s="86" t="s">
        <v>131</v>
      </c>
      <c r="O4" s="93">
        <f t="shared" si="0"/>
        <v>-3666.6666666666665</v>
      </c>
      <c r="P4" s="90">
        <v>3</v>
      </c>
      <c r="Q4" s="74">
        <v>-11000</v>
      </c>
    </row>
    <row r="5" spans="1:17" x14ac:dyDescent="0.4">
      <c r="A5" s="32" t="s">
        <v>7</v>
      </c>
      <c r="B5" s="131">
        <f>IF(B$2=0,0,B$4/B$2)</f>
        <v>-3.875</v>
      </c>
      <c r="C5" s="132"/>
      <c r="E5" s="40" t="s">
        <v>68</v>
      </c>
      <c r="F5" s="37" t="s">
        <v>24</v>
      </c>
      <c r="G5" s="25">
        <v>2</v>
      </c>
      <c r="H5" s="104">
        <f>IF(B$31=0,0,G5/B$31)</f>
        <v>0.5</v>
      </c>
      <c r="I5" s="65">
        <v>1</v>
      </c>
      <c r="K5" s="17">
        <v>3</v>
      </c>
      <c r="L5" s="70">
        <v>-26.5</v>
      </c>
      <c r="N5" s="86" t="s">
        <v>132</v>
      </c>
      <c r="O5" s="93">
        <f t="shared" si="0"/>
        <v>4000</v>
      </c>
      <c r="P5" s="90">
        <v>2</v>
      </c>
      <c r="Q5" s="74">
        <v>8000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177</v>
      </c>
      <c r="F6" s="37" t="s">
        <v>178</v>
      </c>
      <c r="G6" s="25">
        <v>2</v>
      </c>
      <c r="H6" s="104">
        <f>IF(B$31=0,0,G6/B$31)</f>
        <v>0.5</v>
      </c>
      <c r="I6" s="65">
        <v>4</v>
      </c>
      <c r="K6" s="17">
        <v>4</v>
      </c>
      <c r="L6" s="70">
        <v>-15.5</v>
      </c>
      <c r="N6" s="86" t="s">
        <v>133</v>
      </c>
      <c r="O6" s="93">
        <f t="shared" si="0"/>
        <v>21500</v>
      </c>
      <c r="P6" s="90">
        <v>2</v>
      </c>
      <c r="Q6" s="74">
        <v>43000</v>
      </c>
    </row>
    <row r="7" spans="1:17" x14ac:dyDescent="0.4">
      <c r="A7" s="32" t="s">
        <v>2</v>
      </c>
      <c r="B7" s="25">
        <v>1</v>
      </c>
      <c r="C7" s="18">
        <f>IF(B$2=0,0,B7/B$2)</f>
        <v>0.25</v>
      </c>
      <c r="E7" s="40" t="s">
        <v>90</v>
      </c>
      <c r="F7" s="37" t="s">
        <v>45</v>
      </c>
      <c r="G7" s="25">
        <v>2</v>
      </c>
      <c r="H7" s="104">
        <f>IF(B$31=0,0,G7/B$31)</f>
        <v>0.5</v>
      </c>
      <c r="I7" s="65">
        <v>1</v>
      </c>
      <c r="N7" s="87" t="s">
        <v>134</v>
      </c>
      <c r="O7" s="94">
        <f t="shared" si="0"/>
        <v>-8500</v>
      </c>
      <c r="P7" s="91">
        <v>2</v>
      </c>
      <c r="Q7" s="75">
        <v>-17000</v>
      </c>
    </row>
    <row r="8" spans="1:17" x14ac:dyDescent="0.4">
      <c r="A8" s="32" t="s">
        <v>3</v>
      </c>
      <c r="B8" s="25">
        <v>2</v>
      </c>
      <c r="C8" s="18">
        <f>IF(B$2=0,0,B8/B$2)</f>
        <v>0.5</v>
      </c>
      <c r="E8" s="40" t="s">
        <v>69</v>
      </c>
      <c r="F8" s="37" t="s">
        <v>12</v>
      </c>
      <c r="G8" s="25">
        <v>1</v>
      </c>
      <c r="H8" s="104">
        <f>IF(B$31=0,0,G8/B$31)</f>
        <v>0.25</v>
      </c>
      <c r="I8" s="65">
        <v>15</v>
      </c>
      <c r="N8" s="22"/>
      <c r="O8" s="98"/>
      <c r="P8" s="82"/>
      <c r="Q8" s="80"/>
    </row>
    <row r="9" spans="1:17" x14ac:dyDescent="0.4">
      <c r="A9" s="33" t="s">
        <v>4</v>
      </c>
      <c r="B9" s="26">
        <v>1</v>
      </c>
      <c r="C9" s="19">
        <f t="shared" ref="C9" si="1">IF(B$2=0,0,B9/B$2)</f>
        <v>0.25</v>
      </c>
      <c r="E9" s="40" t="s">
        <v>70</v>
      </c>
      <c r="F9" s="37" t="s">
        <v>25</v>
      </c>
      <c r="G9" s="25">
        <v>1</v>
      </c>
      <c r="H9" s="104">
        <f>IF(B$31=0,0,G9/B$31)</f>
        <v>0.25</v>
      </c>
      <c r="I9" s="65">
        <v>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72</v>
      </c>
      <c r="F10" s="37" t="s">
        <v>27</v>
      </c>
      <c r="G10" s="25">
        <v>1</v>
      </c>
      <c r="H10" s="104">
        <f>IF(B$31=0,0,G10/B$31)</f>
        <v>0.25</v>
      </c>
      <c r="I10" s="65">
        <v>1</v>
      </c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84</v>
      </c>
      <c r="F11" s="37" t="s">
        <v>39</v>
      </c>
      <c r="G11" s="25">
        <v>1</v>
      </c>
      <c r="H11" s="104">
        <f>IF(B$31=0,0,G11/B$31)</f>
        <v>0.25</v>
      </c>
      <c r="I11" s="65">
        <v>1</v>
      </c>
      <c r="N11" s="86" t="s">
        <v>159</v>
      </c>
      <c r="O11" s="96">
        <f>IF(P11=0,0,Q11/P11)</f>
        <v>9</v>
      </c>
      <c r="P11" s="90">
        <v>2</v>
      </c>
      <c r="Q11" s="78">
        <v>18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87</v>
      </c>
      <c r="F12" s="37" t="s">
        <v>42</v>
      </c>
      <c r="G12" s="25">
        <v>1</v>
      </c>
      <c r="H12" s="104">
        <f>IF(B$31=0,0,G12/B$31)</f>
        <v>0.25</v>
      </c>
      <c r="I12" s="65">
        <v>1</v>
      </c>
      <c r="N12" s="87" t="s">
        <v>160</v>
      </c>
      <c r="O12" s="97">
        <f>IF(P12=0,0,Q12/P12)</f>
        <v>-16.75</v>
      </c>
      <c r="P12" s="91">
        <v>2</v>
      </c>
      <c r="Q12" s="79">
        <v>-33.5</v>
      </c>
    </row>
    <row r="13" spans="1:17" x14ac:dyDescent="0.4">
      <c r="A13" s="35" t="s">
        <v>122</v>
      </c>
      <c r="B13" s="28">
        <v>8</v>
      </c>
      <c r="C13" s="23">
        <f>IF(B$30=0,0,B13/B$30)</f>
        <v>0.42105263157894735</v>
      </c>
      <c r="E13" s="40" t="s">
        <v>66</v>
      </c>
      <c r="F13" s="37" t="s">
        <v>22</v>
      </c>
      <c r="G13" s="25">
        <v>0</v>
      </c>
      <c r="H13" s="104">
        <f>IF(B$31=0,0,G13/B$31)</f>
        <v>0</v>
      </c>
      <c r="I13" s="65">
        <v>16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2</v>
      </c>
      <c r="C14" s="18">
        <f>IF(B$30=0,0,B14/B$30)</f>
        <v>0.10526315789473684</v>
      </c>
      <c r="E14" s="40" t="s">
        <v>71</v>
      </c>
      <c r="F14" s="37" t="s">
        <v>26</v>
      </c>
      <c r="G14" s="25">
        <v>0</v>
      </c>
      <c r="H14" s="104">
        <f>IF(B$31=0,0,G14/B$31)</f>
        <v>0</v>
      </c>
      <c r="I14" s="65">
        <v>14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</v>
      </c>
      <c r="C15" s="16">
        <f>IF(B$13=0,0,B15/B$13)</f>
        <v>0.25</v>
      </c>
      <c r="E15" s="40" t="s">
        <v>74</v>
      </c>
      <c r="F15" s="37" t="s">
        <v>29</v>
      </c>
      <c r="G15" s="25">
        <v>0</v>
      </c>
      <c r="H15" s="104">
        <f>IF(B$31=0,0,G15/B$31)</f>
        <v>0</v>
      </c>
      <c r="I15" s="65">
        <v>10</v>
      </c>
      <c r="N15" s="85" t="s">
        <v>181</v>
      </c>
      <c r="O15" s="95">
        <f>IF(P15=0,0,Q15/P15)</f>
        <v>29</v>
      </c>
      <c r="P15" s="89">
        <v>1</v>
      </c>
      <c r="Q15" s="77">
        <v>29</v>
      </c>
    </row>
    <row r="16" spans="1:17" x14ac:dyDescent="0.4">
      <c r="A16" s="31" t="s">
        <v>125</v>
      </c>
      <c r="B16" s="24">
        <v>2</v>
      </c>
      <c r="C16" s="16">
        <f>IF(B$14=0,0,B16/B$14)</f>
        <v>1</v>
      </c>
      <c r="E16" s="40" t="s">
        <v>75</v>
      </c>
      <c r="F16" s="37" t="s">
        <v>30</v>
      </c>
      <c r="G16" s="25">
        <v>0</v>
      </c>
      <c r="H16" s="104">
        <f>IF(B$31=0,0,G16/B$31)</f>
        <v>0</v>
      </c>
      <c r="I16" s="65">
        <v>10</v>
      </c>
      <c r="N16" s="86" t="s">
        <v>171</v>
      </c>
      <c r="O16" s="96">
        <f>IF(P16=0,0,Q16/P16)</f>
        <v>3.9666666666666663</v>
      </c>
      <c r="P16" s="90">
        <v>3</v>
      </c>
      <c r="Q16" s="78">
        <v>11.899999999999999</v>
      </c>
    </row>
    <row r="17" spans="1:17" x14ac:dyDescent="0.4">
      <c r="A17" s="31" t="s">
        <v>10</v>
      </c>
      <c r="B17" s="24">
        <f>B19+B18</f>
        <v>6</v>
      </c>
      <c r="C17" s="16">
        <f>IF(B$3=0,0,B17/B$3)</f>
        <v>0.25</v>
      </c>
      <c r="E17" s="40" t="s">
        <v>76</v>
      </c>
      <c r="F17" s="37" t="s">
        <v>31</v>
      </c>
      <c r="G17" s="25">
        <v>0</v>
      </c>
      <c r="H17" s="104">
        <f>IF(B$31=0,0,G17/B$31)</f>
        <v>0</v>
      </c>
      <c r="I17" s="65">
        <v>10</v>
      </c>
      <c r="N17" s="86" t="s">
        <v>127</v>
      </c>
      <c r="O17" s="96">
        <f>IF(P17=0,0,Q17/P17)</f>
        <v>-8</v>
      </c>
      <c r="P17" s="90">
        <v>1</v>
      </c>
      <c r="Q17" s="78">
        <v>-8</v>
      </c>
    </row>
    <row r="18" spans="1:17" x14ac:dyDescent="0.4">
      <c r="A18" s="32" t="s">
        <v>12</v>
      </c>
      <c r="B18" s="25">
        <v>2</v>
      </c>
      <c r="C18" s="18">
        <f>IF(B$17=0,0,B18/B$17)</f>
        <v>0.33333333333333331</v>
      </c>
      <c r="E18" s="40" t="s">
        <v>77</v>
      </c>
      <c r="F18" s="37" t="s">
        <v>32</v>
      </c>
      <c r="G18" s="25">
        <v>0</v>
      </c>
      <c r="H18" s="104">
        <f>IF(B$31=0,0,G18/B$31)</f>
        <v>0</v>
      </c>
      <c r="I18" s="65">
        <v>1</v>
      </c>
      <c r="N18" s="86" t="s">
        <v>173</v>
      </c>
      <c r="O18" s="96">
        <f>IF(P18=0,0,Q18/P18)</f>
        <v>-26.466666666666669</v>
      </c>
      <c r="P18" s="90">
        <v>3</v>
      </c>
      <c r="Q18" s="78">
        <v>-79.400000000000006</v>
      </c>
    </row>
    <row r="19" spans="1:17" x14ac:dyDescent="0.4">
      <c r="A19" s="32" t="s">
        <v>11</v>
      </c>
      <c r="B19" s="25">
        <v>4</v>
      </c>
      <c r="C19" s="18">
        <f>IF(B$17=0,0,B19/B$17)</f>
        <v>0.66666666666666663</v>
      </c>
      <c r="E19" s="40" t="s">
        <v>78</v>
      </c>
      <c r="F19" s="37" t="s">
        <v>33</v>
      </c>
      <c r="G19" s="25">
        <v>0</v>
      </c>
      <c r="H19" s="104">
        <f>IF(B$31=0,0,G19/B$31)</f>
        <v>0</v>
      </c>
      <c r="I19" s="65">
        <v>9</v>
      </c>
    </row>
    <row r="20" spans="1:17" x14ac:dyDescent="0.4">
      <c r="A20" s="32" t="s">
        <v>13</v>
      </c>
      <c r="B20" s="25">
        <v>4</v>
      </c>
      <c r="C20" s="18">
        <f>IF(B$3=0,0,B20/B$3)</f>
        <v>0.16666666666666666</v>
      </c>
      <c r="E20" s="40" t="s">
        <v>79</v>
      </c>
      <c r="F20" s="37" t="s">
        <v>34</v>
      </c>
      <c r="G20" s="25">
        <v>0</v>
      </c>
      <c r="H20" s="104">
        <f>IF(B$31=0,0,G20/B$31)</f>
        <v>0</v>
      </c>
      <c r="I20" s="65">
        <v>13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80</v>
      </c>
      <c r="F21" s="37" t="s">
        <v>35</v>
      </c>
      <c r="G21" s="25">
        <v>0</v>
      </c>
      <c r="H21" s="104">
        <f>IF(B$31=0,0,G21/B$31)</f>
        <v>0</v>
      </c>
      <c r="I21" s="65">
        <v>13</v>
      </c>
    </row>
    <row r="22" spans="1:17" x14ac:dyDescent="0.4">
      <c r="A22" s="32" t="s">
        <v>166</v>
      </c>
      <c r="B22" s="25">
        <v>11</v>
      </c>
      <c r="C22" s="106">
        <v>0</v>
      </c>
      <c r="E22" s="40" t="s">
        <v>81</v>
      </c>
      <c r="F22" s="37" t="s">
        <v>36</v>
      </c>
      <c r="G22" s="25">
        <v>0</v>
      </c>
      <c r="H22" s="104">
        <f>IF(B$31=0,0,G22/B$31)</f>
        <v>0</v>
      </c>
      <c r="I22" s="65">
        <v>3</v>
      </c>
    </row>
    <row r="23" spans="1:17" x14ac:dyDescent="0.4">
      <c r="A23" s="32" t="s">
        <v>5</v>
      </c>
      <c r="B23" s="29">
        <f>IF(B$17=0,0,C23/B$17)</f>
        <v>12333.333333333334</v>
      </c>
      <c r="C23" s="20">
        <v>74000</v>
      </c>
      <c r="E23" s="40" t="s">
        <v>82</v>
      </c>
      <c r="F23" s="37" t="s">
        <v>37</v>
      </c>
      <c r="G23" s="25">
        <v>0</v>
      </c>
      <c r="H23" s="104">
        <f>IF(B$31=0,0,G23/B$31)</f>
        <v>0</v>
      </c>
      <c r="I23" s="65">
        <v>14</v>
      </c>
    </row>
    <row r="24" spans="1:17" x14ac:dyDescent="0.4">
      <c r="A24" s="33" t="s">
        <v>189</v>
      </c>
      <c r="B24" s="111">
        <f>IF($B$17-B$16=0,0,C24/($B$17-B$16))</f>
        <v>12000</v>
      </c>
      <c r="C24" s="112">
        <v>48000</v>
      </c>
      <c r="E24" s="40" t="s">
        <v>83</v>
      </c>
      <c r="F24" s="37" t="s">
        <v>38</v>
      </c>
      <c r="G24" s="25">
        <v>0</v>
      </c>
      <c r="H24" s="104">
        <f>IF(B$31=0,0,G24/B$31)</f>
        <v>0</v>
      </c>
      <c r="I24" s="65">
        <v>1</v>
      </c>
    </row>
    <row r="25" spans="1:17" x14ac:dyDescent="0.4">
      <c r="A25" s="33" t="s">
        <v>190</v>
      </c>
      <c r="B25" s="111">
        <f>IF(B$16=0,0,C25/B$16)</f>
        <v>13000</v>
      </c>
      <c r="C25" s="112">
        <v>26000</v>
      </c>
      <c r="E25" s="40" t="s">
        <v>85</v>
      </c>
      <c r="F25" s="37" t="s">
        <v>40</v>
      </c>
      <c r="G25" s="25">
        <v>0</v>
      </c>
      <c r="H25" s="104">
        <f>IF(B$31=0,0,G25/B$31)</f>
        <v>0</v>
      </c>
      <c r="I25" s="65">
        <v>6</v>
      </c>
    </row>
    <row r="26" spans="1:17" x14ac:dyDescent="0.4">
      <c r="A26" s="32" t="s">
        <v>14</v>
      </c>
      <c r="B26" s="29">
        <f>IF(B$20=0,0,C26/B$20)</f>
        <v>-12000</v>
      </c>
      <c r="C26" s="20">
        <v>-48000</v>
      </c>
      <c r="E26" s="40" t="s">
        <v>86</v>
      </c>
      <c r="F26" s="37" t="s">
        <v>41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1">
        <v>3</v>
      </c>
      <c r="C27" s="122"/>
      <c r="E27" s="40" t="s">
        <v>88</v>
      </c>
      <c r="F27" s="37" t="s">
        <v>43</v>
      </c>
      <c r="G27" s="25">
        <v>0</v>
      </c>
      <c r="H27" s="104">
        <f>IF(B$31=0,0,G27/B$31)</f>
        <v>0</v>
      </c>
      <c r="I27" s="65">
        <v>8</v>
      </c>
    </row>
    <row r="28" spans="1:17" x14ac:dyDescent="0.4">
      <c r="A28" s="35" t="s">
        <v>146</v>
      </c>
      <c r="B28" s="119">
        <v>46000</v>
      </c>
      <c r="C28" s="120"/>
      <c r="E28" s="40" t="s">
        <v>89</v>
      </c>
      <c r="F28" s="37" t="s">
        <v>44</v>
      </c>
      <c r="G28" s="25">
        <v>0</v>
      </c>
      <c r="H28" s="104">
        <f>IF(B$31=0,0,G28/B$31)</f>
        <v>0</v>
      </c>
      <c r="I28" s="65">
        <v>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5">
        <v>19</v>
      </c>
      <c r="C30" s="116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17">
        <v>4</v>
      </c>
      <c r="C31" s="118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4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0462-9AFE-4DBC-A47E-67114DBEED88}">
  <sheetPr codeName="Sheet7"/>
  <dimension ref="A1:Q340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173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338</v>
      </c>
      <c r="C2" s="116"/>
      <c r="E2" s="39" t="s">
        <v>67</v>
      </c>
      <c r="F2" s="36" t="s">
        <v>23</v>
      </c>
      <c r="G2" s="24">
        <v>475</v>
      </c>
      <c r="H2" s="103">
        <f>IF(B$31=0,0,G2/B$31)</f>
        <v>0.69955817378497787</v>
      </c>
      <c r="I2" s="64">
        <v>9</v>
      </c>
      <c r="K2" s="15">
        <v>0</v>
      </c>
      <c r="L2" s="69">
        <v>0</v>
      </c>
      <c r="N2" s="85" t="s">
        <v>129</v>
      </c>
      <c r="O2" s="92">
        <f>IF(P2=0,0,Q2/P2)</f>
        <v>-92.835820895522389</v>
      </c>
      <c r="P2" s="89">
        <v>335</v>
      </c>
      <c r="Q2" s="73">
        <v>-31100</v>
      </c>
    </row>
    <row r="3" spans="1:17" x14ac:dyDescent="0.4">
      <c r="A3" s="32" t="s">
        <v>8</v>
      </c>
      <c r="B3" s="127">
        <v>2728</v>
      </c>
      <c r="C3" s="128"/>
      <c r="E3" s="40" t="s">
        <v>65</v>
      </c>
      <c r="F3" s="37" t="s">
        <v>21</v>
      </c>
      <c r="G3" s="25">
        <v>405</v>
      </c>
      <c r="H3" s="104">
        <f>IF(B$31=0,0,G3/B$31)</f>
        <v>0.59646539027982326</v>
      </c>
      <c r="I3" s="65">
        <v>3</v>
      </c>
      <c r="K3" s="17">
        <v>1</v>
      </c>
      <c r="L3" s="70">
        <v>40.9</v>
      </c>
      <c r="N3" s="86" t="s">
        <v>130</v>
      </c>
      <c r="O3" s="93">
        <f t="shared" ref="O3:O7" si="0">IF(P3=0,0,Q3/P3)</f>
        <v>-1423.0061349693251</v>
      </c>
      <c r="P3" s="90">
        <v>326</v>
      </c>
      <c r="Q3" s="74">
        <v>-463900</v>
      </c>
    </row>
    <row r="4" spans="1:17" x14ac:dyDescent="0.4">
      <c r="A4" s="32" t="s">
        <v>6</v>
      </c>
      <c r="B4" s="129">
        <v>-1338.9999999999998</v>
      </c>
      <c r="C4" s="130"/>
      <c r="E4" s="40" t="s">
        <v>73</v>
      </c>
      <c r="F4" s="37" t="s">
        <v>28</v>
      </c>
      <c r="G4" s="25">
        <v>323</v>
      </c>
      <c r="H4" s="104">
        <f>IF(B$31=0,0,G4/B$31)</f>
        <v>0.47569955817378495</v>
      </c>
      <c r="I4" s="65">
        <v>13</v>
      </c>
      <c r="K4" s="17">
        <v>2</v>
      </c>
      <c r="L4" s="70">
        <v>-0.89999999999999858</v>
      </c>
      <c r="N4" s="86" t="s">
        <v>131</v>
      </c>
      <c r="O4" s="93">
        <f t="shared" si="0"/>
        <v>451.75718849840257</v>
      </c>
      <c r="P4" s="90">
        <v>313</v>
      </c>
      <c r="Q4" s="74">
        <v>141400</v>
      </c>
    </row>
    <row r="5" spans="1:17" x14ac:dyDescent="0.4">
      <c r="A5" s="32" t="s">
        <v>7</v>
      </c>
      <c r="B5" s="131">
        <f>IF(B$2=0,0,B$4/B$2)</f>
        <v>-3.9615384615384608</v>
      </c>
      <c r="C5" s="132"/>
      <c r="E5" s="40" t="s">
        <v>69</v>
      </c>
      <c r="F5" s="37" t="s">
        <v>12</v>
      </c>
      <c r="G5" s="25">
        <v>238</v>
      </c>
      <c r="H5" s="104">
        <f>IF(B$31=0,0,G5/B$31)</f>
        <v>0.35051546391752575</v>
      </c>
      <c r="I5" s="65">
        <v>4</v>
      </c>
      <c r="K5" s="17">
        <v>3</v>
      </c>
      <c r="L5" s="70">
        <v>-36.4</v>
      </c>
      <c r="N5" s="86" t="s">
        <v>132</v>
      </c>
      <c r="O5" s="93">
        <f t="shared" si="0"/>
        <v>-743.8162544169611</v>
      </c>
      <c r="P5" s="90">
        <v>283</v>
      </c>
      <c r="Q5" s="74">
        <v>-210500</v>
      </c>
    </row>
    <row r="6" spans="1:17" x14ac:dyDescent="0.4">
      <c r="A6" s="32" t="s">
        <v>1</v>
      </c>
      <c r="B6" s="123">
        <f>IF(B$2=0,0,(B$7*1+B$8*2+B$9*3)/B$2)</f>
        <v>2.1094674556213016</v>
      </c>
      <c r="C6" s="124"/>
      <c r="E6" s="40" t="s">
        <v>68</v>
      </c>
      <c r="F6" s="37" t="s">
        <v>24</v>
      </c>
      <c r="G6" s="25">
        <v>235</v>
      </c>
      <c r="H6" s="104">
        <f>IF(B$31=0,0,G6/B$31)</f>
        <v>0.34609720176730485</v>
      </c>
      <c r="I6" s="65">
        <v>6</v>
      </c>
      <c r="K6" s="17">
        <v>4</v>
      </c>
      <c r="L6" s="70">
        <v>3.6000000000000014</v>
      </c>
      <c r="N6" s="86" t="s">
        <v>133</v>
      </c>
      <c r="O6" s="93">
        <f t="shared" si="0"/>
        <v>-1023.2</v>
      </c>
      <c r="P6" s="90">
        <v>250</v>
      </c>
      <c r="Q6" s="74">
        <v>-255800</v>
      </c>
    </row>
    <row r="7" spans="1:17" x14ac:dyDescent="0.4">
      <c r="A7" s="32" t="s">
        <v>2</v>
      </c>
      <c r="B7" s="25">
        <v>91</v>
      </c>
      <c r="C7" s="18">
        <f>IF(B$2=0,0,B7/B$2)</f>
        <v>0.26923076923076922</v>
      </c>
      <c r="E7" s="40" t="s">
        <v>167</v>
      </c>
      <c r="F7" s="37" t="s">
        <v>168</v>
      </c>
      <c r="G7" s="25">
        <v>184</v>
      </c>
      <c r="H7" s="104">
        <f>IF(B$31=0,0,G7/B$31)</f>
        <v>0.27098674521354932</v>
      </c>
      <c r="I7" s="65">
        <v>8</v>
      </c>
      <c r="K7" s="17">
        <v>5</v>
      </c>
      <c r="L7" s="70">
        <v>14.600000000000001</v>
      </c>
      <c r="N7" s="87" t="s">
        <v>134</v>
      </c>
      <c r="O7" s="94">
        <f t="shared" si="0"/>
        <v>-936.44859813084111</v>
      </c>
      <c r="P7" s="91">
        <v>214</v>
      </c>
      <c r="Q7" s="75">
        <v>-200400</v>
      </c>
    </row>
    <row r="8" spans="1:17" x14ac:dyDescent="0.4">
      <c r="A8" s="32" t="s">
        <v>3</v>
      </c>
      <c r="B8" s="25">
        <v>119</v>
      </c>
      <c r="C8" s="18">
        <f>IF(B$2=0,0,B8/B$2)</f>
        <v>0.35207100591715978</v>
      </c>
      <c r="E8" s="40" t="s">
        <v>177</v>
      </c>
      <c r="F8" s="37" t="s">
        <v>178</v>
      </c>
      <c r="G8" s="25">
        <v>179</v>
      </c>
      <c r="H8" s="104">
        <f>IF(B$31=0,0,G8/B$31)</f>
        <v>0.26362297496318116</v>
      </c>
      <c r="I8" s="65">
        <v>10</v>
      </c>
      <c r="K8" s="17">
        <v>6</v>
      </c>
      <c r="L8" s="70">
        <v>47.6</v>
      </c>
      <c r="N8" s="22"/>
      <c r="O8" s="98"/>
      <c r="P8" s="82"/>
      <c r="Q8" s="80"/>
    </row>
    <row r="9" spans="1:17" x14ac:dyDescent="0.4">
      <c r="A9" s="33" t="s">
        <v>4</v>
      </c>
      <c r="B9" s="26">
        <v>128</v>
      </c>
      <c r="C9" s="19">
        <f t="shared" ref="C9" si="1">IF(B$2=0,0,B9/B$2)</f>
        <v>0.378698224852071</v>
      </c>
      <c r="E9" s="40" t="s">
        <v>70</v>
      </c>
      <c r="F9" s="37" t="s">
        <v>25</v>
      </c>
      <c r="G9" s="25">
        <v>128</v>
      </c>
      <c r="H9" s="104">
        <f>IF(B$31=0,0,G9/B$31)</f>
        <v>0.18851251840942562</v>
      </c>
      <c r="I9" s="65">
        <v>2</v>
      </c>
      <c r="K9" s="17">
        <v>7</v>
      </c>
      <c r="L9" s="70">
        <v>100.1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51</v>
      </c>
      <c r="C10" s="19">
        <f>IF(B$2=0,0,B10/B$2)</f>
        <v>0.15088757396449703</v>
      </c>
      <c r="E10" s="40" t="s">
        <v>66</v>
      </c>
      <c r="F10" s="37" t="s">
        <v>22</v>
      </c>
      <c r="G10" s="25">
        <v>95</v>
      </c>
      <c r="H10" s="104">
        <f>IF(B$31=0,0,G10/B$31)</f>
        <v>0.13991163475699558</v>
      </c>
      <c r="I10" s="65">
        <v>2</v>
      </c>
      <c r="K10" s="17">
        <v>8</v>
      </c>
      <c r="L10" s="70">
        <v>60.199999999999996</v>
      </c>
      <c r="N10" s="85" t="s">
        <v>158</v>
      </c>
      <c r="O10" s="95">
        <f>IF(P10=0,0,Q10/P10)</f>
        <v>-5.925735294117648</v>
      </c>
      <c r="P10" s="89">
        <v>136</v>
      </c>
      <c r="Q10" s="77">
        <v>-805.90000000000009</v>
      </c>
    </row>
    <row r="11" spans="1:17" x14ac:dyDescent="0.4">
      <c r="A11" s="33" t="s">
        <v>137</v>
      </c>
      <c r="B11" s="26">
        <v>35</v>
      </c>
      <c r="C11" s="19">
        <f>IF(B$2=0,0,B11/B$2)</f>
        <v>0.10355029585798817</v>
      </c>
      <c r="E11" s="40" t="s">
        <v>90</v>
      </c>
      <c r="F11" s="37" t="s">
        <v>45</v>
      </c>
      <c r="G11" s="25">
        <v>91</v>
      </c>
      <c r="H11" s="104">
        <f>IF(B$31=0,0,G11/B$31)</f>
        <v>0.13402061855670103</v>
      </c>
      <c r="I11" s="65">
        <v>8</v>
      </c>
      <c r="K11" s="17">
        <v>9</v>
      </c>
      <c r="L11" s="70">
        <v>24.4</v>
      </c>
      <c r="N11" s="86" t="s">
        <v>159</v>
      </c>
      <c r="O11" s="96">
        <f>IF(P11=0,0,Q11/P11)</f>
        <v>-4.863888888888888</v>
      </c>
      <c r="P11" s="90">
        <v>108</v>
      </c>
      <c r="Q11" s="78">
        <v>-525.29999999999995</v>
      </c>
    </row>
    <row r="12" spans="1:17" x14ac:dyDescent="0.4">
      <c r="A12" s="34" t="s">
        <v>154</v>
      </c>
      <c r="B12" s="27">
        <v>23</v>
      </c>
      <c r="C12" s="21">
        <f>IF(B$2=0,0,B12/B$2)</f>
        <v>6.8047337278106509E-2</v>
      </c>
      <c r="E12" s="40" t="s">
        <v>71</v>
      </c>
      <c r="F12" s="37" t="s">
        <v>26</v>
      </c>
      <c r="G12" s="25">
        <v>88</v>
      </c>
      <c r="H12" s="104">
        <f>IF(B$31=0,0,G12/B$31)</f>
        <v>0.12960235640648013</v>
      </c>
      <c r="I12" s="65">
        <v>2</v>
      </c>
      <c r="K12" s="17">
        <v>10</v>
      </c>
      <c r="L12" s="70">
        <v>-20.100000000000001</v>
      </c>
      <c r="N12" s="87" t="s">
        <v>160</v>
      </c>
      <c r="O12" s="97">
        <f>IF(P12=0,0,Q12/P12)</f>
        <v>-0.62150537634408598</v>
      </c>
      <c r="P12" s="91">
        <v>93</v>
      </c>
      <c r="Q12" s="79">
        <v>-57.8</v>
      </c>
    </row>
    <row r="13" spans="1:17" x14ac:dyDescent="0.4">
      <c r="A13" s="35" t="s">
        <v>122</v>
      </c>
      <c r="B13" s="28">
        <v>722</v>
      </c>
      <c r="C13" s="23">
        <f>IF(B$30=0,0,B13/B$30)</f>
        <v>0.29266315362788814</v>
      </c>
      <c r="E13" s="40" t="s">
        <v>87</v>
      </c>
      <c r="F13" s="37" t="s">
        <v>42</v>
      </c>
      <c r="G13" s="25">
        <v>43</v>
      </c>
      <c r="H13" s="104">
        <f>IF(B$31=0,0,G13/B$31)</f>
        <v>6.3328424153166418E-2</v>
      </c>
      <c r="I13" s="65">
        <v>9</v>
      </c>
      <c r="K13" s="17">
        <v>11</v>
      </c>
      <c r="L13" s="70">
        <v>-3.6000000000000014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430</v>
      </c>
      <c r="C14" s="18">
        <f>IF(B$30=0,0,B14/B$30)</f>
        <v>0.17430077016619375</v>
      </c>
      <c r="E14" s="40" t="s">
        <v>84</v>
      </c>
      <c r="F14" s="37" t="s">
        <v>39</v>
      </c>
      <c r="G14" s="25">
        <v>38</v>
      </c>
      <c r="H14" s="104">
        <f>IF(B$31=0,0,G14/B$31)</f>
        <v>5.5964653902798235E-2</v>
      </c>
      <c r="I14" s="65">
        <v>7</v>
      </c>
      <c r="K14" s="17">
        <v>12</v>
      </c>
      <c r="L14" s="70">
        <v>-12.000000000000002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420</v>
      </c>
      <c r="C15" s="16">
        <f>IF(B$13=0,0,B15/B$13)</f>
        <v>0.5817174515235457</v>
      </c>
      <c r="E15" s="40" t="s">
        <v>72</v>
      </c>
      <c r="F15" s="37" t="s">
        <v>27</v>
      </c>
      <c r="G15" s="25">
        <v>30</v>
      </c>
      <c r="H15" s="104">
        <f>IF(B$31=0,0,G15/B$31)</f>
        <v>4.4182621502209134E-2</v>
      </c>
      <c r="I15" s="65">
        <v>11</v>
      </c>
      <c r="K15" s="17">
        <v>13</v>
      </c>
      <c r="L15" s="70">
        <v>49.5</v>
      </c>
      <c r="N15" s="85" t="s">
        <v>183</v>
      </c>
      <c r="O15" s="95">
        <f>IF(P15=0,0,Q15/P15)</f>
        <v>26.466666666666669</v>
      </c>
      <c r="P15" s="89">
        <v>3</v>
      </c>
      <c r="Q15" s="77">
        <v>79.400000000000006</v>
      </c>
    </row>
    <row r="16" spans="1:17" x14ac:dyDescent="0.4">
      <c r="A16" s="31" t="s">
        <v>125</v>
      </c>
      <c r="B16" s="24">
        <v>153</v>
      </c>
      <c r="C16" s="16">
        <f>IF(B$14=0,0,B16/B$14)</f>
        <v>0.35581395348837208</v>
      </c>
      <c r="E16" s="40" t="s">
        <v>82</v>
      </c>
      <c r="F16" s="37" t="s">
        <v>37</v>
      </c>
      <c r="G16" s="25">
        <v>23</v>
      </c>
      <c r="H16" s="104">
        <f>IF(B$31=0,0,G16/B$31)</f>
        <v>3.3873343151693665E-2</v>
      </c>
      <c r="I16" s="65">
        <v>5</v>
      </c>
      <c r="K16" s="17">
        <v>14</v>
      </c>
      <c r="L16" s="70">
        <v>33</v>
      </c>
      <c r="N16" s="86" t="s">
        <v>175</v>
      </c>
      <c r="O16" s="96">
        <f>IF(P16=0,0,Q16/P16)</f>
        <v>25.799999999999997</v>
      </c>
      <c r="P16" s="90">
        <v>1</v>
      </c>
      <c r="Q16" s="78">
        <v>25.799999999999997</v>
      </c>
    </row>
    <row r="17" spans="1:17" x14ac:dyDescent="0.4">
      <c r="A17" s="31" t="s">
        <v>10</v>
      </c>
      <c r="B17" s="24">
        <f>B19+B18</f>
        <v>740</v>
      </c>
      <c r="C17" s="16">
        <f>IF(B$3=0,0,B17/B$3)</f>
        <v>0.27126099706744866</v>
      </c>
      <c r="E17" s="40" t="s">
        <v>79</v>
      </c>
      <c r="F17" s="37" t="s">
        <v>34</v>
      </c>
      <c r="G17" s="25">
        <v>15</v>
      </c>
      <c r="H17" s="104">
        <f>IF(B$31=0,0,G17/B$31)</f>
        <v>2.2091310751104567E-2</v>
      </c>
      <c r="I17" s="65">
        <v>8</v>
      </c>
      <c r="K17" s="17">
        <v>15</v>
      </c>
      <c r="L17" s="70">
        <v>38.5</v>
      </c>
      <c r="N17" s="86" t="s">
        <v>162</v>
      </c>
      <c r="O17" s="96">
        <f>IF(P17=0,0,Q17/P17)</f>
        <v>9.5826086956521745</v>
      </c>
      <c r="P17" s="90">
        <v>69</v>
      </c>
      <c r="Q17" s="78">
        <v>661.2</v>
      </c>
    </row>
    <row r="18" spans="1:17" x14ac:dyDescent="0.4">
      <c r="A18" s="32" t="s">
        <v>12</v>
      </c>
      <c r="B18" s="25">
        <v>328</v>
      </c>
      <c r="C18" s="18">
        <f>IF(B$17=0,0,B18/B$17)</f>
        <v>0.44324324324324327</v>
      </c>
      <c r="E18" s="40" t="s">
        <v>92</v>
      </c>
      <c r="F18" s="37" t="s">
        <v>47</v>
      </c>
      <c r="G18" s="25">
        <v>15</v>
      </c>
      <c r="H18" s="104">
        <f>IF(B$31=0,0,G18/B$31)</f>
        <v>2.2091310751104567E-2</v>
      </c>
      <c r="I18" s="65">
        <v>4</v>
      </c>
      <c r="K18" s="17">
        <v>16</v>
      </c>
      <c r="L18" s="70">
        <v>14.600000000000001</v>
      </c>
      <c r="N18" s="86" t="s">
        <v>174</v>
      </c>
      <c r="O18" s="96">
        <f>IF(P18=0,0,Q18/P18)</f>
        <v>8.7757575757575772</v>
      </c>
      <c r="P18" s="90">
        <v>33</v>
      </c>
      <c r="Q18" s="78">
        <v>289.60000000000002</v>
      </c>
    </row>
    <row r="19" spans="1:17" x14ac:dyDescent="0.4">
      <c r="A19" s="32" t="s">
        <v>11</v>
      </c>
      <c r="B19" s="25">
        <v>412</v>
      </c>
      <c r="C19" s="18">
        <f>IF(B$17=0,0,B19/B$17)</f>
        <v>0.55675675675675673</v>
      </c>
      <c r="E19" s="40" t="s">
        <v>80</v>
      </c>
      <c r="F19" s="37" t="s">
        <v>35</v>
      </c>
      <c r="G19" s="25">
        <v>11</v>
      </c>
      <c r="H19" s="104">
        <f>IF(B$31=0,0,G19/B$31)</f>
        <v>1.6200294550810016E-2</v>
      </c>
      <c r="I19" s="65">
        <v>8</v>
      </c>
      <c r="K19" s="17">
        <v>17</v>
      </c>
      <c r="L19" s="70">
        <v>13.900000000000002</v>
      </c>
      <c r="N19" s="86" t="s">
        <v>171</v>
      </c>
      <c r="O19" s="96">
        <f>IF(P19=0,0,Q19/P19)</f>
        <v>0.91022727272727377</v>
      </c>
      <c r="P19" s="90">
        <v>88</v>
      </c>
      <c r="Q19" s="78">
        <v>80.100000000000094</v>
      </c>
    </row>
    <row r="20" spans="1:17" x14ac:dyDescent="0.4">
      <c r="A20" s="32" t="s">
        <v>13</v>
      </c>
      <c r="B20" s="25">
        <v>511</v>
      </c>
      <c r="C20" s="18">
        <f>IF(B$3=0,0,B20/B$3)</f>
        <v>0.18731671554252199</v>
      </c>
      <c r="E20" s="40" t="s">
        <v>163</v>
      </c>
      <c r="F20" s="37" t="s">
        <v>164</v>
      </c>
      <c r="G20" s="25">
        <v>9</v>
      </c>
      <c r="H20" s="104">
        <f>IF(B$31=0,0,G20/B$31)</f>
        <v>1.3254786450662739E-2</v>
      </c>
      <c r="I20" s="65">
        <v>4</v>
      </c>
      <c r="K20" s="17">
        <v>18</v>
      </c>
      <c r="L20" s="70">
        <v>-21.999999999999996</v>
      </c>
      <c r="N20" s="86" t="s">
        <v>184</v>
      </c>
      <c r="O20" s="96">
        <f>IF(P20=0,0,Q20/P20)</f>
        <v>-0.14444444444444493</v>
      </c>
      <c r="P20" s="90">
        <v>9</v>
      </c>
      <c r="Q20" s="78">
        <v>-1.3000000000000043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76</v>
      </c>
      <c r="F21" s="37" t="s">
        <v>31</v>
      </c>
      <c r="G21" s="25">
        <v>6</v>
      </c>
      <c r="H21" s="104">
        <f>IF(B$31=0,0,G21/B$31)</f>
        <v>8.836524300441826E-3</v>
      </c>
      <c r="I21" s="65">
        <v>2</v>
      </c>
      <c r="K21" s="17">
        <v>19</v>
      </c>
      <c r="L21" s="70">
        <v>-26.699999999999996</v>
      </c>
      <c r="N21" s="86" t="s">
        <v>128</v>
      </c>
      <c r="O21" s="96">
        <f>IF(P21=0,0,Q21/P21)</f>
        <v>-4.0172131147540986</v>
      </c>
      <c r="P21" s="90">
        <v>122</v>
      </c>
      <c r="Q21" s="78">
        <v>-490.1</v>
      </c>
    </row>
    <row r="22" spans="1:17" x14ac:dyDescent="0.4">
      <c r="A22" s="32" t="s">
        <v>166</v>
      </c>
      <c r="B22" s="25">
        <v>31</v>
      </c>
      <c r="C22" s="106">
        <v>0</v>
      </c>
      <c r="E22" s="40" t="s">
        <v>74</v>
      </c>
      <c r="F22" s="37" t="s">
        <v>29</v>
      </c>
      <c r="G22" s="25">
        <v>4</v>
      </c>
      <c r="H22" s="104">
        <f>IF(B$31=0,0,G22/B$31)</f>
        <v>5.8910162002945507E-3</v>
      </c>
      <c r="I22" s="65">
        <v>7</v>
      </c>
      <c r="K22" s="17">
        <v>20</v>
      </c>
      <c r="L22" s="70">
        <v>-57.899999999999991</v>
      </c>
      <c r="N22" s="86" t="s">
        <v>172</v>
      </c>
      <c r="O22" s="96">
        <f>IF(P22=0,0,Q22/P22)</f>
        <v>-5.6372093023255809</v>
      </c>
      <c r="P22" s="90">
        <v>43</v>
      </c>
      <c r="Q22" s="78">
        <v>-242.39999999999998</v>
      </c>
    </row>
    <row r="23" spans="1:17" x14ac:dyDescent="0.4">
      <c r="A23" s="32" t="s">
        <v>5</v>
      </c>
      <c r="B23" s="29">
        <f>IF(B$17=0,0,C23/B$17)</f>
        <v>9480</v>
      </c>
      <c r="C23" s="20">
        <v>7015200</v>
      </c>
      <c r="E23" s="40" t="s">
        <v>75</v>
      </c>
      <c r="F23" s="37" t="s">
        <v>30</v>
      </c>
      <c r="G23" s="25">
        <v>3</v>
      </c>
      <c r="H23" s="104">
        <f>IF(B$31=0,0,G23/B$31)</f>
        <v>4.418262150220913E-3</v>
      </c>
      <c r="I23" s="65">
        <v>5</v>
      </c>
      <c r="K23" s="17">
        <v>21</v>
      </c>
      <c r="L23" s="70">
        <v>-82.699999999999989</v>
      </c>
      <c r="N23" s="86" t="s">
        <v>185</v>
      </c>
      <c r="O23" s="96">
        <f>IF(P23=0,0,Q23/P23)</f>
        <v>-8.4020408163265241</v>
      </c>
      <c r="P23" s="90">
        <v>49</v>
      </c>
      <c r="Q23" s="78">
        <v>-411.6999999999997</v>
      </c>
    </row>
    <row r="24" spans="1:17" x14ac:dyDescent="0.4">
      <c r="A24" s="33" t="s">
        <v>189</v>
      </c>
      <c r="B24" s="111">
        <f>IF($B$17-B$16=0,0,C24/($B$17-B$16))</f>
        <v>9782.793867120954</v>
      </c>
      <c r="C24" s="112">
        <v>5742500</v>
      </c>
      <c r="E24" s="40" t="s">
        <v>85</v>
      </c>
      <c r="F24" s="37" t="s">
        <v>40</v>
      </c>
      <c r="G24" s="25">
        <v>3</v>
      </c>
      <c r="H24" s="104">
        <f>IF(B$31=0,0,G24/B$31)</f>
        <v>4.418262150220913E-3</v>
      </c>
      <c r="I24" s="65">
        <v>2</v>
      </c>
      <c r="K24" s="17">
        <v>22</v>
      </c>
      <c r="L24" s="70">
        <v>-94.6</v>
      </c>
      <c r="N24" s="86" t="s">
        <v>127</v>
      </c>
      <c r="O24" s="96">
        <f>IF(P24=0,0,Q24/P24)</f>
        <v>-15.221343873517787</v>
      </c>
      <c r="P24" s="90">
        <v>253</v>
      </c>
      <c r="Q24" s="78">
        <v>-3851</v>
      </c>
    </row>
    <row r="25" spans="1:17" x14ac:dyDescent="0.4">
      <c r="A25" s="33" t="s">
        <v>190</v>
      </c>
      <c r="B25" s="111">
        <f>IF(B$16=0,0,C25/B$16)</f>
        <v>8318.3006535947716</v>
      </c>
      <c r="C25" s="112">
        <v>1272700</v>
      </c>
      <c r="E25" s="40" t="s">
        <v>93</v>
      </c>
      <c r="F25" s="37" t="s">
        <v>48</v>
      </c>
      <c r="G25" s="25">
        <v>3</v>
      </c>
      <c r="H25" s="104">
        <f>IF(B$31=0,0,G25/B$31)</f>
        <v>4.418262150220913E-3</v>
      </c>
      <c r="I25" s="65">
        <v>6</v>
      </c>
      <c r="K25" s="17">
        <v>23</v>
      </c>
      <c r="L25" s="70">
        <v>-111.3</v>
      </c>
      <c r="N25" s="86" t="s">
        <v>176</v>
      </c>
      <c r="O25" s="96">
        <f>IF(P25=0,0,Q25/P25)</f>
        <v>-22.533333333333335</v>
      </c>
      <c r="P25" s="90">
        <v>3</v>
      </c>
      <c r="Q25" s="78">
        <v>-67.600000000000009</v>
      </c>
    </row>
    <row r="26" spans="1:17" x14ac:dyDescent="0.4">
      <c r="A26" s="32" t="s">
        <v>14</v>
      </c>
      <c r="B26" s="29">
        <f>IF(B$20=0,0,C26/B$20)</f>
        <v>-8430.5283757338548</v>
      </c>
      <c r="C26" s="20">
        <v>-4308000</v>
      </c>
      <c r="E26" s="40" t="s">
        <v>86</v>
      </c>
      <c r="F26" s="37" t="s">
        <v>41</v>
      </c>
      <c r="G26" s="25">
        <v>2</v>
      </c>
      <c r="H26" s="104">
        <f>IF(B$31=0,0,G26/B$31)</f>
        <v>2.9455081001472753E-3</v>
      </c>
      <c r="I26" s="65">
        <v>6</v>
      </c>
      <c r="K26" s="17">
        <v>24</v>
      </c>
      <c r="L26" s="70">
        <v>-68.099999999999994</v>
      </c>
      <c r="N26" s="86" t="s">
        <v>186</v>
      </c>
      <c r="O26" s="96">
        <f>IF(P26=0,0,Q26/P26)</f>
        <v>-29.666666666666668</v>
      </c>
      <c r="P26" s="90">
        <v>3</v>
      </c>
      <c r="Q26" s="78">
        <v>-89</v>
      </c>
    </row>
    <row r="27" spans="1:17" x14ac:dyDescent="0.4">
      <c r="A27" s="61" t="s">
        <v>139</v>
      </c>
      <c r="B27" s="121">
        <v>10</v>
      </c>
      <c r="C27" s="122"/>
      <c r="E27" s="40" t="s">
        <v>89</v>
      </c>
      <c r="F27" s="37" t="s">
        <v>44</v>
      </c>
      <c r="G27" s="25">
        <v>2</v>
      </c>
      <c r="H27" s="104">
        <f>IF(B$31=0,0,G27/B$31)</f>
        <v>2.9455081001472753E-3</v>
      </c>
      <c r="I27" s="65">
        <v>2</v>
      </c>
      <c r="K27" s="17">
        <v>25</v>
      </c>
      <c r="L27" s="70">
        <v>-70.899999999999991</v>
      </c>
    </row>
    <row r="28" spans="1:17" x14ac:dyDescent="0.4">
      <c r="A28" s="35" t="s">
        <v>146</v>
      </c>
      <c r="B28" s="119">
        <v>107600</v>
      </c>
      <c r="C28" s="120"/>
      <c r="E28" s="40" t="s">
        <v>78</v>
      </c>
      <c r="F28" s="37" t="s">
        <v>33</v>
      </c>
      <c r="G28" s="25">
        <v>1</v>
      </c>
      <c r="H28" s="104">
        <f>IF(B$31=0,0,G28/B$31)</f>
        <v>1.4727540500736377E-3</v>
      </c>
      <c r="I28" s="65">
        <v>8</v>
      </c>
      <c r="K28" s="17">
        <v>26</v>
      </c>
      <c r="L28" s="70">
        <v>-125.89999999999999</v>
      </c>
    </row>
    <row r="29" spans="1:17" x14ac:dyDescent="0.4">
      <c r="A29" s="34" t="s">
        <v>140</v>
      </c>
      <c r="B29" s="42">
        <v>12</v>
      </c>
      <c r="C29" s="21">
        <f>IF(B$3=0,0,B29/B$3)</f>
        <v>4.3988269794721412E-3</v>
      </c>
      <c r="E29" s="40" t="s">
        <v>81</v>
      </c>
      <c r="F29" s="37" t="s">
        <v>36</v>
      </c>
      <c r="G29" s="25">
        <v>1</v>
      </c>
      <c r="H29" s="104">
        <f>IF(B$31=0,0,G29/B$31)</f>
        <v>1.4727540500736377E-3</v>
      </c>
      <c r="I29" s="65">
        <v>1</v>
      </c>
      <c r="K29" s="17">
        <v>27</v>
      </c>
      <c r="L29" s="70">
        <v>-163.6</v>
      </c>
    </row>
    <row r="30" spans="1:17" x14ac:dyDescent="0.4">
      <c r="A30" s="31" t="s">
        <v>179</v>
      </c>
      <c r="B30" s="115">
        <v>2467</v>
      </c>
      <c r="C30" s="116"/>
      <c r="E30" s="40" t="s">
        <v>88</v>
      </c>
      <c r="F30" s="37" t="s">
        <v>43</v>
      </c>
      <c r="G30" s="25">
        <v>1</v>
      </c>
      <c r="H30" s="104">
        <f>IF(B$31=0,0,G30/B$31)</f>
        <v>1.4727540500736377E-3</v>
      </c>
      <c r="I30" s="65">
        <v>7</v>
      </c>
      <c r="K30" s="17">
        <v>28</v>
      </c>
      <c r="L30" s="70">
        <v>-169.5</v>
      </c>
    </row>
    <row r="31" spans="1:17" x14ac:dyDescent="0.4">
      <c r="A31" s="34" t="s">
        <v>180</v>
      </c>
      <c r="B31" s="117">
        <v>679</v>
      </c>
      <c r="C31" s="118"/>
      <c r="E31" s="40" t="s">
        <v>94</v>
      </c>
      <c r="F31" s="37" t="s">
        <v>49</v>
      </c>
      <c r="G31" s="25">
        <v>1</v>
      </c>
      <c r="H31" s="104">
        <f>IF(B$31=0,0,G31/B$31)</f>
        <v>1.4727540500736377E-3</v>
      </c>
      <c r="I31" s="65">
        <v>8</v>
      </c>
      <c r="K31" s="17">
        <v>29</v>
      </c>
      <c r="L31" s="70">
        <v>-163.30000000000001</v>
      </c>
    </row>
    <row r="32" spans="1:17" x14ac:dyDescent="0.4">
      <c r="E32" s="40" t="s">
        <v>96</v>
      </c>
      <c r="F32" s="37" t="s">
        <v>51</v>
      </c>
      <c r="G32" s="25">
        <v>1</v>
      </c>
      <c r="H32" s="104">
        <f>IF(B$31=0,0,G32/B$31)</f>
        <v>1.4727540500736377E-3</v>
      </c>
      <c r="I32" s="65">
        <v>2</v>
      </c>
      <c r="K32" s="17">
        <v>30</v>
      </c>
      <c r="L32" s="70">
        <v>-209.4</v>
      </c>
    </row>
    <row r="33" spans="5:12" x14ac:dyDescent="0.4">
      <c r="E33" s="40" t="s">
        <v>77</v>
      </c>
      <c r="F33" s="37" t="s">
        <v>32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-259.89999999999998</v>
      </c>
    </row>
    <row r="34" spans="5:12" x14ac:dyDescent="0.4">
      <c r="E34" s="40" t="s">
        <v>83</v>
      </c>
      <c r="F34" s="37" t="s">
        <v>38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-253.59999999999997</v>
      </c>
    </row>
    <row r="35" spans="5:12" x14ac:dyDescent="0.4">
      <c r="E35" s="40" t="s">
        <v>91</v>
      </c>
      <c r="F35" s="37" t="s">
        <v>46</v>
      </c>
      <c r="G35" s="25">
        <v>0</v>
      </c>
      <c r="H35" s="104">
        <f>IF(B$31=0,0,G35/B$31)</f>
        <v>0</v>
      </c>
      <c r="I35" s="65">
        <v>6</v>
      </c>
      <c r="K35" s="17">
        <v>33</v>
      </c>
      <c r="L35" s="70">
        <v>-234.89999999999998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-229.79999999999998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-254.29999999999998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-204.29999999999998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-249.29999999999998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-242.49999999999997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-244.59999999999997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-279.7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-320.09999999999997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-314.29999999999995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-284.79999999999995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-239.89999999999995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-256.29999999999995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-280.59999999999997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-264.59999999999997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-288.79999999999995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-282.99999999999994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-287.09999999999997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-269.59999999999997</v>
      </c>
    </row>
    <row r="54" spans="5:12" x14ac:dyDescent="0.4">
      <c r="K54" s="17">
        <v>52</v>
      </c>
      <c r="L54" s="70">
        <v>-308.09999999999997</v>
      </c>
    </row>
    <row r="55" spans="5:12" x14ac:dyDescent="0.4">
      <c r="K55" s="17">
        <v>53</v>
      </c>
      <c r="L55" s="70">
        <v>-336.49999999999994</v>
      </c>
    </row>
    <row r="56" spans="5:12" x14ac:dyDescent="0.4">
      <c r="K56" s="17">
        <v>54</v>
      </c>
      <c r="L56" s="70">
        <v>-378.89999999999992</v>
      </c>
    </row>
    <row r="57" spans="5:12" x14ac:dyDescent="0.4">
      <c r="K57" s="17">
        <v>55</v>
      </c>
      <c r="L57" s="70">
        <v>-364.2999999999999</v>
      </c>
    </row>
    <row r="58" spans="5:12" x14ac:dyDescent="0.4">
      <c r="K58" s="17">
        <v>56</v>
      </c>
      <c r="L58" s="70">
        <v>-316.2999999999999</v>
      </c>
    </row>
    <row r="59" spans="5:12" x14ac:dyDescent="0.4">
      <c r="K59" s="17">
        <v>57</v>
      </c>
      <c r="L59" s="70">
        <v>-312.49999999999989</v>
      </c>
    </row>
    <row r="60" spans="5:12" x14ac:dyDescent="0.4">
      <c r="K60" s="17">
        <v>58</v>
      </c>
      <c r="L60" s="70">
        <v>-254.59999999999988</v>
      </c>
    </row>
    <row r="61" spans="5:12" x14ac:dyDescent="0.4">
      <c r="K61" s="17">
        <v>59</v>
      </c>
      <c r="L61" s="70">
        <v>-205.09999999999988</v>
      </c>
    </row>
    <row r="62" spans="5:12" x14ac:dyDescent="0.4">
      <c r="K62" s="17">
        <v>60</v>
      </c>
      <c r="L62" s="70">
        <v>-214.59999999999988</v>
      </c>
    </row>
    <row r="63" spans="5:12" x14ac:dyDescent="0.4">
      <c r="K63" s="17">
        <v>61</v>
      </c>
      <c r="L63" s="70">
        <v>-211.89999999999989</v>
      </c>
    </row>
    <row r="64" spans="5:12" x14ac:dyDescent="0.4">
      <c r="K64" s="17">
        <v>62</v>
      </c>
      <c r="L64" s="70">
        <v>-250.89999999999989</v>
      </c>
    </row>
    <row r="65" spans="11:12" x14ac:dyDescent="0.4">
      <c r="K65" s="17">
        <v>63</v>
      </c>
      <c r="L65" s="70">
        <v>-290.99999999999989</v>
      </c>
    </row>
    <row r="66" spans="11:12" x14ac:dyDescent="0.4">
      <c r="K66" s="17">
        <v>64</v>
      </c>
      <c r="L66" s="70">
        <v>-356.99999999999989</v>
      </c>
    </row>
    <row r="67" spans="11:12" x14ac:dyDescent="0.4">
      <c r="K67" s="17">
        <v>65</v>
      </c>
      <c r="L67" s="70">
        <v>-381.09999999999991</v>
      </c>
    </row>
    <row r="68" spans="11:12" x14ac:dyDescent="0.4">
      <c r="K68" s="17">
        <v>66</v>
      </c>
      <c r="L68" s="70">
        <v>-378.49999999999989</v>
      </c>
    </row>
    <row r="69" spans="11:12" x14ac:dyDescent="0.4">
      <c r="K69" s="17">
        <v>67</v>
      </c>
      <c r="L69" s="70">
        <v>-371.19999999999987</v>
      </c>
    </row>
    <row r="70" spans="11:12" x14ac:dyDescent="0.4">
      <c r="K70" s="17">
        <v>68</v>
      </c>
      <c r="L70" s="70">
        <v>-407.2999999999999</v>
      </c>
    </row>
    <row r="71" spans="11:12" x14ac:dyDescent="0.4">
      <c r="K71" s="17">
        <v>69</v>
      </c>
      <c r="L71" s="70">
        <v>-412.49999999999989</v>
      </c>
    </row>
    <row r="72" spans="11:12" x14ac:dyDescent="0.4">
      <c r="K72" s="17">
        <v>70</v>
      </c>
      <c r="L72" s="70">
        <v>-379.49999999999989</v>
      </c>
    </row>
    <row r="73" spans="11:12" x14ac:dyDescent="0.4">
      <c r="K73" s="17">
        <v>71</v>
      </c>
      <c r="L73" s="70">
        <v>-374.2999999999999</v>
      </c>
    </row>
    <row r="74" spans="11:12" x14ac:dyDescent="0.4">
      <c r="K74" s="17">
        <v>72</v>
      </c>
      <c r="L74" s="70">
        <v>-409.7999999999999</v>
      </c>
    </row>
    <row r="75" spans="11:12" x14ac:dyDescent="0.4">
      <c r="K75" s="17">
        <v>73</v>
      </c>
      <c r="L75" s="70">
        <v>-393.59999999999991</v>
      </c>
    </row>
    <row r="76" spans="11:12" x14ac:dyDescent="0.4">
      <c r="K76" s="17">
        <v>74</v>
      </c>
      <c r="L76" s="70">
        <v>-399.49999999999989</v>
      </c>
    </row>
    <row r="77" spans="11:12" x14ac:dyDescent="0.4">
      <c r="K77" s="17">
        <v>75</v>
      </c>
      <c r="L77" s="70">
        <v>-419.69999999999987</v>
      </c>
    </row>
    <row r="78" spans="11:12" x14ac:dyDescent="0.4">
      <c r="K78" s="17">
        <v>76</v>
      </c>
      <c r="L78" s="70">
        <v>-369.69999999999987</v>
      </c>
    </row>
    <row r="79" spans="11:12" x14ac:dyDescent="0.4">
      <c r="K79" s="17">
        <v>77</v>
      </c>
      <c r="L79" s="70">
        <v>-381.7999999999999</v>
      </c>
    </row>
    <row r="80" spans="11:12" x14ac:dyDescent="0.4">
      <c r="K80" s="17">
        <v>78</v>
      </c>
      <c r="L80" s="70">
        <v>-365.99999999999989</v>
      </c>
    </row>
    <row r="81" spans="11:12" x14ac:dyDescent="0.4">
      <c r="K81" s="17">
        <v>79</v>
      </c>
      <c r="L81" s="70">
        <v>-383.99999999999989</v>
      </c>
    </row>
    <row r="82" spans="11:12" x14ac:dyDescent="0.4">
      <c r="K82" s="17">
        <v>80</v>
      </c>
      <c r="L82" s="70">
        <v>-390.7999999999999</v>
      </c>
    </row>
    <row r="83" spans="11:12" x14ac:dyDescent="0.4">
      <c r="K83" s="17">
        <v>81</v>
      </c>
      <c r="L83" s="70">
        <v>-378.99999999999989</v>
      </c>
    </row>
    <row r="84" spans="11:12" x14ac:dyDescent="0.4">
      <c r="K84" s="17">
        <v>82</v>
      </c>
      <c r="L84" s="70">
        <v>-398.59999999999991</v>
      </c>
    </row>
    <row r="85" spans="11:12" x14ac:dyDescent="0.4">
      <c r="K85" s="17">
        <v>83</v>
      </c>
      <c r="L85" s="70">
        <v>-397.39999999999992</v>
      </c>
    </row>
    <row r="86" spans="11:12" x14ac:dyDescent="0.4">
      <c r="K86" s="17">
        <v>84</v>
      </c>
      <c r="L86" s="70">
        <v>-371.89999999999992</v>
      </c>
    </row>
    <row r="87" spans="11:12" x14ac:dyDescent="0.4">
      <c r="K87" s="17">
        <v>85</v>
      </c>
      <c r="L87" s="70">
        <v>-409.89999999999992</v>
      </c>
    </row>
    <row r="88" spans="11:12" x14ac:dyDescent="0.4">
      <c r="K88" s="17">
        <v>86</v>
      </c>
      <c r="L88" s="70">
        <v>-386.39999999999992</v>
      </c>
    </row>
    <row r="89" spans="11:12" x14ac:dyDescent="0.4">
      <c r="K89" s="17">
        <v>87</v>
      </c>
      <c r="L89" s="70">
        <v>-360.69999999999993</v>
      </c>
    </row>
    <row r="90" spans="11:12" x14ac:dyDescent="0.4">
      <c r="K90" s="17">
        <v>88</v>
      </c>
      <c r="L90" s="70">
        <v>-377.49999999999994</v>
      </c>
    </row>
    <row r="91" spans="11:12" x14ac:dyDescent="0.4">
      <c r="K91" s="17">
        <v>89</v>
      </c>
      <c r="L91" s="70">
        <v>-410.29999999999995</v>
      </c>
    </row>
    <row r="92" spans="11:12" x14ac:dyDescent="0.4">
      <c r="K92" s="17">
        <v>90</v>
      </c>
      <c r="L92" s="70">
        <v>-405.79999999999995</v>
      </c>
    </row>
    <row r="93" spans="11:12" x14ac:dyDescent="0.4">
      <c r="K93" s="17">
        <v>91</v>
      </c>
      <c r="L93" s="70">
        <v>-395.29999999999995</v>
      </c>
    </row>
    <row r="94" spans="11:12" x14ac:dyDescent="0.4">
      <c r="K94" s="17">
        <v>92</v>
      </c>
      <c r="L94" s="70">
        <v>-365.49999999999994</v>
      </c>
    </row>
    <row r="95" spans="11:12" x14ac:dyDescent="0.4">
      <c r="K95" s="17">
        <v>93</v>
      </c>
      <c r="L95" s="70">
        <v>-401.99999999999994</v>
      </c>
    </row>
    <row r="96" spans="11:12" x14ac:dyDescent="0.4">
      <c r="K96" s="17">
        <v>94</v>
      </c>
      <c r="L96" s="70">
        <v>-372.59999999999997</v>
      </c>
    </row>
    <row r="97" spans="11:12" x14ac:dyDescent="0.4">
      <c r="K97" s="17">
        <v>95</v>
      </c>
      <c r="L97" s="70">
        <v>-399.4</v>
      </c>
    </row>
    <row r="98" spans="11:12" x14ac:dyDescent="0.4">
      <c r="K98" s="17">
        <v>96</v>
      </c>
      <c r="L98" s="70">
        <v>-381</v>
      </c>
    </row>
    <row r="99" spans="11:12" x14ac:dyDescent="0.4">
      <c r="K99" s="17">
        <v>97</v>
      </c>
      <c r="L99" s="70">
        <v>-393.5</v>
      </c>
    </row>
    <row r="100" spans="11:12" x14ac:dyDescent="0.4">
      <c r="K100" s="17">
        <v>98</v>
      </c>
      <c r="L100" s="70">
        <v>-333</v>
      </c>
    </row>
    <row r="101" spans="11:12" x14ac:dyDescent="0.4">
      <c r="K101" s="17">
        <v>99</v>
      </c>
      <c r="L101" s="70">
        <v>-362.5</v>
      </c>
    </row>
    <row r="102" spans="11:12" x14ac:dyDescent="0.4">
      <c r="K102" s="17">
        <v>100</v>
      </c>
      <c r="L102" s="70">
        <v>-376.4</v>
      </c>
    </row>
    <row r="103" spans="11:12" x14ac:dyDescent="0.4">
      <c r="K103" s="17">
        <v>101</v>
      </c>
      <c r="L103" s="70">
        <v>-374.7</v>
      </c>
    </row>
    <row r="104" spans="11:12" x14ac:dyDescent="0.4">
      <c r="K104" s="17">
        <v>102</v>
      </c>
      <c r="L104" s="70">
        <v>-401.4</v>
      </c>
    </row>
    <row r="105" spans="11:12" x14ac:dyDescent="0.4">
      <c r="K105" s="17">
        <v>103</v>
      </c>
      <c r="L105" s="70">
        <v>-426.9</v>
      </c>
    </row>
    <row r="106" spans="11:12" x14ac:dyDescent="0.4">
      <c r="K106" s="17">
        <v>104</v>
      </c>
      <c r="L106" s="70">
        <v>-436.4</v>
      </c>
    </row>
    <row r="107" spans="11:12" x14ac:dyDescent="0.4">
      <c r="K107" s="17">
        <v>105</v>
      </c>
      <c r="L107" s="70">
        <v>-425.59999999999997</v>
      </c>
    </row>
    <row r="108" spans="11:12" x14ac:dyDescent="0.4">
      <c r="K108" s="17">
        <v>106</v>
      </c>
      <c r="L108" s="70">
        <v>-438.49999999999994</v>
      </c>
    </row>
    <row r="109" spans="11:12" x14ac:dyDescent="0.4">
      <c r="K109" s="17">
        <v>107</v>
      </c>
      <c r="L109" s="70">
        <v>-433.59999999999997</v>
      </c>
    </row>
    <row r="110" spans="11:12" x14ac:dyDescent="0.4">
      <c r="K110" s="17">
        <v>108</v>
      </c>
      <c r="L110" s="70">
        <v>-426.99999999999994</v>
      </c>
    </row>
    <row r="111" spans="11:12" x14ac:dyDescent="0.4">
      <c r="K111" s="17">
        <v>109</v>
      </c>
      <c r="L111" s="70">
        <v>-462.89999999999992</v>
      </c>
    </row>
    <row r="112" spans="11:12" x14ac:dyDescent="0.4">
      <c r="K112" s="17">
        <v>110</v>
      </c>
      <c r="L112" s="70">
        <v>-486.2999999999999</v>
      </c>
    </row>
    <row r="113" spans="11:12" x14ac:dyDescent="0.4">
      <c r="K113" s="17">
        <v>111</v>
      </c>
      <c r="L113" s="70">
        <v>-468.39999999999992</v>
      </c>
    </row>
    <row r="114" spans="11:12" x14ac:dyDescent="0.4">
      <c r="K114" s="17">
        <v>112</v>
      </c>
      <c r="L114" s="70">
        <v>-447.69999999999993</v>
      </c>
    </row>
    <row r="115" spans="11:12" x14ac:dyDescent="0.4">
      <c r="K115" s="17">
        <v>113</v>
      </c>
      <c r="L115" s="70">
        <v>-384.99999999999994</v>
      </c>
    </row>
    <row r="116" spans="11:12" x14ac:dyDescent="0.4">
      <c r="K116" s="17">
        <v>114</v>
      </c>
      <c r="L116" s="70">
        <v>-372.69999999999993</v>
      </c>
    </row>
    <row r="117" spans="11:12" x14ac:dyDescent="0.4">
      <c r="K117" s="17">
        <v>115</v>
      </c>
      <c r="L117" s="70">
        <v>-388.19999999999993</v>
      </c>
    </row>
    <row r="118" spans="11:12" x14ac:dyDescent="0.4">
      <c r="K118" s="17">
        <v>116</v>
      </c>
      <c r="L118" s="70">
        <v>-383.99999999999994</v>
      </c>
    </row>
    <row r="119" spans="11:12" x14ac:dyDescent="0.4">
      <c r="K119" s="17">
        <v>117</v>
      </c>
      <c r="L119" s="70">
        <v>-374.39999999999992</v>
      </c>
    </row>
    <row r="120" spans="11:12" x14ac:dyDescent="0.4">
      <c r="K120" s="17">
        <v>118</v>
      </c>
      <c r="L120" s="70">
        <v>-374.2999999999999</v>
      </c>
    </row>
    <row r="121" spans="11:12" x14ac:dyDescent="0.4">
      <c r="K121" s="17">
        <v>119</v>
      </c>
      <c r="L121" s="70">
        <v>-394.7999999999999</v>
      </c>
    </row>
    <row r="122" spans="11:12" x14ac:dyDescent="0.4">
      <c r="K122" s="17">
        <v>120</v>
      </c>
      <c r="L122" s="70">
        <v>-433.89999999999992</v>
      </c>
    </row>
    <row r="123" spans="11:12" x14ac:dyDescent="0.4">
      <c r="K123" s="17">
        <v>121</v>
      </c>
      <c r="L123" s="70">
        <v>-396.99999999999994</v>
      </c>
    </row>
    <row r="124" spans="11:12" x14ac:dyDescent="0.4">
      <c r="K124" s="17">
        <v>122</v>
      </c>
      <c r="L124" s="70">
        <v>-408.49999999999994</v>
      </c>
    </row>
    <row r="125" spans="11:12" x14ac:dyDescent="0.4">
      <c r="K125" s="17">
        <v>123</v>
      </c>
      <c r="L125" s="70">
        <v>-451.69999999999993</v>
      </c>
    </row>
    <row r="126" spans="11:12" x14ac:dyDescent="0.4">
      <c r="K126" s="17">
        <v>124</v>
      </c>
      <c r="L126" s="70">
        <v>-442.69999999999993</v>
      </c>
    </row>
    <row r="127" spans="11:12" x14ac:dyDescent="0.4">
      <c r="K127" s="17">
        <v>125</v>
      </c>
      <c r="L127" s="70">
        <v>-444.69999999999993</v>
      </c>
    </row>
    <row r="128" spans="11:12" x14ac:dyDescent="0.4">
      <c r="K128" s="17">
        <v>126</v>
      </c>
      <c r="L128" s="70">
        <v>-411.39999999999992</v>
      </c>
    </row>
    <row r="129" spans="11:12" x14ac:dyDescent="0.4">
      <c r="K129" s="17">
        <v>127</v>
      </c>
      <c r="L129" s="70">
        <v>-410.89999999999992</v>
      </c>
    </row>
    <row r="130" spans="11:12" x14ac:dyDescent="0.4">
      <c r="K130" s="17">
        <v>128</v>
      </c>
      <c r="L130" s="70">
        <v>-416.19999999999993</v>
      </c>
    </row>
    <row r="131" spans="11:12" x14ac:dyDescent="0.4">
      <c r="K131" s="17">
        <v>129</v>
      </c>
      <c r="L131" s="70">
        <v>-423.99999999999994</v>
      </c>
    </row>
    <row r="132" spans="11:12" x14ac:dyDescent="0.4">
      <c r="K132" s="17">
        <v>130</v>
      </c>
      <c r="L132" s="70">
        <v>-426.59999999999997</v>
      </c>
    </row>
    <row r="133" spans="11:12" x14ac:dyDescent="0.4">
      <c r="K133" s="17">
        <v>131</v>
      </c>
      <c r="L133" s="70">
        <v>-441.09999999999997</v>
      </c>
    </row>
    <row r="134" spans="11:12" x14ac:dyDescent="0.4">
      <c r="K134" s="17">
        <v>132</v>
      </c>
      <c r="L134" s="70">
        <v>-449.7</v>
      </c>
    </row>
    <row r="135" spans="11:12" x14ac:dyDescent="0.4">
      <c r="K135" s="17">
        <v>133</v>
      </c>
      <c r="L135" s="70">
        <v>-489.59999999999997</v>
      </c>
    </row>
    <row r="136" spans="11:12" x14ac:dyDescent="0.4">
      <c r="K136" s="17">
        <v>134</v>
      </c>
      <c r="L136" s="70">
        <v>-489.9</v>
      </c>
    </row>
    <row r="137" spans="11:12" x14ac:dyDescent="0.4">
      <c r="K137" s="17">
        <v>135</v>
      </c>
      <c r="L137" s="70">
        <v>-480.2</v>
      </c>
    </row>
    <row r="138" spans="11:12" x14ac:dyDescent="0.4">
      <c r="K138" s="17">
        <v>136</v>
      </c>
      <c r="L138" s="70">
        <v>-497.4</v>
      </c>
    </row>
    <row r="139" spans="11:12" x14ac:dyDescent="0.4">
      <c r="K139" s="17">
        <v>137</v>
      </c>
      <c r="L139" s="70">
        <v>-505.9</v>
      </c>
    </row>
    <row r="140" spans="11:12" x14ac:dyDescent="0.4">
      <c r="K140" s="17">
        <v>138</v>
      </c>
      <c r="L140" s="70">
        <v>-553.9</v>
      </c>
    </row>
    <row r="141" spans="11:12" x14ac:dyDescent="0.4">
      <c r="K141" s="17">
        <v>139</v>
      </c>
      <c r="L141" s="70">
        <v>-539.4</v>
      </c>
    </row>
    <row r="142" spans="11:12" x14ac:dyDescent="0.4">
      <c r="K142" s="17">
        <v>140</v>
      </c>
      <c r="L142" s="70">
        <v>-522.19999999999993</v>
      </c>
    </row>
    <row r="143" spans="11:12" x14ac:dyDescent="0.4">
      <c r="K143" s="17">
        <v>141</v>
      </c>
      <c r="L143" s="70">
        <v>-537.09999999999991</v>
      </c>
    </row>
    <row r="144" spans="11:12" x14ac:dyDescent="0.4">
      <c r="K144" s="17">
        <v>142</v>
      </c>
      <c r="L144" s="70">
        <v>-538.49999999999989</v>
      </c>
    </row>
    <row r="145" spans="11:12" x14ac:dyDescent="0.4">
      <c r="K145" s="17">
        <v>143</v>
      </c>
      <c r="L145" s="70">
        <v>-492.99999999999989</v>
      </c>
    </row>
    <row r="146" spans="11:12" x14ac:dyDescent="0.4">
      <c r="K146" s="17">
        <v>144</v>
      </c>
      <c r="L146" s="70">
        <v>-532.19999999999993</v>
      </c>
    </row>
    <row r="147" spans="11:12" x14ac:dyDescent="0.4">
      <c r="K147" s="17">
        <v>145</v>
      </c>
      <c r="L147" s="70">
        <v>-585.79999999999984</v>
      </c>
    </row>
    <row r="148" spans="11:12" x14ac:dyDescent="0.4">
      <c r="K148" s="17">
        <v>146</v>
      </c>
      <c r="L148" s="70">
        <v>-524.89999999999986</v>
      </c>
    </row>
    <row r="149" spans="11:12" x14ac:dyDescent="0.4">
      <c r="K149" s="17">
        <v>147</v>
      </c>
      <c r="L149" s="70">
        <v>-555.09999999999991</v>
      </c>
    </row>
    <row r="150" spans="11:12" x14ac:dyDescent="0.4">
      <c r="K150" s="17">
        <v>148</v>
      </c>
      <c r="L150" s="70">
        <v>-552.49999999999989</v>
      </c>
    </row>
    <row r="151" spans="11:12" x14ac:dyDescent="0.4">
      <c r="K151" s="17">
        <v>149</v>
      </c>
      <c r="L151" s="70">
        <v>-583.79999999999984</v>
      </c>
    </row>
    <row r="152" spans="11:12" x14ac:dyDescent="0.4">
      <c r="K152" s="17">
        <v>150</v>
      </c>
      <c r="L152" s="70">
        <v>-588.09999999999991</v>
      </c>
    </row>
    <row r="153" spans="11:12" x14ac:dyDescent="0.4">
      <c r="K153" s="17">
        <v>151</v>
      </c>
      <c r="L153" s="70">
        <v>-617.99999999999989</v>
      </c>
    </row>
    <row r="154" spans="11:12" x14ac:dyDescent="0.4">
      <c r="K154" s="17">
        <v>152</v>
      </c>
      <c r="L154" s="70">
        <v>-619.39999999999986</v>
      </c>
    </row>
    <row r="155" spans="11:12" x14ac:dyDescent="0.4">
      <c r="K155" s="17">
        <v>153</v>
      </c>
      <c r="L155" s="70">
        <v>-591.59999999999991</v>
      </c>
    </row>
    <row r="156" spans="11:12" x14ac:dyDescent="0.4">
      <c r="K156" s="17">
        <v>154</v>
      </c>
      <c r="L156" s="70">
        <v>-594.99999999999989</v>
      </c>
    </row>
    <row r="157" spans="11:12" x14ac:dyDescent="0.4">
      <c r="K157" s="17">
        <v>155</v>
      </c>
      <c r="L157" s="70">
        <v>-620.39999999999986</v>
      </c>
    </row>
    <row r="158" spans="11:12" x14ac:dyDescent="0.4">
      <c r="K158" s="17">
        <v>156</v>
      </c>
      <c r="L158" s="70">
        <v>-564.09999999999991</v>
      </c>
    </row>
    <row r="159" spans="11:12" x14ac:dyDescent="0.4">
      <c r="K159" s="17">
        <v>157</v>
      </c>
      <c r="L159" s="70">
        <v>-490.49999999999989</v>
      </c>
    </row>
    <row r="160" spans="11:12" x14ac:dyDescent="0.4">
      <c r="K160" s="17">
        <v>158</v>
      </c>
      <c r="L160" s="70">
        <v>-496.7999999999999</v>
      </c>
    </row>
    <row r="161" spans="11:12" x14ac:dyDescent="0.4">
      <c r="K161" s="17">
        <v>159</v>
      </c>
      <c r="L161" s="70">
        <v>-443.89999999999986</v>
      </c>
    </row>
    <row r="162" spans="11:12" x14ac:dyDescent="0.4">
      <c r="K162" s="17">
        <v>160</v>
      </c>
      <c r="L162" s="70">
        <v>-421.7999999999999</v>
      </c>
    </row>
    <row r="163" spans="11:12" x14ac:dyDescent="0.4">
      <c r="K163" s="17">
        <v>161</v>
      </c>
      <c r="L163" s="70">
        <v>-399.69999999999993</v>
      </c>
    </row>
    <row r="164" spans="11:12" x14ac:dyDescent="0.4">
      <c r="K164" s="17">
        <v>162</v>
      </c>
      <c r="L164" s="70">
        <v>-373.99999999999989</v>
      </c>
    </row>
    <row r="165" spans="11:12" x14ac:dyDescent="0.4">
      <c r="K165" s="17">
        <v>163</v>
      </c>
      <c r="L165" s="70">
        <v>-334.39999999999992</v>
      </c>
    </row>
    <row r="166" spans="11:12" x14ac:dyDescent="0.4">
      <c r="K166" s="17">
        <v>164</v>
      </c>
      <c r="L166" s="70">
        <v>-299.09999999999991</v>
      </c>
    </row>
    <row r="167" spans="11:12" x14ac:dyDescent="0.4">
      <c r="K167" s="17">
        <v>165</v>
      </c>
      <c r="L167" s="70">
        <v>-292.99999999999989</v>
      </c>
    </row>
    <row r="168" spans="11:12" x14ac:dyDescent="0.4">
      <c r="K168" s="17">
        <v>166</v>
      </c>
      <c r="L168" s="70">
        <v>-298.09999999999991</v>
      </c>
    </row>
    <row r="169" spans="11:12" x14ac:dyDescent="0.4">
      <c r="K169" s="17">
        <v>167</v>
      </c>
      <c r="L169" s="70">
        <v>-292.89999999999992</v>
      </c>
    </row>
    <row r="170" spans="11:12" x14ac:dyDescent="0.4">
      <c r="K170" s="17">
        <v>168</v>
      </c>
      <c r="L170" s="70">
        <v>-300.79999999999995</v>
      </c>
    </row>
    <row r="171" spans="11:12" x14ac:dyDescent="0.4">
      <c r="K171" s="17">
        <v>169</v>
      </c>
      <c r="L171" s="70">
        <v>-301.79999999999995</v>
      </c>
    </row>
    <row r="172" spans="11:12" x14ac:dyDescent="0.4">
      <c r="K172" s="17">
        <v>170</v>
      </c>
      <c r="L172" s="70">
        <v>-347.09999999999991</v>
      </c>
    </row>
    <row r="173" spans="11:12" x14ac:dyDescent="0.4">
      <c r="K173" s="17">
        <v>171</v>
      </c>
      <c r="L173" s="70">
        <v>-355.99999999999989</v>
      </c>
    </row>
    <row r="174" spans="11:12" x14ac:dyDescent="0.4">
      <c r="K174" s="17">
        <v>172</v>
      </c>
      <c r="L174" s="70">
        <v>-359.49999999999989</v>
      </c>
    </row>
    <row r="175" spans="11:12" x14ac:dyDescent="0.4">
      <c r="K175" s="17">
        <v>173</v>
      </c>
      <c r="L175" s="70">
        <v>-351.49999999999989</v>
      </c>
    </row>
    <row r="176" spans="11:12" x14ac:dyDescent="0.4">
      <c r="K176" s="17">
        <v>174</v>
      </c>
      <c r="L176" s="70">
        <v>-296.99999999999989</v>
      </c>
    </row>
    <row r="177" spans="11:12" x14ac:dyDescent="0.4">
      <c r="K177" s="17">
        <v>175</v>
      </c>
      <c r="L177" s="70">
        <v>-307.59999999999991</v>
      </c>
    </row>
    <row r="178" spans="11:12" x14ac:dyDescent="0.4">
      <c r="K178" s="17">
        <v>176</v>
      </c>
      <c r="L178" s="70">
        <v>-302.99999999999989</v>
      </c>
    </row>
    <row r="179" spans="11:12" x14ac:dyDescent="0.4">
      <c r="K179" s="17">
        <v>177</v>
      </c>
      <c r="L179" s="70">
        <v>-305.49999999999989</v>
      </c>
    </row>
    <row r="180" spans="11:12" x14ac:dyDescent="0.4">
      <c r="K180" s="17">
        <v>178</v>
      </c>
      <c r="L180" s="70">
        <v>-361.49999999999989</v>
      </c>
    </row>
    <row r="181" spans="11:12" x14ac:dyDescent="0.4">
      <c r="K181" s="17">
        <v>179</v>
      </c>
      <c r="L181" s="70">
        <v>-349.09999999999991</v>
      </c>
    </row>
    <row r="182" spans="11:12" x14ac:dyDescent="0.4">
      <c r="K182" s="17">
        <v>180</v>
      </c>
      <c r="L182" s="70">
        <v>-409.39999999999992</v>
      </c>
    </row>
    <row r="183" spans="11:12" x14ac:dyDescent="0.4">
      <c r="K183" s="17">
        <v>181</v>
      </c>
      <c r="L183" s="70">
        <v>-410.89999999999992</v>
      </c>
    </row>
    <row r="184" spans="11:12" x14ac:dyDescent="0.4">
      <c r="K184" s="17">
        <v>182</v>
      </c>
      <c r="L184" s="70">
        <v>-363.49999999999989</v>
      </c>
    </row>
    <row r="185" spans="11:12" x14ac:dyDescent="0.4">
      <c r="K185" s="17">
        <v>183</v>
      </c>
      <c r="L185" s="70">
        <v>-289.89999999999992</v>
      </c>
    </row>
    <row r="186" spans="11:12" x14ac:dyDescent="0.4">
      <c r="K186" s="17">
        <v>184</v>
      </c>
      <c r="L186" s="70">
        <v>-323.49999999999989</v>
      </c>
    </row>
    <row r="187" spans="11:12" x14ac:dyDescent="0.4">
      <c r="K187" s="17">
        <v>185</v>
      </c>
      <c r="L187" s="70">
        <v>-308.39999999999992</v>
      </c>
    </row>
    <row r="188" spans="11:12" x14ac:dyDescent="0.4">
      <c r="K188" s="17">
        <v>186</v>
      </c>
      <c r="L188" s="70">
        <v>-369.29999999999995</v>
      </c>
    </row>
    <row r="189" spans="11:12" x14ac:dyDescent="0.4">
      <c r="K189" s="17">
        <v>187</v>
      </c>
      <c r="L189" s="70">
        <v>-426.99999999999994</v>
      </c>
    </row>
    <row r="190" spans="11:12" x14ac:dyDescent="0.4">
      <c r="K190" s="17">
        <v>188</v>
      </c>
      <c r="L190" s="70">
        <v>-482.49999999999994</v>
      </c>
    </row>
    <row r="191" spans="11:12" x14ac:dyDescent="0.4">
      <c r="K191" s="17">
        <v>189</v>
      </c>
      <c r="L191" s="70">
        <v>-542.4</v>
      </c>
    </row>
    <row r="192" spans="11:12" x14ac:dyDescent="0.4">
      <c r="K192" s="17">
        <v>190</v>
      </c>
      <c r="L192" s="70">
        <v>-487.89999999999992</v>
      </c>
    </row>
    <row r="193" spans="11:12" x14ac:dyDescent="0.4">
      <c r="K193" s="17">
        <v>191</v>
      </c>
      <c r="L193" s="70">
        <v>-543.29999999999995</v>
      </c>
    </row>
    <row r="194" spans="11:12" x14ac:dyDescent="0.4">
      <c r="K194" s="17">
        <v>192</v>
      </c>
      <c r="L194" s="70">
        <v>-539.19999999999993</v>
      </c>
    </row>
    <row r="195" spans="11:12" x14ac:dyDescent="0.4">
      <c r="K195" s="17">
        <v>193</v>
      </c>
      <c r="L195" s="70">
        <v>-567.79999999999995</v>
      </c>
    </row>
    <row r="196" spans="11:12" x14ac:dyDescent="0.4">
      <c r="K196" s="17">
        <v>194</v>
      </c>
      <c r="L196" s="70">
        <v>-594.09999999999991</v>
      </c>
    </row>
    <row r="197" spans="11:12" x14ac:dyDescent="0.4">
      <c r="K197" s="17">
        <v>195</v>
      </c>
      <c r="L197" s="70">
        <v>-633.59999999999991</v>
      </c>
    </row>
    <row r="198" spans="11:12" x14ac:dyDescent="0.4">
      <c r="K198" s="17">
        <v>196</v>
      </c>
      <c r="L198" s="70">
        <v>-629.49999999999989</v>
      </c>
    </row>
    <row r="199" spans="11:12" x14ac:dyDescent="0.4">
      <c r="K199" s="17">
        <v>197</v>
      </c>
      <c r="L199" s="70">
        <v>-550.49999999999989</v>
      </c>
    </row>
    <row r="200" spans="11:12" x14ac:dyDescent="0.4">
      <c r="K200" s="17">
        <v>198</v>
      </c>
      <c r="L200" s="70">
        <v>-584.49999999999989</v>
      </c>
    </row>
    <row r="201" spans="11:12" x14ac:dyDescent="0.4">
      <c r="K201" s="17">
        <v>199</v>
      </c>
      <c r="L201" s="70">
        <v>-597.49999999999989</v>
      </c>
    </row>
    <row r="202" spans="11:12" x14ac:dyDescent="0.4">
      <c r="K202" s="17">
        <v>200</v>
      </c>
      <c r="L202" s="70">
        <v>-600.59999999999991</v>
      </c>
    </row>
    <row r="203" spans="11:12" x14ac:dyDescent="0.4">
      <c r="K203" s="17">
        <v>201</v>
      </c>
      <c r="L203" s="70">
        <v>-595.19999999999993</v>
      </c>
    </row>
    <row r="204" spans="11:12" x14ac:dyDescent="0.4">
      <c r="K204" s="17">
        <v>202</v>
      </c>
      <c r="L204" s="70">
        <v>-656.4</v>
      </c>
    </row>
    <row r="205" spans="11:12" x14ac:dyDescent="0.4">
      <c r="K205" s="17">
        <v>203</v>
      </c>
      <c r="L205" s="70">
        <v>-628.09999999999991</v>
      </c>
    </row>
    <row r="206" spans="11:12" x14ac:dyDescent="0.4">
      <c r="K206" s="17">
        <v>204</v>
      </c>
      <c r="L206" s="70">
        <v>-635.69999999999993</v>
      </c>
    </row>
    <row r="207" spans="11:12" x14ac:dyDescent="0.4">
      <c r="K207" s="17">
        <v>205</v>
      </c>
      <c r="L207" s="70">
        <v>-682.69999999999993</v>
      </c>
    </row>
    <row r="208" spans="11:12" x14ac:dyDescent="0.4">
      <c r="K208" s="17">
        <v>206</v>
      </c>
      <c r="L208" s="70">
        <v>-679.8</v>
      </c>
    </row>
    <row r="209" spans="11:12" x14ac:dyDescent="0.4">
      <c r="K209" s="17">
        <v>207</v>
      </c>
      <c r="L209" s="70">
        <v>-649.49999999999989</v>
      </c>
    </row>
    <row r="210" spans="11:12" x14ac:dyDescent="0.4">
      <c r="K210" s="17">
        <v>208</v>
      </c>
      <c r="L210" s="70">
        <v>-654.99999999999989</v>
      </c>
    </row>
    <row r="211" spans="11:12" x14ac:dyDescent="0.4">
      <c r="K211" s="17">
        <v>209</v>
      </c>
      <c r="L211" s="70">
        <v>-687.89999999999986</v>
      </c>
    </row>
    <row r="212" spans="11:12" x14ac:dyDescent="0.4">
      <c r="K212" s="17">
        <v>210</v>
      </c>
      <c r="L212" s="70">
        <v>-642.79999999999995</v>
      </c>
    </row>
    <row r="213" spans="11:12" x14ac:dyDescent="0.4">
      <c r="K213" s="17">
        <v>211</v>
      </c>
      <c r="L213" s="70">
        <v>-597.4</v>
      </c>
    </row>
    <row r="214" spans="11:12" x14ac:dyDescent="0.4">
      <c r="K214" s="17">
        <v>212</v>
      </c>
      <c r="L214" s="70">
        <v>-656.09999999999991</v>
      </c>
    </row>
    <row r="215" spans="11:12" x14ac:dyDescent="0.4">
      <c r="K215" s="17">
        <v>213</v>
      </c>
      <c r="L215" s="70">
        <v>-649.4</v>
      </c>
    </row>
    <row r="216" spans="11:12" x14ac:dyDescent="0.4">
      <c r="K216" s="17">
        <v>214</v>
      </c>
      <c r="L216" s="70">
        <v>-643.29999999999995</v>
      </c>
    </row>
    <row r="217" spans="11:12" x14ac:dyDescent="0.4">
      <c r="K217" s="17">
        <v>215</v>
      </c>
      <c r="L217" s="70">
        <v>-696.09999999999991</v>
      </c>
    </row>
    <row r="218" spans="11:12" x14ac:dyDescent="0.4">
      <c r="K218" s="17">
        <v>216</v>
      </c>
      <c r="L218" s="70">
        <v>-613.79999999999995</v>
      </c>
    </row>
    <row r="219" spans="11:12" x14ac:dyDescent="0.4">
      <c r="K219" s="17">
        <v>217</v>
      </c>
      <c r="L219" s="70">
        <v>-591.4</v>
      </c>
    </row>
    <row r="220" spans="11:12" x14ac:dyDescent="0.4">
      <c r="K220" s="17">
        <v>218</v>
      </c>
      <c r="L220" s="70">
        <v>-616</v>
      </c>
    </row>
    <row r="221" spans="11:12" x14ac:dyDescent="0.4">
      <c r="K221" s="17">
        <v>219</v>
      </c>
      <c r="L221" s="70">
        <v>-621.29999999999995</v>
      </c>
    </row>
    <row r="222" spans="11:12" x14ac:dyDescent="0.4">
      <c r="K222" s="17">
        <v>220</v>
      </c>
      <c r="L222" s="70">
        <v>-633.9</v>
      </c>
    </row>
    <row r="223" spans="11:12" x14ac:dyDescent="0.4">
      <c r="K223" s="17">
        <v>221</v>
      </c>
      <c r="L223" s="70">
        <v>-567.69999999999993</v>
      </c>
    </row>
    <row r="224" spans="11:12" x14ac:dyDescent="0.4">
      <c r="K224" s="17">
        <v>222</v>
      </c>
      <c r="L224" s="70">
        <v>-603.29999999999995</v>
      </c>
    </row>
    <row r="225" spans="11:12" x14ac:dyDescent="0.4">
      <c r="K225" s="17">
        <v>223</v>
      </c>
      <c r="L225" s="70">
        <v>-640.09999999999991</v>
      </c>
    </row>
    <row r="226" spans="11:12" x14ac:dyDescent="0.4">
      <c r="K226" s="17">
        <v>224</v>
      </c>
      <c r="L226" s="70">
        <v>-630.09999999999991</v>
      </c>
    </row>
    <row r="227" spans="11:12" x14ac:dyDescent="0.4">
      <c r="K227" s="17">
        <v>225</v>
      </c>
      <c r="L227" s="70">
        <v>-587.59999999999991</v>
      </c>
    </row>
    <row r="228" spans="11:12" x14ac:dyDescent="0.4">
      <c r="K228" s="17">
        <v>226</v>
      </c>
      <c r="L228" s="70">
        <v>-594.59999999999991</v>
      </c>
    </row>
    <row r="229" spans="11:12" x14ac:dyDescent="0.4">
      <c r="K229" s="17">
        <v>227</v>
      </c>
      <c r="L229" s="70">
        <v>-628.79999999999995</v>
      </c>
    </row>
    <row r="230" spans="11:12" x14ac:dyDescent="0.4">
      <c r="K230" s="17">
        <v>228</v>
      </c>
      <c r="L230" s="70">
        <v>-687.3</v>
      </c>
    </row>
    <row r="231" spans="11:12" x14ac:dyDescent="0.4">
      <c r="K231" s="17">
        <v>229</v>
      </c>
      <c r="L231" s="70">
        <v>-765.3</v>
      </c>
    </row>
    <row r="232" spans="11:12" x14ac:dyDescent="0.4">
      <c r="K232" s="17">
        <v>230</v>
      </c>
      <c r="L232" s="70">
        <v>-756.49999999999989</v>
      </c>
    </row>
    <row r="233" spans="11:12" x14ac:dyDescent="0.4">
      <c r="K233" s="17">
        <v>231</v>
      </c>
      <c r="L233" s="70">
        <v>-746.89999999999986</v>
      </c>
    </row>
    <row r="234" spans="11:12" x14ac:dyDescent="0.4">
      <c r="K234" s="17">
        <v>232</v>
      </c>
      <c r="L234" s="70">
        <v>-811.99999999999989</v>
      </c>
    </row>
    <row r="235" spans="11:12" x14ac:dyDescent="0.4">
      <c r="K235" s="17">
        <v>233</v>
      </c>
      <c r="L235" s="70">
        <v>-780.39999999999986</v>
      </c>
    </row>
    <row r="236" spans="11:12" x14ac:dyDescent="0.4">
      <c r="K236" s="17">
        <v>234</v>
      </c>
      <c r="L236" s="70">
        <v>-812.09999999999991</v>
      </c>
    </row>
    <row r="237" spans="11:12" x14ac:dyDescent="0.4">
      <c r="K237" s="17">
        <v>235</v>
      </c>
      <c r="L237" s="70">
        <v>-748.99999999999989</v>
      </c>
    </row>
    <row r="238" spans="11:12" x14ac:dyDescent="0.4">
      <c r="K238" s="17">
        <v>236</v>
      </c>
      <c r="L238" s="70">
        <v>-759.49999999999989</v>
      </c>
    </row>
    <row r="239" spans="11:12" x14ac:dyDescent="0.4">
      <c r="K239" s="17">
        <v>237</v>
      </c>
      <c r="L239" s="70">
        <v>-792.8</v>
      </c>
    </row>
    <row r="240" spans="11:12" x14ac:dyDescent="0.4">
      <c r="K240" s="17">
        <v>238</v>
      </c>
      <c r="L240" s="70">
        <v>-832.39999999999986</v>
      </c>
    </row>
    <row r="241" spans="11:12" x14ac:dyDescent="0.4">
      <c r="K241" s="17">
        <v>239</v>
      </c>
      <c r="L241" s="70">
        <v>-862.19999999999993</v>
      </c>
    </row>
    <row r="242" spans="11:12" x14ac:dyDescent="0.4">
      <c r="K242" s="17">
        <v>240</v>
      </c>
      <c r="L242" s="70">
        <v>-921.39999999999986</v>
      </c>
    </row>
    <row r="243" spans="11:12" x14ac:dyDescent="0.4">
      <c r="K243" s="17">
        <v>241</v>
      </c>
      <c r="L243" s="70">
        <v>-886</v>
      </c>
    </row>
    <row r="244" spans="11:12" x14ac:dyDescent="0.4">
      <c r="K244" s="17">
        <v>242</v>
      </c>
      <c r="L244" s="70">
        <v>-943.5</v>
      </c>
    </row>
    <row r="245" spans="11:12" x14ac:dyDescent="0.4">
      <c r="K245" s="17">
        <v>243</v>
      </c>
      <c r="L245" s="70">
        <v>-916.3</v>
      </c>
    </row>
    <row r="246" spans="11:12" x14ac:dyDescent="0.4">
      <c r="K246" s="17">
        <v>244</v>
      </c>
      <c r="L246" s="70">
        <v>-952.5</v>
      </c>
    </row>
    <row r="247" spans="11:12" x14ac:dyDescent="0.4">
      <c r="K247" s="17">
        <v>245</v>
      </c>
      <c r="L247" s="70">
        <v>-967</v>
      </c>
    </row>
    <row r="248" spans="11:12" x14ac:dyDescent="0.4">
      <c r="K248" s="17">
        <v>246</v>
      </c>
      <c r="L248" s="70">
        <v>-977.39999999999986</v>
      </c>
    </row>
    <row r="249" spans="11:12" x14ac:dyDescent="0.4">
      <c r="K249" s="17">
        <v>247</v>
      </c>
      <c r="L249" s="70">
        <v>-902.19999999999993</v>
      </c>
    </row>
    <row r="250" spans="11:12" x14ac:dyDescent="0.4">
      <c r="K250" s="17">
        <v>248</v>
      </c>
      <c r="L250" s="70">
        <v>-932.8</v>
      </c>
    </row>
    <row r="251" spans="11:12" x14ac:dyDescent="0.4">
      <c r="K251" s="17">
        <v>249</v>
      </c>
      <c r="L251" s="70">
        <v>-888</v>
      </c>
    </row>
    <row r="252" spans="11:12" x14ac:dyDescent="0.4">
      <c r="K252" s="17">
        <v>250</v>
      </c>
      <c r="L252" s="70">
        <v>-825.5</v>
      </c>
    </row>
    <row r="253" spans="11:12" x14ac:dyDescent="0.4">
      <c r="K253" s="17">
        <v>251</v>
      </c>
      <c r="L253" s="70">
        <v>-863.19999999999993</v>
      </c>
    </row>
    <row r="254" spans="11:12" x14ac:dyDescent="0.4">
      <c r="K254" s="17">
        <v>252</v>
      </c>
      <c r="L254" s="70">
        <v>-842.69999999999993</v>
      </c>
    </row>
    <row r="255" spans="11:12" x14ac:dyDescent="0.4">
      <c r="K255" s="17">
        <v>253</v>
      </c>
      <c r="L255" s="70">
        <v>-835.3</v>
      </c>
    </row>
    <row r="256" spans="11:12" x14ac:dyDescent="0.4">
      <c r="K256" s="17">
        <v>254</v>
      </c>
      <c r="L256" s="70">
        <v>-846.09999999999991</v>
      </c>
    </row>
    <row r="257" spans="11:12" x14ac:dyDescent="0.4">
      <c r="K257" s="17">
        <v>255</v>
      </c>
      <c r="L257" s="70">
        <v>-862.2</v>
      </c>
    </row>
    <row r="258" spans="11:12" x14ac:dyDescent="0.4">
      <c r="K258" s="17">
        <v>256</v>
      </c>
      <c r="L258" s="70">
        <v>-787.4</v>
      </c>
    </row>
    <row r="259" spans="11:12" x14ac:dyDescent="0.4">
      <c r="K259" s="17">
        <v>257</v>
      </c>
      <c r="L259" s="70">
        <v>-866.09999999999991</v>
      </c>
    </row>
    <row r="260" spans="11:12" x14ac:dyDescent="0.4">
      <c r="K260" s="17">
        <v>258</v>
      </c>
      <c r="L260" s="70">
        <v>-854.5</v>
      </c>
    </row>
    <row r="261" spans="11:12" x14ac:dyDescent="0.4">
      <c r="K261" s="17">
        <v>259</v>
      </c>
      <c r="L261" s="70">
        <v>-851.89999999999986</v>
      </c>
    </row>
    <row r="262" spans="11:12" x14ac:dyDescent="0.4">
      <c r="K262" s="17">
        <v>260</v>
      </c>
      <c r="L262" s="70">
        <v>-863</v>
      </c>
    </row>
    <row r="263" spans="11:12" x14ac:dyDescent="0.4">
      <c r="K263" s="17">
        <v>261</v>
      </c>
      <c r="L263" s="70">
        <v>-885.19999999999993</v>
      </c>
    </row>
    <row r="264" spans="11:12" x14ac:dyDescent="0.4">
      <c r="K264" s="17">
        <v>262</v>
      </c>
      <c r="L264" s="70">
        <v>-909.5</v>
      </c>
    </row>
    <row r="265" spans="11:12" x14ac:dyDescent="0.4">
      <c r="K265" s="17">
        <v>263</v>
      </c>
      <c r="L265" s="70">
        <v>-960.59999999999991</v>
      </c>
    </row>
    <row r="266" spans="11:12" x14ac:dyDescent="0.4">
      <c r="K266" s="17">
        <v>264</v>
      </c>
      <c r="L266" s="70">
        <v>-1016.5</v>
      </c>
    </row>
    <row r="267" spans="11:12" x14ac:dyDescent="0.4">
      <c r="K267" s="17">
        <v>265</v>
      </c>
      <c r="L267" s="70">
        <v>-965.19999999999993</v>
      </c>
    </row>
    <row r="268" spans="11:12" x14ac:dyDescent="0.4">
      <c r="K268" s="17">
        <v>266</v>
      </c>
      <c r="L268" s="70">
        <v>-1022.8999999999999</v>
      </c>
    </row>
    <row r="269" spans="11:12" x14ac:dyDescent="0.4">
      <c r="K269" s="17">
        <v>267</v>
      </c>
      <c r="L269" s="70">
        <v>-988.19999999999993</v>
      </c>
    </row>
    <row r="270" spans="11:12" x14ac:dyDescent="0.4">
      <c r="K270" s="17">
        <v>268</v>
      </c>
      <c r="L270" s="70">
        <v>-976.59999999999991</v>
      </c>
    </row>
    <row r="271" spans="11:12" x14ac:dyDescent="0.4">
      <c r="K271" s="17">
        <v>269</v>
      </c>
      <c r="L271" s="70">
        <v>-883.99999999999989</v>
      </c>
    </row>
    <row r="272" spans="11:12" x14ac:dyDescent="0.4">
      <c r="K272" s="17">
        <v>270</v>
      </c>
      <c r="L272" s="70">
        <v>-893.69999999999982</v>
      </c>
    </row>
    <row r="273" spans="11:12" x14ac:dyDescent="0.4">
      <c r="K273" s="17">
        <v>271</v>
      </c>
      <c r="L273" s="70">
        <v>-848.69999999999982</v>
      </c>
    </row>
    <row r="274" spans="11:12" x14ac:dyDescent="0.4">
      <c r="K274" s="17">
        <v>272</v>
      </c>
      <c r="L274" s="70">
        <v>-859.49999999999989</v>
      </c>
    </row>
    <row r="275" spans="11:12" x14ac:dyDescent="0.4">
      <c r="K275" s="17">
        <v>273</v>
      </c>
      <c r="L275" s="70">
        <v>-861.8</v>
      </c>
    </row>
    <row r="276" spans="11:12" x14ac:dyDescent="0.4">
      <c r="K276" s="17">
        <v>274</v>
      </c>
      <c r="L276" s="70">
        <v>-886.3</v>
      </c>
    </row>
    <row r="277" spans="11:12" x14ac:dyDescent="0.4">
      <c r="K277" s="17">
        <v>275</v>
      </c>
      <c r="L277" s="70">
        <v>-942.19999999999982</v>
      </c>
    </row>
    <row r="278" spans="11:12" x14ac:dyDescent="0.4">
      <c r="K278" s="17">
        <v>276</v>
      </c>
      <c r="L278" s="70">
        <v>-879.69999999999982</v>
      </c>
    </row>
    <row r="279" spans="11:12" x14ac:dyDescent="0.4">
      <c r="K279" s="17">
        <v>277</v>
      </c>
      <c r="L279" s="70">
        <v>-911.8</v>
      </c>
    </row>
    <row r="280" spans="11:12" x14ac:dyDescent="0.4">
      <c r="K280" s="17">
        <v>278</v>
      </c>
      <c r="L280" s="70">
        <v>-919.19999999999982</v>
      </c>
    </row>
    <row r="281" spans="11:12" x14ac:dyDescent="0.4">
      <c r="K281" s="17">
        <v>279</v>
      </c>
      <c r="L281" s="70">
        <v>-978.69999999999982</v>
      </c>
    </row>
    <row r="282" spans="11:12" x14ac:dyDescent="0.4">
      <c r="K282" s="17">
        <v>280</v>
      </c>
      <c r="L282" s="70">
        <v>-919.89999999999986</v>
      </c>
    </row>
    <row r="283" spans="11:12" x14ac:dyDescent="0.4">
      <c r="K283" s="17">
        <v>281</v>
      </c>
      <c r="L283" s="70">
        <v>-955.89999999999986</v>
      </c>
    </row>
    <row r="284" spans="11:12" x14ac:dyDescent="0.4">
      <c r="K284" s="17">
        <v>282</v>
      </c>
      <c r="L284" s="70">
        <v>-959.49999999999989</v>
      </c>
    </row>
    <row r="285" spans="11:12" x14ac:dyDescent="0.4">
      <c r="K285" s="17">
        <v>283</v>
      </c>
      <c r="L285" s="70">
        <v>-931.99999999999989</v>
      </c>
    </row>
    <row r="286" spans="11:12" x14ac:dyDescent="0.4">
      <c r="K286" s="17">
        <v>284</v>
      </c>
      <c r="L286" s="70">
        <v>-898.59999999999991</v>
      </c>
    </row>
    <row r="287" spans="11:12" x14ac:dyDescent="0.4">
      <c r="K287" s="17">
        <v>285</v>
      </c>
      <c r="L287" s="70">
        <v>-906.19999999999993</v>
      </c>
    </row>
    <row r="288" spans="11:12" x14ac:dyDescent="0.4">
      <c r="K288" s="17">
        <v>286</v>
      </c>
      <c r="L288" s="70">
        <v>-862.5</v>
      </c>
    </row>
    <row r="289" spans="11:12" x14ac:dyDescent="0.4">
      <c r="K289" s="17">
        <v>287</v>
      </c>
      <c r="L289" s="70">
        <v>-863</v>
      </c>
    </row>
    <row r="290" spans="11:12" x14ac:dyDescent="0.4">
      <c r="K290" s="17">
        <v>288</v>
      </c>
      <c r="L290" s="70">
        <v>-895.8</v>
      </c>
    </row>
    <row r="291" spans="11:12" x14ac:dyDescent="0.4">
      <c r="K291" s="17">
        <v>289</v>
      </c>
      <c r="L291" s="70">
        <v>-897.59999999999991</v>
      </c>
    </row>
    <row r="292" spans="11:12" x14ac:dyDescent="0.4">
      <c r="K292" s="17">
        <v>290</v>
      </c>
      <c r="L292" s="70">
        <v>-954.4</v>
      </c>
    </row>
    <row r="293" spans="11:12" x14ac:dyDescent="0.4">
      <c r="K293" s="17">
        <v>291</v>
      </c>
      <c r="L293" s="70">
        <v>-986.9</v>
      </c>
    </row>
    <row r="294" spans="11:12" x14ac:dyDescent="0.4">
      <c r="K294" s="17">
        <v>292</v>
      </c>
      <c r="L294" s="70">
        <v>-999.59999999999991</v>
      </c>
    </row>
    <row r="295" spans="11:12" x14ac:dyDescent="0.4">
      <c r="K295" s="17">
        <v>293</v>
      </c>
      <c r="L295" s="70">
        <v>-1042.7</v>
      </c>
    </row>
    <row r="296" spans="11:12" x14ac:dyDescent="0.4">
      <c r="K296" s="17">
        <v>294</v>
      </c>
      <c r="L296" s="70">
        <v>-1016.2</v>
      </c>
    </row>
    <row r="297" spans="11:12" x14ac:dyDescent="0.4">
      <c r="K297" s="17">
        <v>295</v>
      </c>
      <c r="L297" s="70">
        <v>-975.4</v>
      </c>
    </row>
    <row r="298" spans="11:12" x14ac:dyDescent="0.4">
      <c r="K298" s="17">
        <v>296</v>
      </c>
      <c r="L298" s="70">
        <v>-978.4</v>
      </c>
    </row>
    <row r="299" spans="11:12" x14ac:dyDescent="0.4">
      <c r="K299" s="17">
        <v>297</v>
      </c>
      <c r="L299" s="70">
        <v>-919.59999999999991</v>
      </c>
    </row>
    <row r="300" spans="11:12" x14ac:dyDescent="0.4">
      <c r="K300" s="17">
        <v>298</v>
      </c>
      <c r="L300" s="70">
        <v>-911</v>
      </c>
    </row>
    <row r="301" spans="11:12" x14ac:dyDescent="0.4">
      <c r="K301" s="17">
        <v>299</v>
      </c>
      <c r="L301" s="70">
        <v>-946.69999999999993</v>
      </c>
    </row>
    <row r="302" spans="11:12" x14ac:dyDescent="0.4">
      <c r="K302" s="17">
        <v>300</v>
      </c>
      <c r="L302" s="70">
        <v>-941.5</v>
      </c>
    </row>
    <row r="303" spans="11:12" x14ac:dyDescent="0.4">
      <c r="K303" s="17">
        <v>301</v>
      </c>
      <c r="L303" s="70">
        <v>-948.89999999999986</v>
      </c>
    </row>
    <row r="304" spans="11:12" x14ac:dyDescent="0.4">
      <c r="K304" s="17">
        <v>302</v>
      </c>
      <c r="L304" s="70">
        <v>-900.89999999999986</v>
      </c>
    </row>
    <row r="305" spans="11:12" x14ac:dyDescent="0.4">
      <c r="K305" s="17">
        <v>303</v>
      </c>
      <c r="L305" s="70">
        <v>-973.49999999999989</v>
      </c>
    </row>
    <row r="306" spans="11:12" x14ac:dyDescent="0.4">
      <c r="K306" s="17">
        <v>304</v>
      </c>
      <c r="L306" s="70">
        <v>-1029.3</v>
      </c>
    </row>
    <row r="307" spans="11:12" x14ac:dyDescent="0.4">
      <c r="K307" s="17">
        <v>305</v>
      </c>
      <c r="L307" s="70">
        <v>-1077.6999999999998</v>
      </c>
    </row>
    <row r="308" spans="11:12" x14ac:dyDescent="0.4">
      <c r="K308" s="17">
        <v>306</v>
      </c>
      <c r="L308" s="70">
        <v>-1115.4999999999998</v>
      </c>
    </row>
    <row r="309" spans="11:12" x14ac:dyDescent="0.4">
      <c r="K309" s="17">
        <v>307</v>
      </c>
      <c r="L309" s="70">
        <v>-1107.7999999999997</v>
      </c>
    </row>
    <row r="310" spans="11:12" x14ac:dyDescent="0.4">
      <c r="K310" s="17">
        <v>308</v>
      </c>
      <c r="L310" s="70">
        <v>-1095.2999999999997</v>
      </c>
    </row>
    <row r="311" spans="11:12" x14ac:dyDescent="0.4">
      <c r="K311" s="17">
        <v>309</v>
      </c>
      <c r="L311" s="70">
        <v>-1132.5999999999999</v>
      </c>
    </row>
    <row r="312" spans="11:12" x14ac:dyDescent="0.4">
      <c r="K312" s="17">
        <v>310</v>
      </c>
      <c r="L312" s="70">
        <v>-1111.3999999999999</v>
      </c>
    </row>
    <row r="313" spans="11:12" x14ac:dyDescent="0.4">
      <c r="K313" s="17">
        <v>311</v>
      </c>
      <c r="L313" s="70">
        <v>-1135.0999999999999</v>
      </c>
    </row>
    <row r="314" spans="11:12" x14ac:dyDescent="0.4">
      <c r="K314" s="17">
        <v>312</v>
      </c>
      <c r="L314" s="70">
        <v>-1117.1999999999998</v>
      </c>
    </row>
    <row r="315" spans="11:12" x14ac:dyDescent="0.4">
      <c r="K315" s="17">
        <v>313</v>
      </c>
      <c r="L315" s="70">
        <v>-1140.6999999999998</v>
      </c>
    </row>
    <row r="316" spans="11:12" x14ac:dyDescent="0.4">
      <c r="K316" s="17">
        <v>314</v>
      </c>
      <c r="L316" s="70">
        <v>-1151.8999999999999</v>
      </c>
    </row>
    <row r="317" spans="11:12" x14ac:dyDescent="0.4">
      <c r="K317" s="17">
        <v>315</v>
      </c>
      <c r="L317" s="70">
        <v>-1194.8999999999999</v>
      </c>
    </row>
    <row r="318" spans="11:12" x14ac:dyDescent="0.4">
      <c r="K318" s="17">
        <v>316</v>
      </c>
      <c r="L318" s="70">
        <v>-1254.9999999999998</v>
      </c>
    </row>
    <row r="319" spans="11:12" x14ac:dyDescent="0.4">
      <c r="K319" s="17">
        <v>317</v>
      </c>
      <c r="L319" s="70">
        <v>-1236.2999999999997</v>
      </c>
    </row>
    <row r="320" spans="11:12" x14ac:dyDescent="0.4">
      <c r="K320" s="17">
        <v>318</v>
      </c>
      <c r="L320" s="70">
        <v>-1284.9999999999998</v>
      </c>
    </row>
    <row r="321" spans="11:12" x14ac:dyDescent="0.4">
      <c r="K321" s="17">
        <v>319</v>
      </c>
      <c r="L321" s="70">
        <v>-1282.4999999999998</v>
      </c>
    </row>
    <row r="322" spans="11:12" x14ac:dyDescent="0.4">
      <c r="K322" s="17">
        <v>320</v>
      </c>
      <c r="L322" s="70">
        <v>-1299.1999999999998</v>
      </c>
    </row>
    <row r="323" spans="11:12" x14ac:dyDescent="0.4">
      <c r="K323" s="17">
        <v>321</v>
      </c>
      <c r="L323" s="70">
        <v>-1301.9999999999998</v>
      </c>
    </row>
    <row r="324" spans="11:12" x14ac:dyDescent="0.4">
      <c r="K324" s="17">
        <v>322</v>
      </c>
      <c r="L324" s="70">
        <v>-1329.1</v>
      </c>
    </row>
    <row r="325" spans="11:12" x14ac:dyDescent="0.4">
      <c r="K325" s="17">
        <v>323</v>
      </c>
      <c r="L325" s="70">
        <v>-1317.6999999999998</v>
      </c>
    </row>
    <row r="326" spans="11:12" x14ac:dyDescent="0.4">
      <c r="K326" s="17">
        <v>324</v>
      </c>
      <c r="L326" s="70">
        <v>-1295.6999999999998</v>
      </c>
    </row>
    <row r="327" spans="11:12" x14ac:dyDescent="0.4">
      <c r="K327" s="17">
        <v>325</v>
      </c>
      <c r="L327" s="70">
        <v>-1255.2999999999997</v>
      </c>
    </row>
    <row r="328" spans="11:12" x14ac:dyDescent="0.4">
      <c r="K328" s="17">
        <v>326</v>
      </c>
      <c r="L328" s="70">
        <v>-1210.9999999999998</v>
      </c>
    </row>
    <row r="329" spans="11:12" x14ac:dyDescent="0.4">
      <c r="K329" s="17">
        <v>327</v>
      </c>
      <c r="L329" s="70">
        <v>-1242.2999999999997</v>
      </c>
    </row>
    <row r="330" spans="11:12" x14ac:dyDescent="0.4">
      <c r="K330" s="17">
        <v>328</v>
      </c>
      <c r="L330" s="70">
        <v>-1240.3999999999999</v>
      </c>
    </row>
    <row r="331" spans="11:12" x14ac:dyDescent="0.4">
      <c r="K331" s="17">
        <v>329</v>
      </c>
      <c r="L331" s="70">
        <v>-1240.6999999999998</v>
      </c>
    </row>
    <row r="332" spans="11:12" x14ac:dyDescent="0.4">
      <c r="K332" s="17">
        <v>330</v>
      </c>
      <c r="L332" s="70">
        <v>-1262.6999999999998</v>
      </c>
    </row>
    <row r="333" spans="11:12" x14ac:dyDescent="0.4">
      <c r="K333" s="17">
        <v>331</v>
      </c>
      <c r="L333" s="70">
        <v>-1263.6999999999998</v>
      </c>
    </row>
    <row r="334" spans="11:12" x14ac:dyDescent="0.4">
      <c r="K334" s="17">
        <v>332</v>
      </c>
      <c r="L334" s="70">
        <v>-1240.6999999999998</v>
      </c>
    </row>
    <row r="335" spans="11:12" x14ac:dyDescent="0.4">
      <c r="K335" s="17">
        <v>333</v>
      </c>
      <c r="L335" s="70">
        <v>-1259.3999999999999</v>
      </c>
    </row>
    <row r="336" spans="11:12" x14ac:dyDescent="0.4">
      <c r="K336" s="17">
        <v>334</v>
      </c>
      <c r="L336" s="70">
        <v>-1237.5999999999999</v>
      </c>
    </row>
    <row r="337" spans="11:12" x14ac:dyDescent="0.4">
      <c r="K337" s="17">
        <v>335</v>
      </c>
      <c r="L337" s="70">
        <v>-1253.2999999999997</v>
      </c>
    </row>
    <row r="338" spans="11:12" x14ac:dyDescent="0.4">
      <c r="K338" s="17">
        <v>336</v>
      </c>
      <c r="L338" s="70">
        <v>-1290.2999999999997</v>
      </c>
    </row>
    <row r="339" spans="11:12" x14ac:dyDescent="0.4">
      <c r="K339" s="17">
        <v>337</v>
      </c>
      <c r="L339" s="70">
        <v>-1322.4999999999998</v>
      </c>
    </row>
    <row r="340" spans="11:12" x14ac:dyDescent="0.4">
      <c r="K340" s="17">
        <v>338</v>
      </c>
      <c r="L340" s="70">
        <v>-1338.9999999999998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6D1F1-B709-4C56-8261-BCFCB04B6E06}">
  <sheetPr codeName="Sheet8"/>
  <dimension ref="A1:Q91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185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89</v>
      </c>
      <c r="C2" s="116"/>
      <c r="E2" s="39" t="s">
        <v>67</v>
      </c>
      <c r="F2" s="36" t="s">
        <v>23</v>
      </c>
      <c r="G2" s="24">
        <v>108</v>
      </c>
      <c r="H2" s="103">
        <f>IF(B$31=0,0,G2/B$31)</f>
        <v>0.8571428571428571</v>
      </c>
      <c r="I2" s="64">
        <v>3</v>
      </c>
      <c r="K2" s="15">
        <v>0</v>
      </c>
      <c r="L2" s="69">
        <v>0</v>
      </c>
      <c r="N2" s="85" t="s">
        <v>129</v>
      </c>
      <c r="O2" s="92">
        <f>IF(P2=0,0,Q2/P2)</f>
        <v>-230.3370786516854</v>
      </c>
      <c r="P2" s="89">
        <v>89</v>
      </c>
      <c r="Q2" s="73">
        <v>-20500</v>
      </c>
    </row>
    <row r="3" spans="1:17" x14ac:dyDescent="0.4">
      <c r="A3" s="32" t="s">
        <v>8</v>
      </c>
      <c r="B3" s="127">
        <v>655</v>
      </c>
      <c r="C3" s="128"/>
      <c r="E3" s="40" t="s">
        <v>73</v>
      </c>
      <c r="F3" s="37" t="s">
        <v>28</v>
      </c>
      <c r="G3" s="25">
        <v>79</v>
      </c>
      <c r="H3" s="104">
        <f>IF(B$31=0,0,G3/B$31)</f>
        <v>0.62698412698412698</v>
      </c>
      <c r="I3" s="65">
        <v>4</v>
      </c>
      <c r="K3" s="17">
        <v>1</v>
      </c>
      <c r="L3" s="70">
        <v>-39.9</v>
      </c>
      <c r="N3" s="86" t="s">
        <v>130</v>
      </c>
      <c r="O3" s="93">
        <f t="shared" ref="O3:O7" si="0">IF(P3=0,0,Q3/P3)</f>
        <v>336.04651162790697</v>
      </c>
      <c r="P3" s="90">
        <v>86</v>
      </c>
      <c r="Q3" s="74">
        <v>28900</v>
      </c>
    </row>
    <row r="4" spans="1:17" x14ac:dyDescent="0.4">
      <c r="A4" s="32" t="s">
        <v>6</v>
      </c>
      <c r="B4" s="129">
        <v>-29.699999999999989</v>
      </c>
      <c r="C4" s="130"/>
      <c r="E4" s="40" t="s">
        <v>177</v>
      </c>
      <c r="F4" s="37" t="s">
        <v>178</v>
      </c>
      <c r="G4" s="25">
        <v>69</v>
      </c>
      <c r="H4" s="104">
        <f>IF(B$31=0,0,G4/B$31)</f>
        <v>0.54761904761904767</v>
      </c>
      <c r="I4" s="65">
        <v>3</v>
      </c>
      <c r="K4" s="17">
        <v>2</v>
      </c>
      <c r="L4" s="70">
        <v>-13.2</v>
      </c>
      <c r="N4" s="86" t="s">
        <v>131</v>
      </c>
      <c r="O4" s="93">
        <f t="shared" si="0"/>
        <v>-1362.0253164556962</v>
      </c>
      <c r="P4" s="90">
        <v>79</v>
      </c>
      <c r="Q4" s="74">
        <v>-107600</v>
      </c>
    </row>
    <row r="5" spans="1:17" x14ac:dyDescent="0.4">
      <c r="A5" s="32" t="s">
        <v>7</v>
      </c>
      <c r="B5" s="131">
        <f>IF(B$2=0,0,B$4/B$2)</f>
        <v>-0.33370786516853918</v>
      </c>
      <c r="C5" s="132"/>
      <c r="E5" s="40" t="s">
        <v>65</v>
      </c>
      <c r="F5" s="37" t="s">
        <v>21</v>
      </c>
      <c r="G5" s="25">
        <v>58</v>
      </c>
      <c r="H5" s="104">
        <f>IF(B$31=0,0,G5/B$31)</f>
        <v>0.46031746031746029</v>
      </c>
      <c r="I5" s="65">
        <v>14</v>
      </c>
      <c r="K5" s="17">
        <v>3</v>
      </c>
      <c r="L5" s="70">
        <v>-57.7</v>
      </c>
      <c r="N5" s="86" t="s">
        <v>132</v>
      </c>
      <c r="O5" s="93">
        <f t="shared" si="0"/>
        <v>-1537.1428571428571</v>
      </c>
      <c r="P5" s="90">
        <v>70</v>
      </c>
      <c r="Q5" s="74">
        <v>-107600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69</v>
      </c>
      <c r="F6" s="37" t="s">
        <v>12</v>
      </c>
      <c r="G6" s="25">
        <v>35</v>
      </c>
      <c r="H6" s="104">
        <f>IF(B$31=0,0,G6/B$31)</f>
        <v>0.27777777777777779</v>
      </c>
      <c r="I6" s="65">
        <v>12</v>
      </c>
      <c r="K6" s="17">
        <v>4</v>
      </c>
      <c r="L6" s="70">
        <v>-53.7</v>
      </c>
      <c r="N6" s="86" t="s">
        <v>133</v>
      </c>
      <c r="O6" s="93">
        <f t="shared" si="0"/>
        <v>4417.7419354838712</v>
      </c>
      <c r="P6" s="90">
        <v>62</v>
      </c>
      <c r="Q6" s="74">
        <v>273900</v>
      </c>
    </row>
    <row r="7" spans="1:17" x14ac:dyDescent="0.4">
      <c r="A7" s="32" t="s">
        <v>2</v>
      </c>
      <c r="B7" s="25">
        <v>30</v>
      </c>
      <c r="C7" s="18">
        <f>IF(B$2=0,0,B7/B$2)</f>
        <v>0.33707865168539325</v>
      </c>
      <c r="E7" s="40" t="s">
        <v>68</v>
      </c>
      <c r="F7" s="37" t="s">
        <v>24</v>
      </c>
      <c r="G7" s="25">
        <v>31</v>
      </c>
      <c r="H7" s="104">
        <f>IF(B$31=0,0,G7/B$31)</f>
        <v>0.24603174603174602</v>
      </c>
      <c r="I7" s="65">
        <v>13</v>
      </c>
      <c r="K7" s="17">
        <v>5</v>
      </c>
      <c r="L7" s="70">
        <v>-45.7</v>
      </c>
      <c r="N7" s="87" t="s">
        <v>134</v>
      </c>
      <c r="O7" s="94">
        <f t="shared" si="0"/>
        <v>-1221.2765957446809</v>
      </c>
      <c r="P7" s="91">
        <v>47</v>
      </c>
      <c r="Q7" s="75">
        <v>-57400</v>
      </c>
    </row>
    <row r="8" spans="1:17" x14ac:dyDescent="0.4">
      <c r="A8" s="32" t="s">
        <v>3</v>
      </c>
      <c r="B8" s="25">
        <v>29</v>
      </c>
      <c r="C8" s="18">
        <f>IF(B$2=0,0,B8/B$2)</f>
        <v>0.3258426966292135</v>
      </c>
      <c r="E8" s="40" t="s">
        <v>70</v>
      </c>
      <c r="F8" s="37" t="s">
        <v>25</v>
      </c>
      <c r="G8" s="25">
        <v>16</v>
      </c>
      <c r="H8" s="104">
        <f>IF(B$31=0,0,G8/B$31)</f>
        <v>0.12698412698412698</v>
      </c>
      <c r="I8" s="65">
        <v>11</v>
      </c>
      <c r="K8" s="17">
        <v>6</v>
      </c>
      <c r="L8" s="70">
        <v>-50.6</v>
      </c>
      <c r="N8" s="22"/>
      <c r="O8" s="98"/>
      <c r="P8" s="82"/>
      <c r="Q8" s="80"/>
    </row>
    <row r="9" spans="1:17" x14ac:dyDescent="0.4">
      <c r="A9" s="33" t="s">
        <v>4</v>
      </c>
      <c r="B9" s="26">
        <v>30</v>
      </c>
      <c r="C9" s="19">
        <f t="shared" ref="C9" si="1">IF(B$2=0,0,B9/B$2)</f>
        <v>0.33707865168539325</v>
      </c>
      <c r="E9" s="40" t="s">
        <v>167</v>
      </c>
      <c r="F9" s="37" t="s">
        <v>168</v>
      </c>
      <c r="G9" s="25">
        <v>16</v>
      </c>
      <c r="H9" s="104">
        <f>IF(B$31=0,0,G9/B$31)</f>
        <v>0.12698412698412698</v>
      </c>
      <c r="I9" s="65">
        <v>13</v>
      </c>
      <c r="K9" s="17">
        <v>7</v>
      </c>
      <c r="L9" s="70">
        <v>-47.6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14</v>
      </c>
      <c r="C10" s="19">
        <f>IF(B$2=0,0,B10/B$2)</f>
        <v>0.15730337078651685</v>
      </c>
      <c r="E10" s="40" t="s">
        <v>84</v>
      </c>
      <c r="F10" s="37" t="s">
        <v>39</v>
      </c>
      <c r="G10" s="25">
        <v>14</v>
      </c>
      <c r="H10" s="104">
        <f>IF(B$31=0,0,G10/B$31)</f>
        <v>0.1111111111111111</v>
      </c>
      <c r="I10" s="65">
        <v>2</v>
      </c>
      <c r="K10" s="17">
        <v>8</v>
      </c>
      <c r="L10" s="70">
        <v>-59.1</v>
      </c>
      <c r="N10" s="85" t="s">
        <v>158</v>
      </c>
      <c r="O10" s="95">
        <f>IF(P10=0,0,Q10/P10)</f>
        <v>-7.5862068965516366E-2</v>
      </c>
      <c r="P10" s="89">
        <v>29</v>
      </c>
      <c r="Q10" s="77">
        <v>-2.1999999999999744</v>
      </c>
    </row>
    <row r="11" spans="1:17" x14ac:dyDescent="0.4">
      <c r="A11" s="33" t="s">
        <v>137</v>
      </c>
      <c r="B11" s="26">
        <v>13</v>
      </c>
      <c r="C11" s="19">
        <f>IF(B$2=0,0,B11/B$2)</f>
        <v>0.14606741573033707</v>
      </c>
      <c r="E11" s="40" t="s">
        <v>71</v>
      </c>
      <c r="F11" s="37" t="s">
        <v>26</v>
      </c>
      <c r="G11" s="25">
        <v>13</v>
      </c>
      <c r="H11" s="104">
        <f>IF(B$31=0,0,G11/B$31)</f>
        <v>0.10317460317460317</v>
      </c>
      <c r="I11" s="65">
        <v>6</v>
      </c>
      <c r="K11" s="17">
        <v>9</v>
      </c>
      <c r="L11" s="70">
        <v>-77.900000000000006</v>
      </c>
      <c r="N11" s="86" t="s">
        <v>159</v>
      </c>
      <c r="O11" s="96">
        <f>IF(P11=0,0,Q11/P11)</f>
        <v>2.8435897435897437</v>
      </c>
      <c r="P11" s="90">
        <v>39</v>
      </c>
      <c r="Q11" s="78">
        <v>110.9</v>
      </c>
    </row>
    <row r="12" spans="1:17" x14ac:dyDescent="0.4">
      <c r="A12" s="34" t="s">
        <v>154</v>
      </c>
      <c r="B12" s="27">
        <v>6</v>
      </c>
      <c r="C12" s="21">
        <f>IF(B$2=0,0,B12/B$2)</f>
        <v>6.741573033707865E-2</v>
      </c>
      <c r="E12" s="40" t="s">
        <v>90</v>
      </c>
      <c r="F12" s="37" t="s">
        <v>45</v>
      </c>
      <c r="G12" s="25">
        <v>11</v>
      </c>
      <c r="H12" s="104">
        <f>IF(B$31=0,0,G12/B$31)</f>
        <v>8.7301587301587297E-2</v>
      </c>
      <c r="I12" s="65">
        <v>13</v>
      </c>
      <c r="K12" s="17">
        <v>10</v>
      </c>
      <c r="L12" s="70">
        <v>-78.900000000000006</v>
      </c>
      <c r="N12" s="87" t="s">
        <v>160</v>
      </c>
      <c r="O12" s="97">
        <f>IF(P12=0,0,Q12/P12)</f>
        <v>-6.590476190476191</v>
      </c>
      <c r="P12" s="91">
        <v>21</v>
      </c>
      <c r="Q12" s="79">
        <v>-138.4</v>
      </c>
    </row>
    <row r="13" spans="1:17" x14ac:dyDescent="0.4">
      <c r="A13" s="35" t="s">
        <v>122</v>
      </c>
      <c r="B13" s="28">
        <v>97</v>
      </c>
      <c r="C13" s="23">
        <f>IF(B$30=0,0,B13/B$30)</f>
        <v>0.23261390887290168</v>
      </c>
      <c r="E13" s="40" t="s">
        <v>66</v>
      </c>
      <c r="F13" s="37" t="s">
        <v>22</v>
      </c>
      <c r="G13" s="25">
        <v>9</v>
      </c>
      <c r="H13" s="104">
        <f>IF(B$31=0,0,G13/B$31)</f>
        <v>7.1428571428571425E-2</v>
      </c>
      <c r="I13" s="65">
        <v>14</v>
      </c>
      <c r="K13" s="17">
        <v>11</v>
      </c>
      <c r="L13" s="70">
        <v>-88.9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115</v>
      </c>
      <c r="C14" s="18">
        <f>IF(B$30=0,0,B14/B$30)</f>
        <v>0.27577937649880097</v>
      </c>
      <c r="E14" s="40" t="s">
        <v>72</v>
      </c>
      <c r="F14" s="37" t="s">
        <v>27</v>
      </c>
      <c r="G14" s="25">
        <v>5</v>
      </c>
      <c r="H14" s="104">
        <f>IF(B$31=0,0,G14/B$31)</f>
        <v>3.968253968253968E-2</v>
      </c>
      <c r="I14" s="65">
        <v>13</v>
      </c>
      <c r="K14" s="17">
        <v>12</v>
      </c>
      <c r="L14" s="70">
        <v>-23.5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60</v>
      </c>
      <c r="C15" s="16">
        <f>IF(B$13=0,0,B15/B$13)</f>
        <v>0.61855670103092786</v>
      </c>
      <c r="E15" s="40" t="s">
        <v>82</v>
      </c>
      <c r="F15" s="37" t="s">
        <v>37</v>
      </c>
      <c r="G15" s="25">
        <v>5</v>
      </c>
      <c r="H15" s="104">
        <f>IF(B$31=0,0,G15/B$31)</f>
        <v>3.968253968253968E-2</v>
      </c>
      <c r="I15" s="65">
        <v>3</v>
      </c>
      <c r="K15" s="17">
        <v>13</v>
      </c>
      <c r="L15" s="70">
        <v>-12.4</v>
      </c>
      <c r="N15" s="85" t="s">
        <v>174</v>
      </c>
      <c r="O15" s="95">
        <f>IF(P15=0,0,Q15/P15)</f>
        <v>59.433333333333337</v>
      </c>
      <c r="P15" s="89">
        <v>3</v>
      </c>
      <c r="Q15" s="77">
        <v>178.3</v>
      </c>
    </row>
    <row r="16" spans="1:17" x14ac:dyDescent="0.4">
      <c r="A16" s="31" t="s">
        <v>125</v>
      </c>
      <c r="B16" s="24">
        <v>47</v>
      </c>
      <c r="C16" s="16">
        <f>IF(B$14=0,0,B16/B$14)</f>
        <v>0.40869565217391307</v>
      </c>
      <c r="E16" s="40" t="s">
        <v>80</v>
      </c>
      <c r="F16" s="37" t="s">
        <v>35</v>
      </c>
      <c r="G16" s="25">
        <v>3</v>
      </c>
      <c r="H16" s="104">
        <f>IF(B$31=0,0,G16/B$31)</f>
        <v>2.3809523809523808E-2</v>
      </c>
      <c r="I16" s="65">
        <v>5</v>
      </c>
      <c r="K16" s="17">
        <v>14</v>
      </c>
      <c r="L16" s="70">
        <v>38.6</v>
      </c>
      <c r="N16" s="86" t="s">
        <v>181</v>
      </c>
      <c r="O16" s="96">
        <f>IF(P16=0,0,Q16/P16)</f>
        <v>26.766666666666666</v>
      </c>
      <c r="P16" s="90">
        <v>3</v>
      </c>
      <c r="Q16" s="78">
        <v>80.3</v>
      </c>
    </row>
    <row r="17" spans="1:17" x14ac:dyDescent="0.4">
      <c r="A17" s="31" t="s">
        <v>10</v>
      </c>
      <c r="B17" s="24">
        <f>B19+B18</f>
        <v>213</v>
      </c>
      <c r="C17" s="16">
        <f>IF(B$3=0,0,B17/B$3)</f>
        <v>0.32519083969465651</v>
      </c>
      <c r="E17" s="40" t="s">
        <v>87</v>
      </c>
      <c r="F17" s="37" t="s">
        <v>42</v>
      </c>
      <c r="G17" s="25">
        <v>3</v>
      </c>
      <c r="H17" s="104">
        <f>IF(B$31=0,0,G17/B$31)</f>
        <v>2.3809523809523808E-2</v>
      </c>
      <c r="I17" s="65">
        <v>15</v>
      </c>
      <c r="K17" s="17">
        <v>15</v>
      </c>
      <c r="L17" s="70">
        <v>55.8</v>
      </c>
      <c r="N17" s="86" t="s">
        <v>182</v>
      </c>
      <c r="O17" s="96">
        <f>IF(P17=0,0,Q17/P17)</f>
        <v>21.200000000000003</v>
      </c>
      <c r="P17" s="90">
        <v>3</v>
      </c>
      <c r="Q17" s="78">
        <v>63.600000000000009</v>
      </c>
    </row>
    <row r="18" spans="1:17" x14ac:dyDescent="0.4">
      <c r="A18" s="32" t="s">
        <v>12</v>
      </c>
      <c r="B18" s="25">
        <v>94</v>
      </c>
      <c r="C18" s="18">
        <f>IF(B$17=0,0,B18/B$17)</f>
        <v>0.44131455399061031</v>
      </c>
      <c r="E18" s="40" t="s">
        <v>92</v>
      </c>
      <c r="F18" s="37" t="s">
        <v>47</v>
      </c>
      <c r="G18" s="25">
        <v>2</v>
      </c>
      <c r="H18" s="104">
        <f>IF(B$31=0,0,G18/B$31)</f>
        <v>1.5873015873015872E-2</v>
      </c>
      <c r="I18" s="65">
        <v>10</v>
      </c>
      <c r="K18" s="17">
        <v>16</v>
      </c>
      <c r="L18" s="70">
        <v>40.299999999999997</v>
      </c>
      <c r="N18" s="86" t="s">
        <v>128</v>
      </c>
      <c r="O18" s="96">
        <f>IF(P18=0,0,Q18/P18)</f>
        <v>18.00714285714286</v>
      </c>
      <c r="P18" s="90">
        <v>14</v>
      </c>
      <c r="Q18" s="78">
        <v>252.10000000000005</v>
      </c>
    </row>
    <row r="19" spans="1:17" x14ac:dyDescent="0.4">
      <c r="A19" s="32" t="s">
        <v>11</v>
      </c>
      <c r="B19" s="25">
        <v>119</v>
      </c>
      <c r="C19" s="18">
        <f>IF(B$17=0,0,B19/B$17)</f>
        <v>0.55868544600938963</v>
      </c>
      <c r="E19" s="40" t="s">
        <v>74</v>
      </c>
      <c r="F19" s="37" t="s">
        <v>29</v>
      </c>
      <c r="G19" s="25">
        <v>1</v>
      </c>
      <c r="H19" s="104">
        <f>IF(B$31=0,0,G19/B$31)</f>
        <v>7.9365079365079361E-3</v>
      </c>
      <c r="I19" s="65">
        <v>4</v>
      </c>
      <c r="K19" s="17">
        <v>17</v>
      </c>
      <c r="L19" s="70">
        <v>15.799999999999997</v>
      </c>
      <c r="N19" s="86" t="s">
        <v>173</v>
      </c>
      <c r="O19" s="96">
        <f>IF(P19=0,0,Q19/P19)</f>
        <v>8.4020408163265259</v>
      </c>
      <c r="P19" s="90">
        <v>49</v>
      </c>
      <c r="Q19" s="78">
        <v>411.69999999999976</v>
      </c>
    </row>
    <row r="20" spans="1:17" x14ac:dyDescent="0.4">
      <c r="A20" s="32" t="s">
        <v>13</v>
      </c>
      <c r="B20" s="25">
        <v>114</v>
      </c>
      <c r="C20" s="18">
        <f>IF(B$3=0,0,B20/B$3)</f>
        <v>0.17404580152671756</v>
      </c>
      <c r="E20" s="40" t="s">
        <v>75</v>
      </c>
      <c r="F20" s="37" t="s">
        <v>30</v>
      </c>
      <c r="G20" s="25">
        <v>1</v>
      </c>
      <c r="H20" s="104">
        <f>IF(B$31=0,0,G20/B$31)</f>
        <v>7.9365079365079361E-3</v>
      </c>
      <c r="I20" s="65">
        <v>2</v>
      </c>
      <c r="K20" s="17">
        <v>18</v>
      </c>
      <c r="L20" s="70">
        <v>-25.700000000000003</v>
      </c>
      <c r="N20" s="86" t="s">
        <v>172</v>
      </c>
      <c r="O20" s="96">
        <f>IF(P20=0,0,Q20/P20)</f>
        <v>2.5624999999999982</v>
      </c>
      <c r="P20" s="90">
        <v>8</v>
      </c>
      <c r="Q20" s="78">
        <v>20.499999999999986</v>
      </c>
    </row>
    <row r="21" spans="1:17" x14ac:dyDescent="0.4">
      <c r="A21" s="32" t="s">
        <v>165</v>
      </c>
      <c r="B21" s="25">
        <v>5</v>
      </c>
      <c r="C21" s="106">
        <v>0</v>
      </c>
      <c r="E21" s="40" t="s">
        <v>76</v>
      </c>
      <c r="F21" s="37" t="s">
        <v>31</v>
      </c>
      <c r="G21" s="25">
        <v>1</v>
      </c>
      <c r="H21" s="104">
        <f>IF(B$31=0,0,G21/B$31)</f>
        <v>7.9365079365079361E-3</v>
      </c>
      <c r="I21" s="65">
        <v>3</v>
      </c>
      <c r="K21" s="17">
        <v>19</v>
      </c>
      <c r="L21" s="70">
        <v>-17.700000000000003</v>
      </c>
      <c r="N21" s="86" t="s">
        <v>127</v>
      </c>
      <c r="O21" s="96">
        <f>IF(P21=0,0,Q21/P21)</f>
        <v>-6.7275362318840592</v>
      </c>
      <c r="P21" s="90">
        <v>69</v>
      </c>
      <c r="Q21" s="78">
        <v>-464.2000000000001</v>
      </c>
    </row>
    <row r="22" spans="1:17" x14ac:dyDescent="0.4">
      <c r="A22" s="32" t="s">
        <v>166</v>
      </c>
      <c r="B22" s="25">
        <v>28</v>
      </c>
      <c r="C22" s="106">
        <v>0</v>
      </c>
      <c r="E22" s="40" t="s">
        <v>79</v>
      </c>
      <c r="F22" s="37" t="s">
        <v>34</v>
      </c>
      <c r="G22" s="25">
        <v>1</v>
      </c>
      <c r="H22" s="104">
        <f>IF(B$31=0,0,G22/B$31)</f>
        <v>7.9365079365079361E-3</v>
      </c>
      <c r="I22" s="65">
        <v>12</v>
      </c>
      <c r="K22" s="17">
        <v>20</v>
      </c>
      <c r="L22" s="70">
        <v>7.4999999999999964</v>
      </c>
      <c r="N22" s="86" t="s">
        <v>171</v>
      </c>
      <c r="O22" s="96">
        <f>IF(P22=0,0,Q22/P22)</f>
        <v>-11.2125</v>
      </c>
      <c r="P22" s="90">
        <v>16</v>
      </c>
      <c r="Q22" s="78">
        <v>-179.4</v>
      </c>
    </row>
    <row r="23" spans="1:17" x14ac:dyDescent="0.4">
      <c r="A23" s="32" t="s">
        <v>5</v>
      </c>
      <c r="B23" s="29">
        <f>IF(B$17=0,0,C23/B$17)</f>
        <v>9408.4507042253517</v>
      </c>
      <c r="C23" s="20">
        <v>2004000</v>
      </c>
      <c r="E23" s="40" t="s">
        <v>94</v>
      </c>
      <c r="F23" s="37" t="s">
        <v>49</v>
      </c>
      <c r="G23" s="25">
        <v>1</v>
      </c>
      <c r="H23" s="104">
        <f>IF(B$31=0,0,G23/B$31)</f>
        <v>7.9365079365079361E-3</v>
      </c>
      <c r="I23" s="65">
        <v>1</v>
      </c>
      <c r="K23" s="17">
        <v>21</v>
      </c>
      <c r="L23" s="70">
        <v>69.8</v>
      </c>
      <c r="N23" s="86" t="s">
        <v>162</v>
      </c>
      <c r="O23" s="96">
        <f>IF(P23=0,0,Q23/P23)</f>
        <v>-18.385714285714283</v>
      </c>
      <c r="P23" s="90">
        <v>7</v>
      </c>
      <c r="Q23" s="78">
        <v>-128.69999999999999</v>
      </c>
    </row>
    <row r="24" spans="1:17" x14ac:dyDescent="0.4">
      <c r="A24" s="33" t="s">
        <v>189</v>
      </c>
      <c r="B24" s="111">
        <f>IF($B$17-B$16=0,0,C24/($B$17-B$16))</f>
        <v>9572.2891566265062</v>
      </c>
      <c r="C24" s="112">
        <v>1589000</v>
      </c>
      <c r="E24" s="40" t="s">
        <v>98</v>
      </c>
      <c r="F24" s="37" t="s">
        <v>53</v>
      </c>
      <c r="G24" s="25">
        <v>1</v>
      </c>
      <c r="H24" s="104">
        <f>IF(B$31=0,0,G24/B$31)</f>
        <v>7.9365079365079361E-3</v>
      </c>
      <c r="I24" s="65">
        <v>1</v>
      </c>
      <c r="K24" s="17">
        <v>22</v>
      </c>
      <c r="L24" s="70">
        <v>78.399999999999991</v>
      </c>
      <c r="N24" s="86" t="s">
        <v>186</v>
      </c>
      <c r="O24" s="96">
        <f>IF(P24=0,0,Q24/P24)</f>
        <v>-26.466666666666665</v>
      </c>
      <c r="P24" s="90">
        <v>3</v>
      </c>
      <c r="Q24" s="78">
        <v>-79.399999999999991</v>
      </c>
    </row>
    <row r="25" spans="1:17" x14ac:dyDescent="0.4">
      <c r="A25" s="33" t="s">
        <v>190</v>
      </c>
      <c r="B25" s="111">
        <f>IF(B$16=0,0,C25/B$16)</f>
        <v>8829.7872340425529</v>
      </c>
      <c r="C25" s="112">
        <v>415000</v>
      </c>
      <c r="E25" s="40" t="s">
        <v>77</v>
      </c>
      <c r="F25" s="37" t="s">
        <v>32</v>
      </c>
      <c r="G25" s="25">
        <v>0</v>
      </c>
      <c r="H25" s="104">
        <f>IF(B$31=0,0,G25/B$31)</f>
        <v>0</v>
      </c>
      <c r="I25" s="65">
        <v>1</v>
      </c>
      <c r="K25" s="17">
        <v>23</v>
      </c>
      <c r="L25" s="70">
        <v>95.199999999999989</v>
      </c>
      <c r="N25" s="86" t="s">
        <v>184</v>
      </c>
      <c r="O25" s="96">
        <f>IF(P25=0,0,Q25/P25)</f>
        <v>-81.3</v>
      </c>
      <c r="P25" s="90">
        <v>3</v>
      </c>
      <c r="Q25" s="78">
        <v>-243.89999999999998</v>
      </c>
    </row>
    <row r="26" spans="1:17" x14ac:dyDescent="0.4">
      <c r="A26" s="32" t="s">
        <v>14</v>
      </c>
      <c r="B26" s="29">
        <f>IF(B$20=0,0,C26/B$20)</f>
        <v>-9222.8070175438588</v>
      </c>
      <c r="C26" s="20">
        <v>-1051400</v>
      </c>
      <c r="E26" s="40" t="s">
        <v>78</v>
      </c>
      <c r="F26" s="37" t="s">
        <v>33</v>
      </c>
      <c r="G26" s="25">
        <v>0</v>
      </c>
      <c r="H26" s="104">
        <f>IF(B$31=0,0,G26/B$31)</f>
        <v>0</v>
      </c>
      <c r="I26" s="65">
        <v>9</v>
      </c>
      <c r="K26" s="17">
        <v>24</v>
      </c>
      <c r="L26" s="70">
        <v>51.29999999999999</v>
      </c>
    </row>
    <row r="27" spans="1:17" x14ac:dyDescent="0.4">
      <c r="A27" s="61" t="s">
        <v>139</v>
      </c>
      <c r="B27" s="121">
        <v>7</v>
      </c>
      <c r="C27" s="122"/>
      <c r="E27" s="40" t="s">
        <v>81</v>
      </c>
      <c r="F27" s="37" t="s">
        <v>36</v>
      </c>
      <c r="G27" s="25">
        <v>0</v>
      </c>
      <c r="H27" s="104">
        <f>IF(B$31=0,0,G27/B$31)</f>
        <v>0</v>
      </c>
      <c r="I27" s="65">
        <v>3</v>
      </c>
      <c r="K27" s="17">
        <v>25</v>
      </c>
      <c r="L27" s="70">
        <v>60.79999999999999</v>
      </c>
    </row>
    <row r="28" spans="1:17" x14ac:dyDescent="0.4">
      <c r="A28" s="35" t="s">
        <v>146</v>
      </c>
      <c r="B28" s="119">
        <v>118000</v>
      </c>
      <c r="C28" s="120"/>
      <c r="E28" s="40" t="s">
        <v>83</v>
      </c>
      <c r="F28" s="37" t="s">
        <v>38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143.79999999999998</v>
      </c>
    </row>
    <row r="29" spans="1:17" x14ac:dyDescent="0.4">
      <c r="A29" s="34" t="s">
        <v>140</v>
      </c>
      <c r="B29" s="42">
        <v>1</v>
      </c>
      <c r="C29" s="21">
        <f>IF(B$3=0,0,B29/B$3)</f>
        <v>1.5267175572519084E-3</v>
      </c>
      <c r="E29" s="40" t="s">
        <v>85</v>
      </c>
      <c r="F29" s="37" t="s">
        <v>40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164.79999999999998</v>
      </c>
    </row>
    <row r="30" spans="1:17" x14ac:dyDescent="0.4">
      <c r="A30" s="31" t="s">
        <v>179</v>
      </c>
      <c r="B30" s="115">
        <v>417</v>
      </c>
      <c r="C30" s="116"/>
      <c r="E30" s="40" t="s">
        <v>86</v>
      </c>
      <c r="F30" s="37" t="s">
        <v>41</v>
      </c>
      <c r="G30" s="25">
        <v>0</v>
      </c>
      <c r="H30" s="104">
        <f>IF(B$31=0,0,G30/B$31)</f>
        <v>0</v>
      </c>
      <c r="I30" s="65">
        <v>8</v>
      </c>
      <c r="K30" s="17">
        <v>28</v>
      </c>
      <c r="L30" s="70">
        <v>177.7</v>
      </c>
    </row>
    <row r="31" spans="1:17" x14ac:dyDescent="0.4">
      <c r="A31" s="34" t="s">
        <v>180</v>
      </c>
      <c r="B31" s="117">
        <v>126</v>
      </c>
      <c r="C31" s="118"/>
      <c r="E31" s="40" t="s">
        <v>88</v>
      </c>
      <c r="F31" s="37" t="s">
        <v>43</v>
      </c>
      <c r="G31" s="25">
        <v>0</v>
      </c>
      <c r="H31" s="104">
        <f>IF(B$31=0,0,G31/B$31)</f>
        <v>0</v>
      </c>
      <c r="I31" s="65">
        <v>8</v>
      </c>
      <c r="K31" s="17">
        <v>29</v>
      </c>
      <c r="L31" s="70">
        <v>208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201.5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189.9</v>
      </c>
    </row>
    <row r="34" spans="5:12" x14ac:dyDescent="0.4">
      <c r="E34" s="40" t="s">
        <v>93</v>
      </c>
      <c r="F34" s="37" t="s">
        <v>48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207.4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248.4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237.9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191.9</v>
      </c>
    </row>
    <row r="38" spans="5:12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239</v>
      </c>
    </row>
    <row r="39" spans="5:12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253.8</v>
      </c>
    </row>
    <row r="40" spans="5:12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235.60000000000002</v>
      </c>
    </row>
    <row r="41" spans="5:12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  <c r="K41" s="17">
        <v>39</v>
      </c>
      <c r="L41" s="70">
        <v>236.00000000000003</v>
      </c>
    </row>
    <row r="42" spans="5:12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239.10000000000002</v>
      </c>
    </row>
    <row r="43" spans="5:12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237.10000000000002</v>
      </c>
    </row>
    <row r="44" spans="5:12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258.3</v>
      </c>
    </row>
    <row r="45" spans="5:12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291.10000000000002</v>
      </c>
    </row>
    <row r="46" spans="5:12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  <c r="K46" s="17">
        <v>44</v>
      </c>
      <c r="L46" s="70">
        <v>282.3</v>
      </c>
    </row>
    <row r="47" spans="5:12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251.10000000000002</v>
      </c>
    </row>
    <row r="48" spans="5:12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215.60000000000002</v>
      </c>
    </row>
    <row r="49" spans="5:12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194.90000000000003</v>
      </c>
    </row>
    <row r="50" spans="5:12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216.70000000000005</v>
      </c>
    </row>
    <row r="51" spans="5:12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213.90000000000003</v>
      </c>
    </row>
    <row r="52" spans="5:12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  <c r="K52" s="17">
        <v>50</v>
      </c>
      <c r="L52" s="70">
        <v>213.90000000000003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292.60000000000002</v>
      </c>
    </row>
    <row r="54" spans="5:12" x14ac:dyDescent="0.4">
      <c r="K54" s="17">
        <v>52</v>
      </c>
      <c r="L54" s="70">
        <v>319.10000000000002</v>
      </c>
    </row>
    <row r="55" spans="5:12" x14ac:dyDescent="0.4">
      <c r="K55" s="17">
        <v>53</v>
      </c>
      <c r="L55" s="70">
        <v>268.60000000000002</v>
      </c>
    </row>
    <row r="56" spans="5:12" x14ac:dyDescent="0.4">
      <c r="K56" s="17">
        <v>54</v>
      </c>
      <c r="L56" s="70">
        <v>253.50000000000003</v>
      </c>
    </row>
    <row r="57" spans="5:12" x14ac:dyDescent="0.4">
      <c r="K57" s="17">
        <v>55</v>
      </c>
      <c r="L57" s="70">
        <v>269.40000000000003</v>
      </c>
    </row>
    <row r="58" spans="5:12" x14ac:dyDescent="0.4">
      <c r="K58" s="17">
        <v>56</v>
      </c>
      <c r="L58" s="70">
        <v>273.8</v>
      </c>
    </row>
    <row r="59" spans="5:12" x14ac:dyDescent="0.4">
      <c r="K59" s="17">
        <v>57</v>
      </c>
      <c r="L59" s="70">
        <v>260.3</v>
      </c>
    </row>
    <row r="60" spans="5:12" x14ac:dyDescent="0.4">
      <c r="K60" s="17">
        <v>58</v>
      </c>
      <c r="L60" s="70">
        <v>293.3</v>
      </c>
    </row>
    <row r="61" spans="5:12" x14ac:dyDescent="0.4">
      <c r="K61" s="17">
        <v>59</v>
      </c>
      <c r="L61" s="70">
        <v>283.3</v>
      </c>
    </row>
    <row r="62" spans="5:12" x14ac:dyDescent="0.4">
      <c r="K62" s="17">
        <v>60</v>
      </c>
      <c r="L62" s="70">
        <v>272.60000000000002</v>
      </c>
    </row>
    <row r="63" spans="5:12" x14ac:dyDescent="0.4">
      <c r="K63" s="17">
        <v>61</v>
      </c>
      <c r="L63" s="70">
        <v>259.20000000000005</v>
      </c>
    </row>
    <row r="64" spans="5:12" x14ac:dyDescent="0.4">
      <c r="K64" s="17">
        <v>62</v>
      </c>
      <c r="L64" s="70">
        <v>252.20000000000005</v>
      </c>
    </row>
    <row r="65" spans="11:12" x14ac:dyDescent="0.4">
      <c r="K65" s="17">
        <v>63</v>
      </c>
      <c r="L65" s="70">
        <v>246.20000000000005</v>
      </c>
    </row>
    <row r="66" spans="11:12" x14ac:dyDescent="0.4">
      <c r="K66" s="17">
        <v>64</v>
      </c>
      <c r="L66" s="70">
        <v>264.90000000000003</v>
      </c>
    </row>
    <row r="67" spans="11:12" x14ac:dyDescent="0.4">
      <c r="K67" s="17">
        <v>65</v>
      </c>
      <c r="L67" s="70">
        <v>270.8</v>
      </c>
    </row>
    <row r="68" spans="11:12" x14ac:dyDescent="0.4">
      <c r="K68" s="17">
        <v>66</v>
      </c>
      <c r="L68" s="70">
        <v>227.10000000000002</v>
      </c>
    </row>
    <row r="69" spans="11:12" x14ac:dyDescent="0.4">
      <c r="K69" s="17">
        <v>67</v>
      </c>
      <c r="L69" s="70">
        <v>194.60000000000002</v>
      </c>
    </row>
    <row r="70" spans="11:12" x14ac:dyDescent="0.4">
      <c r="K70" s="17">
        <v>68</v>
      </c>
      <c r="L70" s="70">
        <v>192.4</v>
      </c>
    </row>
    <row r="71" spans="11:12" x14ac:dyDescent="0.4">
      <c r="K71" s="17">
        <v>69</v>
      </c>
      <c r="L71" s="70">
        <v>221</v>
      </c>
    </row>
    <row r="72" spans="11:12" x14ac:dyDescent="0.4">
      <c r="K72" s="17">
        <v>70</v>
      </c>
      <c r="L72" s="70">
        <v>149.80000000000001</v>
      </c>
    </row>
    <row r="73" spans="11:12" x14ac:dyDescent="0.4">
      <c r="K73" s="17">
        <v>71</v>
      </c>
      <c r="L73" s="70">
        <v>103.80000000000001</v>
      </c>
    </row>
    <row r="74" spans="11:12" x14ac:dyDescent="0.4">
      <c r="K74" s="17">
        <v>72</v>
      </c>
      <c r="L74" s="70">
        <v>52.600000000000023</v>
      </c>
    </row>
    <row r="75" spans="11:12" x14ac:dyDescent="0.4">
      <c r="K75" s="17">
        <v>73</v>
      </c>
      <c r="L75" s="70">
        <v>100.30000000000001</v>
      </c>
    </row>
    <row r="76" spans="11:12" x14ac:dyDescent="0.4">
      <c r="K76" s="17">
        <v>74</v>
      </c>
      <c r="L76" s="70">
        <v>42.700000000000017</v>
      </c>
    </row>
    <row r="77" spans="11:12" x14ac:dyDescent="0.4">
      <c r="K77" s="17">
        <v>75</v>
      </c>
      <c r="L77" s="70">
        <v>73.300000000000011</v>
      </c>
    </row>
    <row r="78" spans="11:12" x14ac:dyDescent="0.4">
      <c r="K78" s="17">
        <v>76</v>
      </c>
      <c r="L78" s="70">
        <v>109.60000000000002</v>
      </c>
    </row>
    <row r="79" spans="11:12" x14ac:dyDescent="0.4">
      <c r="K79" s="17">
        <v>77</v>
      </c>
      <c r="L79" s="70">
        <v>154.20000000000002</v>
      </c>
    </row>
    <row r="80" spans="11:12" x14ac:dyDescent="0.4">
      <c r="K80" s="17">
        <v>78</v>
      </c>
      <c r="L80" s="70">
        <v>126.00000000000003</v>
      </c>
    </row>
    <row r="81" spans="11:12" x14ac:dyDescent="0.4">
      <c r="K81" s="17">
        <v>79</v>
      </c>
      <c r="L81" s="70">
        <v>132.10000000000002</v>
      </c>
    </row>
    <row r="82" spans="11:12" x14ac:dyDescent="0.4">
      <c r="K82" s="17">
        <v>80</v>
      </c>
      <c r="L82" s="70">
        <v>186.40000000000003</v>
      </c>
    </row>
    <row r="83" spans="11:12" x14ac:dyDescent="0.4">
      <c r="K83" s="17">
        <v>81</v>
      </c>
      <c r="L83" s="70">
        <v>131.00000000000003</v>
      </c>
    </row>
    <row r="84" spans="11:12" x14ac:dyDescent="0.4">
      <c r="K84" s="17">
        <v>82</v>
      </c>
      <c r="L84" s="70">
        <v>67.300000000000011</v>
      </c>
    </row>
    <row r="85" spans="11:12" x14ac:dyDescent="0.4">
      <c r="K85" s="17">
        <v>83</v>
      </c>
      <c r="L85" s="70">
        <v>144.30000000000001</v>
      </c>
    </row>
    <row r="86" spans="11:12" x14ac:dyDescent="0.4">
      <c r="K86" s="17">
        <v>84</v>
      </c>
      <c r="L86" s="70">
        <v>203.20000000000002</v>
      </c>
    </row>
    <row r="87" spans="11:12" x14ac:dyDescent="0.4">
      <c r="K87" s="17">
        <v>85</v>
      </c>
      <c r="L87" s="70">
        <v>146.70000000000002</v>
      </c>
    </row>
    <row r="88" spans="11:12" x14ac:dyDescent="0.4">
      <c r="K88" s="17">
        <v>86</v>
      </c>
      <c r="L88" s="70">
        <v>81.600000000000023</v>
      </c>
    </row>
    <row r="89" spans="11:12" x14ac:dyDescent="0.4">
      <c r="K89" s="17">
        <v>87</v>
      </c>
      <c r="L89" s="70">
        <v>6.4000000000000341</v>
      </c>
    </row>
    <row r="90" spans="11:12" x14ac:dyDescent="0.4">
      <c r="K90" s="17">
        <v>88</v>
      </c>
      <c r="L90" s="70">
        <v>17.30000000000004</v>
      </c>
    </row>
    <row r="91" spans="11:12" x14ac:dyDescent="0.4">
      <c r="K91" s="17">
        <v>89</v>
      </c>
      <c r="L91" s="70">
        <v>-29.699999999999989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43664-3AEA-481D-8447-E5F7A552628C}">
  <sheetPr codeName="Sheet9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182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5</v>
      </c>
      <c r="C2" s="116"/>
      <c r="E2" s="39" t="s">
        <v>65</v>
      </c>
      <c r="F2" s="36" t="s">
        <v>21</v>
      </c>
      <c r="G2" s="24">
        <v>6</v>
      </c>
      <c r="H2" s="103">
        <f>IF(B$31=0,0,G2/B$31)</f>
        <v>0.66666666666666663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-2740</v>
      </c>
      <c r="P2" s="89">
        <v>5</v>
      </c>
      <c r="Q2" s="73">
        <v>-13700</v>
      </c>
    </row>
    <row r="3" spans="1:17" x14ac:dyDescent="0.4">
      <c r="A3" s="32" t="s">
        <v>8</v>
      </c>
      <c r="B3" s="127">
        <v>37</v>
      </c>
      <c r="C3" s="128"/>
      <c r="E3" s="40" t="s">
        <v>177</v>
      </c>
      <c r="F3" s="37" t="s">
        <v>178</v>
      </c>
      <c r="G3" s="25">
        <v>6</v>
      </c>
      <c r="H3" s="104">
        <f>IF(B$31=0,0,G3/B$31)</f>
        <v>0.66666666666666663</v>
      </c>
      <c r="I3" s="65">
        <v>2</v>
      </c>
      <c r="K3" s="17">
        <v>1</v>
      </c>
      <c r="L3" s="70">
        <v>-40.700000000000003</v>
      </c>
      <c r="N3" s="86" t="s">
        <v>130</v>
      </c>
      <c r="O3" s="93">
        <f t="shared" ref="O3:O7" si="0">IF(P3=0,0,Q3/P3)</f>
        <v>1500</v>
      </c>
      <c r="P3" s="90">
        <v>5</v>
      </c>
      <c r="Q3" s="74">
        <v>7500</v>
      </c>
    </row>
    <row r="4" spans="1:17" x14ac:dyDescent="0.4">
      <c r="A4" s="32" t="s">
        <v>6</v>
      </c>
      <c r="B4" s="129">
        <v>-86.4</v>
      </c>
      <c r="C4" s="130"/>
      <c r="E4" s="40" t="s">
        <v>66</v>
      </c>
      <c r="F4" s="37" t="s">
        <v>22</v>
      </c>
      <c r="G4" s="25">
        <v>4</v>
      </c>
      <c r="H4" s="104">
        <f>IF(B$31=0,0,G4/B$31)</f>
        <v>0.44444444444444442</v>
      </c>
      <c r="I4" s="65">
        <v>1</v>
      </c>
      <c r="K4" s="17">
        <v>2</v>
      </c>
      <c r="L4" s="70">
        <v>-81.7</v>
      </c>
      <c r="N4" s="86" t="s">
        <v>131</v>
      </c>
      <c r="O4" s="93">
        <f t="shared" si="0"/>
        <v>-11250</v>
      </c>
      <c r="P4" s="90">
        <v>4</v>
      </c>
      <c r="Q4" s="74">
        <v>-45000</v>
      </c>
    </row>
    <row r="5" spans="1:17" x14ac:dyDescent="0.4">
      <c r="A5" s="32" t="s">
        <v>7</v>
      </c>
      <c r="B5" s="131">
        <f>IF(B$2=0,0,B$4/B$2)</f>
        <v>-17.28</v>
      </c>
      <c r="C5" s="132"/>
      <c r="E5" s="40" t="s">
        <v>73</v>
      </c>
      <c r="F5" s="37" t="s">
        <v>28</v>
      </c>
      <c r="G5" s="25">
        <v>4</v>
      </c>
      <c r="H5" s="104">
        <f>IF(B$31=0,0,G5/B$31)</f>
        <v>0.44444444444444442</v>
      </c>
      <c r="I5" s="65">
        <v>16</v>
      </c>
      <c r="K5" s="17">
        <v>3</v>
      </c>
      <c r="L5" s="70">
        <v>-88.9</v>
      </c>
      <c r="N5" s="86" t="s">
        <v>132</v>
      </c>
      <c r="O5" s="93">
        <f t="shared" si="0"/>
        <v>-12000</v>
      </c>
      <c r="P5" s="90">
        <v>3</v>
      </c>
      <c r="Q5" s="74">
        <v>-36000</v>
      </c>
    </row>
    <row r="6" spans="1:17" x14ac:dyDescent="0.4">
      <c r="A6" s="32" t="s">
        <v>1</v>
      </c>
      <c r="B6" s="123">
        <f>IF(B$2=0,0,(B$7*1+B$8*2+B$9*3)/B$2)</f>
        <v>2.2000000000000002</v>
      </c>
      <c r="C6" s="124"/>
      <c r="E6" s="40" t="s">
        <v>69</v>
      </c>
      <c r="F6" s="37" t="s">
        <v>12</v>
      </c>
      <c r="G6" s="25">
        <v>3</v>
      </c>
      <c r="H6" s="104">
        <f>IF(B$31=0,0,G6/B$31)</f>
        <v>0.33333333333333331</v>
      </c>
      <c r="I6" s="65">
        <v>5</v>
      </c>
      <c r="K6" s="17">
        <v>4</v>
      </c>
      <c r="L6" s="70">
        <v>-109.2</v>
      </c>
      <c r="N6" s="86" t="s">
        <v>133</v>
      </c>
      <c r="O6" s="93">
        <f t="shared" si="0"/>
        <v>5400</v>
      </c>
      <c r="P6" s="90">
        <v>2</v>
      </c>
      <c r="Q6" s="74">
        <v>10800</v>
      </c>
    </row>
    <row r="7" spans="1:17" x14ac:dyDescent="0.4">
      <c r="A7" s="32" t="s">
        <v>2</v>
      </c>
      <c r="B7" s="25">
        <v>1</v>
      </c>
      <c r="C7" s="18">
        <f>IF(B$2=0,0,B7/B$2)</f>
        <v>0.2</v>
      </c>
      <c r="E7" s="40" t="s">
        <v>68</v>
      </c>
      <c r="F7" s="37" t="s">
        <v>24</v>
      </c>
      <c r="G7" s="25">
        <v>2</v>
      </c>
      <c r="H7" s="104">
        <f>IF(B$31=0,0,G7/B$31)</f>
        <v>0.22222222222222221</v>
      </c>
      <c r="I7" s="65">
        <v>14</v>
      </c>
      <c r="K7" s="17">
        <v>5</v>
      </c>
      <c r="L7" s="70">
        <v>-86.4</v>
      </c>
      <c r="N7" s="87" t="s">
        <v>134</v>
      </c>
      <c r="O7" s="94">
        <f t="shared" si="0"/>
        <v>-5000</v>
      </c>
      <c r="P7" s="91">
        <v>2</v>
      </c>
      <c r="Q7" s="75">
        <v>-10000</v>
      </c>
    </row>
    <row r="8" spans="1:17" x14ac:dyDescent="0.4">
      <c r="A8" s="32" t="s">
        <v>3</v>
      </c>
      <c r="B8" s="25">
        <v>2</v>
      </c>
      <c r="C8" s="18">
        <f>IF(B$2=0,0,B8/B$2)</f>
        <v>0.4</v>
      </c>
      <c r="E8" s="40" t="s">
        <v>80</v>
      </c>
      <c r="F8" s="37" t="s">
        <v>35</v>
      </c>
      <c r="G8" s="25">
        <v>2</v>
      </c>
      <c r="H8" s="104">
        <f>IF(B$31=0,0,G8/B$31)</f>
        <v>0.22222222222222221</v>
      </c>
      <c r="I8" s="65">
        <v>1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0.4</v>
      </c>
      <c r="E9" s="40" t="s">
        <v>67</v>
      </c>
      <c r="F9" s="37" t="s">
        <v>23</v>
      </c>
      <c r="G9" s="25">
        <v>1</v>
      </c>
      <c r="H9" s="104">
        <f>IF(B$31=0,0,G9/B$31)</f>
        <v>0.1111111111111111</v>
      </c>
      <c r="I9" s="65">
        <v>17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</v>
      </c>
      <c r="C10" s="19">
        <f>IF(B$2=0,0,B10/B$2)</f>
        <v>0.4</v>
      </c>
      <c r="E10" s="40" t="s">
        <v>70</v>
      </c>
      <c r="F10" s="37" t="s">
        <v>25</v>
      </c>
      <c r="G10" s="25">
        <v>1</v>
      </c>
      <c r="H10" s="104">
        <f>IF(B$31=0,0,G10/B$31)</f>
        <v>0.1111111111111111</v>
      </c>
      <c r="I10" s="65">
        <v>13</v>
      </c>
      <c r="N10" s="85" t="s">
        <v>158</v>
      </c>
      <c r="O10" s="95">
        <f>IF(P10=0,0,Q10/P10)</f>
        <v>-24.1</v>
      </c>
      <c r="P10" s="89">
        <v>2</v>
      </c>
      <c r="Q10" s="77">
        <v>-48.2</v>
      </c>
    </row>
    <row r="11" spans="1:17" x14ac:dyDescent="0.4">
      <c r="A11" s="33" t="s">
        <v>137</v>
      </c>
      <c r="B11" s="26">
        <v>1</v>
      </c>
      <c r="C11" s="19">
        <f>IF(B$2=0,0,B11/B$2)</f>
        <v>0.2</v>
      </c>
      <c r="E11" s="40" t="s">
        <v>87</v>
      </c>
      <c r="F11" s="37" t="s">
        <v>42</v>
      </c>
      <c r="G11" s="25">
        <v>1</v>
      </c>
      <c r="H11" s="104">
        <f>IF(B$31=0,0,G11/B$31)</f>
        <v>0.1111111111111111</v>
      </c>
      <c r="I11" s="65">
        <v>3</v>
      </c>
      <c r="N11" s="86" t="s">
        <v>159</v>
      </c>
      <c r="O11" s="96">
        <f>IF(P11=0,0,Q11/P11)</f>
        <v>-12.733333333333334</v>
      </c>
      <c r="P11" s="90">
        <v>3</v>
      </c>
      <c r="Q11" s="78">
        <v>-38.200000000000003</v>
      </c>
    </row>
    <row r="12" spans="1:17" x14ac:dyDescent="0.4">
      <c r="A12" s="34" t="s">
        <v>154</v>
      </c>
      <c r="B12" s="27">
        <v>1</v>
      </c>
      <c r="C12" s="21">
        <f>IF(B$2=0,0,B12/B$2)</f>
        <v>0.2</v>
      </c>
      <c r="E12" s="40" t="s">
        <v>71</v>
      </c>
      <c r="F12" s="37" t="s">
        <v>26</v>
      </c>
      <c r="G12" s="25">
        <v>0</v>
      </c>
      <c r="H12" s="104">
        <f>IF(B$31=0,0,G12/B$31)</f>
        <v>0</v>
      </c>
      <c r="I12" s="65">
        <v>14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8</v>
      </c>
      <c r="C13" s="23">
        <f>IF(B$30=0,0,B13/B$30)</f>
        <v>0.25806451612903225</v>
      </c>
      <c r="E13" s="40" t="s">
        <v>72</v>
      </c>
      <c r="F13" s="37" t="s">
        <v>27</v>
      </c>
      <c r="G13" s="25">
        <v>0</v>
      </c>
      <c r="H13" s="104">
        <f>IF(B$31=0,0,G13/B$31)</f>
        <v>0</v>
      </c>
      <c r="I13" s="65">
        <v>15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</v>
      </c>
      <c r="C14" s="18">
        <f>IF(B$30=0,0,B14/B$30)</f>
        <v>0.16129032258064516</v>
      </c>
      <c r="E14" s="40" t="s">
        <v>74</v>
      </c>
      <c r="F14" s="37" t="s">
        <v>29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</v>
      </c>
      <c r="C15" s="16">
        <f>IF(B$13=0,0,B15/B$13)</f>
        <v>0.75</v>
      </c>
      <c r="E15" s="40" t="s">
        <v>75</v>
      </c>
      <c r="F15" s="37" t="s">
        <v>30</v>
      </c>
      <c r="G15" s="25">
        <v>0</v>
      </c>
      <c r="H15" s="104">
        <f>IF(B$31=0,0,G15/B$31)</f>
        <v>0</v>
      </c>
      <c r="I15" s="65">
        <v>10</v>
      </c>
      <c r="N15" s="85" t="s">
        <v>171</v>
      </c>
      <c r="O15" s="95">
        <f>IF(P15=0,0,Q15/P15)</f>
        <v>17.200000000000003</v>
      </c>
      <c r="P15" s="89">
        <v>2</v>
      </c>
      <c r="Q15" s="77">
        <v>34.400000000000006</v>
      </c>
    </row>
    <row r="16" spans="1:17" x14ac:dyDescent="0.4">
      <c r="A16" s="31" t="s">
        <v>125</v>
      </c>
      <c r="B16" s="24">
        <v>1</v>
      </c>
      <c r="C16" s="16">
        <f>IF(B$14=0,0,B16/B$14)</f>
        <v>0.2</v>
      </c>
      <c r="E16" s="40" t="s">
        <v>76</v>
      </c>
      <c r="F16" s="37" t="s">
        <v>31</v>
      </c>
      <c r="G16" s="25">
        <v>0</v>
      </c>
      <c r="H16" s="104">
        <f>IF(B$31=0,0,G16/B$31)</f>
        <v>0</v>
      </c>
      <c r="I16" s="65">
        <v>10</v>
      </c>
      <c r="N16" s="86" t="s">
        <v>172</v>
      </c>
      <c r="O16" s="96">
        <f>IF(P16=0,0,Q16/P16)</f>
        <v>-13.45</v>
      </c>
      <c r="P16" s="90">
        <v>2</v>
      </c>
      <c r="Q16" s="78">
        <v>-26.9</v>
      </c>
    </row>
    <row r="17" spans="1:17" x14ac:dyDescent="0.4">
      <c r="A17" s="31" t="s">
        <v>10</v>
      </c>
      <c r="B17" s="24">
        <f>B19+B18</f>
        <v>10</v>
      </c>
      <c r="C17" s="16">
        <f>IF(B$3=0,0,B17/B$3)</f>
        <v>0.27027027027027029</v>
      </c>
      <c r="E17" s="40" t="s">
        <v>77</v>
      </c>
      <c r="F17" s="37" t="s">
        <v>32</v>
      </c>
      <c r="G17" s="25">
        <v>0</v>
      </c>
      <c r="H17" s="104">
        <f>IF(B$31=0,0,G17/B$31)</f>
        <v>0</v>
      </c>
      <c r="I17" s="65">
        <v>1</v>
      </c>
      <c r="N17" s="86" t="s">
        <v>185</v>
      </c>
      <c r="O17" s="96">
        <f>IF(P17=0,0,Q17/P17)</f>
        <v>-21.200000000000003</v>
      </c>
      <c r="P17" s="90">
        <v>3</v>
      </c>
      <c r="Q17" s="78">
        <v>-63.600000000000009</v>
      </c>
    </row>
    <row r="18" spans="1:17" x14ac:dyDescent="0.4">
      <c r="A18" s="32" t="s">
        <v>12</v>
      </c>
      <c r="B18" s="25">
        <v>3</v>
      </c>
      <c r="C18" s="18">
        <f>IF(B$17=0,0,B18/B$17)</f>
        <v>0.3</v>
      </c>
      <c r="E18" s="40" t="s">
        <v>78</v>
      </c>
      <c r="F18" s="37" t="s">
        <v>33</v>
      </c>
      <c r="G18" s="25">
        <v>0</v>
      </c>
      <c r="H18" s="104">
        <f>IF(B$31=0,0,G18/B$31)</f>
        <v>0</v>
      </c>
      <c r="I18" s="65">
        <v>9</v>
      </c>
      <c r="N18" s="86" t="s">
        <v>186</v>
      </c>
      <c r="O18" s="96">
        <f>IF(P18=0,0,Q18/P18)</f>
        <v>-38.6</v>
      </c>
      <c r="P18" s="90">
        <v>2</v>
      </c>
      <c r="Q18" s="78">
        <v>-77.2</v>
      </c>
    </row>
    <row r="19" spans="1:17" x14ac:dyDescent="0.4">
      <c r="A19" s="32" t="s">
        <v>11</v>
      </c>
      <c r="B19" s="25">
        <v>7</v>
      </c>
      <c r="C19" s="18">
        <f>IF(B$17=0,0,B19/B$17)</f>
        <v>0.7</v>
      </c>
      <c r="E19" s="40" t="s">
        <v>79</v>
      </c>
      <c r="F19" s="37" t="s">
        <v>34</v>
      </c>
      <c r="G19" s="25">
        <v>0</v>
      </c>
      <c r="H19" s="104">
        <f>IF(B$31=0,0,G19/B$31)</f>
        <v>0</v>
      </c>
      <c r="I19" s="65">
        <v>13</v>
      </c>
      <c r="N19" s="86" t="s">
        <v>127</v>
      </c>
      <c r="O19" s="96">
        <f>IF(P19=0,0,Q19/P19)</f>
        <v>-125.9</v>
      </c>
      <c r="P19" s="90">
        <v>1</v>
      </c>
      <c r="Q19" s="78">
        <v>-125.9</v>
      </c>
    </row>
    <row r="20" spans="1:17" x14ac:dyDescent="0.4">
      <c r="A20" s="32" t="s">
        <v>13</v>
      </c>
      <c r="B20" s="25">
        <v>8</v>
      </c>
      <c r="C20" s="18">
        <f>IF(B$3=0,0,B20/B$3)</f>
        <v>0.21621621621621623</v>
      </c>
      <c r="E20" s="40" t="s">
        <v>81</v>
      </c>
      <c r="F20" s="37" t="s">
        <v>36</v>
      </c>
      <c r="G20" s="25">
        <v>0</v>
      </c>
      <c r="H20" s="104">
        <f>IF(B$31=0,0,G20/B$31)</f>
        <v>0</v>
      </c>
      <c r="I20" s="65">
        <v>3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82</v>
      </c>
      <c r="F21" s="37" t="s">
        <v>37</v>
      </c>
      <c r="G21" s="25">
        <v>0</v>
      </c>
      <c r="H21" s="104">
        <f>IF(B$31=0,0,G21/B$31)</f>
        <v>0</v>
      </c>
      <c r="I21" s="65">
        <v>14</v>
      </c>
    </row>
    <row r="22" spans="1:17" x14ac:dyDescent="0.4">
      <c r="A22" s="32" t="s">
        <v>166</v>
      </c>
      <c r="B22" s="25">
        <v>10</v>
      </c>
      <c r="C22" s="106">
        <v>0</v>
      </c>
      <c r="E22" s="40" t="s">
        <v>83</v>
      </c>
      <c r="F22" s="37" t="s">
        <v>38</v>
      </c>
      <c r="G22" s="25">
        <v>0</v>
      </c>
      <c r="H22" s="104">
        <f>IF(B$31=0,0,G22/B$31)</f>
        <v>0</v>
      </c>
      <c r="I22" s="65">
        <v>1</v>
      </c>
    </row>
    <row r="23" spans="1:17" x14ac:dyDescent="0.4">
      <c r="A23" s="32" t="s">
        <v>5</v>
      </c>
      <c r="B23" s="29">
        <f>IF(B$17=0,0,C23/B$17)</f>
        <v>7100</v>
      </c>
      <c r="C23" s="20">
        <v>71000</v>
      </c>
      <c r="E23" s="40" t="s">
        <v>84</v>
      </c>
      <c r="F23" s="37" t="s">
        <v>39</v>
      </c>
      <c r="G23" s="25">
        <v>0</v>
      </c>
      <c r="H23" s="104">
        <f>IF(B$31=0,0,G23/B$31)</f>
        <v>0</v>
      </c>
      <c r="I23" s="65">
        <v>15</v>
      </c>
    </row>
    <row r="24" spans="1:17" x14ac:dyDescent="0.4">
      <c r="A24" s="33" t="s">
        <v>189</v>
      </c>
      <c r="B24" s="111">
        <f>IF($B$17-B$16=0,0,C24/($B$17-B$16))</f>
        <v>7666.666666666667</v>
      </c>
      <c r="C24" s="112">
        <v>69000</v>
      </c>
      <c r="E24" s="40" t="s">
        <v>85</v>
      </c>
      <c r="F24" s="37" t="s">
        <v>40</v>
      </c>
      <c r="G24" s="25">
        <v>0</v>
      </c>
      <c r="H24" s="104">
        <f>IF(B$31=0,0,G24/B$31)</f>
        <v>0</v>
      </c>
      <c r="I24" s="65">
        <v>6</v>
      </c>
    </row>
    <row r="25" spans="1:17" x14ac:dyDescent="0.4">
      <c r="A25" s="33" t="s">
        <v>190</v>
      </c>
      <c r="B25" s="111">
        <f>IF(B$16=0,0,C25/B$16)</f>
        <v>2000</v>
      </c>
      <c r="C25" s="112">
        <v>2000</v>
      </c>
      <c r="E25" s="40" t="s">
        <v>86</v>
      </c>
      <c r="F25" s="37" t="s">
        <v>41</v>
      </c>
      <c r="G25" s="25">
        <v>0</v>
      </c>
      <c r="H25" s="104">
        <f>IF(B$31=0,0,G25/B$31)</f>
        <v>0</v>
      </c>
      <c r="I25" s="65">
        <v>8</v>
      </c>
    </row>
    <row r="26" spans="1:17" x14ac:dyDescent="0.4">
      <c r="A26" s="32" t="s">
        <v>14</v>
      </c>
      <c r="B26" s="29">
        <f>IF(B$20=0,0,C26/B$20)</f>
        <v>-12487.5</v>
      </c>
      <c r="C26" s="20">
        <v>-99900</v>
      </c>
      <c r="E26" s="40" t="s">
        <v>88</v>
      </c>
      <c r="F26" s="37" t="s">
        <v>43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1">
        <v>3</v>
      </c>
      <c r="C27" s="122"/>
      <c r="E27" s="40" t="s">
        <v>89</v>
      </c>
      <c r="F27" s="37" t="s">
        <v>44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19">
        <v>57800</v>
      </c>
      <c r="C28" s="120"/>
      <c r="E28" s="40" t="s">
        <v>90</v>
      </c>
      <c r="F28" s="37" t="s">
        <v>45</v>
      </c>
      <c r="G28" s="25">
        <v>0</v>
      </c>
      <c r="H28" s="104">
        <f>IF(B$31=0,0,G28/B$31)</f>
        <v>0</v>
      </c>
      <c r="I28" s="65">
        <v>16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5">
        <v>31</v>
      </c>
      <c r="C30" s="116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17">
        <v>9</v>
      </c>
      <c r="C31" s="118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4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02A3E-2054-4872-A5DA-FADB87A388FD}">
  <sheetPr codeName="Sheet10"/>
  <dimension ref="A1:Q220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162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218</v>
      </c>
      <c r="C2" s="116"/>
      <c r="E2" s="39" t="s">
        <v>67</v>
      </c>
      <c r="F2" s="36" t="s">
        <v>23</v>
      </c>
      <c r="G2" s="24">
        <v>320</v>
      </c>
      <c r="H2" s="103">
        <f>IF(B$31=0,0,G2/B$31)</f>
        <v>0.65306122448979587</v>
      </c>
      <c r="I2" s="64">
        <v>10</v>
      </c>
      <c r="K2" s="15">
        <v>0</v>
      </c>
      <c r="L2" s="69">
        <v>0</v>
      </c>
      <c r="N2" s="85" t="s">
        <v>129</v>
      </c>
      <c r="O2" s="92">
        <f>IF(P2=0,0,Q2/P2)</f>
        <v>-264.67889908256882</v>
      </c>
      <c r="P2" s="89">
        <v>218</v>
      </c>
      <c r="Q2" s="73">
        <v>-57700</v>
      </c>
    </row>
    <row r="3" spans="1:17" x14ac:dyDescent="0.4">
      <c r="A3" s="32" t="s">
        <v>8</v>
      </c>
      <c r="B3" s="127">
        <v>1789</v>
      </c>
      <c r="C3" s="128"/>
      <c r="E3" s="40" t="s">
        <v>73</v>
      </c>
      <c r="F3" s="37" t="s">
        <v>28</v>
      </c>
      <c r="G3" s="25">
        <v>276</v>
      </c>
      <c r="H3" s="104">
        <f>IF(B$31=0,0,G3/B$31)</f>
        <v>0.56326530612244896</v>
      </c>
      <c r="I3" s="65">
        <v>8</v>
      </c>
      <c r="K3" s="17">
        <v>1</v>
      </c>
      <c r="L3" s="70">
        <v>68.2</v>
      </c>
      <c r="N3" s="86" t="s">
        <v>130</v>
      </c>
      <c r="O3" s="93">
        <f t="shared" ref="O3:O7" si="0">IF(P3=0,0,Q3/P3)</f>
        <v>-1747.6415094339623</v>
      </c>
      <c r="P3" s="90">
        <v>212</v>
      </c>
      <c r="Q3" s="74">
        <v>-370500</v>
      </c>
    </row>
    <row r="4" spans="1:17" x14ac:dyDescent="0.4">
      <c r="A4" s="32" t="s">
        <v>6</v>
      </c>
      <c r="B4" s="129">
        <v>-926.9</v>
      </c>
      <c r="C4" s="130"/>
      <c r="E4" s="40" t="s">
        <v>65</v>
      </c>
      <c r="F4" s="37" t="s">
        <v>21</v>
      </c>
      <c r="G4" s="25">
        <v>186</v>
      </c>
      <c r="H4" s="104">
        <f>IF(B$31=0,0,G4/B$31)</f>
        <v>0.37959183673469388</v>
      </c>
      <c r="I4" s="65">
        <v>17</v>
      </c>
      <c r="K4" s="17">
        <v>2</v>
      </c>
      <c r="L4" s="70">
        <v>58.5</v>
      </c>
      <c r="N4" s="86" t="s">
        <v>131</v>
      </c>
      <c r="O4" s="93">
        <f t="shared" si="0"/>
        <v>-800.51813471502589</v>
      </c>
      <c r="P4" s="90">
        <v>193</v>
      </c>
      <c r="Q4" s="74">
        <v>-154500</v>
      </c>
    </row>
    <row r="5" spans="1:17" x14ac:dyDescent="0.4">
      <c r="A5" s="32" t="s">
        <v>7</v>
      </c>
      <c r="B5" s="131">
        <f>IF(B$2=0,0,B$4/B$2)</f>
        <v>-4.251834862385321</v>
      </c>
      <c r="C5" s="132"/>
      <c r="E5" s="40" t="s">
        <v>167</v>
      </c>
      <c r="F5" s="37" t="s">
        <v>168</v>
      </c>
      <c r="G5" s="25">
        <v>148</v>
      </c>
      <c r="H5" s="104">
        <f>IF(B$31=0,0,G5/B$31)</f>
        <v>0.30204081632653063</v>
      </c>
      <c r="I5" s="65">
        <v>6</v>
      </c>
      <c r="K5" s="17">
        <v>3</v>
      </c>
      <c r="L5" s="70">
        <v>82.1</v>
      </c>
      <c r="N5" s="86" t="s">
        <v>132</v>
      </c>
      <c r="O5" s="93">
        <f t="shared" si="0"/>
        <v>73.513513513513516</v>
      </c>
      <c r="P5" s="90">
        <v>185</v>
      </c>
      <c r="Q5" s="74">
        <v>13600</v>
      </c>
    </row>
    <row r="6" spans="1:17" x14ac:dyDescent="0.4">
      <c r="A6" s="32" t="s">
        <v>1</v>
      </c>
      <c r="B6" s="123">
        <f>IF(B$2=0,0,(B$7*1+B$8*2+B$9*3)/B$2)</f>
        <v>2.1238532110091741</v>
      </c>
      <c r="C6" s="124"/>
      <c r="E6" s="40" t="s">
        <v>69</v>
      </c>
      <c r="F6" s="37" t="s">
        <v>12</v>
      </c>
      <c r="G6" s="25">
        <v>135</v>
      </c>
      <c r="H6" s="104">
        <f>IF(B$31=0,0,G6/B$31)</f>
        <v>0.27551020408163263</v>
      </c>
      <c r="I6" s="65">
        <v>13</v>
      </c>
      <c r="K6" s="17">
        <v>4</v>
      </c>
      <c r="L6" s="70">
        <v>57.699999999999996</v>
      </c>
      <c r="N6" s="86" t="s">
        <v>133</v>
      </c>
      <c r="O6" s="93">
        <f t="shared" si="0"/>
        <v>-727.97619047619048</v>
      </c>
      <c r="P6" s="90">
        <v>168</v>
      </c>
      <c r="Q6" s="74">
        <v>-122300</v>
      </c>
    </row>
    <row r="7" spans="1:17" x14ac:dyDescent="0.4">
      <c r="A7" s="32" t="s">
        <v>2</v>
      </c>
      <c r="B7" s="25">
        <v>53</v>
      </c>
      <c r="C7" s="18">
        <f>IF(B$2=0,0,B7/B$2)</f>
        <v>0.24311926605504589</v>
      </c>
      <c r="E7" s="40" t="s">
        <v>177</v>
      </c>
      <c r="F7" s="37" t="s">
        <v>178</v>
      </c>
      <c r="G7" s="25">
        <v>118</v>
      </c>
      <c r="H7" s="104">
        <f>IF(B$31=0,0,G7/B$31)</f>
        <v>0.24081632653061225</v>
      </c>
      <c r="I7" s="65">
        <v>11</v>
      </c>
      <c r="K7" s="17">
        <v>5</v>
      </c>
      <c r="L7" s="70">
        <v>123.69999999999999</v>
      </c>
      <c r="N7" s="87" t="s">
        <v>134</v>
      </c>
      <c r="O7" s="94">
        <f t="shared" si="0"/>
        <v>-1026.4285714285713</v>
      </c>
      <c r="P7" s="91">
        <v>140</v>
      </c>
      <c r="Q7" s="75">
        <v>-143700</v>
      </c>
    </row>
    <row r="8" spans="1:17" x14ac:dyDescent="0.4">
      <c r="A8" s="32" t="s">
        <v>3</v>
      </c>
      <c r="B8" s="25">
        <v>85</v>
      </c>
      <c r="C8" s="18">
        <f>IF(B$2=0,0,B8/B$2)</f>
        <v>0.38990825688073394</v>
      </c>
      <c r="E8" s="40" t="s">
        <v>68</v>
      </c>
      <c r="F8" s="37" t="s">
        <v>24</v>
      </c>
      <c r="G8" s="25">
        <v>80</v>
      </c>
      <c r="H8" s="104">
        <f>IF(B$31=0,0,G8/B$31)</f>
        <v>0.16326530612244897</v>
      </c>
      <c r="I8" s="65">
        <v>16</v>
      </c>
      <c r="K8" s="17">
        <v>6</v>
      </c>
      <c r="L8" s="70">
        <v>125.19999999999999</v>
      </c>
      <c r="N8" s="22"/>
      <c r="O8" s="98"/>
      <c r="P8" s="82"/>
      <c r="Q8" s="80"/>
    </row>
    <row r="9" spans="1:17" x14ac:dyDescent="0.4">
      <c r="A9" s="33" t="s">
        <v>4</v>
      </c>
      <c r="B9" s="26">
        <v>80</v>
      </c>
      <c r="C9" s="19">
        <f t="shared" ref="C9" si="1">IF(B$2=0,0,B9/B$2)</f>
        <v>0.3669724770642202</v>
      </c>
      <c r="E9" s="40" t="s">
        <v>70</v>
      </c>
      <c r="F9" s="37" t="s">
        <v>25</v>
      </c>
      <c r="G9" s="25">
        <v>78</v>
      </c>
      <c r="H9" s="104">
        <f>IF(B$31=0,0,G9/B$31)</f>
        <v>0.15918367346938775</v>
      </c>
      <c r="I9" s="65">
        <v>5</v>
      </c>
      <c r="K9" s="17">
        <v>7</v>
      </c>
      <c r="L9" s="70">
        <v>129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22</v>
      </c>
      <c r="C10" s="19">
        <f>IF(B$2=0,0,B10/B$2)</f>
        <v>0.10091743119266056</v>
      </c>
      <c r="E10" s="40" t="s">
        <v>66</v>
      </c>
      <c r="F10" s="37" t="s">
        <v>22</v>
      </c>
      <c r="G10" s="25">
        <v>58</v>
      </c>
      <c r="H10" s="104">
        <f>IF(B$31=0,0,G10/B$31)</f>
        <v>0.11836734693877551</v>
      </c>
      <c r="I10" s="65">
        <v>5</v>
      </c>
      <c r="K10" s="17">
        <v>8</v>
      </c>
      <c r="L10" s="70">
        <v>96.5</v>
      </c>
      <c r="N10" s="85" t="s">
        <v>158</v>
      </c>
      <c r="O10" s="95">
        <f>IF(P10=0,0,Q10/P10)</f>
        <v>-5.6292682926829301</v>
      </c>
      <c r="P10" s="89">
        <v>82</v>
      </c>
      <c r="Q10" s="77">
        <v>-461.60000000000025</v>
      </c>
    </row>
    <row r="11" spans="1:17" x14ac:dyDescent="0.4">
      <c r="A11" s="33" t="s">
        <v>137</v>
      </c>
      <c r="B11" s="26">
        <v>21</v>
      </c>
      <c r="C11" s="19">
        <f>IF(B$2=0,0,B11/B$2)</f>
        <v>9.6330275229357804E-2</v>
      </c>
      <c r="E11" s="40" t="s">
        <v>71</v>
      </c>
      <c r="F11" s="37" t="s">
        <v>26</v>
      </c>
      <c r="G11" s="25">
        <v>42</v>
      </c>
      <c r="H11" s="104">
        <f>IF(B$31=0,0,G11/B$31)</f>
        <v>8.5714285714285715E-2</v>
      </c>
      <c r="I11" s="65">
        <v>8</v>
      </c>
      <c r="K11" s="17">
        <v>9</v>
      </c>
      <c r="L11" s="70">
        <v>82.8</v>
      </c>
      <c r="N11" s="86" t="s">
        <v>159</v>
      </c>
      <c r="O11" s="96">
        <f>IF(P11=0,0,Q11/P11)</f>
        <v>-2.9249999999999989</v>
      </c>
      <c r="P11" s="90">
        <v>60</v>
      </c>
      <c r="Q11" s="78">
        <v>-175.49999999999994</v>
      </c>
    </row>
    <row r="12" spans="1:17" x14ac:dyDescent="0.4">
      <c r="A12" s="34" t="s">
        <v>154</v>
      </c>
      <c r="B12" s="27">
        <v>17</v>
      </c>
      <c r="C12" s="21">
        <f>IF(B$2=0,0,B12/B$2)</f>
        <v>7.7981651376146793E-2</v>
      </c>
      <c r="E12" s="40" t="s">
        <v>90</v>
      </c>
      <c r="F12" s="37" t="s">
        <v>45</v>
      </c>
      <c r="G12" s="25">
        <v>39</v>
      </c>
      <c r="H12" s="104">
        <f>IF(B$31=0,0,G12/B$31)</f>
        <v>7.9591836734693874E-2</v>
      </c>
      <c r="I12" s="65">
        <v>14</v>
      </c>
      <c r="K12" s="17">
        <v>10</v>
      </c>
      <c r="L12" s="70">
        <v>110.5</v>
      </c>
      <c r="N12" s="87" t="s">
        <v>160</v>
      </c>
      <c r="O12" s="97">
        <f>IF(P12=0,0,Q12/P12)</f>
        <v>-3.8131578947368423</v>
      </c>
      <c r="P12" s="91">
        <v>76</v>
      </c>
      <c r="Q12" s="79">
        <v>-289.8</v>
      </c>
    </row>
    <row r="13" spans="1:17" x14ac:dyDescent="0.4">
      <c r="A13" s="35" t="s">
        <v>122</v>
      </c>
      <c r="B13" s="28">
        <v>361</v>
      </c>
      <c r="C13" s="23">
        <f>IF(B$30=0,0,B13/B$30)</f>
        <v>0.22436295835922934</v>
      </c>
      <c r="E13" s="40" t="s">
        <v>72</v>
      </c>
      <c r="F13" s="37" t="s">
        <v>27</v>
      </c>
      <c r="G13" s="25">
        <v>38</v>
      </c>
      <c r="H13" s="104">
        <f>IF(B$31=0,0,G13/B$31)</f>
        <v>7.7551020408163265E-2</v>
      </c>
      <c r="I13" s="65">
        <v>4</v>
      </c>
      <c r="K13" s="17">
        <v>11</v>
      </c>
      <c r="L13" s="70">
        <v>71.599999999999994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445</v>
      </c>
      <c r="C14" s="18">
        <f>IF(B$30=0,0,B14/B$30)</f>
        <v>0.27656929770043504</v>
      </c>
      <c r="E14" s="40" t="s">
        <v>84</v>
      </c>
      <c r="F14" s="37" t="s">
        <v>39</v>
      </c>
      <c r="G14" s="25">
        <v>29</v>
      </c>
      <c r="H14" s="104">
        <f>IF(B$31=0,0,G14/B$31)</f>
        <v>5.9183673469387757E-2</v>
      </c>
      <c r="I14" s="65">
        <v>5</v>
      </c>
      <c r="K14" s="17">
        <v>12</v>
      </c>
      <c r="L14" s="70">
        <v>33.599999999999994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189</v>
      </c>
      <c r="C15" s="16">
        <f>IF(B$13=0,0,B15/B$13)</f>
        <v>0.52354570637119113</v>
      </c>
      <c r="E15" s="40" t="s">
        <v>87</v>
      </c>
      <c r="F15" s="37" t="s">
        <v>42</v>
      </c>
      <c r="G15" s="25">
        <v>19</v>
      </c>
      <c r="H15" s="104">
        <f>IF(B$31=0,0,G15/B$31)</f>
        <v>3.8775510204081633E-2</v>
      </c>
      <c r="I15" s="65">
        <v>14</v>
      </c>
      <c r="K15" s="17">
        <v>13</v>
      </c>
      <c r="L15" s="70">
        <v>13.299999999999994</v>
      </c>
      <c r="N15" s="85" t="s">
        <v>185</v>
      </c>
      <c r="O15" s="95">
        <f>IF(P15=0,0,Q15/P15)</f>
        <v>18.385714285714283</v>
      </c>
      <c r="P15" s="89">
        <v>7</v>
      </c>
      <c r="Q15" s="77">
        <v>128.69999999999999</v>
      </c>
    </row>
    <row r="16" spans="1:17" x14ac:dyDescent="0.4">
      <c r="A16" s="31" t="s">
        <v>125</v>
      </c>
      <c r="B16" s="24">
        <v>176</v>
      </c>
      <c r="C16" s="16">
        <f>IF(B$14=0,0,B16/B$14)</f>
        <v>0.39550561797752809</v>
      </c>
      <c r="E16" s="40" t="s">
        <v>82</v>
      </c>
      <c r="F16" s="37" t="s">
        <v>37</v>
      </c>
      <c r="G16" s="25">
        <v>16</v>
      </c>
      <c r="H16" s="104">
        <f>IF(B$31=0,0,G16/B$31)</f>
        <v>3.2653061224489799E-2</v>
      </c>
      <c r="I16" s="65">
        <v>6</v>
      </c>
      <c r="K16" s="17">
        <v>14</v>
      </c>
      <c r="L16" s="70">
        <v>4.7999999999999936</v>
      </c>
      <c r="N16" s="86" t="s">
        <v>128</v>
      </c>
      <c r="O16" s="96">
        <f>IF(P16=0,0,Q16/P16)</f>
        <v>11.148863636363632</v>
      </c>
      <c r="P16" s="90">
        <v>88</v>
      </c>
      <c r="Q16" s="78">
        <v>981.09999999999968</v>
      </c>
    </row>
    <row r="17" spans="1:17" x14ac:dyDescent="0.4">
      <c r="A17" s="31" t="s">
        <v>10</v>
      </c>
      <c r="B17" s="24">
        <f>B19+B18</f>
        <v>541</v>
      </c>
      <c r="C17" s="16">
        <f>IF(B$3=0,0,B17/B$3)</f>
        <v>0.30240357741755169</v>
      </c>
      <c r="E17" s="40" t="s">
        <v>79</v>
      </c>
      <c r="F17" s="37" t="s">
        <v>34</v>
      </c>
      <c r="G17" s="25">
        <v>9</v>
      </c>
      <c r="H17" s="104">
        <f>IF(B$31=0,0,G17/B$31)</f>
        <v>1.8367346938775512E-2</v>
      </c>
      <c r="I17" s="65">
        <v>11</v>
      </c>
      <c r="K17" s="17">
        <v>15</v>
      </c>
      <c r="L17" s="70">
        <v>-33.700000000000003</v>
      </c>
      <c r="N17" s="86" t="s">
        <v>172</v>
      </c>
      <c r="O17" s="96">
        <f>IF(P17=0,0,Q17/P17)</f>
        <v>5.6159090909090894</v>
      </c>
      <c r="P17" s="90">
        <v>44</v>
      </c>
      <c r="Q17" s="78">
        <v>247.09999999999994</v>
      </c>
    </row>
    <row r="18" spans="1:17" x14ac:dyDescent="0.4">
      <c r="A18" s="32" t="s">
        <v>12</v>
      </c>
      <c r="B18" s="25">
        <v>234</v>
      </c>
      <c r="C18" s="18">
        <f>IF(B$17=0,0,B18/B$17)</f>
        <v>0.43253234750462105</v>
      </c>
      <c r="E18" s="40" t="s">
        <v>80</v>
      </c>
      <c r="F18" s="37" t="s">
        <v>35</v>
      </c>
      <c r="G18" s="25">
        <v>6</v>
      </c>
      <c r="H18" s="104">
        <f>IF(B$31=0,0,G18/B$31)</f>
        <v>1.2244897959183673E-2</v>
      </c>
      <c r="I18" s="65">
        <v>11</v>
      </c>
      <c r="K18" s="17">
        <v>16</v>
      </c>
      <c r="L18" s="70">
        <v>-45.300000000000004</v>
      </c>
      <c r="N18" s="86" t="s">
        <v>174</v>
      </c>
      <c r="O18" s="96">
        <f>IF(P18=0,0,Q18/P18)</f>
        <v>0.56470588235293873</v>
      </c>
      <c r="P18" s="90">
        <v>17</v>
      </c>
      <c r="Q18" s="78">
        <v>9.5999999999999588</v>
      </c>
    </row>
    <row r="19" spans="1:17" x14ac:dyDescent="0.4">
      <c r="A19" s="32" t="s">
        <v>11</v>
      </c>
      <c r="B19" s="25">
        <v>307</v>
      </c>
      <c r="C19" s="18">
        <f>IF(B$17=0,0,B19/B$17)</f>
        <v>0.56746765249537889</v>
      </c>
      <c r="E19" s="40" t="s">
        <v>92</v>
      </c>
      <c r="F19" s="37" t="s">
        <v>47</v>
      </c>
      <c r="G19" s="25">
        <v>5</v>
      </c>
      <c r="H19" s="104">
        <f>IF(B$31=0,0,G19/B$31)</f>
        <v>1.020408163265306E-2</v>
      </c>
      <c r="I19" s="65">
        <v>11</v>
      </c>
      <c r="K19" s="17">
        <v>17</v>
      </c>
      <c r="L19" s="70">
        <v>-45.000000000000007</v>
      </c>
      <c r="N19" s="86" t="s">
        <v>171</v>
      </c>
      <c r="O19" s="96">
        <f>IF(P19=0,0,Q19/P19)</f>
        <v>-3.9268292682926829</v>
      </c>
      <c r="P19" s="90">
        <v>41</v>
      </c>
      <c r="Q19" s="78">
        <v>-161</v>
      </c>
    </row>
    <row r="20" spans="1:17" x14ac:dyDescent="0.4">
      <c r="A20" s="32" t="s">
        <v>13</v>
      </c>
      <c r="B20" s="25">
        <v>296</v>
      </c>
      <c r="C20" s="18">
        <f>IF(B$3=0,0,B20/B$3)</f>
        <v>0.16545556176634993</v>
      </c>
      <c r="E20" s="40" t="s">
        <v>78</v>
      </c>
      <c r="F20" s="37" t="s">
        <v>33</v>
      </c>
      <c r="G20" s="25">
        <v>3</v>
      </c>
      <c r="H20" s="104">
        <f>IF(B$31=0,0,G20/B$31)</f>
        <v>6.1224489795918364E-3</v>
      </c>
      <c r="I20" s="65">
        <v>7</v>
      </c>
      <c r="K20" s="17">
        <v>18</v>
      </c>
      <c r="L20" s="70">
        <v>-30.300000000000008</v>
      </c>
      <c r="N20" s="86" t="s">
        <v>173</v>
      </c>
      <c r="O20" s="96">
        <f>IF(P20=0,0,Q20/P20)</f>
        <v>-9.5826086956521763</v>
      </c>
      <c r="P20" s="90">
        <v>69</v>
      </c>
      <c r="Q20" s="78">
        <v>-661.20000000000016</v>
      </c>
    </row>
    <row r="21" spans="1:17" x14ac:dyDescent="0.4">
      <c r="A21" s="32" t="s">
        <v>165</v>
      </c>
      <c r="B21" s="25">
        <v>10</v>
      </c>
      <c r="C21" s="106">
        <v>0</v>
      </c>
      <c r="E21" s="40" t="s">
        <v>75</v>
      </c>
      <c r="F21" s="37" t="s">
        <v>30</v>
      </c>
      <c r="G21" s="25">
        <v>2</v>
      </c>
      <c r="H21" s="104">
        <f>IF(B$31=0,0,G21/B$31)</f>
        <v>4.0816326530612249E-3</v>
      </c>
      <c r="I21" s="65">
        <v>6</v>
      </c>
      <c r="K21" s="17">
        <v>19</v>
      </c>
      <c r="L21" s="70">
        <v>17.699999999999992</v>
      </c>
      <c r="N21" s="86" t="s">
        <v>176</v>
      </c>
      <c r="O21" s="96">
        <f>IF(P21=0,0,Q21/P21)</f>
        <v>-16.62857142857143</v>
      </c>
      <c r="P21" s="90">
        <v>7</v>
      </c>
      <c r="Q21" s="78">
        <v>-116.40000000000002</v>
      </c>
    </row>
    <row r="22" spans="1:17" x14ac:dyDescent="0.4">
      <c r="A22" s="32" t="s">
        <v>166</v>
      </c>
      <c r="B22" s="25">
        <v>26</v>
      </c>
      <c r="C22" s="106">
        <v>0</v>
      </c>
      <c r="E22" s="40" t="s">
        <v>76</v>
      </c>
      <c r="F22" s="37" t="s">
        <v>31</v>
      </c>
      <c r="G22" s="25">
        <v>2</v>
      </c>
      <c r="H22" s="104">
        <f>IF(B$31=0,0,G22/B$31)</f>
        <v>4.0816326530612249E-3</v>
      </c>
      <c r="I22" s="65">
        <v>8</v>
      </c>
      <c r="K22" s="17">
        <v>20</v>
      </c>
      <c r="L22" s="70">
        <v>-24.100000000000005</v>
      </c>
      <c r="N22" s="86" t="s">
        <v>127</v>
      </c>
      <c r="O22" s="96">
        <f>IF(P22=0,0,Q22/P22)</f>
        <v>-18.725174825174825</v>
      </c>
      <c r="P22" s="90">
        <v>143</v>
      </c>
      <c r="Q22" s="78">
        <v>-2677.7</v>
      </c>
    </row>
    <row r="23" spans="1:17" x14ac:dyDescent="0.4">
      <c r="A23" s="32" t="s">
        <v>5</v>
      </c>
      <c r="B23" s="29">
        <f>IF(B$17=0,0,C23/B$17)</f>
        <v>7580.5914972273567</v>
      </c>
      <c r="C23" s="20">
        <v>4101100</v>
      </c>
      <c r="E23" s="40" t="s">
        <v>89</v>
      </c>
      <c r="F23" s="37" t="s">
        <v>44</v>
      </c>
      <c r="G23" s="25">
        <v>2</v>
      </c>
      <c r="H23" s="104">
        <f>IF(B$31=0,0,G23/B$31)</f>
        <v>4.0816326530612249E-3</v>
      </c>
      <c r="I23" s="65">
        <v>1</v>
      </c>
      <c r="K23" s="17">
        <v>21</v>
      </c>
      <c r="L23" s="70">
        <v>-29.600000000000005</v>
      </c>
      <c r="N23" s="86" t="s">
        <v>175</v>
      </c>
      <c r="O23" s="96">
        <f>IF(P23=0,0,Q23/P23)</f>
        <v>-25.7</v>
      </c>
      <c r="P23" s="90">
        <v>2</v>
      </c>
      <c r="Q23" s="78">
        <v>-51.4</v>
      </c>
    </row>
    <row r="24" spans="1:17" x14ac:dyDescent="0.4">
      <c r="A24" s="33" t="s">
        <v>189</v>
      </c>
      <c r="B24" s="111">
        <f>IF($B$17-B$16=0,0,C24/($B$17-B$16))</f>
        <v>8255.0684931506858</v>
      </c>
      <c r="C24" s="112">
        <v>3013100</v>
      </c>
      <c r="E24" s="40" t="s">
        <v>74</v>
      </c>
      <c r="F24" s="37" t="s">
        <v>29</v>
      </c>
      <c r="G24" s="25">
        <v>1</v>
      </c>
      <c r="H24" s="104">
        <f>IF(B$31=0,0,G24/B$31)</f>
        <v>2.0408163265306124E-3</v>
      </c>
      <c r="I24" s="65">
        <v>9</v>
      </c>
      <c r="K24" s="17">
        <v>22</v>
      </c>
      <c r="L24" s="70">
        <v>-4.7000000000000064</v>
      </c>
      <c r="N24" s="86" t="s">
        <v>184</v>
      </c>
      <c r="O24" s="96">
        <f>IF(P24=0,0,Q24/P24)</f>
        <v>-26.638888888888889</v>
      </c>
      <c r="P24" s="90">
        <v>18</v>
      </c>
      <c r="Q24" s="78">
        <v>-479.5</v>
      </c>
    </row>
    <row r="25" spans="1:17" x14ac:dyDescent="0.4">
      <c r="A25" s="33" t="s">
        <v>190</v>
      </c>
      <c r="B25" s="111">
        <f>IF(B$16=0,0,C25/B$16)</f>
        <v>6181.818181818182</v>
      </c>
      <c r="C25" s="112">
        <v>1088000</v>
      </c>
      <c r="E25" s="40" t="s">
        <v>88</v>
      </c>
      <c r="F25" s="37" t="s">
        <v>43</v>
      </c>
      <c r="G25" s="25">
        <v>1</v>
      </c>
      <c r="H25" s="104">
        <f>IF(B$31=0,0,G25/B$31)</f>
        <v>2.0408163265306124E-3</v>
      </c>
      <c r="I25" s="65">
        <v>6</v>
      </c>
      <c r="K25" s="17">
        <v>23</v>
      </c>
      <c r="L25" s="70">
        <v>-18.600000000000009</v>
      </c>
    </row>
    <row r="26" spans="1:17" x14ac:dyDescent="0.4">
      <c r="A26" s="32" t="s">
        <v>14</v>
      </c>
      <c r="B26" s="29">
        <f>IF(B$20=0,0,C26/B$20)</f>
        <v>-8580.0675675675684</v>
      </c>
      <c r="C26" s="20">
        <v>-2539700</v>
      </c>
      <c r="E26" s="40" t="s">
        <v>91</v>
      </c>
      <c r="F26" s="37" t="s">
        <v>46</v>
      </c>
      <c r="G26" s="25">
        <v>1</v>
      </c>
      <c r="H26" s="104">
        <f>IF(B$31=0,0,G26/B$31)</f>
        <v>2.0408163265306124E-3</v>
      </c>
      <c r="I26" s="65">
        <v>3</v>
      </c>
      <c r="K26" s="17">
        <v>24</v>
      </c>
      <c r="L26" s="70">
        <v>-26.900000000000009</v>
      </c>
    </row>
    <row r="27" spans="1:17" x14ac:dyDescent="0.4">
      <c r="A27" s="61" t="s">
        <v>139</v>
      </c>
      <c r="B27" s="121">
        <v>7</v>
      </c>
      <c r="C27" s="122"/>
      <c r="E27" s="40" t="s">
        <v>94</v>
      </c>
      <c r="F27" s="37" t="s">
        <v>49</v>
      </c>
      <c r="G27" s="25">
        <v>1</v>
      </c>
      <c r="H27" s="104">
        <f>IF(B$31=0,0,G27/B$31)</f>
        <v>2.0408163265306124E-3</v>
      </c>
      <c r="I27" s="65">
        <v>7</v>
      </c>
      <c r="K27" s="17">
        <v>25</v>
      </c>
      <c r="L27" s="70">
        <v>-37.900000000000006</v>
      </c>
    </row>
    <row r="28" spans="1:17" x14ac:dyDescent="0.4">
      <c r="A28" s="35" t="s">
        <v>146</v>
      </c>
      <c r="B28" s="119">
        <v>103200</v>
      </c>
      <c r="C28" s="120"/>
      <c r="E28" s="40" t="s">
        <v>77</v>
      </c>
      <c r="F28" s="37" t="s">
        <v>32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-59.800000000000004</v>
      </c>
    </row>
    <row r="29" spans="1:17" x14ac:dyDescent="0.4">
      <c r="A29" s="34" t="s">
        <v>140</v>
      </c>
      <c r="B29" s="42">
        <v>5</v>
      </c>
      <c r="C29" s="21">
        <f>IF(B$3=0,0,B29/B$3)</f>
        <v>2.7948574622694241E-3</v>
      </c>
      <c r="E29" s="40" t="s">
        <v>81</v>
      </c>
      <c r="F29" s="37" t="s">
        <v>36</v>
      </c>
      <c r="G29" s="25">
        <v>0</v>
      </c>
      <c r="H29" s="104">
        <f>IF(B$31=0,0,G29/B$31)</f>
        <v>0</v>
      </c>
      <c r="I29" s="65">
        <v>3</v>
      </c>
      <c r="K29" s="17">
        <v>27</v>
      </c>
      <c r="L29" s="70">
        <v>-53.7</v>
      </c>
    </row>
    <row r="30" spans="1:17" x14ac:dyDescent="0.4">
      <c r="A30" s="31" t="s">
        <v>179</v>
      </c>
      <c r="B30" s="115">
        <v>1609</v>
      </c>
      <c r="C30" s="116"/>
      <c r="E30" s="40" t="s">
        <v>83</v>
      </c>
      <c r="F30" s="37" t="s">
        <v>38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-53.1</v>
      </c>
    </row>
    <row r="31" spans="1:17" x14ac:dyDescent="0.4">
      <c r="A31" s="34" t="s">
        <v>180</v>
      </c>
      <c r="B31" s="117">
        <v>490</v>
      </c>
      <c r="C31" s="118"/>
      <c r="E31" s="40" t="s">
        <v>85</v>
      </c>
      <c r="F31" s="37" t="s">
        <v>40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-12.899999999999999</v>
      </c>
    </row>
    <row r="32" spans="1:17" x14ac:dyDescent="0.4">
      <c r="E32" s="40" t="s">
        <v>86</v>
      </c>
      <c r="F32" s="37" t="s">
        <v>41</v>
      </c>
      <c r="G32" s="25">
        <v>0</v>
      </c>
      <c r="H32" s="104">
        <f>IF(B$31=0,0,G32/B$31)</f>
        <v>0</v>
      </c>
      <c r="I32" s="65">
        <v>8</v>
      </c>
      <c r="K32" s="17">
        <v>30</v>
      </c>
      <c r="L32" s="70">
        <v>-48.6</v>
      </c>
    </row>
    <row r="33" spans="5:12" x14ac:dyDescent="0.4">
      <c r="E33" s="40" t="s">
        <v>93</v>
      </c>
      <c r="F33" s="37" t="s">
        <v>48</v>
      </c>
      <c r="G33" s="25">
        <v>0</v>
      </c>
      <c r="H33" s="104">
        <f>IF(B$31=0,0,G33/B$31)</f>
        <v>0</v>
      </c>
      <c r="I33" s="65">
        <v>8</v>
      </c>
      <c r="K33" s="17">
        <v>31</v>
      </c>
      <c r="L33" s="70">
        <v>-64.599999999999994</v>
      </c>
    </row>
    <row r="34" spans="5:12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-70.399999999999991</v>
      </c>
    </row>
    <row r="35" spans="5:12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  <c r="K35" s="17">
        <v>33</v>
      </c>
      <c r="L35" s="70">
        <v>-122.29999999999998</v>
      </c>
    </row>
    <row r="36" spans="5:12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-134.29999999999998</v>
      </c>
    </row>
    <row r="37" spans="5:12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  <c r="K37" s="17">
        <v>35</v>
      </c>
      <c r="L37" s="70">
        <v>-100.89999999999998</v>
      </c>
    </row>
    <row r="38" spans="5:12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-106.49999999999997</v>
      </c>
    </row>
    <row r="39" spans="5:12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-133.49999999999997</v>
      </c>
    </row>
    <row r="40" spans="5:12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-128.29999999999998</v>
      </c>
    </row>
    <row r="41" spans="5:12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  <c r="K41" s="17">
        <v>39</v>
      </c>
      <c r="L41" s="70">
        <v>-135.99999999999997</v>
      </c>
    </row>
    <row r="42" spans="5:12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-150.99999999999997</v>
      </c>
    </row>
    <row r="43" spans="5:12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-201.59999999999997</v>
      </c>
    </row>
    <row r="44" spans="5:12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-196.79999999999995</v>
      </c>
    </row>
    <row r="45" spans="5:12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-242.29999999999995</v>
      </c>
    </row>
    <row r="46" spans="5:12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  <c r="K46" s="17">
        <v>44</v>
      </c>
      <c r="L46" s="70">
        <v>-243.39999999999995</v>
      </c>
    </row>
    <row r="47" spans="5:12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-280.59999999999997</v>
      </c>
    </row>
    <row r="48" spans="5:12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-321.89999999999998</v>
      </c>
    </row>
    <row r="49" spans="5:12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-326.09999999999997</v>
      </c>
    </row>
    <row r="50" spans="5:12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-386.4</v>
      </c>
    </row>
    <row r="51" spans="5:12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-402.29999999999995</v>
      </c>
    </row>
    <row r="52" spans="5:12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  <c r="K52" s="17">
        <v>50</v>
      </c>
      <c r="L52" s="70">
        <v>-396.29999999999995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-417.29999999999995</v>
      </c>
    </row>
    <row r="54" spans="5:12" x14ac:dyDescent="0.4">
      <c r="K54" s="17">
        <v>52</v>
      </c>
      <c r="L54" s="70">
        <v>-421.29999999999995</v>
      </c>
    </row>
    <row r="55" spans="5:12" x14ac:dyDescent="0.4">
      <c r="K55" s="17">
        <v>53</v>
      </c>
      <c r="L55" s="70">
        <v>-451.69999999999993</v>
      </c>
    </row>
    <row r="56" spans="5:12" x14ac:dyDescent="0.4">
      <c r="K56" s="17">
        <v>54</v>
      </c>
      <c r="L56" s="70">
        <v>-445.09999999999991</v>
      </c>
    </row>
    <row r="57" spans="5:12" x14ac:dyDescent="0.4">
      <c r="K57" s="17">
        <v>55</v>
      </c>
      <c r="L57" s="70">
        <v>-465.59999999999991</v>
      </c>
    </row>
    <row r="58" spans="5:12" x14ac:dyDescent="0.4">
      <c r="K58" s="17">
        <v>56</v>
      </c>
      <c r="L58" s="70">
        <v>-502.59999999999991</v>
      </c>
    </row>
    <row r="59" spans="5:12" x14ac:dyDescent="0.4">
      <c r="K59" s="17">
        <v>57</v>
      </c>
      <c r="L59" s="70">
        <v>-533.29999999999995</v>
      </c>
    </row>
    <row r="60" spans="5:12" x14ac:dyDescent="0.4">
      <c r="K60" s="17">
        <v>58</v>
      </c>
      <c r="L60" s="70">
        <v>-573.29999999999995</v>
      </c>
    </row>
    <row r="61" spans="5:12" x14ac:dyDescent="0.4">
      <c r="K61" s="17">
        <v>59</v>
      </c>
      <c r="L61" s="70">
        <v>-550.79999999999995</v>
      </c>
    </row>
    <row r="62" spans="5:12" x14ac:dyDescent="0.4">
      <c r="K62" s="17">
        <v>60</v>
      </c>
      <c r="L62" s="70">
        <v>-535.29999999999995</v>
      </c>
    </row>
    <row r="63" spans="5:12" x14ac:dyDescent="0.4">
      <c r="K63" s="17">
        <v>61</v>
      </c>
      <c r="L63" s="70">
        <v>-492.29999999999995</v>
      </c>
    </row>
    <row r="64" spans="5:12" x14ac:dyDescent="0.4">
      <c r="K64" s="17">
        <v>62</v>
      </c>
      <c r="L64" s="70">
        <v>-511.9</v>
      </c>
    </row>
    <row r="65" spans="11:12" x14ac:dyDescent="0.4">
      <c r="K65" s="17">
        <v>63</v>
      </c>
      <c r="L65" s="70">
        <v>-524.1</v>
      </c>
    </row>
    <row r="66" spans="11:12" x14ac:dyDescent="0.4">
      <c r="K66" s="17">
        <v>64</v>
      </c>
      <c r="L66" s="70">
        <v>-535.9</v>
      </c>
    </row>
    <row r="67" spans="11:12" x14ac:dyDescent="0.4">
      <c r="K67" s="17">
        <v>65</v>
      </c>
      <c r="L67" s="70">
        <v>-494.59999999999997</v>
      </c>
    </row>
    <row r="68" spans="11:12" x14ac:dyDescent="0.4">
      <c r="K68" s="17">
        <v>66</v>
      </c>
      <c r="L68" s="70">
        <v>-483.2</v>
      </c>
    </row>
    <row r="69" spans="11:12" x14ac:dyDescent="0.4">
      <c r="K69" s="17">
        <v>67</v>
      </c>
      <c r="L69" s="70">
        <v>-466.7</v>
      </c>
    </row>
    <row r="70" spans="11:12" x14ac:dyDescent="0.4">
      <c r="K70" s="17">
        <v>68</v>
      </c>
      <c r="L70" s="70">
        <v>-462</v>
      </c>
    </row>
    <row r="71" spans="11:12" x14ac:dyDescent="0.4">
      <c r="K71" s="17">
        <v>69</v>
      </c>
      <c r="L71" s="70">
        <v>-472.6</v>
      </c>
    </row>
    <row r="72" spans="11:12" x14ac:dyDescent="0.4">
      <c r="K72" s="17">
        <v>70</v>
      </c>
      <c r="L72" s="70">
        <v>-466.8</v>
      </c>
    </row>
    <row r="73" spans="11:12" x14ac:dyDescent="0.4">
      <c r="K73" s="17">
        <v>71</v>
      </c>
      <c r="L73" s="70">
        <v>-446.7</v>
      </c>
    </row>
    <row r="74" spans="11:12" x14ac:dyDescent="0.4">
      <c r="K74" s="17">
        <v>72</v>
      </c>
      <c r="L74" s="70">
        <v>-471.8</v>
      </c>
    </row>
    <row r="75" spans="11:12" x14ac:dyDescent="0.4">
      <c r="K75" s="17">
        <v>73</v>
      </c>
      <c r="L75" s="70">
        <v>-486.2</v>
      </c>
    </row>
    <row r="76" spans="11:12" x14ac:dyDescent="0.4">
      <c r="K76" s="17">
        <v>74</v>
      </c>
      <c r="L76" s="70">
        <v>-520.20000000000005</v>
      </c>
    </row>
    <row r="77" spans="11:12" x14ac:dyDescent="0.4">
      <c r="K77" s="17">
        <v>75</v>
      </c>
      <c r="L77" s="70">
        <v>-493.70000000000005</v>
      </c>
    </row>
    <row r="78" spans="11:12" x14ac:dyDescent="0.4">
      <c r="K78" s="17">
        <v>76</v>
      </c>
      <c r="L78" s="70">
        <v>-475.70000000000005</v>
      </c>
    </row>
    <row r="79" spans="11:12" x14ac:dyDescent="0.4">
      <c r="K79" s="17">
        <v>77</v>
      </c>
      <c r="L79" s="70">
        <v>-517.20000000000005</v>
      </c>
    </row>
    <row r="80" spans="11:12" x14ac:dyDescent="0.4">
      <c r="K80" s="17">
        <v>78</v>
      </c>
      <c r="L80" s="70">
        <v>-519</v>
      </c>
    </row>
    <row r="81" spans="11:12" x14ac:dyDescent="0.4">
      <c r="K81" s="17">
        <v>79</v>
      </c>
      <c r="L81" s="70">
        <v>-481</v>
      </c>
    </row>
    <row r="82" spans="11:12" x14ac:dyDescent="0.4">
      <c r="K82" s="17">
        <v>80</v>
      </c>
      <c r="L82" s="70">
        <v>-434.2</v>
      </c>
    </row>
    <row r="83" spans="11:12" x14ac:dyDescent="0.4">
      <c r="K83" s="17">
        <v>81</v>
      </c>
      <c r="L83" s="70">
        <v>-479.2</v>
      </c>
    </row>
    <row r="84" spans="11:12" x14ac:dyDescent="0.4">
      <c r="K84" s="17">
        <v>82</v>
      </c>
      <c r="L84" s="70">
        <v>-517.70000000000005</v>
      </c>
    </row>
    <row r="85" spans="11:12" x14ac:dyDescent="0.4">
      <c r="K85" s="17">
        <v>83</v>
      </c>
      <c r="L85" s="70">
        <v>-521.5</v>
      </c>
    </row>
    <row r="86" spans="11:12" x14ac:dyDescent="0.4">
      <c r="K86" s="17">
        <v>84</v>
      </c>
      <c r="L86" s="70">
        <v>-540.4</v>
      </c>
    </row>
    <row r="87" spans="11:12" x14ac:dyDescent="0.4">
      <c r="K87" s="17">
        <v>85</v>
      </c>
      <c r="L87" s="70">
        <v>-559</v>
      </c>
    </row>
    <row r="88" spans="11:12" x14ac:dyDescent="0.4">
      <c r="K88" s="17">
        <v>86</v>
      </c>
      <c r="L88" s="70">
        <v>-547.9</v>
      </c>
    </row>
    <row r="89" spans="11:12" x14ac:dyDescent="0.4">
      <c r="K89" s="17">
        <v>87</v>
      </c>
      <c r="L89" s="70">
        <v>-566.70000000000005</v>
      </c>
    </row>
    <row r="90" spans="11:12" x14ac:dyDescent="0.4">
      <c r="K90" s="17">
        <v>88</v>
      </c>
      <c r="L90" s="70">
        <v>-557.20000000000005</v>
      </c>
    </row>
    <row r="91" spans="11:12" x14ac:dyDescent="0.4">
      <c r="K91" s="17">
        <v>89</v>
      </c>
      <c r="L91" s="70">
        <v>-524.1</v>
      </c>
    </row>
    <row r="92" spans="11:12" x14ac:dyDescent="0.4">
      <c r="K92" s="17">
        <v>90</v>
      </c>
      <c r="L92" s="70">
        <v>-529.6</v>
      </c>
    </row>
    <row r="93" spans="11:12" x14ac:dyDescent="0.4">
      <c r="K93" s="17">
        <v>91</v>
      </c>
      <c r="L93" s="70">
        <v>-554.70000000000005</v>
      </c>
    </row>
    <row r="94" spans="11:12" x14ac:dyDescent="0.4">
      <c r="K94" s="17">
        <v>92</v>
      </c>
      <c r="L94" s="70">
        <v>-551.20000000000005</v>
      </c>
    </row>
    <row r="95" spans="11:12" x14ac:dyDescent="0.4">
      <c r="K95" s="17">
        <v>93</v>
      </c>
      <c r="L95" s="70">
        <v>-588.5</v>
      </c>
    </row>
    <row r="96" spans="11:12" x14ac:dyDescent="0.4">
      <c r="K96" s="17">
        <v>94</v>
      </c>
      <c r="L96" s="70">
        <v>-615.5</v>
      </c>
    </row>
    <row r="97" spans="11:12" x14ac:dyDescent="0.4">
      <c r="K97" s="17">
        <v>95</v>
      </c>
      <c r="L97" s="70">
        <v>-534.79999999999995</v>
      </c>
    </row>
    <row r="98" spans="11:12" x14ac:dyDescent="0.4">
      <c r="K98" s="17">
        <v>96</v>
      </c>
      <c r="L98" s="70">
        <v>-484.8</v>
      </c>
    </row>
    <row r="99" spans="11:12" x14ac:dyDescent="0.4">
      <c r="K99" s="17">
        <v>97</v>
      </c>
      <c r="L99" s="70">
        <v>-512.9</v>
      </c>
    </row>
    <row r="100" spans="11:12" x14ac:dyDescent="0.4">
      <c r="K100" s="17">
        <v>98</v>
      </c>
      <c r="L100" s="70">
        <v>-562</v>
      </c>
    </row>
    <row r="101" spans="11:12" x14ac:dyDescent="0.4">
      <c r="K101" s="17">
        <v>99</v>
      </c>
      <c r="L101" s="70">
        <v>-571.29999999999995</v>
      </c>
    </row>
    <row r="102" spans="11:12" x14ac:dyDescent="0.4">
      <c r="K102" s="17">
        <v>100</v>
      </c>
      <c r="L102" s="70">
        <v>-639.29999999999995</v>
      </c>
    </row>
    <row r="103" spans="11:12" x14ac:dyDescent="0.4">
      <c r="K103" s="17">
        <v>101</v>
      </c>
      <c r="L103" s="70">
        <v>-646.6</v>
      </c>
    </row>
    <row r="104" spans="11:12" x14ac:dyDescent="0.4">
      <c r="K104" s="17">
        <v>102</v>
      </c>
      <c r="L104" s="70">
        <v>-614.1</v>
      </c>
    </row>
    <row r="105" spans="11:12" x14ac:dyDescent="0.4">
      <c r="K105" s="17">
        <v>103</v>
      </c>
      <c r="L105" s="70">
        <v>-587.20000000000005</v>
      </c>
    </row>
    <row r="106" spans="11:12" x14ac:dyDescent="0.4">
      <c r="K106" s="17">
        <v>104</v>
      </c>
      <c r="L106" s="70">
        <v>-529.79999999999995</v>
      </c>
    </row>
    <row r="107" spans="11:12" x14ac:dyDescent="0.4">
      <c r="K107" s="17">
        <v>105</v>
      </c>
      <c r="L107" s="70">
        <v>-516</v>
      </c>
    </row>
    <row r="108" spans="11:12" x14ac:dyDescent="0.4">
      <c r="K108" s="17">
        <v>106</v>
      </c>
      <c r="L108" s="70">
        <v>-469.1</v>
      </c>
    </row>
    <row r="109" spans="11:12" x14ac:dyDescent="0.4">
      <c r="K109" s="17">
        <v>107</v>
      </c>
      <c r="L109" s="70">
        <v>-504.3</v>
      </c>
    </row>
    <row r="110" spans="11:12" x14ac:dyDescent="0.4">
      <c r="K110" s="17">
        <v>108</v>
      </c>
      <c r="L110" s="70">
        <v>-564.4</v>
      </c>
    </row>
    <row r="111" spans="11:12" x14ac:dyDescent="0.4">
      <c r="K111" s="17">
        <v>109</v>
      </c>
      <c r="L111" s="70">
        <v>-490.1</v>
      </c>
    </row>
    <row r="112" spans="11:12" x14ac:dyDescent="0.4">
      <c r="K112" s="17">
        <v>110</v>
      </c>
      <c r="L112" s="70">
        <v>-528.6</v>
      </c>
    </row>
    <row r="113" spans="11:12" x14ac:dyDescent="0.4">
      <c r="K113" s="17">
        <v>111</v>
      </c>
      <c r="L113" s="70">
        <v>-526.1</v>
      </c>
    </row>
    <row r="114" spans="11:12" x14ac:dyDescent="0.4">
      <c r="K114" s="17">
        <v>112</v>
      </c>
      <c r="L114" s="70">
        <v>-518.6</v>
      </c>
    </row>
    <row r="115" spans="11:12" x14ac:dyDescent="0.4">
      <c r="K115" s="17">
        <v>113</v>
      </c>
      <c r="L115" s="70">
        <v>-550.70000000000005</v>
      </c>
    </row>
    <row r="116" spans="11:12" x14ac:dyDescent="0.4">
      <c r="K116" s="17">
        <v>114</v>
      </c>
      <c r="L116" s="70">
        <v>-468.2</v>
      </c>
    </row>
    <row r="117" spans="11:12" x14ac:dyDescent="0.4">
      <c r="K117" s="17">
        <v>115</v>
      </c>
      <c r="L117" s="70">
        <v>-495.7</v>
      </c>
    </row>
    <row r="118" spans="11:12" x14ac:dyDescent="0.4">
      <c r="K118" s="17">
        <v>116</v>
      </c>
      <c r="L118" s="70">
        <v>-444.6</v>
      </c>
    </row>
    <row r="119" spans="11:12" x14ac:dyDescent="0.4">
      <c r="K119" s="17">
        <v>117</v>
      </c>
      <c r="L119" s="70">
        <v>-482.1</v>
      </c>
    </row>
    <row r="120" spans="11:12" x14ac:dyDescent="0.4">
      <c r="K120" s="17">
        <v>118</v>
      </c>
      <c r="L120" s="70">
        <v>-516.5</v>
      </c>
    </row>
    <row r="121" spans="11:12" x14ac:dyDescent="0.4">
      <c r="K121" s="17">
        <v>119</v>
      </c>
      <c r="L121" s="70">
        <v>-549.20000000000005</v>
      </c>
    </row>
    <row r="122" spans="11:12" x14ac:dyDescent="0.4">
      <c r="K122" s="17">
        <v>120</v>
      </c>
      <c r="L122" s="70">
        <v>-567.29999999999995</v>
      </c>
    </row>
    <row r="123" spans="11:12" x14ac:dyDescent="0.4">
      <c r="K123" s="17">
        <v>121</v>
      </c>
      <c r="L123" s="70">
        <v>-568.70000000000005</v>
      </c>
    </row>
    <row r="124" spans="11:12" x14ac:dyDescent="0.4">
      <c r="K124" s="17">
        <v>122</v>
      </c>
      <c r="L124" s="70">
        <v>-529</v>
      </c>
    </row>
    <row r="125" spans="11:12" x14ac:dyDescent="0.4">
      <c r="K125" s="17">
        <v>123</v>
      </c>
      <c r="L125" s="70">
        <v>-526.9</v>
      </c>
    </row>
    <row r="126" spans="11:12" x14ac:dyDescent="0.4">
      <c r="K126" s="17">
        <v>124</v>
      </c>
      <c r="L126" s="70">
        <v>-496.2</v>
      </c>
    </row>
    <row r="127" spans="11:12" x14ac:dyDescent="0.4">
      <c r="K127" s="17">
        <v>125</v>
      </c>
      <c r="L127" s="70">
        <v>-521.29999999999995</v>
      </c>
    </row>
    <row r="128" spans="11:12" x14ac:dyDescent="0.4">
      <c r="K128" s="17">
        <v>126</v>
      </c>
      <c r="L128" s="70">
        <v>-512.1</v>
      </c>
    </row>
    <row r="129" spans="11:12" x14ac:dyDescent="0.4">
      <c r="K129" s="17">
        <v>127</v>
      </c>
      <c r="L129" s="70">
        <v>-516.70000000000005</v>
      </c>
    </row>
    <row r="130" spans="11:12" x14ac:dyDescent="0.4">
      <c r="K130" s="17">
        <v>128</v>
      </c>
      <c r="L130" s="70">
        <v>-592</v>
      </c>
    </row>
    <row r="131" spans="11:12" x14ac:dyDescent="0.4">
      <c r="K131" s="17">
        <v>129</v>
      </c>
      <c r="L131" s="70">
        <v>-587</v>
      </c>
    </row>
    <row r="132" spans="11:12" x14ac:dyDescent="0.4">
      <c r="K132" s="17">
        <v>130</v>
      </c>
      <c r="L132" s="70">
        <v>-584.29999999999995</v>
      </c>
    </row>
    <row r="133" spans="11:12" x14ac:dyDescent="0.4">
      <c r="K133" s="17">
        <v>131</v>
      </c>
      <c r="L133" s="70">
        <v>-546.1</v>
      </c>
    </row>
    <row r="134" spans="11:12" x14ac:dyDescent="0.4">
      <c r="K134" s="17">
        <v>132</v>
      </c>
      <c r="L134" s="70">
        <v>-513.1</v>
      </c>
    </row>
    <row r="135" spans="11:12" x14ac:dyDescent="0.4">
      <c r="K135" s="17">
        <v>133</v>
      </c>
      <c r="L135" s="70">
        <v>-447.6</v>
      </c>
    </row>
    <row r="136" spans="11:12" x14ac:dyDescent="0.4">
      <c r="K136" s="17">
        <v>134</v>
      </c>
      <c r="L136" s="70">
        <v>-446</v>
      </c>
    </row>
    <row r="137" spans="11:12" x14ac:dyDescent="0.4">
      <c r="K137" s="17">
        <v>135</v>
      </c>
      <c r="L137" s="70">
        <v>-452.7</v>
      </c>
    </row>
    <row r="138" spans="11:12" x14ac:dyDescent="0.4">
      <c r="K138" s="17">
        <v>136</v>
      </c>
      <c r="L138" s="70">
        <v>-445.6</v>
      </c>
    </row>
    <row r="139" spans="11:12" x14ac:dyDescent="0.4">
      <c r="K139" s="17">
        <v>137</v>
      </c>
      <c r="L139" s="70">
        <v>-460.2</v>
      </c>
    </row>
    <row r="140" spans="11:12" x14ac:dyDescent="0.4">
      <c r="K140" s="17">
        <v>138</v>
      </c>
      <c r="L140" s="70">
        <v>-493.8</v>
      </c>
    </row>
    <row r="141" spans="11:12" x14ac:dyDescent="0.4">
      <c r="K141" s="17">
        <v>139</v>
      </c>
      <c r="L141" s="70">
        <v>-503.40000000000003</v>
      </c>
    </row>
    <row r="142" spans="11:12" x14ac:dyDescent="0.4">
      <c r="K142" s="17">
        <v>140</v>
      </c>
      <c r="L142" s="70">
        <v>-524.29999999999995</v>
      </c>
    </row>
    <row r="143" spans="11:12" x14ac:dyDescent="0.4">
      <c r="K143" s="17">
        <v>141</v>
      </c>
      <c r="L143" s="70">
        <v>-567</v>
      </c>
    </row>
    <row r="144" spans="11:12" x14ac:dyDescent="0.4">
      <c r="K144" s="17">
        <v>142</v>
      </c>
      <c r="L144" s="70">
        <v>-565</v>
      </c>
    </row>
    <row r="145" spans="11:12" x14ac:dyDescent="0.4">
      <c r="K145" s="17">
        <v>143</v>
      </c>
      <c r="L145" s="70">
        <v>-559.4</v>
      </c>
    </row>
    <row r="146" spans="11:12" x14ac:dyDescent="0.4">
      <c r="K146" s="17">
        <v>144</v>
      </c>
      <c r="L146" s="70">
        <v>-537</v>
      </c>
    </row>
    <row r="147" spans="11:12" x14ac:dyDescent="0.4">
      <c r="K147" s="17">
        <v>145</v>
      </c>
      <c r="L147" s="70">
        <v>-492</v>
      </c>
    </row>
    <row r="148" spans="11:12" x14ac:dyDescent="0.4">
      <c r="K148" s="17">
        <v>146</v>
      </c>
      <c r="L148" s="70">
        <v>-519.20000000000005</v>
      </c>
    </row>
    <row r="149" spans="11:12" x14ac:dyDescent="0.4">
      <c r="K149" s="17">
        <v>147</v>
      </c>
      <c r="L149" s="70">
        <v>-551</v>
      </c>
    </row>
    <row r="150" spans="11:12" x14ac:dyDescent="0.4">
      <c r="K150" s="17">
        <v>148</v>
      </c>
      <c r="L150" s="70">
        <v>-513.9</v>
      </c>
    </row>
    <row r="151" spans="11:12" x14ac:dyDescent="0.4">
      <c r="K151" s="17">
        <v>149</v>
      </c>
      <c r="L151" s="70">
        <v>-513.1</v>
      </c>
    </row>
    <row r="152" spans="11:12" x14ac:dyDescent="0.4">
      <c r="K152" s="17">
        <v>150</v>
      </c>
      <c r="L152" s="70">
        <v>-520.80000000000007</v>
      </c>
    </row>
    <row r="153" spans="11:12" x14ac:dyDescent="0.4">
      <c r="K153" s="17">
        <v>151</v>
      </c>
      <c r="L153" s="70">
        <v>-564.4</v>
      </c>
    </row>
    <row r="154" spans="11:12" x14ac:dyDescent="0.4">
      <c r="K154" s="17">
        <v>152</v>
      </c>
      <c r="L154" s="70">
        <v>-557.1</v>
      </c>
    </row>
    <row r="155" spans="11:12" x14ac:dyDescent="0.4">
      <c r="K155" s="17">
        <v>153</v>
      </c>
      <c r="L155" s="70">
        <v>-598.5</v>
      </c>
    </row>
    <row r="156" spans="11:12" x14ac:dyDescent="0.4">
      <c r="K156" s="17">
        <v>154</v>
      </c>
      <c r="L156" s="70">
        <v>-566.6</v>
      </c>
    </row>
    <row r="157" spans="11:12" x14ac:dyDescent="0.4">
      <c r="K157" s="17">
        <v>155</v>
      </c>
      <c r="L157" s="70">
        <v>-591</v>
      </c>
    </row>
    <row r="158" spans="11:12" x14ac:dyDescent="0.4">
      <c r="K158" s="17">
        <v>156</v>
      </c>
      <c r="L158" s="70">
        <v>-635.6</v>
      </c>
    </row>
    <row r="159" spans="11:12" x14ac:dyDescent="0.4">
      <c r="K159" s="17">
        <v>157</v>
      </c>
      <c r="L159" s="70">
        <v>-627.4</v>
      </c>
    </row>
    <row r="160" spans="11:12" x14ac:dyDescent="0.4">
      <c r="K160" s="17">
        <v>158</v>
      </c>
      <c r="L160" s="70">
        <v>-688.3</v>
      </c>
    </row>
    <row r="161" spans="11:12" x14ac:dyDescent="0.4">
      <c r="K161" s="17">
        <v>159</v>
      </c>
      <c r="L161" s="70">
        <v>-620.5</v>
      </c>
    </row>
    <row r="162" spans="11:12" x14ac:dyDescent="0.4">
      <c r="K162" s="17">
        <v>160</v>
      </c>
      <c r="L162" s="70">
        <v>-635.4</v>
      </c>
    </row>
    <row r="163" spans="11:12" x14ac:dyDescent="0.4">
      <c r="K163" s="17">
        <v>161</v>
      </c>
      <c r="L163" s="70">
        <v>-595.30000000000007</v>
      </c>
    </row>
    <row r="164" spans="11:12" x14ac:dyDescent="0.4">
      <c r="K164" s="17">
        <v>162</v>
      </c>
      <c r="L164" s="70">
        <v>-596.30000000000007</v>
      </c>
    </row>
    <row r="165" spans="11:12" x14ac:dyDescent="0.4">
      <c r="K165" s="17">
        <v>163</v>
      </c>
      <c r="L165" s="70">
        <v>-597.6</v>
      </c>
    </row>
    <row r="166" spans="11:12" x14ac:dyDescent="0.4">
      <c r="K166" s="17">
        <v>164</v>
      </c>
      <c r="L166" s="70">
        <v>-626</v>
      </c>
    </row>
    <row r="167" spans="11:12" x14ac:dyDescent="0.4">
      <c r="K167" s="17">
        <v>165</v>
      </c>
      <c r="L167" s="70">
        <v>-673.7</v>
      </c>
    </row>
    <row r="168" spans="11:12" x14ac:dyDescent="0.4">
      <c r="K168" s="17">
        <v>166</v>
      </c>
      <c r="L168" s="70">
        <v>-674.9</v>
      </c>
    </row>
    <row r="169" spans="11:12" x14ac:dyDescent="0.4">
      <c r="K169" s="17">
        <v>167</v>
      </c>
      <c r="L169" s="70">
        <v>-669.6</v>
      </c>
    </row>
    <row r="170" spans="11:12" x14ac:dyDescent="0.4">
      <c r="K170" s="17">
        <v>168</v>
      </c>
      <c r="L170" s="70">
        <v>-660.2</v>
      </c>
    </row>
    <row r="171" spans="11:12" x14ac:dyDescent="0.4">
      <c r="K171" s="17">
        <v>169</v>
      </c>
      <c r="L171" s="70">
        <v>-721.90000000000009</v>
      </c>
    </row>
    <row r="172" spans="11:12" x14ac:dyDescent="0.4">
      <c r="K172" s="17">
        <v>170</v>
      </c>
      <c r="L172" s="70">
        <v>-680.30000000000007</v>
      </c>
    </row>
    <row r="173" spans="11:12" x14ac:dyDescent="0.4">
      <c r="K173" s="17">
        <v>171</v>
      </c>
      <c r="L173" s="70">
        <v>-692.30000000000007</v>
      </c>
    </row>
    <row r="174" spans="11:12" x14ac:dyDescent="0.4">
      <c r="K174" s="17">
        <v>172</v>
      </c>
      <c r="L174" s="70">
        <v>-677.6</v>
      </c>
    </row>
    <row r="175" spans="11:12" x14ac:dyDescent="0.4">
      <c r="K175" s="17">
        <v>173</v>
      </c>
      <c r="L175" s="70">
        <v>-722.2</v>
      </c>
    </row>
    <row r="176" spans="11:12" x14ac:dyDescent="0.4">
      <c r="K176" s="17">
        <v>174</v>
      </c>
      <c r="L176" s="70">
        <v>-682.90000000000009</v>
      </c>
    </row>
    <row r="177" spans="11:12" x14ac:dyDescent="0.4">
      <c r="K177" s="17">
        <v>175</v>
      </c>
      <c r="L177" s="70">
        <v>-681.80000000000007</v>
      </c>
    </row>
    <row r="178" spans="11:12" x14ac:dyDescent="0.4">
      <c r="K178" s="17">
        <v>176</v>
      </c>
      <c r="L178" s="70">
        <v>-680.5</v>
      </c>
    </row>
    <row r="179" spans="11:12" x14ac:dyDescent="0.4">
      <c r="K179" s="17">
        <v>177</v>
      </c>
      <c r="L179" s="70">
        <v>-679.5</v>
      </c>
    </row>
    <row r="180" spans="11:12" x14ac:dyDescent="0.4">
      <c r="K180" s="17">
        <v>178</v>
      </c>
      <c r="L180" s="70">
        <v>-714.1</v>
      </c>
    </row>
    <row r="181" spans="11:12" x14ac:dyDescent="0.4">
      <c r="K181" s="17">
        <v>179</v>
      </c>
      <c r="L181" s="70">
        <v>-743.6</v>
      </c>
    </row>
    <row r="182" spans="11:12" x14ac:dyDescent="0.4">
      <c r="K182" s="17">
        <v>180</v>
      </c>
      <c r="L182" s="70">
        <v>-720.5</v>
      </c>
    </row>
    <row r="183" spans="11:12" x14ac:dyDescent="0.4">
      <c r="K183" s="17">
        <v>181</v>
      </c>
      <c r="L183" s="70">
        <v>-761</v>
      </c>
    </row>
    <row r="184" spans="11:12" x14ac:dyDescent="0.4">
      <c r="K184" s="17">
        <v>182</v>
      </c>
      <c r="L184" s="70">
        <v>-759.5</v>
      </c>
    </row>
    <row r="185" spans="11:12" x14ac:dyDescent="0.4">
      <c r="K185" s="17">
        <v>183</v>
      </c>
      <c r="L185" s="70">
        <v>-723.7</v>
      </c>
    </row>
    <row r="186" spans="11:12" x14ac:dyDescent="0.4">
      <c r="K186" s="17">
        <v>184</v>
      </c>
      <c r="L186" s="70">
        <v>-731.90000000000009</v>
      </c>
    </row>
    <row r="187" spans="11:12" x14ac:dyDescent="0.4">
      <c r="K187" s="17">
        <v>185</v>
      </c>
      <c r="L187" s="70">
        <v>-736.80000000000007</v>
      </c>
    </row>
    <row r="188" spans="11:12" x14ac:dyDescent="0.4">
      <c r="K188" s="17">
        <v>186</v>
      </c>
      <c r="L188" s="70">
        <v>-771.40000000000009</v>
      </c>
    </row>
    <row r="189" spans="11:12" x14ac:dyDescent="0.4">
      <c r="K189" s="17">
        <v>187</v>
      </c>
      <c r="L189" s="70">
        <v>-759.80000000000007</v>
      </c>
    </row>
    <row r="190" spans="11:12" x14ac:dyDescent="0.4">
      <c r="K190" s="17">
        <v>188</v>
      </c>
      <c r="L190" s="70">
        <v>-818.40000000000009</v>
      </c>
    </row>
    <row r="191" spans="11:12" x14ac:dyDescent="0.4">
      <c r="K191" s="17">
        <v>189</v>
      </c>
      <c r="L191" s="70">
        <v>-793.2</v>
      </c>
    </row>
    <row r="192" spans="11:12" x14ac:dyDescent="0.4">
      <c r="K192" s="17">
        <v>190</v>
      </c>
      <c r="L192" s="70">
        <v>-802.5</v>
      </c>
    </row>
    <row r="193" spans="11:12" x14ac:dyDescent="0.4">
      <c r="K193" s="17">
        <v>191</v>
      </c>
      <c r="L193" s="70">
        <v>-807.1</v>
      </c>
    </row>
    <row r="194" spans="11:12" x14ac:dyDescent="0.4">
      <c r="K194" s="17">
        <v>192</v>
      </c>
      <c r="L194" s="70">
        <v>-782.6</v>
      </c>
    </row>
    <row r="195" spans="11:12" x14ac:dyDescent="0.4">
      <c r="K195" s="17">
        <v>193</v>
      </c>
      <c r="L195" s="70">
        <v>-810.8</v>
      </c>
    </row>
    <row r="196" spans="11:12" x14ac:dyDescent="0.4">
      <c r="K196" s="17">
        <v>194</v>
      </c>
      <c r="L196" s="70">
        <v>-833.2</v>
      </c>
    </row>
    <row r="197" spans="11:12" x14ac:dyDescent="0.4">
      <c r="K197" s="17">
        <v>195</v>
      </c>
      <c r="L197" s="70">
        <v>-858.3</v>
      </c>
    </row>
    <row r="198" spans="11:12" x14ac:dyDescent="0.4">
      <c r="K198" s="17">
        <v>196</v>
      </c>
      <c r="L198" s="70">
        <v>-843.3</v>
      </c>
    </row>
    <row r="199" spans="11:12" x14ac:dyDescent="0.4">
      <c r="K199" s="17">
        <v>197</v>
      </c>
      <c r="L199" s="70">
        <v>-873.5</v>
      </c>
    </row>
    <row r="200" spans="11:12" x14ac:dyDescent="0.4">
      <c r="K200" s="17">
        <v>198</v>
      </c>
      <c r="L200" s="70">
        <v>-879.4</v>
      </c>
    </row>
    <row r="201" spans="11:12" x14ac:dyDescent="0.4">
      <c r="K201" s="17">
        <v>199</v>
      </c>
      <c r="L201" s="70">
        <v>-862</v>
      </c>
    </row>
    <row r="202" spans="11:12" x14ac:dyDescent="0.4">
      <c r="K202" s="17">
        <v>200</v>
      </c>
      <c r="L202" s="70">
        <v>-835.2</v>
      </c>
    </row>
    <row r="203" spans="11:12" x14ac:dyDescent="0.4">
      <c r="K203" s="17">
        <v>201</v>
      </c>
      <c r="L203" s="70">
        <v>-838</v>
      </c>
    </row>
    <row r="204" spans="11:12" x14ac:dyDescent="0.4">
      <c r="K204" s="17">
        <v>202</v>
      </c>
      <c r="L204" s="70">
        <v>-862</v>
      </c>
    </row>
    <row r="205" spans="11:12" x14ac:dyDescent="0.4">
      <c r="K205" s="17">
        <v>203</v>
      </c>
      <c r="L205" s="70">
        <v>-868.7</v>
      </c>
    </row>
    <row r="206" spans="11:12" x14ac:dyDescent="0.4">
      <c r="K206" s="17">
        <v>204</v>
      </c>
      <c r="L206" s="70">
        <v>-853.6</v>
      </c>
    </row>
    <row r="207" spans="11:12" x14ac:dyDescent="0.4">
      <c r="K207" s="17">
        <v>205</v>
      </c>
      <c r="L207" s="70">
        <v>-867.7</v>
      </c>
    </row>
    <row r="208" spans="11:12" x14ac:dyDescent="0.4">
      <c r="K208" s="17">
        <v>206</v>
      </c>
      <c r="L208" s="70">
        <v>-873.1</v>
      </c>
    </row>
    <row r="209" spans="11:12" x14ac:dyDescent="0.4">
      <c r="K209" s="17">
        <v>207</v>
      </c>
      <c r="L209" s="70">
        <v>-867.7</v>
      </c>
    </row>
    <row r="210" spans="11:12" x14ac:dyDescent="0.4">
      <c r="K210" s="17">
        <v>208</v>
      </c>
      <c r="L210" s="70">
        <v>-882.7</v>
      </c>
    </row>
    <row r="211" spans="11:12" x14ac:dyDescent="0.4">
      <c r="K211" s="17">
        <v>209</v>
      </c>
      <c r="L211" s="70">
        <v>-917.6</v>
      </c>
    </row>
    <row r="212" spans="11:12" x14ac:dyDescent="0.4">
      <c r="K212" s="17">
        <v>210</v>
      </c>
      <c r="L212" s="70">
        <v>-891.3</v>
      </c>
    </row>
    <row r="213" spans="11:12" x14ac:dyDescent="0.4">
      <c r="K213" s="17">
        <v>211</v>
      </c>
      <c r="L213" s="70">
        <v>-913.9</v>
      </c>
    </row>
    <row r="214" spans="11:12" x14ac:dyDescent="0.4">
      <c r="K214" s="17">
        <v>212</v>
      </c>
      <c r="L214" s="70">
        <v>-945.3</v>
      </c>
    </row>
    <row r="215" spans="11:12" x14ac:dyDescent="0.4">
      <c r="K215" s="17">
        <v>213</v>
      </c>
      <c r="L215" s="70">
        <v>-883.4</v>
      </c>
    </row>
    <row r="216" spans="11:12" x14ac:dyDescent="0.4">
      <c r="K216" s="17">
        <v>214</v>
      </c>
      <c r="L216" s="70">
        <v>-914.1</v>
      </c>
    </row>
    <row r="217" spans="11:12" x14ac:dyDescent="0.4">
      <c r="K217" s="17">
        <v>215</v>
      </c>
      <c r="L217" s="70">
        <v>-900</v>
      </c>
    </row>
    <row r="218" spans="11:12" x14ac:dyDescent="0.4">
      <c r="K218" s="17">
        <v>216</v>
      </c>
      <c r="L218" s="70">
        <v>-925.6</v>
      </c>
    </row>
    <row r="219" spans="11:12" x14ac:dyDescent="0.4">
      <c r="K219" s="17">
        <v>217</v>
      </c>
      <c r="L219" s="70">
        <v>-927.7</v>
      </c>
    </row>
    <row r="220" spans="11:12" x14ac:dyDescent="0.4">
      <c r="K220" s="17">
        <v>218</v>
      </c>
      <c r="L220" s="70">
        <v>-926.9</v>
      </c>
    </row>
  </sheetData>
  <sortState xmlns:xlrd2="http://schemas.microsoft.com/office/spreadsheetml/2017/richdata2" ref="N15:Q24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B8752-E72E-429B-A8C5-03858CEB0BE5}">
  <sheetPr codeName="Sheet11"/>
  <dimension ref="A1:Q359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128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357</v>
      </c>
      <c r="C2" s="116"/>
      <c r="E2" s="39" t="s">
        <v>67</v>
      </c>
      <c r="F2" s="36" t="s">
        <v>23</v>
      </c>
      <c r="G2" s="24">
        <v>656</v>
      </c>
      <c r="H2" s="103">
        <f>IF(B$31=0,0,G2/B$31)</f>
        <v>0.80688806888068876</v>
      </c>
      <c r="I2" s="64">
        <v>4</v>
      </c>
      <c r="K2" s="15">
        <v>0</v>
      </c>
      <c r="L2" s="69">
        <v>0</v>
      </c>
      <c r="N2" s="85" t="s">
        <v>129</v>
      </c>
      <c r="O2" s="92">
        <f>IF(P2=0,0,Q2/P2)</f>
        <v>-621.81303116147308</v>
      </c>
      <c r="P2" s="89">
        <v>353</v>
      </c>
      <c r="Q2" s="73">
        <v>-219500</v>
      </c>
    </row>
    <row r="3" spans="1:17" x14ac:dyDescent="0.4">
      <c r="A3" s="32" t="s">
        <v>8</v>
      </c>
      <c r="B3" s="127">
        <v>2911</v>
      </c>
      <c r="C3" s="128"/>
      <c r="E3" s="40" t="s">
        <v>73</v>
      </c>
      <c r="F3" s="37" t="s">
        <v>28</v>
      </c>
      <c r="G3" s="25">
        <v>420</v>
      </c>
      <c r="H3" s="104">
        <f>IF(B$31=0,0,G3/B$31)</f>
        <v>0.51660516605166051</v>
      </c>
      <c r="I3" s="65">
        <v>12</v>
      </c>
      <c r="K3" s="17">
        <v>1</v>
      </c>
      <c r="L3" s="70">
        <v>-36.700000000000003</v>
      </c>
      <c r="N3" s="86" t="s">
        <v>130</v>
      </c>
      <c r="O3" s="93">
        <f t="shared" ref="O3:O7" si="0">IF(P3=0,0,Q3/P3)</f>
        <v>-505.88235294117646</v>
      </c>
      <c r="P3" s="90">
        <v>340</v>
      </c>
      <c r="Q3" s="74">
        <v>-172000</v>
      </c>
    </row>
    <row r="4" spans="1:17" x14ac:dyDescent="0.4">
      <c r="A4" s="32" t="s">
        <v>6</v>
      </c>
      <c r="B4" s="129">
        <v>-707.00000000000045</v>
      </c>
      <c r="C4" s="130"/>
      <c r="E4" s="40" t="s">
        <v>65</v>
      </c>
      <c r="F4" s="37" t="s">
        <v>21</v>
      </c>
      <c r="G4" s="25">
        <v>386</v>
      </c>
      <c r="H4" s="104">
        <f>IF(B$31=0,0,G4/B$31)</f>
        <v>0.47478474784747848</v>
      </c>
      <c r="I4" s="65">
        <v>12</v>
      </c>
      <c r="K4" s="17">
        <v>2</v>
      </c>
      <c r="L4" s="70">
        <v>-45.300000000000004</v>
      </c>
      <c r="N4" s="86" t="s">
        <v>131</v>
      </c>
      <c r="O4" s="93">
        <f t="shared" si="0"/>
        <v>869.87577639751555</v>
      </c>
      <c r="P4" s="90">
        <v>322</v>
      </c>
      <c r="Q4" s="74">
        <v>280100</v>
      </c>
    </row>
    <row r="5" spans="1:17" x14ac:dyDescent="0.4">
      <c r="A5" s="32" t="s">
        <v>7</v>
      </c>
      <c r="B5" s="131">
        <f>IF(B$2=0,0,B$4/B$2)</f>
        <v>-1.9803921568627463</v>
      </c>
      <c r="C5" s="132"/>
      <c r="E5" s="40" t="s">
        <v>69</v>
      </c>
      <c r="F5" s="37" t="s">
        <v>12</v>
      </c>
      <c r="G5" s="25">
        <v>256</v>
      </c>
      <c r="H5" s="104">
        <f>IF(B$31=0,0,G5/B$31)</f>
        <v>0.31488314883148832</v>
      </c>
      <c r="I5" s="65">
        <v>7</v>
      </c>
      <c r="K5" s="17">
        <v>3</v>
      </c>
      <c r="L5" s="70">
        <v>-81.7</v>
      </c>
      <c r="N5" s="86" t="s">
        <v>132</v>
      </c>
      <c r="O5" s="93">
        <f t="shared" si="0"/>
        <v>-1031.6498316498316</v>
      </c>
      <c r="P5" s="90">
        <v>297</v>
      </c>
      <c r="Q5" s="74">
        <v>-306400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68</v>
      </c>
      <c r="F6" s="37" t="s">
        <v>24</v>
      </c>
      <c r="G6" s="25">
        <v>230</v>
      </c>
      <c r="H6" s="104">
        <f>IF(B$31=0,0,G6/B$31)</f>
        <v>0.28290282902829028</v>
      </c>
      <c r="I6" s="65">
        <v>12</v>
      </c>
      <c r="K6" s="17">
        <v>4</v>
      </c>
      <c r="L6" s="70">
        <v>-114.30000000000001</v>
      </c>
      <c r="N6" s="86" t="s">
        <v>133</v>
      </c>
      <c r="O6" s="93">
        <f t="shared" si="0"/>
        <v>99.624060150375939</v>
      </c>
      <c r="P6" s="90">
        <v>266</v>
      </c>
      <c r="Q6" s="74">
        <v>26500</v>
      </c>
    </row>
    <row r="7" spans="1:17" x14ac:dyDescent="0.4">
      <c r="A7" s="32" t="s">
        <v>2</v>
      </c>
      <c r="B7" s="25">
        <v>124</v>
      </c>
      <c r="C7" s="18">
        <f>IF(B$2=0,0,B7/B$2)</f>
        <v>0.34733893557422968</v>
      </c>
      <c r="E7" s="40" t="s">
        <v>167</v>
      </c>
      <c r="F7" s="37" t="s">
        <v>168</v>
      </c>
      <c r="G7" s="25">
        <v>226</v>
      </c>
      <c r="H7" s="104">
        <f>IF(B$31=0,0,G7/B$31)</f>
        <v>0.27798277982779829</v>
      </c>
      <c r="I7" s="65">
        <v>7</v>
      </c>
      <c r="K7" s="17">
        <v>5</v>
      </c>
      <c r="L7" s="70">
        <v>-136.30000000000001</v>
      </c>
      <c r="N7" s="87" t="s">
        <v>134</v>
      </c>
      <c r="O7" s="94">
        <f t="shared" si="0"/>
        <v>-207.04845814977975</v>
      </c>
      <c r="P7" s="91">
        <v>227</v>
      </c>
      <c r="Q7" s="75">
        <v>-47000</v>
      </c>
    </row>
    <row r="8" spans="1:17" x14ac:dyDescent="0.4">
      <c r="A8" s="32" t="s">
        <v>3</v>
      </c>
      <c r="B8" s="25">
        <v>109</v>
      </c>
      <c r="C8" s="18">
        <f>IF(B$2=0,0,B8/B$2)</f>
        <v>0.30532212885154064</v>
      </c>
      <c r="E8" s="40" t="s">
        <v>177</v>
      </c>
      <c r="F8" s="37" t="s">
        <v>178</v>
      </c>
      <c r="G8" s="25">
        <v>220</v>
      </c>
      <c r="H8" s="104">
        <f>IF(B$31=0,0,G8/B$31)</f>
        <v>0.27060270602706027</v>
      </c>
      <c r="I8" s="65">
        <v>9</v>
      </c>
      <c r="K8" s="17">
        <v>6</v>
      </c>
      <c r="L8" s="70">
        <v>-100.80000000000001</v>
      </c>
      <c r="N8" s="22"/>
      <c r="O8" s="98"/>
      <c r="P8" s="82"/>
      <c r="Q8" s="80"/>
    </row>
    <row r="9" spans="1:17" x14ac:dyDescent="0.4">
      <c r="A9" s="33" t="s">
        <v>4</v>
      </c>
      <c r="B9" s="26">
        <v>124</v>
      </c>
      <c r="C9" s="19">
        <f t="shared" ref="C9" si="1">IF(B$2=0,0,B9/B$2)</f>
        <v>0.34733893557422968</v>
      </c>
      <c r="E9" s="40" t="s">
        <v>70</v>
      </c>
      <c r="F9" s="37" t="s">
        <v>25</v>
      </c>
      <c r="G9" s="25">
        <v>118</v>
      </c>
      <c r="H9" s="104">
        <f>IF(B$31=0,0,G9/B$31)</f>
        <v>0.14514145141451415</v>
      </c>
      <c r="I9" s="65">
        <v>8</v>
      </c>
      <c r="K9" s="17">
        <v>7</v>
      </c>
      <c r="L9" s="70">
        <v>-106.20000000000002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47</v>
      </c>
      <c r="C10" s="19">
        <f>IF(B$2=0,0,B10/B$2)</f>
        <v>0.13165266106442577</v>
      </c>
      <c r="E10" s="40" t="s">
        <v>90</v>
      </c>
      <c r="F10" s="37" t="s">
        <v>45</v>
      </c>
      <c r="G10" s="25">
        <v>106</v>
      </c>
      <c r="H10" s="104">
        <f>IF(B$31=0,0,G10/B$31)</f>
        <v>0.13038130381303814</v>
      </c>
      <c r="I10" s="65">
        <v>9</v>
      </c>
      <c r="K10" s="17">
        <v>8</v>
      </c>
      <c r="L10" s="70">
        <v>-52.300000000000018</v>
      </c>
      <c r="N10" s="85" t="s">
        <v>158</v>
      </c>
      <c r="O10" s="95">
        <f>IF(P10=0,0,Q10/P10)</f>
        <v>-2.1133333333333315</v>
      </c>
      <c r="P10" s="89">
        <v>120</v>
      </c>
      <c r="Q10" s="77">
        <v>-253.59999999999977</v>
      </c>
    </row>
    <row r="11" spans="1:17" x14ac:dyDescent="0.4">
      <c r="A11" s="33" t="s">
        <v>137</v>
      </c>
      <c r="B11" s="26">
        <v>48</v>
      </c>
      <c r="C11" s="19">
        <f>IF(B$2=0,0,B11/B$2)</f>
        <v>0.13445378151260504</v>
      </c>
      <c r="E11" s="40" t="s">
        <v>71</v>
      </c>
      <c r="F11" s="37" t="s">
        <v>26</v>
      </c>
      <c r="G11" s="25">
        <v>91</v>
      </c>
      <c r="H11" s="104">
        <f>IF(B$31=0,0,G11/B$31)</f>
        <v>0.11193111931119311</v>
      </c>
      <c r="I11" s="65">
        <v>4</v>
      </c>
      <c r="K11" s="17">
        <v>9</v>
      </c>
      <c r="L11" s="70">
        <v>-53.500000000000021</v>
      </c>
      <c r="N11" s="86" t="s">
        <v>159</v>
      </c>
      <c r="O11" s="96">
        <f>IF(P11=0,0,Q11/P11)</f>
        <v>-3.2401785714285727</v>
      </c>
      <c r="P11" s="90">
        <v>112</v>
      </c>
      <c r="Q11" s="78">
        <v>-362.90000000000015</v>
      </c>
    </row>
    <row r="12" spans="1:17" x14ac:dyDescent="0.4">
      <c r="A12" s="34" t="s">
        <v>154</v>
      </c>
      <c r="B12" s="27">
        <v>41</v>
      </c>
      <c r="C12" s="21">
        <f>IF(B$2=0,0,B12/B$2)</f>
        <v>0.11484593837535013</v>
      </c>
      <c r="E12" s="40" t="s">
        <v>66</v>
      </c>
      <c r="F12" s="37" t="s">
        <v>22</v>
      </c>
      <c r="G12" s="25">
        <v>79</v>
      </c>
      <c r="H12" s="104">
        <f>IF(B$31=0,0,G12/B$31)</f>
        <v>9.7170971709717099E-2</v>
      </c>
      <c r="I12" s="65">
        <v>13</v>
      </c>
      <c r="K12" s="17">
        <v>10</v>
      </c>
      <c r="L12" s="70">
        <v>-72.800000000000026</v>
      </c>
      <c r="N12" s="87" t="s">
        <v>160</v>
      </c>
      <c r="O12" s="97">
        <f>IF(P12=0,0,Q12/P12)</f>
        <v>-1.0178861788617872</v>
      </c>
      <c r="P12" s="91">
        <v>123</v>
      </c>
      <c r="Q12" s="79">
        <v>-125.19999999999982</v>
      </c>
    </row>
    <row r="13" spans="1:17" x14ac:dyDescent="0.4">
      <c r="A13" s="35" t="s">
        <v>122</v>
      </c>
      <c r="B13" s="28">
        <v>722</v>
      </c>
      <c r="C13" s="23">
        <f>IF(B$30=0,0,B13/B$30)</f>
        <v>0.259245960502693</v>
      </c>
      <c r="E13" s="40" t="s">
        <v>72</v>
      </c>
      <c r="F13" s="37" t="s">
        <v>27</v>
      </c>
      <c r="G13" s="25">
        <v>73</v>
      </c>
      <c r="H13" s="104">
        <f>IF(B$31=0,0,G13/B$31)</f>
        <v>8.9790897908979095E-2</v>
      </c>
      <c r="I13" s="65">
        <v>2</v>
      </c>
      <c r="K13" s="17">
        <v>11</v>
      </c>
      <c r="L13" s="70">
        <v>-69.800000000000026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629</v>
      </c>
      <c r="C14" s="18">
        <f>IF(B$30=0,0,B14/B$30)</f>
        <v>0.22585278276481149</v>
      </c>
      <c r="E14" s="40" t="s">
        <v>87</v>
      </c>
      <c r="F14" s="37" t="s">
        <v>42</v>
      </c>
      <c r="G14" s="25">
        <v>41</v>
      </c>
      <c r="H14" s="104">
        <f>IF(B$31=0,0,G14/B$31)</f>
        <v>5.0430504305043047E-2</v>
      </c>
      <c r="I14" s="65">
        <v>13</v>
      </c>
      <c r="K14" s="17">
        <v>12</v>
      </c>
      <c r="L14" s="70">
        <v>-54.300000000000026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397</v>
      </c>
      <c r="C15" s="16">
        <f>IF(B$13=0,0,B15/B$13)</f>
        <v>0.54986149584487531</v>
      </c>
      <c r="E15" s="40" t="s">
        <v>79</v>
      </c>
      <c r="F15" s="37" t="s">
        <v>34</v>
      </c>
      <c r="G15" s="25">
        <v>31</v>
      </c>
      <c r="H15" s="104">
        <f>IF(B$31=0,0,G15/B$31)</f>
        <v>3.8130381303813035E-2</v>
      </c>
      <c r="I15" s="65">
        <v>4</v>
      </c>
      <c r="K15" s="17">
        <v>13</v>
      </c>
      <c r="L15" s="70">
        <v>-43.200000000000024</v>
      </c>
      <c r="N15" s="85" t="s">
        <v>176</v>
      </c>
      <c r="O15" s="95">
        <f>IF(P15=0,0,Q15/P15)</f>
        <v>45.975000000000001</v>
      </c>
      <c r="P15" s="89">
        <v>8</v>
      </c>
      <c r="Q15" s="77">
        <v>367.8</v>
      </c>
    </row>
    <row r="16" spans="1:17" x14ac:dyDescent="0.4">
      <c r="A16" s="31" t="s">
        <v>125</v>
      </c>
      <c r="B16" s="24">
        <v>237</v>
      </c>
      <c r="C16" s="16">
        <f>IF(B$14=0,0,B16/B$14)</f>
        <v>0.37678855325914151</v>
      </c>
      <c r="E16" s="40" t="s">
        <v>84</v>
      </c>
      <c r="F16" s="37" t="s">
        <v>39</v>
      </c>
      <c r="G16" s="25">
        <v>31</v>
      </c>
      <c r="H16" s="104">
        <f>IF(B$31=0,0,G16/B$31)</f>
        <v>3.8130381303813035E-2</v>
      </c>
      <c r="I16" s="65">
        <v>12</v>
      </c>
      <c r="K16" s="17">
        <v>14</v>
      </c>
      <c r="L16" s="70">
        <v>-50.400000000000027</v>
      </c>
      <c r="N16" s="86" t="s">
        <v>175</v>
      </c>
      <c r="O16" s="96">
        <f>IF(P16=0,0,Q16/P16)</f>
        <v>43.236363636363627</v>
      </c>
      <c r="P16" s="90">
        <v>11</v>
      </c>
      <c r="Q16" s="78">
        <v>475.59999999999991</v>
      </c>
    </row>
    <row r="17" spans="1:17" x14ac:dyDescent="0.4">
      <c r="A17" s="31" t="s">
        <v>10</v>
      </c>
      <c r="B17" s="24">
        <f>B19+B18</f>
        <v>850</v>
      </c>
      <c r="C17" s="16">
        <f>IF(B$3=0,0,B17/B$3)</f>
        <v>0.29199587770525592</v>
      </c>
      <c r="E17" s="40" t="s">
        <v>82</v>
      </c>
      <c r="F17" s="37" t="s">
        <v>37</v>
      </c>
      <c r="G17" s="25">
        <v>23</v>
      </c>
      <c r="H17" s="104">
        <f>IF(B$31=0,0,G17/B$31)</f>
        <v>2.8290282902829027E-2</v>
      </c>
      <c r="I17" s="65">
        <v>7</v>
      </c>
      <c r="K17" s="17">
        <v>15</v>
      </c>
      <c r="L17" s="70">
        <v>23.89999999999997</v>
      </c>
      <c r="N17" s="86" t="s">
        <v>184</v>
      </c>
      <c r="O17" s="96">
        <f>IF(P17=0,0,Q17/P17)</f>
        <v>19.630000000000003</v>
      </c>
      <c r="P17" s="90">
        <v>10</v>
      </c>
      <c r="Q17" s="78">
        <v>196.3</v>
      </c>
    </row>
    <row r="18" spans="1:17" x14ac:dyDescent="0.4">
      <c r="A18" s="32" t="s">
        <v>12</v>
      </c>
      <c r="B18" s="25">
        <v>354</v>
      </c>
      <c r="C18" s="18">
        <f>IF(B$17=0,0,B18/B$17)</f>
        <v>0.41647058823529409</v>
      </c>
      <c r="E18" s="40" t="s">
        <v>92</v>
      </c>
      <c r="F18" s="37" t="s">
        <v>47</v>
      </c>
      <c r="G18" s="25">
        <v>16</v>
      </c>
      <c r="H18" s="104">
        <f>IF(B$31=0,0,G18/B$31)</f>
        <v>1.968019680196802E-2</v>
      </c>
      <c r="I18" s="65">
        <v>5</v>
      </c>
      <c r="K18" s="17">
        <v>16</v>
      </c>
      <c r="L18" s="70">
        <v>58.89999999999997</v>
      </c>
      <c r="N18" s="86" t="s">
        <v>172</v>
      </c>
      <c r="O18" s="96">
        <f>IF(P18=0,0,Q18/P18)</f>
        <v>6.4581395348837232</v>
      </c>
      <c r="P18" s="90">
        <v>86</v>
      </c>
      <c r="Q18" s="78">
        <v>555.4000000000002</v>
      </c>
    </row>
    <row r="19" spans="1:17" x14ac:dyDescent="0.4">
      <c r="A19" s="32" t="s">
        <v>11</v>
      </c>
      <c r="B19" s="25">
        <v>496</v>
      </c>
      <c r="C19" s="18">
        <f>IF(B$17=0,0,B19/B$17)</f>
        <v>0.58352941176470585</v>
      </c>
      <c r="E19" s="40" t="s">
        <v>80</v>
      </c>
      <c r="F19" s="37" t="s">
        <v>35</v>
      </c>
      <c r="G19" s="25">
        <v>12</v>
      </c>
      <c r="H19" s="104">
        <f>IF(B$31=0,0,G19/B$31)</f>
        <v>1.4760147601476014E-2</v>
      </c>
      <c r="I19" s="65">
        <v>10</v>
      </c>
      <c r="K19" s="17">
        <v>17</v>
      </c>
      <c r="L19" s="70">
        <v>58.599999999999973</v>
      </c>
      <c r="N19" s="86" t="s">
        <v>187</v>
      </c>
      <c r="O19" s="96">
        <f>IF(P19=0,0,Q19/P19)</f>
        <v>5.75</v>
      </c>
      <c r="P19" s="90">
        <v>4</v>
      </c>
      <c r="Q19" s="78">
        <v>23</v>
      </c>
    </row>
    <row r="20" spans="1:17" x14ac:dyDescent="0.4">
      <c r="A20" s="32" t="s">
        <v>13</v>
      </c>
      <c r="B20" s="25">
        <v>503</v>
      </c>
      <c r="C20" s="18">
        <f>IF(B$3=0,0,B20/B$3)</f>
        <v>0.17279285468911026</v>
      </c>
      <c r="E20" s="40" t="s">
        <v>78</v>
      </c>
      <c r="F20" s="37" t="s">
        <v>33</v>
      </c>
      <c r="G20" s="25">
        <v>8</v>
      </c>
      <c r="H20" s="104">
        <f>IF(B$31=0,0,G20/B$31)</f>
        <v>9.8400984009840101E-3</v>
      </c>
      <c r="I20" s="65">
        <v>2</v>
      </c>
      <c r="K20" s="17">
        <v>18</v>
      </c>
      <c r="L20" s="70">
        <v>122.59999999999997</v>
      </c>
      <c r="N20" s="86" t="s">
        <v>173</v>
      </c>
      <c r="O20" s="96">
        <f>IF(P20=0,0,Q20/P20)</f>
        <v>4.0172131147540986</v>
      </c>
      <c r="P20" s="90">
        <v>122</v>
      </c>
      <c r="Q20" s="78">
        <v>490.1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74</v>
      </c>
      <c r="F21" s="37" t="s">
        <v>29</v>
      </c>
      <c r="G21" s="25">
        <v>5</v>
      </c>
      <c r="H21" s="104">
        <f>IF(B$31=0,0,G21/B$31)</f>
        <v>6.1500615006150061E-3</v>
      </c>
      <c r="I21" s="65">
        <v>5</v>
      </c>
      <c r="K21" s="17">
        <v>19</v>
      </c>
      <c r="L21" s="70">
        <v>125.69999999999996</v>
      </c>
      <c r="N21" s="86" t="s">
        <v>171</v>
      </c>
      <c r="O21" s="96">
        <f>IF(P21=0,0,Q21/P21)</f>
        <v>1.4010309278350535</v>
      </c>
      <c r="P21" s="90">
        <v>97</v>
      </c>
      <c r="Q21" s="78">
        <v>135.90000000000018</v>
      </c>
    </row>
    <row r="22" spans="1:17" x14ac:dyDescent="0.4">
      <c r="A22" s="32" t="s">
        <v>166</v>
      </c>
      <c r="B22" s="25">
        <v>39</v>
      </c>
      <c r="C22" s="106">
        <v>0</v>
      </c>
      <c r="E22" s="40" t="s">
        <v>75</v>
      </c>
      <c r="F22" s="37" t="s">
        <v>30</v>
      </c>
      <c r="G22" s="25">
        <v>5</v>
      </c>
      <c r="H22" s="104">
        <f>IF(B$31=0,0,G22/B$31)</f>
        <v>6.1500615006150061E-3</v>
      </c>
      <c r="I22" s="65">
        <v>3</v>
      </c>
      <c r="K22" s="17">
        <v>20</v>
      </c>
      <c r="L22" s="70">
        <v>126.89999999999996</v>
      </c>
      <c r="N22" s="86" t="s">
        <v>174</v>
      </c>
      <c r="O22" s="96">
        <f>IF(P22=0,0,Q22/P22)</f>
        <v>-0.42631578947367849</v>
      </c>
      <c r="P22" s="90">
        <v>19</v>
      </c>
      <c r="Q22" s="78">
        <v>-8.0999999999998913</v>
      </c>
    </row>
    <row r="23" spans="1:17" x14ac:dyDescent="0.4">
      <c r="A23" s="32" t="s">
        <v>5</v>
      </c>
      <c r="B23" s="29">
        <f>IF(B$17=0,0,C23/B$17)</f>
        <v>8914.7058823529405</v>
      </c>
      <c r="C23" s="20">
        <v>7577500</v>
      </c>
      <c r="E23" s="40" t="s">
        <v>76</v>
      </c>
      <c r="F23" s="37" t="s">
        <v>31</v>
      </c>
      <c r="G23" s="25">
        <v>4</v>
      </c>
      <c r="H23" s="104">
        <f>IF(B$31=0,0,G23/B$31)</f>
        <v>4.9200492004920051E-3</v>
      </c>
      <c r="I23" s="65">
        <v>6</v>
      </c>
      <c r="K23" s="17">
        <v>21</v>
      </c>
      <c r="L23" s="70">
        <v>129.69999999999996</v>
      </c>
      <c r="N23" s="86" t="s">
        <v>186</v>
      </c>
      <c r="O23" s="96">
        <f>IF(P23=0,0,Q23/P23)</f>
        <v>-6.2</v>
      </c>
      <c r="P23" s="90">
        <v>3</v>
      </c>
      <c r="Q23" s="78">
        <v>-18.600000000000001</v>
      </c>
    </row>
    <row r="24" spans="1:17" x14ac:dyDescent="0.4">
      <c r="A24" s="33" t="s">
        <v>189</v>
      </c>
      <c r="B24" s="111">
        <f>IF($B$17-B$16=0,0,C24/($B$17-B$16))</f>
        <v>9577.4877650897233</v>
      </c>
      <c r="C24" s="112">
        <v>5871000</v>
      </c>
      <c r="E24" s="40" t="s">
        <v>94</v>
      </c>
      <c r="F24" s="37" t="s">
        <v>49</v>
      </c>
      <c r="G24" s="25">
        <v>4</v>
      </c>
      <c r="H24" s="104">
        <f>IF(B$31=0,0,G24/B$31)</f>
        <v>4.9200492004920051E-3</v>
      </c>
      <c r="I24" s="65">
        <v>3</v>
      </c>
      <c r="K24" s="17">
        <v>22</v>
      </c>
      <c r="L24" s="70">
        <v>174.29999999999995</v>
      </c>
      <c r="N24" s="86" t="s">
        <v>162</v>
      </c>
      <c r="O24" s="96">
        <f>IF(P24=0,0,Q24/P24)</f>
        <v>-11.148863636363636</v>
      </c>
      <c r="P24" s="90">
        <v>88</v>
      </c>
      <c r="Q24" s="78">
        <v>-981.09999999999991</v>
      </c>
    </row>
    <row r="25" spans="1:17" x14ac:dyDescent="0.4">
      <c r="A25" s="33" t="s">
        <v>190</v>
      </c>
      <c r="B25" s="111">
        <f>IF(B$16=0,0,C25/B$16)</f>
        <v>7200.4219409282705</v>
      </c>
      <c r="C25" s="112">
        <v>1706500</v>
      </c>
      <c r="E25" s="40" t="s">
        <v>85</v>
      </c>
      <c r="F25" s="37" t="s">
        <v>40</v>
      </c>
      <c r="G25" s="25">
        <v>3</v>
      </c>
      <c r="H25" s="104">
        <f>IF(B$31=0,0,G25/B$31)</f>
        <v>3.6900369003690036E-3</v>
      </c>
      <c r="I25" s="65">
        <v>3</v>
      </c>
      <c r="K25" s="17">
        <v>23</v>
      </c>
      <c r="L25" s="70">
        <v>172.89999999999995</v>
      </c>
      <c r="N25" s="86" t="s">
        <v>127</v>
      </c>
      <c r="O25" s="96">
        <f>IF(P25=0,0,Q25/P25)</f>
        <v>-12.322222222222228</v>
      </c>
      <c r="P25" s="90">
        <v>252</v>
      </c>
      <c r="Q25" s="78">
        <v>-3105.2000000000016</v>
      </c>
    </row>
    <row r="26" spans="1:17" x14ac:dyDescent="0.4">
      <c r="A26" s="32" t="s">
        <v>14</v>
      </c>
      <c r="B26" s="29">
        <f>IF(B$20=0,0,C26/B$20)</f>
        <v>-8508.3499005964222</v>
      </c>
      <c r="C26" s="20">
        <v>-4279700</v>
      </c>
      <c r="E26" s="40" t="s">
        <v>88</v>
      </c>
      <c r="F26" s="37" t="s">
        <v>43</v>
      </c>
      <c r="G26" s="25">
        <v>3</v>
      </c>
      <c r="H26" s="104">
        <f>IF(B$31=0,0,G26/B$31)</f>
        <v>3.6900369003690036E-3</v>
      </c>
      <c r="I26" s="65">
        <v>2</v>
      </c>
      <c r="K26" s="17">
        <v>24</v>
      </c>
      <c r="L26" s="70">
        <v>133.19999999999993</v>
      </c>
      <c r="N26" s="86" t="s">
        <v>185</v>
      </c>
      <c r="O26" s="96">
        <f>IF(P26=0,0,Q26/P26)</f>
        <v>-18.00714285714286</v>
      </c>
      <c r="P26" s="90">
        <v>14</v>
      </c>
      <c r="Q26" s="78">
        <v>-252.10000000000002</v>
      </c>
    </row>
    <row r="27" spans="1:17" x14ac:dyDescent="0.4">
      <c r="A27" s="61" t="s">
        <v>139</v>
      </c>
      <c r="B27" s="121">
        <v>9</v>
      </c>
      <c r="C27" s="122"/>
      <c r="E27" s="40" t="s">
        <v>163</v>
      </c>
      <c r="F27" s="37" t="s">
        <v>164</v>
      </c>
      <c r="G27" s="25">
        <v>3</v>
      </c>
      <c r="H27" s="104">
        <f>IF(B$31=0,0,G27/B$31)</f>
        <v>3.6900369003690036E-3</v>
      </c>
      <c r="I27" s="65">
        <v>7</v>
      </c>
      <c r="K27" s="17">
        <v>25</v>
      </c>
      <c r="L27" s="70">
        <v>117.39999999999993</v>
      </c>
    </row>
    <row r="28" spans="1:17" x14ac:dyDescent="0.4">
      <c r="A28" s="35" t="s">
        <v>146</v>
      </c>
      <c r="B28" s="119">
        <v>109300</v>
      </c>
      <c r="C28" s="120"/>
      <c r="E28" s="40" t="s">
        <v>86</v>
      </c>
      <c r="F28" s="37" t="s">
        <v>41</v>
      </c>
      <c r="G28" s="25">
        <v>1</v>
      </c>
      <c r="H28" s="104">
        <f>IF(B$31=0,0,G28/B$31)</f>
        <v>1.2300123001230013E-3</v>
      </c>
      <c r="I28" s="65">
        <v>7</v>
      </c>
      <c r="K28" s="17">
        <v>26</v>
      </c>
      <c r="L28" s="70">
        <v>128.69999999999993</v>
      </c>
    </row>
    <row r="29" spans="1:17" x14ac:dyDescent="0.4">
      <c r="A29" s="34" t="s">
        <v>140</v>
      </c>
      <c r="B29" s="42">
        <v>8</v>
      </c>
      <c r="C29" s="21">
        <f>IF(B$3=0,0,B29/B$3)</f>
        <v>2.7481964960494676E-3</v>
      </c>
      <c r="E29" s="40" t="s">
        <v>89</v>
      </c>
      <c r="F29" s="37" t="s">
        <v>44</v>
      </c>
      <c r="G29" s="25">
        <v>1</v>
      </c>
      <c r="H29" s="104">
        <f>IF(B$31=0,0,G29/B$31)</f>
        <v>1.2300123001230013E-3</v>
      </c>
      <c r="I29" s="65">
        <v>5</v>
      </c>
      <c r="K29" s="17">
        <v>27</v>
      </c>
      <c r="L29" s="70">
        <v>84.699999999999932</v>
      </c>
    </row>
    <row r="30" spans="1:17" x14ac:dyDescent="0.4">
      <c r="A30" s="31" t="s">
        <v>179</v>
      </c>
      <c r="B30" s="115">
        <v>2785</v>
      </c>
      <c r="C30" s="116"/>
      <c r="E30" s="40" t="s">
        <v>93</v>
      </c>
      <c r="F30" s="37" t="s">
        <v>48</v>
      </c>
      <c r="G30" s="25">
        <v>1</v>
      </c>
      <c r="H30" s="104">
        <f>IF(B$31=0,0,G30/B$31)</f>
        <v>1.2300123001230013E-3</v>
      </c>
      <c r="I30" s="65">
        <v>7</v>
      </c>
      <c r="K30" s="17">
        <v>28</v>
      </c>
      <c r="L30" s="70">
        <v>43.699999999999932</v>
      </c>
    </row>
    <row r="31" spans="1:17" x14ac:dyDescent="0.4">
      <c r="A31" s="34" t="s">
        <v>180</v>
      </c>
      <c r="B31" s="117">
        <v>813</v>
      </c>
      <c r="C31" s="118"/>
      <c r="E31" s="40" t="s">
        <v>77</v>
      </c>
      <c r="F31" s="37" t="s">
        <v>32</v>
      </c>
      <c r="G31" s="25">
        <v>0</v>
      </c>
      <c r="H31" s="104">
        <f>IF(B$31=0,0,G31/B$31)</f>
        <v>0</v>
      </c>
      <c r="I31" s="65">
        <v>1</v>
      </c>
      <c r="K31" s="17">
        <v>29</v>
      </c>
      <c r="L31" s="70">
        <v>32.899999999999935</v>
      </c>
    </row>
    <row r="32" spans="1:17" x14ac:dyDescent="0.4">
      <c r="E32" s="40" t="s">
        <v>81</v>
      </c>
      <c r="F32" s="37" t="s">
        <v>36</v>
      </c>
      <c r="G32" s="25">
        <v>0</v>
      </c>
      <c r="H32" s="104">
        <f>IF(B$31=0,0,G32/B$31)</f>
        <v>0</v>
      </c>
      <c r="I32" s="65">
        <v>3</v>
      </c>
      <c r="K32" s="17">
        <v>30</v>
      </c>
      <c r="L32" s="70">
        <v>48.499999999999936</v>
      </c>
    </row>
    <row r="33" spans="5:12" x14ac:dyDescent="0.4">
      <c r="E33" s="40" t="s">
        <v>83</v>
      </c>
      <c r="F33" s="37" t="s">
        <v>38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5.0999999999999375</v>
      </c>
    </row>
    <row r="34" spans="5:12" x14ac:dyDescent="0.4">
      <c r="E34" s="40" t="s">
        <v>91</v>
      </c>
      <c r="F34" s="37" t="s">
        <v>46</v>
      </c>
      <c r="G34" s="25">
        <v>0</v>
      </c>
      <c r="H34" s="104">
        <f>IF(B$31=0,0,G34/B$31)</f>
        <v>0</v>
      </c>
      <c r="I34" s="65">
        <v>6</v>
      </c>
      <c r="K34" s="17">
        <v>32</v>
      </c>
      <c r="L34" s="70">
        <v>5.7999999999999376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17.999999999999936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-19.300000000000061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29.699999999999939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15.899999999999938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56.899999999999935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53.499999999999936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125.09999999999994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156.59999999999994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191.99999999999994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203.49999999999994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212.59999999999994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164.19999999999993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209.09999999999994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218.99999999999994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198.99999999999994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194.09999999999994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211.89999999999995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185.49999999999994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196.99999999999994</v>
      </c>
    </row>
    <row r="54" spans="5:12" x14ac:dyDescent="0.4">
      <c r="K54" s="17">
        <v>52</v>
      </c>
      <c r="L54" s="70">
        <v>196.59999999999994</v>
      </c>
    </row>
    <row r="55" spans="5:12" x14ac:dyDescent="0.4">
      <c r="K55" s="17">
        <v>53</v>
      </c>
      <c r="L55" s="70">
        <v>214.69999999999993</v>
      </c>
    </row>
    <row r="56" spans="5:12" x14ac:dyDescent="0.4">
      <c r="K56" s="17">
        <v>54</v>
      </c>
      <c r="L56" s="70">
        <v>237.49999999999994</v>
      </c>
    </row>
    <row r="57" spans="5:12" x14ac:dyDescent="0.4">
      <c r="K57" s="17">
        <v>55</v>
      </c>
      <c r="L57" s="70">
        <v>224.69999999999993</v>
      </c>
    </row>
    <row r="58" spans="5:12" x14ac:dyDescent="0.4">
      <c r="K58" s="17">
        <v>56</v>
      </c>
      <c r="L58" s="70">
        <v>260.69999999999993</v>
      </c>
    </row>
    <row r="59" spans="5:12" x14ac:dyDescent="0.4">
      <c r="K59" s="17">
        <v>57</v>
      </c>
      <c r="L59" s="70">
        <v>211.59999999999994</v>
      </c>
    </row>
    <row r="60" spans="5:12" x14ac:dyDescent="0.4">
      <c r="K60" s="17">
        <v>58</v>
      </c>
      <c r="L60" s="70">
        <v>208.99999999999994</v>
      </c>
    </row>
    <row r="61" spans="5:12" x14ac:dyDescent="0.4">
      <c r="K61" s="17">
        <v>59</v>
      </c>
      <c r="L61" s="70">
        <v>221.49999999999994</v>
      </c>
    </row>
    <row r="62" spans="5:12" x14ac:dyDescent="0.4">
      <c r="K62" s="17">
        <v>60</v>
      </c>
      <c r="L62" s="70">
        <v>233.79999999999995</v>
      </c>
    </row>
    <row r="63" spans="5:12" x14ac:dyDescent="0.4">
      <c r="K63" s="17">
        <v>61</v>
      </c>
      <c r="L63" s="70">
        <v>234.69999999999996</v>
      </c>
    </row>
    <row r="64" spans="5:12" x14ac:dyDescent="0.4">
      <c r="K64" s="17">
        <v>62</v>
      </c>
      <c r="L64" s="70">
        <v>230.89999999999995</v>
      </c>
    </row>
    <row r="65" spans="11:12" x14ac:dyDescent="0.4">
      <c r="K65" s="17">
        <v>63</v>
      </c>
      <c r="L65" s="70">
        <v>218.99999999999994</v>
      </c>
    </row>
    <row r="66" spans="11:12" x14ac:dyDescent="0.4">
      <c r="K66" s="17">
        <v>64</v>
      </c>
      <c r="L66" s="70">
        <v>201.49999999999994</v>
      </c>
    </row>
    <row r="67" spans="11:12" x14ac:dyDescent="0.4">
      <c r="K67" s="17">
        <v>65</v>
      </c>
      <c r="L67" s="70">
        <v>208.79999999999995</v>
      </c>
    </row>
    <row r="68" spans="11:12" x14ac:dyDescent="0.4">
      <c r="K68" s="17">
        <v>66</v>
      </c>
      <c r="L68" s="70">
        <v>204.19999999999996</v>
      </c>
    </row>
    <row r="69" spans="11:12" x14ac:dyDescent="0.4">
      <c r="K69" s="17">
        <v>67</v>
      </c>
      <c r="L69" s="70">
        <v>218.29999999999995</v>
      </c>
    </row>
    <row r="70" spans="11:12" x14ac:dyDescent="0.4">
      <c r="K70" s="17">
        <v>68</v>
      </c>
      <c r="L70" s="70">
        <v>179.79999999999995</v>
      </c>
    </row>
    <row r="71" spans="11:12" x14ac:dyDescent="0.4">
      <c r="K71" s="17">
        <v>69</v>
      </c>
      <c r="L71" s="70">
        <v>188.69999999999996</v>
      </c>
    </row>
    <row r="72" spans="11:12" x14ac:dyDescent="0.4">
      <c r="K72" s="17">
        <v>70</v>
      </c>
      <c r="L72" s="70">
        <v>218.39999999999995</v>
      </c>
    </row>
    <row r="73" spans="11:12" x14ac:dyDescent="0.4">
      <c r="K73" s="17">
        <v>71</v>
      </c>
      <c r="L73" s="70">
        <v>197.69999999999996</v>
      </c>
    </row>
    <row r="74" spans="11:12" x14ac:dyDescent="0.4">
      <c r="K74" s="17">
        <v>72</v>
      </c>
      <c r="L74" s="70">
        <v>159.69999999999996</v>
      </c>
    </row>
    <row r="75" spans="11:12" x14ac:dyDescent="0.4">
      <c r="K75" s="17">
        <v>73</v>
      </c>
      <c r="L75" s="70">
        <v>195.69999999999996</v>
      </c>
    </row>
    <row r="76" spans="11:12" x14ac:dyDescent="0.4">
      <c r="K76" s="17">
        <v>74</v>
      </c>
      <c r="L76" s="70">
        <v>225.59999999999997</v>
      </c>
    </row>
    <row r="77" spans="11:12" x14ac:dyDescent="0.4">
      <c r="K77" s="17">
        <v>75</v>
      </c>
      <c r="L77" s="70">
        <v>249.09999999999997</v>
      </c>
    </row>
    <row r="78" spans="11:12" x14ac:dyDescent="0.4">
      <c r="K78" s="17">
        <v>76</v>
      </c>
      <c r="L78" s="70">
        <v>243.29999999999995</v>
      </c>
    </row>
    <row r="79" spans="11:12" x14ac:dyDescent="0.4">
      <c r="K79" s="17">
        <v>77</v>
      </c>
      <c r="L79" s="70">
        <v>240.29999999999995</v>
      </c>
    </row>
    <row r="80" spans="11:12" x14ac:dyDescent="0.4">
      <c r="K80" s="17">
        <v>78</v>
      </c>
      <c r="L80" s="70">
        <v>233.59999999999997</v>
      </c>
    </row>
    <row r="81" spans="11:12" x14ac:dyDescent="0.4">
      <c r="K81" s="17">
        <v>79</v>
      </c>
      <c r="L81" s="70">
        <v>213.29999999999995</v>
      </c>
    </row>
    <row r="82" spans="11:12" x14ac:dyDescent="0.4">
      <c r="K82" s="17">
        <v>80</v>
      </c>
      <c r="L82" s="70">
        <v>240.79999999999995</v>
      </c>
    </row>
    <row r="83" spans="11:12" x14ac:dyDescent="0.4">
      <c r="K83" s="17">
        <v>81</v>
      </c>
      <c r="L83" s="70">
        <v>246.49999999999994</v>
      </c>
    </row>
    <row r="84" spans="11:12" x14ac:dyDescent="0.4">
      <c r="K84" s="17">
        <v>82</v>
      </c>
      <c r="L84" s="70">
        <v>259.69999999999993</v>
      </c>
    </row>
    <row r="85" spans="11:12" x14ac:dyDescent="0.4">
      <c r="K85" s="17">
        <v>83</v>
      </c>
      <c r="L85" s="70">
        <v>252.69999999999993</v>
      </c>
    </row>
    <row r="86" spans="11:12" x14ac:dyDescent="0.4">
      <c r="K86" s="17">
        <v>84</v>
      </c>
      <c r="L86" s="70">
        <v>272.99999999999994</v>
      </c>
    </row>
    <row r="87" spans="11:12" x14ac:dyDescent="0.4">
      <c r="K87" s="17">
        <v>85</v>
      </c>
      <c r="L87" s="70">
        <v>266.99999999999994</v>
      </c>
    </row>
    <row r="88" spans="11:12" x14ac:dyDescent="0.4">
      <c r="K88" s="17">
        <v>86</v>
      </c>
      <c r="L88" s="70">
        <v>240.79999999999995</v>
      </c>
    </row>
    <row r="89" spans="11:12" x14ac:dyDescent="0.4">
      <c r="K89" s="17">
        <v>87</v>
      </c>
      <c r="L89" s="70">
        <v>276.79999999999995</v>
      </c>
    </row>
    <row r="90" spans="11:12" x14ac:dyDescent="0.4">
      <c r="K90" s="17">
        <v>88</v>
      </c>
      <c r="L90" s="70">
        <v>277.09999999999997</v>
      </c>
    </row>
    <row r="91" spans="11:12" x14ac:dyDescent="0.4">
      <c r="K91" s="17">
        <v>89</v>
      </c>
      <c r="L91" s="70">
        <v>260.49999999999994</v>
      </c>
    </row>
    <row r="92" spans="11:12" x14ac:dyDescent="0.4">
      <c r="K92" s="17">
        <v>90</v>
      </c>
      <c r="L92" s="70">
        <v>287.89999999999992</v>
      </c>
    </row>
    <row r="93" spans="11:12" x14ac:dyDescent="0.4">
      <c r="K93" s="17">
        <v>91</v>
      </c>
      <c r="L93" s="70">
        <v>253.39999999999992</v>
      </c>
    </row>
    <row r="94" spans="11:12" x14ac:dyDescent="0.4">
      <c r="K94" s="17">
        <v>92</v>
      </c>
      <c r="L94" s="70">
        <v>279.59999999999991</v>
      </c>
    </row>
    <row r="95" spans="11:12" x14ac:dyDescent="0.4">
      <c r="K95" s="17">
        <v>93</v>
      </c>
      <c r="L95" s="70">
        <v>265.7999999999999</v>
      </c>
    </row>
    <row r="96" spans="11:12" x14ac:dyDescent="0.4">
      <c r="K96" s="17">
        <v>94</v>
      </c>
      <c r="L96" s="70">
        <v>248.89999999999989</v>
      </c>
    </row>
    <row r="97" spans="11:12" x14ac:dyDescent="0.4">
      <c r="K97" s="17">
        <v>95</v>
      </c>
      <c r="L97" s="70">
        <v>223.49999999999989</v>
      </c>
    </row>
    <row r="98" spans="11:12" x14ac:dyDescent="0.4">
      <c r="K98" s="17">
        <v>96</v>
      </c>
      <c r="L98" s="70">
        <v>235.99999999999989</v>
      </c>
    </row>
    <row r="99" spans="11:12" x14ac:dyDescent="0.4">
      <c r="K99" s="17">
        <v>97</v>
      </c>
      <c r="L99" s="70">
        <v>253.19999999999987</v>
      </c>
    </row>
    <row r="100" spans="11:12" x14ac:dyDescent="0.4">
      <c r="K100" s="17">
        <v>98</v>
      </c>
      <c r="L100" s="70">
        <v>222.59999999999988</v>
      </c>
    </row>
    <row r="101" spans="11:12" x14ac:dyDescent="0.4">
      <c r="K101" s="17">
        <v>99</v>
      </c>
      <c r="L101" s="70">
        <v>246.39999999999989</v>
      </c>
    </row>
    <row r="102" spans="11:12" x14ac:dyDescent="0.4">
      <c r="K102" s="17">
        <v>100</v>
      </c>
      <c r="L102" s="70">
        <v>253.89999999999989</v>
      </c>
    </row>
    <row r="103" spans="11:12" x14ac:dyDescent="0.4">
      <c r="K103" s="17">
        <v>101</v>
      </c>
      <c r="L103" s="70">
        <v>271.69999999999987</v>
      </c>
    </row>
    <row r="104" spans="11:12" x14ac:dyDescent="0.4">
      <c r="K104" s="17">
        <v>102</v>
      </c>
      <c r="L104" s="70">
        <v>249.89999999999986</v>
      </c>
    </row>
    <row r="105" spans="11:12" x14ac:dyDescent="0.4">
      <c r="K105" s="17">
        <v>103</v>
      </c>
      <c r="L105" s="70">
        <v>251.99999999999986</v>
      </c>
    </row>
    <row r="106" spans="11:12" x14ac:dyDescent="0.4">
      <c r="K106" s="17">
        <v>104</v>
      </c>
      <c r="L106" s="70">
        <v>257.59999999999985</v>
      </c>
    </row>
    <row r="107" spans="11:12" x14ac:dyDescent="0.4">
      <c r="K107" s="17">
        <v>105</v>
      </c>
      <c r="L107" s="70">
        <v>208.59999999999985</v>
      </c>
    </row>
    <row r="108" spans="11:12" x14ac:dyDescent="0.4">
      <c r="K108" s="17">
        <v>106</v>
      </c>
      <c r="L108" s="70">
        <v>193.19999999999985</v>
      </c>
    </row>
    <row r="109" spans="11:12" x14ac:dyDescent="0.4">
      <c r="K109" s="17">
        <v>107</v>
      </c>
      <c r="L109" s="70">
        <v>235.69999999999985</v>
      </c>
    </row>
    <row r="110" spans="11:12" x14ac:dyDescent="0.4">
      <c r="K110" s="17">
        <v>108</v>
      </c>
      <c r="L110" s="70">
        <v>244.69999999999985</v>
      </c>
    </row>
    <row r="111" spans="11:12" x14ac:dyDescent="0.4">
      <c r="K111" s="17">
        <v>109</v>
      </c>
      <c r="L111" s="70">
        <v>185.79999999999984</v>
      </c>
    </row>
    <row r="112" spans="11:12" x14ac:dyDescent="0.4">
      <c r="K112" s="17">
        <v>110</v>
      </c>
      <c r="L112" s="70">
        <v>226.49999999999983</v>
      </c>
    </row>
    <row r="113" spans="11:12" x14ac:dyDescent="0.4">
      <c r="K113" s="17">
        <v>111</v>
      </c>
      <c r="L113" s="70">
        <v>217.99999999999983</v>
      </c>
    </row>
    <row r="114" spans="11:12" x14ac:dyDescent="0.4">
      <c r="K114" s="17">
        <v>112</v>
      </c>
      <c r="L114" s="70">
        <v>226.49999999999983</v>
      </c>
    </row>
    <row r="115" spans="11:12" x14ac:dyDescent="0.4">
      <c r="K115" s="17">
        <v>113</v>
      </c>
      <c r="L115" s="70">
        <v>252.09999999999982</v>
      </c>
    </row>
    <row r="116" spans="11:12" x14ac:dyDescent="0.4">
      <c r="K116" s="17">
        <v>114</v>
      </c>
      <c r="L116" s="70">
        <v>273.99999999999983</v>
      </c>
    </row>
    <row r="117" spans="11:12" x14ac:dyDescent="0.4">
      <c r="K117" s="17">
        <v>115</v>
      </c>
      <c r="L117" s="70">
        <v>264.69999999999982</v>
      </c>
    </row>
    <row r="118" spans="11:12" x14ac:dyDescent="0.4">
      <c r="K118" s="17">
        <v>116</v>
      </c>
      <c r="L118" s="70">
        <v>247.69999999999982</v>
      </c>
    </row>
    <row r="119" spans="11:12" x14ac:dyDescent="0.4">
      <c r="K119" s="17">
        <v>117</v>
      </c>
      <c r="L119" s="70">
        <v>269.39999999999981</v>
      </c>
    </row>
    <row r="120" spans="11:12" x14ac:dyDescent="0.4">
      <c r="K120" s="17">
        <v>118</v>
      </c>
      <c r="L120" s="70">
        <v>223.89999999999981</v>
      </c>
    </row>
    <row r="121" spans="11:12" x14ac:dyDescent="0.4">
      <c r="K121" s="17">
        <v>119</v>
      </c>
      <c r="L121" s="70">
        <v>218.29999999999981</v>
      </c>
    </row>
    <row r="122" spans="11:12" x14ac:dyDescent="0.4">
      <c r="K122" s="17">
        <v>120</v>
      </c>
      <c r="L122" s="70">
        <v>197.79999999999981</v>
      </c>
    </row>
    <row r="123" spans="11:12" x14ac:dyDescent="0.4">
      <c r="K123" s="17">
        <v>121</v>
      </c>
      <c r="L123" s="70">
        <v>171.59999999999982</v>
      </c>
    </row>
    <row r="124" spans="11:12" x14ac:dyDescent="0.4">
      <c r="K124" s="17">
        <v>122</v>
      </c>
      <c r="L124" s="70">
        <v>163.89999999999984</v>
      </c>
    </row>
    <row r="125" spans="11:12" x14ac:dyDescent="0.4">
      <c r="K125" s="17">
        <v>123</v>
      </c>
      <c r="L125" s="70">
        <v>203.39999999999984</v>
      </c>
    </row>
    <row r="126" spans="11:12" x14ac:dyDescent="0.4">
      <c r="K126" s="17">
        <v>124</v>
      </c>
      <c r="L126" s="70">
        <v>162.99999999999983</v>
      </c>
    </row>
    <row r="127" spans="11:12" x14ac:dyDescent="0.4">
      <c r="K127" s="17">
        <v>125</v>
      </c>
      <c r="L127" s="70">
        <v>199.99999999999983</v>
      </c>
    </row>
    <row r="128" spans="11:12" x14ac:dyDescent="0.4">
      <c r="K128" s="17">
        <v>126</v>
      </c>
      <c r="L128" s="70">
        <v>180.29999999999984</v>
      </c>
    </row>
    <row r="129" spans="11:12" x14ac:dyDescent="0.4">
      <c r="K129" s="17">
        <v>127</v>
      </c>
      <c r="L129" s="70">
        <v>171.99999999999983</v>
      </c>
    </row>
    <row r="130" spans="11:12" x14ac:dyDescent="0.4">
      <c r="K130" s="17">
        <v>128</v>
      </c>
      <c r="L130" s="70">
        <v>171.19999999999985</v>
      </c>
    </row>
    <row r="131" spans="11:12" x14ac:dyDescent="0.4">
      <c r="K131" s="17">
        <v>129</v>
      </c>
      <c r="L131" s="70">
        <v>144.89999999999984</v>
      </c>
    </row>
    <row r="132" spans="11:12" x14ac:dyDescent="0.4">
      <c r="K132" s="17">
        <v>130</v>
      </c>
      <c r="L132" s="70">
        <v>86.599999999999838</v>
      </c>
    </row>
    <row r="133" spans="11:12" x14ac:dyDescent="0.4">
      <c r="K133" s="17">
        <v>131</v>
      </c>
      <c r="L133" s="70">
        <v>123.79999999999984</v>
      </c>
    </row>
    <row r="134" spans="11:12" x14ac:dyDescent="0.4">
      <c r="K134" s="17">
        <v>132</v>
      </c>
      <c r="L134" s="70">
        <v>75.799999999999841</v>
      </c>
    </row>
    <row r="135" spans="11:12" x14ac:dyDescent="0.4">
      <c r="K135" s="17">
        <v>133</v>
      </c>
      <c r="L135" s="70">
        <v>-28.000000000000142</v>
      </c>
    </row>
    <row r="136" spans="11:12" x14ac:dyDescent="0.4">
      <c r="K136" s="17">
        <v>134</v>
      </c>
      <c r="L136" s="70">
        <v>-102.50000000000014</v>
      </c>
    </row>
    <row r="137" spans="11:12" x14ac:dyDescent="0.4">
      <c r="K137" s="17">
        <v>135</v>
      </c>
      <c r="L137" s="70">
        <v>-134.10000000000016</v>
      </c>
    </row>
    <row r="138" spans="11:12" x14ac:dyDescent="0.4">
      <c r="K138" s="17">
        <v>136</v>
      </c>
      <c r="L138" s="70">
        <v>-165.70000000000019</v>
      </c>
    </row>
    <row r="139" spans="11:12" x14ac:dyDescent="0.4">
      <c r="K139" s="17">
        <v>137</v>
      </c>
      <c r="L139" s="70">
        <v>-191.20000000000019</v>
      </c>
    </row>
    <row r="140" spans="11:12" x14ac:dyDescent="0.4">
      <c r="K140" s="17">
        <v>138</v>
      </c>
      <c r="L140" s="70">
        <v>-221.10000000000016</v>
      </c>
    </row>
    <row r="141" spans="11:12" x14ac:dyDescent="0.4">
      <c r="K141" s="17">
        <v>139</v>
      </c>
      <c r="L141" s="70">
        <v>-268.60000000000014</v>
      </c>
    </row>
    <row r="142" spans="11:12" x14ac:dyDescent="0.4">
      <c r="K142" s="17">
        <v>140</v>
      </c>
      <c r="L142" s="70">
        <v>-334.90000000000009</v>
      </c>
    </row>
    <row r="143" spans="11:12" x14ac:dyDescent="0.4">
      <c r="K143" s="17">
        <v>141</v>
      </c>
      <c r="L143" s="70">
        <v>-333.80000000000007</v>
      </c>
    </row>
    <row r="144" spans="11:12" x14ac:dyDescent="0.4">
      <c r="K144" s="17">
        <v>142</v>
      </c>
      <c r="L144" s="70">
        <v>-366.1</v>
      </c>
    </row>
    <row r="145" spans="11:12" x14ac:dyDescent="0.4">
      <c r="K145" s="17">
        <v>143</v>
      </c>
      <c r="L145" s="70">
        <v>-429.6</v>
      </c>
    </row>
    <row r="146" spans="11:12" x14ac:dyDescent="0.4">
      <c r="K146" s="17">
        <v>144</v>
      </c>
      <c r="L146" s="70">
        <v>-426.1</v>
      </c>
    </row>
    <row r="147" spans="11:12" x14ac:dyDescent="0.4">
      <c r="K147" s="17">
        <v>145</v>
      </c>
      <c r="L147" s="70">
        <v>-466.80000000000007</v>
      </c>
    </row>
    <row r="148" spans="11:12" x14ac:dyDescent="0.4">
      <c r="K148" s="17">
        <v>146</v>
      </c>
      <c r="L148" s="70">
        <v>-533.80000000000007</v>
      </c>
    </row>
    <row r="149" spans="11:12" x14ac:dyDescent="0.4">
      <c r="K149" s="17">
        <v>147</v>
      </c>
      <c r="L149" s="70">
        <v>-613.70000000000005</v>
      </c>
    </row>
    <row r="150" spans="11:12" x14ac:dyDescent="0.4">
      <c r="K150" s="17">
        <v>148</v>
      </c>
      <c r="L150" s="70">
        <v>-580.30000000000007</v>
      </c>
    </row>
    <row r="151" spans="11:12" x14ac:dyDescent="0.4">
      <c r="K151" s="17">
        <v>149</v>
      </c>
      <c r="L151" s="70">
        <v>-615.1</v>
      </c>
    </row>
    <row r="152" spans="11:12" x14ac:dyDescent="0.4">
      <c r="K152" s="17">
        <v>150</v>
      </c>
      <c r="L152" s="70">
        <v>-672.80000000000007</v>
      </c>
    </row>
    <row r="153" spans="11:12" x14ac:dyDescent="0.4">
      <c r="K153" s="17">
        <v>151</v>
      </c>
      <c r="L153" s="70">
        <v>-727.7</v>
      </c>
    </row>
    <row r="154" spans="11:12" x14ac:dyDescent="0.4">
      <c r="K154" s="17">
        <v>152</v>
      </c>
      <c r="L154" s="70">
        <v>-705.30000000000007</v>
      </c>
    </row>
    <row r="155" spans="11:12" x14ac:dyDescent="0.4">
      <c r="K155" s="17">
        <v>153</v>
      </c>
      <c r="L155" s="70">
        <v>-623.40000000000009</v>
      </c>
    </row>
    <row r="156" spans="11:12" x14ac:dyDescent="0.4">
      <c r="K156" s="17">
        <v>154</v>
      </c>
      <c r="L156" s="70">
        <v>-632.30000000000007</v>
      </c>
    </row>
    <row r="157" spans="11:12" x14ac:dyDescent="0.4">
      <c r="K157" s="17">
        <v>155</v>
      </c>
      <c r="L157" s="70">
        <v>-635.30000000000007</v>
      </c>
    </row>
    <row r="158" spans="11:12" x14ac:dyDescent="0.4">
      <c r="K158" s="17">
        <v>156</v>
      </c>
      <c r="L158" s="70">
        <v>-674.80000000000007</v>
      </c>
    </row>
    <row r="159" spans="11:12" x14ac:dyDescent="0.4">
      <c r="K159" s="17">
        <v>157</v>
      </c>
      <c r="L159" s="70">
        <v>-629.80000000000007</v>
      </c>
    </row>
    <row r="160" spans="11:12" x14ac:dyDescent="0.4">
      <c r="K160" s="17">
        <v>158</v>
      </c>
      <c r="L160" s="70">
        <v>-612.20000000000005</v>
      </c>
    </row>
    <row r="161" spans="11:12" x14ac:dyDescent="0.4">
      <c r="K161" s="17">
        <v>159</v>
      </c>
      <c r="L161" s="70">
        <v>-580.1</v>
      </c>
    </row>
    <row r="162" spans="11:12" x14ac:dyDescent="0.4">
      <c r="K162" s="17">
        <v>160</v>
      </c>
      <c r="L162" s="70">
        <v>-623.5</v>
      </c>
    </row>
    <row r="163" spans="11:12" x14ac:dyDescent="0.4">
      <c r="K163" s="17">
        <v>161</v>
      </c>
      <c r="L163" s="70">
        <v>-626.6</v>
      </c>
    </row>
    <row r="164" spans="11:12" x14ac:dyDescent="0.4">
      <c r="K164" s="17">
        <v>162</v>
      </c>
      <c r="L164" s="70">
        <v>-582.9</v>
      </c>
    </row>
    <row r="165" spans="11:12" x14ac:dyDescent="0.4">
      <c r="K165" s="17">
        <v>163</v>
      </c>
      <c r="L165" s="70">
        <v>-617.19999999999993</v>
      </c>
    </row>
    <row r="166" spans="11:12" x14ac:dyDescent="0.4">
      <c r="K166" s="17">
        <v>164</v>
      </c>
      <c r="L166" s="70">
        <v>-656.09999999999991</v>
      </c>
    </row>
    <row r="167" spans="11:12" x14ac:dyDescent="0.4">
      <c r="K167" s="17">
        <v>165</v>
      </c>
      <c r="L167" s="70">
        <v>-625.49999999999989</v>
      </c>
    </row>
    <row r="168" spans="11:12" x14ac:dyDescent="0.4">
      <c r="K168" s="17">
        <v>166</v>
      </c>
      <c r="L168" s="70">
        <v>-583.79999999999984</v>
      </c>
    </row>
    <row r="169" spans="11:12" x14ac:dyDescent="0.4">
      <c r="K169" s="17">
        <v>167</v>
      </c>
      <c r="L169" s="70">
        <v>-541.39999999999986</v>
      </c>
    </row>
    <row r="170" spans="11:12" x14ac:dyDescent="0.4">
      <c r="K170" s="17">
        <v>168</v>
      </c>
      <c r="L170" s="70">
        <v>-581.49999999999989</v>
      </c>
    </row>
    <row r="171" spans="11:12" x14ac:dyDescent="0.4">
      <c r="K171" s="17">
        <v>169</v>
      </c>
      <c r="L171" s="70">
        <v>-535.49999999999989</v>
      </c>
    </row>
    <row r="172" spans="11:12" x14ac:dyDescent="0.4">
      <c r="K172" s="17">
        <v>170</v>
      </c>
      <c r="L172" s="70">
        <v>-537.59999999999991</v>
      </c>
    </row>
    <row r="173" spans="11:12" x14ac:dyDescent="0.4">
      <c r="K173" s="17">
        <v>171</v>
      </c>
      <c r="L173" s="70">
        <v>-495.99999999999989</v>
      </c>
    </row>
    <row r="174" spans="11:12" x14ac:dyDescent="0.4">
      <c r="K174" s="17">
        <v>172</v>
      </c>
      <c r="L174" s="70">
        <v>-511.69999999999993</v>
      </c>
    </row>
    <row r="175" spans="11:12" x14ac:dyDescent="0.4">
      <c r="K175" s="17">
        <v>173</v>
      </c>
      <c r="L175" s="70">
        <v>-570.9</v>
      </c>
    </row>
    <row r="176" spans="11:12" x14ac:dyDescent="0.4">
      <c r="K176" s="17">
        <v>174</v>
      </c>
      <c r="L176" s="70">
        <v>-627.4</v>
      </c>
    </row>
    <row r="177" spans="11:12" x14ac:dyDescent="0.4">
      <c r="K177" s="17">
        <v>175</v>
      </c>
      <c r="L177" s="70">
        <v>-634.19999999999993</v>
      </c>
    </row>
    <row r="178" spans="11:12" x14ac:dyDescent="0.4">
      <c r="K178" s="17">
        <v>176</v>
      </c>
      <c r="L178" s="70">
        <v>-640.29999999999995</v>
      </c>
    </row>
    <row r="179" spans="11:12" x14ac:dyDescent="0.4">
      <c r="K179" s="17">
        <v>177</v>
      </c>
      <c r="L179" s="70">
        <v>-699.5</v>
      </c>
    </row>
    <row r="180" spans="11:12" x14ac:dyDescent="0.4">
      <c r="K180" s="17">
        <v>178</v>
      </c>
      <c r="L180" s="70">
        <v>-631.79999999999995</v>
      </c>
    </row>
    <row r="181" spans="11:12" x14ac:dyDescent="0.4">
      <c r="K181" s="17">
        <v>179</v>
      </c>
      <c r="L181" s="70">
        <v>-662.3</v>
      </c>
    </row>
    <row r="182" spans="11:12" x14ac:dyDescent="0.4">
      <c r="K182" s="17">
        <v>180</v>
      </c>
      <c r="L182" s="70">
        <v>-655.09999999999991</v>
      </c>
    </row>
    <row r="183" spans="11:12" x14ac:dyDescent="0.4">
      <c r="K183" s="17">
        <v>181</v>
      </c>
      <c r="L183" s="70">
        <v>-673.89999999999986</v>
      </c>
    </row>
    <row r="184" spans="11:12" x14ac:dyDescent="0.4">
      <c r="K184" s="17">
        <v>182</v>
      </c>
      <c r="L184" s="70">
        <v>-737.29999999999984</v>
      </c>
    </row>
    <row r="185" spans="11:12" x14ac:dyDescent="0.4">
      <c r="K185" s="17">
        <v>183</v>
      </c>
      <c r="L185" s="70">
        <v>-757.5999999999998</v>
      </c>
    </row>
    <row r="186" spans="11:12" x14ac:dyDescent="0.4">
      <c r="K186" s="17">
        <v>184</v>
      </c>
      <c r="L186" s="70">
        <v>-720.79999999999984</v>
      </c>
    </row>
    <row r="187" spans="11:12" x14ac:dyDescent="0.4">
      <c r="K187" s="17">
        <v>185</v>
      </c>
      <c r="L187" s="70">
        <v>-766.69999999999982</v>
      </c>
    </row>
    <row r="188" spans="11:12" x14ac:dyDescent="0.4">
      <c r="K188" s="17">
        <v>186</v>
      </c>
      <c r="L188" s="70">
        <v>-809.69999999999982</v>
      </c>
    </row>
    <row r="189" spans="11:12" x14ac:dyDescent="0.4">
      <c r="K189" s="17">
        <v>187</v>
      </c>
      <c r="L189" s="70">
        <v>-852.69999999999982</v>
      </c>
    </row>
    <row r="190" spans="11:12" x14ac:dyDescent="0.4">
      <c r="K190" s="17">
        <v>188</v>
      </c>
      <c r="L190" s="70">
        <v>-879.69999999999982</v>
      </c>
    </row>
    <row r="191" spans="11:12" x14ac:dyDescent="0.4">
      <c r="K191" s="17">
        <v>189</v>
      </c>
      <c r="L191" s="70">
        <v>-919.59999999999991</v>
      </c>
    </row>
    <row r="192" spans="11:12" x14ac:dyDescent="0.4">
      <c r="K192" s="17">
        <v>190</v>
      </c>
      <c r="L192" s="70">
        <v>-920.39999999999986</v>
      </c>
    </row>
    <row r="193" spans="11:12" x14ac:dyDescent="0.4">
      <c r="K193" s="17">
        <v>191</v>
      </c>
      <c r="L193" s="70">
        <v>-863.19999999999982</v>
      </c>
    </row>
    <row r="194" spans="11:12" x14ac:dyDescent="0.4">
      <c r="K194" s="17">
        <v>192</v>
      </c>
      <c r="L194" s="70">
        <v>-911.89999999999986</v>
      </c>
    </row>
    <row r="195" spans="11:12" x14ac:dyDescent="0.4">
      <c r="K195" s="17">
        <v>193</v>
      </c>
      <c r="L195" s="70">
        <v>-967.59999999999991</v>
      </c>
    </row>
    <row r="196" spans="11:12" x14ac:dyDescent="0.4">
      <c r="K196" s="17">
        <v>194</v>
      </c>
      <c r="L196" s="70">
        <v>-927</v>
      </c>
    </row>
    <row r="197" spans="11:12" x14ac:dyDescent="0.4">
      <c r="K197" s="17">
        <v>195</v>
      </c>
      <c r="L197" s="70">
        <v>-926.3</v>
      </c>
    </row>
    <row r="198" spans="11:12" x14ac:dyDescent="0.4">
      <c r="K198" s="17">
        <v>196</v>
      </c>
      <c r="L198" s="70">
        <v>-888.2</v>
      </c>
    </row>
    <row r="199" spans="11:12" x14ac:dyDescent="0.4">
      <c r="K199" s="17">
        <v>197</v>
      </c>
      <c r="L199" s="70">
        <v>-946.2</v>
      </c>
    </row>
    <row r="200" spans="11:12" x14ac:dyDescent="0.4">
      <c r="K200" s="17">
        <v>198</v>
      </c>
      <c r="L200" s="70">
        <v>-944.5</v>
      </c>
    </row>
    <row r="201" spans="11:12" x14ac:dyDescent="0.4">
      <c r="K201" s="17">
        <v>199</v>
      </c>
      <c r="L201" s="70">
        <v>-980.59999999999991</v>
      </c>
    </row>
    <row r="202" spans="11:12" x14ac:dyDescent="0.4">
      <c r="K202" s="17">
        <v>200</v>
      </c>
      <c r="L202" s="70">
        <v>-932.59999999999991</v>
      </c>
    </row>
    <row r="203" spans="11:12" x14ac:dyDescent="0.4">
      <c r="K203" s="17">
        <v>201</v>
      </c>
      <c r="L203" s="70">
        <v>-966.5</v>
      </c>
    </row>
    <row r="204" spans="11:12" x14ac:dyDescent="0.4">
      <c r="K204" s="17">
        <v>202</v>
      </c>
      <c r="L204" s="70">
        <v>-1023.2</v>
      </c>
    </row>
    <row r="205" spans="11:12" x14ac:dyDescent="0.4">
      <c r="K205" s="17">
        <v>203</v>
      </c>
      <c r="L205" s="70">
        <v>-997.60000000000014</v>
      </c>
    </row>
    <row r="206" spans="11:12" x14ac:dyDescent="0.4">
      <c r="K206" s="17">
        <v>204</v>
      </c>
      <c r="L206" s="70">
        <v>-1062.3000000000002</v>
      </c>
    </row>
    <row r="207" spans="11:12" x14ac:dyDescent="0.4">
      <c r="K207" s="17">
        <v>205</v>
      </c>
      <c r="L207" s="70">
        <v>-1063.8000000000002</v>
      </c>
    </row>
    <row r="208" spans="11:12" x14ac:dyDescent="0.4">
      <c r="K208" s="17">
        <v>206</v>
      </c>
      <c r="L208" s="70">
        <v>-1067.2000000000003</v>
      </c>
    </row>
    <row r="209" spans="11:12" x14ac:dyDescent="0.4">
      <c r="K209" s="17">
        <v>207</v>
      </c>
      <c r="L209" s="70">
        <v>-1061.4000000000003</v>
      </c>
    </row>
    <row r="210" spans="11:12" x14ac:dyDescent="0.4">
      <c r="K210" s="17">
        <v>208</v>
      </c>
      <c r="L210" s="70">
        <v>-1118.7000000000003</v>
      </c>
    </row>
    <row r="211" spans="11:12" x14ac:dyDescent="0.4">
      <c r="K211" s="17">
        <v>209</v>
      </c>
      <c r="L211" s="70">
        <v>-1068.7000000000003</v>
      </c>
    </row>
    <row r="212" spans="11:12" x14ac:dyDescent="0.4">
      <c r="K212" s="17">
        <v>210</v>
      </c>
      <c r="L212" s="70">
        <v>-1080.4000000000003</v>
      </c>
    </row>
    <row r="213" spans="11:12" x14ac:dyDescent="0.4">
      <c r="K213" s="17">
        <v>211</v>
      </c>
      <c r="L213" s="70">
        <v>-1037.7000000000003</v>
      </c>
    </row>
    <row r="214" spans="11:12" x14ac:dyDescent="0.4">
      <c r="K214" s="17">
        <v>212</v>
      </c>
      <c r="L214" s="70">
        <v>-1084.7000000000003</v>
      </c>
    </row>
    <row r="215" spans="11:12" x14ac:dyDescent="0.4">
      <c r="K215" s="17">
        <v>213</v>
      </c>
      <c r="L215" s="70">
        <v>-1120.8000000000002</v>
      </c>
    </row>
    <row r="216" spans="11:12" x14ac:dyDescent="0.4">
      <c r="K216" s="17">
        <v>214</v>
      </c>
      <c r="L216" s="70">
        <v>-1049.7000000000003</v>
      </c>
    </row>
    <row r="217" spans="11:12" x14ac:dyDescent="0.4">
      <c r="K217" s="17">
        <v>215</v>
      </c>
      <c r="L217" s="70">
        <v>-1088.5000000000002</v>
      </c>
    </row>
    <row r="218" spans="11:12" x14ac:dyDescent="0.4">
      <c r="K218" s="17">
        <v>216</v>
      </c>
      <c r="L218" s="70">
        <v>-1145.5000000000002</v>
      </c>
    </row>
    <row r="219" spans="11:12" x14ac:dyDescent="0.4">
      <c r="K219" s="17">
        <v>217</v>
      </c>
      <c r="L219" s="70">
        <v>-1102.9000000000003</v>
      </c>
    </row>
    <row r="220" spans="11:12" x14ac:dyDescent="0.4">
      <c r="K220" s="17">
        <v>218</v>
      </c>
      <c r="L220" s="70">
        <v>-1159.2000000000003</v>
      </c>
    </row>
    <row r="221" spans="11:12" x14ac:dyDescent="0.4">
      <c r="K221" s="17">
        <v>219</v>
      </c>
      <c r="L221" s="70">
        <v>-1132.4000000000003</v>
      </c>
    </row>
    <row r="222" spans="11:12" x14ac:dyDescent="0.4">
      <c r="K222" s="17">
        <v>220</v>
      </c>
      <c r="L222" s="70">
        <v>-1096.0000000000002</v>
      </c>
    </row>
    <row r="223" spans="11:12" x14ac:dyDescent="0.4">
      <c r="K223" s="17">
        <v>221</v>
      </c>
      <c r="L223" s="70">
        <v>-1102.3000000000002</v>
      </c>
    </row>
    <row r="224" spans="11:12" x14ac:dyDescent="0.4">
      <c r="K224" s="17">
        <v>222</v>
      </c>
      <c r="L224" s="70">
        <v>-1064.1000000000001</v>
      </c>
    </row>
    <row r="225" spans="11:12" x14ac:dyDescent="0.4">
      <c r="K225" s="17">
        <v>223</v>
      </c>
      <c r="L225" s="70">
        <v>-1051.9000000000001</v>
      </c>
    </row>
    <row r="226" spans="11:12" x14ac:dyDescent="0.4">
      <c r="K226" s="17">
        <v>224</v>
      </c>
      <c r="L226" s="70">
        <v>-1042.9000000000001</v>
      </c>
    </row>
    <row r="227" spans="11:12" x14ac:dyDescent="0.4">
      <c r="K227" s="17">
        <v>225</v>
      </c>
      <c r="L227" s="70">
        <v>-1003.1000000000001</v>
      </c>
    </row>
    <row r="228" spans="11:12" x14ac:dyDescent="0.4">
      <c r="K228" s="17">
        <v>226</v>
      </c>
      <c r="L228" s="70">
        <v>-941.50000000000023</v>
      </c>
    </row>
    <row r="229" spans="11:12" x14ac:dyDescent="0.4">
      <c r="K229" s="17">
        <v>227</v>
      </c>
      <c r="L229" s="70">
        <v>-931.40000000000032</v>
      </c>
    </row>
    <row r="230" spans="11:12" x14ac:dyDescent="0.4">
      <c r="K230" s="17">
        <v>228</v>
      </c>
      <c r="L230" s="70">
        <v>-935.30000000000041</v>
      </c>
    </row>
    <row r="231" spans="11:12" x14ac:dyDescent="0.4">
      <c r="K231" s="17">
        <v>229</v>
      </c>
      <c r="L231" s="70">
        <v>-916.30000000000041</v>
      </c>
    </row>
    <row r="232" spans="11:12" x14ac:dyDescent="0.4">
      <c r="K232" s="17">
        <v>230</v>
      </c>
      <c r="L232" s="70">
        <v>-881.60000000000036</v>
      </c>
    </row>
    <row r="233" spans="11:12" x14ac:dyDescent="0.4">
      <c r="K233" s="17">
        <v>231</v>
      </c>
      <c r="L233" s="70">
        <v>-845.20000000000027</v>
      </c>
    </row>
    <row r="234" spans="11:12" x14ac:dyDescent="0.4">
      <c r="K234" s="17">
        <v>232</v>
      </c>
      <c r="L234" s="70">
        <v>-779.20000000000027</v>
      </c>
    </row>
    <row r="235" spans="11:12" x14ac:dyDescent="0.4">
      <c r="K235" s="17">
        <v>233</v>
      </c>
      <c r="L235" s="70">
        <v>-736.60000000000025</v>
      </c>
    </row>
    <row r="236" spans="11:12" x14ac:dyDescent="0.4">
      <c r="K236" s="17">
        <v>234</v>
      </c>
      <c r="L236" s="70">
        <v>-687.4000000000002</v>
      </c>
    </row>
    <row r="237" spans="11:12" x14ac:dyDescent="0.4">
      <c r="K237" s="17">
        <v>235</v>
      </c>
      <c r="L237" s="70">
        <v>-767.80000000000018</v>
      </c>
    </row>
    <row r="238" spans="11:12" x14ac:dyDescent="0.4">
      <c r="K238" s="17">
        <v>236</v>
      </c>
      <c r="L238" s="70">
        <v>-717.80000000000018</v>
      </c>
    </row>
    <row r="239" spans="11:12" x14ac:dyDescent="0.4">
      <c r="K239" s="17">
        <v>237</v>
      </c>
      <c r="L239" s="70">
        <v>-721.30000000000018</v>
      </c>
    </row>
    <row r="240" spans="11:12" x14ac:dyDescent="0.4">
      <c r="K240" s="17">
        <v>238</v>
      </c>
      <c r="L240" s="70">
        <v>-716.30000000000018</v>
      </c>
    </row>
    <row r="241" spans="11:12" x14ac:dyDescent="0.4">
      <c r="K241" s="17">
        <v>239</v>
      </c>
      <c r="L241" s="70">
        <v>-677.4000000000002</v>
      </c>
    </row>
    <row r="242" spans="11:12" x14ac:dyDescent="0.4">
      <c r="K242" s="17">
        <v>240</v>
      </c>
      <c r="L242" s="70">
        <v>-729.4000000000002</v>
      </c>
    </row>
    <row r="243" spans="11:12" x14ac:dyDescent="0.4">
      <c r="K243" s="17">
        <v>241</v>
      </c>
      <c r="L243" s="70">
        <v>-785.30000000000018</v>
      </c>
    </row>
    <row r="244" spans="11:12" x14ac:dyDescent="0.4">
      <c r="K244" s="17">
        <v>242</v>
      </c>
      <c r="L244" s="70">
        <v>-747.00000000000023</v>
      </c>
    </row>
    <row r="245" spans="11:12" x14ac:dyDescent="0.4">
      <c r="K245" s="17">
        <v>243</v>
      </c>
      <c r="L245" s="70">
        <v>-699.10000000000025</v>
      </c>
    </row>
    <row r="246" spans="11:12" x14ac:dyDescent="0.4">
      <c r="K246" s="17">
        <v>244</v>
      </c>
      <c r="L246" s="70">
        <v>-708.20000000000027</v>
      </c>
    </row>
    <row r="247" spans="11:12" x14ac:dyDescent="0.4">
      <c r="K247" s="17">
        <v>245</v>
      </c>
      <c r="L247" s="70">
        <v>-678.20000000000027</v>
      </c>
    </row>
    <row r="248" spans="11:12" x14ac:dyDescent="0.4">
      <c r="K248" s="17">
        <v>246</v>
      </c>
      <c r="L248" s="70">
        <v>-677.60000000000025</v>
      </c>
    </row>
    <row r="249" spans="11:12" x14ac:dyDescent="0.4">
      <c r="K249" s="17">
        <v>247</v>
      </c>
      <c r="L249" s="70">
        <v>-646.10000000000025</v>
      </c>
    </row>
    <row r="250" spans="11:12" x14ac:dyDescent="0.4">
      <c r="K250" s="17">
        <v>248</v>
      </c>
      <c r="L250" s="70">
        <v>-674.50000000000023</v>
      </c>
    </row>
    <row r="251" spans="11:12" x14ac:dyDescent="0.4">
      <c r="K251" s="17">
        <v>249</v>
      </c>
      <c r="L251" s="70">
        <v>-679.60000000000025</v>
      </c>
    </row>
    <row r="252" spans="11:12" x14ac:dyDescent="0.4">
      <c r="K252" s="17">
        <v>250</v>
      </c>
      <c r="L252" s="70">
        <v>-678.10000000000025</v>
      </c>
    </row>
    <row r="253" spans="11:12" x14ac:dyDescent="0.4">
      <c r="K253" s="17">
        <v>251</v>
      </c>
      <c r="L253" s="70">
        <v>-705.00000000000023</v>
      </c>
    </row>
    <row r="254" spans="11:12" x14ac:dyDescent="0.4">
      <c r="K254" s="17">
        <v>252</v>
      </c>
      <c r="L254" s="70">
        <v>-767.00000000000023</v>
      </c>
    </row>
    <row r="255" spans="11:12" x14ac:dyDescent="0.4">
      <c r="K255" s="17">
        <v>253</v>
      </c>
      <c r="L255" s="70">
        <v>-735.9000000000002</v>
      </c>
    </row>
    <row r="256" spans="11:12" x14ac:dyDescent="0.4">
      <c r="K256" s="17">
        <v>254</v>
      </c>
      <c r="L256" s="70">
        <v>-735.10000000000025</v>
      </c>
    </row>
    <row r="257" spans="11:12" x14ac:dyDescent="0.4">
      <c r="K257" s="17">
        <v>255</v>
      </c>
      <c r="L257" s="70">
        <v>-764.50000000000023</v>
      </c>
    </row>
    <row r="258" spans="11:12" x14ac:dyDescent="0.4">
      <c r="K258" s="17">
        <v>256</v>
      </c>
      <c r="L258" s="70">
        <v>-812.80000000000018</v>
      </c>
    </row>
    <row r="259" spans="11:12" x14ac:dyDescent="0.4">
      <c r="K259" s="17">
        <v>257</v>
      </c>
      <c r="L259" s="70">
        <v>-816.10000000000014</v>
      </c>
    </row>
    <row r="260" spans="11:12" x14ac:dyDescent="0.4">
      <c r="K260" s="17">
        <v>258</v>
      </c>
      <c r="L260" s="70">
        <v>-787.90000000000009</v>
      </c>
    </row>
    <row r="261" spans="11:12" x14ac:dyDescent="0.4">
      <c r="K261" s="17">
        <v>259</v>
      </c>
      <c r="L261" s="70">
        <v>-792.10000000000014</v>
      </c>
    </row>
    <row r="262" spans="11:12" x14ac:dyDescent="0.4">
      <c r="K262" s="17">
        <v>260</v>
      </c>
      <c r="L262" s="70">
        <v>-795.00000000000011</v>
      </c>
    </row>
    <row r="263" spans="11:12" x14ac:dyDescent="0.4">
      <c r="K263" s="17">
        <v>261</v>
      </c>
      <c r="L263" s="70">
        <v>-837.80000000000018</v>
      </c>
    </row>
    <row r="264" spans="11:12" x14ac:dyDescent="0.4">
      <c r="K264" s="17">
        <v>262</v>
      </c>
      <c r="L264" s="70">
        <v>-828.00000000000023</v>
      </c>
    </row>
    <row r="265" spans="11:12" x14ac:dyDescent="0.4">
      <c r="K265" s="17">
        <v>263</v>
      </c>
      <c r="L265" s="70">
        <v>-827.70000000000027</v>
      </c>
    </row>
    <row r="266" spans="11:12" x14ac:dyDescent="0.4">
      <c r="K266" s="17">
        <v>264</v>
      </c>
      <c r="L266" s="70">
        <v>-861.80000000000018</v>
      </c>
    </row>
    <row r="267" spans="11:12" x14ac:dyDescent="0.4">
      <c r="K267" s="17">
        <v>265</v>
      </c>
      <c r="L267" s="70">
        <v>-899.20000000000027</v>
      </c>
    </row>
    <row r="268" spans="11:12" x14ac:dyDescent="0.4">
      <c r="K268" s="17">
        <v>266</v>
      </c>
      <c r="L268" s="70">
        <v>-900.00000000000023</v>
      </c>
    </row>
    <row r="269" spans="11:12" x14ac:dyDescent="0.4">
      <c r="K269" s="17">
        <v>267</v>
      </c>
      <c r="L269" s="70">
        <v>-956.10000000000014</v>
      </c>
    </row>
    <row r="270" spans="11:12" x14ac:dyDescent="0.4">
      <c r="K270" s="17">
        <v>268</v>
      </c>
      <c r="L270" s="70">
        <v>-918.50000000000023</v>
      </c>
    </row>
    <row r="271" spans="11:12" x14ac:dyDescent="0.4">
      <c r="K271" s="17">
        <v>269</v>
      </c>
      <c r="L271" s="70">
        <v>-978.10000000000014</v>
      </c>
    </row>
    <row r="272" spans="11:12" x14ac:dyDescent="0.4">
      <c r="K272" s="17">
        <v>270</v>
      </c>
      <c r="L272" s="70">
        <v>-1010.5000000000002</v>
      </c>
    </row>
    <row r="273" spans="11:12" x14ac:dyDescent="0.4">
      <c r="K273" s="17">
        <v>271</v>
      </c>
      <c r="L273" s="70">
        <v>-1051.9000000000003</v>
      </c>
    </row>
    <row r="274" spans="11:12" x14ac:dyDescent="0.4">
      <c r="K274" s="17">
        <v>272</v>
      </c>
      <c r="L274" s="70">
        <v>-1024.4000000000003</v>
      </c>
    </row>
    <row r="275" spans="11:12" x14ac:dyDescent="0.4">
      <c r="K275" s="17">
        <v>273</v>
      </c>
      <c r="L275" s="70">
        <v>-1070.9000000000003</v>
      </c>
    </row>
    <row r="276" spans="11:12" x14ac:dyDescent="0.4">
      <c r="K276" s="17">
        <v>274</v>
      </c>
      <c r="L276" s="70">
        <v>-1117.0000000000002</v>
      </c>
    </row>
    <row r="277" spans="11:12" x14ac:dyDescent="0.4">
      <c r="K277" s="17">
        <v>275</v>
      </c>
      <c r="L277" s="70">
        <v>-1161.3000000000002</v>
      </c>
    </row>
    <row r="278" spans="11:12" x14ac:dyDescent="0.4">
      <c r="K278" s="17">
        <v>276</v>
      </c>
      <c r="L278" s="70">
        <v>-1212.4000000000001</v>
      </c>
    </row>
    <row r="279" spans="11:12" x14ac:dyDescent="0.4">
      <c r="K279" s="17">
        <v>277</v>
      </c>
      <c r="L279" s="70">
        <v>-1229.2</v>
      </c>
    </row>
    <row r="280" spans="11:12" x14ac:dyDescent="0.4">
      <c r="K280" s="17">
        <v>278</v>
      </c>
      <c r="L280" s="70">
        <v>-1149.4000000000001</v>
      </c>
    </row>
    <row r="281" spans="11:12" x14ac:dyDescent="0.4">
      <c r="K281" s="17">
        <v>279</v>
      </c>
      <c r="L281" s="70">
        <v>-1140.9000000000001</v>
      </c>
    </row>
    <row r="282" spans="11:12" x14ac:dyDescent="0.4">
      <c r="K282" s="17">
        <v>280</v>
      </c>
      <c r="L282" s="70">
        <v>-1154.3000000000002</v>
      </c>
    </row>
    <row r="283" spans="11:12" x14ac:dyDescent="0.4">
      <c r="K283" s="17">
        <v>281</v>
      </c>
      <c r="L283" s="70">
        <v>-1134.7000000000003</v>
      </c>
    </row>
    <row r="284" spans="11:12" x14ac:dyDescent="0.4">
      <c r="K284" s="17">
        <v>282</v>
      </c>
      <c r="L284" s="70">
        <v>-1127.3000000000002</v>
      </c>
    </row>
    <row r="285" spans="11:12" x14ac:dyDescent="0.4">
      <c r="K285" s="17">
        <v>283</v>
      </c>
      <c r="L285" s="70">
        <v>-1062.3000000000002</v>
      </c>
    </row>
    <row r="286" spans="11:12" x14ac:dyDescent="0.4">
      <c r="K286" s="17">
        <v>284</v>
      </c>
      <c r="L286" s="70">
        <v>-1042.8000000000002</v>
      </c>
    </row>
    <row r="287" spans="11:12" x14ac:dyDescent="0.4">
      <c r="K287" s="17">
        <v>285</v>
      </c>
      <c r="L287" s="70">
        <v>-1006.9000000000001</v>
      </c>
    </row>
    <row r="288" spans="11:12" x14ac:dyDescent="0.4">
      <c r="K288" s="17">
        <v>286</v>
      </c>
      <c r="L288" s="70">
        <v>-980.40000000000009</v>
      </c>
    </row>
    <row r="289" spans="11:12" x14ac:dyDescent="0.4">
      <c r="K289" s="17">
        <v>287</v>
      </c>
      <c r="L289" s="70">
        <v>-1030.9000000000001</v>
      </c>
    </row>
    <row r="290" spans="11:12" x14ac:dyDescent="0.4">
      <c r="K290" s="17">
        <v>288</v>
      </c>
      <c r="L290" s="70">
        <v>-1055.3000000000002</v>
      </c>
    </row>
    <row r="291" spans="11:12" x14ac:dyDescent="0.4">
      <c r="K291" s="17">
        <v>289</v>
      </c>
      <c r="L291" s="70">
        <v>-991.10000000000014</v>
      </c>
    </row>
    <row r="292" spans="11:12" x14ac:dyDescent="0.4">
      <c r="K292" s="17">
        <v>290</v>
      </c>
      <c r="L292" s="70">
        <v>-1006.4000000000001</v>
      </c>
    </row>
    <row r="293" spans="11:12" x14ac:dyDescent="0.4">
      <c r="K293" s="17">
        <v>291</v>
      </c>
      <c r="L293" s="70">
        <v>-1041.2</v>
      </c>
    </row>
    <row r="294" spans="11:12" x14ac:dyDescent="0.4">
      <c r="K294" s="17">
        <v>292</v>
      </c>
      <c r="L294" s="70">
        <v>-993.7</v>
      </c>
    </row>
    <row r="295" spans="11:12" x14ac:dyDescent="0.4">
      <c r="K295" s="17">
        <v>293</v>
      </c>
      <c r="L295" s="70">
        <v>-944.2</v>
      </c>
    </row>
    <row r="296" spans="11:12" x14ac:dyDescent="0.4">
      <c r="K296" s="17">
        <v>294</v>
      </c>
      <c r="L296" s="70">
        <v>-909.5</v>
      </c>
    </row>
    <row r="297" spans="11:12" x14ac:dyDescent="0.4">
      <c r="K297" s="17">
        <v>295</v>
      </c>
      <c r="L297" s="70">
        <v>-862.5</v>
      </c>
    </row>
    <row r="298" spans="11:12" x14ac:dyDescent="0.4">
      <c r="K298" s="17">
        <v>296</v>
      </c>
      <c r="L298" s="70">
        <v>-861.40000000000009</v>
      </c>
    </row>
    <row r="299" spans="11:12" x14ac:dyDescent="0.4">
      <c r="K299" s="17">
        <v>297</v>
      </c>
      <c r="L299" s="70">
        <v>-886.7</v>
      </c>
    </row>
    <row r="300" spans="11:12" x14ac:dyDescent="0.4">
      <c r="K300" s="17">
        <v>298</v>
      </c>
      <c r="L300" s="70">
        <v>-942.7</v>
      </c>
    </row>
    <row r="301" spans="11:12" x14ac:dyDescent="0.4">
      <c r="K301" s="17">
        <v>299</v>
      </c>
      <c r="L301" s="70">
        <v>-939.10000000000014</v>
      </c>
    </row>
    <row r="302" spans="11:12" x14ac:dyDescent="0.4">
      <c r="K302" s="17">
        <v>300</v>
      </c>
      <c r="L302" s="70">
        <v>-991.00000000000023</v>
      </c>
    </row>
    <row r="303" spans="11:12" x14ac:dyDescent="0.4">
      <c r="K303" s="17">
        <v>301</v>
      </c>
      <c r="L303" s="70">
        <v>-963.40000000000032</v>
      </c>
    </row>
    <row r="304" spans="11:12" x14ac:dyDescent="0.4">
      <c r="K304" s="17">
        <v>302</v>
      </c>
      <c r="L304" s="70">
        <v>-1002.1000000000004</v>
      </c>
    </row>
    <row r="305" spans="11:12" x14ac:dyDescent="0.4">
      <c r="K305" s="17">
        <v>303</v>
      </c>
      <c r="L305" s="70">
        <v>-1047.7000000000003</v>
      </c>
    </row>
    <row r="306" spans="11:12" x14ac:dyDescent="0.4">
      <c r="K306" s="17">
        <v>304</v>
      </c>
      <c r="L306" s="70">
        <v>-1036.4000000000003</v>
      </c>
    </row>
    <row r="307" spans="11:12" x14ac:dyDescent="0.4">
      <c r="K307" s="17">
        <v>305</v>
      </c>
      <c r="L307" s="70">
        <v>-1060.7000000000003</v>
      </c>
    </row>
    <row r="308" spans="11:12" x14ac:dyDescent="0.4">
      <c r="K308" s="17">
        <v>306</v>
      </c>
      <c r="L308" s="70">
        <v>-1040.2000000000003</v>
      </c>
    </row>
    <row r="309" spans="11:12" x14ac:dyDescent="0.4">
      <c r="K309" s="17">
        <v>307</v>
      </c>
      <c r="L309" s="70">
        <v>-1013.4000000000003</v>
      </c>
    </row>
    <row r="310" spans="11:12" x14ac:dyDescent="0.4">
      <c r="K310" s="17">
        <v>308</v>
      </c>
      <c r="L310" s="70">
        <v>-1014.0000000000003</v>
      </c>
    </row>
    <row r="311" spans="11:12" x14ac:dyDescent="0.4">
      <c r="K311" s="17">
        <v>309</v>
      </c>
      <c r="L311" s="70">
        <v>-1011.6000000000004</v>
      </c>
    </row>
    <row r="312" spans="11:12" x14ac:dyDescent="0.4">
      <c r="K312" s="17">
        <v>310</v>
      </c>
      <c r="L312" s="70">
        <v>-1058.9000000000003</v>
      </c>
    </row>
    <row r="313" spans="11:12" x14ac:dyDescent="0.4">
      <c r="K313" s="17">
        <v>311</v>
      </c>
      <c r="L313" s="70">
        <v>-1085.8000000000004</v>
      </c>
    </row>
    <row r="314" spans="11:12" x14ac:dyDescent="0.4">
      <c r="K314" s="17">
        <v>312</v>
      </c>
      <c r="L314" s="70">
        <v>-1080.5000000000005</v>
      </c>
    </row>
    <row r="315" spans="11:12" x14ac:dyDescent="0.4">
      <c r="K315" s="17">
        <v>313</v>
      </c>
      <c r="L315" s="70">
        <v>-1070.2000000000003</v>
      </c>
    </row>
    <row r="316" spans="11:12" x14ac:dyDescent="0.4">
      <c r="K316" s="17">
        <v>314</v>
      </c>
      <c r="L316" s="70">
        <v>-1091.1000000000004</v>
      </c>
    </row>
    <row r="317" spans="11:12" x14ac:dyDescent="0.4">
      <c r="K317" s="17">
        <v>315</v>
      </c>
      <c r="L317" s="70">
        <v>-1088.9000000000003</v>
      </c>
    </row>
    <row r="318" spans="11:12" x14ac:dyDescent="0.4">
      <c r="K318" s="17">
        <v>316</v>
      </c>
      <c r="L318" s="70">
        <v>-1140.5000000000005</v>
      </c>
    </row>
    <row r="319" spans="11:12" x14ac:dyDescent="0.4">
      <c r="K319" s="17">
        <v>317</v>
      </c>
      <c r="L319" s="70">
        <v>-1146.4000000000003</v>
      </c>
    </row>
    <row r="320" spans="11:12" x14ac:dyDescent="0.4">
      <c r="K320" s="17">
        <v>318</v>
      </c>
      <c r="L320" s="70">
        <v>-1189.4000000000003</v>
      </c>
    </row>
    <row r="321" spans="11:12" x14ac:dyDescent="0.4">
      <c r="K321" s="17">
        <v>319</v>
      </c>
      <c r="L321" s="70">
        <v>-1181.8000000000004</v>
      </c>
    </row>
    <row r="322" spans="11:12" x14ac:dyDescent="0.4">
      <c r="K322" s="17">
        <v>320</v>
      </c>
      <c r="L322" s="70">
        <v>-1115.0000000000005</v>
      </c>
    </row>
    <row r="323" spans="11:12" x14ac:dyDescent="0.4">
      <c r="K323" s="17">
        <v>321</v>
      </c>
      <c r="L323" s="70">
        <v>-1164.5000000000005</v>
      </c>
    </row>
    <row r="324" spans="11:12" x14ac:dyDescent="0.4">
      <c r="K324" s="17">
        <v>322</v>
      </c>
      <c r="L324" s="70">
        <v>-1098.1000000000004</v>
      </c>
    </row>
    <row r="325" spans="11:12" x14ac:dyDescent="0.4">
      <c r="K325" s="17">
        <v>323</v>
      </c>
      <c r="L325" s="70">
        <v>-1069.3000000000004</v>
      </c>
    </row>
    <row r="326" spans="11:12" x14ac:dyDescent="0.4">
      <c r="K326" s="17">
        <v>324</v>
      </c>
      <c r="L326" s="70">
        <v>-1040.5000000000005</v>
      </c>
    </row>
    <row r="327" spans="11:12" x14ac:dyDescent="0.4">
      <c r="K327" s="17">
        <v>325</v>
      </c>
      <c r="L327" s="70">
        <v>-1039.7000000000005</v>
      </c>
    </row>
    <row r="328" spans="11:12" x14ac:dyDescent="0.4">
      <c r="K328" s="17">
        <v>326</v>
      </c>
      <c r="L328" s="70">
        <v>-1039.7000000000005</v>
      </c>
    </row>
    <row r="329" spans="11:12" x14ac:dyDescent="0.4">
      <c r="K329" s="17">
        <v>327</v>
      </c>
      <c r="L329" s="70">
        <v>-1012.8000000000004</v>
      </c>
    </row>
    <row r="330" spans="11:12" x14ac:dyDescent="0.4">
      <c r="K330" s="17">
        <v>328</v>
      </c>
      <c r="L330" s="70">
        <v>-1004.7000000000004</v>
      </c>
    </row>
    <row r="331" spans="11:12" x14ac:dyDescent="0.4">
      <c r="K331" s="17">
        <v>329</v>
      </c>
      <c r="L331" s="70">
        <v>-1036.2000000000005</v>
      </c>
    </row>
    <row r="332" spans="11:12" x14ac:dyDescent="0.4">
      <c r="K332" s="17">
        <v>330</v>
      </c>
      <c r="L332" s="70">
        <v>-1018.2000000000004</v>
      </c>
    </row>
    <row r="333" spans="11:12" x14ac:dyDescent="0.4">
      <c r="K333" s="17">
        <v>331</v>
      </c>
      <c r="L333" s="70">
        <v>-961.30000000000041</v>
      </c>
    </row>
    <row r="334" spans="11:12" x14ac:dyDescent="0.4">
      <c r="K334" s="17">
        <v>332</v>
      </c>
      <c r="L334" s="70">
        <v>-938.60000000000036</v>
      </c>
    </row>
    <row r="335" spans="11:12" x14ac:dyDescent="0.4">
      <c r="K335" s="17">
        <v>333</v>
      </c>
      <c r="L335" s="70">
        <v>-907.80000000000041</v>
      </c>
    </row>
    <row r="336" spans="11:12" x14ac:dyDescent="0.4">
      <c r="K336" s="17">
        <v>334</v>
      </c>
      <c r="L336" s="70">
        <v>-857.30000000000041</v>
      </c>
    </row>
    <row r="337" spans="11:12" x14ac:dyDescent="0.4">
      <c r="K337" s="17">
        <v>335</v>
      </c>
      <c r="L337" s="70">
        <v>-848.70000000000039</v>
      </c>
    </row>
    <row r="338" spans="11:12" x14ac:dyDescent="0.4">
      <c r="K338" s="17">
        <v>336</v>
      </c>
      <c r="L338" s="70">
        <v>-824.00000000000045</v>
      </c>
    </row>
    <row r="339" spans="11:12" x14ac:dyDescent="0.4">
      <c r="K339" s="17">
        <v>337</v>
      </c>
      <c r="L339" s="70">
        <v>-830.20000000000039</v>
      </c>
    </row>
    <row r="340" spans="11:12" x14ac:dyDescent="0.4">
      <c r="K340" s="17">
        <v>338</v>
      </c>
      <c r="L340" s="70">
        <v>-837.50000000000045</v>
      </c>
    </row>
    <row r="341" spans="11:12" x14ac:dyDescent="0.4">
      <c r="K341" s="17">
        <v>339</v>
      </c>
      <c r="L341" s="70">
        <v>-845.50000000000045</v>
      </c>
    </row>
    <row r="342" spans="11:12" x14ac:dyDescent="0.4">
      <c r="K342" s="17">
        <v>340</v>
      </c>
      <c r="L342" s="70">
        <v>-891.20000000000039</v>
      </c>
    </row>
    <row r="343" spans="11:12" x14ac:dyDescent="0.4">
      <c r="K343" s="17">
        <v>341</v>
      </c>
      <c r="L343" s="70">
        <v>-843.30000000000041</v>
      </c>
    </row>
    <row r="344" spans="11:12" x14ac:dyDescent="0.4">
      <c r="K344" s="17">
        <v>342</v>
      </c>
      <c r="L344" s="70">
        <v>-892.50000000000045</v>
      </c>
    </row>
    <row r="345" spans="11:12" x14ac:dyDescent="0.4">
      <c r="K345" s="17">
        <v>343</v>
      </c>
      <c r="L345" s="70">
        <v>-870.50000000000045</v>
      </c>
    </row>
    <row r="346" spans="11:12" x14ac:dyDescent="0.4">
      <c r="K346" s="17">
        <v>344</v>
      </c>
      <c r="L346" s="70">
        <v>-818.40000000000043</v>
      </c>
    </row>
    <row r="347" spans="11:12" x14ac:dyDescent="0.4">
      <c r="K347" s="17">
        <v>345</v>
      </c>
      <c r="L347" s="70">
        <v>-790.2000000000005</v>
      </c>
    </row>
    <row r="348" spans="11:12" x14ac:dyDescent="0.4">
      <c r="K348" s="17">
        <v>346</v>
      </c>
      <c r="L348" s="70">
        <v>-769.30000000000041</v>
      </c>
    </row>
    <row r="349" spans="11:12" x14ac:dyDescent="0.4">
      <c r="K349" s="17">
        <v>347</v>
      </c>
      <c r="L349" s="70">
        <v>-787.7000000000005</v>
      </c>
    </row>
    <row r="350" spans="11:12" x14ac:dyDescent="0.4">
      <c r="K350" s="17">
        <v>348</v>
      </c>
      <c r="L350" s="70">
        <v>-786.7000000000005</v>
      </c>
    </row>
    <row r="351" spans="11:12" x14ac:dyDescent="0.4">
      <c r="K351" s="17">
        <v>349</v>
      </c>
      <c r="L351" s="70">
        <v>-742.90000000000055</v>
      </c>
    </row>
    <row r="352" spans="11:12" x14ac:dyDescent="0.4">
      <c r="K352" s="17">
        <v>350</v>
      </c>
      <c r="L352" s="70">
        <v>-730.00000000000045</v>
      </c>
    </row>
    <row r="353" spans="11:12" x14ac:dyDescent="0.4">
      <c r="K353" s="17">
        <v>351</v>
      </c>
      <c r="L353" s="70">
        <v>-779.30000000000052</v>
      </c>
    </row>
    <row r="354" spans="11:12" x14ac:dyDescent="0.4">
      <c r="K354" s="17">
        <v>352</v>
      </c>
      <c r="L354" s="70">
        <v>-753.2000000000005</v>
      </c>
    </row>
    <row r="355" spans="11:12" x14ac:dyDescent="0.4">
      <c r="K355" s="17">
        <v>353</v>
      </c>
      <c r="L355" s="70">
        <v>-732.10000000000059</v>
      </c>
    </row>
    <row r="356" spans="11:12" x14ac:dyDescent="0.4">
      <c r="K356" s="17">
        <v>354</v>
      </c>
      <c r="L356" s="70">
        <v>-704.00000000000045</v>
      </c>
    </row>
    <row r="357" spans="11:12" x14ac:dyDescent="0.4">
      <c r="K357" s="17">
        <v>355</v>
      </c>
      <c r="L357" s="70">
        <v>-677.80000000000052</v>
      </c>
    </row>
    <row r="358" spans="11:12" x14ac:dyDescent="0.4">
      <c r="K358" s="17">
        <v>356</v>
      </c>
      <c r="L358" s="70">
        <v>-655.50000000000045</v>
      </c>
    </row>
    <row r="359" spans="11:12" x14ac:dyDescent="0.4">
      <c r="K359" s="17">
        <v>357</v>
      </c>
      <c r="L359" s="70">
        <v>-707.00000000000045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9E45B-3645-48E4-B4BF-794E0D220154}">
  <sheetPr codeName="Sheet12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184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39</v>
      </c>
      <c r="C2" s="116"/>
      <c r="E2" s="39" t="s">
        <v>177</v>
      </c>
      <c r="F2" s="36" t="s">
        <v>178</v>
      </c>
      <c r="G2" s="24">
        <v>43</v>
      </c>
      <c r="H2" s="103">
        <f>IF(B$31=0,0,G2/B$31)</f>
        <v>0.70491803278688525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110.25641025641026</v>
      </c>
      <c r="P2" s="89">
        <v>39</v>
      </c>
      <c r="Q2" s="73">
        <v>4300</v>
      </c>
    </row>
    <row r="3" spans="1:17" x14ac:dyDescent="0.4">
      <c r="A3" s="32" t="s">
        <v>8</v>
      </c>
      <c r="B3" s="127">
        <v>316</v>
      </c>
      <c r="C3" s="128"/>
      <c r="E3" s="40" t="s">
        <v>67</v>
      </c>
      <c r="F3" s="37" t="s">
        <v>23</v>
      </c>
      <c r="G3" s="25">
        <v>39</v>
      </c>
      <c r="H3" s="104">
        <f>IF(B$31=0,0,G3/B$31)</f>
        <v>0.63934426229508201</v>
      </c>
      <c r="I3" s="65">
        <v>11</v>
      </c>
      <c r="K3" s="17">
        <v>1</v>
      </c>
      <c r="L3" s="70">
        <v>-14.4</v>
      </c>
      <c r="N3" s="86" t="s">
        <v>130</v>
      </c>
      <c r="O3" s="93">
        <f t="shared" ref="O3:O7" si="0">IF(P3=0,0,Q3/P3)</f>
        <v>3548.6486486486488</v>
      </c>
      <c r="P3" s="90">
        <v>37</v>
      </c>
      <c r="Q3" s="74">
        <v>131300</v>
      </c>
    </row>
    <row r="4" spans="1:17" x14ac:dyDescent="0.4">
      <c r="A4" s="32" t="s">
        <v>6</v>
      </c>
      <c r="B4" s="129">
        <v>91.000000000000014</v>
      </c>
      <c r="C4" s="130"/>
      <c r="E4" s="40" t="s">
        <v>73</v>
      </c>
      <c r="F4" s="37" t="s">
        <v>28</v>
      </c>
      <c r="G4" s="25">
        <v>35</v>
      </c>
      <c r="H4" s="104">
        <f>IF(B$31=0,0,G4/B$31)</f>
        <v>0.57377049180327866</v>
      </c>
      <c r="I4" s="65">
        <v>6</v>
      </c>
      <c r="K4" s="17">
        <v>2</v>
      </c>
      <c r="L4" s="70">
        <v>37.6</v>
      </c>
      <c r="N4" s="86" t="s">
        <v>131</v>
      </c>
      <c r="O4" s="93">
        <f t="shared" si="0"/>
        <v>-1190.909090909091</v>
      </c>
      <c r="P4" s="90">
        <v>33</v>
      </c>
      <c r="Q4" s="74">
        <v>-39300</v>
      </c>
    </row>
    <row r="5" spans="1:17" x14ac:dyDescent="0.4">
      <c r="A5" s="32" t="s">
        <v>7</v>
      </c>
      <c r="B5" s="131">
        <f>IF(B$2=0,0,B$4/B$2)</f>
        <v>2.3333333333333335</v>
      </c>
      <c r="C5" s="132"/>
      <c r="E5" s="40" t="s">
        <v>65</v>
      </c>
      <c r="F5" s="37" t="s">
        <v>21</v>
      </c>
      <c r="G5" s="25">
        <v>34</v>
      </c>
      <c r="H5" s="104">
        <f>IF(B$31=0,0,G5/B$31)</f>
        <v>0.55737704918032782</v>
      </c>
      <c r="I5" s="65">
        <v>4</v>
      </c>
      <c r="K5" s="17">
        <v>3</v>
      </c>
      <c r="L5" s="70">
        <v>-2.7999999999999972</v>
      </c>
      <c r="N5" s="86" t="s">
        <v>132</v>
      </c>
      <c r="O5" s="93">
        <f t="shared" si="0"/>
        <v>1419.3548387096773</v>
      </c>
      <c r="P5" s="90">
        <v>31</v>
      </c>
      <c r="Q5" s="74">
        <v>44000</v>
      </c>
    </row>
    <row r="6" spans="1:17" x14ac:dyDescent="0.4">
      <c r="A6" s="32" t="s">
        <v>1</v>
      </c>
      <c r="B6" s="123">
        <f>IF(B$2=0,0,(B$7*1+B$8*2+B$9*3)/B$2)</f>
        <v>2.0256410256410255</v>
      </c>
      <c r="C6" s="124"/>
      <c r="E6" s="40" t="s">
        <v>68</v>
      </c>
      <c r="F6" s="37" t="s">
        <v>24</v>
      </c>
      <c r="G6" s="25">
        <v>28</v>
      </c>
      <c r="H6" s="104">
        <f>IF(B$31=0,0,G6/B$31)</f>
        <v>0.45901639344262296</v>
      </c>
      <c r="I6" s="65">
        <v>3</v>
      </c>
      <c r="K6" s="17">
        <v>4</v>
      </c>
      <c r="L6" s="70">
        <v>-44.3</v>
      </c>
      <c r="N6" s="86" t="s">
        <v>133</v>
      </c>
      <c r="O6" s="93">
        <f t="shared" si="0"/>
        <v>-1657.6923076923076</v>
      </c>
      <c r="P6" s="90">
        <v>26</v>
      </c>
      <c r="Q6" s="74">
        <v>-43100</v>
      </c>
    </row>
    <row r="7" spans="1:17" x14ac:dyDescent="0.4">
      <c r="A7" s="32" t="s">
        <v>2</v>
      </c>
      <c r="B7" s="25">
        <v>14</v>
      </c>
      <c r="C7" s="18">
        <f>IF(B$2=0,0,B7/B$2)</f>
        <v>0.35897435897435898</v>
      </c>
      <c r="E7" s="40" t="s">
        <v>69</v>
      </c>
      <c r="F7" s="37" t="s">
        <v>12</v>
      </c>
      <c r="G7" s="25">
        <v>22</v>
      </c>
      <c r="H7" s="104">
        <f>IF(B$31=0,0,G7/B$31)</f>
        <v>0.36065573770491804</v>
      </c>
      <c r="I7" s="65">
        <v>3</v>
      </c>
      <c r="K7" s="17">
        <v>5</v>
      </c>
      <c r="L7" s="70">
        <v>8.2000000000000028</v>
      </c>
      <c r="N7" s="87" t="s">
        <v>134</v>
      </c>
      <c r="O7" s="94">
        <f t="shared" si="0"/>
        <v>-1190.909090909091</v>
      </c>
      <c r="P7" s="91">
        <v>22</v>
      </c>
      <c r="Q7" s="75">
        <v>-26200</v>
      </c>
    </row>
    <row r="8" spans="1:17" x14ac:dyDescent="0.4">
      <c r="A8" s="32" t="s">
        <v>3</v>
      </c>
      <c r="B8" s="25">
        <v>10</v>
      </c>
      <c r="C8" s="18">
        <f>IF(B$2=0,0,B8/B$2)</f>
        <v>0.25641025641025639</v>
      </c>
      <c r="E8" s="40" t="s">
        <v>90</v>
      </c>
      <c r="F8" s="37" t="s">
        <v>45</v>
      </c>
      <c r="G8" s="25">
        <v>10</v>
      </c>
      <c r="H8" s="104">
        <f>IF(B$31=0,0,G8/B$31)</f>
        <v>0.16393442622950818</v>
      </c>
      <c r="I8" s="65">
        <v>4</v>
      </c>
      <c r="K8" s="17">
        <v>6</v>
      </c>
      <c r="L8" s="70">
        <v>23.200000000000003</v>
      </c>
      <c r="N8" s="22"/>
      <c r="O8" s="98"/>
      <c r="P8" s="82"/>
      <c r="Q8" s="80"/>
    </row>
    <row r="9" spans="1:17" x14ac:dyDescent="0.4">
      <c r="A9" s="33" t="s">
        <v>4</v>
      </c>
      <c r="B9" s="26">
        <v>15</v>
      </c>
      <c r="C9" s="19">
        <f t="shared" ref="C9" si="1">IF(B$2=0,0,B9/B$2)</f>
        <v>0.38461538461538464</v>
      </c>
      <c r="E9" s="40" t="s">
        <v>66</v>
      </c>
      <c r="F9" s="37" t="s">
        <v>22</v>
      </c>
      <c r="G9" s="25">
        <v>8</v>
      </c>
      <c r="H9" s="104">
        <f>IF(B$31=0,0,G9/B$31)</f>
        <v>0.13114754098360656</v>
      </c>
      <c r="I9" s="65">
        <v>3</v>
      </c>
      <c r="K9" s="17">
        <v>7</v>
      </c>
      <c r="L9" s="70">
        <v>40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6</v>
      </c>
      <c r="C10" s="19">
        <f>IF(B$2=0,0,B10/B$2)</f>
        <v>0.15384615384615385</v>
      </c>
      <c r="E10" s="40" t="s">
        <v>70</v>
      </c>
      <c r="F10" s="37" t="s">
        <v>25</v>
      </c>
      <c r="G10" s="25">
        <v>6</v>
      </c>
      <c r="H10" s="104">
        <f>IF(B$31=0,0,G10/B$31)</f>
        <v>9.8360655737704916E-2</v>
      </c>
      <c r="I10" s="65">
        <v>15</v>
      </c>
      <c r="K10" s="17">
        <v>8</v>
      </c>
      <c r="L10" s="70">
        <v>4.2000000000000028</v>
      </c>
      <c r="N10" s="85" t="s">
        <v>158</v>
      </c>
      <c r="O10" s="95">
        <f>IF(P10=0,0,Q10/P10)</f>
        <v>2.7571428571428576</v>
      </c>
      <c r="P10" s="89">
        <v>14</v>
      </c>
      <c r="Q10" s="77">
        <v>38.600000000000009</v>
      </c>
    </row>
    <row r="11" spans="1:17" x14ac:dyDescent="0.4">
      <c r="A11" s="33" t="s">
        <v>137</v>
      </c>
      <c r="B11" s="26">
        <v>7</v>
      </c>
      <c r="C11" s="19">
        <f>IF(B$2=0,0,B11/B$2)</f>
        <v>0.17948717948717949</v>
      </c>
      <c r="E11" s="40" t="s">
        <v>167</v>
      </c>
      <c r="F11" s="37" t="s">
        <v>168</v>
      </c>
      <c r="G11" s="25">
        <v>6</v>
      </c>
      <c r="H11" s="104">
        <f>IF(B$31=0,0,G11/B$31)</f>
        <v>9.8360655737704916E-2</v>
      </c>
      <c r="I11" s="65">
        <v>14</v>
      </c>
      <c r="K11" s="17">
        <v>9</v>
      </c>
      <c r="L11" s="70">
        <v>6.8000000000000025</v>
      </c>
      <c r="N11" s="86" t="s">
        <v>159</v>
      </c>
      <c r="O11" s="96">
        <f>IF(P11=0,0,Q11/P11)</f>
        <v>17.985714285714284</v>
      </c>
      <c r="P11" s="90">
        <v>14</v>
      </c>
      <c r="Q11" s="78">
        <v>251.79999999999998</v>
      </c>
    </row>
    <row r="12" spans="1:17" x14ac:dyDescent="0.4">
      <c r="A12" s="34" t="s">
        <v>154</v>
      </c>
      <c r="B12" s="27">
        <v>4</v>
      </c>
      <c r="C12" s="21">
        <f>IF(B$2=0,0,B12/B$2)</f>
        <v>0.10256410256410256</v>
      </c>
      <c r="E12" s="40" t="s">
        <v>71</v>
      </c>
      <c r="F12" s="37" t="s">
        <v>26</v>
      </c>
      <c r="G12" s="25">
        <v>5</v>
      </c>
      <c r="H12" s="104">
        <f>IF(B$31=0,0,G12/B$31)</f>
        <v>8.1967213114754092E-2</v>
      </c>
      <c r="I12" s="65">
        <v>9</v>
      </c>
      <c r="K12" s="17">
        <v>10</v>
      </c>
      <c r="L12" s="70">
        <v>56.800000000000004</v>
      </c>
      <c r="N12" s="87" t="s">
        <v>160</v>
      </c>
      <c r="O12" s="97">
        <f>IF(P12=0,0,Q12/P12)</f>
        <v>-18.127272727272729</v>
      </c>
      <c r="P12" s="91">
        <v>11</v>
      </c>
      <c r="Q12" s="79">
        <v>-199.4</v>
      </c>
    </row>
    <row r="13" spans="1:17" x14ac:dyDescent="0.4">
      <c r="A13" s="35" t="s">
        <v>122</v>
      </c>
      <c r="B13" s="28">
        <v>65</v>
      </c>
      <c r="C13" s="23">
        <f>IF(B$30=0,0,B13/B$30)</f>
        <v>0.27777777777777779</v>
      </c>
      <c r="E13" s="40" t="s">
        <v>72</v>
      </c>
      <c r="F13" s="37" t="s">
        <v>27</v>
      </c>
      <c r="G13" s="25">
        <v>4</v>
      </c>
      <c r="H13" s="104">
        <f>IF(B$31=0,0,G13/B$31)</f>
        <v>6.5573770491803282E-2</v>
      </c>
      <c r="I13" s="65">
        <v>5</v>
      </c>
      <c r="K13" s="17">
        <v>11</v>
      </c>
      <c r="L13" s="70">
        <v>69.300000000000011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57</v>
      </c>
      <c r="C14" s="18">
        <f>IF(B$30=0,0,B14/B$30)</f>
        <v>0.24358974358974358</v>
      </c>
      <c r="E14" s="40" t="s">
        <v>79</v>
      </c>
      <c r="F14" s="37" t="s">
        <v>34</v>
      </c>
      <c r="G14" s="25">
        <v>3</v>
      </c>
      <c r="H14" s="104">
        <f>IF(B$31=0,0,G14/B$31)</f>
        <v>4.9180327868852458E-2</v>
      </c>
      <c r="I14" s="65">
        <v>3</v>
      </c>
      <c r="K14" s="17">
        <v>12</v>
      </c>
      <c r="L14" s="70">
        <v>80.800000000000011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34</v>
      </c>
      <c r="C15" s="16">
        <f>IF(B$13=0,0,B15/B$13)</f>
        <v>0.52307692307692311</v>
      </c>
      <c r="E15" s="40" t="s">
        <v>80</v>
      </c>
      <c r="F15" s="37" t="s">
        <v>35</v>
      </c>
      <c r="G15" s="25">
        <v>2</v>
      </c>
      <c r="H15" s="104">
        <f>IF(B$31=0,0,G15/B$31)</f>
        <v>3.2786885245901641E-2</v>
      </c>
      <c r="I15" s="65">
        <v>2</v>
      </c>
      <c r="K15" s="17">
        <v>13</v>
      </c>
      <c r="L15" s="70">
        <v>155.10000000000002</v>
      </c>
      <c r="N15" s="85" t="s">
        <v>185</v>
      </c>
      <c r="O15" s="95">
        <f>IF(P15=0,0,Q15/P15)</f>
        <v>81.3</v>
      </c>
      <c r="P15" s="89">
        <v>3</v>
      </c>
      <c r="Q15" s="77">
        <v>243.89999999999998</v>
      </c>
    </row>
    <row r="16" spans="1:17" x14ac:dyDescent="0.4">
      <c r="A16" s="31" t="s">
        <v>125</v>
      </c>
      <c r="B16" s="24">
        <v>18</v>
      </c>
      <c r="C16" s="16">
        <f>IF(B$14=0,0,B16/B$14)</f>
        <v>0.31578947368421051</v>
      </c>
      <c r="E16" s="40" t="s">
        <v>84</v>
      </c>
      <c r="F16" s="37" t="s">
        <v>39</v>
      </c>
      <c r="G16" s="25">
        <v>2</v>
      </c>
      <c r="H16" s="104">
        <f>IF(B$31=0,0,G16/B$31)</f>
        <v>3.2786885245901641E-2</v>
      </c>
      <c r="I16" s="65">
        <v>13</v>
      </c>
      <c r="K16" s="17">
        <v>14</v>
      </c>
      <c r="L16" s="70">
        <v>147.10000000000002</v>
      </c>
      <c r="N16" s="86" t="s">
        <v>162</v>
      </c>
      <c r="O16" s="96">
        <f>IF(P16=0,0,Q16/P16)</f>
        <v>26.638888888888889</v>
      </c>
      <c r="P16" s="90">
        <v>18</v>
      </c>
      <c r="Q16" s="78">
        <v>479.5</v>
      </c>
    </row>
    <row r="17" spans="1:17" x14ac:dyDescent="0.4">
      <c r="A17" s="31" t="s">
        <v>10</v>
      </c>
      <c r="B17" s="24">
        <f>B19+B18</f>
        <v>89</v>
      </c>
      <c r="C17" s="16">
        <f>IF(B$3=0,0,B17/B$3)</f>
        <v>0.28164556962025317</v>
      </c>
      <c r="E17" s="40" t="s">
        <v>163</v>
      </c>
      <c r="F17" s="37" t="s">
        <v>164</v>
      </c>
      <c r="G17" s="25">
        <v>2</v>
      </c>
      <c r="H17" s="104">
        <f>IF(B$31=0,0,G17/B$31)</f>
        <v>3.2786885245901641E-2</v>
      </c>
      <c r="I17" s="65">
        <v>1</v>
      </c>
      <c r="K17" s="17">
        <v>15</v>
      </c>
      <c r="L17" s="70">
        <v>148.80000000000001</v>
      </c>
      <c r="N17" s="86" t="s">
        <v>173</v>
      </c>
      <c r="O17" s="96">
        <f>IF(P17=0,0,Q17/P17)</f>
        <v>0.14444444444444493</v>
      </c>
      <c r="P17" s="90">
        <v>9</v>
      </c>
      <c r="Q17" s="78">
        <v>1.3000000000000043</v>
      </c>
    </row>
    <row r="18" spans="1:17" x14ac:dyDescent="0.4">
      <c r="A18" s="32" t="s">
        <v>12</v>
      </c>
      <c r="B18" s="25">
        <v>43</v>
      </c>
      <c r="C18" s="18">
        <f>IF(B$17=0,0,B18/B$17)</f>
        <v>0.48314606741573035</v>
      </c>
      <c r="E18" s="40" t="s">
        <v>74</v>
      </c>
      <c r="F18" s="37" t="s">
        <v>29</v>
      </c>
      <c r="G18" s="25">
        <v>1</v>
      </c>
      <c r="H18" s="104">
        <f>IF(B$31=0,0,G18/B$31)</f>
        <v>1.6393442622950821E-2</v>
      </c>
      <c r="I18" s="65">
        <v>1</v>
      </c>
      <c r="K18" s="17">
        <v>16</v>
      </c>
      <c r="L18" s="70">
        <v>152.30000000000001</v>
      </c>
      <c r="N18" s="86" t="s">
        <v>174</v>
      </c>
      <c r="O18" s="96">
        <f>IF(P18=0,0,Q18/P18)</f>
        <v>-4.3000000000000007</v>
      </c>
      <c r="P18" s="90">
        <v>4</v>
      </c>
      <c r="Q18" s="78">
        <v>-17.200000000000003</v>
      </c>
    </row>
    <row r="19" spans="1:17" x14ac:dyDescent="0.4">
      <c r="A19" s="32" t="s">
        <v>11</v>
      </c>
      <c r="B19" s="25">
        <v>46</v>
      </c>
      <c r="C19" s="18">
        <f>IF(B$17=0,0,B19/B$17)</f>
        <v>0.5168539325842697</v>
      </c>
      <c r="E19" s="40" t="s">
        <v>87</v>
      </c>
      <c r="F19" s="37" t="s">
        <v>42</v>
      </c>
      <c r="G19" s="25">
        <v>1</v>
      </c>
      <c r="H19" s="104">
        <f>IF(B$31=0,0,G19/B$31)</f>
        <v>1.6393442622950821E-2</v>
      </c>
      <c r="I19" s="65">
        <v>16</v>
      </c>
      <c r="K19" s="17">
        <v>17</v>
      </c>
      <c r="L19" s="70">
        <v>178.10000000000002</v>
      </c>
      <c r="N19" s="86" t="s">
        <v>127</v>
      </c>
      <c r="O19" s="96">
        <f>IF(P19=0,0,Q19/P19)</f>
        <v>-5.2833333333333332</v>
      </c>
      <c r="P19" s="90">
        <v>30</v>
      </c>
      <c r="Q19" s="78">
        <v>-158.5</v>
      </c>
    </row>
    <row r="20" spans="1:17" x14ac:dyDescent="0.4">
      <c r="A20" s="32" t="s">
        <v>13</v>
      </c>
      <c r="B20" s="25">
        <v>53</v>
      </c>
      <c r="C20" s="18">
        <f>IF(B$3=0,0,B20/B$3)</f>
        <v>0.16772151898734178</v>
      </c>
      <c r="E20" s="40" t="s">
        <v>92</v>
      </c>
      <c r="F20" s="37" t="s">
        <v>47</v>
      </c>
      <c r="G20" s="25">
        <v>1</v>
      </c>
      <c r="H20" s="104">
        <f>IF(B$31=0,0,G20/B$31)</f>
        <v>1.6393442622950821E-2</v>
      </c>
      <c r="I20" s="65">
        <v>9</v>
      </c>
      <c r="K20" s="17">
        <v>18</v>
      </c>
      <c r="L20" s="70">
        <v>155.00000000000003</v>
      </c>
      <c r="N20" s="86" t="s">
        <v>128</v>
      </c>
      <c r="O20" s="96">
        <f>IF(P20=0,0,Q20/P20)</f>
        <v>-19.630000000000003</v>
      </c>
      <c r="P20" s="90">
        <v>10</v>
      </c>
      <c r="Q20" s="78">
        <v>-196.3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93</v>
      </c>
      <c r="F21" s="37" t="s">
        <v>48</v>
      </c>
      <c r="G21" s="25">
        <v>1</v>
      </c>
      <c r="H21" s="104">
        <f>IF(B$31=0,0,G21/B$31)</f>
        <v>1.6393442622950821E-2</v>
      </c>
      <c r="I21" s="65">
        <v>1</v>
      </c>
      <c r="K21" s="17">
        <v>19</v>
      </c>
      <c r="L21" s="70">
        <v>143.60000000000002</v>
      </c>
      <c r="N21" s="86" t="s">
        <v>171</v>
      </c>
      <c r="O21" s="96">
        <f>IF(P21=0,0,Q21/P21)</f>
        <v>-19.925000000000004</v>
      </c>
      <c r="P21" s="90">
        <v>4</v>
      </c>
      <c r="Q21" s="78">
        <v>-79.700000000000017</v>
      </c>
    </row>
    <row r="22" spans="1:17" x14ac:dyDescent="0.4">
      <c r="A22" s="32" t="s">
        <v>166</v>
      </c>
      <c r="B22" s="25">
        <v>23</v>
      </c>
      <c r="C22" s="106">
        <v>0</v>
      </c>
      <c r="E22" s="40" t="s">
        <v>75</v>
      </c>
      <c r="F22" s="37" t="s">
        <v>30</v>
      </c>
      <c r="G22" s="25">
        <v>0</v>
      </c>
      <c r="H22" s="104">
        <f>IF(B$31=0,0,G22/B$31)</f>
        <v>0</v>
      </c>
      <c r="I22" s="65">
        <v>10</v>
      </c>
      <c r="K22" s="17">
        <v>20</v>
      </c>
      <c r="L22" s="70">
        <v>152.50000000000003</v>
      </c>
    </row>
    <row r="23" spans="1:17" x14ac:dyDescent="0.4">
      <c r="A23" s="32" t="s">
        <v>5</v>
      </c>
      <c r="B23" s="29">
        <f>IF(B$17=0,0,C23/B$17)</f>
        <v>11250.561797752809</v>
      </c>
      <c r="C23" s="20">
        <v>1001300</v>
      </c>
      <c r="E23" s="40" t="s">
        <v>76</v>
      </c>
      <c r="F23" s="37" t="s">
        <v>31</v>
      </c>
      <c r="G23" s="25">
        <v>0</v>
      </c>
      <c r="H23" s="104">
        <f>IF(B$31=0,0,G23/B$31)</f>
        <v>0</v>
      </c>
      <c r="I23" s="65">
        <v>10</v>
      </c>
      <c r="K23" s="17">
        <v>21</v>
      </c>
      <c r="L23" s="70">
        <v>138.00000000000003</v>
      </c>
    </row>
    <row r="24" spans="1:17" x14ac:dyDescent="0.4">
      <c r="A24" s="33" t="s">
        <v>189</v>
      </c>
      <c r="B24" s="111">
        <f>IF($B$17-B$16=0,0,C24/($B$17-B$16))</f>
        <v>11712.676056338029</v>
      </c>
      <c r="C24" s="112">
        <v>831600</v>
      </c>
      <c r="E24" s="40" t="s">
        <v>77</v>
      </c>
      <c r="F24" s="37" t="s">
        <v>32</v>
      </c>
      <c r="G24" s="25">
        <v>0</v>
      </c>
      <c r="H24" s="104">
        <f>IF(B$31=0,0,G24/B$31)</f>
        <v>0</v>
      </c>
      <c r="I24" s="65">
        <v>1</v>
      </c>
      <c r="K24" s="17">
        <v>22</v>
      </c>
      <c r="L24" s="70">
        <v>101.30000000000003</v>
      </c>
    </row>
    <row r="25" spans="1:17" x14ac:dyDescent="0.4">
      <c r="A25" s="33" t="s">
        <v>190</v>
      </c>
      <c r="B25" s="111">
        <f>IF(B$16=0,0,C25/B$16)</f>
        <v>9427.7777777777774</v>
      </c>
      <c r="C25" s="112">
        <v>169700</v>
      </c>
      <c r="E25" s="40" t="s">
        <v>78</v>
      </c>
      <c r="F25" s="37" t="s">
        <v>33</v>
      </c>
      <c r="G25" s="25">
        <v>0</v>
      </c>
      <c r="H25" s="104">
        <f>IF(B$31=0,0,G25/B$31)</f>
        <v>0</v>
      </c>
      <c r="I25" s="65">
        <v>9</v>
      </c>
      <c r="K25" s="17">
        <v>23</v>
      </c>
      <c r="L25" s="70">
        <v>53.800000000000026</v>
      </c>
    </row>
    <row r="26" spans="1:17" x14ac:dyDescent="0.4">
      <c r="A26" s="32" t="s">
        <v>14</v>
      </c>
      <c r="B26" s="29">
        <f>IF(B$20=0,0,C26/B$20)</f>
        <v>-9054.7169811320746</v>
      </c>
      <c r="C26" s="20">
        <v>-479900</v>
      </c>
      <c r="E26" s="40" t="s">
        <v>81</v>
      </c>
      <c r="F26" s="37" t="s">
        <v>36</v>
      </c>
      <c r="G26" s="25">
        <v>0</v>
      </c>
      <c r="H26" s="104">
        <f>IF(B$31=0,0,G26/B$31)</f>
        <v>0</v>
      </c>
      <c r="I26" s="65">
        <v>3</v>
      </c>
      <c r="K26" s="17">
        <v>24</v>
      </c>
      <c r="L26" s="70">
        <v>81.500000000000028</v>
      </c>
    </row>
    <row r="27" spans="1:17" x14ac:dyDescent="0.4">
      <c r="A27" s="61" t="s">
        <v>139</v>
      </c>
      <c r="B27" s="121">
        <v>7</v>
      </c>
      <c r="C27" s="122"/>
      <c r="E27" s="40" t="s">
        <v>82</v>
      </c>
      <c r="F27" s="37" t="s">
        <v>37</v>
      </c>
      <c r="G27" s="25">
        <v>0</v>
      </c>
      <c r="H27" s="104">
        <f>IF(B$31=0,0,G27/B$31)</f>
        <v>0</v>
      </c>
      <c r="I27" s="65">
        <v>14</v>
      </c>
      <c r="K27" s="17">
        <v>25</v>
      </c>
      <c r="L27" s="70">
        <v>79.500000000000028</v>
      </c>
    </row>
    <row r="28" spans="1:17" x14ac:dyDescent="0.4">
      <c r="A28" s="35" t="s">
        <v>146</v>
      </c>
      <c r="B28" s="119">
        <v>109300</v>
      </c>
      <c r="C28" s="120"/>
      <c r="E28" s="40" t="s">
        <v>83</v>
      </c>
      <c r="F28" s="37" t="s">
        <v>38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51.10000000000003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85</v>
      </c>
      <c r="F29" s="37" t="s">
        <v>40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64.700000000000031</v>
      </c>
    </row>
    <row r="30" spans="1:17" x14ac:dyDescent="0.4">
      <c r="A30" s="31" t="s">
        <v>179</v>
      </c>
      <c r="B30" s="115">
        <v>234</v>
      </c>
      <c r="C30" s="116"/>
      <c r="E30" s="40" t="s">
        <v>86</v>
      </c>
      <c r="F30" s="37" t="s">
        <v>41</v>
      </c>
      <c r="G30" s="25">
        <v>0</v>
      </c>
      <c r="H30" s="104">
        <f>IF(B$31=0,0,G30/B$31)</f>
        <v>0</v>
      </c>
      <c r="I30" s="65">
        <v>8</v>
      </c>
      <c r="K30" s="17">
        <v>28</v>
      </c>
      <c r="L30" s="70">
        <v>49.60000000000003</v>
      </c>
    </row>
    <row r="31" spans="1:17" x14ac:dyDescent="0.4">
      <c r="A31" s="34" t="s">
        <v>180</v>
      </c>
      <c r="B31" s="117">
        <v>61</v>
      </c>
      <c r="C31" s="118"/>
      <c r="E31" s="40" t="s">
        <v>88</v>
      </c>
      <c r="F31" s="37" t="s">
        <v>43</v>
      </c>
      <c r="G31" s="25">
        <v>0</v>
      </c>
      <c r="H31" s="104">
        <f>IF(B$31=0,0,G31/B$31)</f>
        <v>0</v>
      </c>
      <c r="I31" s="65">
        <v>8</v>
      </c>
      <c r="K31" s="17">
        <v>29</v>
      </c>
      <c r="L31" s="70">
        <v>15.400000000000027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-30.799999999999976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-26.799999999999976</v>
      </c>
    </row>
    <row r="34" spans="5:12" x14ac:dyDescent="0.4">
      <c r="E34" s="40" t="s">
        <v>94</v>
      </c>
      <c r="F34" s="37" t="s">
        <v>49</v>
      </c>
      <c r="G34" s="25">
        <v>0</v>
      </c>
      <c r="H34" s="104">
        <f>IF(B$31=0,0,G34/B$31)</f>
        <v>0</v>
      </c>
      <c r="I34" s="65">
        <v>9</v>
      </c>
      <c r="K34" s="17">
        <v>32</v>
      </c>
      <c r="L34" s="70">
        <v>8.2000000000000242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-9.3999999999999773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-46.399999999999977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-34.09999999999998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5.1000000000000263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-46.59999999999998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30.500000000000014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91.000000000000014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F5933-5DA7-40AF-9545-4A3D379F3EF9}">
  <sheetPr codeName="Sheet13"/>
  <dimension ref="A1:Q27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171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271</v>
      </c>
      <c r="C2" s="116"/>
      <c r="E2" s="39" t="s">
        <v>67</v>
      </c>
      <c r="F2" s="36" t="s">
        <v>23</v>
      </c>
      <c r="G2" s="24">
        <v>471</v>
      </c>
      <c r="H2" s="103">
        <f>IF(B$31=0,0,G2/B$31)</f>
        <v>0.78109452736318408</v>
      </c>
      <c r="I2" s="64">
        <v>5</v>
      </c>
      <c r="K2" s="15">
        <v>0</v>
      </c>
      <c r="L2" s="69">
        <v>0</v>
      </c>
      <c r="N2" s="85" t="s">
        <v>129</v>
      </c>
      <c r="O2" s="92">
        <f>IF(P2=0,0,Q2/P2)</f>
        <v>36.704119850187269</v>
      </c>
      <c r="P2" s="89">
        <v>267</v>
      </c>
      <c r="Q2" s="73">
        <v>9800</v>
      </c>
    </row>
    <row r="3" spans="1:17" x14ac:dyDescent="0.4">
      <c r="A3" s="32" t="s">
        <v>8</v>
      </c>
      <c r="B3" s="127">
        <v>2161</v>
      </c>
      <c r="C3" s="128"/>
      <c r="E3" s="40" t="s">
        <v>73</v>
      </c>
      <c r="F3" s="37" t="s">
        <v>28</v>
      </c>
      <c r="G3" s="25">
        <v>356</v>
      </c>
      <c r="H3" s="104">
        <f>IF(B$31=0,0,G3/B$31)</f>
        <v>0.5903814262023217</v>
      </c>
      <c r="I3" s="65">
        <v>5</v>
      </c>
      <c r="K3" s="17">
        <v>1</v>
      </c>
      <c r="L3" s="70">
        <v>3.9</v>
      </c>
      <c r="N3" s="86" t="s">
        <v>130</v>
      </c>
      <c r="O3" s="93">
        <f t="shared" ref="O3:O7" si="0">IF(P3=0,0,Q3/P3)</f>
        <v>249.61538461538461</v>
      </c>
      <c r="P3" s="90">
        <v>260</v>
      </c>
      <c r="Q3" s="74">
        <v>64900</v>
      </c>
    </row>
    <row r="4" spans="1:17" x14ac:dyDescent="0.4">
      <c r="A4" s="32" t="s">
        <v>6</v>
      </c>
      <c r="B4" s="129">
        <v>-294.09999999999985</v>
      </c>
      <c r="C4" s="130"/>
      <c r="E4" s="40" t="s">
        <v>65</v>
      </c>
      <c r="F4" s="37" t="s">
        <v>21</v>
      </c>
      <c r="G4" s="25">
        <v>332</v>
      </c>
      <c r="H4" s="104">
        <f>IF(B$31=0,0,G4/B$31)</f>
        <v>0.55058043117744615</v>
      </c>
      <c r="I4" s="65">
        <v>5</v>
      </c>
      <c r="K4" s="17">
        <v>2</v>
      </c>
      <c r="L4" s="70">
        <v>-33.9</v>
      </c>
      <c r="N4" s="86" t="s">
        <v>131</v>
      </c>
      <c r="O4" s="93">
        <f t="shared" si="0"/>
        <v>553.08641975308637</v>
      </c>
      <c r="P4" s="90">
        <v>243</v>
      </c>
      <c r="Q4" s="74">
        <v>134400</v>
      </c>
    </row>
    <row r="5" spans="1:17" x14ac:dyDescent="0.4">
      <c r="A5" s="32" t="s">
        <v>7</v>
      </c>
      <c r="B5" s="131">
        <f>IF(B$2=0,0,B$4/B$2)</f>
        <v>-1.0852398523985234</v>
      </c>
      <c r="C5" s="132"/>
      <c r="E5" s="40" t="s">
        <v>177</v>
      </c>
      <c r="F5" s="37" t="s">
        <v>178</v>
      </c>
      <c r="G5" s="25">
        <v>254</v>
      </c>
      <c r="H5" s="104">
        <f>IF(B$31=0,0,G5/B$31)</f>
        <v>0.42122719734660036</v>
      </c>
      <c r="I5" s="65">
        <v>6</v>
      </c>
      <c r="K5" s="17">
        <v>3</v>
      </c>
      <c r="L5" s="70">
        <v>-70.099999999999994</v>
      </c>
      <c r="N5" s="86" t="s">
        <v>132</v>
      </c>
      <c r="O5" s="93">
        <f t="shared" si="0"/>
        <v>383.02752293577981</v>
      </c>
      <c r="P5" s="90">
        <v>218</v>
      </c>
      <c r="Q5" s="74">
        <v>83500</v>
      </c>
    </row>
    <row r="6" spans="1:17" x14ac:dyDescent="0.4">
      <c r="A6" s="32" t="s">
        <v>1</v>
      </c>
      <c r="B6" s="123">
        <f>IF(B$2=0,0,(B$7*1+B$8*2+B$9*3)/B$2)</f>
        <v>2.0774907749077491</v>
      </c>
      <c r="C6" s="124"/>
      <c r="E6" s="40" t="s">
        <v>68</v>
      </c>
      <c r="F6" s="37" t="s">
        <v>24</v>
      </c>
      <c r="G6" s="25">
        <v>216</v>
      </c>
      <c r="H6" s="104">
        <f>IF(B$31=0,0,G6/B$31)</f>
        <v>0.35820895522388058</v>
      </c>
      <c r="I6" s="65">
        <v>5</v>
      </c>
      <c r="K6" s="17">
        <v>4</v>
      </c>
      <c r="L6" s="70">
        <v>-35.099999999999994</v>
      </c>
      <c r="N6" s="86" t="s">
        <v>133</v>
      </c>
      <c r="O6" s="93">
        <f t="shared" si="0"/>
        <v>-2345.4545454545455</v>
      </c>
      <c r="P6" s="90">
        <v>198</v>
      </c>
      <c r="Q6" s="74">
        <v>-464400</v>
      </c>
    </row>
    <row r="7" spans="1:17" x14ac:dyDescent="0.4">
      <c r="A7" s="32" t="s">
        <v>2</v>
      </c>
      <c r="B7" s="25">
        <v>78</v>
      </c>
      <c r="C7" s="18">
        <f>IF(B$2=0,0,B7/B$2)</f>
        <v>0.28782287822878228</v>
      </c>
      <c r="E7" s="40" t="s">
        <v>69</v>
      </c>
      <c r="F7" s="37" t="s">
        <v>12</v>
      </c>
      <c r="G7" s="25">
        <v>185</v>
      </c>
      <c r="H7" s="104">
        <f>IF(B$31=0,0,G7/B$31)</f>
        <v>0.30679933665008291</v>
      </c>
      <c r="I7" s="65">
        <v>10</v>
      </c>
      <c r="K7" s="17">
        <v>5</v>
      </c>
      <c r="L7" s="70">
        <v>-80.099999999999994</v>
      </c>
      <c r="N7" s="87" t="s">
        <v>134</v>
      </c>
      <c r="O7" s="94">
        <f t="shared" si="0"/>
        <v>-113.0952380952381</v>
      </c>
      <c r="P7" s="91">
        <v>168</v>
      </c>
      <c r="Q7" s="75">
        <v>-19000</v>
      </c>
    </row>
    <row r="8" spans="1:17" x14ac:dyDescent="0.4">
      <c r="A8" s="32" t="s">
        <v>3</v>
      </c>
      <c r="B8" s="25">
        <v>94</v>
      </c>
      <c r="C8" s="18">
        <f>IF(B$2=0,0,B8/B$2)</f>
        <v>0.34686346863468637</v>
      </c>
      <c r="E8" s="40" t="s">
        <v>167</v>
      </c>
      <c r="F8" s="37" t="s">
        <v>168</v>
      </c>
      <c r="G8" s="25">
        <v>129</v>
      </c>
      <c r="H8" s="104">
        <f>IF(B$31=0,0,G8/B$31)</f>
        <v>0.21393034825870647</v>
      </c>
      <c r="I8" s="65">
        <v>11</v>
      </c>
      <c r="K8" s="17">
        <v>6</v>
      </c>
      <c r="L8" s="70">
        <v>-116.1</v>
      </c>
      <c r="N8" s="22"/>
      <c r="O8" s="98"/>
      <c r="P8" s="82"/>
      <c r="Q8" s="80"/>
    </row>
    <row r="9" spans="1:17" x14ac:dyDescent="0.4">
      <c r="A9" s="33" t="s">
        <v>4</v>
      </c>
      <c r="B9" s="26">
        <v>99</v>
      </c>
      <c r="C9" s="19">
        <f t="shared" ref="C9" si="1">IF(B$2=0,0,B9/B$2)</f>
        <v>0.36531365313653136</v>
      </c>
      <c r="E9" s="40" t="s">
        <v>70</v>
      </c>
      <c r="F9" s="37" t="s">
        <v>25</v>
      </c>
      <c r="G9" s="25">
        <v>101</v>
      </c>
      <c r="H9" s="104">
        <f>IF(B$31=0,0,G9/B$31)</f>
        <v>0.16749585406301823</v>
      </c>
      <c r="I9" s="65">
        <v>3</v>
      </c>
      <c r="K9" s="17">
        <v>7</v>
      </c>
      <c r="L9" s="70">
        <v>-147.4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39</v>
      </c>
      <c r="C10" s="19">
        <f>IF(B$2=0,0,B10/B$2)</f>
        <v>0.14391143911439114</v>
      </c>
      <c r="E10" s="40" t="s">
        <v>90</v>
      </c>
      <c r="F10" s="37" t="s">
        <v>45</v>
      </c>
      <c r="G10" s="25">
        <v>96</v>
      </c>
      <c r="H10" s="104">
        <f>IF(B$31=0,0,G10/B$31)</f>
        <v>0.15920398009950248</v>
      </c>
      <c r="I10" s="65">
        <v>5</v>
      </c>
      <c r="K10" s="17">
        <v>8</v>
      </c>
      <c r="L10" s="70">
        <v>-146</v>
      </c>
      <c r="N10" s="85" t="s">
        <v>158</v>
      </c>
      <c r="O10" s="95">
        <f>IF(P10=0,0,Q10/P10)</f>
        <v>-2.654651162790699</v>
      </c>
      <c r="P10" s="89">
        <v>86</v>
      </c>
      <c r="Q10" s="77">
        <v>-228.3000000000001</v>
      </c>
    </row>
    <row r="11" spans="1:17" x14ac:dyDescent="0.4">
      <c r="A11" s="33" t="s">
        <v>137</v>
      </c>
      <c r="B11" s="26">
        <v>42</v>
      </c>
      <c r="C11" s="19">
        <f>IF(B$2=0,0,B11/B$2)</f>
        <v>0.15498154981549817</v>
      </c>
      <c r="E11" s="40" t="s">
        <v>66</v>
      </c>
      <c r="F11" s="37" t="s">
        <v>22</v>
      </c>
      <c r="G11" s="25">
        <v>66</v>
      </c>
      <c r="H11" s="104">
        <f>IF(B$31=0,0,G11/B$31)</f>
        <v>0.10945273631840796</v>
      </c>
      <c r="I11" s="65">
        <v>9</v>
      </c>
      <c r="K11" s="17">
        <v>9</v>
      </c>
      <c r="L11" s="70">
        <v>-173</v>
      </c>
      <c r="N11" s="86" t="s">
        <v>159</v>
      </c>
      <c r="O11" s="96">
        <f>IF(P11=0,0,Q11/P11)</f>
        <v>0.33366336633663413</v>
      </c>
      <c r="P11" s="90">
        <v>101</v>
      </c>
      <c r="Q11" s="78">
        <v>33.700000000000045</v>
      </c>
    </row>
    <row r="12" spans="1:17" x14ac:dyDescent="0.4">
      <c r="A12" s="34" t="s">
        <v>154</v>
      </c>
      <c r="B12" s="27">
        <v>20</v>
      </c>
      <c r="C12" s="21">
        <f>IF(B$2=0,0,B12/B$2)</f>
        <v>7.3800738007380073E-2</v>
      </c>
      <c r="E12" s="40" t="s">
        <v>71</v>
      </c>
      <c r="F12" s="37" t="s">
        <v>26</v>
      </c>
      <c r="G12" s="25">
        <v>63</v>
      </c>
      <c r="H12" s="104">
        <f>IF(B$31=0,0,G12/B$31)</f>
        <v>0.1044776119402985</v>
      </c>
      <c r="I12" s="65">
        <v>5</v>
      </c>
      <c r="K12" s="17">
        <v>10</v>
      </c>
      <c r="L12" s="70">
        <v>-206.1</v>
      </c>
      <c r="N12" s="87" t="s">
        <v>160</v>
      </c>
      <c r="O12" s="97">
        <f>IF(P12=0,0,Q12/P12)</f>
        <v>0.15802469135802499</v>
      </c>
      <c r="P12" s="91">
        <v>81</v>
      </c>
      <c r="Q12" s="79">
        <v>12.800000000000026</v>
      </c>
    </row>
    <row r="13" spans="1:17" x14ac:dyDescent="0.4">
      <c r="A13" s="35" t="s">
        <v>122</v>
      </c>
      <c r="B13" s="28">
        <v>620</v>
      </c>
      <c r="C13" s="23">
        <f>IF(B$30=0,0,B13/B$30)</f>
        <v>0.29190207156308851</v>
      </c>
      <c r="E13" s="40" t="s">
        <v>87</v>
      </c>
      <c r="F13" s="37" t="s">
        <v>42</v>
      </c>
      <c r="G13" s="25">
        <v>46</v>
      </c>
      <c r="H13" s="104">
        <f>IF(B$31=0,0,G13/B$31)</f>
        <v>7.6285240464344942E-2</v>
      </c>
      <c r="I13" s="65">
        <v>7</v>
      </c>
      <c r="K13" s="17">
        <v>11</v>
      </c>
      <c r="L13" s="70">
        <v>-174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411</v>
      </c>
      <c r="C14" s="18">
        <f>IF(B$30=0,0,B14/B$30)</f>
        <v>0.19350282485875706</v>
      </c>
      <c r="E14" s="40" t="s">
        <v>72</v>
      </c>
      <c r="F14" s="37" t="s">
        <v>27</v>
      </c>
      <c r="G14" s="25">
        <v>26</v>
      </c>
      <c r="H14" s="104">
        <f>IF(B$31=0,0,G14/B$31)</f>
        <v>4.3117744610281922E-2</v>
      </c>
      <c r="I14" s="65">
        <v>12</v>
      </c>
      <c r="K14" s="17">
        <v>12</v>
      </c>
      <c r="L14" s="70">
        <v>-197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345</v>
      </c>
      <c r="C15" s="16">
        <f>IF(B$13=0,0,B15/B$13)</f>
        <v>0.55645161290322576</v>
      </c>
      <c r="E15" s="40" t="s">
        <v>84</v>
      </c>
      <c r="F15" s="37" t="s">
        <v>39</v>
      </c>
      <c r="G15" s="25">
        <v>23</v>
      </c>
      <c r="H15" s="104">
        <f>IF(B$31=0,0,G15/B$31)</f>
        <v>3.8142620232172471E-2</v>
      </c>
      <c r="I15" s="65">
        <v>11</v>
      </c>
      <c r="K15" s="17">
        <v>13</v>
      </c>
      <c r="L15" s="70">
        <v>-235</v>
      </c>
      <c r="N15" s="85" t="s">
        <v>186</v>
      </c>
      <c r="O15" s="95">
        <f>IF(P15=0,0,Q15/P15)</f>
        <v>25.3</v>
      </c>
      <c r="P15" s="89">
        <v>2</v>
      </c>
      <c r="Q15" s="77">
        <v>50.6</v>
      </c>
    </row>
    <row r="16" spans="1:17" x14ac:dyDescent="0.4">
      <c r="A16" s="31" t="s">
        <v>125</v>
      </c>
      <c r="B16" s="24">
        <v>170</v>
      </c>
      <c r="C16" s="16">
        <f>IF(B$14=0,0,B16/B$14)</f>
        <v>0.41362530413625304</v>
      </c>
      <c r="E16" s="40" t="s">
        <v>79</v>
      </c>
      <c r="F16" s="37" t="s">
        <v>34</v>
      </c>
      <c r="G16" s="25">
        <v>22</v>
      </c>
      <c r="H16" s="104">
        <f>IF(B$31=0,0,G16/B$31)</f>
        <v>3.6484245439469321E-2</v>
      </c>
      <c r="I16" s="65">
        <v>5</v>
      </c>
      <c r="K16" s="17">
        <v>14</v>
      </c>
      <c r="L16" s="70">
        <v>-231</v>
      </c>
      <c r="N16" s="86" t="s">
        <v>175</v>
      </c>
      <c r="O16" s="96">
        <f>IF(P16=0,0,Q16/P16)</f>
        <v>20.209090909090907</v>
      </c>
      <c r="P16" s="90">
        <v>11</v>
      </c>
      <c r="Q16" s="78">
        <v>222.29999999999998</v>
      </c>
    </row>
    <row r="17" spans="1:17" x14ac:dyDescent="0.4">
      <c r="A17" s="31" t="s">
        <v>10</v>
      </c>
      <c r="B17" s="24">
        <f>B19+B18</f>
        <v>613</v>
      </c>
      <c r="C17" s="16">
        <f>IF(B$3=0,0,B17/B$3)</f>
        <v>0.28366496992133272</v>
      </c>
      <c r="E17" s="40" t="s">
        <v>92</v>
      </c>
      <c r="F17" s="37" t="s">
        <v>47</v>
      </c>
      <c r="G17" s="25">
        <v>17</v>
      </c>
      <c r="H17" s="104">
        <f>IF(B$31=0,0,G17/B$31)</f>
        <v>2.8192371475953566E-2</v>
      </c>
      <c r="I17" s="65">
        <v>2</v>
      </c>
      <c r="K17" s="17">
        <v>15</v>
      </c>
      <c r="L17" s="70">
        <v>-212.5</v>
      </c>
      <c r="N17" s="86" t="s">
        <v>184</v>
      </c>
      <c r="O17" s="96">
        <f>IF(P17=0,0,Q17/P17)</f>
        <v>19.924999999999997</v>
      </c>
      <c r="P17" s="90">
        <v>4</v>
      </c>
      <c r="Q17" s="78">
        <v>79.699999999999989</v>
      </c>
    </row>
    <row r="18" spans="1:17" x14ac:dyDescent="0.4">
      <c r="A18" s="32" t="s">
        <v>12</v>
      </c>
      <c r="B18" s="25">
        <v>260</v>
      </c>
      <c r="C18" s="18">
        <f>IF(B$17=0,0,B18/B$17)</f>
        <v>0.42414355628058725</v>
      </c>
      <c r="E18" s="40" t="s">
        <v>82</v>
      </c>
      <c r="F18" s="37" t="s">
        <v>37</v>
      </c>
      <c r="G18" s="25">
        <v>16</v>
      </c>
      <c r="H18" s="104">
        <f>IF(B$31=0,0,G18/B$31)</f>
        <v>2.6533996683250415E-2</v>
      </c>
      <c r="I18" s="65">
        <v>8</v>
      </c>
      <c r="K18" s="17">
        <v>16</v>
      </c>
      <c r="L18" s="70">
        <v>-233.2</v>
      </c>
      <c r="N18" s="86" t="s">
        <v>185</v>
      </c>
      <c r="O18" s="96">
        <f>IF(P18=0,0,Q18/P18)</f>
        <v>11.2125</v>
      </c>
      <c r="P18" s="90">
        <v>16</v>
      </c>
      <c r="Q18" s="78">
        <v>179.4</v>
      </c>
    </row>
    <row r="19" spans="1:17" x14ac:dyDescent="0.4">
      <c r="A19" s="32" t="s">
        <v>11</v>
      </c>
      <c r="B19" s="25">
        <v>353</v>
      </c>
      <c r="C19" s="18">
        <f>IF(B$17=0,0,B19/B$17)</f>
        <v>0.57585644371941269</v>
      </c>
      <c r="E19" s="40" t="s">
        <v>80</v>
      </c>
      <c r="F19" s="37" t="s">
        <v>35</v>
      </c>
      <c r="G19" s="25">
        <v>10</v>
      </c>
      <c r="H19" s="104">
        <f>IF(B$31=0,0,G19/B$31)</f>
        <v>1.658374792703151E-2</v>
      </c>
      <c r="I19" s="65">
        <v>7</v>
      </c>
      <c r="K19" s="17">
        <v>17</v>
      </c>
      <c r="L19" s="70">
        <v>-268.7</v>
      </c>
      <c r="N19" s="86" t="s">
        <v>174</v>
      </c>
      <c r="O19" s="96">
        <f>IF(P19=0,0,Q19/P19)</f>
        <v>7.3615384615384594</v>
      </c>
      <c r="P19" s="90">
        <v>26</v>
      </c>
      <c r="Q19" s="78">
        <v>191.39999999999995</v>
      </c>
    </row>
    <row r="20" spans="1:17" x14ac:dyDescent="0.4">
      <c r="A20" s="32" t="s">
        <v>13</v>
      </c>
      <c r="B20" s="25">
        <v>397</v>
      </c>
      <c r="C20" s="18">
        <f>IF(B$3=0,0,B20/B$3)</f>
        <v>0.18371124479407683</v>
      </c>
      <c r="E20" s="40" t="s">
        <v>74</v>
      </c>
      <c r="F20" s="37" t="s">
        <v>29</v>
      </c>
      <c r="G20" s="25">
        <v>7</v>
      </c>
      <c r="H20" s="104">
        <f>IF(B$31=0,0,G20/B$31)</f>
        <v>1.1608623548922056E-2</v>
      </c>
      <c r="I20" s="65">
        <v>3</v>
      </c>
      <c r="K20" s="17">
        <v>18</v>
      </c>
      <c r="L20" s="70">
        <v>-295.8</v>
      </c>
      <c r="N20" s="86" t="s">
        <v>176</v>
      </c>
      <c r="O20" s="96">
        <f>IF(P20=0,0,Q20/P20)</f>
        <v>5.6000000000000014</v>
      </c>
      <c r="P20" s="90">
        <v>8</v>
      </c>
      <c r="Q20" s="78">
        <v>44.800000000000011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76</v>
      </c>
      <c r="F21" s="37" t="s">
        <v>31</v>
      </c>
      <c r="G21" s="25">
        <v>7</v>
      </c>
      <c r="H21" s="104">
        <f>IF(B$31=0,0,G21/B$31)</f>
        <v>1.1608623548922056E-2</v>
      </c>
      <c r="I21" s="65">
        <v>1</v>
      </c>
      <c r="K21" s="17">
        <v>19</v>
      </c>
      <c r="L21" s="70">
        <v>-273.2</v>
      </c>
      <c r="N21" s="86" t="s">
        <v>162</v>
      </c>
      <c r="O21" s="96">
        <f>IF(P21=0,0,Q21/P21)</f>
        <v>3.9268292682926815</v>
      </c>
      <c r="P21" s="90">
        <v>41</v>
      </c>
      <c r="Q21" s="78">
        <v>160.99999999999994</v>
      </c>
    </row>
    <row r="22" spans="1:17" x14ac:dyDescent="0.4">
      <c r="A22" s="32" t="s">
        <v>166</v>
      </c>
      <c r="B22" s="25">
        <v>32</v>
      </c>
      <c r="C22" s="106">
        <v>0</v>
      </c>
      <c r="E22" s="40" t="s">
        <v>93</v>
      </c>
      <c r="F22" s="37" t="s">
        <v>48</v>
      </c>
      <c r="G22" s="25">
        <v>7</v>
      </c>
      <c r="H22" s="104">
        <f>IF(B$31=0,0,G22/B$31)</f>
        <v>1.1608623548922056E-2</v>
      </c>
      <c r="I22" s="65">
        <v>2</v>
      </c>
      <c r="K22" s="17">
        <v>20</v>
      </c>
      <c r="L22" s="70">
        <v>-270</v>
      </c>
      <c r="N22" s="86" t="s">
        <v>173</v>
      </c>
      <c r="O22" s="96">
        <f>IF(P22=0,0,Q22/P22)</f>
        <v>-0.91022727272727311</v>
      </c>
      <c r="P22" s="90">
        <v>88</v>
      </c>
      <c r="Q22" s="78">
        <v>-80.100000000000037</v>
      </c>
    </row>
    <row r="23" spans="1:17" x14ac:dyDescent="0.4">
      <c r="A23" s="32" t="s">
        <v>5</v>
      </c>
      <c r="B23" s="29">
        <f>IF(B$17=0,0,C23/B$17)</f>
        <v>10347.308319738988</v>
      </c>
      <c r="C23" s="20">
        <v>6342900</v>
      </c>
      <c r="E23" s="40" t="s">
        <v>163</v>
      </c>
      <c r="F23" s="37" t="s">
        <v>164</v>
      </c>
      <c r="G23" s="25">
        <v>6</v>
      </c>
      <c r="H23" s="104">
        <f>IF(B$31=0,0,G23/B$31)</f>
        <v>9.9502487562189053E-3</v>
      </c>
      <c r="I23" s="65">
        <v>6</v>
      </c>
      <c r="K23" s="17">
        <v>21</v>
      </c>
      <c r="L23" s="70">
        <v>-242</v>
      </c>
      <c r="N23" s="86" t="s">
        <v>128</v>
      </c>
      <c r="O23" s="96">
        <f>IF(P23=0,0,Q23/P23)</f>
        <v>-1.4010309278350559</v>
      </c>
      <c r="P23" s="90">
        <v>97</v>
      </c>
      <c r="Q23" s="78">
        <v>-135.90000000000043</v>
      </c>
    </row>
    <row r="24" spans="1:17" x14ac:dyDescent="0.4">
      <c r="A24" s="33" t="s">
        <v>189</v>
      </c>
      <c r="B24" s="111">
        <f>IF($B$17-B$16=0,0,C24/($B$17-B$16))</f>
        <v>11256.659142212189</v>
      </c>
      <c r="C24" s="112">
        <v>4986700</v>
      </c>
      <c r="E24" s="40" t="s">
        <v>78</v>
      </c>
      <c r="F24" s="37" t="s">
        <v>33</v>
      </c>
      <c r="G24" s="25">
        <v>4</v>
      </c>
      <c r="H24" s="104">
        <f>IF(B$31=0,0,G24/B$31)</f>
        <v>6.6334991708126038E-3</v>
      </c>
      <c r="I24" s="65">
        <v>6</v>
      </c>
      <c r="K24" s="17">
        <v>22</v>
      </c>
      <c r="L24" s="70">
        <v>-202.9</v>
      </c>
      <c r="N24" s="86" t="s">
        <v>183</v>
      </c>
      <c r="O24" s="96">
        <f>IF(P24=0,0,Q24/P24)</f>
        <v>-3.9666666666666663</v>
      </c>
      <c r="P24" s="90">
        <v>3</v>
      </c>
      <c r="Q24" s="78">
        <v>-11.899999999999999</v>
      </c>
    </row>
    <row r="25" spans="1:17" x14ac:dyDescent="0.4">
      <c r="A25" s="33" t="s">
        <v>190</v>
      </c>
      <c r="B25" s="111">
        <f>IF(B$16=0,0,C25/B$16)</f>
        <v>7977.6470588235297</v>
      </c>
      <c r="C25" s="112">
        <v>1356200</v>
      </c>
      <c r="E25" s="40" t="s">
        <v>85</v>
      </c>
      <c r="F25" s="37" t="s">
        <v>40</v>
      </c>
      <c r="G25" s="25">
        <v>3</v>
      </c>
      <c r="H25" s="104">
        <f>IF(B$31=0,0,G25/B$31)</f>
        <v>4.9751243781094526E-3</v>
      </c>
      <c r="I25" s="65">
        <v>1</v>
      </c>
      <c r="K25" s="17">
        <v>23</v>
      </c>
      <c r="L25" s="70">
        <v>-200.9</v>
      </c>
      <c r="N25" s="86" t="s">
        <v>172</v>
      </c>
      <c r="O25" s="96">
        <f>IF(P25=0,0,Q25/P25)</f>
        <v>-5.418032786885246</v>
      </c>
      <c r="P25" s="90">
        <v>61</v>
      </c>
      <c r="Q25" s="78">
        <v>-330.5</v>
      </c>
    </row>
    <row r="26" spans="1:17" x14ac:dyDescent="0.4">
      <c r="A26" s="32" t="s">
        <v>14</v>
      </c>
      <c r="B26" s="29">
        <f>IF(B$20=0,0,C26/B$20)</f>
        <v>-9024.6851385390437</v>
      </c>
      <c r="C26" s="20">
        <v>-3582800</v>
      </c>
      <c r="E26" s="40" t="s">
        <v>94</v>
      </c>
      <c r="F26" s="37" t="s">
        <v>49</v>
      </c>
      <c r="G26" s="25">
        <v>3</v>
      </c>
      <c r="H26" s="104">
        <f>IF(B$31=0,0,G26/B$31)</f>
        <v>4.9751243781094526E-3</v>
      </c>
      <c r="I26" s="65">
        <v>2</v>
      </c>
      <c r="K26" s="17">
        <v>24</v>
      </c>
      <c r="L26" s="70">
        <v>-168.2</v>
      </c>
      <c r="N26" s="86" t="s">
        <v>127</v>
      </c>
      <c r="O26" s="96">
        <f>IF(P26=0,0,Q26/P26)</f>
        <v>-6.3142857142857132</v>
      </c>
      <c r="P26" s="90">
        <v>182</v>
      </c>
      <c r="Q26" s="78">
        <v>-1149.1999999999998</v>
      </c>
    </row>
    <row r="27" spans="1:17" x14ac:dyDescent="0.4">
      <c r="A27" s="61" t="s">
        <v>139</v>
      </c>
      <c r="B27" s="121">
        <v>8</v>
      </c>
      <c r="C27" s="122"/>
      <c r="E27" s="40" t="s">
        <v>86</v>
      </c>
      <c r="F27" s="37" t="s">
        <v>41</v>
      </c>
      <c r="G27" s="25">
        <v>2</v>
      </c>
      <c r="H27" s="104">
        <f>IF(B$31=0,0,G27/B$31)</f>
        <v>3.3167495854063019E-3</v>
      </c>
      <c r="I27" s="65">
        <v>5</v>
      </c>
      <c r="K27" s="17">
        <v>25</v>
      </c>
      <c r="L27" s="70">
        <v>-216.89999999999998</v>
      </c>
      <c r="N27" s="86" t="s">
        <v>182</v>
      </c>
      <c r="O27" s="96">
        <f>IF(P27=0,0,Q27/P27)</f>
        <v>-17.200000000000003</v>
      </c>
      <c r="P27" s="90">
        <v>2</v>
      </c>
      <c r="Q27" s="78">
        <v>-34.400000000000006</v>
      </c>
    </row>
    <row r="28" spans="1:17" x14ac:dyDescent="0.4">
      <c r="A28" s="35" t="s">
        <v>146</v>
      </c>
      <c r="B28" s="119">
        <v>124700</v>
      </c>
      <c r="C28" s="120"/>
      <c r="E28" s="40" t="s">
        <v>88</v>
      </c>
      <c r="F28" s="37" t="s">
        <v>43</v>
      </c>
      <c r="G28" s="25">
        <v>2</v>
      </c>
      <c r="H28" s="104">
        <f>IF(B$31=0,0,G28/B$31)</f>
        <v>3.3167495854063019E-3</v>
      </c>
      <c r="I28" s="65">
        <v>3</v>
      </c>
      <c r="K28" s="17">
        <v>26</v>
      </c>
      <c r="L28" s="70">
        <v>-256.29999999999995</v>
      </c>
      <c r="N28" s="86" t="s">
        <v>188</v>
      </c>
      <c r="O28" s="96">
        <f>IF(P28=0,0,Q28/P28)</f>
        <v>-69.5</v>
      </c>
      <c r="P28" s="90">
        <v>1</v>
      </c>
      <c r="Q28" s="78">
        <v>-69.5</v>
      </c>
    </row>
    <row r="29" spans="1:17" x14ac:dyDescent="0.4">
      <c r="A29" s="34" t="s">
        <v>140</v>
      </c>
      <c r="B29" s="42">
        <v>9</v>
      </c>
      <c r="C29" s="21">
        <f>IF(B$3=0,0,B29/B$3)</f>
        <v>4.1647385469689956E-3</v>
      </c>
      <c r="E29" s="40" t="s">
        <v>75</v>
      </c>
      <c r="F29" s="37" t="s">
        <v>30</v>
      </c>
      <c r="G29" s="25">
        <v>1</v>
      </c>
      <c r="H29" s="104">
        <f>IF(B$31=0,0,G29/B$31)</f>
        <v>1.658374792703151E-3</v>
      </c>
      <c r="I29" s="65">
        <v>9</v>
      </c>
      <c r="K29" s="17">
        <v>27</v>
      </c>
      <c r="L29" s="70">
        <v>-296.29999999999995</v>
      </c>
    </row>
    <row r="30" spans="1:17" x14ac:dyDescent="0.4">
      <c r="A30" s="31" t="s">
        <v>179</v>
      </c>
      <c r="B30" s="115">
        <v>2124</v>
      </c>
      <c r="C30" s="116"/>
      <c r="E30" s="40" t="s">
        <v>91</v>
      </c>
      <c r="F30" s="37" t="s">
        <v>46</v>
      </c>
      <c r="G30" s="25">
        <v>1</v>
      </c>
      <c r="H30" s="104">
        <f>IF(B$31=0,0,G30/B$31)</f>
        <v>1.658374792703151E-3</v>
      </c>
      <c r="I30" s="65">
        <v>5</v>
      </c>
      <c r="K30" s="17">
        <v>28</v>
      </c>
      <c r="L30" s="70">
        <v>-290.19999999999993</v>
      </c>
    </row>
    <row r="31" spans="1:17" x14ac:dyDescent="0.4">
      <c r="A31" s="34" t="s">
        <v>180</v>
      </c>
      <c r="B31" s="117">
        <v>603</v>
      </c>
      <c r="C31" s="118"/>
      <c r="E31" s="40" t="s">
        <v>77</v>
      </c>
      <c r="F31" s="37" t="s">
        <v>32</v>
      </c>
      <c r="G31" s="25">
        <v>0</v>
      </c>
      <c r="H31" s="104">
        <f>IF(B$31=0,0,G31/B$31)</f>
        <v>0</v>
      </c>
      <c r="I31" s="65">
        <v>1</v>
      </c>
      <c r="K31" s="17">
        <v>29</v>
      </c>
      <c r="L31" s="70">
        <v>-239.19999999999993</v>
      </c>
    </row>
    <row r="32" spans="1:17" x14ac:dyDescent="0.4">
      <c r="E32" s="40" t="s">
        <v>81</v>
      </c>
      <c r="F32" s="37" t="s">
        <v>36</v>
      </c>
      <c r="G32" s="25">
        <v>0</v>
      </c>
      <c r="H32" s="104">
        <f>IF(B$31=0,0,G32/B$31)</f>
        <v>0</v>
      </c>
      <c r="I32" s="65">
        <v>3</v>
      </c>
      <c r="K32" s="17">
        <v>30</v>
      </c>
      <c r="L32" s="70">
        <v>-257.29999999999995</v>
      </c>
    </row>
    <row r="33" spans="5:12" x14ac:dyDescent="0.4">
      <c r="E33" s="40" t="s">
        <v>83</v>
      </c>
      <c r="F33" s="37" t="s">
        <v>38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-265.39999999999998</v>
      </c>
    </row>
    <row r="34" spans="5:12" x14ac:dyDescent="0.4">
      <c r="E34" s="40" t="s">
        <v>89</v>
      </c>
      <c r="F34" s="37" t="s">
        <v>44</v>
      </c>
      <c r="G34" s="25">
        <v>0</v>
      </c>
      <c r="H34" s="104">
        <f>IF(B$31=0,0,G34/B$31)</f>
        <v>0</v>
      </c>
      <c r="I34" s="65">
        <v>6</v>
      </c>
      <c r="K34" s="17">
        <v>32</v>
      </c>
      <c r="L34" s="70">
        <v>-283.89999999999998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-291.29999999999995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-301.69999999999993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-339.69999999999993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-328.09999999999991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-371.59999999999991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-380.09999999999991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-360.49999999999989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-378.59999999999991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-366.59999999999991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-367.09999999999991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-325.09999999999991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-330.89999999999992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-329.19999999999993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-363.39999999999992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-351.39999999999992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-359.19999999999993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-364.49999999999994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-399.99999999999994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-409.99999999999994</v>
      </c>
    </row>
    <row r="54" spans="5:12" x14ac:dyDescent="0.4">
      <c r="K54" s="17">
        <v>52</v>
      </c>
      <c r="L54" s="70">
        <v>-426.39999999999992</v>
      </c>
    </row>
    <row r="55" spans="5:12" x14ac:dyDescent="0.4">
      <c r="K55" s="17">
        <v>53</v>
      </c>
      <c r="L55" s="70">
        <v>-399.89999999999992</v>
      </c>
    </row>
    <row r="56" spans="5:12" x14ac:dyDescent="0.4">
      <c r="K56" s="17">
        <v>54</v>
      </c>
      <c r="L56" s="70">
        <v>-411.19999999999993</v>
      </c>
    </row>
    <row r="57" spans="5:12" x14ac:dyDescent="0.4">
      <c r="K57" s="17">
        <v>55</v>
      </c>
      <c r="L57" s="70">
        <v>-420.49999999999994</v>
      </c>
    </row>
    <row r="58" spans="5:12" x14ac:dyDescent="0.4">
      <c r="K58" s="17">
        <v>56</v>
      </c>
      <c r="L58" s="70">
        <v>-395.39999999999992</v>
      </c>
    </row>
    <row r="59" spans="5:12" x14ac:dyDescent="0.4">
      <c r="K59" s="17">
        <v>57</v>
      </c>
      <c r="L59" s="70">
        <v>-428.89999999999992</v>
      </c>
    </row>
    <row r="60" spans="5:12" x14ac:dyDescent="0.4">
      <c r="K60" s="17">
        <v>58</v>
      </c>
      <c r="L60" s="70">
        <v>-466.39999999999992</v>
      </c>
    </row>
    <row r="61" spans="5:12" x14ac:dyDescent="0.4">
      <c r="K61" s="17">
        <v>59</v>
      </c>
      <c r="L61" s="70">
        <v>-475.7999999999999</v>
      </c>
    </row>
    <row r="62" spans="5:12" x14ac:dyDescent="0.4">
      <c r="K62" s="17">
        <v>60</v>
      </c>
      <c r="L62" s="70">
        <v>-475.2999999999999</v>
      </c>
    </row>
    <row r="63" spans="5:12" x14ac:dyDescent="0.4">
      <c r="K63" s="17">
        <v>61</v>
      </c>
      <c r="L63" s="70">
        <v>-487.39999999999992</v>
      </c>
    </row>
    <row r="64" spans="5:12" x14ac:dyDescent="0.4">
      <c r="K64" s="17">
        <v>62</v>
      </c>
      <c r="L64" s="70">
        <v>-492.59999999999991</v>
      </c>
    </row>
    <row r="65" spans="11:12" x14ac:dyDescent="0.4">
      <c r="K65" s="17">
        <v>63</v>
      </c>
      <c r="L65" s="70">
        <v>-416.09999999999991</v>
      </c>
    </row>
    <row r="66" spans="11:12" x14ac:dyDescent="0.4">
      <c r="K66" s="17">
        <v>64</v>
      </c>
      <c r="L66" s="70">
        <v>-451.89999999999992</v>
      </c>
    </row>
    <row r="67" spans="11:12" x14ac:dyDescent="0.4">
      <c r="K67" s="17">
        <v>65</v>
      </c>
      <c r="L67" s="70">
        <v>-454.09999999999991</v>
      </c>
    </row>
    <row r="68" spans="11:12" x14ac:dyDescent="0.4">
      <c r="K68" s="17">
        <v>66</v>
      </c>
      <c r="L68" s="70">
        <v>-470.99999999999989</v>
      </c>
    </row>
    <row r="69" spans="11:12" x14ac:dyDescent="0.4">
      <c r="K69" s="17">
        <v>67</v>
      </c>
      <c r="L69" s="70">
        <v>-508.39999999999986</v>
      </c>
    </row>
    <row r="70" spans="11:12" x14ac:dyDescent="0.4">
      <c r="K70" s="17">
        <v>68</v>
      </c>
      <c r="L70" s="70">
        <v>-418.69999999999987</v>
      </c>
    </row>
    <row r="71" spans="11:12" x14ac:dyDescent="0.4">
      <c r="K71" s="17">
        <v>69</v>
      </c>
      <c r="L71" s="70">
        <v>-387.49999999999989</v>
      </c>
    </row>
    <row r="72" spans="11:12" x14ac:dyDescent="0.4">
      <c r="K72" s="17">
        <v>70</v>
      </c>
      <c r="L72" s="70">
        <v>-347.2999999999999</v>
      </c>
    </row>
    <row r="73" spans="11:12" x14ac:dyDescent="0.4">
      <c r="K73" s="17">
        <v>71</v>
      </c>
      <c r="L73" s="70">
        <v>-368.2999999999999</v>
      </c>
    </row>
    <row r="74" spans="11:12" x14ac:dyDescent="0.4">
      <c r="K74" s="17">
        <v>72</v>
      </c>
      <c r="L74" s="70">
        <v>-404.2999999999999</v>
      </c>
    </row>
    <row r="75" spans="11:12" x14ac:dyDescent="0.4">
      <c r="K75" s="17">
        <v>73</v>
      </c>
      <c r="L75" s="70">
        <v>-413.69999999999987</v>
      </c>
    </row>
    <row r="76" spans="11:12" x14ac:dyDescent="0.4">
      <c r="K76" s="17">
        <v>74</v>
      </c>
      <c r="L76" s="70">
        <v>-399.19999999999987</v>
      </c>
    </row>
    <row r="77" spans="11:12" x14ac:dyDescent="0.4">
      <c r="K77" s="17">
        <v>75</v>
      </c>
      <c r="L77" s="70">
        <v>-438.59999999999985</v>
      </c>
    </row>
    <row r="78" spans="11:12" x14ac:dyDescent="0.4">
      <c r="K78" s="17">
        <v>76</v>
      </c>
      <c r="L78" s="70">
        <v>-437.19999999999987</v>
      </c>
    </row>
    <row r="79" spans="11:12" x14ac:dyDescent="0.4">
      <c r="K79" s="17">
        <v>77</v>
      </c>
      <c r="L79" s="70">
        <v>-439.99999999999989</v>
      </c>
    </row>
    <row r="80" spans="11:12" x14ac:dyDescent="0.4">
      <c r="K80" s="17">
        <v>78</v>
      </c>
      <c r="L80" s="70">
        <v>-428.19999999999987</v>
      </c>
    </row>
    <row r="81" spans="11:12" x14ac:dyDescent="0.4">
      <c r="K81" s="17">
        <v>79</v>
      </c>
      <c r="L81" s="70">
        <v>-443.2999999999999</v>
      </c>
    </row>
    <row r="82" spans="11:12" x14ac:dyDescent="0.4">
      <c r="K82" s="17">
        <v>80</v>
      </c>
      <c r="L82" s="70">
        <v>-454.99999999999989</v>
      </c>
    </row>
    <row r="83" spans="11:12" x14ac:dyDescent="0.4">
      <c r="K83" s="17">
        <v>81</v>
      </c>
      <c r="L83" s="70">
        <v>-398.59999999999991</v>
      </c>
    </row>
    <row r="84" spans="11:12" x14ac:dyDescent="0.4">
      <c r="K84" s="17">
        <v>82</v>
      </c>
      <c r="L84" s="70">
        <v>-353.59999999999991</v>
      </c>
    </row>
    <row r="85" spans="11:12" x14ac:dyDescent="0.4">
      <c r="K85" s="17">
        <v>83</v>
      </c>
      <c r="L85" s="70">
        <v>-354.2999999999999</v>
      </c>
    </row>
    <row r="86" spans="11:12" x14ac:dyDescent="0.4">
      <c r="K86" s="17">
        <v>84</v>
      </c>
      <c r="L86" s="70">
        <v>-344.19999999999987</v>
      </c>
    </row>
    <row r="87" spans="11:12" x14ac:dyDescent="0.4">
      <c r="K87" s="17">
        <v>85</v>
      </c>
      <c r="L87" s="70">
        <v>-379.99999999999989</v>
      </c>
    </row>
    <row r="88" spans="11:12" x14ac:dyDescent="0.4">
      <c r="K88" s="17">
        <v>86</v>
      </c>
      <c r="L88" s="70">
        <v>-383.7999999999999</v>
      </c>
    </row>
    <row r="89" spans="11:12" x14ac:dyDescent="0.4">
      <c r="K89" s="17">
        <v>87</v>
      </c>
      <c r="L89" s="70">
        <v>-397.49999999999989</v>
      </c>
    </row>
    <row r="90" spans="11:12" x14ac:dyDescent="0.4">
      <c r="K90" s="17">
        <v>88</v>
      </c>
      <c r="L90" s="70">
        <v>-438.49999999999989</v>
      </c>
    </row>
    <row r="91" spans="11:12" x14ac:dyDescent="0.4">
      <c r="K91" s="17">
        <v>89</v>
      </c>
      <c r="L91" s="70">
        <v>-481.59999999999991</v>
      </c>
    </row>
    <row r="92" spans="11:12" x14ac:dyDescent="0.4">
      <c r="K92" s="17">
        <v>90</v>
      </c>
      <c r="L92" s="70">
        <v>-481.59999999999991</v>
      </c>
    </row>
    <row r="93" spans="11:12" x14ac:dyDescent="0.4">
      <c r="K93" s="17">
        <v>91</v>
      </c>
      <c r="L93" s="70">
        <v>-485.2999999999999</v>
      </c>
    </row>
    <row r="94" spans="11:12" x14ac:dyDescent="0.4">
      <c r="K94" s="17">
        <v>92</v>
      </c>
      <c r="L94" s="70">
        <v>-521.79999999999995</v>
      </c>
    </row>
    <row r="95" spans="11:12" x14ac:dyDescent="0.4">
      <c r="K95" s="17">
        <v>93</v>
      </c>
      <c r="L95" s="70">
        <v>-563.19999999999993</v>
      </c>
    </row>
    <row r="96" spans="11:12" x14ac:dyDescent="0.4">
      <c r="K96" s="17">
        <v>94</v>
      </c>
      <c r="L96" s="70">
        <v>-560.99999999999989</v>
      </c>
    </row>
    <row r="97" spans="11:12" x14ac:dyDescent="0.4">
      <c r="K97" s="17">
        <v>95</v>
      </c>
      <c r="L97" s="70">
        <v>-544.39999999999986</v>
      </c>
    </row>
    <row r="98" spans="11:12" x14ac:dyDescent="0.4">
      <c r="K98" s="17">
        <v>96</v>
      </c>
      <c r="L98" s="70">
        <v>-513.59999999999991</v>
      </c>
    </row>
    <row r="99" spans="11:12" x14ac:dyDescent="0.4">
      <c r="K99" s="17">
        <v>97</v>
      </c>
      <c r="L99" s="70">
        <v>-449.89999999999992</v>
      </c>
    </row>
    <row r="100" spans="11:12" x14ac:dyDescent="0.4">
      <c r="K100" s="17">
        <v>98</v>
      </c>
      <c r="L100" s="70">
        <v>-478.69999999999993</v>
      </c>
    </row>
    <row r="101" spans="11:12" x14ac:dyDescent="0.4">
      <c r="K101" s="17">
        <v>99</v>
      </c>
      <c r="L101" s="70">
        <v>-455.19999999999993</v>
      </c>
    </row>
    <row r="102" spans="11:12" x14ac:dyDescent="0.4">
      <c r="K102" s="17">
        <v>100</v>
      </c>
      <c r="L102" s="70">
        <v>-505.69999999999993</v>
      </c>
    </row>
    <row r="103" spans="11:12" x14ac:dyDescent="0.4">
      <c r="K103" s="17">
        <v>101</v>
      </c>
      <c r="L103" s="70">
        <v>-503.89999999999992</v>
      </c>
    </row>
    <row r="104" spans="11:12" x14ac:dyDescent="0.4">
      <c r="K104" s="17">
        <v>102</v>
      </c>
      <c r="L104" s="70">
        <v>-452.59999999999991</v>
      </c>
    </row>
    <row r="105" spans="11:12" x14ac:dyDescent="0.4">
      <c r="K105" s="17">
        <v>103</v>
      </c>
      <c r="L105" s="70">
        <v>-477.69999999999993</v>
      </c>
    </row>
    <row r="106" spans="11:12" x14ac:dyDescent="0.4">
      <c r="K106" s="17">
        <v>104</v>
      </c>
      <c r="L106" s="70">
        <v>-477.19999999999993</v>
      </c>
    </row>
    <row r="107" spans="11:12" x14ac:dyDescent="0.4">
      <c r="K107" s="17">
        <v>105</v>
      </c>
      <c r="L107" s="70">
        <v>-478.09999999999991</v>
      </c>
    </row>
    <row r="108" spans="11:12" x14ac:dyDescent="0.4">
      <c r="K108" s="17">
        <v>106</v>
      </c>
      <c r="L108" s="70">
        <v>-419.89999999999992</v>
      </c>
    </row>
    <row r="109" spans="11:12" x14ac:dyDescent="0.4">
      <c r="K109" s="17">
        <v>107</v>
      </c>
      <c r="L109" s="70">
        <v>-436.69999999999993</v>
      </c>
    </row>
    <row r="110" spans="11:12" x14ac:dyDescent="0.4">
      <c r="K110" s="17">
        <v>108</v>
      </c>
      <c r="L110" s="70">
        <v>-453.29999999999995</v>
      </c>
    </row>
    <row r="111" spans="11:12" x14ac:dyDescent="0.4">
      <c r="K111" s="17">
        <v>109</v>
      </c>
      <c r="L111" s="70">
        <v>-448.79999999999995</v>
      </c>
    </row>
    <row r="112" spans="11:12" x14ac:dyDescent="0.4">
      <c r="K112" s="17">
        <v>110</v>
      </c>
      <c r="L112" s="70">
        <v>-447.99999999999994</v>
      </c>
    </row>
    <row r="113" spans="11:12" x14ac:dyDescent="0.4">
      <c r="K113" s="17">
        <v>111</v>
      </c>
      <c r="L113" s="70">
        <v>-470.39999999999992</v>
      </c>
    </row>
    <row r="114" spans="11:12" x14ac:dyDescent="0.4">
      <c r="K114" s="17">
        <v>112</v>
      </c>
      <c r="L114" s="70">
        <v>-471.19999999999993</v>
      </c>
    </row>
    <row r="115" spans="11:12" x14ac:dyDescent="0.4">
      <c r="K115" s="17">
        <v>113</v>
      </c>
      <c r="L115" s="70">
        <v>-469.39999999999992</v>
      </c>
    </row>
    <row r="116" spans="11:12" x14ac:dyDescent="0.4">
      <c r="K116" s="17">
        <v>114</v>
      </c>
      <c r="L116" s="70">
        <v>-475.09999999999991</v>
      </c>
    </row>
    <row r="117" spans="11:12" x14ac:dyDescent="0.4">
      <c r="K117" s="17">
        <v>115</v>
      </c>
      <c r="L117" s="70">
        <v>-443.39999999999992</v>
      </c>
    </row>
    <row r="118" spans="11:12" x14ac:dyDescent="0.4">
      <c r="K118" s="17">
        <v>116</v>
      </c>
      <c r="L118" s="70">
        <v>-440.39999999999992</v>
      </c>
    </row>
    <row r="119" spans="11:12" x14ac:dyDescent="0.4">
      <c r="K119" s="17">
        <v>117</v>
      </c>
      <c r="L119" s="70">
        <v>-453.39999999999992</v>
      </c>
    </row>
    <row r="120" spans="11:12" x14ac:dyDescent="0.4">
      <c r="K120" s="17">
        <v>118</v>
      </c>
      <c r="L120" s="70">
        <v>-470.2999999999999</v>
      </c>
    </row>
    <row r="121" spans="11:12" x14ac:dyDescent="0.4">
      <c r="K121" s="17">
        <v>119</v>
      </c>
      <c r="L121" s="70">
        <v>-469.19999999999987</v>
      </c>
    </row>
    <row r="122" spans="11:12" x14ac:dyDescent="0.4">
      <c r="K122" s="17">
        <v>120</v>
      </c>
      <c r="L122" s="70">
        <v>-502.19999999999987</v>
      </c>
    </row>
    <row r="123" spans="11:12" x14ac:dyDescent="0.4">
      <c r="K123" s="17">
        <v>121</v>
      </c>
      <c r="L123" s="70">
        <v>-509.69999999999987</v>
      </c>
    </row>
    <row r="124" spans="11:12" x14ac:dyDescent="0.4">
      <c r="K124" s="17">
        <v>122</v>
      </c>
      <c r="L124" s="70">
        <v>-492.09999999999985</v>
      </c>
    </row>
    <row r="125" spans="11:12" x14ac:dyDescent="0.4">
      <c r="K125" s="17">
        <v>123</v>
      </c>
      <c r="L125" s="70">
        <v>-500.09999999999985</v>
      </c>
    </row>
    <row r="126" spans="11:12" x14ac:dyDescent="0.4">
      <c r="K126" s="17">
        <v>124</v>
      </c>
      <c r="L126" s="70">
        <v>-493.49999999999983</v>
      </c>
    </row>
    <row r="127" spans="11:12" x14ac:dyDescent="0.4">
      <c r="K127" s="17">
        <v>125</v>
      </c>
      <c r="L127" s="70">
        <v>-500.99999999999983</v>
      </c>
    </row>
    <row r="128" spans="11:12" x14ac:dyDescent="0.4">
      <c r="K128" s="17">
        <v>126</v>
      </c>
      <c r="L128" s="70">
        <v>-456.29999999999984</v>
      </c>
    </row>
    <row r="129" spans="11:12" x14ac:dyDescent="0.4">
      <c r="K129" s="17">
        <v>127</v>
      </c>
      <c r="L129" s="70">
        <v>-412.09999999999985</v>
      </c>
    </row>
    <row r="130" spans="11:12" x14ac:dyDescent="0.4">
      <c r="K130" s="17">
        <v>128</v>
      </c>
      <c r="L130" s="70">
        <v>-424.09999999999985</v>
      </c>
    </row>
    <row r="131" spans="11:12" x14ac:dyDescent="0.4">
      <c r="K131" s="17">
        <v>129</v>
      </c>
      <c r="L131" s="70">
        <v>-448.69999999999987</v>
      </c>
    </row>
    <row r="132" spans="11:12" x14ac:dyDescent="0.4">
      <c r="K132" s="17">
        <v>130</v>
      </c>
      <c r="L132" s="70">
        <v>-468.69999999999987</v>
      </c>
    </row>
    <row r="133" spans="11:12" x14ac:dyDescent="0.4">
      <c r="K133" s="17">
        <v>131</v>
      </c>
      <c r="L133" s="70">
        <v>-461.2999999999999</v>
      </c>
    </row>
    <row r="134" spans="11:12" x14ac:dyDescent="0.4">
      <c r="K134" s="17">
        <v>132</v>
      </c>
      <c r="L134" s="70">
        <v>-512.49999999999989</v>
      </c>
    </row>
    <row r="135" spans="11:12" x14ac:dyDescent="0.4">
      <c r="K135" s="17">
        <v>133</v>
      </c>
      <c r="L135" s="70">
        <v>-554.59999999999991</v>
      </c>
    </row>
    <row r="136" spans="11:12" x14ac:dyDescent="0.4">
      <c r="K136" s="17">
        <v>134</v>
      </c>
      <c r="L136" s="70">
        <v>-521.39999999999986</v>
      </c>
    </row>
    <row r="137" spans="11:12" x14ac:dyDescent="0.4">
      <c r="K137" s="17">
        <v>135</v>
      </c>
      <c r="L137" s="70">
        <v>-472.59999999999991</v>
      </c>
    </row>
    <row r="138" spans="11:12" x14ac:dyDescent="0.4">
      <c r="K138" s="17">
        <v>136</v>
      </c>
      <c r="L138" s="70">
        <v>-497.39999999999992</v>
      </c>
    </row>
    <row r="139" spans="11:12" x14ac:dyDescent="0.4">
      <c r="K139" s="17">
        <v>137</v>
      </c>
      <c r="L139" s="70">
        <v>-452.19999999999993</v>
      </c>
    </row>
    <row r="140" spans="11:12" x14ac:dyDescent="0.4">
      <c r="K140" s="17">
        <v>138</v>
      </c>
      <c r="L140" s="70">
        <v>-512.59999999999991</v>
      </c>
    </row>
    <row r="141" spans="11:12" x14ac:dyDescent="0.4">
      <c r="K141" s="17">
        <v>139</v>
      </c>
      <c r="L141" s="70">
        <v>-462.99999999999989</v>
      </c>
    </row>
    <row r="142" spans="11:12" x14ac:dyDescent="0.4">
      <c r="K142" s="17">
        <v>140</v>
      </c>
      <c r="L142" s="70">
        <v>-467.09999999999991</v>
      </c>
    </row>
    <row r="143" spans="11:12" x14ac:dyDescent="0.4">
      <c r="K143" s="17">
        <v>141</v>
      </c>
      <c r="L143" s="70">
        <v>-517.79999999999995</v>
      </c>
    </row>
    <row r="144" spans="11:12" x14ac:dyDescent="0.4">
      <c r="K144" s="17">
        <v>142</v>
      </c>
      <c r="L144" s="70">
        <v>-488.89999999999992</v>
      </c>
    </row>
    <row r="145" spans="11:12" x14ac:dyDescent="0.4">
      <c r="K145" s="17">
        <v>143</v>
      </c>
      <c r="L145" s="70">
        <v>-504.19999999999993</v>
      </c>
    </row>
    <row r="146" spans="11:12" x14ac:dyDescent="0.4">
      <c r="K146" s="17">
        <v>144</v>
      </c>
      <c r="L146" s="70">
        <v>-519.99999999999989</v>
      </c>
    </row>
    <row r="147" spans="11:12" x14ac:dyDescent="0.4">
      <c r="K147" s="17">
        <v>145</v>
      </c>
      <c r="L147" s="70">
        <v>-490.69999999999987</v>
      </c>
    </row>
    <row r="148" spans="11:12" x14ac:dyDescent="0.4">
      <c r="K148" s="17">
        <v>146</v>
      </c>
      <c r="L148" s="70">
        <v>-487.59999999999991</v>
      </c>
    </row>
    <row r="149" spans="11:12" x14ac:dyDescent="0.4">
      <c r="K149" s="17">
        <v>147</v>
      </c>
      <c r="L149" s="70">
        <v>-511.59999999999991</v>
      </c>
    </row>
    <row r="150" spans="11:12" x14ac:dyDescent="0.4">
      <c r="K150" s="17">
        <v>148</v>
      </c>
      <c r="L150" s="70">
        <v>-535.59999999999991</v>
      </c>
    </row>
    <row r="151" spans="11:12" x14ac:dyDescent="0.4">
      <c r="K151" s="17">
        <v>149</v>
      </c>
      <c r="L151" s="70">
        <v>-537.39999999999986</v>
      </c>
    </row>
    <row r="152" spans="11:12" x14ac:dyDescent="0.4">
      <c r="K152" s="17">
        <v>150</v>
      </c>
      <c r="L152" s="70">
        <v>-460.69999999999987</v>
      </c>
    </row>
    <row r="153" spans="11:12" x14ac:dyDescent="0.4">
      <c r="K153" s="17">
        <v>151</v>
      </c>
      <c r="L153" s="70">
        <v>-464.89999999999986</v>
      </c>
    </row>
    <row r="154" spans="11:12" x14ac:dyDescent="0.4">
      <c r="K154" s="17">
        <v>152</v>
      </c>
      <c r="L154" s="70">
        <v>-464.39999999999986</v>
      </c>
    </row>
    <row r="155" spans="11:12" x14ac:dyDescent="0.4">
      <c r="K155" s="17">
        <v>153</v>
      </c>
      <c r="L155" s="70">
        <v>-478.39999999999986</v>
      </c>
    </row>
    <row r="156" spans="11:12" x14ac:dyDescent="0.4">
      <c r="K156" s="17">
        <v>154</v>
      </c>
      <c r="L156" s="70">
        <v>-516.99999999999989</v>
      </c>
    </row>
    <row r="157" spans="11:12" x14ac:dyDescent="0.4">
      <c r="K157" s="17">
        <v>155</v>
      </c>
      <c r="L157" s="70">
        <v>-520.79999999999984</v>
      </c>
    </row>
    <row r="158" spans="11:12" x14ac:dyDescent="0.4">
      <c r="K158" s="17">
        <v>156</v>
      </c>
      <c r="L158" s="70">
        <v>-501.2999999999999</v>
      </c>
    </row>
    <row r="159" spans="11:12" x14ac:dyDescent="0.4">
      <c r="K159" s="17">
        <v>157</v>
      </c>
      <c r="L159" s="70">
        <v>-532.39999999999986</v>
      </c>
    </row>
    <row r="160" spans="11:12" x14ac:dyDescent="0.4">
      <c r="K160" s="17">
        <v>158</v>
      </c>
      <c r="L160" s="70">
        <v>-527.49999999999989</v>
      </c>
    </row>
    <row r="161" spans="11:12" x14ac:dyDescent="0.4">
      <c r="K161" s="17">
        <v>159</v>
      </c>
      <c r="L161" s="70">
        <v>-577.79999999999984</v>
      </c>
    </row>
    <row r="162" spans="11:12" x14ac:dyDescent="0.4">
      <c r="K162" s="17">
        <v>160</v>
      </c>
      <c r="L162" s="70">
        <v>-583.09999999999991</v>
      </c>
    </row>
    <row r="163" spans="11:12" x14ac:dyDescent="0.4">
      <c r="K163" s="17">
        <v>161</v>
      </c>
      <c r="L163" s="70">
        <v>-617.49999999999989</v>
      </c>
    </row>
    <row r="164" spans="11:12" x14ac:dyDescent="0.4">
      <c r="K164" s="17">
        <v>162</v>
      </c>
      <c r="L164" s="70">
        <v>-553.19999999999993</v>
      </c>
    </row>
    <row r="165" spans="11:12" x14ac:dyDescent="0.4">
      <c r="K165" s="17">
        <v>163</v>
      </c>
      <c r="L165" s="70">
        <v>-580.29999999999995</v>
      </c>
    </row>
    <row r="166" spans="11:12" x14ac:dyDescent="0.4">
      <c r="K166" s="17">
        <v>164</v>
      </c>
      <c r="L166" s="70">
        <v>-570.19999999999993</v>
      </c>
    </row>
    <row r="167" spans="11:12" x14ac:dyDescent="0.4">
      <c r="K167" s="17">
        <v>165</v>
      </c>
      <c r="L167" s="70">
        <v>-517.99999999999989</v>
      </c>
    </row>
    <row r="168" spans="11:12" x14ac:dyDescent="0.4">
      <c r="K168" s="17">
        <v>166</v>
      </c>
      <c r="L168" s="70">
        <v>-549.69999999999993</v>
      </c>
    </row>
    <row r="169" spans="11:12" x14ac:dyDescent="0.4">
      <c r="K169" s="17">
        <v>167</v>
      </c>
      <c r="L169" s="70">
        <v>-591.99999999999989</v>
      </c>
    </row>
    <row r="170" spans="11:12" x14ac:dyDescent="0.4">
      <c r="K170" s="17">
        <v>168</v>
      </c>
      <c r="L170" s="70">
        <v>-525.39999999999986</v>
      </c>
    </row>
    <row r="171" spans="11:12" x14ac:dyDescent="0.4">
      <c r="K171" s="17">
        <v>169</v>
      </c>
      <c r="L171" s="70">
        <v>-537.89999999999986</v>
      </c>
    </row>
    <row r="172" spans="11:12" x14ac:dyDescent="0.4">
      <c r="K172" s="17">
        <v>170</v>
      </c>
      <c r="L172" s="70">
        <v>-532.59999999999991</v>
      </c>
    </row>
    <row r="173" spans="11:12" x14ac:dyDescent="0.4">
      <c r="K173" s="17">
        <v>171</v>
      </c>
      <c r="L173" s="70">
        <v>-526.49999999999989</v>
      </c>
    </row>
    <row r="174" spans="11:12" x14ac:dyDescent="0.4">
      <c r="K174" s="17">
        <v>172</v>
      </c>
      <c r="L174" s="70">
        <v>-561.29999999999995</v>
      </c>
    </row>
    <row r="175" spans="11:12" x14ac:dyDescent="0.4">
      <c r="K175" s="17">
        <v>173</v>
      </c>
      <c r="L175" s="70">
        <v>-526.79999999999995</v>
      </c>
    </row>
    <row r="176" spans="11:12" x14ac:dyDescent="0.4">
      <c r="K176" s="17">
        <v>174</v>
      </c>
      <c r="L176" s="70">
        <v>-513.29999999999995</v>
      </c>
    </row>
    <row r="177" spans="11:12" x14ac:dyDescent="0.4">
      <c r="K177" s="17">
        <v>175</v>
      </c>
      <c r="L177" s="70">
        <v>-452.89999999999992</v>
      </c>
    </row>
    <row r="178" spans="11:12" x14ac:dyDescent="0.4">
      <c r="K178" s="17">
        <v>176</v>
      </c>
      <c r="L178" s="70">
        <v>-493.7999999999999</v>
      </c>
    </row>
    <row r="179" spans="11:12" x14ac:dyDescent="0.4">
      <c r="K179" s="17">
        <v>177</v>
      </c>
      <c r="L179" s="70">
        <v>-467.39999999999992</v>
      </c>
    </row>
    <row r="180" spans="11:12" x14ac:dyDescent="0.4">
      <c r="K180" s="17">
        <v>178</v>
      </c>
      <c r="L180" s="70">
        <v>-494.39999999999992</v>
      </c>
    </row>
    <row r="181" spans="11:12" x14ac:dyDescent="0.4">
      <c r="K181" s="17">
        <v>179</v>
      </c>
      <c r="L181" s="70">
        <v>-495.09999999999991</v>
      </c>
    </row>
    <row r="182" spans="11:12" x14ac:dyDescent="0.4">
      <c r="K182" s="17">
        <v>180</v>
      </c>
      <c r="L182" s="70">
        <v>-484.39999999999992</v>
      </c>
    </row>
    <row r="183" spans="11:12" x14ac:dyDescent="0.4">
      <c r="K183" s="17">
        <v>181</v>
      </c>
      <c r="L183" s="70">
        <v>-540.59999999999991</v>
      </c>
    </row>
    <row r="184" spans="11:12" x14ac:dyDescent="0.4">
      <c r="K184" s="17">
        <v>182</v>
      </c>
      <c r="L184" s="70">
        <v>-477.89999999999992</v>
      </c>
    </row>
    <row r="185" spans="11:12" x14ac:dyDescent="0.4">
      <c r="K185" s="17">
        <v>183</v>
      </c>
      <c r="L185" s="70">
        <v>-442.7999999999999</v>
      </c>
    </row>
    <row r="186" spans="11:12" x14ac:dyDescent="0.4">
      <c r="K186" s="17">
        <v>184</v>
      </c>
      <c r="L186" s="70">
        <v>-465.39999999999992</v>
      </c>
    </row>
    <row r="187" spans="11:12" x14ac:dyDescent="0.4">
      <c r="K187" s="17">
        <v>185</v>
      </c>
      <c r="L187" s="70">
        <v>-448.19999999999993</v>
      </c>
    </row>
    <row r="188" spans="11:12" x14ac:dyDescent="0.4">
      <c r="K188" s="17">
        <v>186</v>
      </c>
      <c r="L188" s="70">
        <v>-434.2999999999999</v>
      </c>
    </row>
    <row r="189" spans="11:12" x14ac:dyDescent="0.4">
      <c r="K189" s="17">
        <v>187</v>
      </c>
      <c r="L189" s="70">
        <v>-507.7999999999999</v>
      </c>
    </row>
    <row r="190" spans="11:12" x14ac:dyDescent="0.4">
      <c r="K190" s="17">
        <v>188</v>
      </c>
      <c r="L190" s="70">
        <v>-496.39999999999992</v>
      </c>
    </row>
    <row r="191" spans="11:12" x14ac:dyDescent="0.4">
      <c r="K191" s="17">
        <v>189</v>
      </c>
      <c r="L191" s="70">
        <v>-528.59999999999991</v>
      </c>
    </row>
    <row r="192" spans="11:12" x14ac:dyDescent="0.4">
      <c r="K192" s="17">
        <v>190</v>
      </c>
      <c r="L192" s="70">
        <v>-513.99999999999989</v>
      </c>
    </row>
    <row r="193" spans="11:12" x14ac:dyDescent="0.4">
      <c r="K193" s="17">
        <v>191</v>
      </c>
      <c r="L193" s="70">
        <v>-447.69999999999993</v>
      </c>
    </row>
    <row r="194" spans="11:12" x14ac:dyDescent="0.4">
      <c r="K194" s="17">
        <v>192</v>
      </c>
      <c r="L194" s="70">
        <v>-486.39999999999992</v>
      </c>
    </row>
    <row r="195" spans="11:12" x14ac:dyDescent="0.4">
      <c r="K195" s="17">
        <v>193</v>
      </c>
      <c r="L195" s="70">
        <v>-488.89999999999992</v>
      </c>
    </row>
    <row r="196" spans="11:12" x14ac:dyDescent="0.4">
      <c r="K196" s="17">
        <v>194</v>
      </c>
      <c r="L196" s="70">
        <v>-441.2999999999999</v>
      </c>
    </row>
    <row r="197" spans="11:12" x14ac:dyDescent="0.4">
      <c r="K197" s="17">
        <v>195</v>
      </c>
      <c r="L197" s="70">
        <v>-401.19999999999993</v>
      </c>
    </row>
    <row r="198" spans="11:12" x14ac:dyDescent="0.4">
      <c r="K198" s="17">
        <v>196</v>
      </c>
      <c r="L198" s="70">
        <v>-329.69999999999993</v>
      </c>
    </row>
    <row r="199" spans="11:12" x14ac:dyDescent="0.4">
      <c r="K199" s="17">
        <v>197</v>
      </c>
      <c r="L199" s="70">
        <v>-375.19999999999993</v>
      </c>
    </row>
    <row r="200" spans="11:12" x14ac:dyDescent="0.4">
      <c r="K200" s="17">
        <v>198</v>
      </c>
      <c r="L200" s="70">
        <v>-307.19999999999993</v>
      </c>
    </row>
    <row r="201" spans="11:12" x14ac:dyDescent="0.4">
      <c r="K201" s="17">
        <v>199</v>
      </c>
      <c r="L201" s="70">
        <v>-308.99999999999989</v>
      </c>
    </row>
    <row r="202" spans="11:12" x14ac:dyDescent="0.4">
      <c r="K202" s="17">
        <v>200</v>
      </c>
      <c r="L202" s="70">
        <v>-355.09999999999991</v>
      </c>
    </row>
    <row r="203" spans="11:12" x14ac:dyDescent="0.4">
      <c r="K203" s="17">
        <v>201</v>
      </c>
      <c r="L203" s="70">
        <v>-314.49999999999989</v>
      </c>
    </row>
    <row r="204" spans="11:12" x14ac:dyDescent="0.4">
      <c r="K204" s="17">
        <v>202</v>
      </c>
      <c r="L204" s="70">
        <v>-372.49999999999989</v>
      </c>
    </row>
    <row r="205" spans="11:12" x14ac:dyDescent="0.4">
      <c r="K205" s="17">
        <v>203</v>
      </c>
      <c r="L205" s="70">
        <v>-362.99999999999989</v>
      </c>
    </row>
    <row r="206" spans="11:12" x14ac:dyDescent="0.4">
      <c r="K206" s="17">
        <v>204</v>
      </c>
      <c r="L206" s="70">
        <v>-304.99999999999989</v>
      </c>
    </row>
    <row r="207" spans="11:12" x14ac:dyDescent="0.4">
      <c r="K207" s="17">
        <v>205</v>
      </c>
      <c r="L207" s="70">
        <v>-361.99999999999989</v>
      </c>
    </row>
    <row r="208" spans="11:12" x14ac:dyDescent="0.4">
      <c r="K208" s="17">
        <v>206</v>
      </c>
      <c r="L208" s="70">
        <v>-315.99999999999989</v>
      </c>
    </row>
    <row r="209" spans="11:12" x14ac:dyDescent="0.4">
      <c r="K209" s="17">
        <v>207</v>
      </c>
      <c r="L209" s="70">
        <v>-297.99999999999989</v>
      </c>
    </row>
    <row r="210" spans="11:12" x14ac:dyDescent="0.4">
      <c r="K210" s="17">
        <v>208</v>
      </c>
      <c r="L210" s="70">
        <v>-371.69999999999993</v>
      </c>
    </row>
    <row r="211" spans="11:12" x14ac:dyDescent="0.4">
      <c r="K211" s="17">
        <v>209</v>
      </c>
      <c r="L211" s="70">
        <v>-366.99999999999989</v>
      </c>
    </row>
    <row r="212" spans="11:12" x14ac:dyDescent="0.4">
      <c r="K212" s="17">
        <v>210</v>
      </c>
      <c r="L212" s="70">
        <v>-342.7999999999999</v>
      </c>
    </row>
    <row r="213" spans="11:12" x14ac:dyDescent="0.4">
      <c r="K213" s="17">
        <v>211</v>
      </c>
      <c r="L213" s="70">
        <v>-351.59999999999991</v>
      </c>
    </row>
    <row r="214" spans="11:12" x14ac:dyDescent="0.4">
      <c r="K214" s="17">
        <v>212</v>
      </c>
      <c r="L214" s="70">
        <v>-288.19999999999993</v>
      </c>
    </row>
    <row r="215" spans="11:12" x14ac:dyDescent="0.4">
      <c r="K215" s="17">
        <v>213</v>
      </c>
      <c r="L215" s="70">
        <v>-247.1999999999999</v>
      </c>
    </row>
    <row r="216" spans="11:12" x14ac:dyDescent="0.4">
      <c r="K216" s="17">
        <v>214</v>
      </c>
      <c r="L216" s="70">
        <v>-250.39999999999989</v>
      </c>
    </row>
    <row r="217" spans="11:12" x14ac:dyDescent="0.4">
      <c r="K217" s="17">
        <v>215</v>
      </c>
      <c r="L217" s="70">
        <v>-186.19999999999987</v>
      </c>
    </row>
    <row r="218" spans="11:12" x14ac:dyDescent="0.4">
      <c r="K218" s="17">
        <v>216</v>
      </c>
      <c r="L218" s="70">
        <v>-248.19999999999987</v>
      </c>
    </row>
    <row r="219" spans="11:12" x14ac:dyDescent="0.4">
      <c r="K219" s="17">
        <v>217</v>
      </c>
      <c r="L219" s="70">
        <v>-302.79999999999984</v>
      </c>
    </row>
    <row r="220" spans="11:12" x14ac:dyDescent="0.4">
      <c r="K220" s="17">
        <v>218</v>
      </c>
      <c r="L220" s="70">
        <v>-358.79999999999984</v>
      </c>
    </row>
    <row r="221" spans="11:12" x14ac:dyDescent="0.4">
      <c r="K221" s="17">
        <v>219</v>
      </c>
      <c r="L221" s="70">
        <v>-414.99999999999989</v>
      </c>
    </row>
    <row r="222" spans="11:12" x14ac:dyDescent="0.4">
      <c r="K222" s="17">
        <v>220</v>
      </c>
      <c r="L222" s="70">
        <v>-429.29999999999984</v>
      </c>
    </row>
    <row r="223" spans="11:12" x14ac:dyDescent="0.4">
      <c r="K223" s="17">
        <v>221</v>
      </c>
      <c r="L223" s="70">
        <v>-459.59999999999985</v>
      </c>
    </row>
    <row r="224" spans="11:12" x14ac:dyDescent="0.4">
      <c r="K224" s="17">
        <v>222</v>
      </c>
      <c r="L224" s="70">
        <v>-470.49999999999989</v>
      </c>
    </row>
    <row r="225" spans="11:12" x14ac:dyDescent="0.4">
      <c r="K225" s="17">
        <v>223</v>
      </c>
      <c r="L225" s="70">
        <v>-530.49999999999989</v>
      </c>
    </row>
    <row r="226" spans="11:12" x14ac:dyDescent="0.4">
      <c r="K226" s="17">
        <v>224</v>
      </c>
      <c r="L226" s="70">
        <v>-587.09999999999991</v>
      </c>
    </row>
    <row r="227" spans="11:12" x14ac:dyDescent="0.4">
      <c r="K227" s="17">
        <v>225</v>
      </c>
      <c r="L227" s="70">
        <v>-506.09999999999991</v>
      </c>
    </row>
    <row r="228" spans="11:12" x14ac:dyDescent="0.4">
      <c r="K228" s="17">
        <v>226</v>
      </c>
      <c r="L228" s="70">
        <v>-463.19999999999987</v>
      </c>
    </row>
    <row r="229" spans="11:12" x14ac:dyDescent="0.4">
      <c r="K229" s="17">
        <v>227</v>
      </c>
      <c r="L229" s="70">
        <v>-509.89999999999986</v>
      </c>
    </row>
    <row r="230" spans="11:12" x14ac:dyDescent="0.4">
      <c r="K230" s="17">
        <v>228</v>
      </c>
      <c r="L230" s="70">
        <v>-510.69999999999987</v>
      </c>
    </row>
    <row r="231" spans="11:12" x14ac:dyDescent="0.4">
      <c r="K231" s="17">
        <v>229</v>
      </c>
      <c r="L231" s="70">
        <v>-438.69999999999987</v>
      </c>
    </row>
    <row r="232" spans="11:12" x14ac:dyDescent="0.4">
      <c r="K232" s="17">
        <v>230</v>
      </c>
      <c r="L232" s="70">
        <v>-471.39999999999986</v>
      </c>
    </row>
    <row r="233" spans="11:12" x14ac:dyDescent="0.4">
      <c r="K233" s="17">
        <v>231</v>
      </c>
      <c r="L233" s="70">
        <v>-507.99999999999989</v>
      </c>
    </row>
    <row r="234" spans="11:12" x14ac:dyDescent="0.4">
      <c r="K234" s="17">
        <v>232</v>
      </c>
      <c r="L234" s="70">
        <v>-478.39999999999986</v>
      </c>
    </row>
    <row r="235" spans="11:12" x14ac:dyDescent="0.4">
      <c r="K235" s="17">
        <v>233</v>
      </c>
      <c r="L235" s="70">
        <v>-433.89999999999986</v>
      </c>
    </row>
    <row r="236" spans="11:12" x14ac:dyDescent="0.4">
      <c r="K236" s="17">
        <v>234</v>
      </c>
      <c r="L236" s="70">
        <v>-426.89999999999986</v>
      </c>
    </row>
    <row r="237" spans="11:12" x14ac:dyDescent="0.4">
      <c r="K237" s="17">
        <v>235</v>
      </c>
      <c r="L237" s="70">
        <v>-431.49999999999989</v>
      </c>
    </row>
    <row r="238" spans="11:12" x14ac:dyDescent="0.4">
      <c r="K238" s="17">
        <v>236</v>
      </c>
      <c r="L238" s="70">
        <v>-356.2999999999999</v>
      </c>
    </row>
    <row r="239" spans="11:12" x14ac:dyDescent="0.4">
      <c r="K239" s="17">
        <v>237</v>
      </c>
      <c r="L239" s="70">
        <v>-320.7999999999999</v>
      </c>
    </row>
    <row r="240" spans="11:12" x14ac:dyDescent="0.4">
      <c r="K240" s="17">
        <v>238</v>
      </c>
      <c r="L240" s="70">
        <v>-263.19999999999993</v>
      </c>
    </row>
    <row r="241" spans="11:12" x14ac:dyDescent="0.4">
      <c r="K241" s="17">
        <v>239</v>
      </c>
      <c r="L241" s="70">
        <v>-280.2999999999999</v>
      </c>
    </row>
    <row r="242" spans="11:12" x14ac:dyDescent="0.4">
      <c r="K242" s="17">
        <v>240</v>
      </c>
      <c r="L242" s="70">
        <v>-294.19999999999993</v>
      </c>
    </row>
    <row r="243" spans="11:12" x14ac:dyDescent="0.4">
      <c r="K243" s="17">
        <v>241</v>
      </c>
      <c r="L243" s="70">
        <v>-324.99999999999989</v>
      </c>
    </row>
    <row r="244" spans="11:12" x14ac:dyDescent="0.4">
      <c r="K244" s="17">
        <v>242</v>
      </c>
      <c r="L244" s="70">
        <v>-334.09999999999991</v>
      </c>
    </row>
    <row r="245" spans="11:12" x14ac:dyDescent="0.4">
      <c r="K245" s="17">
        <v>243</v>
      </c>
      <c r="L245" s="70">
        <v>-392.2999999999999</v>
      </c>
    </row>
    <row r="246" spans="11:12" x14ac:dyDescent="0.4">
      <c r="K246" s="17">
        <v>244</v>
      </c>
      <c r="L246" s="70">
        <v>-438.7999999999999</v>
      </c>
    </row>
    <row r="247" spans="11:12" x14ac:dyDescent="0.4">
      <c r="K247" s="17">
        <v>245</v>
      </c>
      <c r="L247" s="70">
        <v>-399.59999999999991</v>
      </c>
    </row>
    <row r="248" spans="11:12" x14ac:dyDescent="0.4">
      <c r="K248" s="17">
        <v>246</v>
      </c>
      <c r="L248" s="70">
        <v>-443.2999999999999</v>
      </c>
    </row>
    <row r="249" spans="11:12" x14ac:dyDescent="0.4">
      <c r="K249" s="17">
        <v>247</v>
      </c>
      <c r="L249" s="70">
        <v>-385.2999999999999</v>
      </c>
    </row>
    <row r="250" spans="11:12" x14ac:dyDescent="0.4">
      <c r="K250" s="17">
        <v>248</v>
      </c>
      <c r="L250" s="70">
        <v>-385.7999999999999</v>
      </c>
    </row>
    <row r="251" spans="11:12" x14ac:dyDescent="0.4">
      <c r="K251" s="17">
        <v>249</v>
      </c>
      <c r="L251" s="70">
        <v>-435.19999999999987</v>
      </c>
    </row>
    <row r="252" spans="11:12" x14ac:dyDescent="0.4">
      <c r="K252" s="17">
        <v>250</v>
      </c>
      <c r="L252" s="70">
        <v>-445.99999999999989</v>
      </c>
    </row>
    <row r="253" spans="11:12" x14ac:dyDescent="0.4">
      <c r="K253" s="17">
        <v>251</v>
      </c>
      <c r="L253" s="70">
        <v>-438.29999999999984</v>
      </c>
    </row>
    <row r="254" spans="11:12" x14ac:dyDescent="0.4">
      <c r="K254" s="17">
        <v>252</v>
      </c>
      <c r="L254" s="70">
        <v>-488.69999999999987</v>
      </c>
    </row>
    <row r="255" spans="11:12" x14ac:dyDescent="0.4">
      <c r="K255" s="17">
        <v>253</v>
      </c>
      <c r="L255" s="70">
        <v>-435.49999999999989</v>
      </c>
    </row>
    <row r="256" spans="11:12" x14ac:dyDescent="0.4">
      <c r="K256" s="17">
        <v>254</v>
      </c>
      <c r="L256" s="70">
        <v>-457.39999999999986</v>
      </c>
    </row>
    <row r="257" spans="11:12" x14ac:dyDescent="0.4">
      <c r="K257" s="17">
        <v>255</v>
      </c>
      <c r="L257" s="70">
        <v>-411.49999999999989</v>
      </c>
    </row>
    <row r="258" spans="11:12" x14ac:dyDescent="0.4">
      <c r="K258" s="17">
        <v>256</v>
      </c>
      <c r="L258" s="70">
        <v>-426.79999999999984</v>
      </c>
    </row>
    <row r="259" spans="11:12" x14ac:dyDescent="0.4">
      <c r="K259" s="17">
        <v>257</v>
      </c>
      <c r="L259" s="70">
        <v>-388.09999999999985</v>
      </c>
    </row>
    <row r="260" spans="11:12" x14ac:dyDescent="0.4">
      <c r="K260" s="17">
        <v>258</v>
      </c>
      <c r="L260" s="70">
        <v>-380.79999999999984</v>
      </c>
    </row>
    <row r="261" spans="11:12" x14ac:dyDescent="0.4">
      <c r="K261" s="17">
        <v>259</v>
      </c>
      <c r="L261" s="70">
        <v>-349.99999999999983</v>
      </c>
    </row>
    <row r="262" spans="11:12" x14ac:dyDescent="0.4">
      <c r="K262" s="17">
        <v>260</v>
      </c>
      <c r="L262" s="70">
        <v>-352.79999999999984</v>
      </c>
    </row>
    <row r="263" spans="11:12" x14ac:dyDescent="0.4">
      <c r="K263" s="17">
        <v>261</v>
      </c>
      <c r="L263" s="70">
        <v>-375.39999999999986</v>
      </c>
    </row>
    <row r="264" spans="11:12" x14ac:dyDescent="0.4">
      <c r="K264" s="17">
        <v>262</v>
      </c>
      <c r="L264" s="70">
        <v>-384.89999999999986</v>
      </c>
    </row>
    <row r="265" spans="11:12" x14ac:dyDescent="0.4">
      <c r="K265" s="17">
        <v>263</v>
      </c>
      <c r="L265" s="70">
        <v>-346.79999999999984</v>
      </c>
    </row>
    <row r="266" spans="11:12" x14ac:dyDescent="0.4">
      <c r="K266" s="17">
        <v>264</v>
      </c>
      <c r="L266" s="70">
        <v>-335.29999999999984</v>
      </c>
    </row>
    <row r="267" spans="11:12" x14ac:dyDescent="0.4">
      <c r="K267" s="17">
        <v>265</v>
      </c>
      <c r="L267" s="70">
        <v>-376.39999999999986</v>
      </c>
    </row>
    <row r="268" spans="11:12" x14ac:dyDescent="0.4">
      <c r="K268" s="17">
        <v>266</v>
      </c>
      <c r="L268" s="70">
        <v>-362.69999999999987</v>
      </c>
    </row>
    <row r="269" spans="11:12" x14ac:dyDescent="0.4">
      <c r="K269" s="17">
        <v>267</v>
      </c>
      <c r="L269" s="70">
        <v>-409.99999999999989</v>
      </c>
    </row>
    <row r="270" spans="11:12" x14ac:dyDescent="0.4">
      <c r="K270" s="17">
        <v>268</v>
      </c>
      <c r="L270" s="70">
        <v>-356.49999999999989</v>
      </c>
    </row>
    <row r="271" spans="11:12" x14ac:dyDescent="0.4">
      <c r="K271" s="17">
        <v>269</v>
      </c>
      <c r="L271" s="70">
        <v>-335.99999999999989</v>
      </c>
    </row>
    <row r="272" spans="11:12" x14ac:dyDescent="0.4">
      <c r="K272" s="17">
        <v>270</v>
      </c>
      <c r="L272" s="70">
        <v>-341.49999999999989</v>
      </c>
    </row>
    <row r="273" spans="11:12" x14ac:dyDescent="0.4">
      <c r="K273" s="17">
        <v>271</v>
      </c>
      <c r="L273" s="70">
        <v>-294.09999999999985</v>
      </c>
    </row>
  </sheetData>
  <sortState xmlns:xlrd2="http://schemas.microsoft.com/office/spreadsheetml/2017/richdata2" ref="N15:Q2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7F33-874A-43B2-867F-53BC76B8028E}">
  <sheetPr codeName="Sheet14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186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9</v>
      </c>
      <c r="C2" s="116"/>
      <c r="E2" s="39" t="s">
        <v>65</v>
      </c>
      <c r="F2" s="36" t="s">
        <v>21</v>
      </c>
      <c r="G2" s="24">
        <v>15</v>
      </c>
      <c r="H2" s="103">
        <f>IF(B$31=0,0,G2/B$31)</f>
        <v>0.625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6100</v>
      </c>
      <c r="P2" s="89">
        <v>9</v>
      </c>
      <c r="Q2" s="73">
        <v>54900</v>
      </c>
    </row>
    <row r="3" spans="1:17" x14ac:dyDescent="0.4">
      <c r="A3" s="32" t="s">
        <v>8</v>
      </c>
      <c r="B3" s="127">
        <v>69</v>
      </c>
      <c r="C3" s="128"/>
      <c r="E3" s="40" t="s">
        <v>67</v>
      </c>
      <c r="F3" s="37" t="s">
        <v>23</v>
      </c>
      <c r="G3" s="25">
        <v>15</v>
      </c>
      <c r="H3" s="104">
        <f>IF(B$31=0,0,G3/B$31)</f>
        <v>0.625</v>
      </c>
      <c r="I3" s="65">
        <v>14</v>
      </c>
      <c r="K3" s="17">
        <v>1</v>
      </c>
      <c r="L3" s="70">
        <v>28.3</v>
      </c>
      <c r="N3" s="86" t="s">
        <v>130</v>
      </c>
      <c r="O3" s="93">
        <f t="shared" ref="O3:O7" si="0">IF(P3=0,0,Q3/P3)</f>
        <v>-3555.5555555555557</v>
      </c>
      <c r="P3" s="90">
        <v>9</v>
      </c>
      <c r="Q3" s="74">
        <v>-32000</v>
      </c>
    </row>
    <row r="4" spans="1:17" x14ac:dyDescent="0.4">
      <c r="A4" s="32" t="s">
        <v>6</v>
      </c>
      <c r="B4" s="129">
        <v>109</v>
      </c>
      <c r="C4" s="130"/>
      <c r="E4" s="40" t="s">
        <v>73</v>
      </c>
      <c r="F4" s="37" t="s">
        <v>28</v>
      </c>
      <c r="G4" s="25">
        <v>13</v>
      </c>
      <c r="H4" s="104">
        <f>IF(B$31=0,0,G4/B$31)</f>
        <v>0.54166666666666663</v>
      </c>
      <c r="I4" s="65">
        <v>10</v>
      </c>
      <c r="K4" s="17">
        <v>2</v>
      </c>
      <c r="L4" s="70">
        <v>71.3</v>
      </c>
      <c r="N4" s="86" t="s">
        <v>131</v>
      </c>
      <c r="O4" s="93">
        <f t="shared" si="0"/>
        <v>-1333.3333333333333</v>
      </c>
      <c r="P4" s="90">
        <v>9</v>
      </c>
      <c r="Q4" s="74">
        <v>-12000</v>
      </c>
    </row>
    <row r="5" spans="1:17" x14ac:dyDescent="0.4">
      <c r="A5" s="32" t="s">
        <v>7</v>
      </c>
      <c r="B5" s="131">
        <f>IF(B$2=0,0,B$4/B$2)</f>
        <v>12.111111111111111</v>
      </c>
      <c r="C5" s="132"/>
      <c r="E5" s="40" t="s">
        <v>177</v>
      </c>
      <c r="F5" s="37" t="s">
        <v>178</v>
      </c>
      <c r="G5" s="25">
        <v>12</v>
      </c>
      <c r="H5" s="104">
        <f>IF(B$31=0,0,G5/B$31)</f>
        <v>0.5</v>
      </c>
      <c r="I5" s="65">
        <v>4</v>
      </c>
      <c r="K5" s="17">
        <v>3</v>
      </c>
      <c r="L5" s="70">
        <v>57.3</v>
      </c>
      <c r="N5" s="86" t="s">
        <v>132</v>
      </c>
      <c r="O5" s="93">
        <f t="shared" si="0"/>
        <v>8785.7142857142862</v>
      </c>
      <c r="P5" s="90">
        <v>7</v>
      </c>
      <c r="Q5" s="74">
        <v>61500</v>
      </c>
    </row>
    <row r="6" spans="1:17" x14ac:dyDescent="0.4">
      <c r="A6" s="32" t="s">
        <v>1</v>
      </c>
      <c r="B6" s="123">
        <f>IF(B$2=0,0,(B$7*1+B$8*2+B$9*3)/B$2)</f>
        <v>1.6666666666666667</v>
      </c>
      <c r="C6" s="124"/>
      <c r="E6" s="40" t="s">
        <v>68</v>
      </c>
      <c r="F6" s="37" t="s">
        <v>24</v>
      </c>
      <c r="G6" s="25">
        <v>9</v>
      </c>
      <c r="H6" s="104">
        <f>IF(B$31=0,0,G6/B$31)</f>
        <v>0.375</v>
      </c>
      <c r="I6" s="65">
        <v>4</v>
      </c>
      <c r="K6" s="17">
        <v>4</v>
      </c>
      <c r="L6" s="70">
        <v>65.5</v>
      </c>
      <c r="N6" s="86" t="s">
        <v>133</v>
      </c>
      <c r="O6" s="93">
        <f t="shared" si="0"/>
        <v>-528.57142857142856</v>
      </c>
      <c r="P6" s="90">
        <v>7</v>
      </c>
      <c r="Q6" s="74">
        <v>-3700</v>
      </c>
    </row>
    <row r="7" spans="1:17" x14ac:dyDescent="0.4">
      <c r="A7" s="32" t="s">
        <v>2</v>
      </c>
      <c r="B7" s="25">
        <v>5</v>
      </c>
      <c r="C7" s="18">
        <f>IF(B$2=0,0,B7/B$2)</f>
        <v>0.55555555555555558</v>
      </c>
      <c r="E7" s="40" t="s">
        <v>69</v>
      </c>
      <c r="F7" s="37" t="s">
        <v>12</v>
      </c>
      <c r="G7" s="25">
        <v>5</v>
      </c>
      <c r="H7" s="104">
        <f>IF(B$31=0,0,G7/B$31)</f>
        <v>0.20833333333333334</v>
      </c>
      <c r="I7" s="65">
        <v>16</v>
      </c>
      <c r="K7" s="17">
        <v>5</v>
      </c>
      <c r="L7" s="70">
        <v>90</v>
      </c>
      <c r="N7" s="87" t="s">
        <v>134</v>
      </c>
      <c r="O7" s="94">
        <f t="shared" si="0"/>
        <v>42.857142857142854</v>
      </c>
      <c r="P7" s="91">
        <v>7</v>
      </c>
      <c r="Q7" s="75">
        <v>300</v>
      </c>
    </row>
    <row r="8" spans="1:17" x14ac:dyDescent="0.4">
      <c r="A8" s="32" t="s">
        <v>3</v>
      </c>
      <c r="B8" s="25">
        <v>2</v>
      </c>
      <c r="C8" s="18">
        <f>IF(B$2=0,0,B8/B$2)</f>
        <v>0.22222222222222221</v>
      </c>
      <c r="E8" s="40" t="s">
        <v>90</v>
      </c>
      <c r="F8" s="37" t="s">
        <v>45</v>
      </c>
      <c r="G8" s="25">
        <v>5</v>
      </c>
      <c r="H8" s="104">
        <f>IF(B$31=0,0,G8/B$31)</f>
        <v>0.20833333333333334</v>
      </c>
      <c r="I8" s="65">
        <v>2</v>
      </c>
      <c r="K8" s="17">
        <v>6</v>
      </c>
      <c r="L8" s="70">
        <v>48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0.22222222222222221</v>
      </c>
      <c r="E9" s="40" t="s">
        <v>70</v>
      </c>
      <c r="F9" s="37" t="s">
        <v>25</v>
      </c>
      <c r="G9" s="25">
        <v>4</v>
      </c>
      <c r="H9" s="104">
        <f>IF(B$31=0,0,G9/B$31)</f>
        <v>0.16666666666666666</v>
      </c>
      <c r="I9" s="65">
        <v>4</v>
      </c>
      <c r="K9" s="17">
        <v>7</v>
      </c>
      <c r="L9" s="70">
        <v>33.4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</v>
      </c>
      <c r="C10" s="19">
        <f>IF(B$2=0,0,B10/B$2)</f>
        <v>0.1111111111111111</v>
      </c>
      <c r="E10" s="40" t="s">
        <v>71</v>
      </c>
      <c r="F10" s="37" t="s">
        <v>26</v>
      </c>
      <c r="G10" s="25">
        <v>4</v>
      </c>
      <c r="H10" s="104">
        <f>IF(B$31=0,0,G10/B$31)</f>
        <v>0.16666666666666666</v>
      </c>
      <c r="I10" s="65">
        <v>1</v>
      </c>
      <c r="K10" s="17">
        <v>8</v>
      </c>
      <c r="L10" s="70">
        <v>70.5</v>
      </c>
      <c r="N10" s="85" t="s">
        <v>158</v>
      </c>
      <c r="O10" s="95">
        <f>IF(P10=0,0,Q10/P10)</f>
        <v>-6.85</v>
      </c>
      <c r="P10" s="89">
        <v>2</v>
      </c>
      <c r="Q10" s="77">
        <v>-13.7</v>
      </c>
    </row>
    <row r="11" spans="1:17" x14ac:dyDescent="0.4">
      <c r="A11" s="33" t="s">
        <v>137</v>
      </c>
      <c r="B11" s="26">
        <v>1</v>
      </c>
      <c r="C11" s="19">
        <f>IF(B$2=0,0,B11/B$2)</f>
        <v>0.1111111111111111</v>
      </c>
      <c r="E11" s="40" t="s">
        <v>87</v>
      </c>
      <c r="F11" s="37" t="s">
        <v>42</v>
      </c>
      <c r="G11" s="25">
        <v>4</v>
      </c>
      <c r="H11" s="104">
        <f>IF(B$31=0,0,G11/B$31)</f>
        <v>0.16666666666666666</v>
      </c>
      <c r="I11" s="65">
        <v>2</v>
      </c>
      <c r="K11" s="17">
        <v>9</v>
      </c>
      <c r="L11" s="70">
        <v>109</v>
      </c>
      <c r="N11" s="86" t="s">
        <v>159</v>
      </c>
      <c r="O11" s="96">
        <f>IF(P11=0,0,Q11/P11)</f>
        <v>0</v>
      </c>
      <c r="P11" s="90">
        <v>0</v>
      </c>
      <c r="Q11" s="78">
        <v>0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66</v>
      </c>
      <c r="F12" s="37" t="s">
        <v>22</v>
      </c>
      <c r="G12" s="25">
        <v>3</v>
      </c>
      <c r="H12" s="104">
        <f>IF(B$31=0,0,G12/B$31)</f>
        <v>0.125</v>
      </c>
      <c r="I12" s="65">
        <v>4</v>
      </c>
      <c r="N12" s="87" t="s">
        <v>160</v>
      </c>
      <c r="O12" s="97">
        <f>IF(P12=0,0,Q12/P12)</f>
        <v>17.528571428571428</v>
      </c>
      <c r="P12" s="91">
        <v>7</v>
      </c>
      <c r="Q12" s="79">
        <v>122.7</v>
      </c>
    </row>
    <row r="13" spans="1:17" x14ac:dyDescent="0.4">
      <c r="A13" s="35" t="s">
        <v>122</v>
      </c>
      <c r="B13" s="28">
        <v>26</v>
      </c>
      <c r="C13" s="23">
        <f>IF(B$30=0,0,B13/B$30)</f>
        <v>0.37681159420289856</v>
      </c>
      <c r="E13" s="40" t="s">
        <v>72</v>
      </c>
      <c r="F13" s="37" t="s">
        <v>27</v>
      </c>
      <c r="G13" s="25">
        <v>2</v>
      </c>
      <c r="H13" s="104">
        <f>IF(B$31=0,0,G13/B$31)</f>
        <v>8.3333333333333329E-2</v>
      </c>
      <c r="I13" s="65">
        <v>3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10</v>
      </c>
      <c r="C14" s="18">
        <f>IF(B$30=0,0,B14/B$30)</f>
        <v>0.14492753623188406</v>
      </c>
      <c r="E14" s="40" t="s">
        <v>167</v>
      </c>
      <c r="F14" s="37" t="s">
        <v>168</v>
      </c>
      <c r="G14" s="25">
        <v>2</v>
      </c>
      <c r="H14" s="104">
        <f>IF(B$31=0,0,G14/B$31)</f>
        <v>8.3333333333333329E-2</v>
      </c>
      <c r="I14" s="65">
        <v>15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16</v>
      </c>
      <c r="C15" s="16">
        <f>IF(B$13=0,0,B15/B$13)</f>
        <v>0.61538461538461542</v>
      </c>
      <c r="E15" s="40" t="s">
        <v>92</v>
      </c>
      <c r="F15" s="37" t="s">
        <v>47</v>
      </c>
      <c r="G15" s="25">
        <v>1</v>
      </c>
      <c r="H15" s="104">
        <f>IF(B$31=0,0,G15/B$31)</f>
        <v>4.1666666666666664E-2</v>
      </c>
      <c r="I15" s="65">
        <v>1</v>
      </c>
      <c r="N15" s="85" t="s">
        <v>172</v>
      </c>
      <c r="O15" s="95">
        <f>IF(P15=0,0,Q15/P15)</f>
        <v>45.699999999999996</v>
      </c>
      <c r="P15" s="89">
        <v>3</v>
      </c>
      <c r="Q15" s="77">
        <v>137.1</v>
      </c>
    </row>
    <row r="16" spans="1:17" x14ac:dyDescent="0.4">
      <c r="A16" s="31" t="s">
        <v>125</v>
      </c>
      <c r="B16" s="24">
        <v>5</v>
      </c>
      <c r="C16" s="16">
        <f>IF(B$14=0,0,B16/B$14)</f>
        <v>0.5</v>
      </c>
      <c r="E16" s="40" t="s">
        <v>74</v>
      </c>
      <c r="F16" s="37" t="s">
        <v>29</v>
      </c>
      <c r="G16" s="25">
        <v>0</v>
      </c>
      <c r="H16" s="104">
        <f>IF(B$31=0,0,G16/B$31)</f>
        <v>0</v>
      </c>
      <c r="I16" s="65">
        <v>10</v>
      </c>
      <c r="N16" s="86" t="s">
        <v>174</v>
      </c>
      <c r="O16" s="96">
        <f>IF(P16=0,0,Q16/P16)</f>
        <v>45.5</v>
      </c>
      <c r="P16" s="90">
        <v>1</v>
      </c>
      <c r="Q16" s="78">
        <v>45.5</v>
      </c>
    </row>
    <row r="17" spans="1:17" x14ac:dyDescent="0.4">
      <c r="A17" s="31" t="s">
        <v>10</v>
      </c>
      <c r="B17" s="24">
        <f>B19+B18</f>
        <v>24</v>
      </c>
      <c r="C17" s="16">
        <f>IF(B$3=0,0,B17/B$3)</f>
        <v>0.34782608695652173</v>
      </c>
      <c r="E17" s="40" t="s">
        <v>75</v>
      </c>
      <c r="F17" s="37" t="s">
        <v>30</v>
      </c>
      <c r="G17" s="25">
        <v>0</v>
      </c>
      <c r="H17" s="104">
        <f>IF(B$31=0,0,G17/B$31)</f>
        <v>0</v>
      </c>
      <c r="I17" s="65">
        <v>10</v>
      </c>
      <c r="N17" s="86" t="s">
        <v>182</v>
      </c>
      <c r="O17" s="96">
        <f>IF(P17=0,0,Q17/P17)</f>
        <v>38.6</v>
      </c>
      <c r="P17" s="90">
        <v>2</v>
      </c>
      <c r="Q17" s="78">
        <v>77.2</v>
      </c>
    </row>
    <row r="18" spans="1:17" x14ac:dyDescent="0.4">
      <c r="A18" s="32" t="s">
        <v>12</v>
      </c>
      <c r="B18" s="25">
        <v>7</v>
      </c>
      <c r="C18" s="18">
        <f>IF(B$17=0,0,B18/B$17)</f>
        <v>0.29166666666666669</v>
      </c>
      <c r="E18" s="40" t="s">
        <v>76</v>
      </c>
      <c r="F18" s="37" t="s">
        <v>31</v>
      </c>
      <c r="G18" s="25">
        <v>0</v>
      </c>
      <c r="H18" s="104">
        <f>IF(B$31=0,0,G18/B$31)</f>
        <v>0</v>
      </c>
      <c r="I18" s="65">
        <v>10</v>
      </c>
      <c r="N18" s="86" t="s">
        <v>173</v>
      </c>
      <c r="O18" s="96">
        <f>IF(P18=0,0,Q18/P18)</f>
        <v>29.666666666666668</v>
      </c>
      <c r="P18" s="90">
        <v>3</v>
      </c>
      <c r="Q18" s="78">
        <v>89</v>
      </c>
    </row>
    <row r="19" spans="1:17" x14ac:dyDescent="0.4">
      <c r="A19" s="32" t="s">
        <v>11</v>
      </c>
      <c r="B19" s="25">
        <v>17</v>
      </c>
      <c r="C19" s="18">
        <f>IF(B$17=0,0,B19/B$17)</f>
        <v>0.70833333333333337</v>
      </c>
      <c r="E19" s="40" t="s">
        <v>77</v>
      </c>
      <c r="F19" s="37" t="s">
        <v>32</v>
      </c>
      <c r="G19" s="25">
        <v>0</v>
      </c>
      <c r="H19" s="104">
        <f>IF(B$31=0,0,G19/B$31)</f>
        <v>0</v>
      </c>
      <c r="I19" s="65">
        <v>1</v>
      </c>
      <c r="N19" s="86" t="s">
        <v>185</v>
      </c>
      <c r="O19" s="96">
        <f>IF(P19=0,0,Q19/P19)</f>
        <v>26.466666666666665</v>
      </c>
      <c r="P19" s="90">
        <v>3</v>
      </c>
      <c r="Q19" s="78">
        <v>79.399999999999991</v>
      </c>
    </row>
    <row r="20" spans="1:17" x14ac:dyDescent="0.4">
      <c r="A20" s="32" t="s">
        <v>13</v>
      </c>
      <c r="B20" s="25">
        <v>6</v>
      </c>
      <c r="C20" s="18">
        <f>IF(B$3=0,0,B20/B$3)</f>
        <v>8.6956521739130432E-2</v>
      </c>
      <c r="E20" s="40" t="s">
        <v>78</v>
      </c>
      <c r="F20" s="37" t="s">
        <v>33</v>
      </c>
      <c r="G20" s="25">
        <v>0</v>
      </c>
      <c r="H20" s="104">
        <f>IF(B$31=0,0,G20/B$31)</f>
        <v>0</v>
      </c>
      <c r="I20" s="65">
        <v>9</v>
      </c>
      <c r="N20" s="86" t="s">
        <v>128</v>
      </c>
      <c r="O20" s="96">
        <f>IF(P20=0,0,Q20/P20)</f>
        <v>6.2</v>
      </c>
      <c r="P20" s="90">
        <v>3</v>
      </c>
      <c r="Q20" s="78">
        <v>18.600000000000001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79</v>
      </c>
      <c r="F21" s="37" t="s">
        <v>34</v>
      </c>
      <c r="G21" s="25">
        <v>0</v>
      </c>
      <c r="H21" s="104">
        <f>IF(B$31=0,0,G21/B$31)</f>
        <v>0</v>
      </c>
      <c r="I21" s="65">
        <v>13</v>
      </c>
      <c r="N21" s="86" t="s">
        <v>171</v>
      </c>
      <c r="O21" s="96">
        <f>IF(P21=0,0,Q21/P21)</f>
        <v>-25.3</v>
      </c>
      <c r="P21" s="90">
        <v>2</v>
      </c>
      <c r="Q21" s="78">
        <v>-50.6</v>
      </c>
    </row>
    <row r="22" spans="1:17" x14ac:dyDescent="0.4">
      <c r="A22" s="32" t="s">
        <v>166</v>
      </c>
      <c r="B22" s="25">
        <v>17</v>
      </c>
      <c r="C22" s="106">
        <v>0</v>
      </c>
      <c r="E22" s="40" t="s">
        <v>80</v>
      </c>
      <c r="F22" s="37" t="s">
        <v>35</v>
      </c>
      <c r="G22" s="25">
        <v>0</v>
      </c>
      <c r="H22" s="104">
        <f>IF(B$31=0,0,G22/B$31)</f>
        <v>0</v>
      </c>
      <c r="I22" s="65">
        <v>13</v>
      </c>
      <c r="N22" s="86" t="s">
        <v>127</v>
      </c>
      <c r="O22" s="96">
        <f>IF(P22=0,0,Q22/P22)</f>
        <v>-69.2</v>
      </c>
      <c r="P22" s="90">
        <v>1</v>
      </c>
      <c r="Q22" s="78">
        <v>-69.2</v>
      </c>
    </row>
    <row r="23" spans="1:17" x14ac:dyDescent="0.4">
      <c r="A23" s="32" t="s">
        <v>5</v>
      </c>
      <c r="B23" s="29">
        <f>IF(B$17=0,0,C23/B$17)</f>
        <v>8891.6666666666661</v>
      </c>
      <c r="C23" s="20">
        <v>213400</v>
      </c>
      <c r="E23" s="40" t="s">
        <v>81</v>
      </c>
      <c r="F23" s="37" t="s">
        <v>36</v>
      </c>
      <c r="G23" s="25">
        <v>0</v>
      </c>
      <c r="H23" s="104">
        <f>IF(B$31=0,0,G23/B$31)</f>
        <v>0</v>
      </c>
      <c r="I23" s="65">
        <v>3</v>
      </c>
    </row>
    <row r="24" spans="1:17" x14ac:dyDescent="0.4">
      <c r="A24" s="33" t="s">
        <v>189</v>
      </c>
      <c r="B24" s="111">
        <f>IF($B$17-B$16=0,0,C24/($B$17-B$16))</f>
        <v>9610.5263157894733</v>
      </c>
      <c r="C24" s="112">
        <v>182600</v>
      </c>
      <c r="E24" s="40" t="s">
        <v>82</v>
      </c>
      <c r="F24" s="37" t="s">
        <v>37</v>
      </c>
      <c r="G24" s="25">
        <v>0</v>
      </c>
      <c r="H24" s="104">
        <f>IF(B$31=0,0,G24/B$31)</f>
        <v>0</v>
      </c>
      <c r="I24" s="65">
        <v>14</v>
      </c>
    </row>
    <row r="25" spans="1:17" x14ac:dyDescent="0.4">
      <c r="A25" s="33" t="s">
        <v>190</v>
      </c>
      <c r="B25" s="111">
        <f>IF(B$16=0,0,C25/B$16)</f>
        <v>6160</v>
      </c>
      <c r="C25" s="112">
        <v>30800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</row>
    <row r="26" spans="1:17" x14ac:dyDescent="0.4">
      <c r="A26" s="32" t="s">
        <v>14</v>
      </c>
      <c r="B26" s="29">
        <f>IF(B$20=0,0,C26/B$20)</f>
        <v>-8400</v>
      </c>
      <c r="C26" s="20">
        <v>-50400</v>
      </c>
      <c r="E26" s="40" t="s">
        <v>84</v>
      </c>
      <c r="F26" s="37" t="s">
        <v>39</v>
      </c>
      <c r="G26" s="25">
        <v>0</v>
      </c>
      <c r="H26" s="104">
        <f>IF(B$31=0,0,G26/B$31)</f>
        <v>0</v>
      </c>
      <c r="I26" s="65">
        <v>15</v>
      </c>
    </row>
    <row r="27" spans="1:17" x14ac:dyDescent="0.4">
      <c r="A27" s="61" t="s">
        <v>139</v>
      </c>
      <c r="B27" s="121">
        <v>5</v>
      </c>
      <c r="C27" s="122"/>
      <c r="E27" s="40" t="s">
        <v>85</v>
      </c>
      <c r="F27" s="37" t="s">
        <v>40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19">
        <v>78000</v>
      </c>
      <c r="C28" s="120"/>
      <c r="E28" s="40" t="s">
        <v>86</v>
      </c>
      <c r="F28" s="37" t="s">
        <v>41</v>
      </c>
      <c r="G28" s="25">
        <v>0</v>
      </c>
      <c r="H28" s="104">
        <f>IF(B$31=0,0,G28/B$31)</f>
        <v>0</v>
      </c>
      <c r="I28" s="65">
        <v>8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88</v>
      </c>
      <c r="F29" s="37" t="s">
        <v>43</v>
      </c>
      <c r="G29" s="25">
        <v>0</v>
      </c>
      <c r="H29" s="104">
        <f>IF(B$31=0,0,G29/B$31)</f>
        <v>0</v>
      </c>
      <c r="I29" s="65">
        <v>8</v>
      </c>
    </row>
    <row r="30" spans="1:17" x14ac:dyDescent="0.4">
      <c r="A30" s="31" t="s">
        <v>179</v>
      </c>
      <c r="B30" s="115">
        <v>69</v>
      </c>
      <c r="C30" s="116"/>
      <c r="E30" s="40" t="s">
        <v>89</v>
      </c>
      <c r="F30" s="37" t="s">
        <v>44</v>
      </c>
      <c r="G30" s="25">
        <v>0</v>
      </c>
      <c r="H30" s="104">
        <f>IF(B$31=0,0,G30/B$31)</f>
        <v>0</v>
      </c>
      <c r="I30" s="65">
        <v>6</v>
      </c>
    </row>
    <row r="31" spans="1:17" x14ac:dyDescent="0.4">
      <c r="A31" s="34" t="s">
        <v>180</v>
      </c>
      <c r="B31" s="117">
        <v>24</v>
      </c>
      <c r="C31" s="118"/>
      <c r="E31" s="40" t="s">
        <v>91</v>
      </c>
      <c r="F31" s="37" t="s">
        <v>46</v>
      </c>
      <c r="G31" s="25">
        <v>0</v>
      </c>
      <c r="H31" s="104">
        <f>IF(B$31=0,0,G31/B$31)</f>
        <v>0</v>
      </c>
      <c r="I31" s="65">
        <v>6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1B445-5632-45FC-A1AE-BB1D263EBCD2}">
  <sheetPr codeName="Sheet15"/>
  <dimension ref="A1:Q195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172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193</v>
      </c>
      <c r="C2" s="116"/>
      <c r="E2" s="39" t="s">
        <v>67</v>
      </c>
      <c r="F2" s="36" t="s">
        <v>23</v>
      </c>
      <c r="G2" s="24">
        <v>261</v>
      </c>
      <c r="H2" s="103">
        <f>IF(B$31=0,0,G2/B$31)</f>
        <v>0.63658536585365855</v>
      </c>
      <c r="I2" s="64">
        <v>12</v>
      </c>
      <c r="K2" s="15">
        <v>0</v>
      </c>
      <c r="L2" s="69">
        <v>0</v>
      </c>
      <c r="N2" s="85" t="s">
        <v>129</v>
      </c>
      <c r="O2" s="92">
        <f>IF(P2=0,0,Q2/P2)</f>
        <v>27.979274611398964</v>
      </c>
      <c r="P2" s="89">
        <v>193</v>
      </c>
      <c r="Q2" s="73">
        <v>5400</v>
      </c>
    </row>
    <row r="3" spans="1:17" x14ac:dyDescent="0.4">
      <c r="A3" s="32" t="s">
        <v>8</v>
      </c>
      <c r="B3" s="127">
        <v>1578</v>
      </c>
      <c r="C3" s="128"/>
      <c r="E3" s="40" t="s">
        <v>73</v>
      </c>
      <c r="F3" s="37" t="s">
        <v>28</v>
      </c>
      <c r="G3" s="25">
        <v>232</v>
      </c>
      <c r="H3" s="104">
        <f>IF(B$31=0,0,G3/B$31)</f>
        <v>0.56585365853658531</v>
      </c>
      <c r="I3" s="65">
        <v>7</v>
      </c>
      <c r="K3" s="17">
        <v>1</v>
      </c>
      <c r="L3" s="70">
        <v>15</v>
      </c>
      <c r="N3" s="86" t="s">
        <v>130</v>
      </c>
      <c r="O3" s="93">
        <f t="shared" ref="O3:O7" si="0">IF(P3=0,0,Q3/P3)</f>
        <v>901.61290322580646</v>
      </c>
      <c r="P3" s="90">
        <v>186</v>
      </c>
      <c r="Q3" s="74">
        <v>167700</v>
      </c>
    </row>
    <row r="4" spans="1:17" x14ac:dyDescent="0.4">
      <c r="A4" s="32" t="s">
        <v>6</v>
      </c>
      <c r="B4" s="129">
        <v>-462.9</v>
      </c>
      <c r="C4" s="130"/>
      <c r="E4" s="40" t="s">
        <v>65</v>
      </c>
      <c r="F4" s="37" t="s">
        <v>21</v>
      </c>
      <c r="G4" s="25">
        <v>214</v>
      </c>
      <c r="H4" s="104">
        <f>IF(B$31=0,0,G4/B$31)</f>
        <v>0.52195121951219514</v>
      </c>
      <c r="I4" s="65">
        <v>7</v>
      </c>
      <c r="K4" s="17">
        <v>2</v>
      </c>
      <c r="L4" s="70">
        <v>-24.299999999999997</v>
      </c>
      <c r="N4" s="86" t="s">
        <v>131</v>
      </c>
      <c r="O4" s="93">
        <f t="shared" si="0"/>
        <v>-1782.0809248554913</v>
      </c>
      <c r="P4" s="90">
        <v>173</v>
      </c>
      <c r="Q4" s="74">
        <v>-308300</v>
      </c>
    </row>
    <row r="5" spans="1:17" x14ac:dyDescent="0.4">
      <c r="A5" s="32" t="s">
        <v>7</v>
      </c>
      <c r="B5" s="131">
        <f>IF(B$2=0,0,B$4/B$2)</f>
        <v>-2.398445595854922</v>
      </c>
      <c r="C5" s="132"/>
      <c r="E5" s="40" t="s">
        <v>167</v>
      </c>
      <c r="F5" s="37" t="s">
        <v>168</v>
      </c>
      <c r="G5" s="25">
        <v>147</v>
      </c>
      <c r="H5" s="104">
        <f>IF(B$31=0,0,G5/B$31)</f>
        <v>0.35853658536585364</v>
      </c>
      <c r="I5" s="65">
        <v>3</v>
      </c>
      <c r="K5" s="17">
        <v>3</v>
      </c>
      <c r="L5" s="70">
        <v>-15.599999999999998</v>
      </c>
      <c r="N5" s="86" t="s">
        <v>132</v>
      </c>
      <c r="O5" s="93">
        <f t="shared" si="0"/>
        <v>-273.91304347826087</v>
      </c>
      <c r="P5" s="90">
        <v>161</v>
      </c>
      <c r="Q5" s="74">
        <v>-44100</v>
      </c>
    </row>
    <row r="6" spans="1:17" x14ac:dyDescent="0.4">
      <c r="A6" s="32" t="s">
        <v>1</v>
      </c>
      <c r="B6" s="123">
        <f>IF(B$2=0,0,(B$7*1+B$8*2+B$9*3)/B$2)</f>
        <v>2.088082901554404</v>
      </c>
      <c r="C6" s="124"/>
      <c r="E6" s="40" t="s">
        <v>68</v>
      </c>
      <c r="F6" s="37" t="s">
        <v>24</v>
      </c>
      <c r="G6" s="25">
        <v>141</v>
      </c>
      <c r="H6" s="104">
        <f>IF(B$31=0,0,G6/B$31)</f>
        <v>0.34390243902439022</v>
      </c>
      <c r="I6" s="65">
        <v>7</v>
      </c>
      <c r="K6" s="17">
        <v>4</v>
      </c>
      <c r="L6" s="70">
        <v>5.1000000000000014</v>
      </c>
      <c r="N6" s="86" t="s">
        <v>133</v>
      </c>
      <c r="O6" s="93">
        <f t="shared" si="0"/>
        <v>-1926.2068965517242</v>
      </c>
      <c r="P6" s="90">
        <v>145</v>
      </c>
      <c r="Q6" s="74">
        <v>-279300</v>
      </c>
    </row>
    <row r="7" spans="1:17" x14ac:dyDescent="0.4">
      <c r="A7" s="32" t="s">
        <v>2</v>
      </c>
      <c r="B7" s="25">
        <v>55</v>
      </c>
      <c r="C7" s="18">
        <f>IF(B$2=0,0,B7/B$2)</f>
        <v>0.28497409326424872</v>
      </c>
      <c r="E7" s="40" t="s">
        <v>69</v>
      </c>
      <c r="F7" s="37" t="s">
        <v>12</v>
      </c>
      <c r="G7" s="25">
        <v>127</v>
      </c>
      <c r="H7" s="104">
        <f>IF(B$31=0,0,G7/B$31)</f>
        <v>0.30975609756097561</v>
      </c>
      <c r="I7" s="65">
        <v>8</v>
      </c>
      <c r="K7" s="17">
        <v>5</v>
      </c>
      <c r="L7" s="70">
        <v>9.6000000000000014</v>
      </c>
      <c r="N7" s="87" t="s">
        <v>134</v>
      </c>
      <c r="O7" s="94">
        <f t="shared" si="0"/>
        <v>428.33333333333331</v>
      </c>
      <c r="P7" s="91">
        <v>120</v>
      </c>
      <c r="Q7" s="75">
        <v>51400</v>
      </c>
    </row>
    <row r="8" spans="1:17" x14ac:dyDescent="0.4">
      <c r="A8" s="32" t="s">
        <v>3</v>
      </c>
      <c r="B8" s="25">
        <v>66</v>
      </c>
      <c r="C8" s="18">
        <f>IF(B$2=0,0,B8/B$2)</f>
        <v>0.34196891191709844</v>
      </c>
      <c r="E8" s="40" t="s">
        <v>177</v>
      </c>
      <c r="F8" s="37" t="s">
        <v>178</v>
      </c>
      <c r="G8" s="25">
        <v>55</v>
      </c>
      <c r="H8" s="104">
        <f>IF(B$31=0,0,G8/B$31)</f>
        <v>0.13414634146341464</v>
      </c>
      <c r="I8" s="65">
        <v>12</v>
      </c>
      <c r="K8" s="17">
        <v>6</v>
      </c>
      <c r="L8" s="70">
        <v>2.2000000000000011</v>
      </c>
      <c r="N8" s="22"/>
      <c r="O8" s="98"/>
      <c r="P8" s="82"/>
      <c r="Q8" s="80"/>
    </row>
    <row r="9" spans="1:17" x14ac:dyDescent="0.4">
      <c r="A9" s="33" t="s">
        <v>4</v>
      </c>
      <c r="B9" s="26">
        <v>72</v>
      </c>
      <c r="C9" s="19">
        <f t="shared" ref="C9" si="1">IF(B$2=0,0,B9/B$2)</f>
        <v>0.37305699481865284</v>
      </c>
      <c r="E9" s="40" t="s">
        <v>70</v>
      </c>
      <c r="F9" s="37" t="s">
        <v>25</v>
      </c>
      <c r="G9" s="25">
        <v>50</v>
      </c>
      <c r="H9" s="104">
        <f>IF(B$31=0,0,G9/B$31)</f>
        <v>0.12195121951219512</v>
      </c>
      <c r="I9" s="65">
        <v>12</v>
      </c>
      <c r="K9" s="17">
        <v>7</v>
      </c>
      <c r="L9" s="70">
        <v>27.200000000000003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29</v>
      </c>
      <c r="C10" s="19">
        <f>IF(B$2=0,0,B10/B$2)</f>
        <v>0.15025906735751296</v>
      </c>
      <c r="E10" s="40" t="s">
        <v>90</v>
      </c>
      <c r="F10" s="37" t="s">
        <v>45</v>
      </c>
      <c r="G10" s="25">
        <v>49</v>
      </c>
      <c r="H10" s="104">
        <f>IF(B$31=0,0,G10/B$31)</f>
        <v>0.11951219512195121</v>
      </c>
      <c r="I10" s="65">
        <v>10</v>
      </c>
      <c r="K10" s="17">
        <v>8</v>
      </c>
      <c r="L10" s="70">
        <v>-4.4999999999999964</v>
      </c>
      <c r="N10" s="85" t="s">
        <v>158</v>
      </c>
      <c r="O10" s="95">
        <f>IF(P10=0,0,Q10/P10)</f>
        <v>-4.3600000000000003</v>
      </c>
      <c r="P10" s="89">
        <v>70</v>
      </c>
      <c r="Q10" s="77">
        <v>-305.20000000000005</v>
      </c>
    </row>
    <row r="11" spans="1:17" x14ac:dyDescent="0.4">
      <c r="A11" s="33" t="s">
        <v>137</v>
      </c>
      <c r="B11" s="26">
        <v>17</v>
      </c>
      <c r="C11" s="19">
        <f>IF(B$2=0,0,B11/B$2)</f>
        <v>8.8082901554404139E-2</v>
      </c>
      <c r="E11" s="40" t="s">
        <v>66</v>
      </c>
      <c r="F11" s="37" t="s">
        <v>22</v>
      </c>
      <c r="G11" s="25">
        <v>40</v>
      </c>
      <c r="H11" s="104">
        <f>IF(B$31=0,0,G11/B$31)</f>
        <v>9.7560975609756101E-2</v>
      </c>
      <c r="I11" s="65">
        <v>12</v>
      </c>
      <c r="K11" s="17">
        <v>9</v>
      </c>
      <c r="L11" s="70">
        <v>-9.3999999999999968</v>
      </c>
      <c r="N11" s="86" t="s">
        <v>159</v>
      </c>
      <c r="O11" s="96">
        <f>IF(P11=0,0,Q11/P11)</f>
        <v>-1.0950000000000009</v>
      </c>
      <c r="P11" s="90">
        <v>60</v>
      </c>
      <c r="Q11" s="78">
        <v>-65.700000000000045</v>
      </c>
    </row>
    <row r="12" spans="1:17" x14ac:dyDescent="0.4">
      <c r="A12" s="34" t="s">
        <v>154</v>
      </c>
      <c r="B12" s="27">
        <v>8</v>
      </c>
      <c r="C12" s="21">
        <f>IF(B$2=0,0,B12/B$2)</f>
        <v>4.145077720207254E-2</v>
      </c>
      <c r="E12" s="40" t="s">
        <v>71</v>
      </c>
      <c r="F12" s="37" t="s">
        <v>26</v>
      </c>
      <c r="G12" s="25">
        <v>33</v>
      </c>
      <c r="H12" s="104">
        <f>IF(B$31=0,0,G12/B$31)</f>
        <v>8.0487804878048783E-2</v>
      </c>
      <c r="I12" s="65">
        <v>10</v>
      </c>
      <c r="K12" s="17">
        <v>10</v>
      </c>
      <c r="L12" s="70">
        <v>-24.299999999999997</v>
      </c>
      <c r="N12" s="87" t="s">
        <v>160</v>
      </c>
      <c r="O12" s="97">
        <f>IF(P12=0,0,Q12/P12)</f>
        <v>-1.4603174603174607</v>
      </c>
      <c r="P12" s="91">
        <v>63</v>
      </c>
      <c r="Q12" s="79">
        <v>-92.000000000000028</v>
      </c>
    </row>
    <row r="13" spans="1:17" x14ac:dyDescent="0.4">
      <c r="A13" s="35" t="s">
        <v>122</v>
      </c>
      <c r="B13" s="28">
        <v>373</v>
      </c>
      <c r="C13" s="23">
        <f>IF(B$30=0,0,B13/B$30)</f>
        <v>0.23637515842839038</v>
      </c>
      <c r="E13" s="40" t="s">
        <v>84</v>
      </c>
      <c r="F13" s="37" t="s">
        <v>39</v>
      </c>
      <c r="G13" s="25">
        <v>28</v>
      </c>
      <c r="H13" s="104">
        <f>IF(B$31=0,0,G13/B$31)</f>
        <v>6.8292682926829273E-2</v>
      </c>
      <c r="I13" s="65">
        <v>4</v>
      </c>
      <c r="K13" s="17">
        <v>11</v>
      </c>
      <c r="L13" s="70">
        <v>-70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377</v>
      </c>
      <c r="C14" s="18">
        <f>IF(B$30=0,0,B14/B$30)</f>
        <v>0.23891001267427123</v>
      </c>
      <c r="E14" s="40" t="s">
        <v>72</v>
      </c>
      <c r="F14" s="37" t="s">
        <v>27</v>
      </c>
      <c r="G14" s="25">
        <v>26</v>
      </c>
      <c r="H14" s="104">
        <f>IF(B$31=0,0,G14/B$31)</f>
        <v>6.3414634146341464E-2</v>
      </c>
      <c r="I14" s="65">
        <v>6</v>
      </c>
      <c r="K14" s="17">
        <v>12</v>
      </c>
      <c r="L14" s="70">
        <v>-43.8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215</v>
      </c>
      <c r="C15" s="16">
        <f>IF(B$13=0,0,B15/B$13)</f>
        <v>0.57640750670241292</v>
      </c>
      <c r="E15" s="40" t="s">
        <v>87</v>
      </c>
      <c r="F15" s="37" t="s">
        <v>42</v>
      </c>
      <c r="G15" s="25">
        <v>22</v>
      </c>
      <c r="H15" s="104">
        <f>IF(B$31=0,0,G15/B$31)</f>
        <v>5.3658536585365853E-2</v>
      </c>
      <c r="I15" s="65">
        <v>12</v>
      </c>
      <c r="K15" s="17">
        <v>13</v>
      </c>
      <c r="L15" s="70">
        <v>-11.099999999999994</v>
      </c>
      <c r="N15" s="85" t="s">
        <v>175</v>
      </c>
      <c r="O15" s="95">
        <f>IF(P15=0,0,Q15/P15)</f>
        <v>38.56428571428571</v>
      </c>
      <c r="P15" s="89">
        <v>14</v>
      </c>
      <c r="Q15" s="77">
        <v>539.9</v>
      </c>
    </row>
    <row r="16" spans="1:17" x14ac:dyDescent="0.4">
      <c r="A16" s="31" t="s">
        <v>125</v>
      </c>
      <c r="B16" s="24">
        <v>131</v>
      </c>
      <c r="C16" s="16">
        <f>IF(B$14=0,0,B16/B$14)</f>
        <v>0.34748010610079577</v>
      </c>
      <c r="E16" s="40" t="s">
        <v>79</v>
      </c>
      <c r="F16" s="37" t="s">
        <v>34</v>
      </c>
      <c r="G16" s="25">
        <v>14</v>
      </c>
      <c r="H16" s="104">
        <f>IF(B$31=0,0,G16/B$31)</f>
        <v>3.4146341463414637E-2</v>
      </c>
      <c r="I16" s="65">
        <v>6</v>
      </c>
      <c r="K16" s="17">
        <v>14</v>
      </c>
      <c r="L16" s="70">
        <v>-5.7999999999999945</v>
      </c>
      <c r="N16" s="86" t="s">
        <v>187</v>
      </c>
      <c r="O16" s="96">
        <f>IF(P16=0,0,Q16/P16)</f>
        <v>36.400000000000006</v>
      </c>
      <c r="P16" s="90">
        <v>4</v>
      </c>
      <c r="Q16" s="78">
        <v>145.60000000000002</v>
      </c>
    </row>
    <row r="17" spans="1:17" x14ac:dyDescent="0.4">
      <c r="A17" s="31" t="s">
        <v>10</v>
      </c>
      <c r="B17" s="24">
        <f>B19+B18</f>
        <v>410</v>
      </c>
      <c r="C17" s="16">
        <f>IF(B$3=0,0,B17/B$3)</f>
        <v>0.25982256020278832</v>
      </c>
      <c r="E17" s="40" t="s">
        <v>92</v>
      </c>
      <c r="F17" s="37" t="s">
        <v>47</v>
      </c>
      <c r="G17" s="25">
        <v>11</v>
      </c>
      <c r="H17" s="104">
        <f>IF(B$31=0,0,G17/B$31)</f>
        <v>2.6829268292682926E-2</v>
      </c>
      <c r="I17" s="65">
        <v>3</v>
      </c>
      <c r="K17" s="17">
        <v>15</v>
      </c>
      <c r="L17" s="70">
        <v>-44.199999999999996</v>
      </c>
      <c r="N17" s="86" t="s">
        <v>176</v>
      </c>
      <c r="O17" s="96">
        <f>IF(P17=0,0,Q17/P17)</f>
        <v>23.05</v>
      </c>
      <c r="P17" s="90">
        <v>16</v>
      </c>
      <c r="Q17" s="78">
        <v>368.8</v>
      </c>
    </row>
    <row r="18" spans="1:17" x14ac:dyDescent="0.4">
      <c r="A18" s="32" t="s">
        <v>12</v>
      </c>
      <c r="B18" s="25">
        <v>176</v>
      </c>
      <c r="C18" s="18">
        <f>IF(B$17=0,0,B18/B$17)</f>
        <v>0.42926829268292682</v>
      </c>
      <c r="E18" s="40" t="s">
        <v>80</v>
      </c>
      <c r="F18" s="37" t="s">
        <v>35</v>
      </c>
      <c r="G18" s="25">
        <v>10</v>
      </c>
      <c r="H18" s="104">
        <f>IF(B$31=0,0,G18/B$31)</f>
        <v>2.4390243902439025E-2</v>
      </c>
      <c r="I18" s="65">
        <v>4</v>
      </c>
      <c r="K18" s="17">
        <v>16</v>
      </c>
      <c r="L18" s="70">
        <v>-25.599999999999994</v>
      </c>
      <c r="N18" s="86" t="s">
        <v>182</v>
      </c>
      <c r="O18" s="96">
        <f>IF(P18=0,0,Q18/P18)</f>
        <v>13.450000000000001</v>
      </c>
      <c r="P18" s="90">
        <v>2</v>
      </c>
      <c r="Q18" s="78">
        <v>26.900000000000002</v>
      </c>
    </row>
    <row r="19" spans="1:17" x14ac:dyDescent="0.4">
      <c r="A19" s="32" t="s">
        <v>11</v>
      </c>
      <c r="B19" s="25">
        <v>234</v>
      </c>
      <c r="C19" s="18">
        <f>IF(B$17=0,0,B19/B$17)</f>
        <v>0.57073170731707312</v>
      </c>
      <c r="E19" s="40" t="s">
        <v>82</v>
      </c>
      <c r="F19" s="37" t="s">
        <v>37</v>
      </c>
      <c r="G19" s="25">
        <v>10</v>
      </c>
      <c r="H19" s="104">
        <f>IF(B$31=0,0,G19/B$31)</f>
        <v>2.4390243902439025E-2</v>
      </c>
      <c r="I19" s="65">
        <v>10</v>
      </c>
      <c r="K19" s="17">
        <v>17</v>
      </c>
      <c r="L19" s="70">
        <v>-39.799999999999997</v>
      </c>
      <c r="N19" s="86" t="s">
        <v>173</v>
      </c>
      <c r="O19" s="96">
        <f>IF(P19=0,0,Q19/P19)</f>
        <v>5.6372093023255818</v>
      </c>
      <c r="P19" s="90">
        <v>43</v>
      </c>
      <c r="Q19" s="78">
        <v>242.4</v>
      </c>
    </row>
    <row r="20" spans="1:17" x14ac:dyDescent="0.4">
      <c r="A20" s="32" t="s">
        <v>13</v>
      </c>
      <c r="B20" s="25">
        <v>245</v>
      </c>
      <c r="C20" s="18">
        <f>IF(B$3=0,0,B20/B$3)</f>
        <v>0.15525982256020279</v>
      </c>
      <c r="E20" s="40" t="s">
        <v>86</v>
      </c>
      <c r="F20" s="37" t="s">
        <v>41</v>
      </c>
      <c r="G20" s="25">
        <v>7</v>
      </c>
      <c r="H20" s="104">
        <f>IF(B$31=0,0,G20/B$31)</f>
        <v>1.7073170731707318E-2</v>
      </c>
      <c r="I20" s="65">
        <v>1</v>
      </c>
      <c r="K20" s="17">
        <v>18</v>
      </c>
      <c r="L20" s="70">
        <v>-60.4</v>
      </c>
      <c r="N20" s="86" t="s">
        <v>171</v>
      </c>
      <c r="O20" s="96">
        <f>IF(P20=0,0,Q20/P20)</f>
        <v>5.4180327868852469</v>
      </c>
      <c r="P20" s="90">
        <v>61</v>
      </c>
      <c r="Q20" s="78">
        <v>330.50000000000006</v>
      </c>
    </row>
    <row r="21" spans="1:17" x14ac:dyDescent="0.4">
      <c r="A21" s="32" t="s">
        <v>165</v>
      </c>
      <c r="B21" s="25">
        <v>5</v>
      </c>
      <c r="C21" s="106">
        <v>0</v>
      </c>
      <c r="E21" s="40" t="s">
        <v>78</v>
      </c>
      <c r="F21" s="37" t="s">
        <v>33</v>
      </c>
      <c r="G21" s="25">
        <v>3</v>
      </c>
      <c r="H21" s="104">
        <f>IF(B$31=0,0,G21/B$31)</f>
        <v>7.3170731707317077E-3</v>
      </c>
      <c r="I21" s="65">
        <v>4</v>
      </c>
      <c r="K21" s="17">
        <v>19</v>
      </c>
      <c r="L21" s="70">
        <v>-60</v>
      </c>
      <c r="N21" s="86" t="s">
        <v>174</v>
      </c>
      <c r="O21" s="96">
        <f>IF(P21=0,0,Q21/P21)</f>
        <v>4.8571428571428594</v>
      </c>
      <c r="P21" s="90">
        <v>14</v>
      </c>
      <c r="Q21" s="78">
        <v>68.000000000000028</v>
      </c>
    </row>
    <row r="22" spans="1:17" x14ac:dyDescent="0.4">
      <c r="A22" s="32" t="s">
        <v>166</v>
      </c>
      <c r="B22" s="25">
        <v>45</v>
      </c>
      <c r="C22" s="106">
        <v>0</v>
      </c>
      <c r="E22" s="40" t="s">
        <v>75</v>
      </c>
      <c r="F22" s="37" t="s">
        <v>30</v>
      </c>
      <c r="G22" s="25">
        <v>2</v>
      </c>
      <c r="H22" s="104">
        <f>IF(B$31=0,0,G22/B$31)</f>
        <v>4.8780487804878049E-3</v>
      </c>
      <c r="I22" s="65">
        <v>4</v>
      </c>
      <c r="K22" s="17">
        <v>20</v>
      </c>
      <c r="L22" s="70">
        <v>-88.2</v>
      </c>
      <c r="N22" s="86" t="s">
        <v>185</v>
      </c>
      <c r="O22" s="96">
        <f>IF(P22=0,0,Q22/P22)</f>
        <v>-2.5624999999999982</v>
      </c>
      <c r="P22" s="90">
        <v>8</v>
      </c>
      <c r="Q22" s="78">
        <v>-20.499999999999986</v>
      </c>
    </row>
    <row r="23" spans="1:17" x14ac:dyDescent="0.4">
      <c r="A23" s="32" t="s">
        <v>5</v>
      </c>
      <c r="B23" s="29">
        <f>IF(B$17=0,0,C23/B$17)</f>
        <v>8710.4878048780483</v>
      </c>
      <c r="C23" s="20">
        <v>3571300</v>
      </c>
      <c r="E23" s="40" t="s">
        <v>76</v>
      </c>
      <c r="F23" s="37" t="s">
        <v>31</v>
      </c>
      <c r="G23" s="25">
        <v>2</v>
      </c>
      <c r="H23" s="104">
        <f>IF(B$31=0,0,G23/B$31)</f>
        <v>4.8780487804878049E-3</v>
      </c>
      <c r="I23" s="65">
        <v>7</v>
      </c>
      <c r="K23" s="17">
        <v>21</v>
      </c>
      <c r="L23" s="70">
        <v>-125.80000000000001</v>
      </c>
      <c r="N23" s="86" t="s">
        <v>162</v>
      </c>
      <c r="O23" s="96">
        <f>IF(P23=0,0,Q23/P23)</f>
        <v>-5.6159090909090912</v>
      </c>
      <c r="P23" s="90">
        <v>44</v>
      </c>
      <c r="Q23" s="78">
        <v>-247.10000000000002</v>
      </c>
    </row>
    <row r="24" spans="1:17" x14ac:dyDescent="0.4">
      <c r="A24" s="33" t="s">
        <v>189</v>
      </c>
      <c r="B24" s="111">
        <f>IF($B$17-B$16=0,0,C24/($B$17-B$16))</f>
        <v>9462.007168458782</v>
      </c>
      <c r="C24" s="112">
        <v>2639900</v>
      </c>
      <c r="E24" s="40" t="s">
        <v>91</v>
      </c>
      <c r="F24" s="37" t="s">
        <v>46</v>
      </c>
      <c r="G24" s="25">
        <v>2</v>
      </c>
      <c r="H24" s="104">
        <f>IF(B$31=0,0,G24/B$31)</f>
        <v>4.8780487804878049E-3</v>
      </c>
      <c r="I24" s="65">
        <v>1</v>
      </c>
      <c r="K24" s="17">
        <v>22</v>
      </c>
      <c r="L24" s="70">
        <v>-149.30000000000001</v>
      </c>
      <c r="N24" s="86" t="s">
        <v>128</v>
      </c>
      <c r="O24" s="96">
        <f>IF(P24=0,0,Q24/P24)</f>
        <v>-6.4581395348837223</v>
      </c>
      <c r="P24" s="90">
        <v>86</v>
      </c>
      <c r="Q24" s="78">
        <v>-555.40000000000009</v>
      </c>
    </row>
    <row r="25" spans="1:17" x14ac:dyDescent="0.4">
      <c r="A25" s="33" t="s">
        <v>190</v>
      </c>
      <c r="B25" s="111">
        <f>IF(B$16=0,0,C25/B$16)</f>
        <v>7109.9236641221378</v>
      </c>
      <c r="C25" s="112">
        <v>931400</v>
      </c>
      <c r="E25" s="40" t="s">
        <v>93</v>
      </c>
      <c r="F25" s="37" t="s">
        <v>48</v>
      </c>
      <c r="G25" s="25">
        <v>2</v>
      </c>
      <c r="H25" s="104">
        <f>IF(B$31=0,0,G25/B$31)</f>
        <v>4.8780487804878049E-3</v>
      </c>
      <c r="I25" s="65">
        <v>4</v>
      </c>
      <c r="K25" s="17">
        <v>23</v>
      </c>
      <c r="L25" s="70">
        <v>-150.30000000000001</v>
      </c>
      <c r="N25" s="86" t="s">
        <v>127</v>
      </c>
      <c r="O25" s="96">
        <f>IF(P25=0,0,Q25/P25)</f>
        <v>-23.634065934065937</v>
      </c>
      <c r="P25" s="90">
        <v>91</v>
      </c>
      <c r="Q25" s="78">
        <v>-2150.7000000000003</v>
      </c>
    </row>
    <row r="26" spans="1:17" x14ac:dyDescent="0.4">
      <c r="A26" s="32" t="s">
        <v>14</v>
      </c>
      <c r="B26" s="29">
        <f>IF(B$20=0,0,C26/B$20)</f>
        <v>-7451.0204081632655</v>
      </c>
      <c r="C26" s="20">
        <v>-1825500</v>
      </c>
      <c r="E26" s="40" t="s">
        <v>102</v>
      </c>
      <c r="F26" s="37" t="s">
        <v>57</v>
      </c>
      <c r="G26" s="25">
        <v>2</v>
      </c>
      <c r="H26" s="104">
        <f>IF(B$31=0,0,G26/B$31)</f>
        <v>4.8780487804878049E-3</v>
      </c>
      <c r="I26" s="65">
        <v>1</v>
      </c>
      <c r="K26" s="17">
        <v>24</v>
      </c>
      <c r="L26" s="70">
        <v>-196.10000000000002</v>
      </c>
      <c r="N26" s="86" t="s">
        <v>186</v>
      </c>
      <c r="O26" s="96">
        <f>IF(P26=0,0,Q26/P26)</f>
        <v>-45.699999999999996</v>
      </c>
      <c r="P26" s="90">
        <v>3</v>
      </c>
      <c r="Q26" s="78">
        <v>-137.1</v>
      </c>
    </row>
    <row r="27" spans="1:17" x14ac:dyDescent="0.4">
      <c r="A27" s="61" t="s">
        <v>139</v>
      </c>
      <c r="B27" s="121">
        <v>8</v>
      </c>
      <c r="C27" s="122"/>
      <c r="E27" s="40" t="s">
        <v>94</v>
      </c>
      <c r="F27" s="37" t="s">
        <v>49</v>
      </c>
      <c r="G27" s="25">
        <v>1</v>
      </c>
      <c r="H27" s="104">
        <f>IF(B$31=0,0,G27/B$31)</f>
        <v>2.4390243902439024E-3</v>
      </c>
      <c r="I27" s="65">
        <v>5</v>
      </c>
      <c r="K27" s="17">
        <v>25</v>
      </c>
      <c r="L27" s="70">
        <v>-240.00000000000003</v>
      </c>
    </row>
    <row r="28" spans="1:17" x14ac:dyDescent="0.4">
      <c r="A28" s="35" t="s">
        <v>146</v>
      </c>
      <c r="B28" s="119">
        <v>103000</v>
      </c>
      <c r="C28" s="120"/>
      <c r="E28" s="40" t="s">
        <v>163</v>
      </c>
      <c r="F28" s="37" t="s">
        <v>164</v>
      </c>
      <c r="G28" s="25">
        <v>1</v>
      </c>
      <c r="H28" s="104">
        <f>IF(B$31=0,0,G28/B$31)</f>
        <v>2.4390243902439024E-3</v>
      </c>
      <c r="I28" s="65">
        <v>8</v>
      </c>
      <c r="K28" s="17">
        <v>26</v>
      </c>
      <c r="L28" s="70">
        <v>-277</v>
      </c>
    </row>
    <row r="29" spans="1:17" x14ac:dyDescent="0.4">
      <c r="A29" s="34" t="s">
        <v>140</v>
      </c>
      <c r="B29" s="42">
        <v>7</v>
      </c>
      <c r="C29" s="21">
        <f>IF(B$3=0,0,B29/B$3)</f>
        <v>4.4359949302915083E-3</v>
      </c>
      <c r="E29" s="40" t="s">
        <v>74</v>
      </c>
      <c r="F29" s="37" t="s">
        <v>29</v>
      </c>
      <c r="G29" s="25">
        <v>0</v>
      </c>
      <c r="H29" s="104">
        <f>IF(B$31=0,0,G29/B$31)</f>
        <v>0</v>
      </c>
      <c r="I29" s="65">
        <v>10</v>
      </c>
      <c r="K29" s="17">
        <v>27</v>
      </c>
      <c r="L29" s="70">
        <v>-266.7</v>
      </c>
    </row>
    <row r="30" spans="1:17" x14ac:dyDescent="0.4">
      <c r="A30" s="31" t="s">
        <v>179</v>
      </c>
      <c r="B30" s="115">
        <v>1578</v>
      </c>
      <c r="C30" s="116"/>
      <c r="E30" s="40" t="s">
        <v>77</v>
      </c>
      <c r="F30" s="37" t="s">
        <v>32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-283.7</v>
      </c>
    </row>
    <row r="31" spans="1:17" x14ac:dyDescent="0.4">
      <c r="A31" s="34" t="s">
        <v>180</v>
      </c>
      <c r="B31" s="117">
        <v>410</v>
      </c>
      <c r="C31" s="118"/>
      <c r="E31" s="40" t="s">
        <v>81</v>
      </c>
      <c r="F31" s="37" t="s">
        <v>36</v>
      </c>
      <c r="G31" s="25">
        <v>0</v>
      </c>
      <c r="H31" s="104">
        <f>IF(B$31=0,0,G31/B$31)</f>
        <v>0</v>
      </c>
      <c r="I31" s="65">
        <v>3</v>
      </c>
      <c r="K31" s="17">
        <v>29</v>
      </c>
      <c r="L31" s="70">
        <v>-251.2</v>
      </c>
    </row>
    <row r="32" spans="1:17" x14ac:dyDescent="0.4">
      <c r="E32" s="40" t="s">
        <v>83</v>
      </c>
      <c r="F32" s="37" t="s">
        <v>38</v>
      </c>
      <c r="G32" s="25">
        <v>0</v>
      </c>
      <c r="H32" s="104">
        <f>IF(B$31=0,0,G32/B$31)</f>
        <v>0</v>
      </c>
      <c r="I32" s="65">
        <v>1</v>
      </c>
      <c r="K32" s="17">
        <v>30</v>
      </c>
      <c r="L32" s="70">
        <v>-287.89999999999998</v>
      </c>
    </row>
    <row r="33" spans="5:12" x14ac:dyDescent="0.4">
      <c r="E33" s="40" t="s">
        <v>85</v>
      </c>
      <c r="F33" s="37" t="s">
        <v>40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-334.9</v>
      </c>
    </row>
    <row r="34" spans="5:12" x14ac:dyDescent="0.4">
      <c r="E34" s="40" t="s">
        <v>88</v>
      </c>
      <c r="F34" s="37" t="s">
        <v>43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-360.79999999999995</v>
      </c>
    </row>
    <row r="35" spans="5:12" x14ac:dyDescent="0.4">
      <c r="E35" s="40" t="s">
        <v>89</v>
      </c>
      <c r="F35" s="37" t="s">
        <v>44</v>
      </c>
      <c r="G35" s="25">
        <v>0</v>
      </c>
      <c r="H35" s="104">
        <f>IF(B$31=0,0,G35/B$31)</f>
        <v>0</v>
      </c>
      <c r="I35" s="65">
        <v>6</v>
      </c>
      <c r="K35" s="17">
        <v>33</v>
      </c>
      <c r="L35" s="70">
        <v>-386.69999999999993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-412.99999999999994</v>
      </c>
    </row>
    <row r="37" spans="5:12" x14ac:dyDescent="0.4">
      <c r="E37" s="40" t="s">
        <v>96</v>
      </c>
      <c r="F37" s="37" t="s">
        <v>51</v>
      </c>
      <c r="G37" s="25">
        <v>0</v>
      </c>
      <c r="H37" s="104">
        <f>IF(B$31=0,0,G37/B$31)</f>
        <v>0</v>
      </c>
      <c r="I37" s="65">
        <v>4</v>
      </c>
      <c r="K37" s="17">
        <v>35</v>
      </c>
      <c r="L37" s="70">
        <v>-448.39999999999992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-454.89999999999992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-456.7999999999999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-424.89999999999992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-464.89999999999992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-414.89999999999992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-419.49999999999994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-450.99999999999994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-484.99999999999994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-541.99999999999989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-583.49999999999989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-638.59999999999991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-607.79999999999995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-662.99999999999989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-664.49999999999989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-633.39999999999986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-601.09999999999991</v>
      </c>
    </row>
    <row r="54" spans="5:12" x14ac:dyDescent="0.4">
      <c r="K54" s="17">
        <v>52</v>
      </c>
      <c r="L54" s="70">
        <v>-608.19999999999993</v>
      </c>
    </row>
    <row r="55" spans="5:12" x14ac:dyDescent="0.4">
      <c r="K55" s="17">
        <v>53</v>
      </c>
      <c r="L55" s="70">
        <v>-616.09999999999991</v>
      </c>
    </row>
    <row r="56" spans="5:12" x14ac:dyDescent="0.4">
      <c r="K56" s="17">
        <v>54</v>
      </c>
      <c r="L56" s="70">
        <v>-613.89999999999986</v>
      </c>
    </row>
    <row r="57" spans="5:12" x14ac:dyDescent="0.4">
      <c r="K57" s="17">
        <v>55</v>
      </c>
      <c r="L57" s="70">
        <v>-690.49999999999989</v>
      </c>
    </row>
    <row r="58" spans="5:12" x14ac:dyDescent="0.4">
      <c r="K58" s="17">
        <v>56</v>
      </c>
      <c r="L58" s="70">
        <v>-655.69999999999993</v>
      </c>
    </row>
    <row r="59" spans="5:12" x14ac:dyDescent="0.4">
      <c r="K59" s="17">
        <v>57</v>
      </c>
      <c r="L59" s="70">
        <v>-643.5</v>
      </c>
    </row>
    <row r="60" spans="5:12" x14ac:dyDescent="0.4">
      <c r="K60" s="17">
        <v>58</v>
      </c>
      <c r="L60" s="70">
        <v>-597.5</v>
      </c>
    </row>
    <row r="61" spans="5:12" x14ac:dyDescent="0.4">
      <c r="K61" s="17">
        <v>59</v>
      </c>
      <c r="L61" s="70">
        <v>-600.69999999999993</v>
      </c>
    </row>
    <row r="62" spans="5:12" x14ac:dyDescent="0.4">
      <c r="K62" s="17">
        <v>60</v>
      </c>
      <c r="L62" s="70">
        <v>-658.89999999999986</v>
      </c>
    </row>
    <row r="63" spans="5:12" x14ac:dyDescent="0.4">
      <c r="K63" s="17">
        <v>61</v>
      </c>
      <c r="L63" s="70">
        <v>-606.39999999999986</v>
      </c>
    </row>
    <row r="64" spans="5:12" x14ac:dyDescent="0.4">
      <c r="K64" s="17">
        <v>62</v>
      </c>
      <c r="L64" s="70">
        <v>-569.99999999999989</v>
      </c>
    </row>
    <row r="65" spans="11:12" x14ac:dyDescent="0.4">
      <c r="K65" s="17">
        <v>63</v>
      </c>
      <c r="L65" s="70">
        <v>-481.99999999999989</v>
      </c>
    </row>
    <row r="66" spans="11:12" x14ac:dyDescent="0.4">
      <c r="K66" s="17">
        <v>64</v>
      </c>
      <c r="L66" s="70">
        <v>-447.69999999999993</v>
      </c>
    </row>
    <row r="67" spans="11:12" x14ac:dyDescent="0.4">
      <c r="K67" s="17">
        <v>65</v>
      </c>
      <c r="L67" s="70">
        <v>-503.89999999999992</v>
      </c>
    </row>
    <row r="68" spans="11:12" x14ac:dyDescent="0.4">
      <c r="K68" s="17">
        <v>66</v>
      </c>
      <c r="L68" s="70">
        <v>-554.49999999999989</v>
      </c>
    </row>
    <row r="69" spans="11:12" x14ac:dyDescent="0.4">
      <c r="K69" s="17">
        <v>67</v>
      </c>
      <c r="L69" s="70">
        <v>-509.09999999999991</v>
      </c>
    </row>
    <row r="70" spans="11:12" x14ac:dyDescent="0.4">
      <c r="K70" s="17">
        <v>68</v>
      </c>
      <c r="L70" s="70">
        <v>-546.89999999999986</v>
      </c>
    </row>
    <row r="71" spans="11:12" x14ac:dyDescent="0.4">
      <c r="K71" s="17">
        <v>69</v>
      </c>
      <c r="L71" s="70">
        <v>-562.29999999999995</v>
      </c>
    </row>
    <row r="72" spans="11:12" x14ac:dyDescent="0.4">
      <c r="K72" s="17">
        <v>70</v>
      </c>
      <c r="L72" s="70">
        <v>-500.69999999999993</v>
      </c>
    </row>
    <row r="73" spans="11:12" x14ac:dyDescent="0.4">
      <c r="K73" s="17">
        <v>71</v>
      </c>
      <c r="L73" s="70">
        <v>-435.49999999999994</v>
      </c>
    </row>
    <row r="74" spans="11:12" x14ac:dyDescent="0.4">
      <c r="K74" s="17">
        <v>72</v>
      </c>
      <c r="L74" s="70">
        <v>-369.09999999999991</v>
      </c>
    </row>
    <row r="75" spans="11:12" x14ac:dyDescent="0.4">
      <c r="K75" s="17">
        <v>73</v>
      </c>
      <c r="L75" s="70">
        <v>-410.19999999999993</v>
      </c>
    </row>
    <row r="76" spans="11:12" x14ac:dyDescent="0.4">
      <c r="K76" s="17">
        <v>74</v>
      </c>
      <c r="L76" s="70">
        <v>-473.69999999999993</v>
      </c>
    </row>
    <row r="77" spans="11:12" x14ac:dyDescent="0.4">
      <c r="K77" s="17">
        <v>75</v>
      </c>
      <c r="L77" s="70">
        <v>-471.59999999999991</v>
      </c>
    </row>
    <row r="78" spans="11:12" x14ac:dyDescent="0.4">
      <c r="K78" s="17">
        <v>76</v>
      </c>
      <c r="L78" s="70">
        <v>-415.59999999999991</v>
      </c>
    </row>
    <row r="79" spans="11:12" x14ac:dyDescent="0.4">
      <c r="K79" s="17">
        <v>77</v>
      </c>
      <c r="L79" s="70">
        <v>-358.59999999999991</v>
      </c>
    </row>
    <row r="80" spans="11:12" x14ac:dyDescent="0.4">
      <c r="K80" s="17">
        <v>78</v>
      </c>
      <c r="L80" s="70">
        <v>-357.2999999999999</v>
      </c>
    </row>
    <row r="81" spans="11:12" x14ac:dyDescent="0.4">
      <c r="K81" s="17">
        <v>79</v>
      </c>
      <c r="L81" s="70">
        <v>-351.7999999999999</v>
      </c>
    </row>
    <row r="82" spans="11:12" x14ac:dyDescent="0.4">
      <c r="K82" s="17">
        <v>80</v>
      </c>
      <c r="L82" s="70">
        <v>-358.2999999999999</v>
      </c>
    </row>
    <row r="83" spans="11:12" x14ac:dyDescent="0.4">
      <c r="K83" s="17">
        <v>81</v>
      </c>
      <c r="L83" s="70">
        <v>-415.39999999999992</v>
      </c>
    </row>
    <row r="84" spans="11:12" x14ac:dyDescent="0.4">
      <c r="K84" s="17">
        <v>82</v>
      </c>
      <c r="L84" s="70">
        <v>-417.59999999999991</v>
      </c>
    </row>
    <row r="85" spans="11:12" x14ac:dyDescent="0.4">
      <c r="K85" s="17">
        <v>83</v>
      </c>
      <c r="L85" s="70">
        <v>-383.79999999999995</v>
      </c>
    </row>
    <row r="86" spans="11:12" x14ac:dyDescent="0.4">
      <c r="K86" s="17">
        <v>84</v>
      </c>
      <c r="L86" s="70">
        <v>-413.99999999999994</v>
      </c>
    </row>
    <row r="87" spans="11:12" x14ac:dyDescent="0.4">
      <c r="K87" s="17">
        <v>85</v>
      </c>
      <c r="L87" s="70">
        <v>-484.79999999999995</v>
      </c>
    </row>
    <row r="88" spans="11:12" x14ac:dyDescent="0.4">
      <c r="K88" s="17">
        <v>86</v>
      </c>
      <c r="L88" s="70">
        <v>-481.79999999999995</v>
      </c>
    </row>
    <row r="89" spans="11:12" x14ac:dyDescent="0.4">
      <c r="K89" s="17">
        <v>87</v>
      </c>
      <c r="L89" s="70">
        <v>-433.89999999999992</v>
      </c>
    </row>
    <row r="90" spans="11:12" x14ac:dyDescent="0.4">
      <c r="K90" s="17">
        <v>88</v>
      </c>
      <c r="L90" s="70">
        <v>-424.19999999999993</v>
      </c>
    </row>
    <row r="91" spans="11:12" x14ac:dyDescent="0.4">
      <c r="K91" s="17">
        <v>89</v>
      </c>
      <c r="L91" s="70">
        <v>-378.09999999999991</v>
      </c>
    </row>
    <row r="92" spans="11:12" x14ac:dyDescent="0.4">
      <c r="K92" s="17">
        <v>90</v>
      </c>
      <c r="L92" s="70">
        <v>-321.59999999999991</v>
      </c>
    </row>
    <row r="93" spans="11:12" x14ac:dyDescent="0.4">
      <c r="K93" s="17">
        <v>91</v>
      </c>
      <c r="L93" s="70">
        <v>-273.2999999999999</v>
      </c>
    </row>
    <row r="94" spans="11:12" x14ac:dyDescent="0.4">
      <c r="K94" s="17">
        <v>92</v>
      </c>
      <c r="L94" s="70">
        <v>-267.2999999999999</v>
      </c>
    </row>
    <row r="95" spans="11:12" x14ac:dyDescent="0.4">
      <c r="K95" s="17">
        <v>93</v>
      </c>
      <c r="L95" s="70">
        <v>-199.39999999999989</v>
      </c>
    </row>
    <row r="96" spans="11:12" x14ac:dyDescent="0.4">
      <c r="K96" s="17">
        <v>94</v>
      </c>
      <c r="L96" s="70">
        <v>-210.2999999999999</v>
      </c>
    </row>
    <row r="97" spans="11:12" x14ac:dyDescent="0.4">
      <c r="K97" s="17">
        <v>95</v>
      </c>
      <c r="L97" s="70">
        <v>-159.89999999999992</v>
      </c>
    </row>
    <row r="98" spans="11:12" x14ac:dyDescent="0.4">
      <c r="K98" s="17">
        <v>96</v>
      </c>
      <c r="L98" s="70">
        <v>-95.499999999999943</v>
      </c>
    </row>
    <row r="99" spans="11:12" x14ac:dyDescent="0.4">
      <c r="K99" s="17">
        <v>97</v>
      </c>
      <c r="L99" s="70">
        <v>-107.39999999999992</v>
      </c>
    </row>
    <row r="100" spans="11:12" x14ac:dyDescent="0.4">
      <c r="K100" s="17">
        <v>98</v>
      </c>
      <c r="L100" s="70">
        <v>-109.2999999999999</v>
      </c>
    </row>
    <row r="101" spans="11:12" x14ac:dyDescent="0.4">
      <c r="K101" s="17">
        <v>99</v>
      </c>
      <c r="L101" s="70">
        <v>-167.2999999999999</v>
      </c>
    </row>
    <row r="102" spans="11:12" x14ac:dyDescent="0.4">
      <c r="K102" s="17">
        <v>100</v>
      </c>
      <c r="L102" s="70">
        <v>-131.2999999999999</v>
      </c>
    </row>
    <row r="103" spans="11:12" x14ac:dyDescent="0.4">
      <c r="K103" s="17">
        <v>101</v>
      </c>
      <c r="L103" s="70">
        <v>-126.2999999999999</v>
      </c>
    </row>
    <row r="104" spans="11:12" x14ac:dyDescent="0.4">
      <c r="K104" s="17">
        <v>102</v>
      </c>
      <c r="L104" s="70">
        <v>-147.89999999999992</v>
      </c>
    </row>
    <row r="105" spans="11:12" x14ac:dyDescent="0.4">
      <c r="K105" s="17">
        <v>103</v>
      </c>
      <c r="L105" s="70">
        <v>-180.7999999999999</v>
      </c>
    </row>
    <row r="106" spans="11:12" x14ac:dyDescent="0.4">
      <c r="K106" s="17">
        <v>104</v>
      </c>
      <c r="L106" s="70">
        <v>-169.49999999999989</v>
      </c>
    </row>
    <row r="107" spans="11:12" x14ac:dyDescent="0.4">
      <c r="K107" s="17">
        <v>105</v>
      </c>
      <c r="L107" s="70">
        <v>-124.49999999999989</v>
      </c>
    </row>
    <row r="108" spans="11:12" x14ac:dyDescent="0.4">
      <c r="K108" s="17">
        <v>106</v>
      </c>
      <c r="L108" s="70">
        <v>-72.399999999999864</v>
      </c>
    </row>
    <row r="109" spans="11:12" x14ac:dyDescent="0.4">
      <c r="K109" s="17">
        <v>107</v>
      </c>
      <c r="L109" s="70">
        <v>-104.49999999999989</v>
      </c>
    </row>
    <row r="110" spans="11:12" x14ac:dyDescent="0.4">
      <c r="K110" s="17">
        <v>108</v>
      </c>
      <c r="L110" s="70">
        <v>-150.2999999999999</v>
      </c>
    </row>
    <row r="111" spans="11:12" x14ac:dyDescent="0.4">
      <c r="K111" s="17">
        <v>109</v>
      </c>
      <c r="L111" s="70">
        <v>-179.89999999999992</v>
      </c>
    </row>
    <row r="112" spans="11:12" x14ac:dyDescent="0.4">
      <c r="K112" s="17">
        <v>110</v>
      </c>
      <c r="L112" s="70">
        <v>-212.79999999999993</v>
      </c>
    </row>
    <row r="113" spans="11:12" x14ac:dyDescent="0.4">
      <c r="K113" s="17">
        <v>111</v>
      </c>
      <c r="L113" s="70">
        <v>-199.09999999999994</v>
      </c>
    </row>
    <row r="114" spans="11:12" x14ac:dyDescent="0.4">
      <c r="K114" s="17">
        <v>112</v>
      </c>
      <c r="L114" s="70">
        <v>-256.59999999999991</v>
      </c>
    </row>
    <row r="115" spans="11:12" x14ac:dyDescent="0.4">
      <c r="K115" s="17">
        <v>113</v>
      </c>
      <c r="L115" s="70">
        <v>-253.19999999999993</v>
      </c>
    </row>
    <row r="116" spans="11:12" x14ac:dyDescent="0.4">
      <c r="K116" s="17">
        <v>114</v>
      </c>
      <c r="L116" s="70">
        <v>-261.49999999999994</v>
      </c>
    </row>
    <row r="117" spans="11:12" x14ac:dyDescent="0.4">
      <c r="K117" s="17">
        <v>115</v>
      </c>
      <c r="L117" s="70">
        <v>-303.29999999999995</v>
      </c>
    </row>
    <row r="118" spans="11:12" x14ac:dyDescent="0.4">
      <c r="K118" s="17">
        <v>116</v>
      </c>
      <c r="L118" s="70">
        <v>-300.69999999999993</v>
      </c>
    </row>
    <row r="119" spans="11:12" x14ac:dyDescent="0.4">
      <c r="K119" s="17">
        <v>117</v>
      </c>
      <c r="L119" s="70">
        <v>-238.69999999999996</v>
      </c>
    </row>
    <row r="120" spans="11:12" x14ac:dyDescent="0.4">
      <c r="K120" s="17">
        <v>118</v>
      </c>
      <c r="L120" s="70">
        <v>-229.09999999999997</v>
      </c>
    </row>
    <row r="121" spans="11:12" x14ac:dyDescent="0.4">
      <c r="K121" s="17">
        <v>119</v>
      </c>
      <c r="L121" s="70">
        <v>-287.39999999999998</v>
      </c>
    </row>
    <row r="122" spans="11:12" x14ac:dyDescent="0.4">
      <c r="K122" s="17">
        <v>120</v>
      </c>
      <c r="L122" s="70">
        <v>-323.2</v>
      </c>
    </row>
    <row r="123" spans="11:12" x14ac:dyDescent="0.4">
      <c r="K123" s="17">
        <v>121</v>
      </c>
      <c r="L123" s="70">
        <v>-351.7</v>
      </c>
    </row>
    <row r="124" spans="11:12" x14ac:dyDescent="0.4">
      <c r="K124" s="17">
        <v>122</v>
      </c>
      <c r="L124" s="70">
        <v>-385</v>
      </c>
    </row>
    <row r="125" spans="11:12" x14ac:dyDescent="0.4">
      <c r="K125" s="17">
        <v>123</v>
      </c>
      <c r="L125" s="70">
        <v>-436.2</v>
      </c>
    </row>
    <row r="126" spans="11:12" x14ac:dyDescent="0.4">
      <c r="K126" s="17">
        <v>124</v>
      </c>
      <c r="L126" s="70">
        <v>-506.7</v>
      </c>
    </row>
    <row r="127" spans="11:12" x14ac:dyDescent="0.4">
      <c r="K127" s="17">
        <v>125</v>
      </c>
      <c r="L127" s="70">
        <v>-530.4</v>
      </c>
    </row>
    <row r="128" spans="11:12" x14ac:dyDescent="0.4">
      <c r="K128" s="17">
        <v>126</v>
      </c>
      <c r="L128" s="70">
        <v>-521.4</v>
      </c>
    </row>
    <row r="129" spans="11:12" x14ac:dyDescent="0.4">
      <c r="K129" s="17">
        <v>127</v>
      </c>
      <c r="L129" s="70">
        <v>-494.5</v>
      </c>
    </row>
    <row r="130" spans="11:12" x14ac:dyDescent="0.4">
      <c r="K130" s="17">
        <v>128</v>
      </c>
      <c r="L130" s="70">
        <v>-455.6</v>
      </c>
    </row>
    <row r="131" spans="11:12" x14ac:dyDescent="0.4">
      <c r="K131" s="17">
        <v>129</v>
      </c>
      <c r="L131" s="70">
        <v>-425.3</v>
      </c>
    </row>
    <row r="132" spans="11:12" x14ac:dyDescent="0.4">
      <c r="K132" s="17">
        <v>130</v>
      </c>
      <c r="L132" s="70">
        <v>-397.6</v>
      </c>
    </row>
    <row r="133" spans="11:12" x14ac:dyDescent="0.4">
      <c r="K133" s="17">
        <v>131</v>
      </c>
      <c r="L133" s="70">
        <v>-407.6</v>
      </c>
    </row>
    <row r="134" spans="11:12" x14ac:dyDescent="0.4">
      <c r="K134" s="17">
        <v>132</v>
      </c>
      <c r="L134" s="70">
        <v>-406</v>
      </c>
    </row>
    <row r="135" spans="11:12" x14ac:dyDescent="0.4">
      <c r="K135" s="17">
        <v>133</v>
      </c>
      <c r="L135" s="70">
        <v>-435.1</v>
      </c>
    </row>
    <row r="136" spans="11:12" x14ac:dyDescent="0.4">
      <c r="K136" s="17">
        <v>134</v>
      </c>
      <c r="L136" s="70">
        <v>-367.8</v>
      </c>
    </row>
    <row r="137" spans="11:12" x14ac:dyDescent="0.4">
      <c r="K137" s="17">
        <v>135</v>
      </c>
      <c r="L137" s="70">
        <v>-335.6</v>
      </c>
    </row>
    <row r="138" spans="11:12" x14ac:dyDescent="0.4">
      <c r="K138" s="17">
        <v>136</v>
      </c>
      <c r="L138" s="70">
        <v>-339.3</v>
      </c>
    </row>
    <row r="139" spans="11:12" x14ac:dyDescent="0.4">
      <c r="K139" s="17">
        <v>137</v>
      </c>
      <c r="L139" s="70">
        <v>-343.3</v>
      </c>
    </row>
    <row r="140" spans="11:12" x14ac:dyDescent="0.4">
      <c r="K140" s="17">
        <v>138</v>
      </c>
      <c r="L140" s="70">
        <v>-342.4</v>
      </c>
    </row>
    <row r="141" spans="11:12" x14ac:dyDescent="0.4">
      <c r="K141" s="17">
        <v>139</v>
      </c>
      <c r="L141" s="70">
        <v>-387.2</v>
      </c>
    </row>
    <row r="142" spans="11:12" x14ac:dyDescent="0.4">
      <c r="K142" s="17">
        <v>140</v>
      </c>
      <c r="L142" s="70">
        <v>-398</v>
      </c>
    </row>
    <row r="143" spans="11:12" x14ac:dyDescent="0.4">
      <c r="K143" s="17">
        <v>141</v>
      </c>
      <c r="L143" s="70">
        <v>-464.5</v>
      </c>
    </row>
    <row r="144" spans="11:12" x14ac:dyDescent="0.4">
      <c r="K144" s="17">
        <v>142</v>
      </c>
      <c r="L144" s="70">
        <v>-453.4</v>
      </c>
    </row>
    <row r="145" spans="11:12" x14ac:dyDescent="0.4">
      <c r="K145" s="17">
        <v>143</v>
      </c>
      <c r="L145" s="70">
        <v>-453.59999999999997</v>
      </c>
    </row>
    <row r="146" spans="11:12" x14ac:dyDescent="0.4">
      <c r="K146" s="17">
        <v>144</v>
      </c>
      <c r="L146" s="70">
        <v>-460.59999999999997</v>
      </c>
    </row>
    <row r="147" spans="11:12" x14ac:dyDescent="0.4">
      <c r="K147" s="17">
        <v>145</v>
      </c>
      <c r="L147" s="70">
        <v>-461</v>
      </c>
    </row>
    <row r="148" spans="11:12" x14ac:dyDescent="0.4">
      <c r="K148" s="17">
        <v>146</v>
      </c>
      <c r="L148" s="70">
        <v>-498.7</v>
      </c>
    </row>
    <row r="149" spans="11:12" x14ac:dyDescent="0.4">
      <c r="K149" s="17">
        <v>147</v>
      </c>
      <c r="L149" s="70">
        <v>-458.5</v>
      </c>
    </row>
    <row r="150" spans="11:12" x14ac:dyDescent="0.4">
      <c r="K150" s="17">
        <v>148</v>
      </c>
      <c r="L150" s="70">
        <v>-520.1</v>
      </c>
    </row>
    <row r="151" spans="11:12" x14ac:dyDescent="0.4">
      <c r="K151" s="17">
        <v>149</v>
      </c>
      <c r="L151" s="70">
        <v>-564</v>
      </c>
    </row>
    <row r="152" spans="11:12" x14ac:dyDescent="0.4">
      <c r="K152" s="17">
        <v>150</v>
      </c>
      <c r="L152" s="70">
        <v>-553.29999999999995</v>
      </c>
    </row>
    <row r="153" spans="11:12" x14ac:dyDescent="0.4">
      <c r="K153" s="17">
        <v>151</v>
      </c>
      <c r="L153" s="70">
        <v>-517.6</v>
      </c>
    </row>
    <row r="154" spans="11:12" x14ac:dyDescent="0.4">
      <c r="K154" s="17">
        <v>152</v>
      </c>
      <c r="L154" s="70">
        <v>-490.4</v>
      </c>
    </row>
    <row r="155" spans="11:12" x14ac:dyDescent="0.4">
      <c r="K155" s="17">
        <v>153</v>
      </c>
      <c r="L155" s="70">
        <v>-474.59999999999997</v>
      </c>
    </row>
    <row r="156" spans="11:12" x14ac:dyDescent="0.4">
      <c r="K156" s="17">
        <v>154</v>
      </c>
      <c r="L156" s="70">
        <v>-503.4</v>
      </c>
    </row>
    <row r="157" spans="11:12" x14ac:dyDescent="0.4">
      <c r="K157" s="17">
        <v>155</v>
      </c>
      <c r="L157" s="70">
        <v>-442.2</v>
      </c>
    </row>
    <row r="158" spans="11:12" x14ac:dyDescent="0.4">
      <c r="K158" s="17">
        <v>156</v>
      </c>
      <c r="L158" s="70">
        <v>-439</v>
      </c>
    </row>
    <row r="159" spans="11:12" x14ac:dyDescent="0.4">
      <c r="K159" s="17">
        <v>157</v>
      </c>
      <c r="L159" s="70">
        <v>-397.5</v>
      </c>
    </row>
    <row r="160" spans="11:12" x14ac:dyDescent="0.4">
      <c r="K160" s="17">
        <v>158</v>
      </c>
      <c r="L160" s="70">
        <v>-350.6</v>
      </c>
    </row>
    <row r="161" spans="11:12" x14ac:dyDescent="0.4">
      <c r="K161" s="17">
        <v>159</v>
      </c>
      <c r="L161" s="70">
        <v>-389.4</v>
      </c>
    </row>
    <row r="162" spans="11:12" x14ac:dyDescent="0.4">
      <c r="K162" s="17">
        <v>160</v>
      </c>
      <c r="L162" s="70">
        <v>-371.7</v>
      </c>
    </row>
    <row r="163" spans="11:12" x14ac:dyDescent="0.4">
      <c r="K163" s="17">
        <v>161</v>
      </c>
      <c r="L163" s="70">
        <v>-416.8</v>
      </c>
    </row>
    <row r="164" spans="11:12" x14ac:dyDescent="0.4">
      <c r="K164" s="17">
        <v>162</v>
      </c>
      <c r="L164" s="70">
        <v>-399.1</v>
      </c>
    </row>
    <row r="165" spans="11:12" x14ac:dyDescent="0.4">
      <c r="K165" s="17">
        <v>163</v>
      </c>
      <c r="L165" s="70">
        <v>-367.7</v>
      </c>
    </row>
    <row r="166" spans="11:12" x14ac:dyDescent="0.4">
      <c r="K166" s="17">
        <v>164</v>
      </c>
      <c r="L166" s="70">
        <v>-413.8</v>
      </c>
    </row>
    <row r="167" spans="11:12" x14ac:dyDescent="0.4">
      <c r="K167" s="17">
        <v>165</v>
      </c>
      <c r="L167" s="70">
        <v>-444.2</v>
      </c>
    </row>
    <row r="168" spans="11:12" x14ac:dyDescent="0.4">
      <c r="K168" s="17">
        <v>166</v>
      </c>
      <c r="L168" s="70">
        <v>-488.4</v>
      </c>
    </row>
    <row r="169" spans="11:12" x14ac:dyDescent="0.4">
      <c r="K169" s="17">
        <v>167</v>
      </c>
      <c r="L169" s="70">
        <v>-544.20000000000005</v>
      </c>
    </row>
    <row r="170" spans="11:12" x14ac:dyDescent="0.4">
      <c r="K170" s="17">
        <v>168</v>
      </c>
      <c r="L170" s="70">
        <v>-512.5</v>
      </c>
    </row>
    <row r="171" spans="11:12" x14ac:dyDescent="0.4">
      <c r="K171" s="17">
        <v>169</v>
      </c>
      <c r="L171" s="70">
        <v>-515.9</v>
      </c>
    </row>
    <row r="172" spans="11:12" x14ac:dyDescent="0.4">
      <c r="K172" s="17">
        <v>170</v>
      </c>
      <c r="L172" s="70">
        <v>-465.9</v>
      </c>
    </row>
    <row r="173" spans="11:12" x14ac:dyDescent="0.4">
      <c r="K173" s="17">
        <v>171</v>
      </c>
      <c r="L173" s="70">
        <v>-423.3</v>
      </c>
    </row>
    <row r="174" spans="11:12" x14ac:dyDescent="0.4">
      <c r="K174" s="17">
        <v>172</v>
      </c>
      <c r="L174" s="70">
        <v>-433</v>
      </c>
    </row>
    <row r="175" spans="11:12" x14ac:dyDescent="0.4">
      <c r="K175" s="17">
        <v>173</v>
      </c>
      <c r="L175" s="70">
        <v>-433.09999999999997</v>
      </c>
    </row>
    <row r="176" spans="11:12" x14ac:dyDescent="0.4">
      <c r="K176" s="17">
        <v>174</v>
      </c>
      <c r="L176" s="70">
        <v>-427.3</v>
      </c>
    </row>
    <row r="177" spans="11:12" x14ac:dyDescent="0.4">
      <c r="K177" s="17">
        <v>175</v>
      </c>
      <c r="L177" s="70">
        <v>-459.9</v>
      </c>
    </row>
    <row r="178" spans="11:12" x14ac:dyDescent="0.4">
      <c r="K178" s="17">
        <v>176</v>
      </c>
      <c r="L178" s="70">
        <v>-453.9</v>
      </c>
    </row>
    <row r="179" spans="11:12" x14ac:dyDescent="0.4">
      <c r="K179" s="17">
        <v>177</v>
      </c>
      <c r="L179" s="70">
        <v>-490.7</v>
      </c>
    </row>
    <row r="180" spans="11:12" x14ac:dyDescent="0.4">
      <c r="K180" s="17">
        <v>178</v>
      </c>
      <c r="L180" s="70">
        <v>-521.20000000000005</v>
      </c>
    </row>
    <row r="181" spans="11:12" x14ac:dyDescent="0.4">
      <c r="K181" s="17">
        <v>179</v>
      </c>
      <c r="L181" s="70">
        <v>-464.5</v>
      </c>
    </row>
    <row r="182" spans="11:12" x14ac:dyDescent="0.4">
      <c r="K182" s="17">
        <v>180</v>
      </c>
      <c r="L182" s="70">
        <v>-457.09999999999997</v>
      </c>
    </row>
    <row r="183" spans="11:12" x14ac:dyDescent="0.4">
      <c r="K183" s="17">
        <v>181</v>
      </c>
      <c r="L183" s="70">
        <v>-488.9</v>
      </c>
    </row>
    <row r="184" spans="11:12" x14ac:dyDescent="0.4">
      <c r="K184" s="17">
        <v>182</v>
      </c>
      <c r="L184" s="70">
        <v>-438.8</v>
      </c>
    </row>
    <row r="185" spans="11:12" x14ac:dyDescent="0.4">
      <c r="K185" s="17">
        <v>183</v>
      </c>
      <c r="L185" s="70">
        <v>-451.6</v>
      </c>
    </row>
    <row r="186" spans="11:12" x14ac:dyDescent="0.4">
      <c r="K186" s="17">
        <v>184</v>
      </c>
      <c r="L186" s="70">
        <v>-467.7</v>
      </c>
    </row>
    <row r="187" spans="11:12" x14ac:dyDescent="0.4">
      <c r="K187" s="17">
        <v>185</v>
      </c>
      <c r="L187" s="70">
        <v>-458.8</v>
      </c>
    </row>
    <row r="188" spans="11:12" x14ac:dyDescent="0.4">
      <c r="K188" s="17">
        <v>186</v>
      </c>
      <c r="L188" s="70">
        <v>-507.2</v>
      </c>
    </row>
    <row r="189" spans="11:12" x14ac:dyDescent="0.4">
      <c r="K189" s="17">
        <v>187</v>
      </c>
      <c r="L189" s="70">
        <v>-504.79999999999995</v>
      </c>
    </row>
    <row r="190" spans="11:12" x14ac:dyDescent="0.4">
      <c r="K190" s="17">
        <v>188</v>
      </c>
      <c r="L190" s="70">
        <v>-494.29999999999995</v>
      </c>
    </row>
    <row r="191" spans="11:12" x14ac:dyDescent="0.4">
      <c r="K191" s="17">
        <v>189</v>
      </c>
      <c r="L191" s="70">
        <v>-451.59999999999997</v>
      </c>
    </row>
    <row r="192" spans="11:12" x14ac:dyDescent="0.4">
      <c r="K192" s="17">
        <v>190</v>
      </c>
      <c r="L192" s="70">
        <v>-446.4</v>
      </c>
    </row>
    <row r="193" spans="11:12" x14ac:dyDescent="0.4">
      <c r="K193" s="17">
        <v>191</v>
      </c>
      <c r="L193" s="70">
        <v>-461.5</v>
      </c>
    </row>
    <row r="194" spans="11:12" x14ac:dyDescent="0.4">
      <c r="K194" s="17">
        <v>192</v>
      </c>
      <c r="L194" s="70">
        <v>-469.9</v>
      </c>
    </row>
    <row r="195" spans="11:12" x14ac:dyDescent="0.4">
      <c r="K195" s="17">
        <v>193</v>
      </c>
      <c r="L195" s="70">
        <v>-462.9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51C2E-277C-47B3-B827-17566251CD36}">
  <sheetPr codeName="Sheet16"/>
  <dimension ref="A1:Q86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174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84</v>
      </c>
      <c r="C2" s="116"/>
      <c r="E2" s="39" t="s">
        <v>67</v>
      </c>
      <c r="F2" s="36" t="s">
        <v>23</v>
      </c>
      <c r="G2" s="24">
        <v>144</v>
      </c>
      <c r="H2" s="103">
        <f>IF(B$31=0,0,G2/B$31)</f>
        <v>0.72727272727272729</v>
      </c>
      <c r="I2" s="64">
        <v>8</v>
      </c>
      <c r="K2" s="15">
        <v>0</v>
      </c>
      <c r="L2" s="69">
        <v>0</v>
      </c>
      <c r="N2" s="85" t="s">
        <v>129</v>
      </c>
      <c r="O2" s="92">
        <f>IF(P2=0,0,Q2/P2)</f>
        <v>-2349.397590361446</v>
      </c>
      <c r="P2" s="89">
        <v>83</v>
      </c>
      <c r="Q2" s="73">
        <v>-195000</v>
      </c>
    </row>
    <row r="3" spans="1:17" x14ac:dyDescent="0.4">
      <c r="A3" s="32" t="s">
        <v>8</v>
      </c>
      <c r="B3" s="127">
        <v>720</v>
      </c>
      <c r="C3" s="128"/>
      <c r="E3" s="40" t="s">
        <v>73</v>
      </c>
      <c r="F3" s="37" t="s">
        <v>28</v>
      </c>
      <c r="G3" s="25">
        <v>94</v>
      </c>
      <c r="H3" s="104">
        <f>IF(B$31=0,0,G3/B$31)</f>
        <v>0.47474747474747475</v>
      </c>
      <c r="I3" s="65">
        <v>14</v>
      </c>
      <c r="K3" s="17">
        <v>1</v>
      </c>
      <c r="L3" s="70">
        <v>4</v>
      </c>
      <c r="N3" s="86" t="s">
        <v>130</v>
      </c>
      <c r="O3" s="93">
        <f t="shared" ref="O3:O7" si="0">IF(P3=0,0,Q3/P3)</f>
        <v>1439.7590361445782</v>
      </c>
      <c r="P3" s="90">
        <v>83</v>
      </c>
      <c r="Q3" s="74">
        <v>119500</v>
      </c>
    </row>
    <row r="4" spans="1:17" x14ac:dyDescent="0.4">
      <c r="A4" s="32" t="s">
        <v>6</v>
      </c>
      <c r="B4" s="129">
        <v>-589.6</v>
      </c>
      <c r="C4" s="130"/>
      <c r="E4" s="40" t="s">
        <v>65</v>
      </c>
      <c r="F4" s="37" t="s">
        <v>21</v>
      </c>
      <c r="G4" s="25">
        <v>91</v>
      </c>
      <c r="H4" s="104">
        <f>IF(B$31=0,0,G4/B$31)</f>
        <v>0.45959595959595961</v>
      </c>
      <c r="I4" s="65">
        <v>15</v>
      </c>
      <c r="K4" s="17">
        <v>2</v>
      </c>
      <c r="L4" s="70">
        <v>3.7</v>
      </c>
      <c r="N4" s="86" t="s">
        <v>131</v>
      </c>
      <c r="O4" s="93">
        <f t="shared" si="0"/>
        <v>-2201.25</v>
      </c>
      <c r="P4" s="90">
        <v>80</v>
      </c>
      <c r="Q4" s="74">
        <v>-176100</v>
      </c>
    </row>
    <row r="5" spans="1:17" x14ac:dyDescent="0.4">
      <c r="A5" s="32" t="s">
        <v>7</v>
      </c>
      <c r="B5" s="131">
        <f>IF(B$2=0,0,B$4/B$2)</f>
        <v>-7.019047619047619</v>
      </c>
      <c r="C5" s="132"/>
      <c r="E5" s="40" t="s">
        <v>69</v>
      </c>
      <c r="F5" s="37" t="s">
        <v>12</v>
      </c>
      <c r="G5" s="25">
        <v>75</v>
      </c>
      <c r="H5" s="104">
        <f>IF(B$31=0,0,G5/B$31)</f>
        <v>0.37878787878787878</v>
      </c>
      <c r="I5" s="65">
        <v>2</v>
      </c>
      <c r="K5" s="17">
        <v>3</v>
      </c>
      <c r="L5" s="70">
        <v>27.8</v>
      </c>
      <c r="N5" s="86" t="s">
        <v>132</v>
      </c>
      <c r="O5" s="93">
        <f t="shared" si="0"/>
        <v>-3513.8888888888887</v>
      </c>
      <c r="P5" s="90">
        <v>72</v>
      </c>
      <c r="Q5" s="74">
        <v>-253000</v>
      </c>
    </row>
    <row r="6" spans="1:17" x14ac:dyDescent="0.4">
      <c r="A6" s="32" t="s">
        <v>1</v>
      </c>
      <c r="B6" s="123">
        <f>IF(B$2=0,0,(B$7*1+B$8*2+B$9*3)/B$2)</f>
        <v>2.1309523809523809</v>
      </c>
      <c r="C6" s="124"/>
      <c r="E6" s="40" t="s">
        <v>167</v>
      </c>
      <c r="F6" s="37" t="s">
        <v>168</v>
      </c>
      <c r="G6" s="25">
        <v>69</v>
      </c>
      <c r="H6" s="104">
        <f>IF(B$31=0,0,G6/B$31)</f>
        <v>0.34848484848484851</v>
      </c>
      <c r="I6" s="65">
        <v>4</v>
      </c>
      <c r="K6" s="17">
        <v>4</v>
      </c>
      <c r="L6" s="70">
        <v>52.3</v>
      </c>
      <c r="N6" s="86" t="s">
        <v>133</v>
      </c>
      <c r="O6" s="93">
        <f t="shared" si="0"/>
        <v>753.84615384615381</v>
      </c>
      <c r="P6" s="90">
        <v>65</v>
      </c>
      <c r="Q6" s="74">
        <v>49000</v>
      </c>
    </row>
    <row r="7" spans="1:17" x14ac:dyDescent="0.4">
      <c r="A7" s="32" t="s">
        <v>2</v>
      </c>
      <c r="B7" s="25">
        <v>23</v>
      </c>
      <c r="C7" s="18">
        <f>IF(B$2=0,0,B7/B$2)</f>
        <v>0.27380952380952384</v>
      </c>
      <c r="E7" s="40" t="s">
        <v>68</v>
      </c>
      <c r="F7" s="37" t="s">
        <v>24</v>
      </c>
      <c r="G7" s="25">
        <v>41</v>
      </c>
      <c r="H7" s="104">
        <f>IF(B$31=0,0,G7/B$31)</f>
        <v>0.20707070707070707</v>
      </c>
      <c r="I7" s="65">
        <v>15</v>
      </c>
      <c r="K7" s="17">
        <v>5</v>
      </c>
      <c r="L7" s="70">
        <v>15</v>
      </c>
      <c r="N7" s="87" t="s">
        <v>134</v>
      </c>
      <c r="O7" s="94">
        <f t="shared" si="0"/>
        <v>-8.7719298245614041</v>
      </c>
      <c r="P7" s="91">
        <v>57</v>
      </c>
      <c r="Q7" s="75">
        <v>-500</v>
      </c>
    </row>
    <row r="8" spans="1:17" x14ac:dyDescent="0.4">
      <c r="A8" s="32" t="s">
        <v>3</v>
      </c>
      <c r="B8" s="25">
        <v>27</v>
      </c>
      <c r="C8" s="18">
        <f>IF(B$2=0,0,B8/B$2)</f>
        <v>0.32142857142857145</v>
      </c>
      <c r="E8" s="40" t="s">
        <v>70</v>
      </c>
      <c r="F8" s="37" t="s">
        <v>25</v>
      </c>
      <c r="G8" s="25">
        <v>26</v>
      </c>
      <c r="H8" s="104">
        <f>IF(B$31=0,0,G8/B$31)</f>
        <v>0.13131313131313133</v>
      </c>
      <c r="I8" s="65">
        <v>10</v>
      </c>
      <c r="K8" s="17">
        <v>6</v>
      </c>
      <c r="L8" s="70">
        <v>-20.5</v>
      </c>
      <c r="N8" s="22"/>
      <c r="O8" s="98"/>
      <c r="P8" s="82"/>
      <c r="Q8" s="80"/>
    </row>
    <row r="9" spans="1:17" x14ac:dyDescent="0.4">
      <c r="A9" s="33" t="s">
        <v>4</v>
      </c>
      <c r="B9" s="26">
        <v>34</v>
      </c>
      <c r="C9" s="19">
        <f t="shared" ref="C9" si="1">IF(B$2=0,0,B9/B$2)</f>
        <v>0.40476190476190477</v>
      </c>
      <c r="E9" s="40" t="s">
        <v>71</v>
      </c>
      <c r="F9" s="37" t="s">
        <v>26</v>
      </c>
      <c r="G9" s="25">
        <v>25</v>
      </c>
      <c r="H9" s="104">
        <f>IF(B$31=0,0,G9/B$31)</f>
        <v>0.12626262626262627</v>
      </c>
      <c r="I9" s="65">
        <v>3</v>
      </c>
      <c r="K9" s="17">
        <v>7</v>
      </c>
      <c r="L9" s="70">
        <v>-31.8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14</v>
      </c>
      <c r="C10" s="19">
        <f>IF(B$2=0,0,B10/B$2)</f>
        <v>0.16666666666666666</v>
      </c>
      <c r="E10" s="40" t="s">
        <v>90</v>
      </c>
      <c r="F10" s="37" t="s">
        <v>45</v>
      </c>
      <c r="G10" s="25">
        <v>23</v>
      </c>
      <c r="H10" s="104">
        <f>IF(B$31=0,0,G10/B$31)</f>
        <v>0.11616161616161616</v>
      </c>
      <c r="I10" s="65">
        <v>11</v>
      </c>
      <c r="K10" s="17">
        <v>8</v>
      </c>
      <c r="L10" s="70">
        <v>-31.1</v>
      </c>
      <c r="N10" s="85" t="s">
        <v>158</v>
      </c>
      <c r="O10" s="95">
        <f>IF(P10=0,0,Q10/P10)</f>
        <v>-10.632142857142856</v>
      </c>
      <c r="P10" s="89">
        <v>28</v>
      </c>
      <c r="Q10" s="77">
        <v>-297.7</v>
      </c>
    </row>
    <row r="11" spans="1:17" x14ac:dyDescent="0.4">
      <c r="A11" s="33" t="s">
        <v>137</v>
      </c>
      <c r="B11" s="26">
        <v>7</v>
      </c>
      <c r="C11" s="19">
        <f>IF(B$2=0,0,B11/B$2)</f>
        <v>8.3333333333333329E-2</v>
      </c>
      <c r="E11" s="40" t="s">
        <v>177</v>
      </c>
      <c r="F11" s="37" t="s">
        <v>178</v>
      </c>
      <c r="G11" s="25">
        <v>19</v>
      </c>
      <c r="H11" s="104">
        <f>IF(B$31=0,0,G11/B$31)</f>
        <v>9.5959595959595953E-2</v>
      </c>
      <c r="I11" s="65">
        <v>13</v>
      </c>
      <c r="K11" s="17">
        <v>9</v>
      </c>
      <c r="L11" s="70">
        <v>-70.599999999999994</v>
      </c>
      <c r="N11" s="86" t="s">
        <v>159</v>
      </c>
      <c r="O11" s="96">
        <f>IF(P11=0,0,Q11/P11)</f>
        <v>-5.6583333333333341</v>
      </c>
      <c r="P11" s="90">
        <v>36</v>
      </c>
      <c r="Q11" s="78">
        <v>-203.70000000000002</v>
      </c>
    </row>
    <row r="12" spans="1:17" x14ac:dyDescent="0.4">
      <c r="A12" s="34" t="s">
        <v>154</v>
      </c>
      <c r="B12" s="27">
        <v>4</v>
      </c>
      <c r="C12" s="21">
        <f>IF(B$2=0,0,B12/B$2)</f>
        <v>4.7619047619047616E-2</v>
      </c>
      <c r="E12" s="40" t="s">
        <v>66</v>
      </c>
      <c r="F12" s="37" t="s">
        <v>22</v>
      </c>
      <c r="G12" s="25">
        <v>14</v>
      </c>
      <c r="H12" s="104">
        <f>IF(B$31=0,0,G12/B$31)</f>
        <v>7.0707070707070704E-2</v>
      </c>
      <c r="I12" s="65">
        <v>15</v>
      </c>
      <c r="K12" s="17">
        <v>10</v>
      </c>
      <c r="L12" s="70">
        <v>-115.89999999999999</v>
      </c>
      <c r="N12" s="87" t="s">
        <v>160</v>
      </c>
      <c r="O12" s="97">
        <f>IF(P12=0,0,Q12/P12)</f>
        <v>-4.41</v>
      </c>
      <c r="P12" s="91">
        <v>20</v>
      </c>
      <c r="Q12" s="79">
        <v>-88.2</v>
      </c>
    </row>
    <row r="13" spans="1:17" x14ac:dyDescent="0.4">
      <c r="A13" s="35" t="s">
        <v>122</v>
      </c>
      <c r="B13" s="28">
        <v>160</v>
      </c>
      <c r="C13" s="23">
        <f>IF(B$30=0,0,B13/B$30)</f>
        <v>0.22222222222222221</v>
      </c>
      <c r="E13" s="40" t="s">
        <v>72</v>
      </c>
      <c r="F13" s="37" t="s">
        <v>27</v>
      </c>
      <c r="G13" s="25">
        <v>11</v>
      </c>
      <c r="H13" s="104">
        <f>IF(B$31=0,0,G13/B$31)</f>
        <v>5.5555555555555552E-2</v>
      </c>
      <c r="I13" s="65">
        <v>10</v>
      </c>
      <c r="K13" s="17">
        <v>11</v>
      </c>
      <c r="L13" s="70">
        <v>-143.6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153</v>
      </c>
      <c r="C14" s="18">
        <f>IF(B$30=0,0,B14/B$30)</f>
        <v>0.21249999999999999</v>
      </c>
      <c r="E14" s="40" t="s">
        <v>87</v>
      </c>
      <c r="F14" s="37" t="s">
        <v>42</v>
      </c>
      <c r="G14" s="25">
        <v>11</v>
      </c>
      <c r="H14" s="104">
        <f>IF(B$31=0,0,G14/B$31)</f>
        <v>5.5555555555555552E-2</v>
      </c>
      <c r="I14" s="65">
        <v>11</v>
      </c>
      <c r="K14" s="17">
        <v>12</v>
      </c>
      <c r="L14" s="70">
        <v>-155.1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93</v>
      </c>
      <c r="C15" s="16">
        <f>IF(B$13=0,0,B15/B$13)</f>
        <v>0.58125000000000004</v>
      </c>
      <c r="E15" s="40" t="s">
        <v>84</v>
      </c>
      <c r="F15" s="37" t="s">
        <v>39</v>
      </c>
      <c r="G15" s="25">
        <v>5</v>
      </c>
      <c r="H15" s="104">
        <f>IF(B$31=0,0,G15/B$31)</f>
        <v>2.5252525252525252E-2</v>
      </c>
      <c r="I15" s="65">
        <v>14</v>
      </c>
      <c r="K15" s="17">
        <v>13</v>
      </c>
      <c r="L15" s="70">
        <v>-237.7</v>
      </c>
      <c r="N15" s="85" t="s">
        <v>175</v>
      </c>
      <c r="O15" s="95">
        <f>IF(P15=0,0,Q15/P15)</f>
        <v>62.833333333333336</v>
      </c>
      <c r="P15" s="89">
        <v>6</v>
      </c>
      <c r="Q15" s="77">
        <v>377</v>
      </c>
    </row>
    <row r="16" spans="1:17" x14ac:dyDescent="0.4">
      <c r="A16" s="31" t="s">
        <v>125</v>
      </c>
      <c r="B16" s="24">
        <v>51</v>
      </c>
      <c r="C16" s="16">
        <f>IF(B$14=0,0,B16/B$14)</f>
        <v>0.33333333333333331</v>
      </c>
      <c r="E16" s="40" t="s">
        <v>79</v>
      </c>
      <c r="F16" s="37" t="s">
        <v>34</v>
      </c>
      <c r="G16" s="25">
        <v>4</v>
      </c>
      <c r="H16" s="104">
        <f>IF(B$31=0,0,G16/B$31)</f>
        <v>2.0202020202020204E-2</v>
      </c>
      <c r="I16" s="65">
        <v>10</v>
      </c>
      <c r="K16" s="17">
        <v>14</v>
      </c>
      <c r="L16" s="70">
        <v>-277.39999999999998</v>
      </c>
      <c r="N16" s="86" t="s">
        <v>184</v>
      </c>
      <c r="O16" s="96">
        <f>IF(P16=0,0,Q16/P16)</f>
        <v>4.3000000000000007</v>
      </c>
      <c r="P16" s="90">
        <v>4</v>
      </c>
      <c r="Q16" s="78">
        <v>17.200000000000003</v>
      </c>
    </row>
    <row r="17" spans="1:17" x14ac:dyDescent="0.4">
      <c r="A17" s="31" t="s">
        <v>10</v>
      </c>
      <c r="B17" s="24">
        <f>B19+B18</f>
        <v>198</v>
      </c>
      <c r="C17" s="16">
        <f>IF(B$3=0,0,B17/B$3)</f>
        <v>0.27500000000000002</v>
      </c>
      <c r="E17" s="40" t="s">
        <v>80</v>
      </c>
      <c r="F17" s="37" t="s">
        <v>35</v>
      </c>
      <c r="G17" s="25">
        <v>4</v>
      </c>
      <c r="H17" s="104">
        <f>IF(B$31=0,0,G17/B$31)</f>
        <v>2.0202020202020204E-2</v>
      </c>
      <c r="I17" s="65">
        <v>6</v>
      </c>
      <c r="K17" s="17">
        <v>15</v>
      </c>
      <c r="L17" s="70">
        <v>-304.10000000000002</v>
      </c>
      <c r="N17" s="86" t="s">
        <v>128</v>
      </c>
      <c r="O17" s="96">
        <f>IF(P17=0,0,Q17/P17)</f>
        <v>0.42631578947368465</v>
      </c>
      <c r="P17" s="90">
        <v>19</v>
      </c>
      <c r="Q17" s="78">
        <v>8.1000000000000085</v>
      </c>
    </row>
    <row r="18" spans="1:17" x14ac:dyDescent="0.4">
      <c r="A18" s="32" t="s">
        <v>12</v>
      </c>
      <c r="B18" s="25">
        <v>99</v>
      </c>
      <c r="C18" s="18">
        <f>IF(B$17=0,0,B18/B$17)</f>
        <v>0.5</v>
      </c>
      <c r="E18" s="40" t="s">
        <v>74</v>
      </c>
      <c r="F18" s="37" t="s">
        <v>29</v>
      </c>
      <c r="G18" s="25">
        <v>3</v>
      </c>
      <c r="H18" s="104">
        <f>IF(B$31=0,0,G18/B$31)</f>
        <v>1.5151515151515152E-2</v>
      </c>
      <c r="I18" s="65">
        <v>2</v>
      </c>
      <c r="K18" s="17">
        <v>16</v>
      </c>
      <c r="L18" s="70">
        <v>-305.7</v>
      </c>
      <c r="N18" s="86" t="s">
        <v>162</v>
      </c>
      <c r="O18" s="96">
        <f>IF(P18=0,0,Q18/P18)</f>
        <v>-0.56470588235294006</v>
      </c>
      <c r="P18" s="90">
        <v>17</v>
      </c>
      <c r="Q18" s="78">
        <v>-9.5999999999999801</v>
      </c>
    </row>
    <row r="19" spans="1:17" x14ac:dyDescent="0.4">
      <c r="A19" s="32" t="s">
        <v>11</v>
      </c>
      <c r="B19" s="25">
        <v>99</v>
      </c>
      <c r="C19" s="18">
        <f>IF(B$17=0,0,B19/B$17)</f>
        <v>0.5</v>
      </c>
      <c r="E19" s="40" t="s">
        <v>82</v>
      </c>
      <c r="F19" s="37" t="s">
        <v>37</v>
      </c>
      <c r="G19" s="25">
        <v>3</v>
      </c>
      <c r="H19" s="104">
        <f>IF(B$31=0,0,G19/B$31)</f>
        <v>1.5151515151515152E-2</v>
      </c>
      <c r="I19" s="65">
        <v>12</v>
      </c>
      <c r="K19" s="17">
        <v>17</v>
      </c>
      <c r="L19" s="70">
        <v>-340</v>
      </c>
      <c r="N19" s="86" t="s">
        <v>172</v>
      </c>
      <c r="O19" s="96">
        <f>IF(P19=0,0,Q19/P19)</f>
        <v>-4.8571428571428568</v>
      </c>
      <c r="P19" s="90">
        <v>14</v>
      </c>
      <c r="Q19" s="78">
        <v>-68</v>
      </c>
    </row>
    <row r="20" spans="1:17" x14ac:dyDescent="0.4">
      <c r="A20" s="32" t="s">
        <v>13</v>
      </c>
      <c r="B20" s="25">
        <v>137</v>
      </c>
      <c r="C20" s="18">
        <f>IF(B$3=0,0,B20/B$3)</f>
        <v>0.19027777777777777</v>
      </c>
      <c r="E20" s="40" t="s">
        <v>163</v>
      </c>
      <c r="F20" s="37" t="s">
        <v>164</v>
      </c>
      <c r="G20" s="25">
        <v>3</v>
      </c>
      <c r="H20" s="104">
        <f>IF(B$31=0,0,G20/B$31)</f>
        <v>1.5151515151515152E-2</v>
      </c>
      <c r="I20" s="65">
        <v>3</v>
      </c>
      <c r="K20" s="17">
        <v>18</v>
      </c>
      <c r="L20" s="70">
        <v>-342.69999999999993</v>
      </c>
      <c r="N20" s="86" t="s">
        <v>171</v>
      </c>
      <c r="O20" s="96">
        <f>IF(P20=0,0,Q20/P20)</f>
        <v>-7.3615384615384594</v>
      </c>
      <c r="P20" s="90">
        <v>26</v>
      </c>
      <c r="Q20" s="78">
        <v>-191.39999999999995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88</v>
      </c>
      <c r="F21" s="37" t="s">
        <v>43</v>
      </c>
      <c r="G21" s="25">
        <v>2</v>
      </c>
      <c r="H21" s="104">
        <f>IF(B$31=0,0,G21/B$31)</f>
        <v>1.0101010101010102E-2</v>
      </c>
      <c r="I21" s="65">
        <v>1</v>
      </c>
      <c r="K21" s="17">
        <v>19</v>
      </c>
      <c r="L21" s="70">
        <v>-371.19999999999993</v>
      </c>
      <c r="N21" s="86" t="s">
        <v>173</v>
      </c>
      <c r="O21" s="96">
        <f>IF(P21=0,0,Q21/P21)</f>
        <v>-8.7757575757575736</v>
      </c>
      <c r="P21" s="90">
        <v>33</v>
      </c>
      <c r="Q21" s="78">
        <v>-289.59999999999991</v>
      </c>
    </row>
    <row r="22" spans="1:17" x14ac:dyDescent="0.4">
      <c r="A22" s="32" t="s">
        <v>166</v>
      </c>
      <c r="B22" s="25">
        <v>24</v>
      </c>
      <c r="C22" s="106">
        <v>0</v>
      </c>
      <c r="E22" s="40" t="s">
        <v>92</v>
      </c>
      <c r="F22" s="37" t="s">
        <v>47</v>
      </c>
      <c r="G22" s="25">
        <v>2</v>
      </c>
      <c r="H22" s="104">
        <f>IF(B$31=0,0,G22/B$31)</f>
        <v>1.0101010101010102E-2</v>
      </c>
      <c r="I22" s="65">
        <v>12</v>
      </c>
      <c r="K22" s="17">
        <v>20</v>
      </c>
      <c r="L22" s="70">
        <v>-374.69999999999993</v>
      </c>
      <c r="N22" s="86" t="s">
        <v>127</v>
      </c>
      <c r="O22" s="96">
        <f>IF(P22=0,0,Q22/P22)</f>
        <v>-29.347500000000004</v>
      </c>
      <c r="P22" s="90">
        <v>40</v>
      </c>
      <c r="Q22" s="78">
        <v>-1173.9000000000001</v>
      </c>
    </row>
    <row r="23" spans="1:17" x14ac:dyDescent="0.4">
      <c r="A23" s="32" t="s">
        <v>5</v>
      </c>
      <c r="B23" s="29">
        <f>IF(B$17=0,0,C23/B$17)</f>
        <v>7730.30303030303</v>
      </c>
      <c r="C23" s="20">
        <v>1530600</v>
      </c>
      <c r="E23" s="40" t="s">
        <v>76</v>
      </c>
      <c r="F23" s="37" t="s">
        <v>31</v>
      </c>
      <c r="G23" s="25">
        <v>1</v>
      </c>
      <c r="H23" s="104">
        <f>IF(B$31=0,0,G23/B$31)</f>
        <v>5.0505050505050509E-3</v>
      </c>
      <c r="I23" s="65">
        <v>5</v>
      </c>
      <c r="K23" s="17">
        <v>21</v>
      </c>
      <c r="L23" s="70">
        <v>-415.69999999999993</v>
      </c>
      <c r="N23" s="86" t="s">
        <v>176</v>
      </c>
      <c r="O23" s="96">
        <f>IF(P23=0,0,Q23/P23)</f>
        <v>-42.96</v>
      </c>
      <c r="P23" s="90">
        <v>5</v>
      </c>
      <c r="Q23" s="78">
        <v>-214.8</v>
      </c>
    </row>
    <row r="24" spans="1:17" x14ac:dyDescent="0.4">
      <c r="A24" s="33" t="s">
        <v>189</v>
      </c>
      <c r="B24" s="111">
        <f>IF($B$17-B$16=0,0,C24/($B$17-B$16))</f>
        <v>8534.6938775510207</v>
      </c>
      <c r="C24" s="112">
        <v>1254600</v>
      </c>
      <c r="E24" s="40" t="s">
        <v>86</v>
      </c>
      <c r="F24" s="37" t="s">
        <v>41</v>
      </c>
      <c r="G24" s="25">
        <v>1</v>
      </c>
      <c r="H24" s="104">
        <f>IF(B$31=0,0,G24/B$31)</f>
        <v>5.0505050505050509E-3</v>
      </c>
      <c r="I24" s="65">
        <v>3</v>
      </c>
      <c r="K24" s="17">
        <v>22</v>
      </c>
      <c r="L24" s="70">
        <v>-473.5</v>
      </c>
      <c r="N24" s="86" t="s">
        <v>186</v>
      </c>
      <c r="O24" s="96">
        <f>IF(P24=0,0,Q24/P24)</f>
        <v>-45.5</v>
      </c>
      <c r="P24" s="90">
        <v>1</v>
      </c>
      <c r="Q24" s="78">
        <v>-45.5</v>
      </c>
    </row>
    <row r="25" spans="1:17" x14ac:dyDescent="0.4">
      <c r="A25" s="33" t="s">
        <v>190</v>
      </c>
      <c r="B25" s="111">
        <f>IF(B$16=0,0,C25/B$16)</f>
        <v>5411.7647058823532</v>
      </c>
      <c r="C25" s="112">
        <v>276000</v>
      </c>
      <c r="E25" s="40" t="s">
        <v>107</v>
      </c>
      <c r="F25" s="37" t="s">
        <v>114</v>
      </c>
      <c r="G25" s="25">
        <v>1</v>
      </c>
      <c r="H25" s="104">
        <f>IF(B$31=0,0,G25/B$31)</f>
        <v>5.0505050505050509E-3</v>
      </c>
      <c r="I25" s="65">
        <v>1</v>
      </c>
      <c r="K25" s="17">
        <v>23</v>
      </c>
      <c r="L25" s="70">
        <v>-480.5</v>
      </c>
      <c r="N25" s="86" t="s">
        <v>185</v>
      </c>
      <c r="O25" s="96">
        <f>IF(P25=0,0,Q25/P25)</f>
        <v>-59.433333333333337</v>
      </c>
      <c r="P25" s="90">
        <v>3</v>
      </c>
      <c r="Q25" s="78">
        <v>-178.3</v>
      </c>
    </row>
    <row r="26" spans="1:17" x14ac:dyDescent="0.4">
      <c r="A26" s="32" t="s">
        <v>14</v>
      </c>
      <c r="B26" s="29">
        <f>IF(B$20=0,0,C26/B$20)</f>
        <v>-8133.5766423357663</v>
      </c>
      <c r="C26" s="20">
        <v>-1114300</v>
      </c>
      <c r="E26" s="40" t="s">
        <v>75</v>
      </c>
      <c r="F26" s="37" t="s">
        <v>30</v>
      </c>
      <c r="G26" s="25">
        <v>0</v>
      </c>
      <c r="H26" s="104">
        <f>IF(B$31=0,0,G26/B$31)</f>
        <v>0</v>
      </c>
      <c r="I26" s="65">
        <v>10</v>
      </c>
      <c r="K26" s="17">
        <v>24</v>
      </c>
      <c r="L26" s="70">
        <v>-444.69999999999993</v>
      </c>
    </row>
    <row r="27" spans="1:17" x14ac:dyDescent="0.4">
      <c r="A27" s="61" t="s">
        <v>139</v>
      </c>
      <c r="B27" s="121">
        <v>7</v>
      </c>
      <c r="C27" s="122"/>
      <c r="E27" s="40" t="s">
        <v>77</v>
      </c>
      <c r="F27" s="37" t="s">
        <v>32</v>
      </c>
      <c r="G27" s="25">
        <v>0</v>
      </c>
      <c r="H27" s="104">
        <f>IF(B$31=0,0,G27/B$31)</f>
        <v>0</v>
      </c>
      <c r="I27" s="65">
        <v>1</v>
      </c>
      <c r="K27" s="17">
        <v>25</v>
      </c>
      <c r="L27" s="70">
        <v>-457.69999999999993</v>
      </c>
    </row>
    <row r="28" spans="1:17" x14ac:dyDescent="0.4">
      <c r="A28" s="35" t="s">
        <v>146</v>
      </c>
      <c r="B28" s="119">
        <v>113300</v>
      </c>
      <c r="C28" s="120"/>
      <c r="E28" s="40" t="s">
        <v>78</v>
      </c>
      <c r="F28" s="37" t="s">
        <v>33</v>
      </c>
      <c r="G28" s="25">
        <v>0</v>
      </c>
      <c r="H28" s="104">
        <f>IF(B$31=0,0,G28/B$31)</f>
        <v>0</v>
      </c>
      <c r="I28" s="65">
        <v>9</v>
      </c>
      <c r="K28" s="17">
        <v>26</v>
      </c>
      <c r="L28" s="70">
        <v>-425.09999999999991</v>
      </c>
    </row>
    <row r="29" spans="1:17" x14ac:dyDescent="0.4">
      <c r="A29" s="34" t="s">
        <v>140</v>
      </c>
      <c r="B29" s="42">
        <v>2</v>
      </c>
      <c r="C29" s="21">
        <f>IF(B$3=0,0,B29/B$3)</f>
        <v>2.7777777777777779E-3</v>
      </c>
      <c r="E29" s="40" t="s">
        <v>81</v>
      </c>
      <c r="F29" s="37" t="s">
        <v>36</v>
      </c>
      <c r="G29" s="25">
        <v>0</v>
      </c>
      <c r="H29" s="104">
        <f>IF(B$31=0,0,G29/B$31)</f>
        <v>0</v>
      </c>
      <c r="I29" s="65">
        <v>3</v>
      </c>
      <c r="K29" s="17">
        <v>27</v>
      </c>
      <c r="L29" s="70">
        <v>-419.69999999999993</v>
      </c>
    </row>
    <row r="30" spans="1:17" x14ac:dyDescent="0.4">
      <c r="A30" s="31" t="s">
        <v>179</v>
      </c>
      <c r="B30" s="115">
        <v>720</v>
      </c>
      <c r="C30" s="116"/>
      <c r="E30" s="40" t="s">
        <v>83</v>
      </c>
      <c r="F30" s="37" t="s">
        <v>38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-447.9</v>
      </c>
    </row>
    <row r="31" spans="1:17" x14ac:dyDescent="0.4">
      <c r="A31" s="34" t="s">
        <v>180</v>
      </c>
      <c r="B31" s="117">
        <v>198</v>
      </c>
      <c r="C31" s="118"/>
      <c r="E31" s="40" t="s">
        <v>85</v>
      </c>
      <c r="F31" s="37" t="s">
        <v>40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-403.99999999999994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-374.09999999999991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-343.69999999999993</v>
      </c>
    </row>
    <row r="34" spans="5:12" x14ac:dyDescent="0.4">
      <c r="E34" s="40" t="s">
        <v>93</v>
      </c>
      <c r="F34" s="37" t="s">
        <v>48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-337.89999999999992</v>
      </c>
    </row>
    <row r="35" spans="5:12" x14ac:dyDescent="0.4">
      <c r="E35" s="40" t="s">
        <v>94</v>
      </c>
      <c r="F35" s="37" t="s">
        <v>49</v>
      </c>
      <c r="G35" s="25">
        <v>0</v>
      </c>
      <c r="H35" s="104">
        <f>IF(B$31=0,0,G35/B$31)</f>
        <v>0</v>
      </c>
      <c r="I35" s="65">
        <v>9</v>
      </c>
      <c r="K35" s="17">
        <v>33</v>
      </c>
      <c r="L35" s="70">
        <v>-358.89999999999992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-417.59999999999991</v>
      </c>
    </row>
    <row r="37" spans="5:12" x14ac:dyDescent="0.4">
      <c r="E37" s="40" t="s">
        <v>96</v>
      </c>
      <c r="F37" s="37" t="s">
        <v>51</v>
      </c>
      <c r="G37" s="25">
        <v>0</v>
      </c>
      <c r="H37" s="104">
        <f>IF(B$31=0,0,G37/B$31)</f>
        <v>0</v>
      </c>
      <c r="I37" s="65">
        <v>4</v>
      </c>
      <c r="K37" s="17">
        <v>35</v>
      </c>
      <c r="L37" s="70">
        <v>-414.19999999999993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-443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-499.4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-440.19999999999993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-412.5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-403.29999999999995</v>
      </c>
    </row>
    <row r="43" spans="5:12" x14ac:dyDescent="0.4">
      <c r="E43" s="40" t="s">
        <v>102</v>
      </c>
      <c r="F43" s="37" t="s">
        <v>57</v>
      </c>
      <c r="G43" s="25">
        <v>0</v>
      </c>
      <c r="H43" s="104">
        <f>IF(B$31=0,0,G43/B$31)</f>
        <v>0</v>
      </c>
      <c r="I43" s="65">
        <v>3</v>
      </c>
      <c r="K43" s="17">
        <v>41</v>
      </c>
      <c r="L43" s="70">
        <v>-332.4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-357.9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-381.4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-348.9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-349.2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-379.7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-380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-345.6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-389.5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-366.6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-379</v>
      </c>
    </row>
    <row r="54" spans="5:12" x14ac:dyDescent="0.4">
      <c r="K54" s="17">
        <v>52</v>
      </c>
      <c r="L54" s="70">
        <v>-435</v>
      </c>
    </row>
    <row r="55" spans="5:12" x14ac:dyDescent="0.4">
      <c r="K55" s="17">
        <v>53</v>
      </c>
      <c r="L55" s="70">
        <v>-458.69999999999993</v>
      </c>
    </row>
    <row r="56" spans="5:12" x14ac:dyDescent="0.4">
      <c r="K56" s="17">
        <v>54</v>
      </c>
      <c r="L56" s="70">
        <v>-493.79999999999995</v>
      </c>
    </row>
    <row r="57" spans="5:12" x14ac:dyDescent="0.4">
      <c r="K57" s="17">
        <v>55</v>
      </c>
      <c r="L57" s="70">
        <v>-444.79999999999995</v>
      </c>
    </row>
    <row r="58" spans="5:12" x14ac:dyDescent="0.4">
      <c r="K58" s="17">
        <v>56</v>
      </c>
      <c r="L58" s="70">
        <v>-417.69999999999993</v>
      </c>
    </row>
    <row r="59" spans="5:12" x14ac:dyDescent="0.4">
      <c r="K59" s="17">
        <v>57</v>
      </c>
      <c r="L59" s="70">
        <v>-450.5</v>
      </c>
    </row>
    <row r="60" spans="5:12" x14ac:dyDescent="0.4">
      <c r="K60" s="17">
        <v>58</v>
      </c>
      <c r="L60" s="70">
        <v>-532.5</v>
      </c>
    </row>
    <row r="61" spans="5:12" x14ac:dyDescent="0.4">
      <c r="K61" s="17">
        <v>59</v>
      </c>
      <c r="L61" s="70">
        <v>-594.79999999999995</v>
      </c>
    </row>
    <row r="62" spans="5:12" x14ac:dyDescent="0.4">
      <c r="K62" s="17">
        <v>60</v>
      </c>
      <c r="L62" s="70">
        <v>-542.79999999999995</v>
      </c>
    </row>
    <row r="63" spans="5:12" x14ac:dyDescent="0.4">
      <c r="K63" s="17">
        <v>61</v>
      </c>
      <c r="L63" s="70">
        <v>-588.1</v>
      </c>
    </row>
    <row r="64" spans="5:12" x14ac:dyDescent="0.4">
      <c r="K64" s="17">
        <v>62</v>
      </c>
      <c r="L64" s="70">
        <v>-592.4</v>
      </c>
    </row>
    <row r="65" spans="11:12" x14ac:dyDescent="0.4">
      <c r="K65" s="17">
        <v>63</v>
      </c>
      <c r="L65" s="70">
        <v>-651</v>
      </c>
    </row>
    <row r="66" spans="11:12" x14ac:dyDescent="0.4">
      <c r="K66" s="17">
        <v>64</v>
      </c>
      <c r="L66" s="70">
        <v>-552.70000000000005</v>
      </c>
    </row>
    <row r="67" spans="11:12" x14ac:dyDescent="0.4">
      <c r="K67" s="17">
        <v>65</v>
      </c>
      <c r="L67" s="70">
        <v>-551.80000000000007</v>
      </c>
    </row>
    <row r="68" spans="11:12" x14ac:dyDescent="0.4">
      <c r="K68" s="17">
        <v>66</v>
      </c>
      <c r="L68" s="70">
        <v>-559.70000000000005</v>
      </c>
    </row>
    <row r="69" spans="11:12" x14ac:dyDescent="0.4">
      <c r="K69" s="17">
        <v>67</v>
      </c>
      <c r="L69" s="70">
        <v>-504.6</v>
      </c>
    </row>
    <row r="70" spans="11:12" x14ac:dyDescent="0.4">
      <c r="K70" s="17">
        <v>68</v>
      </c>
      <c r="L70" s="70">
        <v>-552.20000000000005</v>
      </c>
    </row>
    <row r="71" spans="11:12" x14ac:dyDescent="0.4">
      <c r="K71" s="17">
        <v>69</v>
      </c>
      <c r="L71" s="70">
        <v>-616.70000000000005</v>
      </c>
    </row>
    <row r="72" spans="11:12" x14ac:dyDescent="0.4">
      <c r="K72" s="17">
        <v>70</v>
      </c>
      <c r="L72" s="70">
        <v>-676.1</v>
      </c>
    </row>
    <row r="73" spans="11:12" x14ac:dyDescent="0.4">
      <c r="K73" s="17">
        <v>71</v>
      </c>
      <c r="L73" s="70">
        <v>-676.1</v>
      </c>
    </row>
    <row r="74" spans="11:12" x14ac:dyDescent="0.4">
      <c r="K74" s="17">
        <v>72</v>
      </c>
      <c r="L74" s="70">
        <v>-666.9</v>
      </c>
    </row>
    <row r="75" spans="11:12" x14ac:dyDescent="0.4">
      <c r="K75" s="17">
        <v>73</v>
      </c>
      <c r="L75" s="70">
        <v>-715.7</v>
      </c>
    </row>
    <row r="76" spans="11:12" x14ac:dyDescent="0.4">
      <c r="K76" s="17">
        <v>74</v>
      </c>
      <c r="L76" s="70">
        <v>-645.5</v>
      </c>
    </row>
    <row r="77" spans="11:12" x14ac:dyDescent="0.4">
      <c r="K77" s="17">
        <v>75</v>
      </c>
      <c r="L77" s="70">
        <v>-647.20000000000005</v>
      </c>
    </row>
    <row r="78" spans="11:12" x14ac:dyDescent="0.4">
      <c r="K78" s="17">
        <v>76</v>
      </c>
      <c r="L78" s="70">
        <v>-639.70000000000005</v>
      </c>
    </row>
    <row r="79" spans="11:12" x14ac:dyDescent="0.4">
      <c r="K79" s="17">
        <v>77</v>
      </c>
      <c r="L79" s="70">
        <v>-600.20000000000005</v>
      </c>
    </row>
    <row r="80" spans="11:12" x14ac:dyDescent="0.4">
      <c r="K80" s="17">
        <v>78</v>
      </c>
      <c r="L80" s="70">
        <v>-587.80000000000007</v>
      </c>
    </row>
    <row r="81" spans="11:12" x14ac:dyDescent="0.4">
      <c r="K81" s="17">
        <v>79</v>
      </c>
      <c r="L81" s="70">
        <v>-566.30000000000007</v>
      </c>
    </row>
    <row r="82" spans="11:12" x14ac:dyDescent="0.4">
      <c r="K82" s="17">
        <v>80</v>
      </c>
      <c r="L82" s="70">
        <v>-592.70000000000005</v>
      </c>
    </row>
    <row r="83" spans="11:12" x14ac:dyDescent="0.4">
      <c r="K83" s="17">
        <v>81</v>
      </c>
      <c r="L83" s="70">
        <v>-591.1</v>
      </c>
    </row>
    <row r="84" spans="11:12" x14ac:dyDescent="0.4">
      <c r="K84" s="17">
        <v>82</v>
      </c>
      <c r="L84" s="70">
        <v>-574.20000000000005</v>
      </c>
    </row>
    <row r="85" spans="11:12" x14ac:dyDescent="0.4">
      <c r="K85" s="17">
        <v>83</v>
      </c>
      <c r="L85" s="70">
        <v>-552.90000000000009</v>
      </c>
    </row>
    <row r="86" spans="11:12" x14ac:dyDescent="0.4">
      <c r="K86" s="17">
        <v>84</v>
      </c>
      <c r="L86" s="70">
        <v>-589.6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01DAA-123A-4CEB-9D19-377BDBE2B843}">
  <sheetPr codeName="Sheet17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176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28</v>
      </c>
      <c r="C2" s="116"/>
      <c r="E2" s="39" t="s">
        <v>73</v>
      </c>
      <c r="F2" s="36" t="s">
        <v>28</v>
      </c>
      <c r="G2" s="24">
        <v>55</v>
      </c>
      <c r="H2" s="103">
        <f>IF(B$31=0,0,G2/B$31)</f>
        <v>0.6875</v>
      </c>
      <c r="I2" s="64">
        <v>3</v>
      </c>
      <c r="K2" s="15">
        <v>0</v>
      </c>
      <c r="L2" s="69">
        <v>0</v>
      </c>
      <c r="N2" s="85" t="s">
        <v>129</v>
      </c>
      <c r="O2" s="92">
        <f>IF(P2=0,0,Q2/P2)</f>
        <v>-2342.8571428571427</v>
      </c>
      <c r="P2" s="89">
        <v>28</v>
      </c>
      <c r="Q2" s="73">
        <v>-65600</v>
      </c>
    </row>
    <row r="3" spans="1:17" x14ac:dyDescent="0.4">
      <c r="A3" s="32" t="s">
        <v>8</v>
      </c>
      <c r="B3" s="127">
        <v>253</v>
      </c>
      <c r="C3" s="128"/>
      <c r="E3" s="40" t="s">
        <v>67</v>
      </c>
      <c r="F3" s="37" t="s">
        <v>23</v>
      </c>
      <c r="G3" s="25">
        <v>45</v>
      </c>
      <c r="H3" s="104">
        <f>IF(B$31=0,0,G3/B$31)</f>
        <v>0.5625</v>
      </c>
      <c r="I3" s="65">
        <v>15</v>
      </c>
      <c r="K3" s="17">
        <v>1</v>
      </c>
      <c r="L3" s="70">
        <v>-12.5</v>
      </c>
      <c r="N3" s="86" t="s">
        <v>130</v>
      </c>
      <c r="O3" s="93">
        <f t="shared" ref="O3:O7" si="0">IF(P3=0,0,Q3/P3)</f>
        <v>1603.7037037037037</v>
      </c>
      <c r="P3" s="90">
        <v>27</v>
      </c>
      <c r="Q3" s="74">
        <v>43300</v>
      </c>
    </row>
    <row r="4" spans="1:17" x14ac:dyDescent="0.4">
      <c r="A4" s="32" t="s">
        <v>6</v>
      </c>
      <c r="B4" s="129">
        <v>-22.000000000000028</v>
      </c>
      <c r="C4" s="130"/>
      <c r="E4" s="40" t="s">
        <v>65</v>
      </c>
      <c r="F4" s="37" t="s">
        <v>21</v>
      </c>
      <c r="G4" s="25">
        <v>37</v>
      </c>
      <c r="H4" s="104">
        <f>IF(B$31=0,0,G4/B$31)</f>
        <v>0.46250000000000002</v>
      </c>
      <c r="I4" s="65">
        <v>13</v>
      </c>
      <c r="K4" s="17">
        <v>2</v>
      </c>
      <c r="L4" s="70">
        <v>-28.1</v>
      </c>
      <c r="N4" s="86" t="s">
        <v>131</v>
      </c>
      <c r="O4" s="93">
        <f t="shared" si="0"/>
        <v>-6315.3846153846152</v>
      </c>
      <c r="P4" s="90">
        <v>26</v>
      </c>
      <c r="Q4" s="74">
        <v>-164200</v>
      </c>
    </row>
    <row r="5" spans="1:17" x14ac:dyDescent="0.4">
      <c r="A5" s="32" t="s">
        <v>7</v>
      </c>
      <c r="B5" s="131">
        <f>IF(B$2=0,0,B$4/B$2)</f>
        <v>-0.7857142857142867</v>
      </c>
      <c r="C5" s="132"/>
      <c r="E5" s="40" t="s">
        <v>68</v>
      </c>
      <c r="F5" s="37" t="s">
        <v>24</v>
      </c>
      <c r="G5" s="25">
        <v>27</v>
      </c>
      <c r="H5" s="104">
        <f>IF(B$31=0,0,G5/B$31)</f>
        <v>0.33750000000000002</v>
      </c>
      <c r="I5" s="65">
        <v>8</v>
      </c>
      <c r="K5" s="17">
        <v>3</v>
      </c>
      <c r="L5" s="70">
        <v>-20.400000000000002</v>
      </c>
      <c r="N5" s="86" t="s">
        <v>132</v>
      </c>
      <c r="O5" s="93">
        <f t="shared" si="0"/>
        <v>-1350</v>
      </c>
      <c r="P5" s="90">
        <v>26</v>
      </c>
      <c r="Q5" s="74">
        <v>-35100</v>
      </c>
    </row>
    <row r="6" spans="1:17" x14ac:dyDescent="0.4">
      <c r="A6" s="32" t="s">
        <v>1</v>
      </c>
      <c r="B6" s="123">
        <f>IF(B$2=0,0,(B$7*1+B$8*2+B$9*3)/B$2)</f>
        <v>1.9285714285714286</v>
      </c>
      <c r="C6" s="124"/>
      <c r="E6" s="40" t="s">
        <v>69</v>
      </c>
      <c r="F6" s="37" t="s">
        <v>12</v>
      </c>
      <c r="G6" s="25">
        <v>26</v>
      </c>
      <c r="H6" s="104">
        <f>IF(B$31=0,0,G6/B$31)</f>
        <v>0.32500000000000001</v>
      </c>
      <c r="I6" s="65">
        <v>6</v>
      </c>
      <c r="K6" s="17">
        <v>4</v>
      </c>
      <c r="L6" s="70">
        <v>19.399999999999995</v>
      </c>
      <c r="N6" s="86" t="s">
        <v>133</v>
      </c>
      <c r="O6" s="93">
        <f t="shared" si="0"/>
        <v>8445</v>
      </c>
      <c r="P6" s="90">
        <v>20</v>
      </c>
      <c r="Q6" s="74">
        <v>168900</v>
      </c>
    </row>
    <row r="7" spans="1:17" x14ac:dyDescent="0.4">
      <c r="A7" s="32" t="s">
        <v>2</v>
      </c>
      <c r="B7" s="25">
        <v>10</v>
      </c>
      <c r="C7" s="18">
        <f>IF(B$2=0,0,B7/B$2)</f>
        <v>0.35714285714285715</v>
      </c>
      <c r="E7" s="40" t="s">
        <v>167</v>
      </c>
      <c r="F7" s="37" t="s">
        <v>168</v>
      </c>
      <c r="G7" s="25">
        <v>26</v>
      </c>
      <c r="H7" s="104">
        <f>IF(B$31=0,0,G7/B$31)</f>
        <v>0.32500000000000001</v>
      </c>
      <c r="I7" s="65">
        <v>5</v>
      </c>
      <c r="K7" s="17">
        <v>5</v>
      </c>
      <c r="L7" s="70">
        <v>-16.100000000000005</v>
      </c>
      <c r="N7" s="87" t="s">
        <v>134</v>
      </c>
      <c r="O7" s="94">
        <f t="shared" si="0"/>
        <v>1211.7647058823529</v>
      </c>
      <c r="P7" s="91">
        <v>17</v>
      </c>
      <c r="Q7" s="75">
        <v>20600</v>
      </c>
    </row>
    <row r="8" spans="1:17" x14ac:dyDescent="0.4">
      <c r="A8" s="32" t="s">
        <v>3</v>
      </c>
      <c r="B8" s="25">
        <v>10</v>
      </c>
      <c r="C8" s="18">
        <f>IF(B$2=0,0,B8/B$2)</f>
        <v>0.35714285714285715</v>
      </c>
      <c r="E8" s="40" t="s">
        <v>90</v>
      </c>
      <c r="F8" s="37" t="s">
        <v>45</v>
      </c>
      <c r="G8" s="25">
        <v>12</v>
      </c>
      <c r="H8" s="104">
        <f>IF(B$31=0,0,G8/B$31)</f>
        <v>0.15</v>
      </c>
      <c r="I8" s="65">
        <v>6</v>
      </c>
      <c r="K8" s="17">
        <v>6</v>
      </c>
      <c r="L8" s="70">
        <v>-16.300000000000004</v>
      </c>
      <c r="N8" s="22"/>
      <c r="O8" s="98"/>
      <c r="P8" s="82"/>
      <c r="Q8" s="80"/>
    </row>
    <row r="9" spans="1:17" x14ac:dyDescent="0.4">
      <c r="A9" s="33" t="s">
        <v>4</v>
      </c>
      <c r="B9" s="26">
        <v>8</v>
      </c>
      <c r="C9" s="19">
        <f t="shared" ref="C9" si="1">IF(B$2=0,0,B9/B$2)</f>
        <v>0.2857142857142857</v>
      </c>
      <c r="E9" s="40" t="s">
        <v>70</v>
      </c>
      <c r="F9" s="37" t="s">
        <v>25</v>
      </c>
      <c r="G9" s="25">
        <v>11</v>
      </c>
      <c r="H9" s="104">
        <f>IF(B$31=0,0,G9/B$31)</f>
        <v>0.13750000000000001</v>
      </c>
      <c r="I9" s="65">
        <v>9</v>
      </c>
      <c r="K9" s="17">
        <v>7</v>
      </c>
      <c r="L9" s="70">
        <v>-25.300000000000004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7</v>
      </c>
      <c r="C10" s="19">
        <f>IF(B$2=0,0,B10/B$2)</f>
        <v>0.25</v>
      </c>
      <c r="E10" s="40" t="s">
        <v>66</v>
      </c>
      <c r="F10" s="37" t="s">
        <v>22</v>
      </c>
      <c r="G10" s="25">
        <v>8</v>
      </c>
      <c r="H10" s="104">
        <f>IF(B$31=0,0,G10/B$31)</f>
        <v>0.1</v>
      </c>
      <c r="I10" s="65">
        <v>10</v>
      </c>
      <c r="K10" s="17">
        <v>8</v>
      </c>
      <c r="L10" s="70">
        <v>9.5999999999999943</v>
      </c>
      <c r="N10" s="85" t="s">
        <v>158</v>
      </c>
      <c r="O10" s="95">
        <f>IF(P10=0,0,Q10/P10)</f>
        <v>-10.033333333333333</v>
      </c>
      <c r="P10" s="89">
        <v>6</v>
      </c>
      <c r="Q10" s="77">
        <v>-60.2</v>
      </c>
    </row>
    <row r="11" spans="1:17" x14ac:dyDescent="0.4">
      <c r="A11" s="33" t="s">
        <v>137</v>
      </c>
      <c r="B11" s="26">
        <v>2</v>
      </c>
      <c r="C11" s="19">
        <f>IF(B$2=0,0,B11/B$2)</f>
        <v>7.1428571428571425E-2</v>
      </c>
      <c r="E11" s="40" t="s">
        <v>87</v>
      </c>
      <c r="F11" s="37" t="s">
        <v>42</v>
      </c>
      <c r="G11" s="25">
        <v>8</v>
      </c>
      <c r="H11" s="104">
        <f>IF(B$31=0,0,G11/B$31)</f>
        <v>0.1</v>
      </c>
      <c r="I11" s="65">
        <v>4</v>
      </c>
      <c r="K11" s="17">
        <v>9</v>
      </c>
      <c r="L11" s="70">
        <v>18.099999999999994</v>
      </c>
      <c r="N11" s="86" t="s">
        <v>159</v>
      </c>
      <c r="O11" s="96">
        <f>IF(P11=0,0,Q11/P11)</f>
        <v>0.56923076923076743</v>
      </c>
      <c r="P11" s="90">
        <v>13</v>
      </c>
      <c r="Q11" s="78">
        <v>7.3999999999999773</v>
      </c>
    </row>
    <row r="12" spans="1:17" x14ac:dyDescent="0.4">
      <c r="A12" s="34" t="s">
        <v>154</v>
      </c>
      <c r="B12" s="27">
        <v>2</v>
      </c>
      <c r="C12" s="21">
        <f>IF(B$2=0,0,B12/B$2)</f>
        <v>7.1428571428571425E-2</v>
      </c>
      <c r="E12" s="40" t="s">
        <v>71</v>
      </c>
      <c r="F12" s="37" t="s">
        <v>26</v>
      </c>
      <c r="G12" s="25">
        <v>4</v>
      </c>
      <c r="H12" s="104">
        <f>IF(B$31=0,0,G12/B$31)</f>
        <v>0.05</v>
      </c>
      <c r="I12" s="65">
        <v>13</v>
      </c>
      <c r="K12" s="17">
        <v>10</v>
      </c>
      <c r="L12" s="70">
        <v>109.39999999999999</v>
      </c>
      <c r="N12" s="87" t="s">
        <v>160</v>
      </c>
      <c r="O12" s="97">
        <f>IF(P12=0,0,Q12/P12)</f>
        <v>3.4222222222222221</v>
      </c>
      <c r="P12" s="91">
        <v>9</v>
      </c>
      <c r="Q12" s="79">
        <v>30.799999999999997</v>
      </c>
    </row>
    <row r="13" spans="1:17" x14ac:dyDescent="0.4">
      <c r="A13" s="35" t="s">
        <v>122</v>
      </c>
      <c r="B13" s="28">
        <v>63</v>
      </c>
      <c r="C13" s="23">
        <f>IF(B$30=0,0,B13/B$30)</f>
        <v>0.24901185770750989</v>
      </c>
      <c r="E13" s="40" t="s">
        <v>79</v>
      </c>
      <c r="F13" s="37" t="s">
        <v>34</v>
      </c>
      <c r="G13" s="25">
        <v>4</v>
      </c>
      <c r="H13" s="104">
        <f>IF(B$31=0,0,G13/B$31)</f>
        <v>0.05</v>
      </c>
      <c r="I13" s="65">
        <v>2</v>
      </c>
      <c r="K13" s="17">
        <v>11</v>
      </c>
      <c r="L13" s="70">
        <v>100.69999999999999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84</v>
      </c>
      <c r="C14" s="18">
        <f>IF(B$30=0,0,B14/B$30)</f>
        <v>0.33201581027667987</v>
      </c>
      <c r="E14" s="40" t="s">
        <v>84</v>
      </c>
      <c r="F14" s="37" t="s">
        <v>39</v>
      </c>
      <c r="G14" s="25">
        <v>4</v>
      </c>
      <c r="H14" s="104">
        <f>IF(B$31=0,0,G14/B$31)</f>
        <v>0.05</v>
      </c>
      <c r="I14" s="65">
        <v>8</v>
      </c>
      <c r="K14" s="17">
        <v>12</v>
      </c>
      <c r="L14" s="70">
        <v>45.599999999999987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37</v>
      </c>
      <c r="C15" s="16">
        <f>IF(B$13=0,0,B15/B$13)</f>
        <v>0.58730158730158732</v>
      </c>
      <c r="E15" s="40" t="s">
        <v>78</v>
      </c>
      <c r="F15" s="37" t="s">
        <v>33</v>
      </c>
      <c r="G15" s="25">
        <v>3</v>
      </c>
      <c r="H15" s="104">
        <f>IF(B$31=0,0,G15/B$31)</f>
        <v>3.7499999999999999E-2</v>
      </c>
      <c r="I15" s="65">
        <v>1</v>
      </c>
      <c r="K15" s="17">
        <v>13</v>
      </c>
      <c r="L15" s="70">
        <v>83.299999999999983</v>
      </c>
      <c r="N15" s="85" t="s">
        <v>174</v>
      </c>
      <c r="O15" s="95">
        <f>IF(P15=0,0,Q15/P15)</f>
        <v>42.96</v>
      </c>
      <c r="P15" s="89">
        <v>5</v>
      </c>
      <c r="Q15" s="77">
        <v>214.8</v>
      </c>
    </row>
    <row r="16" spans="1:17" x14ac:dyDescent="0.4">
      <c r="A16" s="31" t="s">
        <v>125</v>
      </c>
      <c r="B16" s="24">
        <v>33</v>
      </c>
      <c r="C16" s="16">
        <f>IF(B$14=0,0,B16/B$14)</f>
        <v>0.39285714285714285</v>
      </c>
      <c r="E16" s="40" t="s">
        <v>72</v>
      </c>
      <c r="F16" s="37" t="s">
        <v>27</v>
      </c>
      <c r="G16" s="25">
        <v>2</v>
      </c>
      <c r="H16" s="104">
        <f>IF(B$31=0,0,G16/B$31)</f>
        <v>2.5000000000000001E-2</v>
      </c>
      <c r="I16" s="65">
        <v>14</v>
      </c>
      <c r="K16" s="17">
        <v>14</v>
      </c>
      <c r="L16" s="70">
        <v>114.99999999999999</v>
      </c>
      <c r="N16" s="86" t="s">
        <v>175</v>
      </c>
      <c r="O16" s="96">
        <f>IF(P16=0,0,Q16/P16)</f>
        <v>41.385714285714286</v>
      </c>
      <c r="P16" s="90">
        <v>7</v>
      </c>
      <c r="Q16" s="78">
        <v>289.7</v>
      </c>
    </row>
    <row r="17" spans="1:17" x14ac:dyDescent="0.4">
      <c r="A17" s="31" t="s">
        <v>10</v>
      </c>
      <c r="B17" s="24">
        <f>B19+B18</f>
        <v>80</v>
      </c>
      <c r="C17" s="16">
        <f>IF(B$3=0,0,B17/B$3)</f>
        <v>0.31620553359683795</v>
      </c>
      <c r="E17" s="40" t="s">
        <v>80</v>
      </c>
      <c r="F17" s="37" t="s">
        <v>35</v>
      </c>
      <c r="G17" s="25">
        <v>2</v>
      </c>
      <c r="H17" s="104">
        <f>IF(B$31=0,0,G17/B$31)</f>
        <v>2.5000000000000001E-2</v>
      </c>
      <c r="I17" s="65">
        <v>3</v>
      </c>
      <c r="K17" s="17">
        <v>15</v>
      </c>
      <c r="L17" s="70">
        <v>157.69999999999999</v>
      </c>
      <c r="N17" s="86" t="s">
        <v>173</v>
      </c>
      <c r="O17" s="96">
        <f>IF(P17=0,0,Q17/P17)</f>
        <v>22.533333333333335</v>
      </c>
      <c r="P17" s="90">
        <v>3</v>
      </c>
      <c r="Q17" s="78">
        <v>67.600000000000009</v>
      </c>
    </row>
    <row r="18" spans="1:17" x14ac:dyDescent="0.4">
      <c r="A18" s="32" t="s">
        <v>12</v>
      </c>
      <c r="B18" s="25">
        <v>41</v>
      </c>
      <c r="C18" s="18">
        <f>IF(B$17=0,0,B18/B$17)</f>
        <v>0.51249999999999996</v>
      </c>
      <c r="E18" s="40" t="s">
        <v>82</v>
      </c>
      <c r="F18" s="37" t="s">
        <v>37</v>
      </c>
      <c r="G18" s="25">
        <v>1</v>
      </c>
      <c r="H18" s="104">
        <f>IF(B$31=0,0,G18/B$31)</f>
        <v>1.2500000000000001E-2</v>
      </c>
      <c r="I18" s="65">
        <v>13</v>
      </c>
      <c r="K18" s="17">
        <v>16</v>
      </c>
      <c r="L18" s="70">
        <v>99.6</v>
      </c>
      <c r="N18" s="86" t="s">
        <v>162</v>
      </c>
      <c r="O18" s="96">
        <f>IF(P18=0,0,Q18/P18)</f>
        <v>16.62857142857143</v>
      </c>
      <c r="P18" s="90">
        <v>7</v>
      </c>
      <c r="Q18" s="78">
        <v>116.4</v>
      </c>
    </row>
    <row r="19" spans="1:17" x14ac:dyDescent="0.4">
      <c r="A19" s="32" t="s">
        <v>11</v>
      </c>
      <c r="B19" s="25">
        <v>39</v>
      </c>
      <c r="C19" s="18">
        <f>IF(B$17=0,0,B19/B$17)</f>
        <v>0.48749999999999999</v>
      </c>
      <c r="E19" s="40" t="s">
        <v>177</v>
      </c>
      <c r="F19" s="37" t="s">
        <v>178</v>
      </c>
      <c r="G19" s="25">
        <v>0</v>
      </c>
      <c r="H19" s="104">
        <f>IF(B$31=0,0,G19/B$31)</f>
        <v>0</v>
      </c>
      <c r="I19" s="65">
        <v>14</v>
      </c>
      <c r="K19" s="17">
        <v>17</v>
      </c>
      <c r="L19" s="70">
        <v>112.39999999999999</v>
      </c>
      <c r="N19" s="86" t="s">
        <v>127</v>
      </c>
      <c r="O19" s="96">
        <f>IF(P19=0,0,Q19/P19)</f>
        <v>13.45</v>
      </c>
      <c r="P19" s="90">
        <v>2</v>
      </c>
      <c r="Q19" s="78">
        <v>26.9</v>
      </c>
    </row>
    <row r="20" spans="1:17" x14ac:dyDescent="0.4">
      <c r="A20" s="32" t="s">
        <v>13</v>
      </c>
      <c r="B20" s="25">
        <v>43</v>
      </c>
      <c r="C20" s="18">
        <f>IF(B$3=0,0,B20/B$3)</f>
        <v>0.16996047430830039</v>
      </c>
      <c r="E20" s="40" t="s">
        <v>74</v>
      </c>
      <c r="F20" s="37" t="s">
        <v>29</v>
      </c>
      <c r="G20" s="25">
        <v>0</v>
      </c>
      <c r="H20" s="104">
        <f>IF(B$31=0,0,G20/B$31)</f>
        <v>0</v>
      </c>
      <c r="I20" s="65">
        <v>10</v>
      </c>
      <c r="K20" s="17">
        <v>18</v>
      </c>
      <c r="L20" s="70">
        <v>45.399999999999991</v>
      </c>
      <c r="N20" s="86" t="s">
        <v>171</v>
      </c>
      <c r="O20" s="96">
        <f>IF(P20=0,0,Q20/P20)</f>
        <v>-5.6000000000000014</v>
      </c>
      <c r="P20" s="90">
        <v>8</v>
      </c>
      <c r="Q20" s="78">
        <v>-44.800000000000011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75</v>
      </c>
      <c r="F21" s="37" t="s">
        <v>30</v>
      </c>
      <c r="G21" s="25">
        <v>0</v>
      </c>
      <c r="H21" s="104">
        <f>IF(B$31=0,0,G21/B$31)</f>
        <v>0</v>
      </c>
      <c r="I21" s="65">
        <v>10</v>
      </c>
      <c r="K21" s="17">
        <v>19</v>
      </c>
      <c r="L21" s="70">
        <v>94.299999999999983</v>
      </c>
      <c r="N21" s="86" t="s">
        <v>172</v>
      </c>
      <c r="O21" s="96">
        <f>IF(P21=0,0,Q21/P21)</f>
        <v>-23.049999999999997</v>
      </c>
      <c r="P21" s="90">
        <v>16</v>
      </c>
      <c r="Q21" s="78">
        <v>-368.79999999999995</v>
      </c>
    </row>
    <row r="22" spans="1:17" x14ac:dyDescent="0.4">
      <c r="A22" s="32" t="s">
        <v>166</v>
      </c>
      <c r="B22" s="25">
        <v>14</v>
      </c>
      <c r="C22" s="106">
        <v>0</v>
      </c>
      <c r="E22" s="40" t="s">
        <v>76</v>
      </c>
      <c r="F22" s="37" t="s">
        <v>31</v>
      </c>
      <c r="G22" s="25">
        <v>0</v>
      </c>
      <c r="H22" s="104">
        <f>IF(B$31=0,0,G22/B$31)</f>
        <v>0</v>
      </c>
      <c r="I22" s="65">
        <v>10</v>
      </c>
      <c r="K22" s="17">
        <v>20</v>
      </c>
      <c r="L22" s="70">
        <v>80.999999999999986</v>
      </c>
      <c r="N22" s="86" t="s">
        <v>128</v>
      </c>
      <c r="O22" s="96">
        <f>IF(P22=0,0,Q22/P22)</f>
        <v>-45.974999999999994</v>
      </c>
      <c r="P22" s="90">
        <v>8</v>
      </c>
      <c r="Q22" s="78">
        <v>-367.79999999999995</v>
      </c>
    </row>
    <row r="23" spans="1:17" x14ac:dyDescent="0.4">
      <c r="A23" s="32" t="s">
        <v>5</v>
      </c>
      <c r="B23" s="29">
        <f>IF(B$17=0,0,C23/B$17)</f>
        <v>7901.25</v>
      </c>
      <c r="C23" s="20">
        <v>632100</v>
      </c>
      <c r="E23" s="40" t="s">
        <v>77</v>
      </c>
      <c r="F23" s="37" t="s">
        <v>32</v>
      </c>
      <c r="G23" s="25">
        <v>0</v>
      </c>
      <c r="H23" s="104">
        <f>IF(B$31=0,0,G23/B$31)</f>
        <v>0</v>
      </c>
      <c r="I23" s="65">
        <v>1</v>
      </c>
      <c r="K23" s="17">
        <v>21</v>
      </c>
      <c r="L23" s="70">
        <v>82.799999999999983</v>
      </c>
    </row>
    <row r="24" spans="1:17" x14ac:dyDescent="0.4">
      <c r="A24" s="33" t="s">
        <v>189</v>
      </c>
      <c r="B24" s="111">
        <f>IF($B$17-B$16=0,0,C24/($B$17-B$16))</f>
        <v>8944.6808510638293</v>
      </c>
      <c r="C24" s="112">
        <v>420400</v>
      </c>
      <c r="E24" s="40" t="s">
        <v>81</v>
      </c>
      <c r="F24" s="37" t="s">
        <v>36</v>
      </c>
      <c r="G24" s="25">
        <v>0</v>
      </c>
      <c r="H24" s="104">
        <f>IF(B$31=0,0,G24/B$31)</f>
        <v>0</v>
      </c>
      <c r="I24" s="65">
        <v>3</v>
      </c>
      <c r="K24" s="17">
        <v>22</v>
      </c>
      <c r="L24" s="70">
        <v>36.299999999999983</v>
      </c>
    </row>
    <row r="25" spans="1:17" x14ac:dyDescent="0.4">
      <c r="A25" s="33" t="s">
        <v>190</v>
      </c>
      <c r="B25" s="111">
        <f>IF(B$16=0,0,C25/B$16)</f>
        <v>6415.151515151515</v>
      </c>
      <c r="C25" s="112">
        <v>211700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  <c r="K25" s="17">
        <v>23</v>
      </c>
      <c r="L25" s="70">
        <v>57.399999999999984</v>
      </c>
    </row>
    <row r="26" spans="1:17" x14ac:dyDescent="0.4">
      <c r="A26" s="32" t="s">
        <v>14</v>
      </c>
      <c r="B26" s="29">
        <f>IF(B$20=0,0,C26/B$20)</f>
        <v>-8765.1162790697672</v>
      </c>
      <c r="C26" s="20">
        <v>-376900</v>
      </c>
      <c r="E26" s="40" t="s">
        <v>85</v>
      </c>
      <c r="F26" s="37" t="s">
        <v>40</v>
      </c>
      <c r="G26" s="25">
        <v>0</v>
      </c>
      <c r="H26" s="104">
        <f>IF(B$31=0,0,G26/B$31)</f>
        <v>0</v>
      </c>
      <c r="I26" s="65">
        <v>6</v>
      </c>
      <c r="K26" s="17">
        <v>24</v>
      </c>
      <c r="L26" s="70">
        <v>10.899999999999977</v>
      </c>
    </row>
    <row r="27" spans="1:17" x14ac:dyDescent="0.4">
      <c r="A27" s="61" t="s">
        <v>139</v>
      </c>
      <c r="B27" s="121">
        <v>4</v>
      </c>
      <c r="C27" s="122"/>
      <c r="E27" s="40" t="s">
        <v>86</v>
      </c>
      <c r="F27" s="37" t="s">
        <v>41</v>
      </c>
      <c r="G27" s="25">
        <v>0</v>
      </c>
      <c r="H27" s="104">
        <f>IF(B$31=0,0,G27/B$31)</f>
        <v>0</v>
      </c>
      <c r="I27" s="65">
        <v>8</v>
      </c>
      <c r="K27" s="17">
        <v>25</v>
      </c>
      <c r="L27" s="70">
        <v>45.399999999999977</v>
      </c>
    </row>
    <row r="28" spans="1:17" x14ac:dyDescent="0.4">
      <c r="A28" s="35" t="s">
        <v>146</v>
      </c>
      <c r="B28" s="119">
        <v>106300</v>
      </c>
      <c r="C28" s="120"/>
      <c r="E28" s="40" t="s">
        <v>88</v>
      </c>
      <c r="F28" s="37" t="s">
        <v>43</v>
      </c>
      <c r="G28" s="25">
        <v>0</v>
      </c>
      <c r="H28" s="104">
        <f>IF(B$31=0,0,G28/B$31)</f>
        <v>0</v>
      </c>
      <c r="I28" s="65">
        <v>8</v>
      </c>
      <c r="K28" s="17">
        <v>26</v>
      </c>
      <c r="L28" s="70">
        <v>70.699999999999974</v>
      </c>
    </row>
    <row r="29" spans="1:17" x14ac:dyDescent="0.4">
      <c r="A29" s="34" t="s">
        <v>140</v>
      </c>
      <c r="B29" s="42">
        <v>2</v>
      </c>
      <c r="C29" s="21">
        <f>IF(B$3=0,0,B29/B$3)</f>
        <v>7.9051383399209481E-3</v>
      </c>
      <c r="E29" s="40" t="s">
        <v>89</v>
      </c>
      <c r="F29" s="37" t="s">
        <v>44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23.499999999999972</v>
      </c>
    </row>
    <row r="30" spans="1:17" x14ac:dyDescent="0.4">
      <c r="A30" s="31" t="s">
        <v>179</v>
      </c>
      <c r="B30" s="115">
        <v>253</v>
      </c>
      <c r="C30" s="116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  <c r="K30" s="17">
        <v>28</v>
      </c>
      <c r="L30" s="70">
        <v>-22.000000000000028</v>
      </c>
    </row>
    <row r="31" spans="1:17" x14ac:dyDescent="0.4">
      <c r="A31" s="34" t="s">
        <v>180</v>
      </c>
      <c r="B31" s="117">
        <v>80</v>
      </c>
      <c r="C31" s="118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35DC1-0658-4D04-8020-99EE41DD35A4}">
  <sheetPr codeName="Sheet18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188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1</v>
      </c>
      <c r="C2" s="116"/>
      <c r="E2" s="39" t="s">
        <v>67</v>
      </c>
      <c r="F2" s="36" t="s">
        <v>23</v>
      </c>
      <c r="G2" s="24">
        <v>3</v>
      </c>
      <c r="H2" s="103">
        <f>IF(B$31=0,0,G2/B$31)</f>
        <v>1.5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1500</v>
      </c>
      <c r="P2" s="89">
        <v>1</v>
      </c>
      <c r="Q2" s="73">
        <v>1500</v>
      </c>
    </row>
    <row r="3" spans="1:17" x14ac:dyDescent="0.4">
      <c r="A3" s="32" t="s">
        <v>8</v>
      </c>
      <c r="B3" s="127">
        <v>13</v>
      </c>
      <c r="C3" s="128"/>
      <c r="E3" s="40" t="s">
        <v>65</v>
      </c>
      <c r="F3" s="37" t="s">
        <v>21</v>
      </c>
      <c r="G3" s="25">
        <v>1</v>
      </c>
      <c r="H3" s="104">
        <f>IF(B$31=0,0,G3/B$31)</f>
        <v>0.5</v>
      </c>
      <c r="I3" s="65">
        <v>9</v>
      </c>
      <c r="K3" s="17">
        <v>1</v>
      </c>
      <c r="L3" s="70">
        <v>13.3</v>
      </c>
      <c r="N3" s="86" t="s">
        <v>130</v>
      </c>
      <c r="O3" s="93">
        <f t="shared" ref="O3:O7" si="0">IF(P3=0,0,Q3/P3)</f>
        <v>12500</v>
      </c>
      <c r="P3" s="90">
        <v>1</v>
      </c>
      <c r="Q3" s="74">
        <v>12500</v>
      </c>
    </row>
    <row r="4" spans="1:17" x14ac:dyDescent="0.4">
      <c r="A4" s="32" t="s">
        <v>6</v>
      </c>
      <c r="B4" s="129">
        <v>13.3</v>
      </c>
      <c r="C4" s="130"/>
      <c r="E4" s="40" t="s">
        <v>68</v>
      </c>
      <c r="F4" s="37" t="s">
        <v>24</v>
      </c>
      <c r="G4" s="25">
        <v>1</v>
      </c>
      <c r="H4" s="104">
        <f>IF(B$31=0,0,G4/B$31)</f>
        <v>0.5</v>
      </c>
      <c r="I4" s="65">
        <v>1</v>
      </c>
      <c r="N4" s="86" t="s">
        <v>131</v>
      </c>
      <c r="O4" s="93">
        <f t="shared" si="0"/>
        <v>-14000</v>
      </c>
      <c r="P4" s="90">
        <v>1</v>
      </c>
      <c r="Q4" s="74">
        <v>-14000</v>
      </c>
    </row>
    <row r="5" spans="1:17" x14ac:dyDescent="0.4">
      <c r="A5" s="32" t="s">
        <v>7</v>
      </c>
      <c r="B5" s="131">
        <f>IF(B$2=0,0,B$4/B$2)</f>
        <v>13.3</v>
      </c>
      <c r="C5" s="132"/>
      <c r="E5" s="40" t="s">
        <v>69</v>
      </c>
      <c r="F5" s="37" t="s">
        <v>12</v>
      </c>
      <c r="G5" s="25">
        <v>1</v>
      </c>
      <c r="H5" s="104">
        <f>IF(B$31=0,0,G5/B$31)</f>
        <v>0.5</v>
      </c>
      <c r="I5" s="65">
        <v>1</v>
      </c>
      <c r="N5" s="86" t="s">
        <v>132</v>
      </c>
      <c r="O5" s="93">
        <f t="shared" si="0"/>
        <v>-2800</v>
      </c>
      <c r="P5" s="90">
        <v>1</v>
      </c>
      <c r="Q5" s="74">
        <v>-2800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82</v>
      </c>
      <c r="F6" s="37" t="s">
        <v>37</v>
      </c>
      <c r="G6" s="25">
        <v>1</v>
      </c>
      <c r="H6" s="104">
        <f>IF(B$31=0,0,G6/B$31)</f>
        <v>0.5</v>
      </c>
      <c r="I6" s="65">
        <v>1</v>
      </c>
      <c r="N6" s="86" t="s">
        <v>133</v>
      </c>
      <c r="O6" s="93">
        <f t="shared" si="0"/>
        <v>16100</v>
      </c>
      <c r="P6" s="90">
        <v>1</v>
      </c>
      <c r="Q6" s="74">
        <v>16100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167</v>
      </c>
      <c r="F7" s="37" t="s">
        <v>168</v>
      </c>
      <c r="G7" s="25">
        <v>1</v>
      </c>
      <c r="H7" s="104">
        <f>IF(B$31=0,0,G7/B$31)</f>
        <v>0.5</v>
      </c>
      <c r="I7" s="65">
        <v>1</v>
      </c>
      <c r="N7" s="87" t="s">
        <v>134</v>
      </c>
      <c r="O7" s="94">
        <f t="shared" si="0"/>
        <v>0</v>
      </c>
      <c r="P7" s="91">
        <v>0</v>
      </c>
      <c r="Q7" s="75">
        <v>0</v>
      </c>
    </row>
    <row r="8" spans="1:17" x14ac:dyDescent="0.4">
      <c r="A8" s="32" t="s">
        <v>3</v>
      </c>
      <c r="B8" s="25">
        <v>1</v>
      </c>
      <c r="C8" s="18">
        <f>IF(B$2=0,0,B8/B$2)</f>
        <v>1</v>
      </c>
      <c r="E8" s="40" t="s">
        <v>66</v>
      </c>
      <c r="F8" s="37" t="s">
        <v>22</v>
      </c>
      <c r="G8" s="25">
        <v>0</v>
      </c>
      <c r="H8" s="104">
        <f>IF(B$31=0,0,G8/B$31)</f>
        <v>0</v>
      </c>
      <c r="I8" s="65">
        <v>16</v>
      </c>
      <c r="N8" s="22"/>
      <c r="O8" s="98"/>
      <c r="P8" s="82"/>
      <c r="Q8" s="80"/>
    </row>
    <row r="9" spans="1:17" x14ac:dyDescent="0.4">
      <c r="A9" s="33" t="s">
        <v>4</v>
      </c>
      <c r="B9" s="26">
        <v>0</v>
      </c>
      <c r="C9" s="19">
        <f t="shared" ref="C9" si="1">IF(B$2=0,0,B9/B$2)</f>
        <v>0</v>
      </c>
      <c r="E9" s="40" t="s">
        <v>177</v>
      </c>
      <c r="F9" s="37" t="s">
        <v>178</v>
      </c>
      <c r="G9" s="25">
        <v>0</v>
      </c>
      <c r="H9" s="104">
        <f>IF(B$31=0,0,G9/B$31)</f>
        <v>0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70</v>
      </c>
      <c r="F10" s="37" t="s">
        <v>25</v>
      </c>
      <c r="G10" s="25">
        <v>0</v>
      </c>
      <c r="H10" s="104">
        <f>IF(B$31=0,0,G10/B$31)</f>
        <v>0</v>
      </c>
      <c r="I10" s="65">
        <v>17</v>
      </c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71</v>
      </c>
      <c r="F11" s="37" t="s">
        <v>26</v>
      </c>
      <c r="G11" s="25">
        <v>0</v>
      </c>
      <c r="H11" s="104">
        <f>IF(B$31=0,0,G11/B$31)</f>
        <v>0</v>
      </c>
      <c r="I11" s="65">
        <v>14</v>
      </c>
      <c r="N11" s="86" t="s">
        <v>159</v>
      </c>
      <c r="O11" s="96">
        <f>IF(P11=0,0,Q11/P11)</f>
        <v>13.3</v>
      </c>
      <c r="P11" s="90">
        <v>1</v>
      </c>
      <c r="Q11" s="78">
        <v>13.3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72</v>
      </c>
      <c r="F12" s="37" t="s">
        <v>27</v>
      </c>
      <c r="G12" s="25">
        <v>0</v>
      </c>
      <c r="H12" s="104">
        <f>IF(B$31=0,0,G12/B$31)</f>
        <v>0</v>
      </c>
      <c r="I12" s="65">
        <v>15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3</v>
      </c>
      <c r="C13" s="23">
        <f>IF(B$30=0,0,B13/B$30)</f>
        <v>0.23076923076923078</v>
      </c>
      <c r="E13" s="40" t="s">
        <v>73</v>
      </c>
      <c r="F13" s="37" t="s">
        <v>28</v>
      </c>
      <c r="G13" s="25">
        <v>0</v>
      </c>
      <c r="H13" s="104">
        <f>IF(B$31=0,0,G13/B$31)</f>
        <v>0</v>
      </c>
      <c r="I13" s="65">
        <v>17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</v>
      </c>
      <c r="C14" s="18">
        <f>IF(B$30=0,0,B14/B$30)</f>
        <v>7.6923076923076927E-2</v>
      </c>
      <c r="E14" s="40" t="s">
        <v>74</v>
      </c>
      <c r="F14" s="37" t="s">
        <v>29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</v>
      </c>
      <c r="C15" s="16">
        <f>IF(B$13=0,0,B15/B$13)</f>
        <v>0.33333333333333331</v>
      </c>
      <c r="E15" s="40" t="s">
        <v>75</v>
      </c>
      <c r="F15" s="37" t="s">
        <v>30</v>
      </c>
      <c r="G15" s="25">
        <v>0</v>
      </c>
      <c r="H15" s="104">
        <f>IF(B$31=0,0,G15/B$31)</f>
        <v>0</v>
      </c>
      <c r="I15" s="65">
        <v>10</v>
      </c>
      <c r="N15" s="85" t="s">
        <v>171</v>
      </c>
      <c r="O15" s="95">
        <f>IF(P15=0,0,Q15/P15)</f>
        <v>69.5</v>
      </c>
      <c r="P15" s="89">
        <v>1</v>
      </c>
      <c r="Q15" s="77">
        <v>69.5</v>
      </c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76</v>
      </c>
      <c r="F16" s="37" t="s">
        <v>31</v>
      </c>
      <c r="G16" s="25">
        <v>0</v>
      </c>
      <c r="H16" s="104">
        <f>IF(B$31=0,0,G16/B$31)</f>
        <v>0</v>
      </c>
      <c r="I16" s="65">
        <v>10</v>
      </c>
      <c r="N16" s="86" t="s">
        <v>127</v>
      </c>
      <c r="O16" s="96">
        <f>IF(P16=0,0,Q16/P16)</f>
        <v>-29.599999999999998</v>
      </c>
      <c r="P16" s="90">
        <v>1</v>
      </c>
      <c r="Q16" s="78">
        <v>-29.599999999999998</v>
      </c>
    </row>
    <row r="17" spans="1:9" x14ac:dyDescent="0.4">
      <c r="A17" s="31" t="s">
        <v>10</v>
      </c>
      <c r="B17" s="24">
        <f>B19+B18</f>
        <v>2</v>
      </c>
      <c r="C17" s="16">
        <f>IF(B$3=0,0,B17/B$3)</f>
        <v>0.15384615384615385</v>
      </c>
      <c r="E17" s="40" t="s">
        <v>77</v>
      </c>
      <c r="F17" s="37" t="s">
        <v>32</v>
      </c>
      <c r="G17" s="25">
        <v>0</v>
      </c>
      <c r="H17" s="104">
        <f>IF(B$31=0,0,G17/B$31)</f>
        <v>0</v>
      </c>
      <c r="I17" s="65">
        <v>1</v>
      </c>
    </row>
    <row r="18" spans="1:9" x14ac:dyDescent="0.4">
      <c r="A18" s="32" t="s">
        <v>12</v>
      </c>
      <c r="B18" s="25">
        <v>1</v>
      </c>
      <c r="C18" s="18">
        <f>IF(B$17=0,0,B18/B$17)</f>
        <v>0.5</v>
      </c>
      <c r="E18" s="40" t="s">
        <v>78</v>
      </c>
      <c r="F18" s="37" t="s">
        <v>33</v>
      </c>
      <c r="G18" s="25">
        <v>0</v>
      </c>
      <c r="H18" s="104">
        <f>IF(B$31=0,0,G18/B$31)</f>
        <v>0</v>
      </c>
      <c r="I18" s="65">
        <v>9</v>
      </c>
    </row>
    <row r="19" spans="1:9" x14ac:dyDescent="0.4">
      <c r="A19" s="32" t="s">
        <v>11</v>
      </c>
      <c r="B19" s="25">
        <v>1</v>
      </c>
      <c r="C19" s="18">
        <f>IF(B$17=0,0,B19/B$17)</f>
        <v>0.5</v>
      </c>
      <c r="E19" s="40" t="s">
        <v>79</v>
      </c>
      <c r="F19" s="37" t="s">
        <v>34</v>
      </c>
      <c r="G19" s="25">
        <v>0</v>
      </c>
      <c r="H19" s="104">
        <f>IF(B$31=0,0,G19/B$31)</f>
        <v>0</v>
      </c>
      <c r="I19" s="65">
        <v>13</v>
      </c>
    </row>
    <row r="20" spans="1:9" x14ac:dyDescent="0.4">
      <c r="A20" s="32" t="s">
        <v>13</v>
      </c>
      <c r="B20" s="25">
        <v>1</v>
      </c>
      <c r="C20" s="18">
        <f>IF(B$3=0,0,B20/B$3)</f>
        <v>7.6923076923076927E-2</v>
      </c>
      <c r="E20" s="40" t="s">
        <v>80</v>
      </c>
      <c r="F20" s="37" t="s">
        <v>35</v>
      </c>
      <c r="G20" s="25">
        <v>0</v>
      </c>
      <c r="H20" s="104">
        <f>IF(B$31=0,0,G20/B$31)</f>
        <v>0</v>
      </c>
      <c r="I20" s="65">
        <v>13</v>
      </c>
    </row>
    <row r="21" spans="1:9" x14ac:dyDescent="0.4">
      <c r="A21" s="32" t="s">
        <v>165</v>
      </c>
      <c r="B21" s="25">
        <v>1</v>
      </c>
      <c r="C21" s="106">
        <v>0</v>
      </c>
      <c r="E21" s="40" t="s">
        <v>81</v>
      </c>
      <c r="F21" s="37" t="s">
        <v>36</v>
      </c>
      <c r="G21" s="25">
        <v>0</v>
      </c>
      <c r="H21" s="104">
        <f>IF(B$31=0,0,G21/B$31)</f>
        <v>0</v>
      </c>
      <c r="I21" s="65">
        <v>3</v>
      </c>
    </row>
    <row r="22" spans="1:9" x14ac:dyDescent="0.4">
      <c r="A22" s="32" t="s">
        <v>166</v>
      </c>
      <c r="B22" s="25">
        <v>7</v>
      </c>
      <c r="C22" s="106">
        <v>0</v>
      </c>
      <c r="E22" s="40" t="s">
        <v>83</v>
      </c>
      <c r="F22" s="37" t="s">
        <v>38</v>
      </c>
      <c r="G22" s="25">
        <v>0</v>
      </c>
      <c r="H22" s="104">
        <f>IF(B$31=0,0,G22/B$31)</f>
        <v>0</v>
      </c>
      <c r="I22" s="65">
        <v>1</v>
      </c>
    </row>
    <row r="23" spans="1:9" x14ac:dyDescent="0.4">
      <c r="A23" s="32" t="s">
        <v>5</v>
      </c>
      <c r="B23" s="29">
        <f>IF(B$17=0,0,C23/B$17)</f>
        <v>13800</v>
      </c>
      <c r="C23" s="20">
        <v>27600</v>
      </c>
      <c r="E23" s="40" t="s">
        <v>84</v>
      </c>
      <c r="F23" s="37" t="s">
        <v>39</v>
      </c>
      <c r="G23" s="25">
        <v>0</v>
      </c>
      <c r="H23" s="104">
        <f>IF(B$31=0,0,G23/B$31)</f>
        <v>0</v>
      </c>
      <c r="I23" s="65">
        <v>15</v>
      </c>
    </row>
    <row r="24" spans="1:9" x14ac:dyDescent="0.4">
      <c r="A24" s="33" t="s">
        <v>189</v>
      </c>
      <c r="B24" s="111">
        <f>IF($B$17-B$16=0,0,C24/($B$17-B$16))</f>
        <v>13800</v>
      </c>
      <c r="C24" s="112">
        <v>27600</v>
      </c>
      <c r="E24" s="40" t="s">
        <v>85</v>
      </c>
      <c r="F24" s="37" t="s">
        <v>40</v>
      </c>
      <c r="G24" s="25">
        <v>0</v>
      </c>
      <c r="H24" s="104">
        <f>IF(B$31=0,0,G24/B$31)</f>
        <v>0</v>
      </c>
      <c r="I24" s="65">
        <v>6</v>
      </c>
    </row>
    <row r="25" spans="1:9" x14ac:dyDescent="0.4">
      <c r="A25" s="33" t="s">
        <v>190</v>
      </c>
      <c r="B25" s="111">
        <f>IF(B$16=0,0,C25/B$16)</f>
        <v>0</v>
      </c>
      <c r="C25" s="112">
        <v>0</v>
      </c>
      <c r="E25" s="40" t="s">
        <v>86</v>
      </c>
      <c r="F25" s="37" t="s">
        <v>41</v>
      </c>
      <c r="G25" s="25">
        <v>0</v>
      </c>
      <c r="H25" s="104">
        <f>IF(B$31=0,0,G25/B$31)</f>
        <v>0</v>
      </c>
      <c r="I25" s="65">
        <v>8</v>
      </c>
    </row>
    <row r="26" spans="1:9" x14ac:dyDescent="0.4">
      <c r="A26" s="32" t="s">
        <v>14</v>
      </c>
      <c r="B26" s="29">
        <f>IF(B$20=0,0,C26/B$20)</f>
        <v>-12000</v>
      </c>
      <c r="C26" s="20">
        <v>-12000</v>
      </c>
      <c r="E26" s="40" t="s">
        <v>87</v>
      </c>
      <c r="F26" s="37" t="s">
        <v>42</v>
      </c>
      <c r="G26" s="25">
        <v>0</v>
      </c>
      <c r="H26" s="104">
        <f>IF(B$31=0,0,G26/B$31)</f>
        <v>0</v>
      </c>
      <c r="I26" s="65">
        <v>17</v>
      </c>
    </row>
    <row r="27" spans="1:9" x14ac:dyDescent="0.4">
      <c r="A27" s="61" t="s">
        <v>139</v>
      </c>
      <c r="B27" s="121">
        <v>5</v>
      </c>
      <c r="C27" s="122"/>
      <c r="E27" s="40" t="s">
        <v>88</v>
      </c>
      <c r="F27" s="37" t="s">
        <v>43</v>
      </c>
      <c r="G27" s="25">
        <v>0</v>
      </c>
      <c r="H27" s="104">
        <f>IF(B$31=0,0,G27/B$31)</f>
        <v>0</v>
      </c>
      <c r="I27" s="65">
        <v>8</v>
      </c>
    </row>
    <row r="28" spans="1:9" x14ac:dyDescent="0.4">
      <c r="A28" s="35" t="s">
        <v>146</v>
      </c>
      <c r="B28" s="119">
        <v>48300</v>
      </c>
      <c r="C28" s="120"/>
      <c r="E28" s="40" t="s">
        <v>89</v>
      </c>
      <c r="F28" s="37" t="s">
        <v>44</v>
      </c>
      <c r="G28" s="25">
        <v>0</v>
      </c>
      <c r="H28" s="104">
        <f>IF(B$31=0,0,G28/B$31)</f>
        <v>0</v>
      </c>
      <c r="I28" s="65">
        <v>6</v>
      </c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90</v>
      </c>
      <c r="F29" s="37" t="s">
        <v>45</v>
      </c>
      <c r="G29" s="25">
        <v>0</v>
      </c>
      <c r="H29" s="104">
        <f>IF(B$31=0,0,G29/B$31)</f>
        <v>0</v>
      </c>
      <c r="I29" s="65">
        <v>16</v>
      </c>
    </row>
    <row r="30" spans="1:9" x14ac:dyDescent="0.4">
      <c r="A30" s="31" t="s">
        <v>179</v>
      </c>
      <c r="B30" s="115">
        <v>13</v>
      </c>
      <c r="C30" s="116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</row>
    <row r="31" spans="1:9" x14ac:dyDescent="0.4">
      <c r="A31" s="34" t="s">
        <v>180</v>
      </c>
      <c r="B31" s="117">
        <v>2</v>
      </c>
      <c r="C31" s="118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9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04C88-DAA4-4961-9C73-FF4CB8AC19A3}">
  <sheetPr codeName="Sheet19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175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29</v>
      </c>
      <c r="C2" s="116"/>
      <c r="E2" s="39" t="s">
        <v>67</v>
      </c>
      <c r="F2" s="36" t="s">
        <v>23</v>
      </c>
      <c r="G2" s="24">
        <v>32</v>
      </c>
      <c r="H2" s="103">
        <f>IF(B$31=0,0,G2/B$31)</f>
        <v>0.62745098039215685</v>
      </c>
      <c r="I2" s="64">
        <v>13</v>
      </c>
      <c r="K2" s="15">
        <v>0</v>
      </c>
      <c r="L2" s="69">
        <v>0</v>
      </c>
      <c r="N2" s="85" t="s">
        <v>129</v>
      </c>
      <c r="O2" s="92">
        <f>IF(P2=0,0,Q2/P2)</f>
        <v>-4155.1724137931033</v>
      </c>
      <c r="P2" s="89">
        <v>29</v>
      </c>
      <c r="Q2" s="73">
        <v>-120500</v>
      </c>
    </row>
    <row r="3" spans="1:17" x14ac:dyDescent="0.4">
      <c r="A3" s="32" t="s">
        <v>8</v>
      </c>
      <c r="B3" s="127">
        <v>237</v>
      </c>
      <c r="C3" s="128"/>
      <c r="E3" s="40" t="s">
        <v>65</v>
      </c>
      <c r="F3" s="37" t="s">
        <v>21</v>
      </c>
      <c r="G3" s="25">
        <v>27</v>
      </c>
      <c r="H3" s="104">
        <f>IF(B$31=0,0,G3/B$31)</f>
        <v>0.52941176470588236</v>
      </c>
      <c r="I3" s="65">
        <v>6</v>
      </c>
      <c r="K3" s="17">
        <v>1</v>
      </c>
      <c r="L3" s="70">
        <v>-43.2</v>
      </c>
      <c r="N3" s="86" t="s">
        <v>130</v>
      </c>
      <c r="O3" s="93">
        <f t="shared" ref="O3:O7" si="0">IF(P3=0,0,Q3/P3)</f>
        <v>-1420.6896551724137</v>
      </c>
      <c r="P3" s="90">
        <v>29</v>
      </c>
      <c r="Q3" s="74">
        <v>-41200</v>
      </c>
    </row>
    <row r="4" spans="1:17" x14ac:dyDescent="0.4">
      <c r="A4" s="32" t="s">
        <v>6</v>
      </c>
      <c r="B4" s="129">
        <v>-720.7</v>
      </c>
      <c r="C4" s="130"/>
      <c r="E4" s="40" t="s">
        <v>73</v>
      </c>
      <c r="F4" s="37" t="s">
        <v>28</v>
      </c>
      <c r="G4" s="25">
        <v>23</v>
      </c>
      <c r="H4" s="104">
        <f>IF(B$31=0,0,G4/B$31)</f>
        <v>0.45098039215686275</v>
      </c>
      <c r="I4" s="65">
        <v>15</v>
      </c>
      <c r="K4" s="17">
        <v>2</v>
      </c>
      <c r="L4" s="70">
        <v>-96.5</v>
      </c>
      <c r="N4" s="86" t="s">
        <v>131</v>
      </c>
      <c r="O4" s="93">
        <f t="shared" si="0"/>
        <v>-1296.4285714285713</v>
      </c>
      <c r="P4" s="90">
        <v>28</v>
      </c>
      <c r="Q4" s="74">
        <v>-36300</v>
      </c>
    </row>
    <row r="5" spans="1:17" x14ac:dyDescent="0.4">
      <c r="A5" s="32" t="s">
        <v>7</v>
      </c>
      <c r="B5" s="131">
        <f>IF(B$2=0,0,B$4/B$2)</f>
        <v>-24.851724137931036</v>
      </c>
      <c r="C5" s="132"/>
      <c r="E5" s="40" t="s">
        <v>167</v>
      </c>
      <c r="F5" s="37" t="s">
        <v>168</v>
      </c>
      <c r="G5" s="25">
        <v>20</v>
      </c>
      <c r="H5" s="104">
        <f>IF(B$31=0,0,G5/B$31)</f>
        <v>0.39215686274509803</v>
      </c>
      <c r="I5" s="65">
        <v>2</v>
      </c>
      <c r="K5" s="17">
        <v>3</v>
      </c>
      <c r="L5" s="70">
        <v>-151.9</v>
      </c>
      <c r="N5" s="86" t="s">
        <v>132</v>
      </c>
      <c r="O5" s="93">
        <f t="shared" si="0"/>
        <v>-2900</v>
      </c>
      <c r="P5" s="90">
        <v>27</v>
      </c>
      <c r="Q5" s="74">
        <v>-78300</v>
      </c>
    </row>
    <row r="6" spans="1:17" x14ac:dyDescent="0.4">
      <c r="A6" s="32" t="s">
        <v>1</v>
      </c>
      <c r="B6" s="123">
        <f>IF(B$2=0,0,(B$7*1+B$8*2+B$9*3)/B$2)</f>
        <v>2.5862068965517242</v>
      </c>
      <c r="C6" s="124"/>
      <c r="E6" s="40" t="s">
        <v>68</v>
      </c>
      <c r="F6" s="37" t="s">
        <v>24</v>
      </c>
      <c r="G6" s="25">
        <v>15</v>
      </c>
      <c r="H6" s="104">
        <f>IF(B$31=0,0,G6/B$31)</f>
        <v>0.29411764705882354</v>
      </c>
      <c r="I6" s="65">
        <v>11</v>
      </c>
      <c r="K6" s="17">
        <v>4</v>
      </c>
      <c r="L6" s="70">
        <v>-134.1</v>
      </c>
      <c r="N6" s="86" t="s">
        <v>133</v>
      </c>
      <c r="O6" s="93">
        <f t="shared" si="0"/>
        <v>-2668</v>
      </c>
      <c r="P6" s="90">
        <v>25</v>
      </c>
      <c r="Q6" s="74">
        <v>-66700</v>
      </c>
    </row>
    <row r="7" spans="1:17" x14ac:dyDescent="0.4">
      <c r="A7" s="32" t="s">
        <v>2</v>
      </c>
      <c r="B7" s="25">
        <v>1</v>
      </c>
      <c r="C7" s="18">
        <f>IF(B$2=0,0,B7/B$2)</f>
        <v>3.4482758620689655E-2</v>
      </c>
      <c r="E7" s="40" t="s">
        <v>69</v>
      </c>
      <c r="F7" s="37" t="s">
        <v>12</v>
      </c>
      <c r="G7" s="25">
        <v>14</v>
      </c>
      <c r="H7" s="104">
        <f>IF(B$31=0,0,G7/B$31)</f>
        <v>0.27450980392156865</v>
      </c>
      <c r="I7" s="65">
        <v>14</v>
      </c>
      <c r="K7" s="17">
        <v>5</v>
      </c>
      <c r="L7" s="70">
        <v>-152</v>
      </c>
      <c r="N7" s="87" t="s">
        <v>134</v>
      </c>
      <c r="O7" s="94">
        <f t="shared" si="0"/>
        <v>-4628.5714285714284</v>
      </c>
      <c r="P7" s="91">
        <v>21</v>
      </c>
      <c r="Q7" s="75">
        <v>-97200</v>
      </c>
    </row>
    <row r="8" spans="1:17" x14ac:dyDescent="0.4">
      <c r="A8" s="32" t="s">
        <v>3</v>
      </c>
      <c r="B8" s="25">
        <v>10</v>
      </c>
      <c r="C8" s="18">
        <f>IF(B$2=0,0,B8/B$2)</f>
        <v>0.34482758620689657</v>
      </c>
      <c r="E8" s="40" t="s">
        <v>66</v>
      </c>
      <c r="F8" s="37" t="s">
        <v>22</v>
      </c>
      <c r="G8" s="25">
        <v>6</v>
      </c>
      <c r="H8" s="104">
        <f>IF(B$31=0,0,G8/B$31)</f>
        <v>0.11764705882352941</v>
      </c>
      <c r="I8" s="65">
        <v>7</v>
      </c>
      <c r="K8" s="17">
        <v>6</v>
      </c>
      <c r="L8" s="70">
        <v>-201.8</v>
      </c>
      <c r="N8" s="22"/>
      <c r="O8" s="98"/>
      <c r="P8" s="82"/>
      <c r="Q8" s="80"/>
    </row>
    <row r="9" spans="1:17" x14ac:dyDescent="0.4">
      <c r="A9" s="33" t="s">
        <v>4</v>
      </c>
      <c r="B9" s="26">
        <v>18</v>
      </c>
      <c r="C9" s="19">
        <f t="shared" ref="C9" si="1">IF(B$2=0,0,B9/B$2)</f>
        <v>0.62068965517241381</v>
      </c>
      <c r="E9" s="40" t="s">
        <v>87</v>
      </c>
      <c r="F9" s="37" t="s">
        <v>42</v>
      </c>
      <c r="G9" s="25">
        <v>5</v>
      </c>
      <c r="H9" s="104">
        <f>IF(B$31=0,0,G9/B$31)</f>
        <v>9.8039215686274508E-2</v>
      </c>
      <c r="I9" s="65">
        <v>6</v>
      </c>
      <c r="K9" s="17">
        <v>7</v>
      </c>
      <c r="L9" s="70">
        <v>-255.8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6</v>
      </c>
      <c r="C10" s="19">
        <f>IF(B$2=0,0,B10/B$2)</f>
        <v>0.20689655172413793</v>
      </c>
      <c r="E10" s="40" t="s">
        <v>70</v>
      </c>
      <c r="F10" s="37" t="s">
        <v>25</v>
      </c>
      <c r="G10" s="25">
        <v>3</v>
      </c>
      <c r="H10" s="104">
        <f>IF(B$31=0,0,G10/B$31)</f>
        <v>5.8823529411764705E-2</v>
      </c>
      <c r="I10" s="65">
        <v>16</v>
      </c>
      <c r="K10" s="17">
        <v>8</v>
      </c>
      <c r="L10" s="70">
        <v>-289.8</v>
      </c>
      <c r="N10" s="85" t="s">
        <v>158</v>
      </c>
      <c r="O10" s="95">
        <f>IF(P10=0,0,Q10/P10)</f>
        <v>-28.073684210526313</v>
      </c>
      <c r="P10" s="89">
        <v>19</v>
      </c>
      <c r="Q10" s="77">
        <v>-533.4</v>
      </c>
    </row>
    <row r="11" spans="1:17" x14ac:dyDescent="0.4">
      <c r="A11" s="33" t="s">
        <v>137</v>
      </c>
      <c r="B11" s="26">
        <v>1</v>
      </c>
      <c r="C11" s="19">
        <f>IF(B$2=0,0,B11/B$2)</f>
        <v>3.4482758620689655E-2</v>
      </c>
      <c r="E11" s="40" t="s">
        <v>71</v>
      </c>
      <c r="F11" s="37" t="s">
        <v>26</v>
      </c>
      <c r="G11" s="25">
        <v>3</v>
      </c>
      <c r="H11" s="104">
        <f>IF(B$31=0,0,G11/B$31)</f>
        <v>5.8823529411764705E-2</v>
      </c>
      <c r="I11" s="65">
        <v>12</v>
      </c>
      <c r="K11" s="17">
        <v>9</v>
      </c>
      <c r="L11" s="70">
        <v>-292.60000000000002</v>
      </c>
      <c r="N11" s="86" t="s">
        <v>159</v>
      </c>
      <c r="O11" s="96">
        <f>IF(P11=0,0,Q11/P11)</f>
        <v>-16.014285714285712</v>
      </c>
      <c r="P11" s="90">
        <v>7</v>
      </c>
      <c r="Q11" s="78">
        <v>-112.09999999999998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72</v>
      </c>
      <c r="F12" s="37" t="s">
        <v>27</v>
      </c>
      <c r="G12" s="25">
        <v>3</v>
      </c>
      <c r="H12" s="104">
        <f>IF(B$31=0,0,G12/B$31)</f>
        <v>5.8823529411764705E-2</v>
      </c>
      <c r="I12" s="65">
        <v>9</v>
      </c>
      <c r="K12" s="17">
        <v>10</v>
      </c>
      <c r="L12" s="70">
        <v>-304.60000000000002</v>
      </c>
      <c r="N12" s="87" t="s">
        <v>160</v>
      </c>
      <c r="O12" s="97">
        <f>IF(P12=0,0,Q12/P12)</f>
        <v>-25.066666666666666</v>
      </c>
      <c r="P12" s="91">
        <v>3</v>
      </c>
      <c r="Q12" s="79">
        <v>-75.2</v>
      </c>
    </row>
    <row r="13" spans="1:17" x14ac:dyDescent="0.4">
      <c r="A13" s="35" t="s">
        <v>122</v>
      </c>
      <c r="B13" s="28">
        <v>47</v>
      </c>
      <c r="C13" s="23">
        <f>IF(B$30=0,0,B13/B$30)</f>
        <v>0.19831223628691982</v>
      </c>
      <c r="E13" s="40" t="s">
        <v>79</v>
      </c>
      <c r="F13" s="37" t="s">
        <v>34</v>
      </c>
      <c r="G13" s="25">
        <v>3</v>
      </c>
      <c r="H13" s="104">
        <f>IF(B$31=0,0,G13/B$31)</f>
        <v>5.8823529411764705E-2</v>
      </c>
      <c r="I13" s="65">
        <v>1</v>
      </c>
      <c r="K13" s="17">
        <v>11</v>
      </c>
      <c r="L13" s="70">
        <v>-333.20000000000005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57</v>
      </c>
      <c r="C14" s="18">
        <f>IF(B$30=0,0,B14/B$30)</f>
        <v>0.24050632911392406</v>
      </c>
      <c r="E14" s="40" t="s">
        <v>84</v>
      </c>
      <c r="F14" s="37" t="s">
        <v>39</v>
      </c>
      <c r="G14" s="25">
        <v>3</v>
      </c>
      <c r="H14" s="104">
        <f>IF(B$31=0,0,G14/B$31)</f>
        <v>5.8823529411764705E-2</v>
      </c>
      <c r="I14" s="65">
        <v>6</v>
      </c>
      <c r="K14" s="17">
        <v>12</v>
      </c>
      <c r="L14" s="70">
        <v>-326.20000000000005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27</v>
      </c>
      <c r="C15" s="16">
        <f>IF(B$13=0,0,B15/B$13)</f>
        <v>0.57446808510638303</v>
      </c>
      <c r="E15" s="40" t="s">
        <v>90</v>
      </c>
      <c r="F15" s="37" t="s">
        <v>45</v>
      </c>
      <c r="G15" s="25">
        <v>3</v>
      </c>
      <c r="H15" s="104">
        <f>IF(B$31=0,0,G15/B$31)</f>
        <v>5.8823529411764705E-2</v>
      </c>
      <c r="I15" s="65">
        <v>15</v>
      </c>
      <c r="K15" s="17">
        <v>13</v>
      </c>
      <c r="L15" s="70">
        <v>-373.1</v>
      </c>
      <c r="N15" s="85" t="s">
        <v>162</v>
      </c>
      <c r="O15" s="95">
        <f>IF(P15=0,0,Q15/P15)</f>
        <v>25.7</v>
      </c>
      <c r="P15" s="89">
        <v>2</v>
      </c>
      <c r="Q15" s="77">
        <v>51.4</v>
      </c>
    </row>
    <row r="16" spans="1:17" x14ac:dyDescent="0.4">
      <c r="A16" s="31" t="s">
        <v>125</v>
      </c>
      <c r="B16" s="24">
        <v>17</v>
      </c>
      <c r="C16" s="16">
        <f>IF(B$14=0,0,B16/B$14)</f>
        <v>0.2982456140350877</v>
      </c>
      <c r="E16" s="40" t="s">
        <v>82</v>
      </c>
      <c r="F16" s="37" t="s">
        <v>37</v>
      </c>
      <c r="G16" s="25">
        <v>2</v>
      </c>
      <c r="H16" s="104">
        <f>IF(B$31=0,0,G16/B$31)</f>
        <v>3.9215686274509803E-2</v>
      </c>
      <c r="I16" s="65">
        <v>4</v>
      </c>
      <c r="K16" s="17">
        <v>14</v>
      </c>
      <c r="L16" s="70">
        <v>-416.90000000000003</v>
      </c>
      <c r="N16" s="86" t="s">
        <v>171</v>
      </c>
      <c r="O16" s="96">
        <f>IF(P16=0,0,Q16/P16)</f>
        <v>-20.209090909090907</v>
      </c>
      <c r="P16" s="90">
        <v>11</v>
      </c>
      <c r="Q16" s="78">
        <v>-222.29999999999998</v>
      </c>
    </row>
    <row r="17" spans="1:17" x14ac:dyDescent="0.4">
      <c r="A17" s="31" t="s">
        <v>10</v>
      </c>
      <c r="B17" s="24">
        <f>B19+B18</f>
        <v>51</v>
      </c>
      <c r="C17" s="16">
        <f>IF(B$3=0,0,B17/B$3)</f>
        <v>0.21518987341772153</v>
      </c>
      <c r="E17" s="40" t="s">
        <v>75</v>
      </c>
      <c r="F17" s="37" t="s">
        <v>30</v>
      </c>
      <c r="G17" s="25">
        <v>1</v>
      </c>
      <c r="H17" s="104">
        <f>IF(B$31=0,0,G17/B$31)</f>
        <v>1.9607843137254902E-2</v>
      </c>
      <c r="I17" s="65">
        <v>1</v>
      </c>
      <c r="K17" s="17">
        <v>15</v>
      </c>
      <c r="L17" s="70">
        <v>-452.20000000000005</v>
      </c>
      <c r="N17" s="86" t="s">
        <v>173</v>
      </c>
      <c r="O17" s="96">
        <f>IF(P17=0,0,Q17/P17)</f>
        <v>-25.799999999999997</v>
      </c>
      <c r="P17" s="90">
        <v>1</v>
      </c>
      <c r="Q17" s="78">
        <v>-25.799999999999997</v>
      </c>
    </row>
    <row r="18" spans="1:17" x14ac:dyDescent="0.4">
      <c r="A18" s="32" t="s">
        <v>12</v>
      </c>
      <c r="B18" s="25">
        <v>22</v>
      </c>
      <c r="C18" s="18">
        <f>IF(B$17=0,0,B18/B$17)</f>
        <v>0.43137254901960786</v>
      </c>
      <c r="E18" s="40" t="s">
        <v>92</v>
      </c>
      <c r="F18" s="37" t="s">
        <v>47</v>
      </c>
      <c r="G18" s="25">
        <v>1</v>
      </c>
      <c r="H18" s="104">
        <f>IF(B$31=0,0,G18/B$31)</f>
        <v>1.9607843137254902E-2</v>
      </c>
      <c r="I18" s="65">
        <v>6</v>
      </c>
      <c r="K18" s="17">
        <v>16</v>
      </c>
      <c r="L18" s="70">
        <v>-392.1</v>
      </c>
      <c r="N18" s="86" t="s">
        <v>172</v>
      </c>
      <c r="O18" s="96">
        <f>IF(P18=0,0,Q18/P18)</f>
        <v>-38.564285714285724</v>
      </c>
      <c r="P18" s="90">
        <v>14</v>
      </c>
      <c r="Q18" s="78">
        <v>-539.90000000000009</v>
      </c>
    </row>
    <row r="19" spans="1:17" x14ac:dyDescent="0.4">
      <c r="A19" s="32" t="s">
        <v>11</v>
      </c>
      <c r="B19" s="25">
        <v>29</v>
      </c>
      <c r="C19" s="18">
        <f>IF(B$17=0,0,B19/B$17)</f>
        <v>0.56862745098039214</v>
      </c>
      <c r="E19" s="40" t="s">
        <v>177</v>
      </c>
      <c r="F19" s="37" t="s">
        <v>178</v>
      </c>
      <c r="G19" s="25">
        <v>0</v>
      </c>
      <c r="H19" s="104">
        <f>IF(B$31=0,0,G19/B$31)</f>
        <v>0</v>
      </c>
      <c r="I19" s="65">
        <v>14</v>
      </c>
      <c r="K19" s="17">
        <v>17</v>
      </c>
      <c r="L19" s="70">
        <v>-445.20000000000005</v>
      </c>
      <c r="N19" s="86" t="s">
        <v>176</v>
      </c>
      <c r="O19" s="96">
        <f>IF(P19=0,0,Q19/P19)</f>
        <v>-41.385714285714293</v>
      </c>
      <c r="P19" s="90">
        <v>7</v>
      </c>
      <c r="Q19" s="78">
        <v>-289.70000000000005</v>
      </c>
    </row>
    <row r="20" spans="1:17" x14ac:dyDescent="0.4">
      <c r="A20" s="32" t="s">
        <v>13</v>
      </c>
      <c r="B20" s="25">
        <v>55</v>
      </c>
      <c r="C20" s="18">
        <f>IF(B$3=0,0,B20/B$3)</f>
        <v>0.2320675105485232</v>
      </c>
      <c r="E20" s="40" t="s">
        <v>74</v>
      </c>
      <c r="F20" s="37" t="s">
        <v>29</v>
      </c>
      <c r="G20" s="25">
        <v>0</v>
      </c>
      <c r="H20" s="104">
        <f>IF(B$31=0,0,G20/B$31)</f>
        <v>0</v>
      </c>
      <c r="I20" s="65">
        <v>10</v>
      </c>
      <c r="K20" s="17">
        <v>18</v>
      </c>
      <c r="L20" s="70">
        <v>-443.20000000000005</v>
      </c>
      <c r="N20" s="86" t="s">
        <v>128</v>
      </c>
      <c r="O20" s="96">
        <f>IF(P20=0,0,Q20/P20)</f>
        <v>-43.236363636363635</v>
      </c>
      <c r="P20" s="90">
        <v>11</v>
      </c>
      <c r="Q20" s="78">
        <v>-475.59999999999997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76</v>
      </c>
      <c r="F21" s="37" t="s">
        <v>31</v>
      </c>
      <c r="G21" s="25">
        <v>0</v>
      </c>
      <c r="H21" s="104">
        <f>IF(B$31=0,0,G21/B$31)</f>
        <v>0</v>
      </c>
      <c r="I21" s="65">
        <v>10</v>
      </c>
      <c r="K21" s="17">
        <v>19</v>
      </c>
      <c r="L21" s="70">
        <v>-443.70000000000005</v>
      </c>
      <c r="N21" s="86" t="s">
        <v>127</v>
      </c>
      <c r="O21" s="96">
        <f>IF(P21=0,0,Q21/P21)</f>
        <v>-47.199999999999996</v>
      </c>
      <c r="P21" s="90">
        <v>6</v>
      </c>
      <c r="Q21" s="78">
        <v>-283.2</v>
      </c>
    </row>
    <row r="22" spans="1:17" x14ac:dyDescent="0.4">
      <c r="A22" s="32" t="s">
        <v>166</v>
      </c>
      <c r="B22" s="25">
        <v>16</v>
      </c>
      <c r="C22" s="106">
        <v>0</v>
      </c>
      <c r="E22" s="40" t="s">
        <v>77</v>
      </c>
      <c r="F22" s="37" t="s">
        <v>32</v>
      </c>
      <c r="G22" s="25">
        <v>0</v>
      </c>
      <c r="H22" s="104">
        <f>IF(B$31=0,0,G22/B$31)</f>
        <v>0</v>
      </c>
      <c r="I22" s="65">
        <v>1</v>
      </c>
      <c r="K22" s="17">
        <v>20</v>
      </c>
      <c r="L22" s="70">
        <v>-467.6</v>
      </c>
      <c r="N22" s="86" t="s">
        <v>174</v>
      </c>
      <c r="O22" s="96">
        <f>IF(P22=0,0,Q22/P22)</f>
        <v>-62.833333333333336</v>
      </c>
      <c r="P22" s="90">
        <v>6</v>
      </c>
      <c r="Q22" s="78">
        <v>-377</v>
      </c>
    </row>
    <row r="23" spans="1:17" x14ac:dyDescent="0.4">
      <c r="A23" s="32" t="s">
        <v>5</v>
      </c>
      <c r="B23" s="29">
        <f>IF(B$17=0,0,C23/B$17)</f>
        <v>7245.0980392156862</v>
      </c>
      <c r="C23" s="20">
        <v>369500</v>
      </c>
      <c r="E23" s="40" t="s">
        <v>78</v>
      </c>
      <c r="F23" s="37" t="s">
        <v>33</v>
      </c>
      <c r="G23" s="25">
        <v>0</v>
      </c>
      <c r="H23" s="104">
        <f>IF(B$31=0,0,G23/B$31)</f>
        <v>0</v>
      </c>
      <c r="I23" s="65">
        <v>9</v>
      </c>
      <c r="K23" s="17">
        <v>21</v>
      </c>
      <c r="L23" s="70">
        <v>-469.5</v>
      </c>
    </row>
    <row r="24" spans="1:17" x14ac:dyDescent="0.4">
      <c r="A24" s="33" t="s">
        <v>189</v>
      </c>
      <c r="B24" s="111">
        <f>IF($B$17-B$16=0,0,C24/($B$17-B$16))</f>
        <v>8594.1176470588234</v>
      </c>
      <c r="C24" s="112">
        <v>292200</v>
      </c>
      <c r="E24" s="40" t="s">
        <v>80</v>
      </c>
      <c r="F24" s="37" t="s">
        <v>35</v>
      </c>
      <c r="G24" s="25">
        <v>0</v>
      </c>
      <c r="H24" s="104">
        <f>IF(B$31=0,0,G24/B$31)</f>
        <v>0</v>
      </c>
      <c r="I24" s="65">
        <v>13</v>
      </c>
      <c r="K24" s="17">
        <v>22</v>
      </c>
      <c r="L24" s="70">
        <v>-510.20000000000005</v>
      </c>
    </row>
    <row r="25" spans="1:17" x14ac:dyDescent="0.4">
      <c r="A25" s="33" t="s">
        <v>190</v>
      </c>
      <c r="B25" s="111">
        <f>IF(B$16=0,0,C25/B$16)</f>
        <v>4547.0588235294117</v>
      </c>
      <c r="C25" s="112">
        <v>77300</v>
      </c>
      <c r="E25" s="40" t="s">
        <v>81</v>
      </c>
      <c r="F25" s="37" t="s">
        <v>36</v>
      </c>
      <c r="G25" s="25">
        <v>0</v>
      </c>
      <c r="H25" s="104">
        <f>IF(B$31=0,0,G25/B$31)</f>
        <v>0</v>
      </c>
      <c r="I25" s="65">
        <v>3</v>
      </c>
      <c r="K25" s="17">
        <v>23</v>
      </c>
      <c r="L25" s="70">
        <v>-559.5</v>
      </c>
    </row>
    <row r="26" spans="1:17" x14ac:dyDescent="0.4">
      <c r="A26" s="32" t="s">
        <v>14</v>
      </c>
      <c r="B26" s="29">
        <f>IF(B$20=0,0,C26/B$20)</f>
        <v>-8360</v>
      </c>
      <c r="C26" s="20">
        <v>-459800</v>
      </c>
      <c r="E26" s="40" t="s">
        <v>83</v>
      </c>
      <c r="F26" s="37" t="s">
        <v>38</v>
      </c>
      <c r="G26" s="25">
        <v>0</v>
      </c>
      <c r="H26" s="104">
        <f>IF(B$31=0,0,G26/B$31)</f>
        <v>0</v>
      </c>
      <c r="I26" s="65">
        <v>1</v>
      </c>
      <c r="K26" s="17">
        <v>24</v>
      </c>
      <c r="L26" s="70">
        <v>-565.10000000000014</v>
      </c>
    </row>
    <row r="27" spans="1:17" x14ac:dyDescent="0.4">
      <c r="A27" s="61" t="s">
        <v>139</v>
      </c>
      <c r="B27" s="121">
        <v>6</v>
      </c>
      <c r="C27" s="122"/>
      <c r="E27" s="40" t="s">
        <v>85</v>
      </c>
      <c r="F27" s="37" t="s">
        <v>40</v>
      </c>
      <c r="G27" s="25">
        <v>0</v>
      </c>
      <c r="H27" s="104">
        <f>IF(B$31=0,0,G27/B$31)</f>
        <v>0</v>
      </c>
      <c r="I27" s="65">
        <v>6</v>
      </c>
      <c r="K27" s="17">
        <v>25</v>
      </c>
      <c r="L27" s="70">
        <v>-612.90000000000009</v>
      </c>
    </row>
    <row r="28" spans="1:17" x14ac:dyDescent="0.4">
      <c r="A28" s="35" t="s">
        <v>146</v>
      </c>
      <c r="B28" s="119">
        <v>85100</v>
      </c>
      <c r="C28" s="120"/>
      <c r="E28" s="40" t="s">
        <v>86</v>
      </c>
      <c r="F28" s="37" t="s">
        <v>41</v>
      </c>
      <c r="G28" s="25">
        <v>0</v>
      </c>
      <c r="H28" s="104">
        <f>IF(B$31=0,0,G28/B$31)</f>
        <v>0</v>
      </c>
      <c r="I28" s="65">
        <v>8</v>
      </c>
      <c r="K28" s="17">
        <v>26</v>
      </c>
      <c r="L28" s="70">
        <v>-645.20000000000005</v>
      </c>
    </row>
    <row r="29" spans="1:17" x14ac:dyDescent="0.4">
      <c r="A29" s="34" t="s">
        <v>140</v>
      </c>
      <c r="B29" s="42">
        <v>2</v>
      </c>
      <c r="C29" s="21">
        <f>IF(B$3=0,0,B29/B$3)</f>
        <v>8.4388185654008432E-3</v>
      </c>
      <c r="E29" s="40" t="s">
        <v>88</v>
      </c>
      <c r="F29" s="37" t="s">
        <v>43</v>
      </c>
      <c r="G29" s="25">
        <v>0</v>
      </c>
      <c r="H29" s="104">
        <f>IF(B$31=0,0,G29/B$31)</f>
        <v>0</v>
      </c>
      <c r="I29" s="65">
        <v>8</v>
      </c>
      <c r="K29" s="17">
        <v>27</v>
      </c>
      <c r="L29" s="70">
        <v>-648.10000000000014</v>
      </c>
    </row>
    <row r="30" spans="1:17" x14ac:dyDescent="0.4">
      <c r="A30" s="31" t="s">
        <v>179</v>
      </c>
      <c r="B30" s="115">
        <v>237</v>
      </c>
      <c r="C30" s="116"/>
      <c r="E30" s="40" t="s">
        <v>89</v>
      </c>
      <c r="F30" s="37" t="s">
        <v>44</v>
      </c>
      <c r="G30" s="25">
        <v>0</v>
      </c>
      <c r="H30" s="104">
        <f>IF(B$31=0,0,G30/B$31)</f>
        <v>0</v>
      </c>
      <c r="I30" s="65">
        <v>6</v>
      </c>
      <c r="K30" s="17">
        <v>28</v>
      </c>
      <c r="L30" s="70">
        <v>-693.2</v>
      </c>
    </row>
    <row r="31" spans="1:17" x14ac:dyDescent="0.4">
      <c r="A31" s="34" t="s">
        <v>180</v>
      </c>
      <c r="B31" s="117">
        <v>51</v>
      </c>
      <c r="C31" s="118"/>
      <c r="E31" s="40" t="s">
        <v>91</v>
      </c>
      <c r="F31" s="37" t="s">
        <v>46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-720.7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2BD0-C2D6-48B5-972A-8B21786F6690}">
  <sheetPr codeName="Sheet20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187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4</v>
      </c>
      <c r="C2" s="116"/>
      <c r="E2" s="39" t="s">
        <v>73</v>
      </c>
      <c r="F2" s="36" t="s">
        <v>28</v>
      </c>
      <c r="G2" s="24">
        <v>7</v>
      </c>
      <c r="H2" s="103">
        <f>IF(B$31=0,0,G2/B$31)</f>
        <v>0.7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2675</v>
      </c>
      <c r="P2" s="89">
        <v>4</v>
      </c>
      <c r="Q2" s="73">
        <v>10700</v>
      </c>
    </row>
    <row r="3" spans="1:17" x14ac:dyDescent="0.4">
      <c r="A3" s="32" t="s">
        <v>8</v>
      </c>
      <c r="B3" s="127">
        <v>32</v>
      </c>
      <c r="C3" s="128"/>
      <c r="E3" s="40" t="s">
        <v>65</v>
      </c>
      <c r="F3" s="37" t="s">
        <v>21</v>
      </c>
      <c r="G3" s="25">
        <v>4</v>
      </c>
      <c r="H3" s="104">
        <f>IF(B$31=0,0,G3/B$31)</f>
        <v>0.4</v>
      </c>
      <c r="I3" s="65">
        <v>16</v>
      </c>
      <c r="K3" s="17">
        <v>1</v>
      </c>
      <c r="L3" s="70">
        <v>-57.7</v>
      </c>
      <c r="N3" s="86" t="s">
        <v>130</v>
      </c>
      <c r="O3" s="93">
        <f t="shared" ref="O3:O7" si="0">IF(P3=0,0,Q3/P3)</f>
        <v>-7300</v>
      </c>
      <c r="P3" s="90">
        <v>4</v>
      </c>
      <c r="Q3" s="74">
        <v>-29200</v>
      </c>
    </row>
    <row r="4" spans="1:17" x14ac:dyDescent="0.4">
      <c r="A4" s="32" t="s">
        <v>6</v>
      </c>
      <c r="B4" s="129">
        <v>-56.2</v>
      </c>
      <c r="C4" s="130"/>
      <c r="E4" s="40" t="s">
        <v>67</v>
      </c>
      <c r="F4" s="37" t="s">
        <v>23</v>
      </c>
      <c r="G4" s="25">
        <v>2</v>
      </c>
      <c r="H4" s="104">
        <f>IF(B$31=0,0,G4/B$31)</f>
        <v>0.2</v>
      </c>
      <c r="I4" s="65">
        <v>16</v>
      </c>
      <c r="K4" s="17">
        <v>2</v>
      </c>
      <c r="L4" s="70">
        <v>-94.5</v>
      </c>
      <c r="N4" s="86" t="s">
        <v>131</v>
      </c>
      <c r="O4" s="93">
        <f t="shared" si="0"/>
        <v>-100</v>
      </c>
      <c r="P4" s="90">
        <v>4</v>
      </c>
      <c r="Q4" s="74">
        <v>-400</v>
      </c>
    </row>
    <row r="5" spans="1:17" x14ac:dyDescent="0.4">
      <c r="A5" s="32" t="s">
        <v>7</v>
      </c>
      <c r="B5" s="131">
        <f>IF(B$2=0,0,B$4/B$2)</f>
        <v>-14.05</v>
      </c>
      <c r="C5" s="132"/>
      <c r="E5" s="40" t="s">
        <v>167</v>
      </c>
      <c r="F5" s="37" t="s">
        <v>168</v>
      </c>
      <c r="G5" s="25">
        <v>2</v>
      </c>
      <c r="H5" s="104">
        <f>IF(B$31=0,0,G5/B$31)</f>
        <v>0.2</v>
      </c>
      <c r="I5" s="65">
        <v>12</v>
      </c>
      <c r="K5" s="17">
        <v>3</v>
      </c>
      <c r="L5" s="70">
        <v>-96.4</v>
      </c>
      <c r="N5" s="86" t="s">
        <v>132</v>
      </c>
      <c r="O5" s="93">
        <f t="shared" si="0"/>
        <v>3025</v>
      </c>
      <c r="P5" s="90">
        <v>4</v>
      </c>
      <c r="Q5" s="74">
        <v>12100</v>
      </c>
    </row>
    <row r="6" spans="1:17" x14ac:dyDescent="0.4">
      <c r="A6" s="32" t="s">
        <v>1</v>
      </c>
      <c r="B6" s="123">
        <f>IF(B$2=0,0,(B$7*1+B$8*2+B$9*3)/B$2)</f>
        <v>2.25</v>
      </c>
      <c r="C6" s="124"/>
      <c r="E6" s="40" t="s">
        <v>66</v>
      </c>
      <c r="F6" s="37" t="s">
        <v>22</v>
      </c>
      <c r="G6" s="25">
        <v>1</v>
      </c>
      <c r="H6" s="104">
        <f>IF(B$31=0,0,G6/B$31)</f>
        <v>0.1</v>
      </c>
      <c r="I6" s="65">
        <v>10</v>
      </c>
      <c r="K6" s="17">
        <v>4</v>
      </c>
      <c r="L6" s="70">
        <v>-56.2</v>
      </c>
      <c r="N6" s="86" t="s">
        <v>133</v>
      </c>
      <c r="O6" s="93">
        <f t="shared" si="0"/>
        <v>-6000</v>
      </c>
      <c r="P6" s="90">
        <v>3</v>
      </c>
      <c r="Q6" s="74">
        <v>-18000</v>
      </c>
    </row>
    <row r="7" spans="1:17" x14ac:dyDescent="0.4">
      <c r="A7" s="32" t="s">
        <v>2</v>
      </c>
      <c r="B7" s="25">
        <v>1</v>
      </c>
      <c r="C7" s="18">
        <f>IF(B$2=0,0,B7/B$2)</f>
        <v>0.25</v>
      </c>
      <c r="E7" s="40" t="s">
        <v>68</v>
      </c>
      <c r="F7" s="37" t="s">
        <v>24</v>
      </c>
      <c r="G7" s="25">
        <v>1</v>
      </c>
      <c r="H7" s="104">
        <f>IF(B$31=0,0,G7/B$31)</f>
        <v>0.1</v>
      </c>
      <c r="I7" s="65">
        <v>17</v>
      </c>
      <c r="N7" s="87" t="s">
        <v>134</v>
      </c>
      <c r="O7" s="94">
        <f t="shared" si="0"/>
        <v>-5833.333333333333</v>
      </c>
      <c r="P7" s="91">
        <v>3</v>
      </c>
      <c r="Q7" s="75">
        <v>-17500</v>
      </c>
    </row>
    <row r="8" spans="1:17" x14ac:dyDescent="0.4">
      <c r="A8" s="32" t="s">
        <v>3</v>
      </c>
      <c r="B8" s="25">
        <v>1</v>
      </c>
      <c r="C8" s="18">
        <f>IF(B$2=0,0,B8/B$2)</f>
        <v>0.25</v>
      </c>
      <c r="E8" s="40" t="s">
        <v>69</v>
      </c>
      <c r="F8" s="37" t="s">
        <v>12</v>
      </c>
      <c r="G8" s="25">
        <v>1</v>
      </c>
      <c r="H8" s="104">
        <f>IF(B$31=0,0,G8/B$31)</f>
        <v>0.1</v>
      </c>
      <c r="I8" s="65">
        <v>17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0.5</v>
      </c>
      <c r="E9" s="40" t="s">
        <v>70</v>
      </c>
      <c r="F9" s="37" t="s">
        <v>25</v>
      </c>
      <c r="G9" s="25">
        <v>1</v>
      </c>
      <c r="H9" s="104">
        <f>IF(B$31=0,0,G9/B$31)</f>
        <v>0.1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</v>
      </c>
      <c r="C10" s="19">
        <f>IF(B$2=0,0,B10/B$2)</f>
        <v>0.25</v>
      </c>
      <c r="E10" s="40" t="s">
        <v>82</v>
      </c>
      <c r="F10" s="37" t="s">
        <v>37</v>
      </c>
      <c r="G10" s="25">
        <v>1</v>
      </c>
      <c r="H10" s="104">
        <f>IF(B$31=0,0,G10/B$31)</f>
        <v>0.1</v>
      </c>
      <c r="I10" s="65">
        <v>2</v>
      </c>
      <c r="N10" s="85" t="s">
        <v>158</v>
      </c>
      <c r="O10" s="95">
        <f>IF(P10=0,0,Q10/P10)</f>
        <v>-57.7</v>
      </c>
      <c r="P10" s="89">
        <v>1</v>
      </c>
      <c r="Q10" s="77">
        <v>-57.7</v>
      </c>
    </row>
    <row r="11" spans="1:17" x14ac:dyDescent="0.4">
      <c r="A11" s="33" t="s">
        <v>137</v>
      </c>
      <c r="B11" s="26">
        <v>1</v>
      </c>
      <c r="C11" s="19">
        <f>IF(B$2=0,0,B11/B$2)</f>
        <v>0.25</v>
      </c>
      <c r="E11" s="40" t="s">
        <v>84</v>
      </c>
      <c r="F11" s="37" t="s">
        <v>39</v>
      </c>
      <c r="G11" s="25">
        <v>1</v>
      </c>
      <c r="H11" s="104">
        <f>IF(B$31=0,0,G11/B$31)</f>
        <v>0.1</v>
      </c>
      <c r="I11" s="65">
        <v>3</v>
      </c>
      <c r="N11" s="86" t="s">
        <v>159</v>
      </c>
      <c r="O11" s="96">
        <f>IF(P11=0,0,Q11/P11)</f>
        <v>0.50000000000000233</v>
      </c>
      <c r="P11" s="90">
        <v>3</v>
      </c>
      <c r="Q11" s="78">
        <v>1.5000000000000071</v>
      </c>
    </row>
    <row r="12" spans="1:17" x14ac:dyDescent="0.4">
      <c r="A12" s="34" t="s">
        <v>154</v>
      </c>
      <c r="B12" s="27">
        <v>1</v>
      </c>
      <c r="C12" s="21">
        <f>IF(B$2=0,0,B12/B$2)</f>
        <v>0.25</v>
      </c>
      <c r="E12" s="40" t="s">
        <v>87</v>
      </c>
      <c r="F12" s="37" t="s">
        <v>42</v>
      </c>
      <c r="G12" s="25">
        <v>1</v>
      </c>
      <c r="H12" s="104">
        <f>IF(B$31=0,0,G12/B$31)</f>
        <v>0.1</v>
      </c>
      <c r="I12" s="65">
        <v>4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7</v>
      </c>
      <c r="C13" s="23">
        <f>IF(B$30=0,0,B13/B$30)</f>
        <v>0.21875</v>
      </c>
      <c r="E13" s="40" t="s">
        <v>90</v>
      </c>
      <c r="F13" s="37" t="s">
        <v>45</v>
      </c>
      <c r="G13" s="25">
        <v>1</v>
      </c>
      <c r="H13" s="104">
        <f>IF(B$31=0,0,G13/B$31)</f>
        <v>0.1</v>
      </c>
      <c r="I13" s="65">
        <v>12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12</v>
      </c>
      <c r="C14" s="18">
        <f>IF(B$30=0,0,B14/B$30)</f>
        <v>0.375</v>
      </c>
      <c r="E14" s="40" t="s">
        <v>177</v>
      </c>
      <c r="F14" s="37" t="s">
        <v>178</v>
      </c>
      <c r="G14" s="25">
        <v>0</v>
      </c>
      <c r="H14" s="104">
        <f>IF(B$31=0,0,G14/B$31)</f>
        <v>0</v>
      </c>
      <c r="I14" s="65">
        <v>14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</v>
      </c>
      <c r="C15" s="16">
        <f>IF(B$13=0,0,B15/B$13)</f>
        <v>0.42857142857142855</v>
      </c>
      <c r="E15" s="40" t="s">
        <v>71</v>
      </c>
      <c r="F15" s="37" t="s">
        <v>26</v>
      </c>
      <c r="G15" s="25">
        <v>0</v>
      </c>
      <c r="H15" s="104">
        <f>IF(B$31=0,0,G15/B$31)</f>
        <v>0</v>
      </c>
      <c r="I15" s="65">
        <v>14</v>
      </c>
      <c r="N15" s="85" t="s">
        <v>128</v>
      </c>
      <c r="O15" s="95">
        <f>IF(P15=0,0,Q15/P15)</f>
        <v>-5.75</v>
      </c>
      <c r="P15" s="89">
        <v>4</v>
      </c>
      <c r="Q15" s="77">
        <v>-23</v>
      </c>
    </row>
    <row r="16" spans="1:17" x14ac:dyDescent="0.4">
      <c r="A16" s="31" t="s">
        <v>125</v>
      </c>
      <c r="B16" s="24">
        <v>3</v>
      </c>
      <c r="C16" s="16">
        <f>IF(B$14=0,0,B16/B$14)</f>
        <v>0.25</v>
      </c>
      <c r="E16" s="40" t="s">
        <v>72</v>
      </c>
      <c r="F16" s="37" t="s">
        <v>27</v>
      </c>
      <c r="G16" s="25">
        <v>0</v>
      </c>
      <c r="H16" s="104">
        <f>IF(B$31=0,0,G16/B$31)</f>
        <v>0</v>
      </c>
      <c r="I16" s="65">
        <v>15</v>
      </c>
      <c r="N16" s="86" t="s">
        <v>172</v>
      </c>
      <c r="O16" s="96">
        <f>IF(P16=0,0,Q16/P16)</f>
        <v>-36.400000000000006</v>
      </c>
      <c r="P16" s="90">
        <v>4</v>
      </c>
      <c r="Q16" s="78">
        <v>-145.60000000000002</v>
      </c>
    </row>
    <row r="17" spans="1:9" x14ac:dyDescent="0.4">
      <c r="A17" s="31" t="s">
        <v>10</v>
      </c>
      <c r="B17" s="24">
        <f>B19+B18</f>
        <v>10</v>
      </c>
      <c r="C17" s="16">
        <f>IF(B$3=0,0,B17/B$3)</f>
        <v>0.3125</v>
      </c>
      <c r="E17" s="40" t="s">
        <v>74</v>
      </c>
      <c r="F17" s="37" t="s">
        <v>29</v>
      </c>
      <c r="G17" s="25">
        <v>0</v>
      </c>
      <c r="H17" s="104">
        <f>IF(B$31=0,0,G17/B$31)</f>
        <v>0</v>
      </c>
      <c r="I17" s="65">
        <v>10</v>
      </c>
    </row>
    <row r="18" spans="1:9" x14ac:dyDescent="0.4">
      <c r="A18" s="32" t="s">
        <v>12</v>
      </c>
      <c r="B18" s="25">
        <v>3</v>
      </c>
      <c r="C18" s="18">
        <f>IF(B$17=0,0,B18/B$17)</f>
        <v>0.3</v>
      </c>
      <c r="E18" s="40" t="s">
        <v>75</v>
      </c>
      <c r="F18" s="37" t="s">
        <v>30</v>
      </c>
      <c r="G18" s="25">
        <v>0</v>
      </c>
      <c r="H18" s="104">
        <f>IF(B$31=0,0,G18/B$31)</f>
        <v>0</v>
      </c>
      <c r="I18" s="65">
        <v>10</v>
      </c>
    </row>
    <row r="19" spans="1:9" x14ac:dyDescent="0.4">
      <c r="A19" s="32" t="s">
        <v>11</v>
      </c>
      <c r="B19" s="25">
        <v>7</v>
      </c>
      <c r="C19" s="18">
        <f>IF(B$17=0,0,B19/B$17)</f>
        <v>0.7</v>
      </c>
      <c r="E19" s="40" t="s">
        <v>76</v>
      </c>
      <c r="F19" s="37" t="s">
        <v>31</v>
      </c>
      <c r="G19" s="25">
        <v>0</v>
      </c>
      <c r="H19" s="104">
        <f>IF(B$31=0,0,G19/B$31)</f>
        <v>0</v>
      </c>
      <c r="I19" s="65">
        <v>10</v>
      </c>
    </row>
    <row r="20" spans="1:9" x14ac:dyDescent="0.4">
      <c r="A20" s="32" t="s">
        <v>13</v>
      </c>
      <c r="B20" s="25">
        <v>5</v>
      </c>
      <c r="C20" s="18">
        <f>IF(B$3=0,0,B20/B$3)</f>
        <v>0.15625</v>
      </c>
      <c r="E20" s="40" t="s">
        <v>77</v>
      </c>
      <c r="F20" s="37" t="s">
        <v>32</v>
      </c>
      <c r="G20" s="25">
        <v>0</v>
      </c>
      <c r="H20" s="104">
        <f>IF(B$31=0,0,G20/B$31)</f>
        <v>0</v>
      </c>
      <c r="I20" s="65">
        <v>1</v>
      </c>
    </row>
    <row r="21" spans="1:9" x14ac:dyDescent="0.4">
      <c r="A21" s="32" t="s">
        <v>165</v>
      </c>
      <c r="B21" s="25">
        <v>4</v>
      </c>
      <c r="C21" s="106">
        <v>0</v>
      </c>
      <c r="E21" s="40" t="s">
        <v>78</v>
      </c>
      <c r="F21" s="37" t="s">
        <v>33</v>
      </c>
      <c r="G21" s="25">
        <v>0</v>
      </c>
      <c r="H21" s="104">
        <f>IF(B$31=0,0,G21/B$31)</f>
        <v>0</v>
      </c>
      <c r="I21" s="65">
        <v>9</v>
      </c>
    </row>
    <row r="22" spans="1:9" x14ac:dyDescent="0.4">
      <c r="A22" s="32" t="s">
        <v>166</v>
      </c>
      <c r="B22" s="25">
        <v>12</v>
      </c>
      <c r="C22" s="106">
        <v>0</v>
      </c>
      <c r="E22" s="40" t="s">
        <v>79</v>
      </c>
      <c r="F22" s="37" t="s">
        <v>34</v>
      </c>
      <c r="G22" s="25">
        <v>0</v>
      </c>
      <c r="H22" s="104">
        <f>IF(B$31=0,0,G22/B$31)</f>
        <v>0</v>
      </c>
      <c r="I22" s="65">
        <v>13</v>
      </c>
    </row>
    <row r="23" spans="1:9" x14ac:dyDescent="0.4">
      <c r="A23" s="32" t="s">
        <v>5</v>
      </c>
      <c r="B23" s="29">
        <f>IF(B$17=0,0,C23/B$17)</f>
        <v>4940</v>
      </c>
      <c r="C23" s="20">
        <v>49400</v>
      </c>
      <c r="E23" s="40" t="s">
        <v>80</v>
      </c>
      <c r="F23" s="37" t="s">
        <v>35</v>
      </c>
      <c r="G23" s="25">
        <v>0</v>
      </c>
      <c r="H23" s="104">
        <f>IF(B$31=0,0,G23/B$31)</f>
        <v>0</v>
      </c>
      <c r="I23" s="65">
        <v>13</v>
      </c>
    </row>
    <row r="24" spans="1:9" x14ac:dyDescent="0.4">
      <c r="A24" s="33" t="s">
        <v>189</v>
      </c>
      <c r="B24" s="111">
        <f>IF($B$17-B$16=0,0,C24/($B$17-B$16))</f>
        <v>5471.4285714285716</v>
      </c>
      <c r="C24" s="112">
        <v>38300</v>
      </c>
      <c r="E24" s="40" t="s">
        <v>81</v>
      </c>
      <c r="F24" s="37" t="s">
        <v>36</v>
      </c>
      <c r="G24" s="25">
        <v>0</v>
      </c>
      <c r="H24" s="104">
        <f>IF(B$31=0,0,G24/B$31)</f>
        <v>0</v>
      </c>
      <c r="I24" s="65">
        <v>3</v>
      </c>
    </row>
    <row r="25" spans="1:9" x14ac:dyDescent="0.4">
      <c r="A25" s="33" t="s">
        <v>190</v>
      </c>
      <c r="B25" s="111">
        <f>IF(B$16=0,0,C25/B$16)</f>
        <v>3700</v>
      </c>
      <c r="C25" s="112">
        <v>11100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</row>
    <row r="26" spans="1:9" x14ac:dyDescent="0.4">
      <c r="A26" s="32" t="s">
        <v>14</v>
      </c>
      <c r="B26" s="29">
        <f>IF(B$20=0,0,C26/B$20)</f>
        <v>-11280</v>
      </c>
      <c r="C26" s="20">
        <v>-56400</v>
      </c>
      <c r="E26" s="40" t="s">
        <v>85</v>
      </c>
      <c r="F26" s="37" t="s">
        <v>40</v>
      </c>
      <c r="G26" s="25">
        <v>0</v>
      </c>
      <c r="H26" s="104">
        <f>IF(B$31=0,0,G26/B$31)</f>
        <v>0</v>
      </c>
      <c r="I26" s="65">
        <v>6</v>
      </c>
    </row>
    <row r="27" spans="1:9" x14ac:dyDescent="0.4">
      <c r="A27" s="61" t="s">
        <v>139</v>
      </c>
      <c r="B27" s="121">
        <v>2</v>
      </c>
      <c r="C27" s="122"/>
      <c r="E27" s="40" t="s">
        <v>86</v>
      </c>
      <c r="F27" s="37" t="s">
        <v>41</v>
      </c>
      <c r="G27" s="25">
        <v>0</v>
      </c>
      <c r="H27" s="104">
        <f>IF(B$31=0,0,G27/B$31)</f>
        <v>0</v>
      </c>
      <c r="I27" s="65">
        <v>8</v>
      </c>
    </row>
    <row r="28" spans="1:9" x14ac:dyDescent="0.4">
      <c r="A28" s="35" t="s">
        <v>146</v>
      </c>
      <c r="B28" s="119">
        <v>55200</v>
      </c>
      <c r="C28" s="120"/>
      <c r="E28" s="40" t="s">
        <v>88</v>
      </c>
      <c r="F28" s="37" t="s">
        <v>43</v>
      </c>
      <c r="G28" s="25">
        <v>0</v>
      </c>
      <c r="H28" s="104">
        <f>IF(B$31=0,0,G28/B$31)</f>
        <v>0</v>
      </c>
      <c r="I28" s="65">
        <v>8</v>
      </c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89</v>
      </c>
      <c r="F29" s="37" t="s">
        <v>44</v>
      </c>
      <c r="G29" s="25">
        <v>0</v>
      </c>
      <c r="H29" s="104">
        <f>IF(B$31=0,0,G29/B$31)</f>
        <v>0</v>
      </c>
      <c r="I29" s="65">
        <v>6</v>
      </c>
    </row>
    <row r="30" spans="1:9" x14ac:dyDescent="0.4">
      <c r="A30" s="31" t="s">
        <v>179</v>
      </c>
      <c r="B30" s="115">
        <v>32</v>
      </c>
      <c r="C30" s="116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</row>
    <row r="31" spans="1:9" x14ac:dyDescent="0.4">
      <c r="A31" s="34" t="s">
        <v>180</v>
      </c>
      <c r="B31" s="117">
        <v>10</v>
      </c>
      <c r="C31" s="118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9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2019-10-15T08:33:43Z</dcterms:modified>
</cp:coreProperties>
</file>