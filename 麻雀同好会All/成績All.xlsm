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4DE3321E-BB52-4ED6-BB0D-55A9336005B5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419" r:id="rId4"/>
    <sheet name="だいち" sheetId="3420" r:id="rId5"/>
    <sheet name="かこたろう" sheetId="3421" r:id="rId6"/>
    <sheet name="ともき" sheetId="3422" r:id="rId7"/>
    <sheet name="りくと" sheetId="3423" r:id="rId8"/>
    <sheet name="いっしー" sheetId="3424" r:id="rId9"/>
    <sheet name="がくと" sheetId="3425" r:id="rId10"/>
    <sheet name="たかの" sheetId="3426" r:id="rId11"/>
    <sheet name="ただ" sheetId="3427" r:id="rId12"/>
    <sheet name="やがさき" sheetId="3428" r:id="rId13"/>
    <sheet name="れんたろう" sheetId="3429" r:id="rId14"/>
    <sheet name="あさひ" sheetId="3430" r:id="rId15"/>
    <sheet name="まっつん" sheetId="3431" r:id="rId16"/>
    <sheet name="ぱぱ" sheetId="3432" r:id="rId17"/>
    <sheet name="ほたに" sheetId="3433" r:id="rId18"/>
    <sheet name="かわたつ" sheetId="3434" r:id="rId19"/>
    <sheet name="のり" sheetId="3435" r:id="rId20"/>
    <sheet name="ちさと" sheetId="3436" r:id="rId21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424" l="1"/>
  <c r="O19" i="3435"/>
  <c r="O18" i="3435"/>
  <c r="O17" i="3435"/>
  <c r="O16" i="3435"/>
  <c r="O15" i="3435"/>
  <c r="O17" i="3429"/>
  <c r="O16" i="3423"/>
  <c r="O20" i="3420"/>
  <c r="O24" i="3426"/>
  <c r="O16" i="3436"/>
  <c r="O15" i="3436"/>
  <c r="H52" i="3436"/>
  <c r="H5" i="3436"/>
  <c r="H51" i="3436"/>
  <c r="H50" i="3436"/>
  <c r="H49" i="3436"/>
  <c r="H48" i="3436"/>
  <c r="H47" i="3436"/>
  <c r="H46" i="3436"/>
  <c r="H45" i="3436"/>
  <c r="C44" i="3436"/>
  <c r="H44" i="3436"/>
  <c r="C43" i="3436"/>
  <c r="H43" i="3436"/>
  <c r="C42" i="3436"/>
  <c r="H42" i="3436"/>
  <c r="C41" i="3436"/>
  <c r="H41" i="3436"/>
  <c r="C40" i="3436"/>
  <c r="H40" i="3436"/>
  <c r="C39" i="3436"/>
  <c r="H39" i="3436"/>
  <c r="C38" i="3436"/>
  <c r="H38" i="3436"/>
  <c r="C37" i="3436"/>
  <c r="H37" i="3436"/>
  <c r="C36" i="3436"/>
  <c r="H36" i="3436"/>
  <c r="C35" i="3436"/>
  <c r="H35" i="3436"/>
  <c r="C34" i="3436"/>
  <c r="H34" i="3436"/>
  <c r="C33" i="3436"/>
  <c r="H33" i="3436"/>
  <c r="C32" i="3436"/>
  <c r="H32" i="3436"/>
  <c r="H31" i="3436"/>
  <c r="C30" i="3436"/>
  <c r="H30" i="3436"/>
  <c r="H29" i="3436"/>
  <c r="H13" i="3436"/>
  <c r="H28" i="3436"/>
  <c r="H27" i="3436"/>
  <c r="B25" i="3436"/>
  <c r="H12" i="3436"/>
  <c r="B24" i="3436"/>
  <c r="H26" i="3436"/>
  <c r="B23" i="3436"/>
  <c r="H25" i="3436"/>
  <c r="B22" i="3436"/>
  <c r="H11" i="3436"/>
  <c r="C21" i="3436"/>
  <c r="H24" i="3436"/>
  <c r="C20" i="3436"/>
  <c r="H10" i="3436"/>
  <c r="C19" i="3436"/>
  <c r="H23" i="3436"/>
  <c r="C18" i="3436"/>
  <c r="H22" i="3436"/>
  <c r="C17" i="3436"/>
  <c r="H21" i="3436"/>
  <c r="C16" i="3436"/>
  <c r="H20" i="3436"/>
  <c r="C15" i="3436"/>
  <c r="H19" i="3436"/>
  <c r="C14" i="3436"/>
  <c r="H18" i="3436"/>
  <c r="C13" i="3436"/>
  <c r="O12" i="3436"/>
  <c r="H17" i="3436"/>
  <c r="C12" i="3436"/>
  <c r="O11" i="3436"/>
  <c r="H16" i="3436"/>
  <c r="C11" i="3436"/>
  <c r="O10" i="3436"/>
  <c r="H2" i="3436"/>
  <c r="C10" i="3436"/>
  <c r="H15" i="3436"/>
  <c r="C9" i="3436"/>
  <c r="H14" i="3436"/>
  <c r="C8" i="3436"/>
  <c r="O7" i="3436"/>
  <c r="H9" i="3436"/>
  <c r="C7" i="3436"/>
  <c r="O6" i="3436"/>
  <c r="H8" i="3436"/>
  <c r="B6" i="3436"/>
  <c r="O5" i="3436"/>
  <c r="H7" i="3436"/>
  <c r="B5" i="3436"/>
  <c r="O4" i="3436"/>
  <c r="H4" i="3436"/>
  <c r="O3" i="3436"/>
  <c r="H6" i="3436"/>
  <c r="O2" i="3436"/>
  <c r="H3" i="3436"/>
  <c r="O23" i="3435"/>
  <c r="O21" i="3435"/>
  <c r="O20" i="3435"/>
  <c r="O22" i="3435"/>
  <c r="H52" i="3435"/>
  <c r="H5" i="3435"/>
  <c r="H51" i="3435"/>
  <c r="H50" i="3435"/>
  <c r="H49" i="3435"/>
  <c r="H48" i="3435"/>
  <c r="H47" i="3435"/>
  <c r="H46" i="3435"/>
  <c r="H45" i="3435"/>
  <c r="C44" i="3435"/>
  <c r="H44" i="3435"/>
  <c r="C43" i="3435"/>
  <c r="H43" i="3435"/>
  <c r="C42" i="3435"/>
  <c r="H42" i="3435"/>
  <c r="C41" i="3435"/>
  <c r="H41" i="3435"/>
  <c r="C40" i="3435"/>
  <c r="H40" i="3435"/>
  <c r="C39" i="3435"/>
  <c r="H39" i="3435"/>
  <c r="C38" i="3435"/>
  <c r="H38" i="3435"/>
  <c r="C37" i="3435"/>
  <c r="H37" i="3435"/>
  <c r="C36" i="3435"/>
  <c r="H36" i="3435"/>
  <c r="C35" i="3435"/>
  <c r="H35" i="3435"/>
  <c r="C34" i="3435"/>
  <c r="H19" i="3435"/>
  <c r="C33" i="3435"/>
  <c r="H34" i="3435"/>
  <c r="C32" i="3435"/>
  <c r="H33" i="3435"/>
  <c r="H32" i="3435"/>
  <c r="C30" i="3435"/>
  <c r="H17" i="3435"/>
  <c r="H31" i="3435"/>
  <c r="H8" i="3435"/>
  <c r="H30" i="3435"/>
  <c r="H29" i="3435"/>
  <c r="B25" i="3435"/>
  <c r="H13" i="3435"/>
  <c r="B24" i="3435"/>
  <c r="H28" i="3435"/>
  <c r="B23" i="3435"/>
  <c r="H27" i="3435"/>
  <c r="B22" i="3435"/>
  <c r="H14" i="3435"/>
  <c r="C21" i="3435"/>
  <c r="H26" i="3435"/>
  <c r="C20" i="3435"/>
  <c r="H16" i="3435"/>
  <c r="C19" i="3435"/>
  <c r="H25" i="3435"/>
  <c r="C18" i="3435"/>
  <c r="H24" i="3435"/>
  <c r="C17" i="3435"/>
  <c r="H15" i="3435"/>
  <c r="C16" i="3435"/>
  <c r="H23" i="3435"/>
  <c r="C15" i="3435"/>
  <c r="H22" i="3435"/>
  <c r="C14" i="3435"/>
  <c r="H21" i="3435"/>
  <c r="C13" i="3435"/>
  <c r="O12" i="3435"/>
  <c r="H18" i="3435"/>
  <c r="C12" i="3435"/>
  <c r="O11" i="3435"/>
  <c r="H20" i="3435"/>
  <c r="C11" i="3435"/>
  <c r="O10" i="3435"/>
  <c r="H3" i="3435"/>
  <c r="C10" i="3435"/>
  <c r="H12" i="3435"/>
  <c r="C9" i="3435"/>
  <c r="H10" i="3435"/>
  <c r="C8" i="3435"/>
  <c r="O7" i="3435"/>
  <c r="H11" i="3435"/>
  <c r="C7" i="3435"/>
  <c r="O6" i="3435"/>
  <c r="H6" i="3435"/>
  <c r="B6" i="3435"/>
  <c r="O5" i="3435"/>
  <c r="H7" i="3435"/>
  <c r="B5" i="3435"/>
  <c r="O4" i="3435"/>
  <c r="H2" i="3435"/>
  <c r="O3" i="3435"/>
  <c r="H9" i="3435"/>
  <c r="O2" i="3435"/>
  <c r="H4" i="3435"/>
  <c r="O16" i="3434"/>
  <c r="O15" i="3434"/>
  <c r="H52" i="3434"/>
  <c r="H7" i="3434"/>
  <c r="H51" i="3434"/>
  <c r="H50" i="3434"/>
  <c r="H49" i="3434"/>
  <c r="H48" i="3434"/>
  <c r="H47" i="3434"/>
  <c r="H46" i="3434"/>
  <c r="H45" i="3434"/>
  <c r="C44" i="3434"/>
  <c r="H44" i="3434"/>
  <c r="C43" i="3434"/>
  <c r="H43" i="3434"/>
  <c r="C42" i="3434"/>
  <c r="H42" i="3434"/>
  <c r="C41" i="3434"/>
  <c r="H41" i="3434"/>
  <c r="C40" i="3434"/>
  <c r="H40" i="3434"/>
  <c r="C39" i="3434"/>
  <c r="H39" i="3434"/>
  <c r="C38" i="3434"/>
  <c r="H38" i="3434"/>
  <c r="C37" i="3434"/>
  <c r="H37" i="3434"/>
  <c r="C36" i="3434"/>
  <c r="H36" i="3434"/>
  <c r="C35" i="3434"/>
  <c r="H35" i="3434"/>
  <c r="C34" i="3434"/>
  <c r="H34" i="3434"/>
  <c r="C33" i="3434"/>
  <c r="H33" i="3434"/>
  <c r="C32" i="3434"/>
  <c r="H32" i="3434"/>
  <c r="H31" i="3434"/>
  <c r="C30" i="3434"/>
  <c r="H30" i="3434"/>
  <c r="H29" i="3434"/>
  <c r="H28" i="3434"/>
  <c r="H27" i="3434"/>
  <c r="H26" i="3434"/>
  <c r="B25" i="3434"/>
  <c r="H25" i="3434"/>
  <c r="B24" i="3434"/>
  <c r="H24" i="3434"/>
  <c r="B23" i="3434"/>
  <c r="H23" i="3434"/>
  <c r="B22" i="3434"/>
  <c r="H22" i="3434"/>
  <c r="C21" i="3434"/>
  <c r="H21" i="3434"/>
  <c r="C20" i="3434"/>
  <c r="H6" i="3434"/>
  <c r="C19" i="3434"/>
  <c r="H20" i="3434"/>
  <c r="C18" i="3434"/>
  <c r="H19" i="3434"/>
  <c r="C17" i="3434"/>
  <c r="H18" i="3434"/>
  <c r="C16" i="3434"/>
  <c r="H17" i="3434"/>
  <c r="C15" i="3434"/>
  <c r="H16" i="3434"/>
  <c r="C14" i="3434"/>
  <c r="H15" i="3434"/>
  <c r="C13" i="3434"/>
  <c r="O12" i="3434"/>
  <c r="H14" i="3434"/>
  <c r="C12" i="3434"/>
  <c r="O11" i="3434"/>
  <c r="H13" i="3434"/>
  <c r="C11" i="3434"/>
  <c r="O10" i="3434"/>
  <c r="H12" i="3434"/>
  <c r="C10" i="3434"/>
  <c r="H11" i="3434"/>
  <c r="C9" i="3434"/>
  <c r="H10" i="3434"/>
  <c r="C8" i="3434"/>
  <c r="O7" i="3434"/>
  <c r="H9" i="3434"/>
  <c r="C7" i="3434"/>
  <c r="O6" i="3434"/>
  <c r="H5" i="3434"/>
  <c r="B6" i="3434"/>
  <c r="O5" i="3434"/>
  <c r="H4" i="3434"/>
  <c r="B5" i="3434"/>
  <c r="O4" i="3434"/>
  <c r="H2" i="3434"/>
  <c r="O3" i="3434"/>
  <c r="H8" i="3434"/>
  <c r="O2" i="3434"/>
  <c r="H3" i="3434"/>
  <c r="O22" i="3433"/>
  <c r="O21" i="3433"/>
  <c r="O17" i="3433"/>
  <c r="O20" i="3433"/>
  <c r="O19" i="3433"/>
  <c r="O18" i="3433"/>
  <c r="O16" i="3433"/>
  <c r="O15" i="3433"/>
  <c r="H52" i="3433"/>
  <c r="H7" i="3433"/>
  <c r="H51" i="3433"/>
  <c r="H50" i="3433"/>
  <c r="H49" i="3433"/>
  <c r="H48" i="3433"/>
  <c r="H47" i="3433"/>
  <c r="H46" i="3433"/>
  <c r="H45" i="3433"/>
  <c r="C44" i="3433"/>
  <c r="H44" i="3433"/>
  <c r="C43" i="3433"/>
  <c r="H43" i="3433"/>
  <c r="C42" i="3433"/>
  <c r="H42" i="3433"/>
  <c r="C41" i="3433"/>
  <c r="H41" i="3433"/>
  <c r="C40" i="3433"/>
  <c r="H40" i="3433"/>
  <c r="C39" i="3433"/>
  <c r="H39" i="3433"/>
  <c r="C38" i="3433"/>
  <c r="H38" i="3433"/>
  <c r="C37" i="3433"/>
  <c r="H37" i="3433"/>
  <c r="C36" i="3433"/>
  <c r="H36" i="3433"/>
  <c r="C35" i="3433"/>
  <c r="H35" i="3433"/>
  <c r="C34" i="3433"/>
  <c r="H34" i="3433"/>
  <c r="C33" i="3433"/>
  <c r="H33" i="3433"/>
  <c r="C32" i="3433"/>
  <c r="H32" i="3433"/>
  <c r="H31" i="3433"/>
  <c r="C30" i="3433"/>
  <c r="H30" i="3433"/>
  <c r="H29" i="3433"/>
  <c r="H8" i="3433"/>
  <c r="H28" i="3433"/>
  <c r="H27" i="3433"/>
  <c r="B25" i="3433"/>
  <c r="H11" i="3433"/>
  <c r="B24" i="3433"/>
  <c r="H26" i="3433"/>
  <c r="B23" i="3433"/>
  <c r="H25" i="3433"/>
  <c r="B22" i="3433"/>
  <c r="H14" i="3433"/>
  <c r="C21" i="3433"/>
  <c r="H24" i="3433"/>
  <c r="C20" i="3433"/>
  <c r="H18" i="3433"/>
  <c r="C19" i="3433"/>
  <c r="H23" i="3433"/>
  <c r="C18" i="3433"/>
  <c r="H17" i="3433"/>
  <c r="C17" i="3433"/>
  <c r="H13" i="3433"/>
  <c r="C16" i="3433"/>
  <c r="H15" i="3433"/>
  <c r="C15" i="3433"/>
  <c r="H22" i="3433"/>
  <c r="C14" i="3433"/>
  <c r="H21" i="3433"/>
  <c r="C13" i="3433"/>
  <c r="O12" i="3433"/>
  <c r="H20" i="3433"/>
  <c r="C12" i="3433"/>
  <c r="O11" i="3433"/>
  <c r="H19" i="3433"/>
  <c r="C11" i="3433"/>
  <c r="O10" i="3433"/>
  <c r="H2" i="3433"/>
  <c r="C10" i="3433"/>
  <c r="H16" i="3433"/>
  <c r="C9" i="3433"/>
  <c r="H12" i="3433"/>
  <c r="C8" i="3433"/>
  <c r="O7" i="3433"/>
  <c r="H9" i="3433"/>
  <c r="C7" i="3433"/>
  <c r="O6" i="3433"/>
  <c r="H6" i="3433"/>
  <c r="B6" i="3433"/>
  <c r="O5" i="3433"/>
  <c r="H5" i="3433"/>
  <c r="B5" i="3433"/>
  <c r="O4" i="3433"/>
  <c r="H3" i="3433"/>
  <c r="O3" i="3433"/>
  <c r="H10" i="3433"/>
  <c r="O2" i="3433"/>
  <c r="H4" i="3433"/>
  <c r="O22" i="3430"/>
  <c r="O16" i="3430"/>
  <c r="O15" i="3430"/>
  <c r="O26" i="3431"/>
  <c r="O17" i="3431"/>
  <c r="O15" i="3431"/>
  <c r="O16" i="3431"/>
  <c r="O23" i="3432"/>
  <c r="O24" i="3432"/>
  <c r="O18" i="3432"/>
  <c r="O15" i="3432"/>
  <c r="O21" i="3426"/>
  <c r="O17" i="3426"/>
  <c r="O28" i="3429"/>
  <c r="O21" i="3429"/>
  <c r="O19" i="3427"/>
  <c r="O15" i="3427"/>
  <c r="O16" i="3427"/>
  <c r="O25" i="3423"/>
  <c r="O29" i="3420"/>
  <c r="O19" i="3420"/>
  <c r="O17" i="3420"/>
  <c r="O31" i="3419"/>
  <c r="O25" i="3419"/>
  <c r="O18" i="3419"/>
  <c r="O16" i="3419"/>
  <c r="O21" i="3432"/>
  <c r="O17" i="3432"/>
  <c r="O20" i="3432"/>
  <c r="O22" i="3432"/>
  <c r="O25" i="3432"/>
  <c r="O16" i="3432"/>
  <c r="O19" i="3432"/>
  <c r="H52" i="3432"/>
  <c r="H6" i="3432"/>
  <c r="H17" i="3432"/>
  <c r="H51" i="3432"/>
  <c r="H50" i="3432"/>
  <c r="H49" i="3432"/>
  <c r="H48" i="3432"/>
  <c r="H47" i="3432"/>
  <c r="H24" i="3432"/>
  <c r="C44" i="3432"/>
  <c r="H46" i="3432"/>
  <c r="C43" i="3432"/>
  <c r="H45" i="3432"/>
  <c r="C42" i="3432"/>
  <c r="H44" i="3432"/>
  <c r="C41" i="3432"/>
  <c r="H43" i="3432"/>
  <c r="C40" i="3432"/>
  <c r="H42" i="3432"/>
  <c r="C39" i="3432"/>
  <c r="H41" i="3432"/>
  <c r="C38" i="3432"/>
  <c r="H40" i="3432"/>
  <c r="C37" i="3432"/>
  <c r="H39" i="3432"/>
  <c r="C36" i="3432"/>
  <c r="H38" i="3432"/>
  <c r="C35" i="3432"/>
  <c r="H37" i="3432"/>
  <c r="C34" i="3432"/>
  <c r="H36" i="3432"/>
  <c r="C33" i="3432"/>
  <c r="H35" i="3432"/>
  <c r="C32" i="3432"/>
  <c r="H34" i="3432"/>
  <c r="H33" i="3432"/>
  <c r="C30" i="3432"/>
  <c r="H21" i="3432"/>
  <c r="H32" i="3432"/>
  <c r="H10" i="3432"/>
  <c r="H31" i="3432"/>
  <c r="H20" i="3432"/>
  <c r="B25" i="3432"/>
  <c r="H13" i="3432"/>
  <c r="B24" i="3432"/>
  <c r="H23" i="3432"/>
  <c r="B23" i="3432"/>
  <c r="H30" i="3432"/>
  <c r="B22" i="3432"/>
  <c r="H15" i="3432"/>
  <c r="C21" i="3432"/>
  <c r="H29" i="3432"/>
  <c r="C20" i="3432"/>
  <c r="H19" i="3432"/>
  <c r="C19" i="3432"/>
  <c r="H28" i="3432"/>
  <c r="C18" i="3432"/>
  <c r="H16" i="3432"/>
  <c r="C17" i="3432"/>
  <c r="H14" i="3432"/>
  <c r="C16" i="3432"/>
  <c r="H27" i="3432"/>
  <c r="C15" i="3432"/>
  <c r="H26" i="3432"/>
  <c r="C14" i="3432"/>
  <c r="H22" i="3432"/>
  <c r="C13" i="3432"/>
  <c r="O12" i="3432"/>
  <c r="H25" i="3432"/>
  <c r="C12" i="3432"/>
  <c r="O11" i="3432"/>
  <c r="H18" i="3432"/>
  <c r="C11" i="3432"/>
  <c r="O10" i="3432"/>
  <c r="H4" i="3432"/>
  <c r="C10" i="3432"/>
  <c r="H12" i="3432"/>
  <c r="C9" i="3432"/>
  <c r="H9" i="3432"/>
  <c r="C8" i="3432"/>
  <c r="O7" i="3432"/>
  <c r="H8" i="3432"/>
  <c r="C7" i="3432"/>
  <c r="O6" i="3432"/>
  <c r="H5" i="3432"/>
  <c r="B6" i="3432"/>
  <c r="O5" i="3432"/>
  <c r="H7" i="3432"/>
  <c r="B5" i="3432"/>
  <c r="O4" i="3432"/>
  <c r="H2" i="3432"/>
  <c r="O3" i="3432"/>
  <c r="H11" i="3432"/>
  <c r="O2" i="3432"/>
  <c r="H3" i="3432"/>
  <c r="O25" i="3431"/>
  <c r="O24" i="3431"/>
  <c r="O22" i="3431"/>
  <c r="O19" i="3431"/>
  <c r="O23" i="3431"/>
  <c r="O21" i="3431"/>
  <c r="O20" i="3431"/>
  <c r="O18" i="3431"/>
  <c r="H52" i="3431"/>
  <c r="H5" i="3431"/>
  <c r="H20" i="3431"/>
  <c r="H51" i="3431"/>
  <c r="H50" i="3431"/>
  <c r="H49" i="3431"/>
  <c r="H48" i="3431"/>
  <c r="H47" i="3431"/>
  <c r="H46" i="3431"/>
  <c r="C44" i="3431"/>
  <c r="H45" i="3431"/>
  <c r="C43" i="3431"/>
  <c r="H44" i="3431"/>
  <c r="C42" i="3431"/>
  <c r="H43" i="3431"/>
  <c r="C41" i="3431"/>
  <c r="H42" i="3431"/>
  <c r="C40" i="3431"/>
  <c r="H28" i="3431"/>
  <c r="C39" i="3431"/>
  <c r="H41" i="3431"/>
  <c r="C38" i="3431"/>
  <c r="H40" i="3431"/>
  <c r="C37" i="3431"/>
  <c r="H39" i="3431"/>
  <c r="C36" i="3431"/>
  <c r="H38" i="3431"/>
  <c r="C35" i="3431"/>
  <c r="H37" i="3431"/>
  <c r="C34" i="3431"/>
  <c r="H36" i="3431"/>
  <c r="C33" i="3431"/>
  <c r="H35" i="3431"/>
  <c r="C32" i="3431"/>
  <c r="H27" i="3431"/>
  <c r="H26" i="3431"/>
  <c r="C30" i="3431"/>
  <c r="H18" i="3431"/>
  <c r="H25" i="3431"/>
  <c r="H9" i="3431"/>
  <c r="H30" i="3431"/>
  <c r="H29" i="3431"/>
  <c r="B25" i="3431"/>
  <c r="H14" i="3431"/>
  <c r="B24" i="3431"/>
  <c r="H19" i="3431"/>
  <c r="B23" i="3431"/>
  <c r="H34" i="3431"/>
  <c r="B22" i="3431"/>
  <c r="H13" i="3431"/>
  <c r="C21" i="3431"/>
  <c r="H33" i="3431"/>
  <c r="C20" i="3431"/>
  <c r="H16" i="3431"/>
  <c r="C19" i="3431"/>
  <c r="H32" i="3431"/>
  <c r="C18" i="3431"/>
  <c r="H17" i="3431"/>
  <c r="C17" i="3431"/>
  <c r="H15" i="3431"/>
  <c r="C16" i="3431"/>
  <c r="H24" i="3431"/>
  <c r="C15" i="3431"/>
  <c r="H31" i="3431"/>
  <c r="C14" i="3431"/>
  <c r="H23" i="3431"/>
  <c r="C13" i="3431"/>
  <c r="O12" i="3431"/>
  <c r="H22" i="3431"/>
  <c r="C12" i="3431"/>
  <c r="O11" i="3431"/>
  <c r="H21" i="3431"/>
  <c r="C11" i="3431"/>
  <c r="O10" i="3431"/>
  <c r="H3" i="3431"/>
  <c r="C10" i="3431"/>
  <c r="H12" i="3431"/>
  <c r="C9" i="3431"/>
  <c r="H11" i="3431"/>
  <c r="C8" i="3431"/>
  <c r="O7" i="3431"/>
  <c r="H8" i="3431"/>
  <c r="C7" i="3431"/>
  <c r="O6" i="3431"/>
  <c r="H7" i="3431"/>
  <c r="B6" i="3431"/>
  <c r="O5" i="3431"/>
  <c r="H6" i="3431"/>
  <c r="B5" i="3431"/>
  <c r="O4" i="3431"/>
  <c r="H2" i="3431"/>
  <c r="O3" i="3431"/>
  <c r="H10" i="3431"/>
  <c r="O2" i="3431"/>
  <c r="H4" i="3431"/>
  <c r="O21" i="3430"/>
  <c r="O19" i="3430"/>
  <c r="O20" i="3430"/>
  <c r="O18" i="3430"/>
  <c r="O17" i="3430"/>
  <c r="H52" i="3430"/>
  <c r="H13" i="3430"/>
  <c r="H51" i="3430"/>
  <c r="H50" i="3430"/>
  <c r="H49" i="3430"/>
  <c r="H48" i="3430"/>
  <c r="H47" i="3430"/>
  <c r="H46" i="3430"/>
  <c r="H45" i="3430"/>
  <c r="C44" i="3430"/>
  <c r="H44" i="3430"/>
  <c r="C43" i="3430"/>
  <c r="H43" i="3430"/>
  <c r="C42" i="3430"/>
  <c r="H42" i="3430"/>
  <c r="C41" i="3430"/>
  <c r="H41" i="3430"/>
  <c r="C40" i="3430"/>
  <c r="H40" i="3430"/>
  <c r="C39" i="3430"/>
  <c r="H39" i="3430"/>
  <c r="C38" i="3430"/>
  <c r="H38" i="3430"/>
  <c r="C37" i="3430"/>
  <c r="H37" i="3430"/>
  <c r="C36" i="3430"/>
  <c r="H36" i="3430"/>
  <c r="C35" i="3430"/>
  <c r="H35" i="3430"/>
  <c r="C34" i="3430"/>
  <c r="H34" i="3430"/>
  <c r="C33" i="3430"/>
  <c r="H33" i="3430"/>
  <c r="C32" i="3430"/>
  <c r="H32" i="3430"/>
  <c r="H31" i="3430"/>
  <c r="C30" i="3430"/>
  <c r="H14" i="3430"/>
  <c r="H30" i="3430"/>
  <c r="H7" i="3430"/>
  <c r="H29" i="3430"/>
  <c r="H28" i="3430"/>
  <c r="B25" i="3430"/>
  <c r="H10" i="3430"/>
  <c r="B24" i="3430"/>
  <c r="H27" i="3430"/>
  <c r="B23" i="3430"/>
  <c r="H26" i="3430"/>
  <c r="B22" i="3430"/>
  <c r="H25" i="3430"/>
  <c r="C21" i="3430"/>
  <c r="H24" i="3430"/>
  <c r="C20" i="3430"/>
  <c r="H23" i="3430"/>
  <c r="C19" i="3430"/>
  <c r="H22" i="3430"/>
  <c r="C18" i="3430"/>
  <c r="H21" i="3430"/>
  <c r="C17" i="3430"/>
  <c r="H20" i="3430"/>
  <c r="C16" i="3430"/>
  <c r="H19" i="3430"/>
  <c r="C15" i="3430"/>
  <c r="H18" i="3430"/>
  <c r="C14" i="3430"/>
  <c r="H17" i="3430"/>
  <c r="C13" i="3430"/>
  <c r="O12" i="3430"/>
  <c r="H16" i="3430"/>
  <c r="C12" i="3430"/>
  <c r="O11" i="3430"/>
  <c r="H15" i="3430"/>
  <c r="C11" i="3430"/>
  <c r="O10" i="3430"/>
  <c r="H4" i="3430"/>
  <c r="C10" i="3430"/>
  <c r="H12" i="3430"/>
  <c r="C9" i="3430"/>
  <c r="H9" i="3430"/>
  <c r="C8" i="3430"/>
  <c r="O7" i="3430"/>
  <c r="H8" i="3430"/>
  <c r="C7" i="3430"/>
  <c r="O6" i="3430"/>
  <c r="H6" i="3430"/>
  <c r="B6" i="3430"/>
  <c r="O5" i="3430"/>
  <c r="H5" i="3430"/>
  <c r="B5" i="3430"/>
  <c r="O4" i="3430"/>
  <c r="H3" i="3430"/>
  <c r="O3" i="3430"/>
  <c r="H11" i="3430"/>
  <c r="O2" i="3430"/>
  <c r="H2" i="3430"/>
  <c r="O27" i="3429"/>
  <c r="O23" i="3429"/>
  <c r="O26" i="3429"/>
  <c r="O25" i="3429"/>
  <c r="O24" i="3429"/>
  <c r="O18" i="3429"/>
  <c r="O19" i="3429"/>
  <c r="O22" i="3429"/>
  <c r="O16" i="3429"/>
  <c r="O15" i="3429"/>
  <c r="O20" i="3429"/>
  <c r="H52" i="3429"/>
  <c r="H7" i="3429"/>
  <c r="H17" i="3429"/>
  <c r="H51" i="3429"/>
  <c r="H50" i="3429"/>
  <c r="H49" i="3429"/>
  <c r="H48" i="3429"/>
  <c r="H47" i="3429"/>
  <c r="H46" i="3429"/>
  <c r="C44" i="3429"/>
  <c r="H45" i="3429"/>
  <c r="C43" i="3429"/>
  <c r="H44" i="3429"/>
  <c r="C42" i="3429"/>
  <c r="H43" i="3429"/>
  <c r="C41" i="3429"/>
  <c r="H42" i="3429"/>
  <c r="C40" i="3429"/>
  <c r="H41" i="3429"/>
  <c r="C39" i="3429"/>
  <c r="H40" i="3429"/>
  <c r="C38" i="3429"/>
  <c r="H39" i="3429"/>
  <c r="C37" i="3429"/>
  <c r="H38" i="3429"/>
  <c r="C36" i="3429"/>
  <c r="H30" i="3429"/>
  <c r="C35" i="3429"/>
  <c r="H37" i="3429"/>
  <c r="C34" i="3429"/>
  <c r="H36" i="3429"/>
  <c r="C33" i="3429"/>
  <c r="H35" i="3429"/>
  <c r="C32" i="3429"/>
  <c r="H24" i="3429"/>
  <c r="H21" i="3429"/>
  <c r="C30" i="3429"/>
  <c r="H16" i="3429"/>
  <c r="H28" i="3429"/>
  <c r="H9" i="3429"/>
  <c r="H34" i="3429"/>
  <c r="H27" i="3429"/>
  <c r="B25" i="3429"/>
  <c r="H12" i="3429"/>
  <c r="B24" i="3429"/>
  <c r="H26" i="3429"/>
  <c r="B23" i="3429"/>
  <c r="H25" i="3429"/>
  <c r="B22" i="3429"/>
  <c r="H14" i="3429"/>
  <c r="C21" i="3429"/>
  <c r="H33" i="3429"/>
  <c r="C20" i="3429"/>
  <c r="H18" i="3429"/>
  <c r="C19" i="3429"/>
  <c r="H32" i="3429"/>
  <c r="C18" i="3429"/>
  <c r="H19" i="3429"/>
  <c r="C17" i="3429"/>
  <c r="H15" i="3429"/>
  <c r="C16" i="3429"/>
  <c r="H23" i="3429"/>
  <c r="C15" i="3429"/>
  <c r="H31" i="3429"/>
  <c r="C14" i="3429"/>
  <c r="H22" i="3429"/>
  <c r="C13" i="3429"/>
  <c r="O12" i="3429"/>
  <c r="H29" i="3429"/>
  <c r="C12" i="3429"/>
  <c r="O11" i="3429"/>
  <c r="H20" i="3429"/>
  <c r="C11" i="3429"/>
  <c r="O10" i="3429"/>
  <c r="H3" i="3429"/>
  <c r="C10" i="3429"/>
  <c r="H13" i="3429"/>
  <c r="C9" i="3429"/>
  <c r="H11" i="3429"/>
  <c r="C8" i="3429"/>
  <c r="O7" i="3429"/>
  <c r="H8" i="3429"/>
  <c r="C7" i="3429"/>
  <c r="O6" i="3429"/>
  <c r="H6" i="3429"/>
  <c r="B6" i="3429"/>
  <c r="O5" i="3429"/>
  <c r="H5" i="3429"/>
  <c r="B5" i="3429"/>
  <c r="O4" i="3429"/>
  <c r="H2" i="3429"/>
  <c r="O3" i="3429"/>
  <c r="H10" i="3429"/>
  <c r="O2" i="3429"/>
  <c r="H4" i="3429"/>
  <c r="O15" i="3428"/>
  <c r="O21" i="3428"/>
  <c r="O19" i="3428"/>
  <c r="O20" i="3428"/>
  <c r="O18" i="3428"/>
  <c r="O17" i="3428"/>
  <c r="O16" i="3428"/>
  <c r="H52" i="3428"/>
  <c r="H10" i="3428"/>
  <c r="H16" i="3428"/>
  <c r="H51" i="3428"/>
  <c r="H50" i="3428"/>
  <c r="H49" i="3428"/>
  <c r="H48" i="3428"/>
  <c r="H47" i="3428"/>
  <c r="H46" i="3428"/>
  <c r="C44" i="3428"/>
  <c r="H45" i="3428"/>
  <c r="C43" i="3428"/>
  <c r="H44" i="3428"/>
  <c r="C42" i="3428"/>
  <c r="H43" i="3428"/>
  <c r="C41" i="3428"/>
  <c r="H42" i="3428"/>
  <c r="C40" i="3428"/>
  <c r="H41" i="3428"/>
  <c r="C39" i="3428"/>
  <c r="H40" i="3428"/>
  <c r="C38" i="3428"/>
  <c r="H39" i="3428"/>
  <c r="C37" i="3428"/>
  <c r="H38" i="3428"/>
  <c r="C36" i="3428"/>
  <c r="H37" i="3428"/>
  <c r="C35" i="3428"/>
  <c r="H36" i="3428"/>
  <c r="C34" i="3428"/>
  <c r="H35" i="3428"/>
  <c r="C33" i="3428"/>
  <c r="H34" i="3428"/>
  <c r="C32" i="3428"/>
  <c r="H33" i="3428"/>
  <c r="H20" i="3428"/>
  <c r="C30" i="3428"/>
  <c r="H19" i="3428"/>
  <c r="H32" i="3428"/>
  <c r="H7" i="3428"/>
  <c r="H31" i="3428"/>
  <c r="H30" i="3428"/>
  <c r="B25" i="3428"/>
  <c r="H18" i="3428"/>
  <c r="B24" i="3428"/>
  <c r="H29" i="3428"/>
  <c r="B23" i="3428"/>
  <c r="H28" i="3428"/>
  <c r="B22" i="3428"/>
  <c r="H15" i="3428"/>
  <c r="C21" i="3428"/>
  <c r="H27" i="3428"/>
  <c r="C20" i="3428"/>
  <c r="H26" i="3428"/>
  <c r="C19" i="3428"/>
  <c r="H25" i="3428"/>
  <c r="C18" i="3428"/>
  <c r="H14" i="3428"/>
  <c r="C17" i="3428"/>
  <c r="H13" i="3428"/>
  <c r="C16" i="3428"/>
  <c r="H24" i="3428"/>
  <c r="C15" i="3428"/>
  <c r="H23" i="3428"/>
  <c r="C14" i="3428"/>
  <c r="H22" i="3428"/>
  <c r="C13" i="3428"/>
  <c r="O12" i="3428"/>
  <c r="H21" i="3428"/>
  <c r="C12" i="3428"/>
  <c r="O11" i="3428"/>
  <c r="H17" i="3428"/>
  <c r="C11" i="3428"/>
  <c r="O10" i="3428"/>
  <c r="H3" i="3428"/>
  <c r="C10" i="3428"/>
  <c r="H12" i="3428"/>
  <c r="C9" i="3428"/>
  <c r="H11" i="3428"/>
  <c r="C8" i="3428"/>
  <c r="O7" i="3428"/>
  <c r="H9" i="3428"/>
  <c r="C7" i="3428"/>
  <c r="O6" i="3428"/>
  <c r="H6" i="3428"/>
  <c r="B6" i="3428"/>
  <c r="O5" i="3428"/>
  <c r="H5" i="3428"/>
  <c r="B5" i="3428"/>
  <c r="O4" i="3428"/>
  <c r="H2" i="3428"/>
  <c r="O3" i="3428"/>
  <c r="H8" i="3428"/>
  <c r="O2" i="3428"/>
  <c r="H4" i="3428"/>
  <c r="O26" i="3427"/>
  <c r="O24" i="3427"/>
  <c r="O23" i="3427"/>
  <c r="O25" i="3427"/>
  <c r="O17" i="3427"/>
  <c r="O18" i="3427"/>
  <c r="O22" i="3427"/>
  <c r="O21" i="3427"/>
  <c r="O20" i="3427"/>
  <c r="H52" i="3427"/>
  <c r="H6" i="3427"/>
  <c r="H23" i="3427"/>
  <c r="H51" i="3427"/>
  <c r="H50" i="3427"/>
  <c r="H49" i="3427"/>
  <c r="H48" i="3427"/>
  <c r="H47" i="3427"/>
  <c r="H46" i="3427"/>
  <c r="C44" i="3427"/>
  <c r="H45" i="3427"/>
  <c r="C43" i="3427"/>
  <c r="H44" i="3427"/>
  <c r="C42" i="3427"/>
  <c r="H43" i="3427"/>
  <c r="C41" i="3427"/>
  <c r="H42" i="3427"/>
  <c r="C40" i="3427"/>
  <c r="H41" i="3427"/>
  <c r="C39" i="3427"/>
  <c r="H40" i="3427"/>
  <c r="C38" i="3427"/>
  <c r="H39" i="3427"/>
  <c r="C37" i="3427"/>
  <c r="H38" i="3427"/>
  <c r="C36" i="3427"/>
  <c r="H37" i="3427"/>
  <c r="C35" i="3427"/>
  <c r="H36" i="3427"/>
  <c r="C34" i="3427"/>
  <c r="H30" i="3427"/>
  <c r="C33" i="3427"/>
  <c r="H35" i="3427"/>
  <c r="C32" i="3427"/>
  <c r="H26" i="3427"/>
  <c r="H25" i="3427"/>
  <c r="C30" i="3427"/>
  <c r="H17" i="3427"/>
  <c r="H34" i="3427"/>
  <c r="H9" i="3427"/>
  <c r="H29" i="3427"/>
  <c r="H27" i="3427"/>
  <c r="B25" i="3427"/>
  <c r="H13" i="3427"/>
  <c r="B24" i="3427"/>
  <c r="H28" i="3427"/>
  <c r="B23" i="3427"/>
  <c r="H24" i="3427"/>
  <c r="B22" i="3427"/>
  <c r="H14" i="3427"/>
  <c r="C21" i="3427"/>
  <c r="H33" i="3427"/>
  <c r="C20" i="3427"/>
  <c r="H16" i="3427"/>
  <c r="C19" i="3427"/>
  <c r="H32" i="3427"/>
  <c r="C18" i="3427"/>
  <c r="H18" i="3427"/>
  <c r="C17" i="3427"/>
  <c r="H15" i="3427"/>
  <c r="C16" i="3427"/>
  <c r="H19" i="3427"/>
  <c r="C15" i="3427"/>
  <c r="H31" i="3427"/>
  <c r="C14" i="3427"/>
  <c r="H22" i="3427"/>
  <c r="C13" i="3427"/>
  <c r="O12" i="3427"/>
  <c r="H21" i="3427"/>
  <c r="C12" i="3427"/>
  <c r="O11" i="3427"/>
  <c r="H20" i="3427"/>
  <c r="C11" i="3427"/>
  <c r="O10" i="3427"/>
  <c r="H3" i="3427"/>
  <c r="C10" i="3427"/>
  <c r="H12" i="3427"/>
  <c r="C9" i="3427"/>
  <c r="H10" i="3427"/>
  <c r="C8" i="3427"/>
  <c r="O7" i="3427"/>
  <c r="H8" i="3427"/>
  <c r="C7" i="3427"/>
  <c r="O6" i="3427"/>
  <c r="H5" i="3427"/>
  <c r="B6" i="3427"/>
  <c r="O5" i="3427"/>
  <c r="H7" i="3427"/>
  <c r="B5" i="3427"/>
  <c r="O4" i="3427"/>
  <c r="H2" i="3427"/>
  <c r="O3" i="3427"/>
  <c r="H11" i="3427"/>
  <c r="O2" i="3427"/>
  <c r="H4" i="3427"/>
  <c r="O23" i="3426"/>
  <c r="O19" i="3426"/>
  <c r="O22" i="3426"/>
  <c r="O15" i="3426"/>
  <c r="O20" i="3426"/>
  <c r="O16" i="3426"/>
  <c r="O18" i="3426"/>
  <c r="H52" i="3426"/>
  <c r="H5" i="3426"/>
  <c r="H51" i="3426"/>
  <c r="H50" i="3426"/>
  <c r="H49" i="3426"/>
  <c r="H48" i="3426"/>
  <c r="H47" i="3426"/>
  <c r="H46" i="3426"/>
  <c r="H45" i="3426"/>
  <c r="C44" i="3426"/>
  <c r="H44" i="3426"/>
  <c r="C43" i="3426"/>
  <c r="H43" i="3426"/>
  <c r="C42" i="3426"/>
  <c r="H42" i="3426"/>
  <c r="C41" i="3426"/>
  <c r="H41" i="3426"/>
  <c r="C40" i="3426"/>
  <c r="H40" i="3426"/>
  <c r="C39" i="3426"/>
  <c r="H39" i="3426"/>
  <c r="C38" i="3426"/>
  <c r="H38" i="3426"/>
  <c r="C37" i="3426"/>
  <c r="H37" i="3426"/>
  <c r="C36" i="3426"/>
  <c r="H36" i="3426"/>
  <c r="C35" i="3426"/>
  <c r="H35" i="3426"/>
  <c r="C34" i="3426"/>
  <c r="H34" i="3426"/>
  <c r="C33" i="3426"/>
  <c r="H33" i="3426"/>
  <c r="C32" i="3426"/>
  <c r="H26" i="3426"/>
  <c r="H32" i="3426"/>
  <c r="C30" i="3426"/>
  <c r="H18" i="3426"/>
  <c r="H25" i="3426"/>
  <c r="H11" i="3426"/>
  <c r="H22" i="3426"/>
  <c r="H24" i="3426"/>
  <c r="B25" i="3426"/>
  <c r="H14" i="3426"/>
  <c r="B24" i="3426"/>
  <c r="H31" i="3426"/>
  <c r="B23" i="3426"/>
  <c r="H30" i="3426"/>
  <c r="B22" i="3426"/>
  <c r="H13" i="3426"/>
  <c r="C21" i="3426"/>
  <c r="H29" i="3426"/>
  <c r="C20" i="3426"/>
  <c r="H15" i="3426"/>
  <c r="C19" i="3426"/>
  <c r="H28" i="3426"/>
  <c r="C18" i="3426"/>
  <c r="H17" i="3426"/>
  <c r="C17" i="3426"/>
  <c r="H16" i="3426"/>
  <c r="C16" i="3426"/>
  <c r="H21" i="3426"/>
  <c r="C15" i="3426"/>
  <c r="H27" i="3426"/>
  <c r="C14" i="3426"/>
  <c r="H20" i="3426"/>
  <c r="C13" i="3426"/>
  <c r="O12" i="3426"/>
  <c r="H19" i="3426"/>
  <c r="C12" i="3426"/>
  <c r="O11" i="3426"/>
  <c r="H23" i="3426"/>
  <c r="C11" i="3426"/>
  <c r="O10" i="3426"/>
  <c r="H3" i="3426"/>
  <c r="C10" i="3426"/>
  <c r="H12" i="3426"/>
  <c r="C9" i="3426"/>
  <c r="H10" i="3426"/>
  <c r="C8" i="3426"/>
  <c r="O7" i="3426"/>
  <c r="H8" i="3426"/>
  <c r="C7" i="3426"/>
  <c r="O6" i="3426"/>
  <c r="H6" i="3426"/>
  <c r="B6" i="3426"/>
  <c r="O5" i="3426"/>
  <c r="H7" i="3426"/>
  <c r="B5" i="3426"/>
  <c r="O4" i="3426"/>
  <c r="H2" i="3426"/>
  <c r="O3" i="3426"/>
  <c r="H9" i="3426"/>
  <c r="O2" i="3426"/>
  <c r="H4" i="3426"/>
  <c r="O19" i="3425"/>
  <c r="O18" i="3425"/>
  <c r="O17" i="3425"/>
  <c r="O16" i="3425"/>
  <c r="O15" i="3425"/>
  <c r="H52" i="3425"/>
  <c r="H51" i="3425"/>
  <c r="H50" i="3425"/>
  <c r="H49" i="3425"/>
  <c r="H48" i="3425"/>
  <c r="H47" i="3425"/>
  <c r="H46" i="3425"/>
  <c r="H45" i="3425"/>
  <c r="H44" i="3425"/>
  <c r="C44" i="3425"/>
  <c r="H43" i="3425"/>
  <c r="C43" i="3425"/>
  <c r="H42" i="3425"/>
  <c r="C42" i="3425"/>
  <c r="H41" i="3425"/>
  <c r="C41" i="3425"/>
  <c r="H40" i="3425"/>
  <c r="C40" i="3425"/>
  <c r="H39" i="3425"/>
  <c r="C39" i="3425"/>
  <c r="H38" i="3425"/>
  <c r="C38" i="3425"/>
  <c r="H37" i="3425"/>
  <c r="C37" i="3425"/>
  <c r="H36" i="3425"/>
  <c r="C36" i="3425"/>
  <c r="H35" i="3425"/>
  <c r="C35" i="3425"/>
  <c r="H34" i="3425"/>
  <c r="C34" i="3425"/>
  <c r="H33" i="3425"/>
  <c r="C33" i="3425"/>
  <c r="H32" i="3425"/>
  <c r="C32" i="3425"/>
  <c r="H31" i="3425"/>
  <c r="H30" i="3425"/>
  <c r="C30" i="3425"/>
  <c r="H29" i="3425"/>
  <c r="H28" i="3425"/>
  <c r="H27" i="3425"/>
  <c r="H26" i="3425"/>
  <c r="H25" i="3425"/>
  <c r="B25" i="3425"/>
  <c r="H10" i="3425"/>
  <c r="B24" i="3425"/>
  <c r="H24" i="3425"/>
  <c r="B23" i="3425"/>
  <c r="H23" i="3425"/>
  <c r="B22" i="3425"/>
  <c r="H22" i="3425"/>
  <c r="C21" i="3425"/>
  <c r="H21" i="3425"/>
  <c r="C20" i="3425"/>
  <c r="H20" i="3425"/>
  <c r="C19" i="3425"/>
  <c r="H19" i="3425"/>
  <c r="C18" i="3425"/>
  <c r="H7" i="3425"/>
  <c r="C17" i="3425"/>
  <c r="H18" i="3425"/>
  <c r="C16" i="3425"/>
  <c r="H17" i="3425"/>
  <c r="C15" i="3425"/>
  <c r="H16" i="3425"/>
  <c r="C14" i="3425"/>
  <c r="H15" i="3425"/>
  <c r="C13" i="3425"/>
  <c r="O12" i="3425"/>
  <c r="H14" i="3425"/>
  <c r="C12" i="3425"/>
  <c r="O11" i="3425"/>
  <c r="H13" i="3425"/>
  <c r="C11" i="3425"/>
  <c r="O10" i="3425"/>
  <c r="H4" i="3425"/>
  <c r="C10" i="3425"/>
  <c r="H12" i="3425"/>
  <c r="C9" i="3425"/>
  <c r="H11" i="3425"/>
  <c r="C8" i="3425"/>
  <c r="O7" i="3425"/>
  <c r="H9" i="3425"/>
  <c r="C7" i="3425"/>
  <c r="O6" i="3425"/>
  <c r="H5" i="3425"/>
  <c r="B6" i="3425"/>
  <c r="O5" i="3425"/>
  <c r="H6" i="3425"/>
  <c r="B5" i="3425"/>
  <c r="O4" i="3425"/>
  <c r="H8" i="3425"/>
  <c r="O3" i="3425"/>
  <c r="H3" i="3425"/>
  <c r="O2" i="3425"/>
  <c r="H2" i="3425"/>
  <c r="O23" i="3424"/>
  <c r="O25" i="3424"/>
  <c r="O22" i="3424"/>
  <c r="O18" i="3424"/>
  <c r="O15" i="3424"/>
  <c r="O20" i="3424"/>
  <c r="O24" i="3424"/>
  <c r="O17" i="3424"/>
  <c r="O21" i="3424"/>
  <c r="O16" i="3424"/>
  <c r="O26" i="3424"/>
  <c r="H52" i="3424"/>
  <c r="H7" i="3424"/>
  <c r="H51" i="3424"/>
  <c r="H50" i="3424"/>
  <c r="H49" i="3424"/>
  <c r="H48" i="3424"/>
  <c r="H47" i="3424"/>
  <c r="H46" i="3424"/>
  <c r="H45" i="3424"/>
  <c r="C44" i="3424"/>
  <c r="H44" i="3424"/>
  <c r="C43" i="3424"/>
  <c r="H43" i="3424"/>
  <c r="C42" i="3424"/>
  <c r="H42" i="3424"/>
  <c r="C41" i="3424"/>
  <c r="H41" i="3424"/>
  <c r="C40" i="3424"/>
  <c r="H40" i="3424"/>
  <c r="C39" i="3424"/>
  <c r="H39" i="3424"/>
  <c r="C38" i="3424"/>
  <c r="H38" i="3424"/>
  <c r="C37" i="3424"/>
  <c r="H37" i="3424"/>
  <c r="C36" i="3424"/>
  <c r="H23" i="3424"/>
  <c r="C35" i="3424"/>
  <c r="H36" i="3424"/>
  <c r="C34" i="3424"/>
  <c r="H35" i="3424"/>
  <c r="C33" i="3424"/>
  <c r="H34" i="3424"/>
  <c r="C32" i="3424"/>
  <c r="H22" i="3424"/>
  <c r="H33" i="3424"/>
  <c r="C30" i="3424"/>
  <c r="H17" i="3424"/>
  <c r="H32" i="3424"/>
  <c r="H11" i="3424"/>
  <c r="H31" i="3424"/>
  <c r="H30" i="3424"/>
  <c r="B25" i="3424"/>
  <c r="H16" i="3424"/>
  <c r="B24" i="3424"/>
  <c r="H29" i="3424"/>
  <c r="B23" i="3424"/>
  <c r="H28" i="3424"/>
  <c r="B22" i="3424"/>
  <c r="H9" i="3424"/>
  <c r="C21" i="3424"/>
  <c r="H27" i="3424"/>
  <c r="C20" i="3424"/>
  <c r="H14" i="3424"/>
  <c r="C19" i="3424"/>
  <c r="H26" i="3424"/>
  <c r="C18" i="3424"/>
  <c r="H15" i="3424"/>
  <c r="C17" i="3424"/>
  <c r="H21" i="3424"/>
  <c r="C16" i="3424"/>
  <c r="H25" i="3424"/>
  <c r="C15" i="3424"/>
  <c r="H24" i="3424"/>
  <c r="C14" i="3424"/>
  <c r="H20" i="3424"/>
  <c r="C13" i="3424"/>
  <c r="O12" i="3424"/>
  <c r="H19" i="3424"/>
  <c r="C12" i="3424"/>
  <c r="O11" i="3424"/>
  <c r="H18" i="3424"/>
  <c r="C11" i="3424"/>
  <c r="O10" i="3424"/>
  <c r="H3" i="3424"/>
  <c r="C10" i="3424"/>
  <c r="H13" i="3424"/>
  <c r="C9" i="3424"/>
  <c r="H10" i="3424"/>
  <c r="C8" i="3424"/>
  <c r="O7" i="3424"/>
  <c r="H8" i="3424"/>
  <c r="C7" i="3424"/>
  <c r="O6" i="3424"/>
  <c r="H5" i="3424"/>
  <c r="B6" i="3424"/>
  <c r="O5" i="3424"/>
  <c r="H6" i="3424"/>
  <c r="B5" i="3424"/>
  <c r="O4" i="3424"/>
  <c r="H2" i="3424"/>
  <c r="O3" i="3424"/>
  <c r="H12" i="3424"/>
  <c r="O2" i="3424"/>
  <c r="H4" i="3424"/>
  <c r="O26" i="3423"/>
  <c r="O23" i="3423"/>
  <c r="O22" i="3423"/>
  <c r="O21" i="3423"/>
  <c r="O24" i="3423"/>
  <c r="O20" i="3423"/>
  <c r="O19" i="3423"/>
  <c r="O18" i="3423"/>
  <c r="O15" i="3423"/>
  <c r="O17" i="3423"/>
  <c r="H52" i="3423"/>
  <c r="H7" i="3423"/>
  <c r="H19" i="3423"/>
  <c r="H51" i="3423"/>
  <c r="H50" i="3423"/>
  <c r="H49" i="3423"/>
  <c r="H48" i="3423"/>
  <c r="H47" i="3423"/>
  <c r="H46" i="3423"/>
  <c r="C44" i="3423"/>
  <c r="H45" i="3423"/>
  <c r="C43" i="3423"/>
  <c r="H44" i="3423"/>
  <c r="C42" i="3423"/>
  <c r="H43" i="3423"/>
  <c r="C41" i="3423"/>
  <c r="H42" i="3423"/>
  <c r="C40" i="3423"/>
  <c r="H41" i="3423"/>
  <c r="C39" i="3423"/>
  <c r="H40" i="3423"/>
  <c r="C38" i="3423"/>
  <c r="H39" i="3423"/>
  <c r="C37" i="3423"/>
  <c r="H38" i="3423"/>
  <c r="C36" i="3423"/>
  <c r="H37" i="3423"/>
  <c r="C35" i="3423"/>
  <c r="H36" i="3423"/>
  <c r="C34" i="3423"/>
  <c r="H31" i="3423"/>
  <c r="C33" i="3423"/>
  <c r="H35" i="3423"/>
  <c r="C32" i="3423"/>
  <c r="H30" i="3423"/>
  <c r="H24" i="3423"/>
  <c r="C30" i="3423"/>
  <c r="H17" i="3423"/>
  <c r="H34" i="3423"/>
  <c r="H11" i="3423"/>
  <c r="H26" i="3423"/>
  <c r="H29" i="3423"/>
  <c r="B25" i="3423"/>
  <c r="H12" i="3423"/>
  <c r="B24" i="3423"/>
  <c r="H25" i="3423"/>
  <c r="B23" i="3423"/>
  <c r="H23" i="3423"/>
  <c r="B22" i="3423"/>
  <c r="H13" i="3423"/>
  <c r="C21" i="3423"/>
  <c r="H33" i="3423"/>
  <c r="C20" i="3423"/>
  <c r="H15" i="3423"/>
  <c r="C19" i="3423"/>
  <c r="H28" i="3423"/>
  <c r="C18" i="3423"/>
  <c r="H18" i="3423"/>
  <c r="C17" i="3423"/>
  <c r="H16" i="3423"/>
  <c r="C16" i="3423"/>
  <c r="H27" i="3423"/>
  <c r="C15" i="3423"/>
  <c r="H32" i="3423"/>
  <c r="C14" i="3423"/>
  <c r="H20" i="3423"/>
  <c r="C13" i="3423"/>
  <c r="O12" i="3423"/>
  <c r="H22" i="3423"/>
  <c r="C12" i="3423"/>
  <c r="O11" i="3423"/>
  <c r="H21" i="3423"/>
  <c r="C11" i="3423"/>
  <c r="O10" i="3423"/>
  <c r="H4" i="3423"/>
  <c r="C10" i="3423"/>
  <c r="H14" i="3423"/>
  <c r="C9" i="3423"/>
  <c r="H10" i="3423"/>
  <c r="C8" i="3423"/>
  <c r="O7" i="3423"/>
  <c r="H8" i="3423"/>
  <c r="C7" i="3423"/>
  <c r="O6" i="3423"/>
  <c r="H5" i="3423"/>
  <c r="B6" i="3423"/>
  <c r="O5" i="3423"/>
  <c r="H6" i="3423"/>
  <c r="B5" i="3423"/>
  <c r="O4" i="3423"/>
  <c r="H2" i="3423"/>
  <c r="O3" i="3423"/>
  <c r="H9" i="3423"/>
  <c r="O2" i="3423"/>
  <c r="H3" i="3423"/>
  <c r="O18" i="3422"/>
  <c r="O17" i="3422"/>
  <c r="O16" i="3422"/>
  <c r="O15" i="3422"/>
  <c r="H52" i="3422"/>
  <c r="H51" i="3422"/>
  <c r="H50" i="3422"/>
  <c r="H49" i="3422"/>
  <c r="H48" i="3422"/>
  <c r="H47" i="3422"/>
  <c r="H46" i="3422"/>
  <c r="H45" i="3422"/>
  <c r="H44" i="3422"/>
  <c r="C44" i="3422"/>
  <c r="H43" i="3422"/>
  <c r="C43" i="3422"/>
  <c r="H42" i="3422"/>
  <c r="C42" i="3422"/>
  <c r="H41" i="3422"/>
  <c r="C41" i="3422"/>
  <c r="H40" i="3422"/>
  <c r="C40" i="3422"/>
  <c r="H39" i="3422"/>
  <c r="C39" i="3422"/>
  <c r="H38" i="3422"/>
  <c r="C38" i="3422"/>
  <c r="H37" i="3422"/>
  <c r="C37" i="3422"/>
  <c r="H36" i="3422"/>
  <c r="C36" i="3422"/>
  <c r="H35" i="3422"/>
  <c r="C35" i="3422"/>
  <c r="H34" i="3422"/>
  <c r="C34" i="3422"/>
  <c r="H33" i="3422"/>
  <c r="C33" i="3422"/>
  <c r="H32" i="3422"/>
  <c r="C32" i="3422"/>
  <c r="H31" i="3422"/>
  <c r="H30" i="3422"/>
  <c r="C30" i="3422"/>
  <c r="H29" i="3422"/>
  <c r="H28" i="3422"/>
  <c r="H6" i="3422"/>
  <c r="H27" i="3422"/>
  <c r="H26" i="3422"/>
  <c r="B25" i="3422"/>
  <c r="H11" i="3422"/>
  <c r="B24" i="3422"/>
  <c r="H25" i="3422"/>
  <c r="B23" i="3422"/>
  <c r="H24" i="3422"/>
  <c r="B22" i="3422"/>
  <c r="H10" i="3422"/>
  <c r="C21" i="3422"/>
  <c r="H23" i="3422"/>
  <c r="C20" i="3422"/>
  <c r="H22" i="3422"/>
  <c r="C19" i="3422"/>
  <c r="H21" i="3422"/>
  <c r="C18" i="3422"/>
  <c r="H20" i="3422"/>
  <c r="C17" i="3422"/>
  <c r="H19" i="3422"/>
  <c r="C16" i="3422"/>
  <c r="H18" i="3422"/>
  <c r="C15" i="3422"/>
  <c r="H17" i="3422"/>
  <c r="C14" i="3422"/>
  <c r="H16" i="3422"/>
  <c r="C13" i="3422"/>
  <c r="O12" i="3422"/>
  <c r="H15" i="3422"/>
  <c r="C12" i="3422"/>
  <c r="O11" i="3422"/>
  <c r="H14" i="3422"/>
  <c r="C11" i="3422"/>
  <c r="O10" i="3422"/>
  <c r="H3" i="3422"/>
  <c r="C10" i="3422"/>
  <c r="H9" i="3422"/>
  <c r="C9" i="3422"/>
  <c r="H13" i="3422"/>
  <c r="C8" i="3422"/>
  <c r="O7" i="3422"/>
  <c r="H8" i="3422"/>
  <c r="C7" i="3422"/>
  <c r="O6" i="3422"/>
  <c r="H7" i="3422"/>
  <c r="B6" i="3422"/>
  <c r="O5" i="3422"/>
  <c r="H5" i="3422"/>
  <c r="B5" i="3422"/>
  <c r="O4" i="3422"/>
  <c r="H2" i="3422"/>
  <c r="O3" i="3422"/>
  <c r="H12" i="3422"/>
  <c r="O2" i="3422"/>
  <c r="H4" i="3422"/>
  <c r="O17" i="3421"/>
  <c r="O16" i="3421"/>
  <c r="O15" i="3421"/>
  <c r="H52" i="3421"/>
  <c r="H51" i="3421"/>
  <c r="H50" i="3421"/>
  <c r="H49" i="3421"/>
  <c r="H48" i="3421"/>
  <c r="H47" i="3421"/>
  <c r="H46" i="3421"/>
  <c r="H45" i="3421"/>
  <c r="H44" i="3421"/>
  <c r="C44" i="3421"/>
  <c r="H43" i="3421"/>
  <c r="C43" i="3421"/>
  <c r="H42" i="3421"/>
  <c r="C42" i="3421"/>
  <c r="H41" i="3421"/>
  <c r="C41" i="3421"/>
  <c r="H40" i="3421"/>
  <c r="C40" i="3421"/>
  <c r="H39" i="3421"/>
  <c r="C39" i="3421"/>
  <c r="H38" i="3421"/>
  <c r="C38" i="3421"/>
  <c r="H37" i="3421"/>
  <c r="C37" i="3421"/>
  <c r="H36" i="3421"/>
  <c r="C36" i="3421"/>
  <c r="H35" i="3421"/>
  <c r="C35" i="3421"/>
  <c r="H34" i="3421"/>
  <c r="C34" i="3421"/>
  <c r="H33" i="3421"/>
  <c r="C33" i="3421"/>
  <c r="H32" i="3421"/>
  <c r="C32" i="3421"/>
  <c r="H31" i="3421"/>
  <c r="H30" i="3421"/>
  <c r="C30" i="3421"/>
  <c r="H29" i="3421"/>
  <c r="H28" i="3421"/>
  <c r="H27" i="3421"/>
  <c r="H26" i="3421"/>
  <c r="H25" i="3421"/>
  <c r="B25" i="3421"/>
  <c r="H24" i="3421"/>
  <c r="B24" i="3421"/>
  <c r="H23" i="3421"/>
  <c r="B23" i="3421"/>
  <c r="H22" i="3421"/>
  <c r="B22" i="3421"/>
  <c r="H21" i="3421"/>
  <c r="C21" i="3421"/>
  <c r="H20" i="3421"/>
  <c r="C20" i="3421"/>
  <c r="H19" i="3421"/>
  <c r="C19" i="3421"/>
  <c r="H18" i="3421"/>
  <c r="C18" i="3421"/>
  <c r="H17" i="3421"/>
  <c r="C17" i="3421"/>
  <c r="H16" i="3421"/>
  <c r="C16" i="3421"/>
  <c r="H15" i="3421"/>
  <c r="C15" i="3421"/>
  <c r="H14" i="3421"/>
  <c r="C14" i="3421"/>
  <c r="H13" i="3421"/>
  <c r="C13" i="3421"/>
  <c r="O12" i="3421"/>
  <c r="H12" i="3421"/>
  <c r="C12" i="3421"/>
  <c r="O11" i="3421"/>
  <c r="H11" i="3421"/>
  <c r="C11" i="3421"/>
  <c r="O10" i="3421"/>
  <c r="H10" i="3421"/>
  <c r="C10" i="3421"/>
  <c r="H9" i="3421"/>
  <c r="C9" i="3421"/>
  <c r="H8" i="3421"/>
  <c r="C8" i="3421"/>
  <c r="O7" i="3421"/>
  <c r="H7" i="3421"/>
  <c r="C7" i="3421"/>
  <c r="O6" i="3421"/>
  <c r="H6" i="3421"/>
  <c r="B6" i="3421"/>
  <c r="O5" i="3421"/>
  <c r="H5" i="3421"/>
  <c r="B5" i="3421"/>
  <c r="O4" i="3421"/>
  <c r="H4" i="3421"/>
  <c r="O3" i="3421"/>
  <c r="H3" i="3421"/>
  <c r="O2" i="3421"/>
  <c r="H2" i="3421"/>
  <c r="O26" i="3420"/>
  <c r="O24" i="3420"/>
  <c r="O25" i="3420"/>
  <c r="O27" i="3420"/>
  <c r="O23" i="3420"/>
  <c r="O28" i="3420"/>
  <c r="O22" i="3420"/>
  <c r="O18" i="3420"/>
  <c r="O21" i="3420"/>
  <c r="O16" i="3420"/>
  <c r="O15" i="3420"/>
  <c r="H52" i="3420"/>
  <c r="H7" i="3420"/>
  <c r="H15" i="3420"/>
  <c r="H51" i="3420"/>
  <c r="H50" i="3420"/>
  <c r="H49" i="3420"/>
  <c r="H48" i="3420"/>
  <c r="H47" i="3420"/>
  <c r="H32" i="3420"/>
  <c r="C44" i="3420"/>
  <c r="H46" i="3420"/>
  <c r="C43" i="3420"/>
  <c r="H45" i="3420"/>
  <c r="C42" i="3420"/>
  <c r="H44" i="3420"/>
  <c r="C41" i="3420"/>
  <c r="H43" i="3420"/>
  <c r="C40" i="3420"/>
  <c r="H42" i="3420"/>
  <c r="C39" i="3420"/>
  <c r="H41" i="3420"/>
  <c r="C38" i="3420"/>
  <c r="H40" i="3420"/>
  <c r="C37" i="3420"/>
  <c r="H39" i="3420"/>
  <c r="C36" i="3420"/>
  <c r="H38" i="3420"/>
  <c r="C35" i="3420"/>
  <c r="H37" i="3420"/>
  <c r="C34" i="3420"/>
  <c r="H31" i="3420"/>
  <c r="C33" i="3420"/>
  <c r="H36" i="3420"/>
  <c r="C32" i="3420"/>
  <c r="H30" i="3420"/>
  <c r="H22" i="3420"/>
  <c r="C30" i="3420"/>
  <c r="H18" i="3420"/>
  <c r="H25" i="3420"/>
  <c r="H8" i="3420"/>
  <c r="H27" i="3420"/>
  <c r="H29" i="3420"/>
  <c r="B25" i="3420"/>
  <c r="H12" i="3420"/>
  <c r="B24" i="3420"/>
  <c r="H21" i="3420"/>
  <c r="B23" i="3420"/>
  <c r="H26" i="3420"/>
  <c r="B22" i="3420"/>
  <c r="H14" i="3420"/>
  <c r="C21" i="3420"/>
  <c r="H35" i="3420"/>
  <c r="C20" i="3420"/>
  <c r="H17" i="3420"/>
  <c r="C19" i="3420"/>
  <c r="H34" i="3420"/>
  <c r="C18" i="3420"/>
  <c r="H19" i="3420"/>
  <c r="C17" i="3420"/>
  <c r="H16" i="3420"/>
  <c r="C16" i="3420"/>
  <c r="H20" i="3420"/>
  <c r="C15" i="3420"/>
  <c r="H33" i="3420"/>
  <c r="C14" i="3420"/>
  <c r="H24" i="3420"/>
  <c r="C13" i="3420"/>
  <c r="O12" i="3420"/>
  <c r="H28" i="3420"/>
  <c r="C12" i="3420"/>
  <c r="O11" i="3420"/>
  <c r="H23" i="3420"/>
  <c r="C11" i="3420"/>
  <c r="O10" i="3420"/>
  <c r="H3" i="3420"/>
  <c r="C10" i="3420"/>
  <c r="H13" i="3420"/>
  <c r="C9" i="3420"/>
  <c r="H11" i="3420"/>
  <c r="C8" i="3420"/>
  <c r="O7" i="3420"/>
  <c r="H9" i="3420"/>
  <c r="C7" i="3420"/>
  <c r="O6" i="3420"/>
  <c r="H6" i="3420"/>
  <c r="B6" i="3420"/>
  <c r="O5" i="3420"/>
  <c r="H5" i="3420"/>
  <c r="B5" i="3420"/>
  <c r="O4" i="3420"/>
  <c r="H2" i="3420"/>
  <c r="O3" i="3420"/>
  <c r="H10" i="3420"/>
  <c r="O2" i="3420"/>
  <c r="H4" i="3420"/>
  <c r="O30" i="3419"/>
  <c r="O29" i="3419"/>
  <c r="O26" i="3419"/>
  <c r="O23" i="3419"/>
  <c r="O28" i="3419"/>
  <c r="O27" i="3419"/>
  <c r="O21" i="3419"/>
  <c r="O22" i="3419"/>
  <c r="O20" i="3419"/>
  <c r="O24" i="3419"/>
  <c r="O19" i="3419"/>
  <c r="O17" i="3419"/>
  <c r="O15" i="3419"/>
  <c r="H52" i="3419"/>
  <c r="H7" i="3419"/>
  <c r="H18" i="3419"/>
  <c r="H51" i="3419"/>
  <c r="H50" i="3419"/>
  <c r="H49" i="3419"/>
  <c r="H48" i="3419"/>
  <c r="H47" i="3419"/>
  <c r="H32" i="3419"/>
  <c r="C44" i="3419"/>
  <c r="H46" i="3419"/>
  <c r="C43" i="3419"/>
  <c r="H45" i="3419"/>
  <c r="C42" i="3419"/>
  <c r="H44" i="3419"/>
  <c r="C41" i="3419"/>
  <c r="H43" i="3419"/>
  <c r="C40" i="3419"/>
  <c r="H34" i="3419"/>
  <c r="C39" i="3419"/>
  <c r="H42" i="3419"/>
  <c r="C38" i="3419"/>
  <c r="H41" i="3419"/>
  <c r="C37" i="3419"/>
  <c r="H40" i="3419"/>
  <c r="C36" i="3419"/>
  <c r="H33" i="3419"/>
  <c r="C35" i="3419"/>
  <c r="H39" i="3419"/>
  <c r="C34" i="3419"/>
  <c r="H31" i="3419"/>
  <c r="C33" i="3419"/>
  <c r="H38" i="3419"/>
  <c r="C32" i="3419"/>
  <c r="H26" i="3419"/>
  <c r="H23" i="3419"/>
  <c r="C30" i="3419"/>
  <c r="H17" i="3419"/>
  <c r="H30" i="3419"/>
  <c r="H9" i="3419"/>
  <c r="H29" i="3419"/>
  <c r="H28" i="3419"/>
  <c r="B25" i="3419"/>
  <c r="H13" i="3419"/>
  <c r="B24" i="3419"/>
  <c r="H24" i="3419"/>
  <c r="B23" i="3419"/>
  <c r="H27" i="3419"/>
  <c r="B22" i="3419"/>
  <c r="H14" i="3419"/>
  <c r="C21" i="3419"/>
  <c r="H37" i="3419"/>
  <c r="C20" i="3419"/>
  <c r="H16" i="3419"/>
  <c r="C19" i="3419"/>
  <c r="H35" i="3419"/>
  <c r="C18" i="3419"/>
  <c r="H19" i="3419"/>
  <c r="C17" i="3419"/>
  <c r="H15" i="3419"/>
  <c r="C16" i="3419"/>
  <c r="H22" i="3419"/>
  <c r="C15" i="3419"/>
  <c r="H36" i="3419"/>
  <c r="C14" i="3419"/>
  <c r="H21" i="3419"/>
  <c r="C13" i="3419"/>
  <c r="O12" i="3419"/>
  <c r="H25" i="3419"/>
  <c r="C12" i="3419"/>
  <c r="O11" i="3419"/>
  <c r="H20" i="3419"/>
  <c r="C11" i="3419"/>
  <c r="O10" i="3419"/>
  <c r="H3" i="3419"/>
  <c r="C10" i="3419"/>
  <c r="H12" i="3419"/>
  <c r="C9" i="3419"/>
  <c r="H11" i="3419"/>
  <c r="C8" i="3419"/>
  <c r="O7" i="3419"/>
  <c r="H8" i="3419"/>
  <c r="C7" i="3419"/>
  <c r="O6" i="3419"/>
  <c r="H5" i="3419"/>
  <c r="B6" i="3419"/>
  <c r="O5" i="3419"/>
  <c r="H6" i="3419"/>
  <c r="B5" i="3419"/>
  <c r="O4" i="3419"/>
  <c r="H2" i="3419"/>
  <c r="O3" i="3419"/>
  <c r="H10" i="3419"/>
  <c r="O2" i="3419"/>
  <c r="H4" i="3419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<sst xmlns="http://schemas.openxmlformats.org/spreadsheetml/2006/main" count="3829" uniqueCount="201">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</sst>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全体!$K$2:$K$2549</c:f>
              <c:numCache>
                <c:formatCode>General</c:formatCode>
                <c:ptCount val="25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</c:numCache>
            </c:numRef>
          </c:xVal>
          <c:yVal>
            <c:numRef>
              <c:f>全体!$L$2:$L$2549</c:f>
              <c:numCache>
                <c:formatCode>\+0.0;\-0.0;\±0</c:formatCode>
                <c:ptCount val="254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3-4FE9-9207-CFFA41DBC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-18.979833926453143</c:v>
                </c:pt>
                <c:pt idx="1">
                  <c:v>-1.2180267965895251</c:v>
                </c:pt>
                <c:pt idx="2">
                  <c:v>4.3177892918825558</c:v>
                </c:pt>
                <c:pt idx="3">
                  <c:v>5.6417489421720735</c:v>
                </c:pt>
                <c:pt idx="4">
                  <c:v>2.0931449502878072</c:v>
                </c:pt>
                <c:pt idx="5">
                  <c:v>15.576323987538942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7A-4364-9D35-C90A33400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376</c:v>
                </c:pt>
                <c:pt idx="1">
                  <c:v>845</c:v>
                </c:pt>
                <c:pt idx="2">
                  <c:v>1094</c:v>
                </c:pt>
                <c:pt idx="3">
                  <c:v>1073</c:v>
                </c:pt>
                <c:pt idx="4">
                  <c:v>898</c:v>
                </c:pt>
                <c:pt idx="5">
                  <c:v>580</c:v>
                </c:pt>
                <c:pt idx="6">
                  <c:v>360</c:v>
                </c:pt>
                <c:pt idx="7">
                  <c:v>195</c:v>
                </c:pt>
                <c:pt idx="8">
                  <c:v>114</c:v>
                </c:pt>
                <c:pt idx="9">
                  <c:v>56</c:v>
                </c:pt>
                <c:pt idx="10">
                  <c:v>30</c:v>
                </c:pt>
                <c:pt idx="11">
                  <c:v>14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2C-452B-AABF-CFE9ED12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だいち!$K$2:$K$604</c:f>
              <c:numCache>
                <c:formatCode>General</c:formatCode>
                <c:ptCount val="6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</c:numCache>
            </c:numRef>
          </c:xVal>
          <c:yVal>
            <c:numRef>
              <c:f>だいち!$L$2:$L$604</c:f>
              <c:numCache>
                <c:formatCode>\+0.0;\-0.0;\±0</c:formatCode>
                <c:ptCount val="60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9-4826-8298-774C75C3F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1326.1744966442952</c:v>
                </c:pt>
                <c:pt idx="1">
                  <c:v>1137.8238341968911</c:v>
                </c:pt>
                <c:pt idx="2">
                  <c:v>1334</c:v>
                </c:pt>
                <c:pt idx="3">
                  <c:v>1784.6307385229541</c:v>
                </c:pt>
                <c:pt idx="4">
                  <c:v>1523.8307349665924</c:v>
                </c:pt>
                <c:pt idx="5">
                  <c:v>1683.0645161290322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7-4BD4-8D36-BDD3B0970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93</c:v>
                </c:pt>
                <c:pt idx="1">
                  <c:v>200</c:v>
                </c:pt>
                <c:pt idx="2">
                  <c:v>289</c:v>
                </c:pt>
                <c:pt idx="3">
                  <c:v>303</c:v>
                </c:pt>
                <c:pt idx="4">
                  <c:v>219</c:v>
                </c:pt>
                <c:pt idx="5">
                  <c:v>164</c:v>
                </c:pt>
                <c:pt idx="6">
                  <c:v>105</c:v>
                </c:pt>
                <c:pt idx="7">
                  <c:v>47</c:v>
                </c:pt>
                <c:pt idx="8">
                  <c:v>30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0-43FD-ABC5-CD6BF737C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8-4B47-9F85-9288ACB9D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0-4AE6-AF61-EE874B652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2-4453-8212-3B8F608FE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5DA-932B-2975B4EE3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F-45C4-8008-5E08A400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6-4B76-9E5F-78F7C38E7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りくと!$K$2:$K$378</c:f>
              <c:numCache>
                <c:formatCode>General</c:formatCode>
                <c:ptCount val="3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</c:numCache>
            </c:numRef>
          </c:xVal>
          <c:yVal>
            <c:numRef>
              <c:f>りくと!$L$2:$L$378</c:f>
              <c:numCache>
                <c:formatCode>\+0.0;\-0.0;\±0</c:formatCode>
                <c:ptCount val="37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6-4824-B6F2-917CCA2D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-105.89812332439678</c:v>
                </c:pt>
                <c:pt idx="1">
                  <c:v>-1377.7472527472528</c:v>
                </c:pt>
                <c:pt idx="2">
                  <c:v>414.73988439306356</c:v>
                </c:pt>
                <c:pt idx="3">
                  <c:v>-776.2658227848101</c:v>
                </c:pt>
                <c:pt idx="4">
                  <c:v>-1178.6476868327402</c:v>
                </c:pt>
                <c:pt idx="5">
                  <c:v>-944.35146443514645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F-4DB7-91E4-816D63908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41</c:v>
                </c:pt>
                <c:pt idx="1">
                  <c:v>97</c:v>
                </c:pt>
                <c:pt idx="2">
                  <c:v>150</c:v>
                </c:pt>
                <c:pt idx="3">
                  <c:v>141</c:v>
                </c:pt>
                <c:pt idx="4">
                  <c:v>126</c:v>
                </c:pt>
                <c:pt idx="5">
                  <c:v>92</c:v>
                </c:pt>
                <c:pt idx="6">
                  <c:v>57</c:v>
                </c:pt>
                <c:pt idx="7">
                  <c:v>27</c:v>
                </c:pt>
                <c:pt idx="8">
                  <c:v>13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A-45BC-8A29-108CF22EB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57-459E-A2A6-0991C8991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B-4564-B416-F58F541C2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5-453D-91C2-714BC8027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3-4C17-BC7B-53D96DCEB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B-4FE6-8308-E5EC4979E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0-48BD-8AE6-495CBECB2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たかの!$L$2:$L$248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56-424F-B6EC-6BA4C95F1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-17.073170731707318</c:v>
                </c:pt>
                <c:pt idx="1">
                  <c:v>-1648.3333333333333</c:v>
                </c:pt>
                <c:pt idx="2">
                  <c:v>-1230.909090909091</c:v>
                </c:pt>
                <c:pt idx="3">
                  <c:v>-110.90047393364929</c:v>
                </c:pt>
                <c:pt idx="4">
                  <c:v>-537.3056994818653</c:v>
                </c:pt>
                <c:pt idx="5">
                  <c:v>-1009.2592592592592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93-443C-AAAB-9EA087792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113</c:v>
                </c:pt>
                <c:pt idx="3">
                  <c:v>107</c:v>
                </c:pt>
                <c:pt idx="4">
                  <c:v>83</c:v>
                </c:pt>
                <c:pt idx="5">
                  <c:v>36</c:v>
                </c:pt>
                <c:pt idx="6">
                  <c:v>21</c:v>
                </c:pt>
                <c:pt idx="7">
                  <c:v>15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15-4E3B-A993-9C4646936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ただ!$K$2:$K$419</c:f>
              <c:numCache>
                <c:formatCode>General</c:formatCode>
                <c:ptCount val="4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</c:numCache>
            </c:numRef>
          </c:xVal>
          <c:yVal>
            <c:numRef>
              <c:f>ただ!$L$2:$L$419</c:f>
              <c:numCache>
                <c:formatCode>\+0.0;\-0.0;\±0</c:formatCode>
                <c:ptCount val="41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F-4DBF-8B22-1D6A16138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-853.02663438256661</c:v>
                </c:pt>
                <c:pt idx="1">
                  <c:v>-17.5</c:v>
                </c:pt>
                <c:pt idx="2">
                  <c:v>418.35106382978722</c:v>
                </c:pt>
                <c:pt idx="3">
                  <c:v>-1100.2873563218391</c:v>
                </c:pt>
                <c:pt idx="4">
                  <c:v>-13.418530351437699</c:v>
                </c:pt>
                <c:pt idx="5">
                  <c:v>68.40148698884758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F-46FE-91AB-D629AAF5F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52</c:v>
                </c:pt>
                <c:pt idx="1">
                  <c:v>151</c:v>
                </c:pt>
                <c:pt idx="2">
                  <c:v>209</c:v>
                </c:pt>
                <c:pt idx="3">
                  <c:v>186</c:v>
                </c:pt>
                <c:pt idx="4">
                  <c:v>135</c:v>
                </c:pt>
                <c:pt idx="5">
                  <c:v>91</c:v>
                </c:pt>
                <c:pt idx="6">
                  <c:v>46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3-4280-AB9B-82069E0A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00-44D1-B1B3-069257F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0-4C31-80BE-FCAFA39EF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0-4884-8249-A4757483D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れんたろう!$K$2:$K$319</c:f>
              <c:numCache>
                <c:formatCode>General</c:formatCode>
                <c:ptCount val="3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</c:numCache>
            </c:numRef>
          </c:xVal>
          <c:yVal>
            <c:numRef>
              <c:f>れんたろう!$L$2:$L$319</c:f>
              <c:numCache>
                <c:formatCode>\+0.0;\-0.0;\±0</c:formatCode>
                <c:ptCount val="31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49-4B87-9B70-606C3FC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142.81150159744408</c:v>
                </c:pt>
                <c:pt idx="1">
                  <c:v>-263.07189542483661</c:v>
                </c:pt>
                <c:pt idx="2">
                  <c:v>540.35087719298247</c:v>
                </c:pt>
                <c:pt idx="3">
                  <c:v>787.98449612403101</c:v>
                </c:pt>
                <c:pt idx="4">
                  <c:v>-1581.7021276595744</c:v>
                </c:pt>
                <c:pt idx="5">
                  <c:v>214.21319796954316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B-4BE5-8B63-D38C594BE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24</c:v>
                </c:pt>
                <c:pt idx="1">
                  <c:v>76</c:v>
                </c:pt>
                <c:pt idx="2">
                  <c:v>107</c:v>
                </c:pt>
                <c:pt idx="3">
                  <c:v>144</c:v>
                </c:pt>
                <c:pt idx="4">
                  <c:v>139</c:v>
                </c:pt>
                <c:pt idx="5">
                  <c:v>79</c:v>
                </c:pt>
                <c:pt idx="6">
                  <c:v>59</c:v>
                </c:pt>
                <c:pt idx="7">
                  <c:v>31</c:v>
                </c:pt>
                <c:pt idx="8">
                  <c:v>23</c:v>
                </c:pt>
                <c:pt idx="9">
                  <c:v>11</c:v>
                </c:pt>
                <c:pt idx="10">
                  <c:v>6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9-40C0-923E-FC7B83A23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F4-49D5-A82A-9E3F5B42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3-4951-95EF-DFB605EBC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1-457D-8002-6C5A85D91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まっつん!$L$2:$L$259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07-4DF4-AA44-BB8DE2EDE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140.85603112840468</c:v>
                </c:pt>
                <c:pt idx="1">
                  <c:v>822.4</c:v>
                </c:pt>
                <c:pt idx="2">
                  <c:v>-1071.6738197424893</c:v>
                </c:pt>
                <c:pt idx="3">
                  <c:v>-203.24074074074073</c:v>
                </c:pt>
                <c:pt idx="4">
                  <c:v>-1709.1836734693877</c:v>
                </c:pt>
                <c:pt idx="5">
                  <c:v>-124.69135802469135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C-4273-AAA8-1ACD21342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40</c:v>
                </c:pt>
                <c:pt idx="1">
                  <c:v>88</c:v>
                </c:pt>
                <c:pt idx="2">
                  <c:v>107</c:v>
                </c:pt>
                <c:pt idx="3">
                  <c:v>93</c:v>
                </c:pt>
                <c:pt idx="4">
                  <c:v>96</c:v>
                </c:pt>
                <c:pt idx="5">
                  <c:v>57</c:v>
                </c:pt>
                <c:pt idx="6">
                  <c:v>33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0-4FD3-8C53-36E51CF17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ぱぱ!$L$2:$L$99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A3-4929-A6A1-E728A60A4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-2812.5</c:v>
                </c:pt>
                <c:pt idx="1">
                  <c:v>389.58333333333331</c:v>
                </c:pt>
                <c:pt idx="2">
                  <c:v>-1573.9130434782608</c:v>
                </c:pt>
                <c:pt idx="3">
                  <c:v>-3184.5238095238096</c:v>
                </c:pt>
                <c:pt idx="4">
                  <c:v>1229.3333333333333</c:v>
                </c:pt>
                <c:pt idx="5">
                  <c:v>84.848484848484844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E-48D4-90FA-82D879D7F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39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B-4958-AC30-22178BE30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A1-4BCD-829E-87390A9BA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1A-4E98-B2E4-2E2DCB49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C-4DA5-9DE7-F81C31B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7-4C4E-875E-4A78BE8A1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F-405D-B9D8-2998D2A4D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1-4587-A004-EDE80054E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のり!$L$2:$L$52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65-4E3E-8AF2-ECFE401B4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-3322</c:v>
                </c:pt>
                <c:pt idx="1">
                  <c:v>-794</c:v>
                </c:pt>
                <c:pt idx="2">
                  <c:v>-1412.2448979591836</c:v>
                </c:pt>
                <c:pt idx="3">
                  <c:v>-1704.4444444444443</c:v>
                </c:pt>
                <c:pt idx="4">
                  <c:v>-1773.8095238095239</c:v>
                </c:pt>
                <c:pt idx="5">
                  <c:v>-4047.2222222222222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A4E-89D2-69AFA1B8A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22</c:v>
                </c:pt>
                <c:pt idx="2">
                  <c:v>23</c:v>
                </c:pt>
                <c:pt idx="3">
                  <c:v>15</c:v>
                </c:pt>
                <c:pt idx="4">
                  <c:v>13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B-4D1C-89B7-CC68582AD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E9C-A91B-14DDD90C5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97-469D-A919-450419840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D-4A66-95B7-7089285EE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1A0C06-C22E-453D-B424-04B3B08E66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077C11-5961-41EA-A8FF-D12E82065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7ED5E17-8ABD-478C-8E90-64633B33C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FF16D6-BA6D-4958-9CED-549908D61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635F68-1CB3-485E-BB64-21DCB1AF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D43EE2-4681-4122-99FF-7240B19EE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B021F0-758B-4747-A4BB-FACC5424F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EA08BB-6BCF-40D5-8198-838C59AED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7DD5EA-8309-4A57-9387-DDDA42A7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CADECB-8FA2-4C13-92BF-2E1FC41461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52B66C-1D0D-4F3E-B0C4-9948DB180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F1D517-23F0-4D96-8606-4BFD0E4FA3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9A6FA4-FE30-48DC-8F99-3E91E376F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D6C2BD-C012-44E5-AE40-5CA485D843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688D4-2590-4927-959C-710ED1828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40F794-242E-459D-9446-3F79882F6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5CCF94-0513-4C27-B36D-E43C23843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1AE2F2-F876-4295-A9FB-27D75A9A9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AD21C9-A0C5-401B-8BD7-7D8D555E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89948A-D4A1-4F0D-960D-0EA9C1447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960E3A-A49D-4C8E-BF54-11B48FC69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F5E390-2875-4288-BC53-FC8E3F43B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C676C6-866C-4B87-81F5-8CF8829E7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5421A24-46A0-45C7-90F8-D1DA6FECD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4BEED8-A5DF-4573-AC87-4B5B290ED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84D320-2749-4A9F-B072-41DBC2CBE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654FBA-A64B-49A3-A4FC-81E21AAAE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0601AB-DA80-4F22-A0A2-E116C773B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E907D0-5BEF-4653-BED0-A315CB9EF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162667-BA44-4321-9B6D-CA7CF2F5A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23DD9A-15E9-45A0-93EF-37A0E86A9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47F626-4678-4F31-A56D-3F6873C7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4F8C002-886F-4211-8083-FF2314759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7868E0-842C-43DF-ABD5-FDEFA3711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935509-D089-43DB-A4D2-06BF24F6C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217F20-45D4-45F4-8651-EF351BE79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0771DD-8805-4F81-AF6D-219D15239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60F8C3-9266-4CC8-A42F-497F94071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9F44576-5323-4F52-8316-AAE4D31334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BE241E-3152-4D1B-B231-DF6A8358F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B4C6A7-1078-4B38-B432-951157761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066904-C10F-4BEB-8239-A298B6FBA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2C8C95-622E-4427-83F3-3F85CE9659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9A25B9-4F7C-43CB-842E-93D17990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AF05F2-EF53-4C6A-92B9-D6ED648BA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724A89-833D-4D14-9A6A-5D07D2B38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549425-A342-46F5-BF72-E637631C0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F01724-383E-4608-9A8B-6210566CE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FE672B-C9D7-43B4-BD8B-4F669F606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4D6B0E-24ED-47DE-9805-9E003DEE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36E1F60-A308-48B7-884F-9C180F184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6C981E-0E4C-4F7A-8A9A-ABAB22DC4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3BCB0A-B3C9-4A1A-AA75-F16CD947E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D4A43D-52F8-4BA5-9A6C-3BED2B5B6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35"/>
      <c r="C1" s="13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37">
        <v>0</v>
      </c>
      <c r="C3" s="138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">
      <c r="A4" s="20" t="s">
        <v>6</v>
      </c>
      <c r="B4" s="139">
        <v>0</v>
      </c>
      <c r="C4" s="140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">
      <c r="A5" s="20" t="s">
        <v>7</v>
      </c>
      <c r="B5" s="141">
        <f>IF(B$2=0,0,B$4/B$2)</f>
        <v>0</v>
      </c>
      <c r="C5" s="142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">
      <c r="A6" s="20" t="s">
        <v>1</v>
      </c>
      <c r="B6" s="133">
        <f>IF(B$2=0,0,(B$7*1+B$8*2+B$9*3)/B$2)</f>
        <v>0</v>
      </c>
      <c r="C6" s="134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">
      <c r="A28" s="64" t="s">
        <v>134</v>
      </c>
      <c r="B28" s="131">
        <v>0</v>
      </c>
      <c r="C28" s="132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">
      <c r="A29" s="40" t="s">
        <v>177</v>
      </c>
      <c r="B29" s="129">
        <v>-1000000</v>
      </c>
      <c r="C29" s="130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">
      <c r="A47" s="39" t="s">
        <v>182</v>
      </c>
      <c r="B47" s="125">
        <v>0</v>
      </c>
      <c r="C47" s="12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1:C1"/>
    <mergeCell ref="B2:C2"/>
    <mergeCell ref="B3:C3"/>
    <mergeCell ref="B4:C4"/>
    <mergeCell ref="B5:C5"/>
    <mergeCell ref="B47:C47"/>
    <mergeCell ref="B46:C46"/>
    <mergeCell ref="B29:C29"/>
    <mergeCell ref="B28:C28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0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60" customWidth="1"/>
    <col min="8" max="8" width="10.75" style="59" customWidth="1"/>
    <col min="9" max="9" width="10.75" style="61" customWidth="1"/>
    <col min="10" max="10" width="10.75" style="59" customWidth="1"/>
    <col min="11" max="11" width="10.75" style="61" customWidth="1"/>
    <col min="12" max="12" width="10.75" style="59" customWidth="1"/>
    <col min="13" max="13" width="10.75" style="62" customWidth="1"/>
    <col min="14" max="14" width="10.75" style="59" customWidth="1"/>
    <col min="15" max="15" width="10.75" style="62" customWidth="1"/>
    <col min="16" max="16" width="10.75" style="59" customWidth="1"/>
    <col min="17" max="17" width="10.75" style="63" customWidth="1"/>
    <col min="18" max="18" width="10.75" style="59" customWidth="1"/>
    <col min="19" max="19" width="10.75" style="63" customWidth="1"/>
    <col min="20" max="20" width="10.75" style="59" customWidth="1"/>
    <col min="21" max="21" width="10.75" style="61" customWidth="1"/>
    <col min="22" max="22" width="10.75" style="59" customWidth="1"/>
    <col min="23" max="23" width="10.75" style="62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6" customWidth="1"/>
    <col min="34" max="16384" width="9" style="47"/>
  </cols>
  <sheetData>
    <row r="1" spans="1:33" x14ac:dyDescent="0.4">
      <c r="A1" s="46"/>
      <c r="B1" s="143" t="s">
        <v>6</v>
      </c>
      <c r="C1" s="144"/>
      <c r="D1" s="143" t="s">
        <v>7</v>
      </c>
      <c r="E1" s="144"/>
      <c r="F1" s="143" t="s">
        <v>15</v>
      </c>
      <c r="G1" s="144"/>
      <c r="H1" s="143" t="s">
        <v>14</v>
      </c>
      <c r="I1" s="144"/>
      <c r="J1" s="143" t="s">
        <v>147</v>
      </c>
      <c r="K1" s="144"/>
      <c r="L1" s="143" t="s">
        <v>137</v>
      </c>
      <c r="M1" s="144"/>
      <c r="N1" s="143" t="s">
        <v>138</v>
      </c>
      <c r="O1" s="144"/>
      <c r="P1" s="143" t="s">
        <v>5</v>
      </c>
      <c r="Q1" s="144"/>
      <c r="R1" s="143" t="s">
        <v>16</v>
      </c>
      <c r="S1" s="144"/>
      <c r="T1" s="143" t="s">
        <v>17</v>
      </c>
      <c r="U1" s="144"/>
      <c r="V1" s="143" t="s">
        <v>122</v>
      </c>
      <c r="W1" s="144"/>
      <c r="X1" s="143" t="s">
        <v>119</v>
      </c>
      <c r="Y1" s="144"/>
      <c r="Z1" s="143" t="s">
        <v>125</v>
      </c>
      <c r="AA1" s="144"/>
      <c r="AB1" s="143" t="s">
        <v>139</v>
      </c>
      <c r="AC1" s="144"/>
      <c r="AD1" s="143" t="s">
        <v>136</v>
      </c>
      <c r="AE1" s="144"/>
      <c r="AF1" s="143" t="s">
        <v>177</v>
      </c>
      <c r="AG1" s="144"/>
    </row>
    <row r="2" spans="1:33" x14ac:dyDescent="0.4">
      <c r="A2" s="46" t="s">
        <v>146</v>
      </c>
      <c r="B2" s="145"/>
      <c r="C2" s="146"/>
      <c r="D2" s="145"/>
      <c r="E2" s="146"/>
      <c r="F2" s="147">
        <v>0.96152040527201332</v>
      </c>
      <c r="G2" s="148"/>
      <c r="H2" s="147">
        <v>0.95666468200169896</v>
      </c>
      <c r="I2" s="148"/>
      <c r="J2" s="147">
        <v>0.92603133027498707</v>
      </c>
      <c r="K2" s="148"/>
      <c r="L2" s="147">
        <v>0.77429898300188493</v>
      </c>
      <c r="M2" s="148"/>
      <c r="N2" s="147">
        <v>0.78642442787170419</v>
      </c>
      <c r="O2" s="148"/>
      <c r="P2" s="147">
        <v>0.58198171186119052</v>
      </c>
      <c r="Q2" s="148"/>
      <c r="R2" s="147">
        <v>-0.4822050598030026</v>
      </c>
      <c r="S2" s="148"/>
      <c r="T2" s="147">
        <v>0.45866903270082521</v>
      </c>
      <c r="U2" s="148"/>
      <c r="V2" s="147">
        <v>0.72250262726678627</v>
      </c>
      <c r="W2" s="148"/>
      <c r="X2" s="147">
        <v>2.959967600860134E-2</v>
      </c>
      <c r="Y2" s="148"/>
      <c r="Z2" s="147">
        <v>0.39470646276215515</v>
      </c>
      <c r="AA2" s="148"/>
      <c r="AB2" s="147">
        <v>0.46773074258890679</v>
      </c>
      <c r="AC2" s="148"/>
      <c r="AD2" s="147">
        <v>-0.36581595598529804</v>
      </c>
      <c r="AE2" s="148"/>
      <c r="AF2" s="147">
        <v>0.83740927303015822</v>
      </c>
      <c r="AG2" s="148"/>
    </row>
    <row r="3" spans="1:33" x14ac:dyDescent="0.4">
      <c r="A3" s="48">
        <v>1</v>
      </c>
      <c r="B3" s="49" t="s">
        <v>195</v>
      </c>
      <c r="C3" s="50">
        <v>5753.4</v>
      </c>
      <c r="D3" s="51" t="s">
        <v>200</v>
      </c>
      <c r="E3" s="70">
        <v>13.3</v>
      </c>
      <c r="F3" s="51" t="s">
        <v>196</v>
      </c>
      <c r="G3" s="52">
        <v>1.6666666666666667</v>
      </c>
      <c r="H3" s="51" t="s">
        <v>196</v>
      </c>
      <c r="I3" s="53">
        <v>0.55555555555555558</v>
      </c>
      <c r="J3" s="51" t="s">
        <v>200</v>
      </c>
      <c r="K3" s="53">
        <v>0</v>
      </c>
      <c r="L3" s="51" t="s">
        <v>196</v>
      </c>
      <c r="M3" s="54">
        <v>0.34782608695652173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-7575.1592356687897</v>
      </c>
      <c r="T3" s="51" t="s">
        <v>189</v>
      </c>
      <c r="U3" s="53">
        <v>0</v>
      </c>
      <c r="V3" s="51" t="s">
        <v>189</v>
      </c>
      <c r="W3" s="54">
        <v>0.42105263157894735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1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">
      <c r="A4" s="56">
        <v>2</v>
      </c>
      <c r="B4" s="57" t="s">
        <v>196</v>
      </c>
      <c r="C4" s="58">
        <v>109</v>
      </c>
      <c r="D4" s="59" t="s">
        <v>196</v>
      </c>
      <c r="E4" s="71">
        <v>12.111111111111111</v>
      </c>
      <c r="F4" s="59" t="s">
        <v>195</v>
      </c>
      <c r="G4" s="60">
        <v>1.7574750830564785</v>
      </c>
      <c r="H4" s="59" t="s">
        <v>195</v>
      </c>
      <c r="I4" s="61">
        <v>0.46511627906976744</v>
      </c>
      <c r="J4" s="59" t="s">
        <v>196</v>
      </c>
      <c r="K4" s="61">
        <v>0.22222222222222221</v>
      </c>
      <c r="L4" s="59" t="s">
        <v>195</v>
      </c>
      <c r="M4" s="62">
        <v>0.34662190516156105</v>
      </c>
      <c r="N4" s="59" t="s">
        <v>196</v>
      </c>
      <c r="O4" s="62">
        <v>8.6956521739130432E-2</v>
      </c>
      <c r="P4" s="59" t="s">
        <v>189</v>
      </c>
      <c r="Q4" s="63">
        <v>12333.333333333334</v>
      </c>
      <c r="R4" s="59" t="s">
        <v>186</v>
      </c>
      <c r="S4" s="63">
        <v>-7985.2760736196315</v>
      </c>
      <c r="T4" s="59" t="s">
        <v>200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196</v>
      </c>
      <c r="AA4" s="62">
        <v>0.61538461538461542</v>
      </c>
      <c r="AB4" s="59" t="s">
        <v>196</v>
      </c>
      <c r="AC4" s="62">
        <v>0.5</v>
      </c>
      <c r="AD4" s="59" t="s">
        <v>186</v>
      </c>
      <c r="AE4" s="62">
        <v>0.51327433628318586</v>
      </c>
      <c r="AF4" s="59" t="s">
        <v>183</v>
      </c>
      <c r="AG4" s="66">
        <v>149100</v>
      </c>
    </row>
    <row r="5" spans="1:33" x14ac:dyDescent="0.4">
      <c r="A5" s="56">
        <v>3</v>
      </c>
      <c r="B5" s="57" t="s">
        <v>192</v>
      </c>
      <c r="C5" s="58">
        <v>91.000000000000014</v>
      </c>
      <c r="D5" s="59" t="s">
        <v>195</v>
      </c>
      <c r="E5" s="71">
        <v>9.5571428571428569</v>
      </c>
      <c r="F5" s="59" t="s">
        <v>199</v>
      </c>
      <c r="G5" s="60">
        <v>1.9285714285714286</v>
      </c>
      <c r="H5" s="59" t="s">
        <v>192</v>
      </c>
      <c r="I5" s="61">
        <v>0.35897435897435898</v>
      </c>
      <c r="J5" s="59" t="s">
        <v>195</v>
      </c>
      <c r="K5" s="61">
        <v>0.22259136212624583</v>
      </c>
      <c r="L5" s="59" t="s">
        <v>194</v>
      </c>
      <c r="M5" s="62">
        <v>0.32835820895522388</v>
      </c>
      <c r="N5" s="59" t="s">
        <v>195</v>
      </c>
      <c r="O5" s="62">
        <v>0.14141838019303399</v>
      </c>
      <c r="P5" s="59" t="s">
        <v>192</v>
      </c>
      <c r="Q5" s="63">
        <v>11250.561797752809</v>
      </c>
      <c r="R5" s="59" t="s">
        <v>197</v>
      </c>
      <c r="S5" s="63">
        <v>-7995.2380952380954</v>
      </c>
      <c r="T5" s="59" t="s">
        <v>195</v>
      </c>
      <c r="U5" s="61">
        <v>7.9734219269102985E-2</v>
      </c>
      <c r="V5" s="59" t="s">
        <v>191</v>
      </c>
      <c r="W5" s="62">
        <v>0.29860279441117765</v>
      </c>
      <c r="X5" s="59" t="s">
        <v>194</v>
      </c>
      <c r="Y5" s="62">
        <v>0.27777777777777779</v>
      </c>
      <c r="Z5" s="59" t="s">
        <v>194</v>
      </c>
      <c r="AA5" s="62">
        <v>0.61386138613861385</v>
      </c>
      <c r="AB5" s="59" t="s">
        <v>195</v>
      </c>
      <c r="AC5" s="62">
        <v>0.49094781682641109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">
      <c r="A6" s="56">
        <v>4</v>
      </c>
      <c r="B6" s="57" t="s">
        <v>200</v>
      </c>
      <c r="C6" s="58">
        <v>13.3</v>
      </c>
      <c r="D6" s="59" t="s">
        <v>192</v>
      </c>
      <c r="E6" s="71">
        <v>2.3333333333333335</v>
      </c>
      <c r="F6" s="59" t="s">
        <v>194</v>
      </c>
      <c r="G6" s="60">
        <v>1.9890109890109891</v>
      </c>
      <c r="H6" s="59" t="s">
        <v>199</v>
      </c>
      <c r="I6" s="61">
        <v>0.35714285714285715</v>
      </c>
      <c r="J6" s="59" t="s">
        <v>189</v>
      </c>
      <c r="K6" s="61">
        <v>0.25</v>
      </c>
      <c r="L6" s="59" t="s">
        <v>199</v>
      </c>
      <c r="M6" s="62">
        <v>0.31620553359683795</v>
      </c>
      <c r="N6" s="59" t="s">
        <v>187</v>
      </c>
      <c r="O6" s="62">
        <v>0.15045519885002395</v>
      </c>
      <c r="P6" s="59" t="s">
        <v>191</v>
      </c>
      <c r="Q6" s="63">
        <v>10425.584594222833</v>
      </c>
      <c r="R6" s="59" t="s">
        <v>184</v>
      </c>
      <c r="S6" s="63">
        <v>-8240</v>
      </c>
      <c r="T6" s="59" t="s">
        <v>188</v>
      </c>
      <c r="U6" s="61">
        <v>9.7560975609756101E-2</v>
      </c>
      <c r="V6" s="59" t="s">
        <v>195</v>
      </c>
      <c r="W6" s="62">
        <v>0.29489559164733181</v>
      </c>
      <c r="X6" s="59" t="s">
        <v>188</v>
      </c>
      <c r="Y6" s="62">
        <v>0.27301927194860814</v>
      </c>
      <c r="Z6" s="59" t="s">
        <v>195</v>
      </c>
      <c r="AA6" s="62">
        <v>0.61369000786782057</v>
      </c>
      <c r="AB6" s="59" t="s">
        <v>194</v>
      </c>
      <c r="AC6" s="62">
        <v>0.43333333333333335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">
      <c r="A7" s="56">
        <v>5</v>
      </c>
      <c r="B7" s="57" t="s">
        <v>191</v>
      </c>
      <c r="C7" s="58">
        <v>0.700000000000216</v>
      </c>
      <c r="D7" s="59" t="s">
        <v>191</v>
      </c>
      <c r="E7" s="71">
        <v>2.2082018927451607E-3</v>
      </c>
      <c r="F7" s="59" t="s">
        <v>183</v>
      </c>
      <c r="G7" s="60">
        <v>2</v>
      </c>
      <c r="H7" s="59" t="s">
        <v>194</v>
      </c>
      <c r="I7" s="61">
        <v>0.34065934065934067</v>
      </c>
      <c r="J7" s="59" t="s">
        <v>199</v>
      </c>
      <c r="K7" s="61">
        <v>0.2857142857142857</v>
      </c>
      <c r="L7" s="59" t="s">
        <v>198</v>
      </c>
      <c r="M7" s="62">
        <v>0.3125</v>
      </c>
      <c r="N7" s="59" t="s">
        <v>198</v>
      </c>
      <c r="O7" s="62">
        <v>0.15625</v>
      </c>
      <c r="P7" s="59" t="s">
        <v>190</v>
      </c>
      <c r="Q7" s="63">
        <v>9403.264812575575</v>
      </c>
      <c r="R7" s="59" t="s">
        <v>190</v>
      </c>
      <c r="S7" s="63">
        <v>-8361.9377162629753</v>
      </c>
      <c r="T7" s="59" t="s">
        <v>196</v>
      </c>
      <c r="U7" s="61">
        <v>0.1111111111111111</v>
      </c>
      <c r="V7" s="59" t="s">
        <v>190</v>
      </c>
      <c r="W7" s="62">
        <v>0.29145728643216079</v>
      </c>
      <c r="X7" s="59" t="s">
        <v>192</v>
      </c>
      <c r="Y7" s="62">
        <v>0.23931623931623933</v>
      </c>
      <c r="Z7" s="59" t="s">
        <v>199</v>
      </c>
      <c r="AA7" s="62">
        <v>0.58730158730158732</v>
      </c>
      <c r="AB7" s="59" t="s">
        <v>191</v>
      </c>
      <c r="AC7" s="62">
        <v>0.40552016985138006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">
      <c r="A8" s="56">
        <v>6</v>
      </c>
      <c r="B8" s="57" t="s">
        <v>183</v>
      </c>
      <c r="C8" s="58">
        <v>5.5067062021407764E-14</v>
      </c>
      <c r="D8" s="59" t="s">
        <v>183</v>
      </c>
      <c r="E8" s="71">
        <v>2.1620362002908428E-17</v>
      </c>
      <c r="F8" s="59" t="s">
        <v>189</v>
      </c>
      <c r="G8" s="60">
        <v>2</v>
      </c>
      <c r="H8" s="59" t="s">
        <v>193</v>
      </c>
      <c r="I8" s="61">
        <v>0.33812949640287771</v>
      </c>
      <c r="J8" s="59" t="s">
        <v>194</v>
      </c>
      <c r="K8" s="61">
        <v>0.32967032967032966</v>
      </c>
      <c r="L8" s="59" t="s">
        <v>188</v>
      </c>
      <c r="M8" s="62">
        <v>0.298828125</v>
      </c>
      <c r="N8" s="59" t="s">
        <v>188</v>
      </c>
      <c r="O8" s="62">
        <v>0.16162109375</v>
      </c>
      <c r="P8" s="59" t="s">
        <v>194</v>
      </c>
      <c r="Q8" s="63">
        <v>9344.0909090909099</v>
      </c>
      <c r="R8" s="59" t="s">
        <v>196</v>
      </c>
      <c r="S8" s="63">
        <v>-8400</v>
      </c>
      <c r="T8" s="59" t="s">
        <v>183</v>
      </c>
      <c r="U8" s="61">
        <v>0.12367491166077739</v>
      </c>
      <c r="V8" s="59" t="s">
        <v>192</v>
      </c>
      <c r="W8" s="62">
        <v>0.27777777777777779</v>
      </c>
      <c r="X8" s="59" t="s">
        <v>193</v>
      </c>
      <c r="Y8" s="62">
        <v>0.23749999999999999</v>
      </c>
      <c r="Z8" s="59" t="s">
        <v>190</v>
      </c>
      <c r="AA8" s="62">
        <v>0.58128078817733986</v>
      </c>
      <c r="AB8" s="59" t="s">
        <v>183</v>
      </c>
      <c r="AC8" s="62">
        <v>0.40335935651762478</v>
      </c>
      <c r="AD8" s="59" t="s">
        <v>197</v>
      </c>
      <c r="AE8" s="62">
        <v>0.47058823529411764</v>
      </c>
      <c r="AF8" s="59" t="s">
        <v>193</v>
      </c>
      <c r="AG8" s="66">
        <v>109300</v>
      </c>
    </row>
    <row r="9" spans="1:33" x14ac:dyDescent="0.4">
      <c r="A9" s="56">
        <v>7</v>
      </c>
      <c r="B9" s="57" t="s">
        <v>194</v>
      </c>
      <c r="C9" s="58">
        <v>-3.4999999999999893</v>
      </c>
      <c r="D9" s="59" t="s">
        <v>194</v>
      </c>
      <c r="E9" s="71">
        <v>-3.8461538461538346E-2</v>
      </c>
      <c r="F9" s="59" t="s">
        <v>200</v>
      </c>
      <c r="G9" s="60">
        <v>2</v>
      </c>
      <c r="H9" s="59" t="s">
        <v>183</v>
      </c>
      <c r="I9" s="61">
        <v>0.33333333333333331</v>
      </c>
      <c r="J9" s="59" t="s">
        <v>183</v>
      </c>
      <c r="K9" s="61">
        <v>0.33333333333333331</v>
      </c>
      <c r="L9" s="59" t="s">
        <v>183</v>
      </c>
      <c r="M9" s="62">
        <v>0.29817916970138381</v>
      </c>
      <c r="N9" s="59" t="s">
        <v>189</v>
      </c>
      <c r="O9" s="62">
        <v>0.16666666666666666</v>
      </c>
      <c r="P9" s="59" t="s">
        <v>195</v>
      </c>
      <c r="Q9" s="63">
        <v>9310.1694915254229</v>
      </c>
      <c r="R9" s="59" t="s">
        <v>183</v>
      </c>
      <c r="S9" s="63">
        <v>-8465.5742459396752</v>
      </c>
      <c r="T9" s="59" t="s">
        <v>187</v>
      </c>
      <c r="U9" s="61">
        <v>0.12840466926070038</v>
      </c>
      <c r="V9" s="59" t="s">
        <v>183</v>
      </c>
      <c r="W9" s="62">
        <v>0.26753219667344491</v>
      </c>
      <c r="X9" s="59" t="s">
        <v>197</v>
      </c>
      <c r="Y9" s="62">
        <v>0.23671497584541062</v>
      </c>
      <c r="Z9" s="59" t="s">
        <v>187</v>
      </c>
      <c r="AA9" s="62">
        <v>0.58108108108108103</v>
      </c>
      <c r="AB9" s="59" t="s">
        <v>188</v>
      </c>
      <c r="AC9" s="62">
        <v>0.4</v>
      </c>
      <c r="AD9" s="59" t="s">
        <v>190</v>
      </c>
      <c r="AE9" s="62">
        <v>0.45223700120918986</v>
      </c>
      <c r="AF9" s="59" t="s">
        <v>192</v>
      </c>
      <c r="AG9" s="66">
        <v>109300</v>
      </c>
    </row>
    <row r="10" spans="1:33" x14ac:dyDescent="0.4">
      <c r="A10" s="56">
        <v>8</v>
      </c>
      <c r="B10" s="57" t="s">
        <v>189</v>
      </c>
      <c r="C10" s="58">
        <v>-15.5</v>
      </c>
      <c r="D10" s="59" t="s">
        <v>199</v>
      </c>
      <c r="E10" s="71">
        <v>-0.7857142857142867</v>
      </c>
      <c r="F10" s="59" t="s">
        <v>193</v>
      </c>
      <c r="G10" s="60">
        <v>2.0071942446043165</v>
      </c>
      <c r="H10" s="59" t="s">
        <v>191</v>
      </c>
      <c r="I10" s="61">
        <v>0.305993690851735</v>
      </c>
      <c r="J10" s="59" t="s">
        <v>187</v>
      </c>
      <c r="K10" s="61">
        <v>0.33852140077821014</v>
      </c>
      <c r="L10" s="59" t="s">
        <v>193</v>
      </c>
      <c r="M10" s="62">
        <v>0.29154433352906634</v>
      </c>
      <c r="N10" s="59" t="s">
        <v>183</v>
      </c>
      <c r="O10" s="62">
        <v>0.16741927652342803</v>
      </c>
      <c r="P10" s="59" t="s">
        <v>183</v>
      </c>
      <c r="Q10" s="63">
        <v>9060.1530695326492</v>
      </c>
      <c r="R10" s="59" t="s">
        <v>193</v>
      </c>
      <c r="S10" s="63">
        <v>-8474.1176470588234</v>
      </c>
      <c r="T10" s="59" t="s">
        <v>193</v>
      </c>
      <c r="U10" s="61">
        <v>0.12949640287769784</v>
      </c>
      <c r="V10" s="59" t="s">
        <v>185</v>
      </c>
      <c r="W10" s="62">
        <v>0.25806451612903225</v>
      </c>
      <c r="X10" s="59" t="s">
        <v>187</v>
      </c>
      <c r="Y10" s="62">
        <v>0.2252036415908002</v>
      </c>
      <c r="Z10" s="59" t="s">
        <v>183</v>
      </c>
      <c r="AA10" s="62">
        <v>0.57337750925745468</v>
      </c>
      <c r="AB10" s="59" t="s">
        <v>199</v>
      </c>
      <c r="AC10" s="62">
        <v>0.39285714285714285</v>
      </c>
      <c r="AD10" s="59" t="s">
        <v>187</v>
      </c>
      <c r="AE10" s="62">
        <v>0.43928571428571428</v>
      </c>
      <c r="AF10" s="59" t="s">
        <v>190</v>
      </c>
      <c r="AG10" s="66">
        <v>107600</v>
      </c>
    </row>
    <row r="11" spans="1:33" x14ac:dyDescent="0.4">
      <c r="A11" s="56">
        <v>9</v>
      </c>
      <c r="B11" s="57" t="s">
        <v>199</v>
      </c>
      <c r="C11" s="58">
        <v>-22.000000000000028</v>
      </c>
      <c r="D11" s="59" t="s">
        <v>187</v>
      </c>
      <c r="E11" s="71">
        <v>-1.6463035019455254</v>
      </c>
      <c r="F11" s="59" t="s">
        <v>192</v>
      </c>
      <c r="G11" s="60">
        <v>2.0256410256410255</v>
      </c>
      <c r="H11" s="59" t="s">
        <v>186</v>
      </c>
      <c r="I11" s="61">
        <v>0.27835051546391754</v>
      </c>
      <c r="J11" s="59" t="s">
        <v>193</v>
      </c>
      <c r="K11" s="61">
        <v>0.34532374100719426</v>
      </c>
      <c r="L11" s="59" t="s">
        <v>191</v>
      </c>
      <c r="M11" s="62">
        <v>0.2859952793076318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195</v>
      </c>
      <c r="S11" s="63">
        <v>-8561.572700296736</v>
      </c>
      <c r="T11" s="59" t="s">
        <v>191</v>
      </c>
      <c r="U11" s="61">
        <v>0.13249211356466878</v>
      </c>
      <c r="V11" s="59" t="s">
        <v>193</v>
      </c>
      <c r="W11" s="62">
        <v>0.25304878048780488</v>
      </c>
      <c r="X11" s="59" t="s">
        <v>183</v>
      </c>
      <c r="Y11" s="62">
        <v>0.22039730955732834</v>
      </c>
      <c r="Z11" s="59" t="s">
        <v>186</v>
      </c>
      <c r="AA11" s="62">
        <v>0.5706806282722513</v>
      </c>
      <c r="AB11" s="59" t="s">
        <v>197</v>
      </c>
      <c r="AC11" s="62">
        <v>0.37755102040816324</v>
      </c>
      <c r="AD11" s="59" t="s">
        <v>194</v>
      </c>
      <c r="AE11" s="62">
        <v>0.43636363636363634</v>
      </c>
      <c r="AF11" s="59" t="s">
        <v>199</v>
      </c>
      <c r="AG11" s="66">
        <v>106300</v>
      </c>
    </row>
    <row r="12" spans="1:33" x14ac:dyDescent="0.4">
      <c r="A12" s="56">
        <v>10</v>
      </c>
      <c r="B12" s="57" t="s">
        <v>198</v>
      </c>
      <c r="C12" s="58">
        <v>-56.2</v>
      </c>
      <c r="D12" s="59" t="s">
        <v>193</v>
      </c>
      <c r="E12" s="71">
        <v>-2.0700239808153493</v>
      </c>
      <c r="F12" s="59" t="s">
        <v>191</v>
      </c>
      <c r="G12" s="60">
        <v>2.053627760252366</v>
      </c>
      <c r="H12" s="59" t="s">
        <v>187</v>
      </c>
      <c r="I12" s="61">
        <v>0.27626459143968873</v>
      </c>
      <c r="J12" s="59" t="s">
        <v>191</v>
      </c>
      <c r="K12" s="61">
        <v>0.35962145110410093</v>
      </c>
      <c r="L12" s="59" t="s">
        <v>192</v>
      </c>
      <c r="M12" s="62">
        <v>0.28164556962025317</v>
      </c>
      <c r="N12" s="59" t="s">
        <v>199</v>
      </c>
      <c r="O12" s="62">
        <v>0.16996047430830039</v>
      </c>
      <c r="P12" s="59" t="s">
        <v>193</v>
      </c>
      <c r="Q12" s="63">
        <v>8860.7250755287005</v>
      </c>
      <c r="R12" s="59" t="s">
        <v>188</v>
      </c>
      <c r="S12" s="63">
        <v>-8596.3746223564958</v>
      </c>
      <c r="T12" s="59" t="s">
        <v>190</v>
      </c>
      <c r="U12" s="61">
        <v>0.14627659574468085</v>
      </c>
      <c r="V12" s="59" t="s">
        <v>199</v>
      </c>
      <c r="W12" s="62">
        <v>0.24901185770750989</v>
      </c>
      <c r="X12" s="59" t="s">
        <v>195</v>
      </c>
      <c r="Y12" s="62">
        <v>0.21786542923433874</v>
      </c>
      <c r="Z12" s="59" t="s">
        <v>191</v>
      </c>
      <c r="AA12" s="62">
        <v>0.56818181818181823</v>
      </c>
      <c r="AB12" s="59" t="s">
        <v>193</v>
      </c>
      <c r="AC12" s="62">
        <v>0.37227214377406931</v>
      </c>
      <c r="AD12" s="59" t="s">
        <v>191</v>
      </c>
      <c r="AE12" s="62">
        <v>0.43603851444291608</v>
      </c>
      <c r="AF12" s="59" t="s">
        <v>188</v>
      </c>
      <c r="AG12" s="66">
        <v>103200</v>
      </c>
    </row>
    <row r="13" spans="1:33" x14ac:dyDescent="0.4">
      <c r="A13" s="56">
        <v>11</v>
      </c>
      <c r="B13" s="57" t="s">
        <v>185</v>
      </c>
      <c r="C13" s="58">
        <v>-86.4</v>
      </c>
      <c r="D13" s="59" t="s">
        <v>189</v>
      </c>
      <c r="E13" s="71">
        <v>-3.875</v>
      </c>
      <c r="F13" s="59" t="s">
        <v>187</v>
      </c>
      <c r="G13" s="60">
        <v>2.0622568093385212</v>
      </c>
      <c r="H13" s="59" t="s">
        <v>190</v>
      </c>
      <c r="I13" s="61">
        <v>0.26861702127659576</v>
      </c>
      <c r="J13" s="59" t="s">
        <v>190</v>
      </c>
      <c r="K13" s="61">
        <v>0.375</v>
      </c>
      <c r="L13" s="59" t="s">
        <v>190</v>
      </c>
      <c r="M13" s="62">
        <v>0.27141450607154577</v>
      </c>
      <c r="N13" s="59" t="s">
        <v>194</v>
      </c>
      <c r="O13" s="62">
        <v>0.17164179104477612</v>
      </c>
      <c r="P13" s="59" t="s">
        <v>187</v>
      </c>
      <c r="Q13" s="63">
        <v>8644.6428571428569</v>
      </c>
      <c r="R13" s="59" t="s">
        <v>199</v>
      </c>
      <c r="S13" s="63">
        <v>-8765.1162790697672</v>
      </c>
      <c r="T13" s="59" t="s">
        <v>194</v>
      </c>
      <c r="U13" s="61">
        <v>0.15384615384615385</v>
      </c>
      <c r="V13" s="59" t="s">
        <v>187</v>
      </c>
      <c r="W13" s="62">
        <v>0.24820316243411594</v>
      </c>
      <c r="X13" s="59" t="s">
        <v>186</v>
      </c>
      <c r="Y13" s="62">
        <v>0.2044917257683215</v>
      </c>
      <c r="Z13" s="59" t="s">
        <v>197</v>
      </c>
      <c r="AA13" s="62">
        <v>0.55421686746987953</v>
      </c>
      <c r="AB13" s="59" t="s">
        <v>187</v>
      </c>
      <c r="AC13" s="62">
        <v>0.36595744680851061</v>
      </c>
      <c r="AD13" s="59" t="s">
        <v>183</v>
      </c>
      <c r="AE13" s="62">
        <v>0.43022309070184012</v>
      </c>
      <c r="AF13" s="59" t="s">
        <v>187</v>
      </c>
      <c r="AG13" s="66">
        <v>103000</v>
      </c>
    </row>
    <row r="14" spans="1:33" x14ac:dyDescent="0.4">
      <c r="A14" s="56">
        <v>12</v>
      </c>
      <c r="B14" s="57" t="s">
        <v>184</v>
      </c>
      <c r="C14" s="58">
        <v>-132.1</v>
      </c>
      <c r="D14" s="59" t="s">
        <v>190</v>
      </c>
      <c r="E14" s="71">
        <v>-4.1555851063829783</v>
      </c>
      <c r="F14" s="59" t="s">
        <v>190</v>
      </c>
      <c r="G14" s="60">
        <v>2.1063829787234041</v>
      </c>
      <c r="H14" s="59" t="s">
        <v>188</v>
      </c>
      <c r="I14" s="61">
        <v>0.25609756097560976</v>
      </c>
      <c r="J14" s="59" t="s">
        <v>192</v>
      </c>
      <c r="K14" s="61">
        <v>0.38461538461538464</v>
      </c>
      <c r="L14" s="59" t="s">
        <v>185</v>
      </c>
      <c r="M14" s="62">
        <v>0.27027027027027029</v>
      </c>
      <c r="N14" s="59" t="s">
        <v>193</v>
      </c>
      <c r="O14" s="62">
        <v>0.17469172049324722</v>
      </c>
      <c r="P14" s="59" t="s">
        <v>186</v>
      </c>
      <c r="Q14" s="63">
        <v>7922.1238938053093</v>
      </c>
      <c r="R14" s="59" t="s">
        <v>191</v>
      </c>
      <c r="S14" s="63">
        <v>-8795.2586206896558</v>
      </c>
      <c r="T14" s="59" t="s">
        <v>192</v>
      </c>
      <c r="U14" s="61">
        <v>0.15384615384615385</v>
      </c>
      <c r="V14" s="59" t="s">
        <v>194</v>
      </c>
      <c r="W14" s="62">
        <v>0.23379629629629631</v>
      </c>
      <c r="X14" s="59" t="s">
        <v>191</v>
      </c>
      <c r="Y14" s="62">
        <v>0.18802395209580838</v>
      </c>
      <c r="Z14" s="59" t="s">
        <v>192</v>
      </c>
      <c r="AA14" s="62">
        <v>0.53846153846153844</v>
      </c>
      <c r="AB14" s="59" t="s">
        <v>190</v>
      </c>
      <c r="AC14" s="62">
        <v>0.35814889336016098</v>
      </c>
      <c r="AD14" s="59" t="s">
        <v>188</v>
      </c>
      <c r="AE14" s="62">
        <v>0.41993464052287582</v>
      </c>
      <c r="AF14" s="59" t="s">
        <v>197</v>
      </c>
      <c r="AG14" s="66">
        <v>85100</v>
      </c>
    </row>
    <row r="15" spans="1:33" x14ac:dyDescent="0.4">
      <c r="A15" s="56">
        <v>13</v>
      </c>
      <c r="B15" s="57" t="s">
        <v>187</v>
      </c>
      <c r="C15" s="58">
        <v>-423.1</v>
      </c>
      <c r="D15" s="59" t="s">
        <v>188</v>
      </c>
      <c r="E15" s="71">
        <v>-4.7642276422764231</v>
      </c>
      <c r="F15" s="59" t="s">
        <v>188</v>
      </c>
      <c r="G15" s="60">
        <v>2.1300813008130079</v>
      </c>
      <c r="H15" s="59" t="s">
        <v>189</v>
      </c>
      <c r="I15" s="61">
        <v>0.25</v>
      </c>
      <c r="J15" s="59" t="s">
        <v>188</v>
      </c>
      <c r="K15" s="61">
        <v>0.38617886178861788</v>
      </c>
      <c r="L15" s="59" t="s">
        <v>187</v>
      </c>
      <c r="M15" s="62">
        <v>0.26832774317201724</v>
      </c>
      <c r="N15" s="59" t="s">
        <v>191</v>
      </c>
      <c r="O15" s="62">
        <v>0.18253343823760818</v>
      </c>
      <c r="P15" s="59" t="s">
        <v>199</v>
      </c>
      <c r="Q15" s="63">
        <v>7901.25</v>
      </c>
      <c r="R15" s="59" t="s">
        <v>192</v>
      </c>
      <c r="S15" s="63">
        <v>-9054.7169811320746</v>
      </c>
      <c r="T15" s="59" t="s">
        <v>186</v>
      </c>
      <c r="U15" s="61">
        <v>0.16494845360824742</v>
      </c>
      <c r="V15" s="59" t="s">
        <v>200</v>
      </c>
      <c r="W15" s="62">
        <v>0.23076923076923078</v>
      </c>
      <c r="X15" s="59" t="s">
        <v>190</v>
      </c>
      <c r="Y15" s="62">
        <v>0.17839195979899497</v>
      </c>
      <c r="Z15" s="59" t="s">
        <v>193</v>
      </c>
      <c r="AA15" s="62">
        <v>0.53373493975903619</v>
      </c>
      <c r="AB15" s="59" t="s">
        <v>186</v>
      </c>
      <c r="AC15" s="62">
        <v>0.33526011560693642</v>
      </c>
      <c r="AD15" s="59" t="s">
        <v>193</v>
      </c>
      <c r="AE15" s="62">
        <v>0.41893252769385703</v>
      </c>
      <c r="AF15" s="59" t="s">
        <v>196</v>
      </c>
      <c r="AG15" s="66">
        <v>78000</v>
      </c>
    </row>
    <row r="16" spans="1:33" x14ac:dyDescent="0.4">
      <c r="A16" s="56">
        <v>14</v>
      </c>
      <c r="B16" s="57" t="s">
        <v>186</v>
      </c>
      <c r="C16" s="58">
        <v>-713.5</v>
      </c>
      <c r="D16" s="59" t="s">
        <v>186</v>
      </c>
      <c r="E16" s="71">
        <v>-7.3556701030927831</v>
      </c>
      <c r="F16" s="59" t="s">
        <v>186</v>
      </c>
      <c r="G16" s="60">
        <v>2.1443298969072164</v>
      </c>
      <c r="H16" s="59" t="s">
        <v>198</v>
      </c>
      <c r="I16" s="61">
        <v>0.25</v>
      </c>
      <c r="J16" s="59" t="s">
        <v>185</v>
      </c>
      <c r="K16" s="61">
        <v>0.4</v>
      </c>
      <c r="L16" s="59" t="s">
        <v>186</v>
      </c>
      <c r="M16" s="62">
        <v>0.26713947990543735</v>
      </c>
      <c r="N16" s="59" t="s">
        <v>190</v>
      </c>
      <c r="O16" s="62">
        <v>0.18969478175254348</v>
      </c>
      <c r="P16" s="59" t="s">
        <v>184</v>
      </c>
      <c r="Q16" s="63">
        <v>7800</v>
      </c>
      <c r="R16" s="59" t="s">
        <v>194</v>
      </c>
      <c r="S16" s="63">
        <v>-9212.173913043478</v>
      </c>
      <c r="T16" s="59" t="s">
        <v>197</v>
      </c>
      <c r="U16" s="61">
        <v>0.2</v>
      </c>
      <c r="V16" s="59" t="s">
        <v>186</v>
      </c>
      <c r="W16" s="62">
        <v>0.22576832151300236</v>
      </c>
      <c r="X16" s="59" t="s">
        <v>185</v>
      </c>
      <c r="Y16" s="62">
        <v>0.16129032258064516</v>
      </c>
      <c r="Z16" s="59" t="s">
        <v>188</v>
      </c>
      <c r="AA16" s="62">
        <v>0.51385390428211586</v>
      </c>
      <c r="AB16" s="59" t="s">
        <v>192</v>
      </c>
      <c r="AC16" s="62">
        <v>0.32142857142857145</v>
      </c>
      <c r="AD16" s="59" t="s">
        <v>195</v>
      </c>
      <c r="AE16" s="62">
        <v>0.40617433414043586</v>
      </c>
      <c r="AF16" s="59" t="s">
        <v>185</v>
      </c>
      <c r="AG16" s="66">
        <v>57800</v>
      </c>
    </row>
    <row r="17" spans="1:33" x14ac:dyDescent="0.4">
      <c r="A17" s="56">
        <v>15</v>
      </c>
      <c r="B17" s="57" t="s">
        <v>193</v>
      </c>
      <c r="C17" s="58">
        <v>-863.20000000000061</v>
      </c>
      <c r="D17" s="59" t="s">
        <v>198</v>
      </c>
      <c r="E17" s="71">
        <v>-14.05</v>
      </c>
      <c r="F17" s="59" t="s">
        <v>185</v>
      </c>
      <c r="G17" s="60">
        <v>2.2000000000000002</v>
      </c>
      <c r="H17" s="59" t="s">
        <v>185</v>
      </c>
      <c r="I17" s="61">
        <v>0.2</v>
      </c>
      <c r="J17" s="59" t="s">
        <v>186</v>
      </c>
      <c r="K17" s="61">
        <v>0.42268041237113402</v>
      </c>
      <c r="L17" s="59" t="s">
        <v>189</v>
      </c>
      <c r="M17" s="62">
        <v>0.25</v>
      </c>
      <c r="N17" s="59" t="s">
        <v>186</v>
      </c>
      <c r="O17" s="62">
        <v>0.19267139479905437</v>
      </c>
      <c r="P17" s="59" t="s">
        <v>197</v>
      </c>
      <c r="Q17" s="63">
        <v>7560.7843137254904</v>
      </c>
      <c r="R17" s="59" t="s">
        <v>198</v>
      </c>
      <c r="S17" s="63">
        <v>-11280</v>
      </c>
      <c r="T17" s="59" t="s">
        <v>199</v>
      </c>
      <c r="U17" s="61">
        <v>0.25</v>
      </c>
      <c r="V17" s="59" t="s">
        <v>198</v>
      </c>
      <c r="W17" s="62">
        <v>0.21875</v>
      </c>
      <c r="X17" s="59" t="s">
        <v>196</v>
      </c>
      <c r="Y17" s="62">
        <v>0.14492753623188406</v>
      </c>
      <c r="Z17" s="59" t="s">
        <v>198</v>
      </c>
      <c r="AA17" s="62">
        <v>0.42857142857142855</v>
      </c>
      <c r="AB17" s="59" t="s">
        <v>198</v>
      </c>
      <c r="AC17" s="62">
        <v>0.25</v>
      </c>
      <c r="AD17" s="59" t="s">
        <v>189</v>
      </c>
      <c r="AE17" s="62">
        <v>0.33333333333333331</v>
      </c>
      <c r="AF17" s="59" t="s">
        <v>198</v>
      </c>
      <c r="AG17" s="66">
        <v>55200</v>
      </c>
    </row>
    <row r="18" spans="1:33" x14ac:dyDescent="0.4">
      <c r="A18" s="56">
        <v>16</v>
      </c>
      <c r="B18" s="57" t="s">
        <v>197</v>
      </c>
      <c r="C18" s="58">
        <v>-917.40000000000009</v>
      </c>
      <c r="D18" s="59" t="s">
        <v>185</v>
      </c>
      <c r="E18" s="71">
        <v>-17.28</v>
      </c>
      <c r="F18" s="59" t="s">
        <v>198</v>
      </c>
      <c r="G18" s="60">
        <v>2.25</v>
      </c>
      <c r="H18" s="59" t="s">
        <v>197</v>
      </c>
      <c r="I18" s="61">
        <v>0.12</v>
      </c>
      <c r="J18" s="59" t="s">
        <v>198</v>
      </c>
      <c r="K18" s="61">
        <v>0.5</v>
      </c>
      <c r="L18" s="59" t="s">
        <v>197</v>
      </c>
      <c r="M18" s="62">
        <v>0.24637681159420291</v>
      </c>
      <c r="N18" s="59" t="s">
        <v>197</v>
      </c>
      <c r="O18" s="62">
        <v>0.20289855072463769</v>
      </c>
      <c r="P18" s="59" t="s">
        <v>188</v>
      </c>
      <c r="Q18" s="63">
        <v>7464.8692810457514</v>
      </c>
      <c r="R18" s="59" t="s">
        <v>189</v>
      </c>
      <c r="S18" s="63">
        <v>-12000</v>
      </c>
      <c r="T18" s="59" t="s">
        <v>198</v>
      </c>
      <c r="U18" s="61">
        <v>0.25</v>
      </c>
      <c r="V18" s="59" t="s">
        <v>188</v>
      </c>
      <c r="W18" s="62">
        <v>0.21252676659528907</v>
      </c>
      <c r="X18" s="59" t="s">
        <v>189</v>
      </c>
      <c r="Y18" s="62">
        <v>0.10526315789473684</v>
      </c>
      <c r="Z18" s="59" t="s">
        <v>200</v>
      </c>
      <c r="AA18" s="62">
        <v>0.33333333333333331</v>
      </c>
      <c r="AB18" s="59" t="s">
        <v>185</v>
      </c>
      <c r="AC18" s="62">
        <v>0.2</v>
      </c>
      <c r="AD18" s="59" t="s">
        <v>185</v>
      </c>
      <c r="AE18" s="62">
        <v>0.3</v>
      </c>
      <c r="AF18" s="59" t="s">
        <v>200</v>
      </c>
      <c r="AG18" s="66">
        <v>48300</v>
      </c>
    </row>
    <row r="19" spans="1:33" x14ac:dyDescent="0.4">
      <c r="A19" s="56">
        <v>17</v>
      </c>
      <c r="B19" s="57" t="s">
        <v>188</v>
      </c>
      <c r="C19" s="58">
        <v>-1172</v>
      </c>
      <c r="D19" s="59" t="s">
        <v>197</v>
      </c>
      <c r="E19" s="71">
        <v>-18.348000000000003</v>
      </c>
      <c r="F19" s="59" t="s">
        <v>197</v>
      </c>
      <c r="G19" s="60">
        <v>2.46</v>
      </c>
      <c r="H19" s="59" t="s">
        <v>184</v>
      </c>
      <c r="I19" s="61">
        <v>0</v>
      </c>
      <c r="J19" s="59" t="s">
        <v>197</v>
      </c>
      <c r="K19" s="61">
        <v>0.57999999999999996</v>
      </c>
      <c r="L19" s="59" t="s">
        <v>200</v>
      </c>
      <c r="M19" s="62">
        <v>0.15384615384615385</v>
      </c>
      <c r="N19" s="59" t="s">
        <v>185</v>
      </c>
      <c r="O19" s="62">
        <v>0.21621621621621623</v>
      </c>
      <c r="P19" s="59" t="s">
        <v>185</v>
      </c>
      <c r="Q19" s="63">
        <v>7100</v>
      </c>
      <c r="R19" s="59" t="s">
        <v>200</v>
      </c>
      <c r="S19" s="63">
        <v>-12000</v>
      </c>
      <c r="T19" s="59" t="s">
        <v>185</v>
      </c>
      <c r="U19" s="61">
        <v>0.4</v>
      </c>
      <c r="V19" s="59" t="s">
        <v>197</v>
      </c>
      <c r="W19" s="62">
        <v>0.20048309178743962</v>
      </c>
      <c r="X19" s="59" t="s">
        <v>200</v>
      </c>
      <c r="Y19" s="62">
        <v>7.6923076923076927E-2</v>
      </c>
      <c r="Z19" s="59" t="s">
        <v>189</v>
      </c>
      <c r="AA19" s="62">
        <v>0.25</v>
      </c>
      <c r="AB19" s="59" t="s">
        <v>184</v>
      </c>
      <c r="AC19" s="62">
        <v>0</v>
      </c>
      <c r="AD19" s="59" t="s">
        <v>198</v>
      </c>
      <c r="AE19" s="62">
        <v>0.3</v>
      </c>
      <c r="AF19" s="59" t="s">
        <v>189</v>
      </c>
      <c r="AG19" s="66">
        <v>46000</v>
      </c>
    </row>
    <row r="20" spans="1:33" x14ac:dyDescent="0.4">
      <c r="A20" s="56">
        <v>18</v>
      </c>
      <c r="B20" s="57" t="s">
        <v>190</v>
      </c>
      <c r="C20" s="58">
        <v>-1562.4999999999998</v>
      </c>
      <c r="D20" s="59" t="s">
        <v>184</v>
      </c>
      <c r="E20" s="71">
        <v>-33.024999999999999</v>
      </c>
      <c r="F20" s="59" t="s">
        <v>184</v>
      </c>
      <c r="G20" s="60">
        <v>3</v>
      </c>
      <c r="H20" s="59" t="s">
        <v>200</v>
      </c>
      <c r="I20" s="61">
        <v>0</v>
      </c>
      <c r="J20" s="59" t="s">
        <v>184</v>
      </c>
      <c r="K20" s="61">
        <v>1</v>
      </c>
      <c r="L20" s="59" t="s">
        <v>184</v>
      </c>
      <c r="M20" s="62">
        <v>0.04</v>
      </c>
      <c r="N20" s="59" t="s">
        <v>184</v>
      </c>
      <c r="O20" s="62">
        <v>0.4</v>
      </c>
      <c r="P20" s="59" t="s">
        <v>198</v>
      </c>
      <c r="Q20" s="63">
        <v>4940</v>
      </c>
      <c r="R20" s="59" t="s">
        <v>185</v>
      </c>
      <c r="S20" s="63">
        <v>-12487.5</v>
      </c>
      <c r="T20" s="59" t="s">
        <v>184</v>
      </c>
      <c r="U20" s="61">
        <v>0.5</v>
      </c>
      <c r="V20" s="59" t="s">
        <v>184</v>
      </c>
      <c r="W20" s="62">
        <v>0</v>
      </c>
      <c r="X20" s="59" t="s">
        <v>184</v>
      </c>
      <c r="Y20" s="62">
        <v>0</v>
      </c>
      <c r="Z20" s="59" t="s">
        <v>184</v>
      </c>
      <c r="AA20" s="62">
        <v>0</v>
      </c>
      <c r="AB20" s="59" t="s">
        <v>200</v>
      </c>
      <c r="AC20" s="62">
        <v>0</v>
      </c>
      <c r="AD20" s="59" t="s">
        <v>196</v>
      </c>
      <c r="AE20" s="62">
        <v>0.29166666666666669</v>
      </c>
      <c r="AF20" s="59" t="s">
        <v>184</v>
      </c>
      <c r="AG20" s="66">
        <v>13000</v>
      </c>
    </row>
  </sheetData>
  <sortState xmlns:xlrd2="http://schemas.microsoft.com/office/spreadsheetml/2017/richdata2" ref="AF3:AG54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37DE-8BC3-413C-BDBA-0BFCE0973595}">
  <sheetPr codeName="Sheet3"/>
  <dimension ref="A1:Q254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2547</v>
      </c>
      <c r="C2" s="128"/>
      <c r="E2" s="43" t="s">
        <v>66</v>
      </c>
      <c r="F2" s="25" t="s">
        <v>22</v>
      </c>
      <c r="G2" s="13">
        <v>4188</v>
      </c>
      <c r="H2" s="106">
        <f>IF(B$47=0,0,G2/B$47)</f>
        <v>0.73383564044156302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-18.979833926453143</v>
      </c>
      <c r="P2" s="92">
        <v>2529</v>
      </c>
      <c r="Q2" s="76">
        <v>-48000</v>
      </c>
    </row>
    <row r="3" spans="1:17" x14ac:dyDescent="0.4">
      <c r="A3" s="37" t="s">
        <v>8</v>
      </c>
      <c r="B3" s="137">
        <v>20595</v>
      </c>
      <c r="C3" s="138"/>
      <c r="E3" s="44" t="s">
        <v>72</v>
      </c>
      <c r="F3" s="41" t="s">
        <v>27</v>
      </c>
      <c r="G3" s="34">
        <v>3056</v>
      </c>
      <c r="H3" s="107">
        <f>IF(B$47=0,0,G3/B$47)</f>
        <v>0.53548274049413003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-1.2180267965895251</v>
      </c>
      <c r="P3" s="93">
        <v>2463</v>
      </c>
      <c r="Q3" s="77">
        <v>-3000</v>
      </c>
    </row>
    <row r="4" spans="1:17" x14ac:dyDescent="0.4">
      <c r="A4" s="37" t="s">
        <v>6</v>
      </c>
      <c r="B4" s="139">
        <v>5.5067062021407764E-14</v>
      </c>
      <c r="C4" s="140"/>
      <c r="E4" s="44" t="s">
        <v>64</v>
      </c>
      <c r="F4" s="41" t="s">
        <v>20</v>
      </c>
      <c r="G4" s="34">
        <v>2833</v>
      </c>
      <c r="H4" s="107">
        <f>IF(B$47=0,0,G4/B$47)</f>
        <v>0.49640792009812512</v>
      </c>
      <c r="I4" s="68">
        <v>9</v>
      </c>
      <c r="K4" s="5">
        <v>2</v>
      </c>
      <c r="L4" s="73">
        <v>-7</v>
      </c>
      <c r="N4" s="89" t="s">
        <v>128</v>
      </c>
      <c r="O4" s="96">
        <f t="shared" si="0"/>
        <v>4.3177892918825558</v>
      </c>
      <c r="P4" s="93">
        <v>2316</v>
      </c>
      <c r="Q4" s="77">
        <v>10000</v>
      </c>
    </row>
    <row r="5" spans="1:17" x14ac:dyDescent="0.4">
      <c r="A5" s="37" t="s">
        <v>7</v>
      </c>
      <c r="B5" s="141">
        <f>IF(B$2=0,0,B$4/B$2)</f>
        <v>2.1620362002908428E-17</v>
      </c>
      <c r="C5" s="142"/>
      <c r="E5" s="44" t="s">
        <v>68</v>
      </c>
      <c r="F5" s="41" t="s">
        <v>12</v>
      </c>
      <c r="G5" s="34">
        <v>1770</v>
      </c>
      <c r="H5" s="107">
        <f>IF(B$47=0,0,G5/B$47)</f>
        <v>0.31014543543017348</v>
      </c>
      <c r="I5" s="68">
        <v>9</v>
      </c>
      <c r="K5" s="5">
        <v>3</v>
      </c>
      <c r="L5" s="73">
        <v>0</v>
      </c>
      <c r="N5" s="89" t="s">
        <v>129</v>
      </c>
      <c r="O5" s="96">
        <f t="shared" si="0"/>
        <v>5.6417489421720735</v>
      </c>
      <c r="P5" s="93">
        <v>2127</v>
      </c>
      <c r="Q5" s="77">
        <v>12000</v>
      </c>
    </row>
    <row r="6" spans="1:17" x14ac:dyDescent="0.4">
      <c r="A6" s="37" t="s">
        <v>1</v>
      </c>
      <c r="B6" s="133">
        <f>IF(B$2=0,0,(B$7*1+B$8*2+B$9*3)/B$2)</f>
        <v>2</v>
      </c>
      <c r="C6" s="134"/>
      <c r="E6" s="44" t="s">
        <v>67</v>
      </c>
      <c r="F6" s="41" t="s">
        <v>23</v>
      </c>
      <c r="G6" s="34">
        <v>1687</v>
      </c>
      <c r="H6" s="107">
        <f>IF(B$47=0,0,G6/B$47)</f>
        <v>0.29560189241282636</v>
      </c>
      <c r="I6" s="68">
        <v>9</v>
      </c>
      <c r="K6" s="5">
        <v>4</v>
      </c>
      <c r="L6" s="73">
        <v>-1</v>
      </c>
      <c r="N6" s="89" t="s">
        <v>130</v>
      </c>
      <c r="O6" s="96">
        <f t="shared" si="0"/>
        <v>2.0931449502878072</v>
      </c>
      <c r="P6" s="93">
        <v>1911</v>
      </c>
      <c r="Q6" s="77">
        <v>4000</v>
      </c>
    </row>
    <row r="7" spans="1:17" x14ac:dyDescent="0.4">
      <c r="A7" s="37" t="s">
        <v>2</v>
      </c>
      <c r="B7" s="34">
        <v>849</v>
      </c>
      <c r="C7" s="31">
        <f t="shared" ref="C7:C10" si="1">IF(B$2=0,0,B7/B$2)</f>
        <v>0.33333333333333331</v>
      </c>
      <c r="E7" s="44" t="s">
        <v>157</v>
      </c>
      <c r="F7" s="41" t="s">
        <v>158</v>
      </c>
      <c r="G7" s="34">
        <v>1627</v>
      </c>
      <c r="H7" s="107">
        <f>IF(B$47=0,0,G7/B$47)</f>
        <v>0.28508848782197299</v>
      </c>
      <c r="I7" s="68">
        <v>9</v>
      </c>
      <c r="K7" s="5">
        <v>5</v>
      </c>
      <c r="L7" s="73">
        <v>39.9</v>
      </c>
      <c r="N7" s="90" t="s">
        <v>131</v>
      </c>
      <c r="O7" s="97">
        <f t="shared" si="0"/>
        <v>15.576323987538942</v>
      </c>
      <c r="P7" s="94">
        <v>1605</v>
      </c>
      <c r="Q7" s="78">
        <v>25000</v>
      </c>
    </row>
    <row r="8" spans="1:17" x14ac:dyDescent="0.4">
      <c r="A8" s="37" t="s">
        <v>3</v>
      </c>
      <c r="B8" s="34">
        <v>849</v>
      </c>
      <c r="C8" s="31">
        <f t="shared" si="1"/>
        <v>0.33333333333333331</v>
      </c>
      <c r="E8" s="44" t="s">
        <v>69</v>
      </c>
      <c r="F8" s="41" t="s">
        <v>24</v>
      </c>
      <c r="G8" s="34">
        <v>883</v>
      </c>
      <c r="H8" s="107">
        <f>IF(B$47=0,0,G8/B$47)</f>
        <v>0.15472227089539162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849</v>
      </c>
      <c r="C9" s="7">
        <f t="shared" si="1"/>
        <v>0.33333333333333331</v>
      </c>
      <c r="E9" s="44" t="s">
        <v>89</v>
      </c>
      <c r="F9" s="41" t="s">
        <v>44</v>
      </c>
      <c r="G9" s="34">
        <v>785</v>
      </c>
      <c r="H9" s="107">
        <f>IF(B$47=0,0,G9/B$47)</f>
        <v>0.13755037673033116</v>
      </c>
      <c r="I9" s="68">
        <v>7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315</v>
      </c>
      <c r="C10" s="32">
        <f t="shared" si="1"/>
        <v>0.12367491166077739</v>
      </c>
      <c r="E10" s="44" t="s">
        <v>65</v>
      </c>
      <c r="F10" s="41" t="s">
        <v>21</v>
      </c>
      <c r="G10" s="34">
        <v>642</v>
      </c>
      <c r="H10" s="107">
        <f>IF(B$47=0,0,G10/B$47)</f>
        <v>0.11249342912213071</v>
      </c>
      <c r="I10" s="68">
        <v>7</v>
      </c>
      <c r="K10" s="5">
        <v>8</v>
      </c>
      <c r="L10" s="73">
        <v>-26.699999999999996</v>
      </c>
      <c r="N10" s="88" t="s">
        <v>149</v>
      </c>
      <c r="O10" s="98">
        <f>IF(P10=0,0,Q10/P10)</f>
        <v>-2.1126477541371149</v>
      </c>
      <c r="P10" s="92">
        <v>846</v>
      </c>
      <c r="Q10" s="80">
        <v>-1787.299999999999</v>
      </c>
    </row>
    <row r="11" spans="1:17" x14ac:dyDescent="0.4">
      <c r="A11" s="40" t="s">
        <v>121</v>
      </c>
      <c r="B11" s="16">
        <v>5131</v>
      </c>
      <c r="C11" s="11">
        <f>IF(B$46=0,0,B11/B$46)</f>
        <v>0.26753219667344491</v>
      </c>
      <c r="E11" s="44" t="s">
        <v>70</v>
      </c>
      <c r="F11" s="41" t="s">
        <v>25</v>
      </c>
      <c r="G11" s="34">
        <v>561</v>
      </c>
      <c r="H11" s="107">
        <f>IF(B$47=0,0,G11/B$47)</f>
        <v>9.8300332924478706E-2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0.75496453900709248</v>
      </c>
      <c r="P11" s="93">
        <v>846</v>
      </c>
      <c r="Q11" s="81">
        <v>638.70000000000027</v>
      </c>
    </row>
    <row r="12" spans="1:17" x14ac:dyDescent="0.4">
      <c r="A12" s="37" t="s">
        <v>118</v>
      </c>
      <c r="B12" s="34">
        <v>4227</v>
      </c>
      <c r="C12" s="31">
        <f>IF(B$46=0,0,B12/B$46)</f>
        <v>0.22039730955732834</v>
      </c>
      <c r="E12" s="44" t="s">
        <v>71</v>
      </c>
      <c r="F12" s="41" t="s">
        <v>26</v>
      </c>
      <c r="G12" s="34">
        <v>370</v>
      </c>
      <c r="H12" s="107">
        <f>IF(B$47=0,0,G12/B$47)</f>
        <v>6.4832661643595579E-2</v>
      </c>
      <c r="I12" s="68">
        <v>8</v>
      </c>
      <c r="K12" s="5">
        <v>10</v>
      </c>
      <c r="L12" s="73">
        <v>85.2</v>
      </c>
      <c r="N12" s="90" t="s">
        <v>151</v>
      </c>
      <c r="O12" s="100">
        <f>IF(P12=0,0,Q12/P12)</f>
        <v>1.357683215130024</v>
      </c>
      <c r="P12" s="94">
        <v>846</v>
      </c>
      <c r="Q12" s="82">
        <v>1148.6000000000004</v>
      </c>
    </row>
    <row r="13" spans="1:17" x14ac:dyDescent="0.4">
      <c r="A13" s="19" t="s">
        <v>123</v>
      </c>
      <c r="B13" s="13">
        <v>2942</v>
      </c>
      <c r="C13" s="4">
        <f>IF(B$11=0,0,B13/B$11)</f>
        <v>0.57337750925745468</v>
      </c>
      <c r="E13" s="44" t="s">
        <v>86</v>
      </c>
      <c r="F13" s="41" t="s">
        <v>41</v>
      </c>
      <c r="G13" s="34">
        <v>339</v>
      </c>
      <c r="H13" s="107">
        <f>IF(B$47=0,0,G13/B$47)</f>
        <v>5.9400735938321361E-2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1705</v>
      </c>
      <c r="C14" s="4">
        <f>IF(B$12=0,0,B14/B$12)</f>
        <v>0.40335935651762478</v>
      </c>
      <c r="E14" s="44" t="s">
        <v>83</v>
      </c>
      <c r="F14" s="41" t="s">
        <v>38</v>
      </c>
      <c r="G14" s="34">
        <v>278</v>
      </c>
      <c r="H14" s="107">
        <f>IF(B$47=0,0,G14/B$47)</f>
        <v>4.8712107937620465E-2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6141</v>
      </c>
      <c r="C15" s="4">
        <f>IF(B$3=0,0,B15/B$3)</f>
        <v>0.29817916970138381</v>
      </c>
      <c r="E15" s="44" t="s">
        <v>78</v>
      </c>
      <c r="F15" s="41" t="s">
        <v>33</v>
      </c>
      <c r="G15" s="34">
        <v>155</v>
      </c>
      <c r="H15" s="107">
        <f>IF(B$47=0,0,G15/B$47)</f>
        <v>2.7159628526371122E-2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13</v>
      </c>
      <c r="B16" s="34">
        <v>3448</v>
      </c>
      <c r="C16" s="31">
        <f>IF(B$3=0,0,B16/B$3)</f>
        <v>0.16741927652342803</v>
      </c>
      <c r="E16" s="44" t="s">
        <v>81</v>
      </c>
      <c r="F16" s="41" t="s">
        <v>36</v>
      </c>
      <c r="G16" s="34">
        <v>139</v>
      </c>
      <c r="H16" s="107">
        <f>IF(B$47=0,0,G16/B$47)</f>
        <v>2.4356053968810232E-2</v>
      </c>
      <c r="I16" s="68">
        <v>8</v>
      </c>
      <c r="K16" s="5">
        <v>14</v>
      </c>
      <c r="L16" s="73">
        <v>-4</v>
      </c>
      <c r="N16" s="89" t="s">
        <v>197</v>
      </c>
      <c r="O16" s="99">
        <f>IF(P16=0,0,Q16/P16)</f>
        <v>27.521999999999984</v>
      </c>
      <c r="P16" s="93">
        <v>100</v>
      </c>
      <c r="Q16" s="81">
        <v>2752.1999999999985</v>
      </c>
    </row>
    <row r="17" spans="1:17" x14ac:dyDescent="0.4">
      <c r="A17" s="37" t="s">
        <v>12</v>
      </c>
      <c r="B17" s="34">
        <v>2642</v>
      </c>
      <c r="C17" s="31">
        <f>IF(B$15=0,0,B17/B$15)</f>
        <v>0.43022309070184012</v>
      </c>
      <c r="E17" s="44" t="s">
        <v>91</v>
      </c>
      <c r="F17" s="41" t="s">
        <v>46</v>
      </c>
      <c r="G17" s="34">
        <v>105</v>
      </c>
      <c r="H17" s="107">
        <f>IF(B$47=0,0,G17/B$47)</f>
        <v>1.8398458033993342E-2</v>
      </c>
      <c r="I17" s="68">
        <v>7</v>
      </c>
      <c r="K17" s="5">
        <v>15</v>
      </c>
      <c r="L17" s="73">
        <v>0</v>
      </c>
      <c r="N17" s="89" t="s">
        <v>185</v>
      </c>
      <c r="O17" s="99">
        <f>IF(P17=0,0,Q17/P17)</f>
        <v>25.919999999999998</v>
      </c>
      <c r="P17" s="93">
        <v>10</v>
      </c>
      <c r="Q17" s="81">
        <v>259.2</v>
      </c>
    </row>
    <row r="18" spans="1:17" x14ac:dyDescent="0.4">
      <c r="A18" s="37" t="s">
        <v>11</v>
      </c>
      <c r="B18" s="34">
        <v>3499</v>
      </c>
      <c r="C18" s="31">
        <f>IF(B$15=0,0,B18/B$15)</f>
        <v>0.56977690929815994</v>
      </c>
      <c r="E18" s="44" t="s">
        <v>153</v>
      </c>
      <c r="F18" s="41" t="s">
        <v>154</v>
      </c>
      <c r="G18" s="34">
        <v>85</v>
      </c>
      <c r="H18" s="107">
        <f>IF(B$47=0,0,G18/B$47)</f>
        <v>1.4893989837042229E-2</v>
      </c>
      <c r="I18" s="68">
        <v>5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">
      <c r="A19" s="37" t="s">
        <v>180</v>
      </c>
      <c r="B19" s="34">
        <v>2942</v>
      </c>
      <c r="C19" s="31">
        <f>IF(B$15=0,0,B19/B$15)</f>
        <v>0.47907506920696957</v>
      </c>
      <c r="E19" s="44" t="s">
        <v>79</v>
      </c>
      <c r="F19" s="41" t="s">
        <v>34</v>
      </c>
      <c r="G19" s="34">
        <v>84</v>
      </c>
      <c r="H19" s="107">
        <f>IF(B$47=0,0,G19/B$47)</f>
        <v>1.4718766427194673E-2</v>
      </c>
      <c r="I19" s="68">
        <v>9</v>
      </c>
      <c r="K19" s="5">
        <v>17</v>
      </c>
      <c r="L19" s="73">
        <v>-8</v>
      </c>
      <c r="N19" s="89" t="s">
        <v>186</v>
      </c>
      <c r="O19" s="99">
        <f>IF(P19=0,0,Q19/P19)</f>
        <v>11.033505154639172</v>
      </c>
      <c r="P19" s="93">
        <v>194</v>
      </c>
      <c r="Q19" s="81">
        <v>2140.4999999999995</v>
      </c>
    </row>
    <row r="20" spans="1:17" x14ac:dyDescent="0.4">
      <c r="A20" s="37" t="s">
        <v>178</v>
      </c>
      <c r="B20" s="34">
        <v>1705</v>
      </c>
      <c r="C20" s="31">
        <f>IF(B$15=0,0,B20/B$15)</f>
        <v>0.27764207783748573</v>
      </c>
      <c r="E20" s="44" t="s">
        <v>73</v>
      </c>
      <c r="F20" s="41" t="s">
        <v>28</v>
      </c>
      <c r="G20" s="34">
        <v>35</v>
      </c>
      <c r="H20" s="107">
        <f>IF(B$47=0,0,G20/B$47)</f>
        <v>6.1328193446644474E-3</v>
      </c>
      <c r="I20" s="68">
        <v>7</v>
      </c>
      <c r="K20" s="5">
        <v>18</v>
      </c>
      <c r="L20" s="73">
        <v>0</v>
      </c>
      <c r="N20" s="89" t="s">
        <v>188</v>
      </c>
      <c r="O20" s="99">
        <f>IF(P20=0,0,Q20/P20)</f>
        <v>7.1463414634146325</v>
      </c>
      <c r="P20" s="93">
        <v>492</v>
      </c>
      <c r="Q20" s="81">
        <v>3515.9999999999991</v>
      </c>
    </row>
    <row r="21" spans="1:17" x14ac:dyDescent="0.4">
      <c r="A21" s="37" t="s">
        <v>179</v>
      </c>
      <c r="B21" s="34">
        <v>1494</v>
      </c>
      <c r="C21" s="31">
        <f>IF(B$15=0,0,B21/B$15)</f>
        <v>0.24328285295554469</v>
      </c>
      <c r="E21" s="44" t="s">
        <v>75</v>
      </c>
      <c r="F21" s="41" t="s">
        <v>30</v>
      </c>
      <c r="G21" s="34">
        <v>35</v>
      </c>
      <c r="H21" s="107">
        <f>IF(B$47=0,0,G21/B$47)</f>
        <v>6.1328193446644474E-3</v>
      </c>
      <c r="I21" s="68">
        <v>5</v>
      </c>
      <c r="K21" s="5">
        <v>19</v>
      </c>
      <c r="L21" s="73">
        <v>-6.1</v>
      </c>
      <c r="N21" s="89" t="s">
        <v>190</v>
      </c>
      <c r="O21" s="99">
        <f>IF(P21=0,0,Q21/P21)</f>
        <v>6.2333776595744679</v>
      </c>
      <c r="P21" s="93">
        <v>752</v>
      </c>
      <c r="Q21" s="81">
        <v>4687.5</v>
      </c>
    </row>
    <row r="22" spans="1:17" x14ac:dyDescent="0.4">
      <c r="A22" s="37" t="s">
        <v>5</v>
      </c>
      <c r="B22" s="17">
        <f>IF(B$15=0,0,C22/B$15)</f>
        <v>9060.1530695326492</v>
      </c>
      <c r="C22" s="8">
        <v>55638400</v>
      </c>
      <c r="E22" s="44" t="s">
        <v>77</v>
      </c>
      <c r="F22" s="41" t="s">
        <v>32</v>
      </c>
      <c r="G22" s="34">
        <v>34</v>
      </c>
      <c r="H22" s="107">
        <f>IF(B$47=0,0,G22/B$47)</f>
        <v>5.9575959348168919E-3</v>
      </c>
      <c r="I22" s="68">
        <v>4</v>
      </c>
      <c r="K22" s="5">
        <v>20</v>
      </c>
      <c r="L22" s="73">
        <v>4.9000000000000004</v>
      </c>
      <c r="N22" s="89" t="s">
        <v>189</v>
      </c>
      <c r="O22" s="99">
        <f>IF(P22=0,0,Q22/P22)</f>
        <v>5.8125</v>
      </c>
      <c r="P22" s="93">
        <v>8</v>
      </c>
      <c r="Q22" s="81">
        <v>46.5</v>
      </c>
    </row>
    <row r="23" spans="1:17" x14ac:dyDescent="0.4">
      <c r="A23" s="38" t="s">
        <v>162</v>
      </c>
      <c r="B23" s="114">
        <f>IF($B$15-B$14=0,0,C23/($B$15-B$14))</f>
        <v>9617.6735798016234</v>
      </c>
      <c r="C23" s="115">
        <v>42664000</v>
      </c>
      <c r="E23" s="44" t="s">
        <v>92</v>
      </c>
      <c r="F23" s="41" t="s">
        <v>47</v>
      </c>
      <c r="G23" s="34">
        <v>28</v>
      </c>
      <c r="H23" s="107">
        <f>IF(B$47=0,0,G23/B$47)</f>
        <v>4.9062554757315574E-3</v>
      </c>
      <c r="I23" s="68">
        <v>4</v>
      </c>
      <c r="K23" s="5">
        <v>21</v>
      </c>
      <c r="L23" s="73">
        <v>0</v>
      </c>
      <c r="N23" s="89" t="s">
        <v>193</v>
      </c>
      <c r="O23" s="99">
        <f>IF(P23=0,0,Q23/P23)</f>
        <v>3.1050359712230309</v>
      </c>
      <c r="P23" s="93">
        <v>834</v>
      </c>
      <c r="Q23" s="81">
        <v>2589.6000000000076</v>
      </c>
    </row>
    <row r="24" spans="1:17" x14ac:dyDescent="0.4">
      <c r="A24" s="38" t="s">
        <v>163</v>
      </c>
      <c r="B24" s="114">
        <f>IF(B$14=0,0,C24/B$14)</f>
        <v>7609.6187683284461</v>
      </c>
      <c r="C24" s="115">
        <v>12974400</v>
      </c>
      <c r="E24" s="44" t="s">
        <v>85</v>
      </c>
      <c r="F24" s="41" t="s">
        <v>40</v>
      </c>
      <c r="G24" s="34">
        <v>24</v>
      </c>
      <c r="H24" s="107">
        <f>IF(B$47=0,0,G24/B$47)</f>
        <v>4.2053618363413351E-3</v>
      </c>
      <c r="I24" s="68">
        <v>4</v>
      </c>
      <c r="K24" s="5">
        <v>22</v>
      </c>
      <c r="L24" s="73">
        <v>-36</v>
      </c>
      <c r="N24" s="89" t="s">
        <v>187</v>
      </c>
      <c r="O24" s="99">
        <f>IF(P24=0,0,Q24/P24)</f>
        <v>2.469455252918288</v>
      </c>
      <c r="P24" s="93">
        <v>514</v>
      </c>
      <c r="Q24" s="81">
        <v>1269.3</v>
      </c>
    </row>
    <row r="25" spans="1:17" x14ac:dyDescent="0.4">
      <c r="A25" s="38" t="s">
        <v>161</v>
      </c>
      <c r="B25" s="114">
        <f>IF(B$16=0,0,C25/B$16)</f>
        <v>-8465.5742459396752</v>
      </c>
      <c r="C25" s="115">
        <v>-29189300</v>
      </c>
      <c r="E25" s="44" t="s">
        <v>74</v>
      </c>
      <c r="F25" s="41" t="s">
        <v>29</v>
      </c>
      <c r="G25" s="34">
        <v>21</v>
      </c>
      <c r="H25" s="107">
        <f>IF(B$47=0,0,G25/B$47)</f>
        <v>3.6796916067986683E-3</v>
      </c>
      <c r="I25" s="68">
        <v>7</v>
      </c>
      <c r="K25" s="5">
        <v>23</v>
      </c>
      <c r="L25" s="73">
        <v>-3</v>
      </c>
      <c r="N25" s="89" t="s">
        <v>199</v>
      </c>
      <c r="O25" s="99">
        <f>IF(P25=0,0,Q25/P25)</f>
        <v>1.1785714285714317</v>
      </c>
      <c r="P25" s="93">
        <v>56</v>
      </c>
      <c r="Q25" s="81">
        <v>66.000000000000171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16</v>
      </c>
      <c r="H26" s="107">
        <f>IF(B$47=0,0,G26/B$47)</f>
        <v>2.8035745575608903E-3</v>
      </c>
      <c r="I26" s="68">
        <v>5</v>
      </c>
      <c r="K26" s="5">
        <v>24</v>
      </c>
      <c r="L26" s="73">
        <v>0</v>
      </c>
      <c r="N26" s="89" t="s">
        <v>194</v>
      </c>
      <c r="O26" s="99">
        <f>IF(P26=0,0,Q26/P26)</f>
        <v>5.7692307692313316E-2</v>
      </c>
      <c r="P26" s="93">
        <v>182</v>
      </c>
      <c r="Q26" s="81">
        <v>10.500000000001023</v>
      </c>
    </row>
    <row r="27" spans="1:17" x14ac:dyDescent="0.4">
      <c r="A27" s="37" t="s">
        <v>156</v>
      </c>
      <c r="B27" s="34">
        <v>35</v>
      </c>
      <c r="C27" s="109">
        <v>0</v>
      </c>
      <c r="E27" s="44" t="s">
        <v>84</v>
      </c>
      <c r="F27" s="41" t="s">
        <v>39</v>
      </c>
      <c r="G27" s="34">
        <v>14</v>
      </c>
      <c r="H27" s="107">
        <f>IF(B$47=0,0,G27/B$47)</f>
        <v>2.4531277378657787E-3</v>
      </c>
      <c r="I27" s="68">
        <v>5</v>
      </c>
      <c r="K27" s="5">
        <v>25</v>
      </c>
      <c r="L27" s="73">
        <v>-41</v>
      </c>
      <c r="N27" s="89" t="s">
        <v>191</v>
      </c>
      <c r="O27" s="99">
        <f>IF(P27=0,0,Q27/P27)</f>
        <v>-3.312302839116038E-3</v>
      </c>
      <c r="P27" s="93">
        <v>634</v>
      </c>
      <c r="Q27" s="81">
        <v>-2.099999999999568</v>
      </c>
    </row>
    <row r="28" spans="1:17" x14ac:dyDescent="0.4">
      <c r="A28" s="64" t="s">
        <v>134</v>
      </c>
      <c r="B28" s="131">
        <v>10</v>
      </c>
      <c r="C28" s="132"/>
      <c r="E28" s="44" t="s">
        <v>87</v>
      </c>
      <c r="F28" s="41" t="s">
        <v>42</v>
      </c>
      <c r="G28" s="34">
        <v>13</v>
      </c>
      <c r="H28" s="107">
        <f>IF(B$47=0,0,G28/B$47)</f>
        <v>2.2779043280182231E-3</v>
      </c>
      <c r="I28" s="68">
        <v>4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">
      <c r="A29" s="40" t="s">
        <v>177</v>
      </c>
      <c r="B29" s="129">
        <v>149100</v>
      </c>
      <c r="C29" s="130"/>
      <c r="E29" s="44" t="s">
        <v>88</v>
      </c>
      <c r="F29" s="41" t="s">
        <v>43</v>
      </c>
      <c r="G29" s="34">
        <v>10</v>
      </c>
      <c r="H29" s="107">
        <f>IF(B$47=0,0,G29/B$47)</f>
        <v>1.7522340984755564E-3</v>
      </c>
      <c r="I29" s="68">
        <v>5</v>
      </c>
      <c r="K29" s="5">
        <v>27</v>
      </c>
      <c r="L29" s="73">
        <v>0</v>
      </c>
      <c r="N29" s="89" t="s">
        <v>195</v>
      </c>
      <c r="O29" s="99">
        <f>IF(P29=0,0,Q29/P29)</f>
        <v>-14.335714285714284</v>
      </c>
      <c r="P29" s="93">
        <v>1204</v>
      </c>
      <c r="Q29" s="81">
        <v>-17260.199999999997</v>
      </c>
    </row>
    <row r="30" spans="1:17" x14ac:dyDescent="0.4">
      <c r="A30" s="39" t="s">
        <v>135</v>
      </c>
      <c r="B30" s="27">
        <v>56</v>
      </c>
      <c r="C30" s="32">
        <f>IF(B$3=0,0,B30/B$3)</f>
        <v>2.7191065792668122E-3</v>
      </c>
      <c r="E30" s="44" t="s">
        <v>90</v>
      </c>
      <c r="F30" s="41" t="s">
        <v>45</v>
      </c>
      <c r="G30" s="34">
        <v>10</v>
      </c>
      <c r="H30" s="107">
        <f>IF(B$47=0,0,G30/B$47)</f>
        <v>1.7522340984755564E-3</v>
      </c>
      <c r="I30" s="68">
        <v>5</v>
      </c>
      <c r="K30" s="5">
        <v>28</v>
      </c>
      <c r="L30" s="73">
        <v>-31.5</v>
      </c>
      <c r="N30" s="89" t="s">
        <v>196</v>
      </c>
      <c r="O30" s="99">
        <f>IF(P30=0,0,Q30/P30)</f>
        <v>-18.166666666666668</v>
      </c>
      <c r="P30" s="93">
        <v>18</v>
      </c>
      <c r="Q30" s="81">
        <v>-327</v>
      </c>
    </row>
    <row r="31" spans="1:17" x14ac:dyDescent="0.4">
      <c r="E31" s="44" t="s">
        <v>95</v>
      </c>
      <c r="F31" s="41" t="s">
        <v>50</v>
      </c>
      <c r="G31" s="34">
        <v>6</v>
      </c>
      <c r="H31" s="107">
        <f>IF(B$47=0,0,G31/B$47)</f>
        <v>1.0513404590853338E-3</v>
      </c>
      <c r="I31" s="68">
        <v>4</v>
      </c>
      <c r="K31" s="5">
        <v>29</v>
      </c>
      <c r="L31" s="73">
        <v>36.700000000000003</v>
      </c>
      <c r="N31" s="89" t="s">
        <v>200</v>
      </c>
      <c r="O31" s="99">
        <f>IF(P31=0,0,Q31/P31)</f>
        <v>-19.950000000000003</v>
      </c>
      <c r="P31" s="93">
        <v>2</v>
      </c>
      <c r="Q31" s="81">
        <v>-39.900000000000006</v>
      </c>
    </row>
    <row r="32" spans="1:17" x14ac:dyDescent="0.4">
      <c r="A32" s="64" t="s">
        <v>168</v>
      </c>
      <c r="B32" s="122">
        <v>376</v>
      </c>
      <c r="C32" s="119">
        <f>IF(B$15=0,0,B32/B$15)</f>
        <v>6.1227813059762257E-2</v>
      </c>
      <c r="E32" s="44" t="s">
        <v>106</v>
      </c>
      <c r="F32" s="41" t="s">
        <v>113</v>
      </c>
      <c r="G32" s="34">
        <v>3</v>
      </c>
      <c r="H32" s="107">
        <f>IF(B$47=0,0,G32/B$47)</f>
        <v>5.2567022954266688E-4</v>
      </c>
      <c r="I32" s="68">
        <v>3</v>
      </c>
      <c r="K32" s="5">
        <v>30</v>
      </c>
      <c r="L32" s="73">
        <v>0</v>
      </c>
    </row>
    <row r="33" spans="1:12" x14ac:dyDescent="0.4">
      <c r="A33" s="37" t="s">
        <v>164</v>
      </c>
      <c r="B33" s="34">
        <v>845</v>
      </c>
      <c r="C33" s="31">
        <f t="shared" ref="C33:C44" si="2">IF(B$15=0,0,B33/B$15)</f>
        <v>0.13759973945611464</v>
      </c>
      <c r="E33" s="44" t="s">
        <v>97</v>
      </c>
      <c r="F33" s="41" t="s">
        <v>52</v>
      </c>
      <c r="G33" s="34">
        <v>2</v>
      </c>
      <c r="H33" s="107">
        <f>IF(B$47=0,0,G33/B$47)</f>
        <v>3.5044681969511129E-4</v>
      </c>
      <c r="I33" s="68">
        <v>3</v>
      </c>
      <c r="K33" s="5">
        <v>31</v>
      </c>
      <c r="L33" s="73">
        <v>18.3</v>
      </c>
    </row>
    <row r="34" spans="1:12" x14ac:dyDescent="0.4">
      <c r="A34" s="37" t="s">
        <v>165</v>
      </c>
      <c r="B34" s="123">
        <v>1094</v>
      </c>
      <c r="C34" s="31">
        <f>IF(B$15=0,0,B34/B$15)</f>
        <v>0.17814688161537209</v>
      </c>
      <c r="E34" s="44" t="s">
        <v>101</v>
      </c>
      <c r="F34" s="41" t="s">
        <v>56</v>
      </c>
      <c r="G34" s="34">
        <v>2</v>
      </c>
      <c r="H34" s="107">
        <f>IF(B$47=0,0,G34/B$47)</f>
        <v>3.5044681969511129E-4</v>
      </c>
      <c r="I34" s="68">
        <v>2</v>
      </c>
      <c r="K34" s="5">
        <v>32</v>
      </c>
      <c r="L34" s="73">
        <v>8.6000000000000014</v>
      </c>
    </row>
    <row r="35" spans="1:12" x14ac:dyDescent="0.4">
      <c r="A35" s="37" t="s">
        <v>166</v>
      </c>
      <c r="B35" s="123">
        <v>1073</v>
      </c>
      <c r="C35" s="31">
        <f t="shared" si="2"/>
        <v>0.17472724312001303</v>
      </c>
      <c r="E35" s="44" t="s">
        <v>80</v>
      </c>
      <c r="F35" s="41" t="s">
        <v>35</v>
      </c>
      <c r="G35" s="34">
        <v>1</v>
      </c>
      <c r="H35" s="107">
        <f>IF(B$47=0,0,G35/B$47)</f>
        <v>1.7522340984755565E-4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37" t="s">
        <v>167</v>
      </c>
      <c r="B36" s="123">
        <v>898</v>
      </c>
      <c r="C36" s="31">
        <f t="shared" si="2"/>
        <v>0.1462302556586875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">
      <c r="A37" s="37" t="s">
        <v>169</v>
      </c>
      <c r="B37" s="123">
        <v>580</v>
      </c>
      <c r="C37" s="31">
        <f t="shared" si="2"/>
        <v>9.4447158443250287E-2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170</v>
      </c>
      <c r="B38" s="123">
        <v>360</v>
      </c>
      <c r="C38" s="31">
        <f t="shared" si="2"/>
        <v>5.8622374206155348E-2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171</v>
      </c>
      <c r="B39" s="123">
        <v>195</v>
      </c>
      <c r="C39" s="31">
        <f t="shared" si="2"/>
        <v>3.1753786028334147E-2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172</v>
      </c>
      <c r="B40" s="123">
        <v>114</v>
      </c>
      <c r="C40" s="31">
        <f t="shared" si="2"/>
        <v>1.8563751831949193E-2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173</v>
      </c>
      <c r="B41" s="123">
        <v>56</v>
      </c>
      <c r="C41" s="31">
        <f t="shared" si="2"/>
        <v>9.1190359876241658E-3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174</v>
      </c>
      <c r="B42" s="123">
        <v>30</v>
      </c>
      <c r="C42" s="31">
        <f t="shared" si="2"/>
        <v>4.8851978505129456E-3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175</v>
      </c>
      <c r="B43" s="123">
        <v>14</v>
      </c>
      <c r="C43" s="31">
        <f t="shared" si="2"/>
        <v>2.2797589969060414E-3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9" t="s">
        <v>176</v>
      </c>
      <c r="B44" s="124">
        <v>72</v>
      </c>
      <c r="C44" s="32">
        <f t="shared" si="2"/>
        <v>1.172447484123107E-2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64" t="s">
        <v>181</v>
      </c>
      <c r="B46" s="127">
        <v>19179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9" t="s">
        <v>182</v>
      </c>
      <c r="B47" s="125">
        <v>5707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">
      <c r="K53" s="5">
        <v>51</v>
      </c>
      <c r="L53" s="73">
        <v>7.1054273576010019E-15</v>
      </c>
    </row>
    <row r="54" spans="5:12" x14ac:dyDescent="0.4">
      <c r="K54" s="5">
        <v>52</v>
      </c>
      <c r="L54" s="73">
        <v>14.900000000000007</v>
      </c>
    </row>
    <row r="55" spans="5:12" x14ac:dyDescent="0.4">
      <c r="K55" s="5">
        <v>53</v>
      </c>
      <c r="L55" s="73">
        <v>1.2000000000000082</v>
      </c>
    </row>
    <row r="56" spans="5:12" x14ac:dyDescent="0.4">
      <c r="K56" s="5">
        <v>54</v>
      </c>
      <c r="L56" s="73">
        <v>8.2156503822261584E-15</v>
      </c>
    </row>
    <row r="57" spans="5:12" x14ac:dyDescent="0.4">
      <c r="K57" s="5">
        <v>55</v>
      </c>
      <c r="L57" s="73">
        <v>57.20000000000001</v>
      </c>
    </row>
    <row r="58" spans="5:12" x14ac:dyDescent="0.4">
      <c r="K58" s="5">
        <v>56</v>
      </c>
      <c r="L58" s="73">
        <v>18.800000000000011</v>
      </c>
    </row>
    <row r="59" spans="5:12" x14ac:dyDescent="0.4">
      <c r="K59" s="5">
        <v>57</v>
      </c>
      <c r="L59" s="73">
        <v>1.0658141036401503E-14</v>
      </c>
    </row>
    <row r="60" spans="5:12" x14ac:dyDescent="0.4">
      <c r="K60" s="5">
        <v>58</v>
      </c>
      <c r="L60" s="73">
        <v>26.20000000000001</v>
      </c>
    </row>
    <row r="61" spans="5:12" x14ac:dyDescent="0.4">
      <c r="K61" s="5">
        <v>59</v>
      </c>
      <c r="L61" s="73">
        <v>1.0000000000000107</v>
      </c>
    </row>
    <row r="62" spans="5:12" x14ac:dyDescent="0.4">
      <c r="K62" s="5">
        <v>60</v>
      </c>
      <c r="L62" s="73">
        <v>1.0658141036401503E-14</v>
      </c>
    </row>
    <row r="63" spans="5:12" x14ac:dyDescent="0.4">
      <c r="K63" s="5">
        <v>61</v>
      </c>
      <c r="L63" s="73">
        <v>56.500000000000014</v>
      </c>
    </row>
    <row r="64" spans="5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6.8000000000000869</v>
      </c>
    </row>
    <row r="2218" spans="11:12" x14ac:dyDescent="0.4">
      <c r="K2218" s="5">
        <v>2216</v>
      </c>
      <c r="L2218" s="73">
        <v>31.600000000000087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-16.099999999999916</v>
      </c>
    </row>
    <row r="2221" spans="11:12" x14ac:dyDescent="0.4">
      <c r="K2221" s="5">
        <v>2219</v>
      </c>
      <c r="L2221" s="73">
        <v>26.900000000000084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6.6000000000000867</v>
      </c>
    </row>
    <row r="2224" spans="11:12" x14ac:dyDescent="0.4">
      <c r="K2224" s="5">
        <v>2222</v>
      </c>
      <c r="L2224" s="73">
        <v>28.800000000000082</v>
      </c>
    </row>
    <row r="2225" spans="11:12" x14ac:dyDescent="0.4">
      <c r="K2225" s="5">
        <v>2223</v>
      </c>
      <c r="L2225" s="73">
        <v>8.3488771451811772E-14</v>
      </c>
    </row>
    <row r="2226" spans="11:12" x14ac:dyDescent="0.4">
      <c r="K2226" s="5">
        <v>2224</v>
      </c>
      <c r="L2226" s="73">
        <v>4.4000000000000838</v>
      </c>
    </row>
    <row r="2227" spans="11:12" x14ac:dyDescent="0.4">
      <c r="K2227" s="5">
        <v>2225</v>
      </c>
      <c r="L2227" s="73">
        <v>20.300000000000082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18.300000000000082</v>
      </c>
    </row>
    <row r="2230" spans="11:12" x14ac:dyDescent="0.4">
      <c r="K2230" s="5">
        <v>2228</v>
      </c>
      <c r="L2230" s="73">
        <v>16.700000000000081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19.200000000000081</v>
      </c>
    </row>
    <row r="2233" spans="11:12" x14ac:dyDescent="0.4">
      <c r="K2233" s="5">
        <v>2231</v>
      </c>
      <c r="L2233" s="73">
        <v>27.800000000000082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12.400000000000084</v>
      </c>
    </row>
    <row r="2236" spans="11:12" x14ac:dyDescent="0.4">
      <c r="K2236" s="5">
        <v>2234</v>
      </c>
      <c r="L2236" s="73">
        <v>13.000000000000083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61.500000000000085</v>
      </c>
    </row>
    <row r="2239" spans="11:12" x14ac:dyDescent="0.4">
      <c r="K2239" s="5">
        <v>2237</v>
      </c>
      <c r="L2239" s="73">
        <v>8.8000000000000842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-1.9999999999999165</v>
      </c>
    </row>
    <row r="2242" spans="11:12" x14ac:dyDescent="0.4">
      <c r="K2242" s="5">
        <v>2240</v>
      </c>
      <c r="L2242" s="73">
        <v>35.200000000000088</v>
      </c>
    </row>
    <row r="2243" spans="11:12" x14ac:dyDescent="0.4">
      <c r="K2243" s="5">
        <v>2241</v>
      </c>
      <c r="L2243" s="73">
        <v>8.7041485130612273E-14</v>
      </c>
    </row>
    <row r="2244" spans="11:12" x14ac:dyDescent="0.4">
      <c r="K2244" s="5">
        <v>2242</v>
      </c>
      <c r="L2244" s="73">
        <v>30.500000000000085</v>
      </c>
    </row>
    <row r="2245" spans="11:12" x14ac:dyDescent="0.4">
      <c r="K2245" s="5">
        <v>2243</v>
      </c>
      <c r="L2245" s="73">
        <v>34.900000000000084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12.200000000000086</v>
      </c>
    </row>
    <row r="2248" spans="11:12" x14ac:dyDescent="0.4">
      <c r="K2248" s="5">
        <v>2246</v>
      </c>
      <c r="L2248" s="73">
        <v>-40.599999999999909</v>
      </c>
    </row>
    <row r="2249" spans="11:12" x14ac:dyDescent="0.4">
      <c r="K2249" s="5">
        <v>2247</v>
      </c>
      <c r="L2249" s="73">
        <v>9.4146912488213275E-14</v>
      </c>
    </row>
    <row r="2250" spans="11:12" x14ac:dyDescent="0.4">
      <c r="K2250" s="5">
        <v>2248</v>
      </c>
      <c r="L2250" s="73">
        <v>32.400000000000091</v>
      </c>
    </row>
    <row r="2251" spans="11:12" x14ac:dyDescent="0.4">
      <c r="K2251" s="5">
        <v>2249</v>
      </c>
      <c r="L2251" s="73">
        <v>48.000000000000092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55.100000000000094</v>
      </c>
    </row>
    <row r="2254" spans="11:12" x14ac:dyDescent="0.4">
      <c r="K2254" s="5">
        <v>2252</v>
      </c>
      <c r="L2254" s="73">
        <v>35.100000000000094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40.900000000000091</v>
      </c>
    </row>
    <row r="2257" spans="11:12" x14ac:dyDescent="0.4">
      <c r="K2257" s="5">
        <v>2255</v>
      </c>
      <c r="L2257" s="73">
        <v>31.700000000000095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-1.3999999999999058</v>
      </c>
    </row>
    <row r="2260" spans="11:12" x14ac:dyDescent="0.4">
      <c r="K2260" s="5">
        <v>2258</v>
      </c>
      <c r="L2260" s="73">
        <v>-18.399999999999906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-8.6999999999999051</v>
      </c>
    </row>
    <row r="2263" spans="11:12" x14ac:dyDescent="0.4">
      <c r="K2263" s="5">
        <v>2261</v>
      </c>
      <c r="L2263" s="73">
        <v>-35.499999999999908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28.800000000000097</v>
      </c>
    </row>
    <row r="2266" spans="11:12" x14ac:dyDescent="0.4">
      <c r="K2266" s="5">
        <v>2264</v>
      </c>
      <c r="L2266" s="73">
        <v>41.400000000000091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12.600000000000094</v>
      </c>
    </row>
    <row r="2269" spans="11:12" x14ac:dyDescent="0.4">
      <c r="K2269" s="5">
        <v>2267</v>
      </c>
      <c r="L2269" s="73">
        <v>-28.699999999999903</v>
      </c>
    </row>
    <row r="2270" spans="11:12" x14ac:dyDescent="0.4">
      <c r="K2270" s="5">
        <v>2268</v>
      </c>
      <c r="L2270" s="73">
        <v>9.7699626167013776E-14</v>
      </c>
    </row>
    <row r="2271" spans="11:12" x14ac:dyDescent="0.4">
      <c r="K2271" s="5">
        <v>2269</v>
      </c>
      <c r="L2271" s="73">
        <v>14.900000000000098</v>
      </c>
    </row>
    <row r="2272" spans="11:12" x14ac:dyDescent="0.4">
      <c r="K2272" s="5">
        <v>2270</v>
      </c>
      <c r="L2272" s="73">
        <v>42.700000000000095</v>
      </c>
    </row>
    <row r="2273" spans="11:12" x14ac:dyDescent="0.4">
      <c r="K2273" s="5">
        <v>2271</v>
      </c>
      <c r="L2273" s="73">
        <v>9.4146912488213275E-14</v>
      </c>
    </row>
    <row r="2274" spans="11:12" x14ac:dyDescent="0.4">
      <c r="K2274" s="5">
        <v>2272</v>
      </c>
      <c r="L2274" s="73">
        <v>-23.999999999999908</v>
      </c>
    </row>
    <row r="2275" spans="11:12" x14ac:dyDescent="0.4">
      <c r="K2275" s="5">
        <v>2273</v>
      </c>
      <c r="L2275" s="73">
        <v>-25.599999999999909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4.0000000000000941</v>
      </c>
    </row>
    <row r="2278" spans="11:12" x14ac:dyDescent="0.4">
      <c r="K2278" s="5">
        <v>2276</v>
      </c>
      <c r="L2278" s="73">
        <v>-24.099999999999909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-4.4999999999999059</v>
      </c>
    </row>
    <row r="2281" spans="11:12" x14ac:dyDescent="0.4">
      <c r="K2281" s="5">
        <v>2279</v>
      </c>
      <c r="L2281" s="73">
        <v>-34.499999999999908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-30.499999999999908</v>
      </c>
    </row>
    <row r="2284" spans="11:12" x14ac:dyDescent="0.4">
      <c r="K2284" s="5">
        <v>2282</v>
      </c>
      <c r="L2284" s="73">
        <v>-33.799999999999905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-31.299999999999905</v>
      </c>
    </row>
    <row r="2287" spans="11:12" x14ac:dyDescent="0.4">
      <c r="K2287" s="5">
        <v>2285</v>
      </c>
      <c r="L2287" s="73">
        <v>-6.4999999999999059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-22.399999999999906</v>
      </c>
    </row>
    <row r="2290" spans="11:12" x14ac:dyDescent="0.4">
      <c r="K2290" s="5">
        <v>2288</v>
      </c>
      <c r="L2290" s="73">
        <v>3.1000000000000956</v>
      </c>
    </row>
    <row r="2291" spans="11:12" x14ac:dyDescent="0.4">
      <c r="K2291" s="5">
        <v>2289</v>
      </c>
      <c r="L2291" s="73">
        <v>9.5479180117763462E-14</v>
      </c>
    </row>
    <row r="2292" spans="11:12" x14ac:dyDescent="0.4">
      <c r="K2292" s="5">
        <v>2290</v>
      </c>
      <c r="L2292" s="73">
        <v>1.3000000000000955</v>
      </c>
    </row>
    <row r="2293" spans="11:12" x14ac:dyDescent="0.4">
      <c r="K2293" s="5">
        <v>2291</v>
      </c>
      <c r="L2293" s="73">
        <v>26.100000000000094</v>
      </c>
    </row>
    <row r="2294" spans="11:12" x14ac:dyDescent="0.4">
      <c r="K2294" s="5">
        <v>2292</v>
      </c>
      <c r="L2294" s="73">
        <v>9.4146912488213275E-14</v>
      </c>
    </row>
    <row r="2295" spans="11:12" x14ac:dyDescent="0.4">
      <c r="K2295" s="5">
        <v>2293</v>
      </c>
      <c r="L2295" s="73">
        <v>5.6000000000000938</v>
      </c>
    </row>
    <row r="2296" spans="11:12" x14ac:dyDescent="0.4">
      <c r="K2296" s="5">
        <v>2294</v>
      </c>
      <c r="L2296" s="73">
        <v>-19.399999999999906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14.800000000000095</v>
      </c>
    </row>
    <row r="2299" spans="11:12" x14ac:dyDescent="0.4">
      <c r="K2299" s="5">
        <v>2297</v>
      </c>
      <c r="L2299" s="73">
        <v>14.200000000000095</v>
      </c>
    </row>
    <row r="2300" spans="11:12" x14ac:dyDescent="0.4">
      <c r="K2300" s="5">
        <v>2298</v>
      </c>
      <c r="L2300" s="73">
        <v>9.5923269327613525E-14</v>
      </c>
    </row>
    <row r="2301" spans="11:12" x14ac:dyDescent="0.4">
      <c r="K2301" s="5">
        <v>2299</v>
      </c>
      <c r="L2301" s="73">
        <v>-42.299999999999905</v>
      </c>
    </row>
    <row r="2302" spans="11:12" x14ac:dyDescent="0.4">
      <c r="K2302" s="5">
        <v>2300</v>
      </c>
      <c r="L2302" s="73">
        <v>-49.099999999999902</v>
      </c>
    </row>
    <row r="2303" spans="11:12" x14ac:dyDescent="0.4">
      <c r="K2303" s="5">
        <v>2301</v>
      </c>
      <c r="L2303" s="73">
        <v>1.0125233984581428E-13</v>
      </c>
    </row>
    <row r="2304" spans="11:12" x14ac:dyDescent="0.4">
      <c r="K2304" s="5">
        <v>2302</v>
      </c>
      <c r="L2304" s="73">
        <v>11.400000000000102</v>
      </c>
    </row>
    <row r="2305" spans="11:12" x14ac:dyDescent="0.4">
      <c r="K2305" s="5">
        <v>2303</v>
      </c>
      <c r="L2305" s="73">
        <v>53.400000000000098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22.200000000000102</v>
      </c>
    </row>
    <row r="2308" spans="11:12" x14ac:dyDescent="0.4">
      <c r="K2308" s="5">
        <v>2306</v>
      </c>
      <c r="L2308" s="73">
        <v>-9.3999999999999009</v>
      </c>
    </row>
    <row r="2309" spans="11:12" x14ac:dyDescent="0.4">
      <c r="K2309" s="5">
        <v>2307</v>
      </c>
      <c r="L2309" s="73">
        <v>9.9475983006414026E-14</v>
      </c>
    </row>
    <row r="2310" spans="11:12" x14ac:dyDescent="0.4">
      <c r="K2310" s="5">
        <v>2308</v>
      </c>
      <c r="L2310" s="73">
        <v>9.1000000000000991</v>
      </c>
    </row>
    <row r="2311" spans="11:12" x14ac:dyDescent="0.4">
      <c r="K2311" s="5">
        <v>2309</v>
      </c>
      <c r="L2311" s="73">
        <v>-20.399999999999899</v>
      </c>
    </row>
    <row r="2312" spans="11:12" x14ac:dyDescent="0.4">
      <c r="K2312" s="5">
        <v>2310</v>
      </c>
      <c r="L2312" s="73">
        <v>9.7699626167013776E-14</v>
      </c>
    </row>
    <row r="2313" spans="11:12" x14ac:dyDescent="0.4">
      <c r="K2313" s="5">
        <v>2311</v>
      </c>
      <c r="L2313" s="73">
        <v>-36.099999999999909</v>
      </c>
    </row>
    <row r="2314" spans="11:12" x14ac:dyDescent="0.4">
      <c r="K2314" s="5">
        <v>2312</v>
      </c>
      <c r="L2314" s="73">
        <v>-7.2999999999999066</v>
      </c>
    </row>
    <row r="2315" spans="11:12" x14ac:dyDescent="0.4">
      <c r="K2315" s="5">
        <v>2313</v>
      </c>
      <c r="L2315" s="73">
        <v>9.3258734068513149E-14</v>
      </c>
    </row>
    <row r="2316" spans="11:12" x14ac:dyDescent="0.4">
      <c r="K2316" s="5">
        <v>2314</v>
      </c>
      <c r="L2316" s="73">
        <v>-2.9999999999999067</v>
      </c>
    </row>
    <row r="2317" spans="11:12" x14ac:dyDescent="0.4">
      <c r="K2317" s="5">
        <v>2315</v>
      </c>
      <c r="L2317" s="73">
        <v>-31.499999999999908</v>
      </c>
    </row>
    <row r="2318" spans="11:12" x14ac:dyDescent="0.4">
      <c r="K2318" s="5">
        <v>2316</v>
      </c>
      <c r="L2318" s="73">
        <v>9.4146912488213275E-14</v>
      </c>
    </row>
    <row r="2319" spans="11:12" x14ac:dyDescent="0.4">
      <c r="K2319" s="5">
        <v>2317</v>
      </c>
      <c r="L2319" s="73">
        <v>32.500000000000092</v>
      </c>
    </row>
    <row r="2320" spans="11:12" x14ac:dyDescent="0.4">
      <c r="K2320" s="5">
        <v>2318</v>
      </c>
      <c r="L2320" s="73">
        <v>21.300000000000097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-22.399999999999906</v>
      </c>
    </row>
    <row r="2323" spans="11:12" x14ac:dyDescent="0.4">
      <c r="K2323" s="5">
        <v>2321</v>
      </c>
      <c r="L2323" s="73">
        <v>-69.099999999999909</v>
      </c>
    </row>
    <row r="2324" spans="11:12" x14ac:dyDescent="0.4">
      <c r="K2324" s="5">
        <v>2322</v>
      </c>
      <c r="L2324" s="73">
        <v>8.7041485130612273E-14</v>
      </c>
    </row>
    <row r="2325" spans="11:12" x14ac:dyDescent="0.4">
      <c r="K2325" s="5">
        <v>2323</v>
      </c>
      <c r="L2325" s="73">
        <v>15.200000000000086</v>
      </c>
    </row>
    <row r="2326" spans="11:12" x14ac:dyDescent="0.4">
      <c r="K2326" s="5">
        <v>2324</v>
      </c>
      <c r="L2326" s="73">
        <v>18.30000000000009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1.6000000000000871</v>
      </c>
    </row>
    <row r="2329" spans="11:12" x14ac:dyDescent="0.4">
      <c r="K2329" s="5">
        <v>2327</v>
      </c>
      <c r="L2329" s="73">
        <v>-48.899999999999913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26.80000000000009</v>
      </c>
    </row>
    <row r="2332" spans="11:12" x14ac:dyDescent="0.4">
      <c r="K2332" s="5">
        <v>2330</v>
      </c>
      <c r="L2332" s="73">
        <v>40.100000000000087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-21.299999999999912</v>
      </c>
    </row>
    <row r="2335" spans="11:12" x14ac:dyDescent="0.4">
      <c r="K2335" s="5">
        <v>2333</v>
      </c>
      <c r="L2335" s="73">
        <v>-4.6999999999999122</v>
      </c>
    </row>
    <row r="2336" spans="11:12" x14ac:dyDescent="0.4">
      <c r="K2336" s="5">
        <v>2334</v>
      </c>
      <c r="L2336" s="73">
        <v>8.7929663550312398E-14</v>
      </c>
    </row>
    <row r="2337" spans="11:12" x14ac:dyDescent="0.4">
      <c r="K2337" s="5">
        <v>2335</v>
      </c>
      <c r="L2337" s="73">
        <v>-29.899999999999913</v>
      </c>
    </row>
    <row r="2338" spans="11:12" x14ac:dyDescent="0.4">
      <c r="K2338" s="5">
        <v>2336</v>
      </c>
      <c r="L2338" s="73">
        <v>-5.0999999999999108</v>
      </c>
    </row>
    <row r="2339" spans="11:12" x14ac:dyDescent="0.4">
      <c r="K2339" s="5">
        <v>2337</v>
      </c>
      <c r="L2339" s="73">
        <v>8.8817841970012523E-14</v>
      </c>
    </row>
    <row r="2340" spans="11:12" x14ac:dyDescent="0.4">
      <c r="K2340" s="5">
        <v>2338</v>
      </c>
      <c r="L2340" s="73">
        <v>-13.799999999999912</v>
      </c>
    </row>
    <row r="2341" spans="11:12" x14ac:dyDescent="0.4">
      <c r="K2341" s="5">
        <v>2339</v>
      </c>
      <c r="L2341" s="73">
        <v>-39.299999999999912</v>
      </c>
    </row>
    <row r="2342" spans="11:12" x14ac:dyDescent="0.4">
      <c r="K2342" s="5">
        <v>2340</v>
      </c>
      <c r="L2342" s="73">
        <v>8.7041485130612273E-14</v>
      </c>
    </row>
    <row r="2343" spans="11:12" x14ac:dyDescent="0.4">
      <c r="K2343" s="5">
        <v>2341</v>
      </c>
      <c r="L2343" s="73">
        <v>10.900000000000087</v>
      </c>
    </row>
    <row r="2344" spans="11:12" x14ac:dyDescent="0.4">
      <c r="K2344" s="5">
        <v>2342</v>
      </c>
      <c r="L2344" s="73">
        <v>55.900000000000084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6.000000000000087</v>
      </c>
    </row>
    <row r="2347" spans="11:12" x14ac:dyDescent="0.4">
      <c r="K2347" s="5">
        <v>2345</v>
      </c>
      <c r="L2347" s="73">
        <v>-23.599999999999916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-15.299999999999914</v>
      </c>
    </row>
    <row r="2350" spans="11:12" x14ac:dyDescent="0.4">
      <c r="K2350" s="5">
        <v>2348</v>
      </c>
      <c r="L2350" s="73">
        <v>1.8000000000000878</v>
      </c>
    </row>
    <row r="2351" spans="11:12" x14ac:dyDescent="0.4">
      <c r="K2351" s="5">
        <v>2349</v>
      </c>
      <c r="L2351" s="73">
        <v>8.7707618945387367E-14</v>
      </c>
    </row>
    <row r="2352" spans="11:12" x14ac:dyDescent="0.4">
      <c r="K2352" s="5">
        <v>2350</v>
      </c>
      <c r="L2352" s="73">
        <v>34.600000000000087</v>
      </c>
    </row>
    <row r="2353" spans="11:12" x14ac:dyDescent="0.4">
      <c r="K2353" s="5">
        <v>2351</v>
      </c>
      <c r="L2353" s="73">
        <v>-19.899999999999913</v>
      </c>
    </row>
    <row r="2354" spans="11:12" x14ac:dyDescent="0.4">
      <c r="K2354" s="5">
        <v>2352</v>
      </c>
      <c r="L2354" s="73">
        <v>8.7041485130612273E-14</v>
      </c>
    </row>
    <row r="2355" spans="11:12" x14ac:dyDescent="0.4">
      <c r="K2355" s="5">
        <v>2353</v>
      </c>
      <c r="L2355" s="73">
        <v>-6.499999999999913</v>
      </c>
    </row>
    <row r="2356" spans="11:12" x14ac:dyDescent="0.4">
      <c r="K2356" s="5">
        <v>2354</v>
      </c>
      <c r="L2356" s="73">
        <v>36.700000000000088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-25.299999999999912</v>
      </c>
    </row>
    <row r="2359" spans="11:12" x14ac:dyDescent="0.4">
      <c r="K2359" s="5">
        <v>2357</v>
      </c>
      <c r="L2359" s="73">
        <v>-20.599999999999916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-20.899999999999913</v>
      </c>
    </row>
    <row r="2362" spans="11:12" x14ac:dyDescent="0.4">
      <c r="K2362" s="5">
        <v>2360</v>
      </c>
      <c r="L2362" s="73">
        <v>-3.999999999999913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16.500000000000085</v>
      </c>
    </row>
    <row r="2365" spans="11:12" x14ac:dyDescent="0.4">
      <c r="K2365" s="5">
        <v>2363</v>
      </c>
      <c r="L2365" s="73">
        <v>0.60000000000008669</v>
      </c>
    </row>
    <row r="2366" spans="11:12" x14ac:dyDescent="0.4">
      <c r="K2366" s="5">
        <v>2364</v>
      </c>
      <c r="L2366" s="73">
        <v>8.6708418223224726E-14</v>
      </c>
    </row>
    <row r="2367" spans="11:12" x14ac:dyDescent="0.4">
      <c r="K2367" s="5">
        <v>2365</v>
      </c>
      <c r="L2367" s="73">
        <v>3.5000000000000866</v>
      </c>
    </row>
    <row r="2368" spans="11:12" x14ac:dyDescent="0.4">
      <c r="K2368" s="5">
        <v>2366</v>
      </c>
      <c r="L2368" s="73">
        <v>39.000000000000085</v>
      </c>
    </row>
    <row r="2369" spans="11:12" x14ac:dyDescent="0.4">
      <c r="K2369" s="5">
        <v>2367</v>
      </c>
      <c r="L2369" s="73">
        <v>8.7041485130612273E-14</v>
      </c>
    </row>
    <row r="2370" spans="11:12" x14ac:dyDescent="0.4">
      <c r="K2370" s="5">
        <v>2368</v>
      </c>
      <c r="L2370" s="73">
        <v>-32.999999999999915</v>
      </c>
    </row>
    <row r="2371" spans="11:12" x14ac:dyDescent="0.4">
      <c r="K2371" s="5">
        <v>2369</v>
      </c>
      <c r="L2371" s="73">
        <v>45.60000000000008</v>
      </c>
    </row>
    <row r="2372" spans="11:12" x14ac:dyDescent="0.4">
      <c r="K2372" s="5">
        <v>2370</v>
      </c>
      <c r="L2372" s="73">
        <v>7.9936057773011271E-14</v>
      </c>
    </row>
    <row r="2373" spans="11:12" x14ac:dyDescent="0.4">
      <c r="K2373" s="5">
        <v>2371</v>
      </c>
      <c r="L2373" s="73">
        <v>-24.099999999999923</v>
      </c>
    </row>
    <row r="2374" spans="11:12" x14ac:dyDescent="0.4">
      <c r="K2374" s="5">
        <v>2372</v>
      </c>
      <c r="L2374" s="73">
        <v>-23.799999999999919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10.300000000000081</v>
      </c>
    </row>
    <row r="2377" spans="11:12" x14ac:dyDescent="0.4">
      <c r="K2377" s="5">
        <v>2375</v>
      </c>
      <c r="L2377" s="73">
        <v>45.400000000000077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26.700000000000081</v>
      </c>
    </row>
    <row r="2380" spans="11:12" x14ac:dyDescent="0.4">
      <c r="K2380" s="5">
        <v>2378</v>
      </c>
      <c r="L2380" s="73">
        <v>22.300000000000075</v>
      </c>
    </row>
    <row r="2381" spans="11:12" x14ac:dyDescent="0.4">
      <c r="K2381" s="5">
        <v>2379</v>
      </c>
      <c r="L2381" s="73">
        <v>7.638334409421077E-14</v>
      </c>
    </row>
    <row r="2382" spans="11:12" x14ac:dyDescent="0.4">
      <c r="K2382" s="5">
        <v>2380</v>
      </c>
      <c r="L2382" s="73">
        <v>-28.89999999999992</v>
      </c>
    </row>
    <row r="2383" spans="11:12" x14ac:dyDescent="0.4">
      <c r="K2383" s="5">
        <v>2381</v>
      </c>
      <c r="L2383" s="73">
        <v>-43.099999999999923</v>
      </c>
    </row>
    <row r="2384" spans="11:12" x14ac:dyDescent="0.4">
      <c r="K2384" s="5">
        <v>2382</v>
      </c>
      <c r="L2384" s="73">
        <v>7.9936057773011271E-14</v>
      </c>
    </row>
    <row r="2385" spans="11:12" x14ac:dyDescent="0.4">
      <c r="K2385" s="5">
        <v>2383</v>
      </c>
      <c r="L2385" s="73">
        <v>21.500000000000078</v>
      </c>
    </row>
    <row r="2386" spans="11:12" x14ac:dyDescent="0.4">
      <c r="K2386" s="5">
        <v>2384</v>
      </c>
      <c r="L2386" s="73">
        <v>24.000000000000078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-25.099999999999923</v>
      </c>
    </row>
    <row r="2389" spans="11:12" x14ac:dyDescent="0.4">
      <c r="K2389" s="5">
        <v>2387</v>
      </c>
      <c r="L2389" s="73">
        <v>5.0000000000000799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3.0000000000000799</v>
      </c>
    </row>
    <row r="2392" spans="11:12" x14ac:dyDescent="0.4">
      <c r="K2392" s="5">
        <v>2390</v>
      </c>
      <c r="L2392" s="73">
        <v>37.10000000000008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-1.89999999999992</v>
      </c>
    </row>
    <row r="2395" spans="11:12" x14ac:dyDescent="0.4">
      <c r="K2395" s="5">
        <v>2393</v>
      </c>
      <c r="L2395" s="73">
        <v>-27.699999999999918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35.900000000000077</v>
      </c>
    </row>
    <row r="2398" spans="11:12" x14ac:dyDescent="0.4">
      <c r="K2398" s="5">
        <v>2396</v>
      </c>
      <c r="L2398" s="73">
        <v>45.200000000000074</v>
      </c>
    </row>
    <row r="2399" spans="11:12" x14ac:dyDescent="0.4">
      <c r="K2399" s="5">
        <v>2397</v>
      </c>
      <c r="L2399" s="73">
        <v>7.2830630415410269E-14</v>
      </c>
    </row>
    <row r="2400" spans="11:12" x14ac:dyDescent="0.4">
      <c r="K2400" s="5">
        <v>2398</v>
      </c>
      <c r="L2400" s="73">
        <v>37.40000000000007</v>
      </c>
    </row>
    <row r="2401" spans="11:12" x14ac:dyDescent="0.4">
      <c r="K2401" s="5">
        <v>2399</v>
      </c>
      <c r="L2401" s="73">
        <v>59.100000000000065</v>
      </c>
    </row>
    <row r="2402" spans="11:12" x14ac:dyDescent="0.4">
      <c r="K2402" s="5">
        <v>2400</v>
      </c>
      <c r="L2402" s="73">
        <v>6.5725203057809267E-14</v>
      </c>
    </row>
    <row r="2403" spans="11:12" x14ac:dyDescent="0.4">
      <c r="K2403" s="5">
        <v>2401</v>
      </c>
      <c r="L2403" s="73">
        <v>-3.4999999999999343</v>
      </c>
    </row>
    <row r="2404" spans="11:12" x14ac:dyDescent="0.4">
      <c r="K2404" s="5">
        <v>2402</v>
      </c>
      <c r="L2404" s="73">
        <v>16.000000000000064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28.100000000000065</v>
      </c>
    </row>
    <row r="2407" spans="11:12" x14ac:dyDescent="0.4">
      <c r="K2407" s="5">
        <v>2405</v>
      </c>
      <c r="L2407" s="73">
        <v>41.700000000000067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51.900000000000063</v>
      </c>
    </row>
    <row r="2410" spans="11:12" x14ac:dyDescent="0.4">
      <c r="K2410" s="5">
        <v>2408</v>
      </c>
      <c r="L2410" s="73">
        <v>2.4000000000000643</v>
      </c>
    </row>
    <row r="2411" spans="11:12" x14ac:dyDescent="0.4">
      <c r="K2411" s="5">
        <v>2409</v>
      </c>
      <c r="L2411" s="73">
        <v>6.4392935428259079E-14</v>
      </c>
    </row>
    <row r="2412" spans="11:12" x14ac:dyDescent="0.4">
      <c r="K2412" s="5">
        <v>2410</v>
      </c>
      <c r="L2412" s="73">
        <v>-17.099999999999937</v>
      </c>
    </row>
    <row r="2413" spans="11:12" x14ac:dyDescent="0.4">
      <c r="K2413" s="5">
        <v>2411</v>
      </c>
      <c r="L2413" s="73">
        <v>-21.899999999999935</v>
      </c>
    </row>
    <row r="2414" spans="11:12" x14ac:dyDescent="0.4">
      <c r="K2414" s="5">
        <v>2412</v>
      </c>
      <c r="L2414" s="73">
        <v>6.2172489379008766E-14</v>
      </c>
    </row>
    <row r="2415" spans="11:12" x14ac:dyDescent="0.4">
      <c r="K2415" s="5">
        <v>2413</v>
      </c>
      <c r="L2415" s="73">
        <v>-46.099999999999937</v>
      </c>
    </row>
    <row r="2416" spans="11:12" x14ac:dyDescent="0.4">
      <c r="K2416" s="5">
        <v>2414</v>
      </c>
      <c r="L2416" s="73">
        <v>-41.899999999999935</v>
      </c>
    </row>
    <row r="2417" spans="11:12" x14ac:dyDescent="0.4">
      <c r="K2417" s="5">
        <v>2415</v>
      </c>
      <c r="L2417" s="73">
        <v>6.5725203057809267E-14</v>
      </c>
    </row>
    <row r="2418" spans="11:12" x14ac:dyDescent="0.4">
      <c r="K2418" s="5">
        <v>2416</v>
      </c>
      <c r="L2418" s="73">
        <v>-30.299999999999933</v>
      </c>
    </row>
    <row r="2419" spans="11:12" x14ac:dyDescent="0.4">
      <c r="K2419" s="5">
        <v>2417</v>
      </c>
      <c r="L2419" s="73">
        <v>16.500000000000064</v>
      </c>
    </row>
    <row r="2420" spans="11:12" x14ac:dyDescent="0.4">
      <c r="K2420" s="5">
        <v>2418</v>
      </c>
      <c r="L2420" s="73">
        <v>6.2172489379008766E-14</v>
      </c>
    </row>
    <row r="2421" spans="11:12" x14ac:dyDescent="0.4">
      <c r="K2421" s="5">
        <v>2419</v>
      </c>
      <c r="L2421" s="73">
        <v>-36.599999999999937</v>
      </c>
    </row>
    <row r="2422" spans="11:12" x14ac:dyDescent="0.4">
      <c r="K2422" s="5">
        <v>2420</v>
      </c>
      <c r="L2422" s="73">
        <v>-48.999999999999936</v>
      </c>
    </row>
    <row r="2423" spans="11:12" x14ac:dyDescent="0.4">
      <c r="K2423" s="5">
        <v>2421</v>
      </c>
      <c r="L2423" s="73">
        <v>6.5725203057809267E-14</v>
      </c>
    </row>
    <row r="2424" spans="11:12" x14ac:dyDescent="0.4">
      <c r="K2424" s="5">
        <v>2422</v>
      </c>
      <c r="L2424" s="73">
        <v>-48.599999999999937</v>
      </c>
    </row>
    <row r="2425" spans="11:12" x14ac:dyDescent="0.4">
      <c r="K2425" s="5">
        <v>2423</v>
      </c>
      <c r="L2425" s="73">
        <v>-44.399999999999935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-9.5999999999999339</v>
      </c>
    </row>
    <row r="2428" spans="11:12" x14ac:dyDescent="0.4">
      <c r="K2428" s="5">
        <v>2426</v>
      </c>
      <c r="L2428" s="73">
        <v>40.20000000000006</v>
      </c>
    </row>
    <row r="2429" spans="11:12" x14ac:dyDescent="0.4">
      <c r="K2429" s="5">
        <v>2427</v>
      </c>
      <c r="L2429" s="73">
        <v>5.8619775700208265E-14</v>
      </c>
    </row>
    <row r="2430" spans="11:12" x14ac:dyDescent="0.4">
      <c r="K2430" s="5">
        <v>2428</v>
      </c>
      <c r="L2430" s="73">
        <v>-48.79999999999994</v>
      </c>
    </row>
    <row r="2431" spans="11:12" x14ac:dyDescent="0.4">
      <c r="K2431" s="5">
        <v>2429</v>
      </c>
      <c r="L2431" s="73">
        <v>-49.999999999999943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-11.399999999999942</v>
      </c>
    </row>
    <row r="2434" spans="11:12" x14ac:dyDescent="0.4">
      <c r="K2434" s="5">
        <v>2432</v>
      </c>
      <c r="L2434" s="73">
        <v>33.70000000000006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124.10000000000005</v>
      </c>
    </row>
    <row r="2437" spans="11:12" x14ac:dyDescent="0.4">
      <c r="K2437" s="5">
        <v>2435</v>
      </c>
      <c r="L2437" s="73">
        <v>132.90000000000006</v>
      </c>
    </row>
    <row r="2438" spans="11:12" x14ac:dyDescent="0.4">
      <c r="K2438" s="5">
        <v>2436</v>
      </c>
      <c r="L2438" s="73">
        <v>4.4408920985006262E-14</v>
      </c>
    </row>
    <row r="2439" spans="11:12" x14ac:dyDescent="0.4">
      <c r="K2439" s="5">
        <v>2437</v>
      </c>
      <c r="L2439" s="73">
        <v>22.400000000000041</v>
      </c>
    </row>
    <row r="2440" spans="11:12" x14ac:dyDescent="0.4">
      <c r="K2440" s="5">
        <v>2438</v>
      </c>
      <c r="L2440" s="73">
        <v>29.400000000000041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13.600000000000044</v>
      </c>
    </row>
    <row r="2443" spans="11:12" x14ac:dyDescent="0.4">
      <c r="K2443" s="5">
        <v>2441</v>
      </c>
      <c r="L2443" s="73">
        <v>-0.49999999999995559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-48.19999999999996</v>
      </c>
    </row>
    <row r="2446" spans="11:12" x14ac:dyDescent="0.4">
      <c r="K2446" s="5">
        <v>2444</v>
      </c>
      <c r="L2446" s="73">
        <v>-70.599999999999952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44.500000000000043</v>
      </c>
    </row>
    <row r="2449" spans="11:12" x14ac:dyDescent="0.4">
      <c r="K2449" s="5">
        <v>2447</v>
      </c>
      <c r="L2449" s="73">
        <v>31.000000000000043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17.000000000000043</v>
      </c>
    </row>
    <row r="2452" spans="11:12" x14ac:dyDescent="0.4">
      <c r="K2452" s="5">
        <v>2450</v>
      </c>
      <c r="L2452" s="73">
        <v>-6.599999999999957</v>
      </c>
    </row>
    <row r="2453" spans="11:12" x14ac:dyDescent="0.4">
      <c r="K2453" s="5">
        <v>2451</v>
      </c>
      <c r="L2453" s="73">
        <v>4.2632564145606011E-14</v>
      </c>
    </row>
    <row r="2454" spans="11:12" x14ac:dyDescent="0.4">
      <c r="K2454" s="5">
        <v>2452</v>
      </c>
      <c r="L2454" s="73">
        <v>3.2000000000000428</v>
      </c>
    </row>
    <row r="2455" spans="11:12" x14ac:dyDescent="0.4">
      <c r="K2455" s="5">
        <v>2453</v>
      </c>
      <c r="L2455" s="73">
        <v>-26.399999999999956</v>
      </c>
    </row>
    <row r="2456" spans="11:12" x14ac:dyDescent="0.4">
      <c r="K2456" s="5">
        <v>2454</v>
      </c>
      <c r="L2456" s="73">
        <v>4.0856207306205761E-14</v>
      </c>
    </row>
    <row r="2457" spans="11:12" x14ac:dyDescent="0.4">
      <c r="K2457" s="5">
        <v>2455</v>
      </c>
      <c r="L2457" s="73">
        <v>-52.299999999999955</v>
      </c>
    </row>
    <row r="2458" spans="11:12" x14ac:dyDescent="0.4">
      <c r="K2458" s="5">
        <v>2456</v>
      </c>
      <c r="L2458" s="73">
        <v>-11.499999999999956</v>
      </c>
    </row>
    <row r="2459" spans="11:12" x14ac:dyDescent="0.4">
      <c r="K2459" s="5">
        <v>2457</v>
      </c>
      <c r="L2459" s="73">
        <v>4.4408920985006262E-14</v>
      </c>
    </row>
    <row r="2460" spans="11:12" x14ac:dyDescent="0.4">
      <c r="K2460" s="5">
        <v>2458</v>
      </c>
      <c r="L2460" s="73">
        <v>-22.799999999999955</v>
      </c>
    </row>
    <row r="2461" spans="11:12" x14ac:dyDescent="0.4">
      <c r="K2461" s="5">
        <v>2459</v>
      </c>
      <c r="L2461" s="73">
        <v>-70.599999999999952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5.8000000000000442</v>
      </c>
    </row>
    <row r="2464" spans="11:12" x14ac:dyDescent="0.4">
      <c r="K2464" s="5">
        <v>2462</v>
      </c>
      <c r="L2464" s="73">
        <v>-16.299999999999955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-41.099999999999959</v>
      </c>
    </row>
    <row r="2467" spans="11:12" x14ac:dyDescent="0.4">
      <c r="K2467" s="5">
        <v>2465</v>
      </c>
      <c r="L2467" s="73">
        <v>5.8000000000000416</v>
      </c>
    </row>
    <row r="2468" spans="11:12" x14ac:dyDescent="0.4">
      <c r="K2468" s="5">
        <v>2466</v>
      </c>
      <c r="L2468" s="73">
        <v>4.1744385725905886E-14</v>
      </c>
    </row>
    <row r="2469" spans="11:12" x14ac:dyDescent="0.4">
      <c r="K2469" s="5">
        <v>2467</v>
      </c>
      <c r="L2469" s="73">
        <v>-56.399999999999956</v>
      </c>
    </row>
    <row r="2470" spans="11:12" x14ac:dyDescent="0.4">
      <c r="K2470" s="5">
        <v>2468</v>
      </c>
      <c r="L2470" s="73">
        <v>-7.3999999999999542</v>
      </c>
    </row>
    <row r="2471" spans="11:12" x14ac:dyDescent="0.4">
      <c r="K2471" s="5">
        <v>2469</v>
      </c>
      <c r="L2471" s="73">
        <v>4.6185277824406512E-14</v>
      </c>
    </row>
    <row r="2472" spans="11:12" x14ac:dyDescent="0.4">
      <c r="K2472" s="5">
        <v>2470</v>
      </c>
      <c r="L2472" s="73">
        <v>36.200000000000045</v>
      </c>
    </row>
    <row r="2473" spans="11:12" x14ac:dyDescent="0.4">
      <c r="K2473" s="5">
        <v>2471</v>
      </c>
      <c r="L2473" s="73">
        <v>43.300000000000047</v>
      </c>
    </row>
    <row r="2474" spans="11:12" x14ac:dyDescent="0.4">
      <c r="K2474" s="5">
        <v>2472</v>
      </c>
      <c r="L2474" s="73">
        <v>5.1514348342607263E-14</v>
      </c>
    </row>
    <row r="2475" spans="11:12" x14ac:dyDescent="0.4">
      <c r="K2475" s="5">
        <v>2473</v>
      </c>
      <c r="L2475" s="73">
        <v>-26.399999999999949</v>
      </c>
    </row>
    <row r="2476" spans="11:12" x14ac:dyDescent="0.4">
      <c r="K2476" s="5">
        <v>2474</v>
      </c>
      <c r="L2476" s="73">
        <v>-24.99999999999995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-13.099999999999948</v>
      </c>
    </row>
    <row r="2479" spans="11:12" x14ac:dyDescent="0.4">
      <c r="K2479" s="5">
        <v>2477</v>
      </c>
      <c r="L2479" s="73">
        <v>36.100000000000051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-3.8999999999999484</v>
      </c>
    </row>
    <row r="2482" spans="11:12" x14ac:dyDescent="0.4">
      <c r="K2482" s="5">
        <v>2480</v>
      </c>
      <c r="L2482" s="73">
        <v>-19.199999999999946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-48.99999999999995</v>
      </c>
    </row>
    <row r="2485" spans="11:12" x14ac:dyDescent="0.4">
      <c r="K2485" s="5">
        <v>2483</v>
      </c>
      <c r="L2485" s="73">
        <v>13.000000000000052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-19.49999999999995</v>
      </c>
    </row>
    <row r="2488" spans="11:12" x14ac:dyDescent="0.4">
      <c r="K2488" s="5">
        <v>2486</v>
      </c>
      <c r="L2488" s="73">
        <v>-16.799999999999947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37.800000000000047</v>
      </c>
    </row>
    <row r="2491" spans="11:12" x14ac:dyDescent="0.4">
      <c r="K2491" s="5">
        <v>2489</v>
      </c>
      <c r="L2491" s="73">
        <v>-7.6999999999999513</v>
      </c>
    </row>
    <row r="2492" spans="11:12" x14ac:dyDescent="0.4">
      <c r="K2492" s="5">
        <v>2490</v>
      </c>
      <c r="L2492" s="73">
        <v>4.8849813083506888E-14</v>
      </c>
    </row>
    <row r="2493" spans="11:12" x14ac:dyDescent="0.4">
      <c r="K2493" s="5">
        <v>2491</v>
      </c>
      <c r="L2493" s="73">
        <v>-18.399999999999949</v>
      </c>
    </row>
    <row r="2494" spans="11:12" x14ac:dyDescent="0.4">
      <c r="K2494" s="5">
        <v>2492</v>
      </c>
      <c r="L2494" s="73">
        <v>-59.199999999999946</v>
      </c>
    </row>
    <row r="2495" spans="11:12" x14ac:dyDescent="0.4">
      <c r="K2495" s="5">
        <v>2493</v>
      </c>
      <c r="L2495" s="73">
        <v>5.8619775700208265E-14</v>
      </c>
    </row>
    <row r="2496" spans="11:12" x14ac:dyDescent="0.4">
      <c r="K2496" s="5">
        <v>2494</v>
      </c>
      <c r="L2496" s="73">
        <v>1.1000000000000587</v>
      </c>
    </row>
    <row r="2497" spans="11:12" x14ac:dyDescent="0.4">
      <c r="K2497" s="5">
        <v>2495</v>
      </c>
      <c r="L2497" s="73">
        <v>44.800000000000061</v>
      </c>
    </row>
    <row r="2498" spans="11:12" x14ac:dyDescent="0.4">
      <c r="K2498" s="5">
        <v>2496</v>
      </c>
      <c r="L2498" s="73">
        <v>6.5725203057809267E-14</v>
      </c>
    </row>
    <row r="2499" spans="11:12" x14ac:dyDescent="0.4">
      <c r="K2499" s="5">
        <v>2497</v>
      </c>
      <c r="L2499" s="73">
        <v>1.1000000000000658</v>
      </c>
    </row>
    <row r="2500" spans="11:12" x14ac:dyDescent="0.4">
      <c r="K2500" s="5">
        <v>2498</v>
      </c>
      <c r="L2500" s="73">
        <v>25.100000000000065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-9.999999999993428E-2</v>
      </c>
    </row>
    <row r="2503" spans="11:12" x14ac:dyDescent="0.4">
      <c r="K2503" s="5">
        <v>2501</v>
      </c>
      <c r="L2503" s="73">
        <v>-35.79999999999994</v>
      </c>
    </row>
    <row r="2504" spans="11:12" x14ac:dyDescent="0.4">
      <c r="K2504" s="5">
        <v>2502</v>
      </c>
      <c r="L2504" s="73">
        <v>5.8619775700208265E-14</v>
      </c>
    </row>
    <row r="2505" spans="11:12" x14ac:dyDescent="0.4">
      <c r="K2505" s="5">
        <v>2503</v>
      </c>
      <c r="L2505" s="73">
        <v>-22.499999999999943</v>
      </c>
    </row>
    <row r="2506" spans="11:12" x14ac:dyDescent="0.4">
      <c r="K2506" s="5">
        <v>2504</v>
      </c>
      <c r="L2506" s="73">
        <v>-30.399999999999942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-87.399999999999949</v>
      </c>
    </row>
    <row r="2509" spans="11:12" x14ac:dyDescent="0.4">
      <c r="K2509" s="5">
        <v>2507</v>
      </c>
      <c r="L2509" s="73">
        <v>9.7000000000000473</v>
      </c>
    </row>
    <row r="2510" spans="11:12" x14ac:dyDescent="0.4">
      <c r="K2510" s="5">
        <v>2508</v>
      </c>
      <c r="L2510" s="73">
        <v>4.7961634663806763E-14</v>
      </c>
    </row>
    <row r="2511" spans="11:12" x14ac:dyDescent="0.4">
      <c r="K2511" s="5">
        <v>2509</v>
      </c>
      <c r="L2511" s="73">
        <v>25.900000000000048</v>
      </c>
    </row>
    <row r="2512" spans="11:12" x14ac:dyDescent="0.4">
      <c r="K2512" s="5">
        <v>2510</v>
      </c>
      <c r="L2512" s="73">
        <v>2.8000000000000451</v>
      </c>
    </row>
    <row r="2513" spans="11:12" x14ac:dyDescent="0.4">
      <c r="K2513" s="5">
        <v>2511</v>
      </c>
      <c r="L2513" s="73">
        <v>4.5297099404706387E-14</v>
      </c>
    </row>
    <row r="2514" spans="11:12" x14ac:dyDescent="0.4">
      <c r="K2514" s="5">
        <v>2512</v>
      </c>
      <c r="L2514" s="73">
        <v>-12.899999999999954</v>
      </c>
    </row>
    <row r="2515" spans="11:12" x14ac:dyDescent="0.4">
      <c r="K2515" s="5">
        <v>2513</v>
      </c>
      <c r="L2515" s="73">
        <v>32.300000000000047</v>
      </c>
    </row>
    <row r="2516" spans="11:12" x14ac:dyDescent="0.4">
      <c r="K2516" s="5">
        <v>2514</v>
      </c>
      <c r="L2516" s="73">
        <v>5.1514348342607263E-14</v>
      </c>
    </row>
    <row r="2517" spans="11:12" x14ac:dyDescent="0.4">
      <c r="K2517" s="5">
        <v>2515</v>
      </c>
      <c r="L2517" s="73">
        <v>36.00000000000005</v>
      </c>
    </row>
    <row r="2518" spans="11:12" x14ac:dyDescent="0.4">
      <c r="K2518" s="5">
        <v>2516</v>
      </c>
      <c r="L2518" s="73">
        <v>-12.799999999999946</v>
      </c>
    </row>
    <row r="2519" spans="11:12" x14ac:dyDescent="0.4">
      <c r="K2519" s="5">
        <v>2517</v>
      </c>
      <c r="L2519" s="73">
        <v>5.5067062021407764E-14</v>
      </c>
    </row>
    <row r="2520" spans="11:12" x14ac:dyDescent="0.4">
      <c r="K2520" s="5">
        <v>2518</v>
      </c>
      <c r="L2520" s="73">
        <v>20.400000000000055</v>
      </c>
    </row>
    <row r="2521" spans="11:12" x14ac:dyDescent="0.4">
      <c r="K2521" s="5">
        <v>2519</v>
      </c>
      <c r="L2521" s="73">
        <v>-30.699999999999946</v>
      </c>
    </row>
    <row r="2522" spans="11:12" x14ac:dyDescent="0.4">
      <c r="K2522" s="5">
        <v>2520</v>
      </c>
      <c r="L2522" s="73">
        <v>5.1514348342607263E-14</v>
      </c>
    </row>
    <row r="2523" spans="11:12" x14ac:dyDescent="0.4">
      <c r="K2523" s="5">
        <v>2521</v>
      </c>
      <c r="L2523" s="73">
        <v>-60.299999999999947</v>
      </c>
    </row>
    <row r="2524" spans="11:12" x14ac:dyDescent="0.4">
      <c r="K2524" s="5">
        <v>2522</v>
      </c>
      <c r="L2524" s="73">
        <v>-0.29999999999994564</v>
      </c>
    </row>
    <row r="2525" spans="11:12" x14ac:dyDescent="0.4">
      <c r="K2525" s="5">
        <v>2523</v>
      </c>
      <c r="L2525" s="73">
        <v>5.4345417055401413E-14</v>
      </c>
    </row>
    <row r="2526" spans="11:12" x14ac:dyDescent="0.4">
      <c r="K2526" s="5">
        <v>2524</v>
      </c>
      <c r="L2526" s="73">
        <v>-45.599999999999952</v>
      </c>
    </row>
    <row r="2527" spans="11:12" x14ac:dyDescent="0.4">
      <c r="K2527" s="5">
        <v>2525</v>
      </c>
      <c r="L2527" s="73">
        <v>9.6000000000000529</v>
      </c>
    </row>
    <row r="2528" spans="11:12" x14ac:dyDescent="0.4">
      <c r="K2528" s="5">
        <v>2526</v>
      </c>
      <c r="L2528" s="73">
        <v>5.3290705182007514E-14</v>
      </c>
    </row>
    <row r="2529" spans="11:12" x14ac:dyDescent="0.4">
      <c r="K2529" s="5">
        <v>2527</v>
      </c>
      <c r="L2529" s="73">
        <v>28.900000000000048</v>
      </c>
    </row>
    <row r="2530" spans="11:12" x14ac:dyDescent="0.4">
      <c r="K2530" s="5">
        <v>2528</v>
      </c>
      <c r="L2530" s="73">
        <v>27.900000000000048</v>
      </c>
    </row>
    <row r="2531" spans="11:12" x14ac:dyDescent="0.4">
      <c r="K2531" s="5">
        <v>2529</v>
      </c>
      <c r="L2531" s="73">
        <v>5.1514348342607263E-14</v>
      </c>
    </row>
    <row r="2532" spans="11:12" x14ac:dyDescent="0.4">
      <c r="K2532" s="5">
        <v>2530</v>
      </c>
      <c r="L2532" s="73">
        <v>-31.49999999999995</v>
      </c>
    </row>
    <row r="2533" spans="11:12" x14ac:dyDescent="0.4">
      <c r="K2533" s="5">
        <v>2531</v>
      </c>
      <c r="L2533" s="73">
        <v>-38.399999999999949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33.50000000000005</v>
      </c>
    </row>
    <row r="2536" spans="11:12" x14ac:dyDescent="0.4">
      <c r="K2536" s="5">
        <v>2534</v>
      </c>
      <c r="L2536" s="73">
        <v>0.70000000000005436</v>
      </c>
    </row>
    <row r="2537" spans="11:12" x14ac:dyDescent="0.4">
      <c r="K2537" s="5">
        <v>2535</v>
      </c>
      <c r="L2537" s="73">
        <v>5.440092820663267E-14</v>
      </c>
    </row>
    <row r="2538" spans="11:12" x14ac:dyDescent="0.4">
      <c r="K2538" s="5">
        <v>2536</v>
      </c>
      <c r="L2538" s="73">
        <v>12.000000000000055</v>
      </c>
    </row>
    <row r="2539" spans="11:12" x14ac:dyDescent="0.4">
      <c r="K2539" s="5">
        <v>2537</v>
      </c>
      <c r="L2539" s="73">
        <v>38.300000000000054</v>
      </c>
    </row>
    <row r="2540" spans="11:12" x14ac:dyDescent="0.4">
      <c r="K2540" s="5">
        <v>2538</v>
      </c>
      <c r="L2540" s="73">
        <v>5.8619775700208265E-14</v>
      </c>
    </row>
    <row r="2541" spans="11:12" x14ac:dyDescent="0.4">
      <c r="K2541" s="5">
        <v>2539</v>
      </c>
      <c r="L2541" s="73">
        <v>7.400000000000059</v>
      </c>
    </row>
    <row r="2542" spans="11:12" x14ac:dyDescent="0.4">
      <c r="K2542" s="5">
        <v>2540</v>
      </c>
      <c r="L2542" s="73">
        <v>26.800000000000054</v>
      </c>
    </row>
    <row r="2543" spans="11:12" x14ac:dyDescent="0.4">
      <c r="K2543" s="5">
        <v>2541</v>
      </c>
      <c r="L2543" s="73">
        <v>5.5067062021407764E-14</v>
      </c>
    </row>
    <row r="2544" spans="11:12" x14ac:dyDescent="0.4">
      <c r="K2544" s="5">
        <v>2542</v>
      </c>
      <c r="L2544" s="73">
        <v>-26.799999999999947</v>
      </c>
    </row>
    <row r="2545" spans="11:12" x14ac:dyDescent="0.4">
      <c r="K2545" s="5">
        <v>2543</v>
      </c>
      <c r="L2545" s="73">
        <v>-5.2999999999999456</v>
      </c>
    </row>
    <row r="2546" spans="11:12" x14ac:dyDescent="0.4">
      <c r="K2546" s="5">
        <v>2544</v>
      </c>
      <c r="L2546" s="73">
        <v>5.4178883601707639E-14</v>
      </c>
    </row>
    <row r="2547" spans="11:12" x14ac:dyDescent="0.4">
      <c r="K2547" s="5">
        <v>2545</v>
      </c>
      <c r="L2547" s="73">
        <v>-20.199999999999946</v>
      </c>
    </row>
    <row r="2548" spans="11:12" x14ac:dyDescent="0.4">
      <c r="K2548" s="5">
        <v>2546</v>
      </c>
      <c r="L2548" s="73">
        <v>-28.899999999999942</v>
      </c>
    </row>
    <row r="2549" spans="11:12" x14ac:dyDescent="0.4">
      <c r="K2549" s="5">
        <v>2547</v>
      </c>
      <c r="L2549" s="73">
        <v>5.5067062021407764E-14</v>
      </c>
    </row>
  </sheetData>
  <sortState xmlns:xlrd2="http://schemas.microsoft.com/office/spreadsheetml/2017/richdata2" ref="N15:Q3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D022-0993-4368-8DC3-D82F22E09632}">
  <sheetPr codeName="Sheet4"/>
  <dimension ref="A1:Q604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602</v>
      </c>
      <c r="C2" s="128"/>
      <c r="E2" s="43" t="s">
        <v>66</v>
      </c>
      <c r="F2" s="25" t="s">
        <v>22</v>
      </c>
      <c r="G2" s="13">
        <v>1095</v>
      </c>
      <c r="H2" s="106">
        <f>IF(B$47=0,0,G2/B$47)</f>
        <v>0.73195187165775399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1326.1744966442952</v>
      </c>
      <c r="P2" s="92">
        <v>596</v>
      </c>
      <c r="Q2" s="76">
        <v>790400</v>
      </c>
    </row>
    <row r="3" spans="1:17" x14ac:dyDescent="0.4">
      <c r="A3" s="37" t="s">
        <v>8</v>
      </c>
      <c r="B3" s="137">
        <v>4766</v>
      </c>
      <c r="C3" s="138"/>
      <c r="E3" s="44" t="s">
        <v>72</v>
      </c>
      <c r="F3" s="41" t="s">
        <v>27</v>
      </c>
      <c r="G3" s="34">
        <v>802</v>
      </c>
      <c r="H3" s="107">
        <f>IF(B$47=0,0,G3/B$47)</f>
        <v>0.53609625668449201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1137.8238341968911</v>
      </c>
      <c r="P3" s="93">
        <v>579</v>
      </c>
      <c r="Q3" s="77">
        <v>658800</v>
      </c>
    </row>
    <row r="4" spans="1:17" x14ac:dyDescent="0.4">
      <c r="A4" s="37" t="s">
        <v>6</v>
      </c>
      <c r="B4" s="139">
        <v>5753.4</v>
      </c>
      <c r="C4" s="140"/>
      <c r="E4" s="44" t="s">
        <v>64</v>
      </c>
      <c r="F4" s="41" t="s">
        <v>20</v>
      </c>
      <c r="G4" s="34">
        <v>738</v>
      </c>
      <c r="H4" s="107">
        <f>IF(B$47=0,0,G4/B$47)</f>
        <v>0.49331550802139035</v>
      </c>
      <c r="I4" s="68">
        <v>10</v>
      </c>
      <c r="K4" s="5">
        <v>2</v>
      </c>
      <c r="L4" s="73">
        <v>14</v>
      </c>
      <c r="N4" s="89" t="s">
        <v>128</v>
      </c>
      <c r="O4" s="96">
        <f t="shared" si="0"/>
        <v>1334</v>
      </c>
      <c r="P4" s="93">
        <v>550</v>
      </c>
      <c r="Q4" s="77">
        <v>733700</v>
      </c>
    </row>
    <row r="5" spans="1:17" x14ac:dyDescent="0.4">
      <c r="A5" s="37" t="s">
        <v>7</v>
      </c>
      <c r="B5" s="141">
        <f>IF(B$2=0,0,B$4/B$2)</f>
        <v>9.5571428571428569</v>
      </c>
      <c r="C5" s="142"/>
      <c r="E5" s="44" t="s">
        <v>67</v>
      </c>
      <c r="F5" s="41" t="s">
        <v>23</v>
      </c>
      <c r="G5" s="34">
        <v>442</v>
      </c>
      <c r="H5" s="107">
        <f>IF(B$47=0,0,G5/B$47)</f>
        <v>0.29545454545454547</v>
      </c>
      <c r="I5" s="68">
        <v>10</v>
      </c>
      <c r="K5" s="5">
        <v>3</v>
      </c>
      <c r="L5" s="73">
        <v>29.1</v>
      </c>
      <c r="N5" s="89" t="s">
        <v>129</v>
      </c>
      <c r="O5" s="96">
        <f t="shared" si="0"/>
        <v>1784.6307385229541</v>
      </c>
      <c r="P5" s="93">
        <v>501</v>
      </c>
      <c r="Q5" s="77">
        <v>894100</v>
      </c>
    </row>
    <row r="6" spans="1:17" x14ac:dyDescent="0.4">
      <c r="A6" s="37" t="s">
        <v>1</v>
      </c>
      <c r="B6" s="133">
        <f>IF(B$2=0,0,(B$7*1+B$8*2+B$9*3)/B$2)</f>
        <v>1.7574750830564785</v>
      </c>
      <c r="C6" s="134"/>
      <c r="E6" s="44" t="s">
        <v>68</v>
      </c>
      <c r="F6" s="41" t="s">
        <v>12</v>
      </c>
      <c r="G6" s="34">
        <v>432</v>
      </c>
      <c r="H6" s="107">
        <f>IF(B$47=0,0,G6/B$47)</f>
        <v>0.28877005347593582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1523.8307349665924</v>
      </c>
      <c r="P6" s="93">
        <v>449</v>
      </c>
      <c r="Q6" s="77">
        <v>684200</v>
      </c>
    </row>
    <row r="7" spans="1:17" x14ac:dyDescent="0.4">
      <c r="A7" s="37" t="s">
        <v>2</v>
      </c>
      <c r="B7" s="34">
        <v>280</v>
      </c>
      <c r="C7" s="31">
        <f t="shared" ref="C7:C10" si="1">IF(B$2=0,0,B7/B$2)</f>
        <v>0.46511627906976744</v>
      </c>
      <c r="E7" s="44" t="s">
        <v>157</v>
      </c>
      <c r="F7" s="41" t="s">
        <v>158</v>
      </c>
      <c r="G7" s="34">
        <v>370</v>
      </c>
      <c r="H7" s="107">
        <f>IF(B$47=0,0,G7/B$47)</f>
        <v>0.24732620320855614</v>
      </c>
      <c r="I7" s="68">
        <v>10</v>
      </c>
      <c r="K7" s="5">
        <v>5</v>
      </c>
      <c r="L7" s="73">
        <v>145.80000000000001</v>
      </c>
      <c r="N7" s="90" t="s">
        <v>131</v>
      </c>
      <c r="O7" s="97">
        <f t="shared" si="0"/>
        <v>1683.0645161290322</v>
      </c>
      <c r="P7" s="94">
        <v>372</v>
      </c>
      <c r="Q7" s="78">
        <v>626100</v>
      </c>
    </row>
    <row r="8" spans="1:17" x14ac:dyDescent="0.4">
      <c r="A8" s="37" t="s">
        <v>3</v>
      </c>
      <c r="B8" s="34">
        <v>188</v>
      </c>
      <c r="C8" s="31">
        <f t="shared" si="1"/>
        <v>0.3122923588039867</v>
      </c>
      <c r="E8" s="44" t="s">
        <v>89</v>
      </c>
      <c r="F8" s="41" t="s">
        <v>44</v>
      </c>
      <c r="G8" s="34">
        <v>251</v>
      </c>
      <c r="H8" s="107">
        <f>IF(B$47=0,0,G8/B$47)</f>
        <v>0.16778074866310161</v>
      </c>
      <c r="I8" s="68">
        <v>3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134</v>
      </c>
      <c r="C9" s="7">
        <f t="shared" si="1"/>
        <v>0.22259136212624583</v>
      </c>
      <c r="E9" s="44" t="s">
        <v>69</v>
      </c>
      <c r="F9" s="41" t="s">
        <v>24</v>
      </c>
      <c r="G9" s="34">
        <v>233</v>
      </c>
      <c r="H9" s="107">
        <f>IF(B$47=0,0,G9/B$47)</f>
        <v>0.15574866310160429</v>
      </c>
      <c r="I9" s="68">
        <v>6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48</v>
      </c>
      <c r="C10" s="32">
        <f t="shared" si="1"/>
        <v>7.9734219269102985E-2</v>
      </c>
      <c r="E10" s="44" t="s">
        <v>65</v>
      </c>
      <c r="F10" s="41" t="s">
        <v>21</v>
      </c>
      <c r="G10" s="34">
        <v>182</v>
      </c>
      <c r="H10" s="107">
        <f>IF(B$47=0,0,G10/B$47)</f>
        <v>0.12165775401069519</v>
      </c>
      <c r="I10" s="68">
        <v>5</v>
      </c>
      <c r="K10" s="5">
        <v>8</v>
      </c>
      <c r="L10" s="73">
        <v>55.700000000000017</v>
      </c>
      <c r="N10" s="88" t="s">
        <v>149</v>
      </c>
      <c r="O10" s="98">
        <f>IF(P10=0,0,Q10/P10)</f>
        <v>12.975000000000003</v>
      </c>
      <c r="P10" s="92">
        <v>160</v>
      </c>
      <c r="Q10" s="80">
        <v>2076.0000000000005</v>
      </c>
    </row>
    <row r="11" spans="1:17" x14ac:dyDescent="0.4">
      <c r="A11" s="40" t="s">
        <v>121</v>
      </c>
      <c r="B11" s="16">
        <v>1271</v>
      </c>
      <c r="C11" s="11">
        <f>IF(B$46=0,0,B11/B$46)</f>
        <v>0.29489559164733181</v>
      </c>
      <c r="E11" s="44" t="s">
        <v>70</v>
      </c>
      <c r="F11" s="41" t="s">
        <v>25</v>
      </c>
      <c r="G11" s="34">
        <v>111</v>
      </c>
      <c r="H11" s="107">
        <f>IF(B$47=0,0,G11/B$47)</f>
        <v>7.419786096256685E-2</v>
      </c>
      <c r="I11" s="68">
        <v>12</v>
      </c>
      <c r="K11" s="5">
        <v>9</v>
      </c>
      <c r="L11" s="73">
        <v>14.700000000000017</v>
      </c>
      <c r="N11" s="89" t="s">
        <v>150</v>
      </c>
      <c r="O11" s="99">
        <f>IF(P11=0,0,Q11/P11)</f>
        <v>6.9084656084656091</v>
      </c>
      <c r="P11" s="93">
        <v>189</v>
      </c>
      <c r="Q11" s="81">
        <v>1305.7</v>
      </c>
    </row>
    <row r="12" spans="1:17" x14ac:dyDescent="0.4">
      <c r="A12" s="37" t="s">
        <v>118</v>
      </c>
      <c r="B12" s="34">
        <v>939</v>
      </c>
      <c r="C12" s="31">
        <f>IF(B$46=0,0,B12/B$46)</f>
        <v>0.21786542923433874</v>
      </c>
      <c r="E12" s="44" t="s">
        <v>86</v>
      </c>
      <c r="F12" s="41" t="s">
        <v>41</v>
      </c>
      <c r="G12" s="34">
        <v>101</v>
      </c>
      <c r="H12" s="107">
        <f>IF(B$47=0,0,G12/B$47)</f>
        <v>6.7513368983957225E-2</v>
      </c>
      <c r="I12" s="68">
        <v>8</v>
      </c>
      <c r="K12" s="5">
        <v>10</v>
      </c>
      <c r="L12" s="73">
        <v>-16.799999999999983</v>
      </c>
      <c r="N12" s="90" t="s">
        <v>151</v>
      </c>
      <c r="O12" s="100">
        <f>IF(P12=0,0,Q12/P12)</f>
        <v>9.3764000000000021</v>
      </c>
      <c r="P12" s="94">
        <v>250</v>
      </c>
      <c r="Q12" s="82">
        <v>2344.1000000000004</v>
      </c>
    </row>
    <row r="13" spans="1:17" x14ac:dyDescent="0.4">
      <c r="A13" s="19" t="s">
        <v>123</v>
      </c>
      <c r="B13" s="13">
        <v>780</v>
      </c>
      <c r="C13" s="4">
        <f>IF(B$11=0,0,B13/B$11)</f>
        <v>0.61369000786782057</v>
      </c>
      <c r="E13" s="44" t="s">
        <v>71</v>
      </c>
      <c r="F13" s="41" t="s">
        <v>26</v>
      </c>
      <c r="G13" s="34">
        <v>95</v>
      </c>
      <c r="H13" s="107">
        <f>IF(B$47=0,0,G13/B$47)</f>
        <v>6.3502673796791448E-2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461</v>
      </c>
      <c r="C14" s="4">
        <f>IF(B$12=0,0,B14/B$12)</f>
        <v>0.49094781682641109</v>
      </c>
      <c r="E14" s="44" t="s">
        <v>83</v>
      </c>
      <c r="F14" s="41" t="s">
        <v>38</v>
      </c>
      <c r="G14" s="34">
        <v>64</v>
      </c>
      <c r="H14" s="107">
        <f>IF(B$47=0,0,G14/B$47)</f>
        <v>4.2780748663101602E-2</v>
      </c>
      <c r="I14" s="68">
        <v>11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1652</v>
      </c>
      <c r="C15" s="4">
        <f>IF(B$3=0,0,B15/B$3)</f>
        <v>0.34662190516156105</v>
      </c>
      <c r="E15" s="44" t="s">
        <v>153</v>
      </c>
      <c r="F15" s="41" t="s">
        <v>154</v>
      </c>
      <c r="G15" s="34">
        <v>38</v>
      </c>
      <c r="H15" s="107">
        <f>IF(B$47=0,0,G15/B$47)</f>
        <v>2.5401069518716578E-2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13</v>
      </c>
      <c r="B16" s="34">
        <v>674</v>
      </c>
      <c r="C16" s="31">
        <f>IF(B$3=0,0,B16/B$3)</f>
        <v>0.14141838019303399</v>
      </c>
      <c r="E16" s="44" t="s">
        <v>78</v>
      </c>
      <c r="F16" s="41" t="s">
        <v>33</v>
      </c>
      <c r="G16" s="34">
        <v>36</v>
      </c>
      <c r="H16" s="107">
        <f>IF(B$47=0,0,G16/B$47)</f>
        <v>2.4064171122994651E-2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37" t="s">
        <v>12</v>
      </c>
      <c r="B17" s="34">
        <v>671</v>
      </c>
      <c r="C17" s="31">
        <f>IF(B$15=0,0,B17/B$15)</f>
        <v>0.40617433414043586</v>
      </c>
      <c r="E17" s="44" t="s">
        <v>81</v>
      </c>
      <c r="F17" s="41" t="s">
        <v>36</v>
      </c>
      <c r="G17" s="34">
        <v>25</v>
      </c>
      <c r="H17" s="107">
        <f>IF(B$47=0,0,G17/B$47)</f>
        <v>1.6711229946524065E-2</v>
      </c>
      <c r="I17" s="68">
        <v>11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37" t="s">
        <v>11</v>
      </c>
      <c r="B18" s="34">
        <v>981</v>
      </c>
      <c r="C18" s="31">
        <f>IF(B$15=0,0,B18/B$15)</f>
        <v>0.5938256658595642</v>
      </c>
      <c r="E18" s="44" t="s">
        <v>91</v>
      </c>
      <c r="F18" s="41" t="s">
        <v>46</v>
      </c>
      <c r="G18" s="34">
        <v>24</v>
      </c>
      <c r="H18" s="107">
        <f>IF(B$47=0,0,G18/B$47)</f>
        <v>1.6042780748663103E-2</v>
      </c>
      <c r="I18" s="68">
        <v>9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">
      <c r="A19" s="37" t="s">
        <v>180</v>
      </c>
      <c r="B19" s="34">
        <v>780</v>
      </c>
      <c r="C19" s="31">
        <f>IF(B$15=0,0,B19/B$15)</f>
        <v>0.4721549636803874</v>
      </c>
      <c r="E19" s="44" t="s">
        <v>79</v>
      </c>
      <c r="F19" s="41" t="s">
        <v>34</v>
      </c>
      <c r="G19" s="34">
        <v>16</v>
      </c>
      <c r="H19" s="107">
        <f>IF(B$47=0,0,G19/B$47)</f>
        <v>1.06951871657754E-2</v>
      </c>
      <c r="I19" s="68">
        <v>12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">
      <c r="A20" s="37" t="s">
        <v>178</v>
      </c>
      <c r="B20" s="34">
        <v>461</v>
      </c>
      <c r="C20" s="31">
        <f>IF(B$15=0,0,B20/B$15)</f>
        <v>0.27905569007263925</v>
      </c>
      <c r="E20" s="44" t="s">
        <v>77</v>
      </c>
      <c r="F20" s="41" t="s">
        <v>32</v>
      </c>
      <c r="G20" s="34">
        <v>11</v>
      </c>
      <c r="H20" s="107">
        <f>IF(B$47=0,0,G20/B$47)</f>
        <v>7.3529411764705881E-3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26.992307692307691</v>
      </c>
      <c r="P20" s="93">
        <v>13</v>
      </c>
      <c r="Q20" s="81">
        <v>350.9</v>
      </c>
    </row>
    <row r="21" spans="1:17" x14ac:dyDescent="0.4">
      <c r="A21" s="37" t="s">
        <v>179</v>
      </c>
      <c r="B21" s="34">
        <v>411</v>
      </c>
      <c r="C21" s="31">
        <f>IF(B$15=0,0,B21/B$15)</f>
        <v>0.24878934624697335</v>
      </c>
      <c r="E21" s="44" t="s">
        <v>85</v>
      </c>
      <c r="F21" s="41" t="s">
        <v>40</v>
      </c>
      <c r="G21" s="34">
        <v>11</v>
      </c>
      <c r="H21" s="107">
        <f>IF(B$47=0,0,G21/B$47)</f>
        <v>7.3529411764705881E-3</v>
      </c>
      <c r="I21" s="68">
        <v>2</v>
      </c>
      <c r="K21" s="5">
        <v>19</v>
      </c>
      <c r="L21" s="73">
        <v>42.600000000000016</v>
      </c>
      <c r="N21" s="89" t="s">
        <v>187</v>
      </c>
      <c r="O21" s="99">
        <f>IF(P21=0,0,Q21/P21)</f>
        <v>21.632800000000003</v>
      </c>
      <c r="P21" s="93">
        <v>125</v>
      </c>
      <c r="Q21" s="81">
        <v>2704.1000000000004</v>
      </c>
    </row>
    <row r="22" spans="1:17" x14ac:dyDescent="0.4">
      <c r="A22" s="37" t="s">
        <v>5</v>
      </c>
      <c r="B22" s="17">
        <f>IF(B$15=0,0,C22/B$15)</f>
        <v>9310.1694915254229</v>
      </c>
      <c r="C22" s="8">
        <v>15380400</v>
      </c>
      <c r="E22" s="44" t="s">
        <v>92</v>
      </c>
      <c r="F22" s="41" t="s">
        <v>47</v>
      </c>
      <c r="G22" s="34">
        <v>10</v>
      </c>
      <c r="H22" s="107">
        <f>IF(B$47=0,0,G22/B$47)</f>
        <v>6.6844919786096255E-3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18.444078947368421</v>
      </c>
      <c r="P22" s="93">
        <v>152</v>
      </c>
      <c r="Q22" s="81">
        <v>2803.5</v>
      </c>
    </row>
    <row r="23" spans="1:17" x14ac:dyDescent="0.4">
      <c r="A23" s="38" t="s">
        <v>162</v>
      </c>
      <c r="B23" s="114">
        <f>IF($B$15-B$14=0,0,C23/($B$15-B$14))</f>
        <v>9614.6095717884127</v>
      </c>
      <c r="C23" s="115">
        <v>11451000</v>
      </c>
      <c r="E23" s="44" t="s">
        <v>73</v>
      </c>
      <c r="F23" s="41" t="s">
        <v>28</v>
      </c>
      <c r="G23" s="34">
        <v>7</v>
      </c>
      <c r="H23" s="107">
        <f>IF(B$47=0,0,G23/B$47)</f>
        <v>4.6791443850267376E-3</v>
      </c>
      <c r="I23" s="68">
        <v>9</v>
      </c>
      <c r="K23" s="5">
        <v>21</v>
      </c>
      <c r="L23" s="73">
        <v>125.30000000000001</v>
      </c>
      <c r="N23" s="89" t="s">
        <v>190</v>
      </c>
      <c r="O23" s="99">
        <f>IF(P23=0,0,Q23/P23)</f>
        <v>15.276811594202897</v>
      </c>
      <c r="P23" s="93">
        <v>276</v>
      </c>
      <c r="Q23" s="81">
        <v>4216.3999999999996</v>
      </c>
    </row>
    <row r="24" spans="1:17" x14ac:dyDescent="0.4">
      <c r="A24" s="38" t="s">
        <v>163</v>
      </c>
      <c r="B24" s="114">
        <f>IF(B$14=0,0,C24/B$14)</f>
        <v>8523.644251626898</v>
      </c>
      <c r="C24" s="115">
        <v>3929400</v>
      </c>
      <c r="E24" s="44" t="s">
        <v>75</v>
      </c>
      <c r="F24" s="41" t="s">
        <v>30</v>
      </c>
      <c r="G24" s="34">
        <v>7</v>
      </c>
      <c r="H24" s="107">
        <f>IF(B$47=0,0,G24/B$47)</f>
        <v>4.6791443850267376E-3</v>
      </c>
      <c r="I24" s="68">
        <v>8</v>
      </c>
      <c r="K24" s="5">
        <v>22</v>
      </c>
      <c r="L24" s="73">
        <v>99.800000000000011</v>
      </c>
      <c r="N24" s="89" t="s">
        <v>193</v>
      </c>
      <c r="O24" s="99">
        <f>IF(P24=0,0,Q24/P24)</f>
        <v>13.475174825174831</v>
      </c>
      <c r="P24" s="93">
        <v>286</v>
      </c>
      <c r="Q24" s="81">
        <v>3853.9000000000015</v>
      </c>
    </row>
    <row r="25" spans="1:17" x14ac:dyDescent="0.4">
      <c r="A25" s="38" t="s">
        <v>161</v>
      </c>
      <c r="B25" s="114">
        <f>IF(B$16=0,0,C25/B$16)</f>
        <v>-8561.572700296736</v>
      </c>
      <c r="C25" s="115">
        <v>-5770500</v>
      </c>
      <c r="E25" s="44" t="s">
        <v>90</v>
      </c>
      <c r="F25" s="41" t="s">
        <v>45</v>
      </c>
      <c r="G25" s="34">
        <v>5</v>
      </c>
      <c r="H25" s="107">
        <f>IF(B$47=0,0,G25/B$47)</f>
        <v>3.3422459893048127E-3</v>
      </c>
      <c r="I25" s="68">
        <v>2</v>
      </c>
      <c r="K25" s="5">
        <v>23</v>
      </c>
      <c r="L25" s="73">
        <v>124.50000000000001</v>
      </c>
      <c r="N25" s="89" t="s">
        <v>189</v>
      </c>
      <c r="O25" s="99">
        <f>IF(P25=0,0,Q25/P25)</f>
        <v>8</v>
      </c>
      <c r="P25" s="93">
        <v>1</v>
      </c>
      <c r="Q25" s="81">
        <v>8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4</v>
      </c>
      <c r="H26" s="107">
        <f>IF(B$47=0,0,G26/B$47)</f>
        <v>2.6737967914438501E-3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">
      <c r="A27" s="37" t="s">
        <v>156</v>
      </c>
      <c r="B27" s="34">
        <v>43</v>
      </c>
      <c r="C27" s="109">
        <v>0</v>
      </c>
      <c r="E27" s="44" t="s">
        <v>88</v>
      </c>
      <c r="F27" s="41" t="s">
        <v>43</v>
      </c>
      <c r="G27" s="34">
        <v>4</v>
      </c>
      <c r="H27" s="107">
        <f>IF(B$47=0,0,G27/B$47)</f>
        <v>2.6737967914438501E-3</v>
      </c>
      <c r="I27" s="68">
        <v>2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">
      <c r="A28" s="64" t="s">
        <v>134</v>
      </c>
      <c r="B28" s="131">
        <v>10</v>
      </c>
      <c r="C28" s="132"/>
      <c r="E28" s="44" t="s">
        <v>74</v>
      </c>
      <c r="F28" s="41" t="s">
        <v>29</v>
      </c>
      <c r="G28" s="34">
        <v>3</v>
      </c>
      <c r="H28" s="107">
        <f>IF(B$47=0,0,G28/B$47)</f>
        <v>2.0053475935828879E-3</v>
      </c>
      <c r="I28" s="68">
        <v>8</v>
      </c>
      <c r="K28" s="5">
        <v>26</v>
      </c>
      <c r="L28" s="73">
        <v>108.20000000000002</v>
      </c>
      <c r="N28" s="89" t="s">
        <v>191</v>
      </c>
      <c r="O28" s="99">
        <f>IF(P28=0,0,Q28/P28)</f>
        <v>4.7939086294416242</v>
      </c>
      <c r="P28" s="93">
        <v>197</v>
      </c>
      <c r="Q28" s="81">
        <v>944.4</v>
      </c>
    </row>
    <row r="29" spans="1:17" x14ac:dyDescent="0.4">
      <c r="A29" s="40" t="s">
        <v>177</v>
      </c>
      <c r="B29" s="129">
        <v>149100</v>
      </c>
      <c r="C29" s="130"/>
      <c r="E29" s="44" t="s">
        <v>87</v>
      </c>
      <c r="F29" s="41" t="s">
        <v>42</v>
      </c>
      <c r="G29" s="34">
        <v>3</v>
      </c>
      <c r="H29" s="107">
        <f>IF(B$47=0,0,G29/B$47)</f>
        <v>2.0053475935828879E-3</v>
      </c>
      <c r="I29" s="68">
        <v>5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9" t="s">
        <v>135</v>
      </c>
      <c r="B30" s="27">
        <v>4</v>
      </c>
      <c r="C30" s="32">
        <f>IF(B$3=0,0,B30/B$3)</f>
        <v>8.3927822073017204E-4</v>
      </c>
      <c r="E30" s="44" t="s">
        <v>93</v>
      </c>
      <c r="F30" s="41" t="s">
        <v>48</v>
      </c>
      <c r="G30" s="34">
        <v>3</v>
      </c>
      <c r="H30" s="107">
        <f>IF(B$47=0,0,G30/B$47)</f>
        <v>2.0053475935828879E-3</v>
      </c>
      <c r="I30" s="68">
        <v>6</v>
      </c>
      <c r="K30" s="5">
        <v>28</v>
      </c>
      <c r="L30" s="73">
        <v>129.20000000000002</v>
      </c>
    </row>
    <row r="31" spans="1:17" x14ac:dyDescent="0.4">
      <c r="E31" s="44" t="s">
        <v>95</v>
      </c>
      <c r="F31" s="41" t="s">
        <v>50</v>
      </c>
      <c r="G31" s="34">
        <v>3</v>
      </c>
      <c r="H31" s="107">
        <f>IF(B$47=0,0,G31/B$47)</f>
        <v>2.0053475935828879E-3</v>
      </c>
      <c r="I31" s="68">
        <v>2</v>
      </c>
      <c r="K31" s="5">
        <v>29</v>
      </c>
      <c r="L31" s="73">
        <v>120.80000000000001</v>
      </c>
    </row>
    <row r="32" spans="1:17" x14ac:dyDescent="0.4">
      <c r="A32" s="64" t="s">
        <v>168</v>
      </c>
      <c r="B32" s="122">
        <v>93</v>
      </c>
      <c r="C32" s="119">
        <f>IF(B$15=0,0,B32/B$15)</f>
        <v>5.6295399515738496E-2</v>
      </c>
      <c r="E32" s="44" t="s">
        <v>106</v>
      </c>
      <c r="F32" s="41" t="s">
        <v>113</v>
      </c>
      <c r="G32" s="34">
        <v>2</v>
      </c>
      <c r="H32" s="107">
        <f>IF(B$47=0,0,G32/B$47)</f>
        <v>1.3368983957219251E-3</v>
      </c>
      <c r="I32" s="68">
        <v>2</v>
      </c>
      <c r="K32" s="5">
        <v>30</v>
      </c>
      <c r="L32" s="73">
        <v>174.10000000000002</v>
      </c>
    </row>
    <row r="33" spans="1:12" x14ac:dyDescent="0.4">
      <c r="A33" s="37" t="s">
        <v>164</v>
      </c>
      <c r="B33" s="34">
        <v>200</v>
      </c>
      <c r="C33" s="31">
        <f t="shared" ref="C33:C44" si="2">IF(B$15=0,0,B33/B$15)</f>
        <v>0.12106537530266344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">
      <c r="A34" s="37" t="s">
        <v>165</v>
      </c>
      <c r="B34" s="123">
        <v>289</v>
      </c>
      <c r="C34" s="31">
        <f>IF(B$15=0,0,B34/B$15)</f>
        <v>0.17493946731234866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">
      <c r="A35" s="37" t="s">
        <v>166</v>
      </c>
      <c r="B35" s="123">
        <v>303</v>
      </c>
      <c r="C35" s="31">
        <f t="shared" si="2"/>
        <v>0.18341404358353511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37" t="s">
        <v>167</v>
      </c>
      <c r="B36" s="123">
        <v>219</v>
      </c>
      <c r="C36" s="31">
        <f t="shared" si="2"/>
        <v>0.13256658595641646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169</v>
      </c>
      <c r="B37" s="123">
        <v>164</v>
      </c>
      <c r="C37" s="31">
        <f t="shared" si="2"/>
        <v>9.9273607748184015E-2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170</v>
      </c>
      <c r="B38" s="123">
        <v>105</v>
      </c>
      <c r="C38" s="31">
        <f t="shared" si="2"/>
        <v>6.3559322033898302E-2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171</v>
      </c>
      <c r="B39" s="123">
        <v>47</v>
      </c>
      <c r="C39" s="31">
        <f t="shared" si="2"/>
        <v>2.8450363196125907E-2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172</v>
      </c>
      <c r="B40" s="123">
        <v>30</v>
      </c>
      <c r="C40" s="31">
        <f t="shared" si="2"/>
        <v>1.8159806295399514E-2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173</v>
      </c>
      <c r="B41" s="123">
        <v>12</v>
      </c>
      <c r="C41" s="31">
        <f t="shared" si="2"/>
        <v>7.2639225181598066E-3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174</v>
      </c>
      <c r="B42" s="123">
        <v>8</v>
      </c>
      <c r="C42" s="31">
        <f t="shared" si="2"/>
        <v>4.8426150121065378E-3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175</v>
      </c>
      <c r="B43" s="123">
        <v>3</v>
      </c>
      <c r="C43" s="31">
        <f t="shared" si="2"/>
        <v>1.8159806295399517E-3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9" t="s">
        <v>176</v>
      </c>
      <c r="B44" s="124">
        <v>23</v>
      </c>
      <c r="C44" s="32">
        <f t="shared" si="2"/>
        <v>1.3922518159806295E-2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64" t="s">
        <v>181</v>
      </c>
      <c r="B46" s="127">
        <v>4310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9" t="s">
        <v>182</v>
      </c>
      <c r="B47" s="125">
        <v>1496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">
      <c r="K53" s="5">
        <v>51</v>
      </c>
      <c r="L53" s="73">
        <v>145.80000000000004</v>
      </c>
    </row>
    <row r="54" spans="5:12" x14ac:dyDescent="0.4">
      <c r="K54" s="5">
        <v>52</v>
      </c>
      <c r="L54" s="73">
        <v>139.10000000000005</v>
      </c>
    </row>
    <row r="55" spans="5:12" x14ac:dyDescent="0.4">
      <c r="K55" s="5">
        <v>53</v>
      </c>
      <c r="L55" s="73">
        <v>111.10000000000005</v>
      </c>
    </row>
    <row r="56" spans="5:12" x14ac:dyDescent="0.4">
      <c r="K56" s="5">
        <v>54</v>
      </c>
      <c r="L56" s="73">
        <v>127.80000000000005</v>
      </c>
    </row>
    <row r="57" spans="5:12" x14ac:dyDescent="0.4">
      <c r="K57" s="5">
        <v>55</v>
      </c>
      <c r="L57" s="73">
        <v>120.80000000000005</v>
      </c>
    </row>
    <row r="58" spans="5:12" x14ac:dyDescent="0.4">
      <c r="K58" s="5">
        <v>56</v>
      </c>
      <c r="L58" s="73">
        <v>152.40000000000006</v>
      </c>
    </row>
    <row r="59" spans="5:12" x14ac:dyDescent="0.4">
      <c r="K59" s="5">
        <v>57</v>
      </c>
      <c r="L59" s="73">
        <v>168.20000000000007</v>
      </c>
    </row>
    <row r="60" spans="5:12" x14ac:dyDescent="0.4">
      <c r="K60" s="5">
        <v>58</v>
      </c>
      <c r="L60" s="73">
        <v>225.20000000000007</v>
      </c>
    </row>
    <row r="61" spans="5:12" x14ac:dyDescent="0.4">
      <c r="K61" s="5">
        <v>59</v>
      </c>
      <c r="L61" s="73">
        <v>230.50000000000009</v>
      </c>
    </row>
    <row r="62" spans="5:12" x14ac:dyDescent="0.4">
      <c r="K62" s="5">
        <v>60</v>
      </c>
      <c r="L62" s="73">
        <v>184.40000000000009</v>
      </c>
    </row>
    <row r="63" spans="5:12" x14ac:dyDescent="0.4">
      <c r="K63" s="5">
        <v>61</v>
      </c>
      <c r="L63" s="73">
        <v>205.50000000000009</v>
      </c>
    </row>
    <row r="64" spans="5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5155.7999999999993</v>
      </c>
    </row>
    <row r="543" spans="11:12" x14ac:dyDescent="0.4">
      <c r="K543" s="5">
        <v>541</v>
      </c>
      <c r="L543" s="73">
        <v>5175</v>
      </c>
    </row>
    <row r="544" spans="11:12" x14ac:dyDescent="0.4">
      <c r="K544" s="5">
        <v>542</v>
      </c>
      <c r="L544" s="73">
        <v>5175.5999999999995</v>
      </c>
    </row>
    <row r="545" spans="11:12" x14ac:dyDescent="0.4">
      <c r="K545" s="5">
        <v>543</v>
      </c>
      <c r="L545" s="73">
        <v>5140.3999999999996</v>
      </c>
    </row>
    <row r="546" spans="11:12" x14ac:dyDescent="0.4">
      <c r="K546" s="5">
        <v>544</v>
      </c>
      <c r="L546" s="73">
        <v>5181</v>
      </c>
    </row>
    <row r="547" spans="11:12" x14ac:dyDescent="0.4">
      <c r="K547" s="5">
        <v>545</v>
      </c>
      <c r="L547" s="73">
        <v>5213.3999999999996</v>
      </c>
    </row>
    <row r="548" spans="11:12" x14ac:dyDescent="0.4">
      <c r="K548" s="5">
        <v>546</v>
      </c>
      <c r="L548" s="73">
        <v>5181.7</v>
      </c>
    </row>
    <row r="549" spans="11:12" x14ac:dyDescent="0.4">
      <c r="K549" s="5">
        <v>547</v>
      </c>
      <c r="L549" s="73">
        <v>5139</v>
      </c>
    </row>
    <row r="550" spans="11:12" x14ac:dyDescent="0.4">
      <c r="K550" s="5">
        <v>548</v>
      </c>
      <c r="L550" s="73">
        <v>5163.0999999999995</v>
      </c>
    </row>
    <row r="551" spans="11:12" x14ac:dyDescent="0.4">
      <c r="K551" s="5">
        <v>549</v>
      </c>
      <c r="L551" s="73">
        <v>5187.8999999999996</v>
      </c>
    </row>
    <row r="552" spans="11:12" x14ac:dyDescent="0.4">
      <c r="K552" s="5">
        <v>550</v>
      </c>
      <c r="L552" s="73">
        <v>5213.3999999999996</v>
      </c>
    </row>
    <row r="553" spans="11:12" x14ac:dyDescent="0.4">
      <c r="K553" s="5">
        <v>551</v>
      </c>
      <c r="L553" s="73">
        <v>5238.2</v>
      </c>
    </row>
    <row r="554" spans="11:12" x14ac:dyDescent="0.4">
      <c r="K554" s="5">
        <v>552</v>
      </c>
      <c r="L554" s="73">
        <v>5213.2</v>
      </c>
    </row>
    <row r="555" spans="11:12" x14ac:dyDescent="0.4">
      <c r="K555" s="5">
        <v>553</v>
      </c>
      <c r="L555" s="73">
        <v>5183.7</v>
      </c>
    </row>
    <row r="556" spans="11:12" x14ac:dyDescent="0.4">
      <c r="K556" s="5">
        <v>554</v>
      </c>
      <c r="L556" s="73">
        <v>5216.2</v>
      </c>
    </row>
    <row r="557" spans="11:12" x14ac:dyDescent="0.4">
      <c r="K557" s="5">
        <v>555</v>
      </c>
      <c r="L557" s="73">
        <v>5193.7999999999993</v>
      </c>
    </row>
    <row r="558" spans="11:12" x14ac:dyDescent="0.4">
      <c r="K558" s="5">
        <v>556</v>
      </c>
      <c r="L558" s="73">
        <v>5209</v>
      </c>
    </row>
    <row r="559" spans="11:12" x14ac:dyDescent="0.4">
      <c r="K559" s="5">
        <v>557</v>
      </c>
      <c r="L559" s="73">
        <v>5158.5</v>
      </c>
    </row>
    <row r="560" spans="11:12" x14ac:dyDescent="0.4">
      <c r="K560" s="5">
        <v>558</v>
      </c>
      <c r="L560" s="73">
        <v>5185.2999999999993</v>
      </c>
    </row>
    <row r="561" spans="11:12" x14ac:dyDescent="0.4">
      <c r="K561" s="5">
        <v>559</v>
      </c>
      <c r="L561" s="73">
        <v>5183.5</v>
      </c>
    </row>
    <row r="562" spans="11:12" x14ac:dyDescent="0.4">
      <c r="K562" s="5">
        <v>560</v>
      </c>
      <c r="L562" s="73">
        <v>5203.3999999999996</v>
      </c>
    </row>
    <row r="563" spans="11:12" x14ac:dyDescent="0.4">
      <c r="K563" s="5">
        <v>561</v>
      </c>
      <c r="L563" s="73">
        <v>5166.7</v>
      </c>
    </row>
    <row r="564" spans="11:12" x14ac:dyDescent="0.4">
      <c r="K564" s="5">
        <v>562</v>
      </c>
      <c r="L564" s="73">
        <v>5187.2999999999993</v>
      </c>
    </row>
    <row r="565" spans="11:12" x14ac:dyDescent="0.4">
      <c r="K565" s="5">
        <v>563</v>
      </c>
      <c r="L565" s="73">
        <v>5191.2999999999993</v>
      </c>
    </row>
    <row r="566" spans="11:12" x14ac:dyDescent="0.4">
      <c r="K566" s="5">
        <v>564</v>
      </c>
      <c r="L566" s="73">
        <v>5207.7999999999993</v>
      </c>
    </row>
    <row r="567" spans="11:12" x14ac:dyDescent="0.4">
      <c r="K567" s="5">
        <v>565</v>
      </c>
      <c r="L567" s="73">
        <v>5168.7999999999993</v>
      </c>
    </row>
    <row r="568" spans="11:12" x14ac:dyDescent="0.4">
      <c r="K568" s="5">
        <v>566</v>
      </c>
      <c r="L568" s="73">
        <v>5123.2</v>
      </c>
    </row>
    <row r="569" spans="11:12" x14ac:dyDescent="0.4">
      <c r="K569" s="5">
        <v>567</v>
      </c>
      <c r="L569" s="73">
        <v>5157.2999999999993</v>
      </c>
    </row>
    <row r="570" spans="11:12" x14ac:dyDescent="0.4">
      <c r="K570" s="5">
        <v>568</v>
      </c>
      <c r="L570" s="73">
        <v>5185</v>
      </c>
    </row>
    <row r="571" spans="11:12" x14ac:dyDescent="0.4">
      <c r="K571" s="5">
        <v>569</v>
      </c>
      <c r="L571" s="73">
        <v>5220.8999999999996</v>
      </c>
    </row>
    <row r="572" spans="11:12" x14ac:dyDescent="0.4">
      <c r="K572" s="5">
        <v>570</v>
      </c>
      <c r="L572" s="73">
        <v>5242.5999999999995</v>
      </c>
    </row>
    <row r="573" spans="11:12" x14ac:dyDescent="0.4">
      <c r="K573" s="5">
        <v>571</v>
      </c>
      <c r="L573" s="73">
        <v>5262.0999999999995</v>
      </c>
    </row>
    <row r="574" spans="11:12" x14ac:dyDescent="0.4">
      <c r="K574" s="5">
        <v>572</v>
      </c>
      <c r="L574" s="73">
        <v>5275.7</v>
      </c>
    </row>
    <row r="575" spans="11:12" x14ac:dyDescent="0.4">
      <c r="K575" s="5">
        <v>573</v>
      </c>
      <c r="L575" s="73">
        <v>5317.5999999999995</v>
      </c>
    </row>
    <row r="576" spans="11:12" x14ac:dyDescent="0.4">
      <c r="K576" s="5">
        <v>574</v>
      </c>
      <c r="L576" s="73">
        <v>5301.0999999999995</v>
      </c>
    </row>
    <row r="577" spans="11:12" x14ac:dyDescent="0.4">
      <c r="K577" s="5">
        <v>575</v>
      </c>
      <c r="L577" s="73">
        <v>5350.0999999999995</v>
      </c>
    </row>
    <row r="578" spans="11:12" x14ac:dyDescent="0.4">
      <c r="K578" s="5">
        <v>576</v>
      </c>
      <c r="L578" s="73">
        <v>5394.5</v>
      </c>
    </row>
    <row r="579" spans="11:12" x14ac:dyDescent="0.4">
      <c r="K579" s="5">
        <v>577</v>
      </c>
      <c r="L579" s="73">
        <v>5354.2999999999993</v>
      </c>
    </row>
    <row r="580" spans="11:12" x14ac:dyDescent="0.4">
      <c r="K580" s="5">
        <v>578</v>
      </c>
      <c r="L580" s="73">
        <v>5404.2999999999993</v>
      </c>
    </row>
    <row r="581" spans="11:12" x14ac:dyDescent="0.4">
      <c r="K581" s="5">
        <v>579</v>
      </c>
      <c r="L581" s="73">
        <v>5528.4</v>
      </c>
    </row>
    <row r="582" spans="11:12" x14ac:dyDescent="0.4">
      <c r="K582" s="5">
        <v>580</v>
      </c>
      <c r="L582" s="73">
        <v>5535.4</v>
      </c>
    </row>
    <row r="583" spans="11:12" x14ac:dyDescent="0.4">
      <c r="K583" s="5">
        <v>581</v>
      </c>
      <c r="L583" s="73">
        <v>5521.2999999999993</v>
      </c>
    </row>
    <row r="584" spans="11:12" x14ac:dyDescent="0.4">
      <c r="K584" s="5">
        <v>582</v>
      </c>
      <c r="L584" s="73">
        <v>5591.9</v>
      </c>
    </row>
    <row r="585" spans="11:12" x14ac:dyDescent="0.4">
      <c r="K585" s="5">
        <v>583</v>
      </c>
      <c r="L585" s="73">
        <v>5560.9</v>
      </c>
    </row>
    <row r="586" spans="11:12" x14ac:dyDescent="0.4">
      <c r="K586" s="5">
        <v>584</v>
      </c>
      <c r="L586" s="73">
        <v>5537.2999999999993</v>
      </c>
    </row>
    <row r="587" spans="11:12" x14ac:dyDescent="0.4">
      <c r="K587" s="5">
        <v>585</v>
      </c>
      <c r="L587" s="73">
        <v>5540.5</v>
      </c>
    </row>
    <row r="588" spans="11:12" x14ac:dyDescent="0.4">
      <c r="K588" s="5">
        <v>586</v>
      </c>
      <c r="L588" s="73">
        <v>5552</v>
      </c>
    </row>
    <row r="589" spans="11:12" x14ac:dyDescent="0.4">
      <c r="K589" s="5">
        <v>587</v>
      </c>
      <c r="L589" s="73">
        <v>5622.5999999999995</v>
      </c>
    </row>
    <row r="590" spans="11:12" x14ac:dyDescent="0.4">
      <c r="K590" s="5">
        <v>588</v>
      </c>
      <c r="L590" s="73">
        <v>5628.4</v>
      </c>
    </row>
    <row r="591" spans="11:12" x14ac:dyDescent="0.4">
      <c r="K591" s="5">
        <v>589</v>
      </c>
      <c r="L591" s="73">
        <v>5675.2999999999993</v>
      </c>
    </row>
    <row r="592" spans="11:12" x14ac:dyDescent="0.4">
      <c r="K592" s="5">
        <v>590</v>
      </c>
      <c r="L592" s="73">
        <v>5682.7</v>
      </c>
    </row>
    <row r="593" spans="11:12" x14ac:dyDescent="0.4">
      <c r="K593" s="5">
        <v>591</v>
      </c>
      <c r="L593" s="73">
        <v>5684.0999999999995</v>
      </c>
    </row>
    <row r="594" spans="11:12" x14ac:dyDescent="0.4">
      <c r="K594" s="5">
        <v>592</v>
      </c>
      <c r="L594" s="73">
        <v>5680.2</v>
      </c>
    </row>
    <row r="595" spans="11:12" x14ac:dyDescent="0.4">
      <c r="K595" s="5">
        <v>593</v>
      </c>
      <c r="L595" s="73">
        <v>5697</v>
      </c>
    </row>
    <row r="596" spans="11:12" x14ac:dyDescent="0.4">
      <c r="K596" s="5">
        <v>594</v>
      </c>
      <c r="L596" s="73">
        <v>5704.7</v>
      </c>
    </row>
    <row r="597" spans="11:12" x14ac:dyDescent="0.4">
      <c r="K597" s="5">
        <v>595</v>
      </c>
      <c r="L597" s="73">
        <v>5663.9</v>
      </c>
    </row>
    <row r="598" spans="11:12" x14ac:dyDescent="0.4">
      <c r="K598" s="5">
        <v>596</v>
      </c>
      <c r="L598" s="73">
        <v>5707.5999999999995</v>
      </c>
    </row>
    <row r="599" spans="11:12" x14ac:dyDescent="0.4">
      <c r="K599" s="5">
        <v>597</v>
      </c>
      <c r="L599" s="73">
        <v>5708.7</v>
      </c>
    </row>
    <row r="600" spans="11:12" x14ac:dyDescent="0.4">
      <c r="K600" s="5">
        <v>598</v>
      </c>
      <c r="L600" s="73">
        <v>5747.0999999999995</v>
      </c>
    </row>
    <row r="601" spans="11:12" x14ac:dyDescent="0.4">
      <c r="K601" s="5">
        <v>599</v>
      </c>
      <c r="L601" s="73">
        <v>5714.2999999999993</v>
      </c>
    </row>
    <row r="602" spans="11:12" x14ac:dyDescent="0.4">
      <c r="K602" s="5">
        <v>600</v>
      </c>
      <c r="L602" s="73">
        <v>5740.5999999999995</v>
      </c>
    </row>
    <row r="603" spans="11:12" x14ac:dyDescent="0.4">
      <c r="K603" s="5">
        <v>601</v>
      </c>
      <c r="L603" s="73">
        <v>5762.0999999999995</v>
      </c>
    </row>
    <row r="604" spans="11:12" x14ac:dyDescent="0.4">
      <c r="K604" s="5">
        <v>602</v>
      </c>
      <c r="L604" s="73">
        <v>5753.4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B5DA2-0250-45E7-9EE0-E2B32B100077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18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37">
        <v>25</v>
      </c>
      <c r="C3" s="138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16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39">
        <v>-132.1</v>
      </c>
      <c r="C4" s="140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18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41">
        <f>IF(B$2=0,0,B$4/B$2)</f>
        <v>-33.024999999999999</v>
      </c>
      <c r="C5" s="142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18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33">
        <f>IF(B$2=0,0,(B$7*1+B$8*2+B$9*3)/B$2)</f>
        <v>3</v>
      </c>
      <c r="C6" s="134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18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17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14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17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10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13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13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14</v>
      </c>
    </row>
    <row r="20" spans="1:17" x14ac:dyDescent="0.4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6</v>
      </c>
    </row>
    <row r="23" spans="1:17" x14ac:dyDescent="0.4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8</v>
      </c>
    </row>
    <row r="24" spans="1:17" x14ac:dyDescent="0.4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">
      <c r="A28" s="64" t="s">
        <v>134</v>
      </c>
      <c r="B28" s="131">
        <v>0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29">
        <v>13000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3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3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0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1BD24-F2AA-4308-8799-853E07814012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66</v>
      </c>
      <c r="F2" s="25" t="s">
        <v>22</v>
      </c>
      <c r="G2" s="13">
        <v>5</v>
      </c>
      <c r="H2" s="106">
        <f>IF(B$47=0,0,G2/B$47)</f>
        <v>1.25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-7250</v>
      </c>
      <c r="P2" s="92">
        <v>4</v>
      </c>
      <c r="Q2" s="76">
        <v>-29000</v>
      </c>
    </row>
    <row r="3" spans="1:17" x14ac:dyDescent="0.4">
      <c r="A3" s="37" t="s">
        <v>8</v>
      </c>
      <c r="B3" s="137">
        <v>24</v>
      </c>
      <c r="C3" s="138"/>
      <c r="E3" s="44" t="s">
        <v>72</v>
      </c>
      <c r="F3" s="41" t="s">
        <v>27</v>
      </c>
      <c r="G3" s="34">
        <v>3</v>
      </c>
      <c r="H3" s="107">
        <f>IF(B$47=0,0,G3/B$47)</f>
        <v>0.75</v>
      </c>
      <c r="I3" s="68">
        <v>1</v>
      </c>
      <c r="K3" s="5">
        <v>1</v>
      </c>
      <c r="L3" s="73">
        <v>7</v>
      </c>
      <c r="N3" s="89" t="s">
        <v>127</v>
      </c>
      <c r="O3" s="96">
        <f t="shared" si="0"/>
        <v>-3166.6666666666665</v>
      </c>
      <c r="P3" s="93">
        <v>3</v>
      </c>
      <c r="Q3" s="77">
        <v>-9500</v>
      </c>
    </row>
    <row r="4" spans="1:17" x14ac:dyDescent="0.4">
      <c r="A4" s="37" t="s">
        <v>6</v>
      </c>
      <c r="B4" s="139">
        <v>-15.5</v>
      </c>
      <c r="C4" s="140"/>
      <c r="E4" s="44" t="s">
        <v>64</v>
      </c>
      <c r="F4" s="41" t="s">
        <v>20</v>
      </c>
      <c r="G4" s="34">
        <v>2</v>
      </c>
      <c r="H4" s="107">
        <f>IF(B$47=0,0,G4/B$47)</f>
        <v>0.5</v>
      </c>
      <c r="I4" s="68">
        <v>7</v>
      </c>
      <c r="K4" s="5">
        <v>2</v>
      </c>
      <c r="L4" s="73">
        <v>-24.5</v>
      </c>
      <c r="N4" s="89" t="s">
        <v>128</v>
      </c>
      <c r="O4" s="96">
        <f t="shared" si="0"/>
        <v>-3666.6666666666665</v>
      </c>
      <c r="P4" s="93">
        <v>3</v>
      </c>
      <c r="Q4" s="77">
        <v>-11000</v>
      </c>
    </row>
    <row r="5" spans="1:17" x14ac:dyDescent="0.4">
      <c r="A5" s="37" t="s">
        <v>7</v>
      </c>
      <c r="B5" s="141">
        <f>IF(B$2=0,0,B$4/B$2)</f>
        <v>-3.875</v>
      </c>
      <c r="C5" s="142"/>
      <c r="E5" s="44" t="s">
        <v>67</v>
      </c>
      <c r="F5" s="41" t="s">
        <v>23</v>
      </c>
      <c r="G5" s="34">
        <v>2</v>
      </c>
      <c r="H5" s="107">
        <f>IF(B$47=0,0,G5/B$47)</f>
        <v>0.5</v>
      </c>
      <c r="I5" s="68">
        <v>1</v>
      </c>
      <c r="K5" s="5">
        <v>3</v>
      </c>
      <c r="L5" s="73">
        <v>-26.5</v>
      </c>
      <c r="N5" s="89" t="s">
        <v>129</v>
      </c>
      <c r="O5" s="96">
        <f t="shared" si="0"/>
        <v>4000</v>
      </c>
      <c r="P5" s="93">
        <v>2</v>
      </c>
      <c r="Q5" s="77">
        <v>8000</v>
      </c>
    </row>
    <row r="6" spans="1:17" x14ac:dyDescent="0.4">
      <c r="A6" s="37" t="s">
        <v>1</v>
      </c>
      <c r="B6" s="133">
        <f>IF(B$2=0,0,(B$7*1+B$8*2+B$9*3)/B$2)</f>
        <v>2</v>
      </c>
      <c r="C6" s="134"/>
      <c r="E6" s="44" t="s">
        <v>89</v>
      </c>
      <c r="F6" s="41" t="s">
        <v>44</v>
      </c>
      <c r="G6" s="34">
        <v>2</v>
      </c>
      <c r="H6" s="107">
        <f>IF(B$47=0,0,G6/B$47)</f>
        <v>0.5</v>
      </c>
      <c r="I6" s="68">
        <v>1</v>
      </c>
      <c r="K6" s="5">
        <v>4</v>
      </c>
      <c r="L6" s="73">
        <v>-15.5</v>
      </c>
      <c r="N6" s="89" t="s">
        <v>130</v>
      </c>
      <c r="O6" s="96">
        <f t="shared" si="0"/>
        <v>21500</v>
      </c>
      <c r="P6" s="93">
        <v>2</v>
      </c>
      <c r="Q6" s="77">
        <v>43000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0.25</v>
      </c>
      <c r="E7" s="44" t="s">
        <v>68</v>
      </c>
      <c r="F7" s="41" t="s">
        <v>12</v>
      </c>
      <c r="G7" s="34">
        <v>1</v>
      </c>
      <c r="H7" s="107">
        <f>IF(B$47=0,0,G7/B$47)</f>
        <v>0.25</v>
      </c>
      <c r="I7" s="68">
        <v>15</v>
      </c>
      <c r="N7" s="90" t="s">
        <v>131</v>
      </c>
      <c r="O7" s="97">
        <f t="shared" si="0"/>
        <v>-8500</v>
      </c>
      <c r="P7" s="94">
        <v>2</v>
      </c>
      <c r="Q7" s="78">
        <v>-17000</v>
      </c>
    </row>
    <row r="8" spans="1:17" x14ac:dyDescent="0.4">
      <c r="A8" s="37" t="s">
        <v>3</v>
      </c>
      <c r="B8" s="34">
        <v>2</v>
      </c>
      <c r="C8" s="31">
        <f t="shared" si="1"/>
        <v>0.5</v>
      </c>
      <c r="E8" s="44" t="s">
        <v>69</v>
      </c>
      <c r="F8" s="41" t="s">
        <v>24</v>
      </c>
      <c r="G8" s="34">
        <v>1</v>
      </c>
      <c r="H8" s="107">
        <f>IF(B$47=0,0,G8/B$47)</f>
        <v>0.25</v>
      </c>
      <c r="I8" s="68">
        <v>1</v>
      </c>
      <c r="N8" s="33"/>
      <c r="O8" s="101"/>
      <c r="P8" s="85"/>
      <c r="Q8" s="83"/>
    </row>
    <row r="9" spans="1:17" x14ac:dyDescent="0.4">
      <c r="A9" s="38" t="s">
        <v>4</v>
      </c>
      <c r="B9" s="35">
        <v>1</v>
      </c>
      <c r="C9" s="7">
        <f t="shared" si="1"/>
        <v>0.25</v>
      </c>
      <c r="E9" s="44" t="s">
        <v>71</v>
      </c>
      <c r="F9" s="41" t="s">
        <v>26</v>
      </c>
      <c r="G9" s="34">
        <v>1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1"/>
        <v>0</v>
      </c>
      <c r="E10" s="44" t="s">
        <v>83</v>
      </c>
      <c r="F10" s="41" t="s">
        <v>38</v>
      </c>
      <c r="G10" s="34">
        <v>1</v>
      </c>
      <c r="H10" s="107">
        <f>IF(B$47=0,0,G10/B$47)</f>
        <v>0.25</v>
      </c>
      <c r="I10" s="68">
        <v>1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40" t="s">
        <v>121</v>
      </c>
      <c r="B11" s="16">
        <v>8</v>
      </c>
      <c r="C11" s="11">
        <f>IF(B$46=0,0,B11/B$46)</f>
        <v>0.42105263157894735</v>
      </c>
      <c r="E11" s="44" t="s">
        <v>86</v>
      </c>
      <c r="F11" s="41" t="s">
        <v>41</v>
      </c>
      <c r="G11" s="34">
        <v>1</v>
      </c>
      <c r="H11" s="107">
        <f>IF(B$47=0,0,G11/B$47)</f>
        <v>0.25</v>
      </c>
      <c r="I11" s="68">
        <v>1</v>
      </c>
      <c r="N11" s="89" t="s">
        <v>150</v>
      </c>
      <c r="O11" s="99">
        <f>IF(P11=0,0,Q11/P11)</f>
        <v>9</v>
      </c>
      <c r="P11" s="93">
        <v>2</v>
      </c>
      <c r="Q11" s="81">
        <v>18</v>
      </c>
    </row>
    <row r="12" spans="1:17" x14ac:dyDescent="0.4">
      <c r="A12" s="37" t="s">
        <v>118</v>
      </c>
      <c r="B12" s="34">
        <v>2</v>
      </c>
      <c r="C12" s="31">
        <f>IF(B$46=0,0,B12/B$46)</f>
        <v>0.10526315789473684</v>
      </c>
      <c r="E12" s="44" t="s">
        <v>65</v>
      </c>
      <c r="F12" s="41" t="s">
        <v>21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-16.75</v>
      </c>
      <c r="P12" s="94">
        <v>2</v>
      </c>
      <c r="Q12" s="82">
        <v>-33.5</v>
      </c>
    </row>
    <row r="13" spans="1:17" x14ac:dyDescent="0.4">
      <c r="A13" s="19" t="s">
        <v>123</v>
      </c>
      <c r="B13" s="13">
        <v>2</v>
      </c>
      <c r="C13" s="4">
        <f>IF(B$11=0,0,B13/B$11)</f>
        <v>0.25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</v>
      </c>
      <c r="C14" s="4">
        <f>IF(B$12=0,0,B14/B$12)</f>
        <v>1</v>
      </c>
      <c r="E14" s="44" t="s">
        <v>73</v>
      </c>
      <c r="F14" s="41" t="s">
        <v>28</v>
      </c>
      <c r="G14" s="34">
        <v>0</v>
      </c>
      <c r="H14" s="107">
        <f>IF(B$47=0,0,G14/B$47)</f>
        <v>0</v>
      </c>
      <c r="I14" s="68">
        <v>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</v>
      </c>
      <c r="C15" s="4">
        <f>IF(B$3=0,0,B15/B$3)</f>
        <v>0.25</v>
      </c>
      <c r="E15" s="44" t="s">
        <v>74</v>
      </c>
      <c r="F15" s="41" t="s">
        <v>29</v>
      </c>
      <c r="G15" s="34">
        <v>0</v>
      </c>
      <c r="H15" s="107">
        <f>IF(B$47=0,0,G15/B$47)</f>
        <v>0</v>
      </c>
      <c r="I15" s="68">
        <v>10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">
      <c r="A16" s="37" t="s">
        <v>13</v>
      </c>
      <c r="B16" s="34">
        <v>4</v>
      </c>
      <c r="C16" s="31">
        <f>IF(B$3=0,0,B16/B$3)</f>
        <v>0.16666666666666666</v>
      </c>
      <c r="E16" s="44" t="s">
        <v>75</v>
      </c>
      <c r="F16" s="41" t="s">
        <v>30</v>
      </c>
      <c r="G16" s="34">
        <v>0</v>
      </c>
      <c r="H16" s="107">
        <f>IF(B$47=0,0,G16/B$47)</f>
        <v>0</v>
      </c>
      <c r="I16" s="68">
        <v>10</v>
      </c>
      <c r="N16" s="89" t="s">
        <v>191</v>
      </c>
      <c r="O16" s="99">
        <f>IF(P16=0,0,Q16/P16)</f>
        <v>3.9666666666666663</v>
      </c>
      <c r="P16" s="93">
        <v>3</v>
      </c>
      <c r="Q16" s="81">
        <v>11.899999999999999</v>
      </c>
    </row>
    <row r="17" spans="1:17" x14ac:dyDescent="0.4">
      <c r="A17" s="37" t="s">
        <v>12</v>
      </c>
      <c r="B17" s="34">
        <v>2</v>
      </c>
      <c r="C17" s="31">
        <f>IF(B$15=0,0,B17/B$15)</f>
        <v>0.33333333333333331</v>
      </c>
      <c r="E17" s="44" t="s">
        <v>76</v>
      </c>
      <c r="F17" s="41" t="s">
        <v>31</v>
      </c>
      <c r="G17" s="34">
        <v>0</v>
      </c>
      <c r="H17" s="107">
        <f>IF(B$47=0,0,G17/B$47)</f>
        <v>0</v>
      </c>
      <c r="I17" s="68">
        <v>1</v>
      </c>
      <c r="N17" s="89" t="s">
        <v>195</v>
      </c>
      <c r="O17" s="99">
        <f>IF(P17=0,0,Q17/P17)</f>
        <v>-8</v>
      </c>
      <c r="P17" s="93">
        <v>1</v>
      </c>
      <c r="Q17" s="81">
        <v>-8</v>
      </c>
    </row>
    <row r="18" spans="1:17" x14ac:dyDescent="0.4">
      <c r="A18" s="37" t="s">
        <v>11</v>
      </c>
      <c r="B18" s="34">
        <v>4</v>
      </c>
      <c r="C18" s="31">
        <f>IF(B$15=0,0,B18/B$15)</f>
        <v>0.66666666666666663</v>
      </c>
      <c r="E18" s="44" t="s">
        <v>77</v>
      </c>
      <c r="F18" s="41" t="s">
        <v>32</v>
      </c>
      <c r="G18" s="34">
        <v>0</v>
      </c>
      <c r="H18" s="107">
        <f>IF(B$47=0,0,G18/B$47)</f>
        <v>0</v>
      </c>
      <c r="I18" s="68">
        <v>9</v>
      </c>
      <c r="N18" s="89" t="s">
        <v>190</v>
      </c>
      <c r="O18" s="99">
        <f>IF(P18=0,0,Q18/P18)</f>
        <v>-26.466666666666669</v>
      </c>
      <c r="P18" s="93">
        <v>3</v>
      </c>
      <c r="Q18" s="81">
        <v>-79.400000000000006</v>
      </c>
    </row>
    <row r="19" spans="1:17" x14ac:dyDescent="0.4">
      <c r="A19" s="37" t="s">
        <v>180</v>
      </c>
      <c r="B19" s="34">
        <v>2</v>
      </c>
      <c r="C19" s="31">
        <f>IF(B$15=0,0,B19/B$15)</f>
        <v>0.33333333333333331</v>
      </c>
      <c r="E19" s="44" t="s">
        <v>78</v>
      </c>
      <c r="F19" s="41" t="s">
        <v>33</v>
      </c>
      <c r="G19" s="34">
        <v>0</v>
      </c>
      <c r="H19" s="107">
        <f>IF(B$47=0,0,G19/B$47)</f>
        <v>0</v>
      </c>
      <c r="I19" s="68">
        <v>13</v>
      </c>
    </row>
    <row r="20" spans="1:17" x14ac:dyDescent="0.4">
      <c r="A20" s="37" t="s">
        <v>178</v>
      </c>
      <c r="B20" s="34">
        <v>2</v>
      </c>
      <c r="C20" s="31">
        <f>IF(B$15=0,0,B20/B$15)</f>
        <v>0.33333333333333331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13</v>
      </c>
    </row>
    <row r="21" spans="1:17" x14ac:dyDescent="0.4">
      <c r="A21" s="37" t="s">
        <v>179</v>
      </c>
      <c r="B21" s="34">
        <v>2</v>
      </c>
      <c r="C21" s="31">
        <f>IF(B$15=0,0,B21/B$15)</f>
        <v>0.33333333333333331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">
      <c r="A22" s="37" t="s">
        <v>5</v>
      </c>
      <c r="B22" s="17">
        <f>IF(B$15=0,0,C22/B$15)</f>
        <v>12333.333333333334</v>
      </c>
      <c r="C22" s="8">
        <v>74000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14</v>
      </c>
    </row>
    <row r="23" spans="1:17" x14ac:dyDescent="0.4">
      <c r="A23" s="38" t="s">
        <v>162</v>
      </c>
      <c r="B23" s="114">
        <f>IF($B$15-B$14=0,0,C23/($B$15-B$14))</f>
        <v>12000</v>
      </c>
      <c r="C23" s="115">
        <v>48000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">
      <c r="A24" s="38" t="s">
        <v>163</v>
      </c>
      <c r="B24" s="114">
        <f>IF(B$14=0,0,C24/B$14)</f>
        <v>13000</v>
      </c>
      <c r="C24" s="115">
        <v>26000</v>
      </c>
      <c r="E24" s="44" t="s">
        <v>84</v>
      </c>
      <c r="F24" s="41" t="s">
        <v>39</v>
      </c>
      <c r="G24" s="34">
        <v>0</v>
      </c>
      <c r="H24" s="107">
        <f>IF(B$47=0,0,G24/B$47)</f>
        <v>0</v>
      </c>
      <c r="I24" s="68">
        <v>6</v>
      </c>
    </row>
    <row r="25" spans="1:17" x14ac:dyDescent="0.4">
      <c r="A25" s="38" t="s">
        <v>161</v>
      </c>
      <c r="B25" s="114">
        <f>IF(B$16=0,0,C25/B$16)</f>
        <v>-12000</v>
      </c>
      <c r="C25" s="115">
        <v>-48000</v>
      </c>
      <c r="E25" s="44" t="s">
        <v>85</v>
      </c>
      <c r="F25" s="41" t="s">
        <v>40</v>
      </c>
      <c r="G25" s="34">
        <v>0</v>
      </c>
      <c r="H25" s="107">
        <f>IF(B$47=0,0,G25/B$47)</f>
        <v>0</v>
      </c>
      <c r="I25" s="68">
        <v>8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17" x14ac:dyDescent="0.4">
      <c r="A27" s="37" t="s">
        <v>156</v>
      </c>
      <c r="B27" s="34">
        <v>11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17" x14ac:dyDescent="0.4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29">
        <v>46000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3">
        <v>2</v>
      </c>
      <c r="C36" s="31">
        <f t="shared" si="2"/>
        <v>0.33333333333333331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3">
        <v>1</v>
      </c>
      <c r="C37" s="31">
        <f t="shared" si="2"/>
        <v>0.16666666666666666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3">
        <v>1</v>
      </c>
      <c r="C41" s="31">
        <f t="shared" si="2"/>
        <v>0.16666666666666666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19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4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4C139-1C12-41DB-A0EB-B98EACF3B094}">
  <sheetPr codeName="Sheet7"/>
  <dimension ref="A1:Q37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376</v>
      </c>
      <c r="C2" s="128"/>
      <c r="E2" s="43" t="s">
        <v>66</v>
      </c>
      <c r="F2" s="25" t="s">
        <v>22</v>
      </c>
      <c r="G2" s="13">
        <v>552</v>
      </c>
      <c r="H2" s="106">
        <f>IF(B$47=0,0,G2/B$47)</f>
        <v>0.72062663185378595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-105.89812332439678</v>
      </c>
      <c r="P2" s="92">
        <v>373</v>
      </c>
      <c r="Q2" s="76">
        <v>-39500</v>
      </c>
    </row>
    <row r="3" spans="1:17" x14ac:dyDescent="0.4">
      <c r="A3" s="37" t="s">
        <v>8</v>
      </c>
      <c r="B3" s="137">
        <v>3047</v>
      </c>
      <c r="C3" s="138"/>
      <c r="E3" s="44" t="s">
        <v>64</v>
      </c>
      <c r="F3" s="41" t="s">
        <v>20</v>
      </c>
      <c r="G3" s="34">
        <v>456</v>
      </c>
      <c r="H3" s="107">
        <f>IF(B$47=0,0,G3/B$47)</f>
        <v>0.59530026109660572</v>
      </c>
      <c r="I3" s="68">
        <v>3</v>
      </c>
      <c r="K3" s="5">
        <v>1</v>
      </c>
      <c r="L3" s="73">
        <v>40.9</v>
      </c>
      <c r="N3" s="89" t="s">
        <v>127</v>
      </c>
      <c r="O3" s="96">
        <f t="shared" si="0"/>
        <v>-1377.7472527472528</v>
      </c>
      <c r="P3" s="93">
        <v>364</v>
      </c>
      <c r="Q3" s="77">
        <v>-501500</v>
      </c>
    </row>
    <row r="4" spans="1:17" x14ac:dyDescent="0.4">
      <c r="A4" s="37" t="s">
        <v>6</v>
      </c>
      <c r="B4" s="139">
        <v>-1562.4999999999998</v>
      </c>
      <c r="C4" s="140"/>
      <c r="E4" s="44" t="s">
        <v>72</v>
      </c>
      <c r="F4" s="41" t="s">
        <v>27</v>
      </c>
      <c r="G4" s="34">
        <v>365</v>
      </c>
      <c r="H4" s="107">
        <f>IF(B$47=0,0,G4/B$47)</f>
        <v>0.47650130548302871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414.73988439306356</v>
      </c>
      <c r="P4" s="93">
        <v>346</v>
      </c>
      <c r="Q4" s="77">
        <v>143500</v>
      </c>
    </row>
    <row r="5" spans="1:17" x14ac:dyDescent="0.4">
      <c r="A5" s="37" t="s">
        <v>7</v>
      </c>
      <c r="B5" s="141">
        <f>IF(B$2=0,0,B$4/B$2)</f>
        <v>-4.1555851063829783</v>
      </c>
      <c r="C5" s="142"/>
      <c r="E5" s="44" t="s">
        <v>68</v>
      </c>
      <c r="F5" s="41" t="s">
        <v>12</v>
      </c>
      <c r="G5" s="34">
        <v>277</v>
      </c>
      <c r="H5" s="107">
        <f>IF(B$47=0,0,G5/B$47)</f>
        <v>0.36161879895561355</v>
      </c>
      <c r="I5" s="68">
        <v>3</v>
      </c>
      <c r="K5" s="5">
        <v>3</v>
      </c>
      <c r="L5" s="73">
        <v>-36.4</v>
      </c>
      <c r="N5" s="89" t="s">
        <v>129</v>
      </c>
      <c r="O5" s="96">
        <f t="shared" si="0"/>
        <v>-776.2658227848101</v>
      </c>
      <c r="P5" s="93">
        <v>316</v>
      </c>
      <c r="Q5" s="77">
        <v>-245300</v>
      </c>
    </row>
    <row r="6" spans="1:17" x14ac:dyDescent="0.4">
      <c r="A6" s="37" t="s">
        <v>1</v>
      </c>
      <c r="B6" s="133">
        <f>IF(B$2=0,0,(B$7*1+B$8*2+B$9*3)/B$2)</f>
        <v>2.1063829787234041</v>
      </c>
      <c r="C6" s="134"/>
      <c r="E6" s="44" t="s">
        <v>67</v>
      </c>
      <c r="F6" s="41" t="s">
        <v>23</v>
      </c>
      <c r="G6" s="34">
        <v>259</v>
      </c>
      <c r="H6" s="107">
        <f>IF(B$47=0,0,G6/B$47)</f>
        <v>0.33812010443864232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-1178.6476868327402</v>
      </c>
      <c r="P6" s="93">
        <v>281</v>
      </c>
      <c r="Q6" s="77">
        <v>-331200</v>
      </c>
    </row>
    <row r="7" spans="1:17" x14ac:dyDescent="0.4">
      <c r="A7" s="37" t="s">
        <v>2</v>
      </c>
      <c r="B7" s="34">
        <v>101</v>
      </c>
      <c r="C7" s="31">
        <f t="shared" ref="C7:C10" si="1">IF(B$2=0,0,B7/B$2)</f>
        <v>0.26861702127659576</v>
      </c>
      <c r="E7" s="44" t="s">
        <v>157</v>
      </c>
      <c r="F7" s="41" t="s">
        <v>158</v>
      </c>
      <c r="G7" s="34">
        <v>228</v>
      </c>
      <c r="H7" s="107">
        <f>IF(B$47=0,0,G7/B$47)</f>
        <v>0.29765013054830286</v>
      </c>
      <c r="I7" s="68">
        <v>7</v>
      </c>
      <c r="K7" s="5">
        <v>5</v>
      </c>
      <c r="L7" s="73">
        <v>14.600000000000001</v>
      </c>
      <c r="N7" s="90" t="s">
        <v>131</v>
      </c>
      <c r="O7" s="97">
        <f t="shared" si="0"/>
        <v>-944.35146443514645</v>
      </c>
      <c r="P7" s="94">
        <v>239</v>
      </c>
      <c r="Q7" s="78">
        <v>-225700</v>
      </c>
    </row>
    <row r="8" spans="1:17" x14ac:dyDescent="0.4">
      <c r="A8" s="37" t="s">
        <v>3</v>
      </c>
      <c r="B8" s="34">
        <v>134</v>
      </c>
      <c r="C8" s="31">
        <f t="shared" si="1"/>
        <v>0.35638297872340424</v>
      </c>
      <c r="E8" s="44" t="s">
        <v>69</v>
      </c>
      <c r="F8" s="41" t="s">
        <v>24</v>
      </c>
      <c r="G8" s="34">
        <v>140</v>
      </c>
      <c r="H8" s="107">
        <f>IF(B$47=0,0,G8/B$47)</f>
        <v>0.18276762402088773</v>
      </c>
      <c r="I8" s="68">
        <v>2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141</v>
      </c>
      <c r="C9" s="7">
        <f t="shared" si="1"/>
        <v>0.375</v>
      </c>
      <c r="E9" s="44" t="s">
        <v>65</v>
      </c>
      <c r="F9" s="41" t="s">
        <v>21</v>
      </c>
      <c r="G9" s="34">
        <v>106</v>
      </c>
      <c r="H9" s="107">
        <f>IF(B$47=0,0,G9/B$47)</f>
        <v>0.13838120104438642</v>
      </c>
      <c r="I9" s="68">
        <v>2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55</v>
      </c>
      <c r="C10" s="32">
        <f t="shared" si="1"/>
        <v>0.14627659574468085</v>
      </c>
      <c r="E10" s="44" t="s">
        <v>70</v>
      </c>
      <c r="F10" s="41" t="s">
        <v>25</v>
      </c>
      <c r="G10" s="34">
        <v>103</v>
      </c>
      <c r="H10" s="107">
        <f>IF(B$47=0,0,G10/B$47)</f>
        <v>0.13446475195822455</v>
      </c>
      <c r="I10" s="68">
        <v>2</v>
      </c>
      <c r="K10" s="5">
        <v>8</v>
      </c>
      <c r="L10" s="73">
        <v>60.199999999999996</v>
      </c>
      <c r="N10" s="88" t="s">
        <v>149</v>
      </c>
      <c r="O10" s="98">
        <f>IF(P10=0,0,Q10/P10)</f>
        <v>-6.3066666666666675</v>
      </c>
      <c r="P10" s="92">
        <v>150</v>
      </c>
      <c r="Q10" s="80">
        <v>-946.00000000000011</v>
      </c>
    </row>
    <row r="11" spans="1:17" x14ac:dyDescent="0.4">
      <c r="A11" s="40" t="s">
        <v>121</v>
      </c>
      <c r="B11" s="16">
        <v>812</v>
      </c>
      <c r="C11" s="11">
        <f>IF(B$46=0,0,B11/B$46)</f>
        <v>0.29145728643216079</v>
      </c>
      <c r="E11" s="44" t="s">
        <v>89</v>
      </c>
      <c r="F11" s="41" t="s">
        <v>44</v>
      </c>
      <c r="G11" s="34">
        <v>103</v>
      </c>
      <c r="H11" s="107">
        <f>IF(B$47=0,0,G11/B$47)</f>
        <v>0.13446475195822455</v>
      </c>
      <c r="I11" s="68">
        <v>8</v>
      </c>
      <c r="K11" s="5">
        <v>9</v>
      </c>
      <c r="L11" s="73">
        <v>24.4</v>
      </c>
      <c r="N11" s="89" t="s">
        <v>150</v>
      </c>
      <c r="O11" s="99">
        <f>IF(P11=0,0,Q11/P11)</f>
        <v>-4.9588235294117649</v>
      </c>
      <c r="P11" s="93">
        <v>119</v>
      </c>
      <c r="Q11" s="81">
        <v>-590.1</v>
      </c>
    </row>
    <row r="12" spans="1:17" x14ac:dyDescent="0.4">
      <c r="A12" s="37" t="s">
        <v>118</v>
      </c>
      <c r="B12" s="34">
        <v>497</v>
      </c>
      <c r="C12" s="31">
        <f>IF(B$46=0,0,B12/B$46)</f>
        <v>0.17839195979899497</v>
      </c>
      <c r="E12" s="44" t="s">
        <v>86</v>
      </c>
      <c r="F12" s="41" t="s">
        <v>41</v>
      </c>
      <c r="G12" s="34">
        <v>44</v>
      </c>
      <c r="H12" s="107">
        <f>IF(B$47=0,0,G12/B$47)</f>
        <v>5.7441253263707574E-2</v>
      </c>
      <c r="I12" s="68">
        <v>10</v>
      </c>
      <c r="K12" s="5">
        <v>10</v>
      </c>
      <c r="L12" s="73">
        <v>-20.100000000000001</v>
      </c>
      <c r="N12" s="90" t="s">
        <v>151</v>
      </c>
      <c r="O12" s="100">
        <f>IF(P12=0,0,Q12/P12)</f>
        <v>-0.72075471698113169</v>
      </c>
      <c r="P12" s="94">
        <v>106</v>
      </c>
      <c r="Q12" s="82">
        <v>-76.399999999999963</v>
      </c>
    </row>
    <row r="13" spans="1:17" x14ac:dyDescent="0.4">
      <c r="A13" s="19" t="s">
        <v>123</v>
      </c>
      <c r="B13" s="13">
        <v>472</v>
      </c>
      <c r="C13" s="4">
        <f>IF(B$11=0,0,B13/B$11)</f>
        <v>0.58128078817733986</v>
      </c>
      <c r="E13" s="44" t="s">
        <v>83</v>
      </c>
      <c r="F13" s="41" t="s">
        <v>38</v>
      </c>
      <c r="G13" s="34">
        <v>41</v>
      </c>
      <c r="H13" s="107">
        <f>IF(B$47=0,0,G13/B$47)</f>
        <v>5.3524804177545689E-2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178</v>
      </c>
      <c r="C14" s="4">
        <f>IF(B$12=0,0,B14/B$12)</f>
        <v>0.35814889336016098</v>
      </c>
      <c r="E14" s="44" t="s">
        <v>71</v>
      </c>
      <c r="F14" s="41" t="s">
        <v>26</v>
      </c>
      <c r="G14" s="34">
        <v>32</v>
      </c>
      <c r="H14" s="107">
        <f>IF(B$47=0,0,G14/B$47)</f>
        <v>4.1775456919060053E-2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827</v>
      </c>
      <c r="C15" s="4">
        <f>IF(B$3=0,0,B15/B$3)</f>
        <v>0.27141450607154577</v>
      </c>
      <c r="E15" s="44" t="s">
        <v>81</v>
      </c>
      <c r="F15" s="41" t="s">
        <v>36</v>
      </c>
      <c r="G15" s="34">
        <v>24</v>
      </c>
      <c r="H15" s="107">
        <f>IF(B$47=0,0,G15/B$47)</f>
        <v>3.1331592689295036E-2</v>
      </c>
      <c r="I15" s="68">
        <v>4</v>
      </c>
      <c r="K15" s="5">
        <v>13</v>
      </c>
      <c r="L15" s="73">
        <v>49.5</v>
      </c>
      <c r="N15" s="88" t="s">
        <v>189</v>
      </c>
      <c r="O15" s="98">
        <f>IF(P15=0,0,Q15/P15)</f>
        <v>26.466666666666669</v>
      </c>
      <c r="P15" s="92">
        <v>3</v>
      </c>
      <c r="Q15" s="80">
        <v>79.400000000000006</v>
      </c>
    </row>
    <row r="16" spans="1:17" x14ac:dyDescent="0.4">
      <c r="A16" s="37" t="s">
        <v>13</v>
      </c>
      <c r="B16" s="34">
        <v>578</v>
      </c>
      <c r="C16" s="31">
        <f>IF(B$3=0,0,B16/B$3)</f>
        <v>0.18969478175254348</v>
      </c>
      <c r="E16" s="44" t="s">
        <v>78</v>
      </c>
      <c r="F16" s="41" t="s">
        <v>33</v>
      </c>
      <c r="G16" s="34">
        <v>19</v>
      </c>
      <c r="H16" s="107">
        <f>IF(B$47=0,0,G16/B$47)</f>
        <v>2.4804177545691905E-2</v>
      </c>
      <c r="I16" s="68">
        <v>9</v>
      </c>
      <c r="K16" s="5">
        <v>14</v>
      </c>
      <c r="L16" s="73">
        <v>33</v>
      </c>
      <c r="N16" s="89" t="s">
        <v>197</v>
      </c>
      <c r="O16" s="99">
        <f>IF(P16=0,0,Q16/P16)</f>
        <v>25.799999999999997</v>
      </c>
      <c r="P16" s="93">
        <v>1</v>
      </c>
      <c r="Q16" s="81">
        <v>25.799999999999997</v>
      </c>
    </row>
    <row r="17" spans="1:17" x14ac:dyDescent="0.4">
      <c r="A17" s="37" t="s">
        <v>12</v>
      </c>
      <c r="B17" s="34">
        <v>374</v>
      </c>
      <c r="C17" s="31">
        <f>IF(B$15=0,0,B17/B$15)</f>
        <v>0.45223700120918986</v>
      </c>
      <c r="E17" s="44" t="s">
        <v>91</v>
      </c>
      <c r="F17" s="41" t="s">
        <v>46</v>
      </c>
      <c r="G17" s="34">
        <v>15</v>
      </c>
      <c r="H17" s="107">
        <f>IF(B$47=0,0,G17/B$47)</f>
        <v>1.95822454308094E-2</v>
      </c>
      <c r="I17" s="68">
        <v>6</v>
      </c>
      <c r="K17" s="5">
        <v>15</v>
      </c>
      <c r="L17" s="73">
        <v>38.5</v>
      </c>
      <c r="N17" s="89" t="s">
        <v>186</v>
      </c>
      <c r="O17" s="99">
        <f>IF(P17=0,0,Q17/P17)</f>
        <v>9.1657894736842103</v>
      </c>
      <c r="P17" s="93">
        <v>38</v>
      </c>
      <c r="Q17" s="81">
        <v>348.3</v>
      </c>
    </row>
    <row r="18" spans="1:17" x14ac:dyDescent="0.4">
      <c r="A18" s="37" t="s">
        <v>11</v>
      </c>
      <c r="B18" s="34">
        <v>453</v>
      </c>
      <c r="C18" s="31">
        <f>IF(B$15=0,0,B18/B$15)</f>
        <v>0.54776299879081014</v>
      </c>
      <c r="E18" s="44" t="s">
        <v>79</v>
      </c>
      <c r="F18" s="41" t="s">
        <v>34</v>
      </c>
      <c r="G18" s="34">
        <v>12</v>
      </c>
      <c r="H18" s="107">
        <f>IF(B$47=0,0,G18/B$47)</f>
        <v>1.5665796344647518E-2</v>
      </c>
      <c r="I18" s="68">
        <v>7</v>
      </c>
      <c r="K18" s="5">
        <v>16</v>
      </c>
      <c r="L18" s="73">
        <v>14.600000000000001</v>
      </c>
      <c r="N18" s="89" t="s">
        <v>188</v>
      </c>
      <c r="O18" s="99">
        <f>IF(P18=0,0,Q18/P18)</f>
        <v>8.8780821917808233</v>
      </c>
      <c r="P18" s="93">
        <v>73</v>
      </c>
      <c r="Q18" s="81">
        <v>648.10000000000014</v>
      </c>
    </row>
    <row r="19" spans="1:17" x14ac:dyDescent="0.4">
      <c r="A19" s="37" t="s">
        <v>180</v>
      </c>
      <c r="B19" s="34">
        <v>472</v>
      </c>
      <c r="C19" s="31">
        <f>IF(B$15=0,0,B19/B$15)</f>
        <v>0.57073760580411126</v>
      </c>
      <c r="E19" s="44" t="s">
        <v>153</v>
      </c>
      <c r="F19" s="41" t="s">
        <v>154</v>
      </c>
      <c r="G19" s="34">
        <v>11</v>
      </c>
      <c r="H19" s="107">
        <f>IF(B$47=0,0,G19/B$47)</f>
        <v>1.4360313315926894E-2</v>
      </c>
      <c r="I19" s="68">
        <v>6</v>
      </c>
      <c r="K19" s="5">
        <v>17</v>
      </c>
      <c r="L19" s="73">
        <v>13.900000000000002</v>
      </c>
      <c r="N19" s="89" t="s">
        <v>191</v>
      </c>
      <c r="O19" s="99">
        <f>IF(P19=0,0,Q19/P19)</f>
        <v>1.9130000000000009</v>
      </c>
      <c r="P19" s="93">
        <v>100</v>
      </c>
      <c r="Q19" s="81">
        <v>191.3000000000001</v>
      </c>
    </row>
    <row r="20" spans="1:17" x14ac:dyDescent="0.4">
      <c r="A20" s="37" t="s">
        <v>178</v>
      </c>
      <c r="B20" s="34">
        <v>178</v>
      </c>
      <c r="C20" s="31">
        <f>IF(B$15=0,0,B20/B$15)</f>
        <v>0.21523579201934703</v>
      </c>
      <c r="E20" s="44" t="s">
        <v>75</v>
      </c>
      <c r="F20" s="41" t="s">
        <v>30</v>
      </c>
      <c r="G20" s="34">
        <v>7</v>
      </c>
      <c r="H20" s="107">
        <f>IF(B$47=0,0,G20/B$47)</f>
        <v>9.138381201044387E-3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179</v>
      </c>
      <c r="B21" s="34">
        <v>177</v>
      </c>
      <c r="C21" s="31">
        <f>IF(B$15=0,0,B21/B$15)</f>
        <v>0.21402660217654171</v>
      </c>
      <c r="E21" s="44" t="s">
        <v>73</v>
      </c>
      <c r="F21" s="41" t="s">
        <v>28</v>
      </c>
      <c r="G21" s="34">
        <v>4</v>
      </c>
      <c r="H21" s="107">
        <f>IF(B$47=0,0,G21/B$47)</f>
        <v>5.2219321148825066E-3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-5.2428571428571429</v>
      </c>
      <c r="P21" s="93">
        <v>56</v>
      </c>
      <c r="Q21" s="81">
        <v>-293.60000000000002</v>
      </c>
    </row>
    <row r="22" spans="1:17" x14ac:dyDescent="0.4">
      <c r="A22" s="37" t="s">
        <v>5</v>
      </c>
      <c r="B22" s="17">
        <f>IF(B$15=0,0,C22/B$15)</f>
        <v>9403.264812575575</v>
      </c>
      <c r="C22" s="8">
        <v>7776500</v>
      </c>
      <c r="E22" s="44" t="s">
        <v>74</v>
      </c>
      <c r="F22" s="41" t="s">
        <v>29</v>
      </c>
      <c r="G22" s="34">
        <v>3</v>
      </c>
      <c r="H22" s="107">
        <f>IF(B$47=0,0,G22/B$47)</f>
        <v>3.9164490861618795E-3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-6.3886524822695021</v>
      </c>
      <c r="P22" s="93">
        <v>141</v>
      </c>
      <c r="Q22" s="81">
        <v>-900.79999999999984</v>
      </c>
    </row>
    <row r="23" spans="1:17" x14ac:dyDescent="0.4">
      <c r="A23" s="38" t="s">
        <v>162</v>
      </c>
      <c r="B23" s="114">
        <f>IF($B$15-B$14=0,0,C23/($B$15-B$14))</f>
        <v>9755.7781201848993</v>
      </c>
      <c r="C23" s="115">
        <v>6331500</v>
      </c>
      <c r="E23" s="44" t="s">
        <v>84</v>
      </c>
      <c r="F23" s="41" t="s">
        <v>39</v>
      </c>
      <c r="G23" s="34">
        <v>3</v>
      </c>
      <c r="H23" s="107">
        <f>IF(B$47=0,0,G23/B$47)</f>
        <v>3.9164490861618795E-3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8" t="s">
        <v>163</v>
      </c>
      <c r="B24" s="114">
        <f>IF(B$14=0,0,C24/B$14)</f>
        <v>8117.9775280898875</v>
      </c>
      <c r="C24" s="115">
        <v>1445000</v>
      </c>
      <c r="E24" s="44" t="s">
        <v>92</v>
      </c>
      <c r="F24" s="41" t="s">
        <v>47</v>
      </c>
      <c r="G24" s="34">
        <v>3</v>
      </c>
      <c r="H24" s="107">
        <f>IF(B$47=0,0,G24/B$47)</f>
        <v>3.9164490861618795E-3</v>
      </c>
      <c r="I24" s="68">
        <v>6</v>
      </c>
      <c r="K24" s="5">
        <v>22</v>
      </c>
      <c r="L24" s="73">
        <v>-94.6</v>
      </c>
      <c r="N24" s="89" t="s">
        <v>195</v>
      </c>
      <c r="O24" s="99">
        <f>IF(P24=0,0,Q24/P24)</f>
        <v>-15.276811594202897</v>
      </c>
      <c r="P24" s="93">
        <v>276</v>
      </c>
      <c r="Q24" s="81">
        <v>-4216.3999999999996</v>
      </c>
    </row>
    <row r="25" spans="1:17" x14ac:dyDescent="0.4">
      <c r="A25" s="38" t="s">
        <v>161</v>
      </c>
      <c r="B25" s="114">
        <f>IF(B$16=0,0,C25/B$16)</f>
        <v>-8361.9377162629753</v>
      </c>
      <c r="C25" s="115">
        <v>-4833200</v>
      </c>
      <c r="E25" s="44" t="s">
        <v>85</v>
      </c>
      <c r="F25" s="41" t="s">
        <v>40</v>
      </c>
      <c r="G25" s="34">
        <v>2</v>
      </c>
      <c r="H25" s="107">
        <f>IF(B$47=0,0,G25/B$47)</f>
        <v>2.6109660574412533E-3</v>
      </c>
      <c r="I25" s="68">
        <v>6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2.6109660574412533E-3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1.3054830287206266E-3</v>
      </c>
      <c r="I27" s="68">
        <v>8</v>
      </c>
      <c r="K27" s="5">
        <v>25</v>
      </c>
      <c r="L27" s="73">
        <v>-70.899999999999991</v>
      </c>
    </row>
    <row r="28" spans="1:17" x14ac:dyDescent="0.4">
      <c r="A28" s="64" t="s">
        <v>134</v>
      </c>
      <c r="B28" s="131">
        <v>10</v>
      </c>
      <c r="C28" s="132"/>
      <c r="E28" s="44" t="s">
        <v>80</v>
      </c>
      <c r="F28" s="41" t="s">
        <v>35</v>
      </c>
      <c r="G28" s="34">
        <v>1</v>
      </c>
      <c r="H28" s="107">
        <f>IF(B$47=0,0,G28/B$47)</f>
        <v>1.3054830287206266E-3</v>
      </c>
      <c r="I28" s="68">
        <v>1</v>
      </c>
      <c r="K28" s="5">
        <v>26</v>
      </c>
      <c r="L28" s="73">
        <v>-125.89999999999999</v>
      </c>
    </row>
    <row r="29" spans="1:17" x14ac:dyDescent="0.4">
      <c r="A29" s="40" t="s">
        <v>177</v>
      </c>
      <c r="B29" s="129">
        <v>107600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1.3054830287206266E-3</v>
      </c>
      <c r="I29" s="68">
        <v>8</v>
      </c>
      <c r="K29" s="5">
        <v>27</v>
      </c>
      <c r="L29" s="73">
        <v>-163.6</v>
      </c>
    </row>
    <row r="30" spans="1:17" x14ac:dyDescent="0.4">
      <c r="A30" s="39" t="s">
        <v>135</v>
      </c>
      <c r="B30" s="27">
        <v>13</v>
      </c>
      <c r="C30" s="32">
        <f>IF(B$3=0,0,B30/B$3)</f>
        <v>4.2664916311125701E-3</v>
      </c>
      <c r="E30" s="44" t="s">
        <v>93</v>
      </c>
      <c r="F30" s="41" t="s">
        <v>48</v>
      </c>
      <c r="G30" s="34">
        <v>1</v>
      </c>
      <c r="H30" s="107">
        <f>IF(B$47=0,0,G30/B$47)</f>
        <v>1.3054830287206266E-3</v>
      </c>
      <c r="I30" s="68">
        <v>8</v>
      </c>
      <c r="K30" s="5">
        <v>28</v>
      </c>
      <c r="L30" s="73">
        <v>-169.5</v>
      </c>
    </row>
    <row r="31" spans="1:17" x14ac:dyDescent="0.4">
      <c r="E31" s="44" t="s">
        <v>95</v>
      </c>
      <c r="F31" s="41" t="s">
        <v>50</v>
      </c>
      <c r="G31" s="34">
        <v>1</v>
      </c>
      <c r="H31" s="107">
        <f>IF(B$47=0,0,G31/B$47)</f>
        <v>1.3054830287206266E-3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168</v>
      </c>
      <c r="B32" s="122">
        <v>41</v>
      </c>
      <c r="C32" s="119">
        <f>IF(B$15=0,0,B32/B$15)</f>
        <v>4.9576783555018135E-2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">
      <c r="A33" s="37" t="s">
        <v>164</v>
      </c>
      <c r="B33" s="34">
        <v>97</v>
      </c>
      <c r="C33" s="31">
        <f t="shared" ref="C33:C44" si="2">IF(B$15=0,0,B33/B$15)</f>
        <v>0.11729141475211609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7" t="s">
        <v>165</v>
      </c>
      <c r="B34" s="123">
        <v>150</v>
      </c>
      <c r="C34" s="31">
        <f>IF(B$15=0,0,B34/B$15)</f>
        <v>0.18137847642079807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-253.59999999999997</v>
      </c>
    </row>
    <row r="35" spans="1:12" x14ac:dyDescent="0.4">
      <c r="A35" s="37" t="s">
        <v>166</v>
      </c>
      <c r="B35" s="123">
        <v>141</v>
      </c>
      <c r="C35" s="31">
        <f t="shared" si="2"/>
        <v>0.17049576783555018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37" t="s">
        <v>167</v>
      </c>
      <c r="B36" s="123">
        <v>126</v>
      </c>
      <c r="C36" s="31">
        <f t="shared" si="2"/>
        <v>0.15235792019347039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169</v>
      </c>
      <c r="B37" s="123">
        <v>92</v>
      </c>
      <c r="C37" s="31">
        <f t="shared" si="2"/>
        <v>0.11124546553808948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170</v>
      </c>
      <c r="B38" s="123">
        <v>57</v>
      </c>
      <c r="C38" s="31">
        <f t="shared" si="2"/>
        <v>6.8923821039903271E-2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171</v>
      </c>
      <c r="B39" s="123">
        <v>27</v>
      </c>
      <c r="C39" s="31">
        <f t="shared" si="2"/>
        <v>3.2648125755743655E-2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172</v>
      </c>
      <c r="B40" s="123">
        <v>13</v>
      </c>
      <c r="C40" s="31">
        <f t="shared" si="2"/>
        <v>1.5719467956469165E-2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173</v>
      </c>
      <c r="B41" s="123">
        <v>6</v>
      </c>
      <c r="C41" s="31">
        <f t="shared" si="2"/>
        <v>7.2551390568319227E-3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174</v>
      </c>
      <c r="B42" s="123">
        <v>3</v>
      </c>
      <c r="C42" s="31">
        <f t="shared" si="2"/>
        <v>3.6275695284159614E-3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175</v>
      </c>
      <c r="B43" s="123">
        <v>5</v>
      </c>
      <c r="C43" s="31">
        <f t="shared" si="2"/>
        <v>6.0459492140266021E-3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9" t="s">
        <v>176</v>
      </c>
      <c r="B44" s="124">
        <v>8</v>
      </c>
      <c r="C44" s="32">
        <f t="shared" si="2"/>
        <v>9.673518742442563E-3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64" t="s">
        <v>181</v>
      </c>
      <c r="B46" s="127">
        <v>2786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9" t="s">
        <v>182</v>
      </c>
      <c r="B47" s="125">
        <v>766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">
      <c r="K53" s="5">
        <v>51</v>
      </c>
      <c r="L53" s="73">
        <v>-269.59999999999997</v>
      </c>
    </row>
    <row r="54" spans="5:12" x14ac:dyDescent="0.4">
      <c r="K54" s="5">
        <v>52</v>
      </c>
      <c r="L54" s="73">
        <v>-308.09999999999997</v>
      </c>
    </row>
    <row r="55" spans="5:12" x14ac:dyDescent="0.4">
      <c r="K55" s="5">
        <v>53</v>
      </c>
      <c r="L55" s="73">
        <v>-336.49999999999994</v>
      </c>
    </row>
    <row r="56" spans="5:12" x14ac:dyDescent="0.4">
      <c r="K56" s="5">
        <v>54</v>
      </c>
      <c r="L56" s="73">
        <v>-378.89999999999992</v>
      </c>
    </row>
    <row r="57" spans="5:12" x14ac:dyDescent="0.4">
      <c r="K57" s="5">
        <v>55</v>
      </c>
      <c r="L57" s="73">
        <v>-364.2999999999999</v>
      </c>
    </row>
    <row r="58" spans="5:12" x14ac:dyDescent="0.4">
      <c r="K58" s="5">
        <v>56</v>
      </c>
      <c r="L58" s="73">
        <v>-316.2999999999999</v>
      </c>
    </row>
    <row r="59" spans="5:12" x14ac:dyDescent="0.4">
      <c r="K59" s="5">
        <v>57</v>
      </c>
      <c r="L59" s="73">
        <v>-312.49999999999989</v>
      </c>
    </row>
    <row r="60" spans="5:12" x14ac:dyDescent="0.4">
      <c r="K60" s="5">
        <v>58</v>
      </c>
      <c r="L60" s="73">
        <v>-254.59999999999988</v>
      </c>
    </row>
    <row r="61" spans="5:12" x14ac:dyDescent="0.4">
      <c r="K61" s="5">
        <v>59</v>
      </c>
      <c r="L61" s="73">
        <v>-205.09999999999988</v>
      </c>
    </row>
    <row r="62" spans="5:12" x14ac:dyDescent="0.4">
      <c r="K62" s="5">
        <v>60</v>
      </c>
      <c r="L62" s="73">
        <v>-214.59999999999988</v>
      </c>
    </row>
    <row r="63" spans="5:12" x14ac:dyDescent="0.4">
      <c r="K63" s="5">
        <v>61</v>
      </c>
      <c r="L63" s="73">
        <v>-211.89999999999989</v>
      </c>
    </row>
    <row r="64" spans="5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-1342.2999999999997</v>
      </c>
    </row>
    <row r="343" spans="11:12" x14ac:dyDescent="0.4">
      <c r="K343" s="5">
        <v>341</v>
      </c>
      <c r="L343" s="73">
        <v>-1329.8999999999999</v>
      </c>
    </row>
    <row r="344" spans="11:12" x14ac:dyDescent="0.4">
      <c r="K344" s="5">
        <v>342</v>
      </c>
      <c r="L344" s="73">
        <v>-1338.6999999999998</v>
      </c>
    </row>
    <row r="345" spans="11:12" x14ac:dyDescent="0.4">
      <c r="K345" s="5">
        <v>343</v>
      </c>
      <c r="L345" s="73">
        <v>-1323.1</v>
      </c>
    </row>
    <row r="346" spans="11:12" x14ac:dyDescent="0.4">
      <c r="K346" s="5">
        <v>344</v>
      </c>
      <c r="L346" s="73">
        <v>-1304.6999999999998</v>
      </c>
    </row>
    <row r="347" spans="11:12" x14ac:dyDescent="0.4">
      <c r="K347" s="5">
        <v>345</v>
      </c>
      <c r="L347" s="73">
        <v>-1346.1</v>
      </c>
    </row>
    <row r="348" spans="11:12" x14ac:dyDescent="0.4">
      <c r="K348" s="5">
        <v>346</v>
      </c>
      <c r="L348" s="73">
        <v>-1342.1</v>
      </c>
    </row>
    <row r="349" spans="11:12" x14ac:dyDescent="0.4">
      <c r="K349" s="5">
        <v>347</v>
      </c>
      <c r="L349" s="73">
        <v>-1346.6</v>
      </c>
    </row>
    <row r="350" spans="11:12" x14ac:dyDescent="0.4">
      <c r="K350" s="5">
        <v>348</v>
      </c>
      <c r="L350" s="73">
        <v>-1377.1</v>
      </c>
    </row>
    <row r="351" spans="11:12" x14ac:dyDescent="0.4">
      <c r="K351" s="5">
        <v>349</v>
      </c>
      <c r="L351" s="73">
        <v>-1408.3999999999999</v>
      </c>
    </row>
    <row r="352" spans="11:12" x14ac:dyDescent="0.4">
      <c r="K352" s="5">
        <v>350</v>
      </c>
      <c r="L352" s="73">
        <v>-1430.7999999999997</v>
      </c>
    </row>
    <row r="353" spans="11:12" x14ac:dyDescent="0.4">
      <c r="K353" s="5">
        <v>351</v>
      </c>
      <c r="L353" s="73">
        <v>-1429.4999999999998</v>
      </c>
    </row>
    <row r="354" spans="11:12" x14ac:dyDescent="0.4">
      <c r="K354" s="5">
        <v>352</v>
      </c>
      <c r="L354" s="73">
        <v>-1423.8999999999996</v>
      </c>
    </row>
    <row r="355" spans="11:12" x14ac:dyDescent="0.4">
      <c r="K355" s="5">
        <v>353</v>
      </c>
      <c r="L355" s="73">
        <v>-1435.0999999999997</v>
      </c>
    </row>
    <row r="356" spans="11:12" x14ac:dyDescent="0.4">
      <c r="K356" s="5">
        <v>354</v>
      </c>
      <c r="L356" s="73">
        <v>-1481.7999999999997</v>
      </c>
    </row>
    <row r="357" spans="11:12" x14ac:dyDescent="0.4">
      <c r="K357" s="5">
        <v>355</v>
      </c>
      <c r="L357" s="73">
        <v>-1478.6999999999998</v>
      </c>
    </row>
    <row r="358" spans="11:12" x14ac:dyDescent="0.4">
      <c r="K358" s="5">
        <v>356</v>
      </c>
      <c r="L358" s="73">
        <v>-1492.4999999999998</v>
      </c>
    </row>
    <row r="359" spans="11:12" x14ac:dyDescent="0.4">
      <c r="K359" s="5">
        <v>357</v>
      </c>
      <c r="L359" s="73">
        <v>-1481.5999999999997</v>
      </c>
    </row>
    <row r="360" spans="11:12" x14ac:dyDescent="0.4">
      <c r="K360" s="5">
        <v>358</v>
      </c>
      <c r="L360" s="73">
        <v>-1464.4999999999998</v>
      </c>
    </row>
    <row r="361" spans="11:12" x14ac:dyDescent="0.4">
      <c r="K361" s="5">
        <v>359</v>
      </c>
      <c r="L361" s="73">
        <v>-1518.9999999999998</v>
      </c>
    </row>
    <row r="362" spans="11:12" x14ac:dyDescent="0.4">
      <c r="K362" s="5">
        <v>360</v>
      </c>
      <c r="L362" s="73">
        <v>-1475.7999999999997</v>
      </c>
    </row>
    <row r="363" spans="11:12" x14ac:dyDescent="0.4">
      <c r="K363" s="5">
        <v>361</v>
      </c>
      <c r="L363" s="73">
        <v>-1471.0999999999997</v>
      </c>
    </row>
    <row r="364" spans="11:12" x14ac:dyDescent="0.4">
      <c r="K364" s="5">
        <v>362</v>
      </c>
      <c r="L364" s="73">
        <v>-1454.1999999999998</v>
      </c>
    </row>
    <row r="365" spans="11:12" x14ac:dyDescent="0.4">
      <c r="K365" s="5">
        <v>363</v>
      </c>
      <c r="L365" s="73">
        <v>-1451.1999999999998</v>
      </c>
    </row>
    <row r="366" spans="11:12" x14ac:dyDescent="0.4">
      <c r="K366" s="5">
        <v>364</v>
      </c>
      <c r="L366" s="73">
        <v>-1476.9999999999998</v>
      </c>
    </row>
    <row r="367" spans="11:12" x14ac:dyDescent="0.4">
      <c r="K367" s="5">
        <v>365</v>
      </c>
      <c r="L367" s="73">
        <v>-1526.4999999999998</v>
      </c>
    </row>
    <row r="368" spans="11:12" x14ac:dyDescent="0.4">
      <c r="K368" s="5">
        <v>366</v>
      </c>
      <c r="L368" s="73">
        <v>-1531.2999999999997</v>
      </c>
    </row>
    <row r="369" spans="11:12" x14ac:dyDescent="0.4">
      <c r="K369" s="5">
        <v>367</v>
      </c>
      <c r="L369" s="73">
        <v>-1579.4999999999998</v>
      </c>
    </row>
    <row r="370" spans="11:12" x14ac:dyDescent="0.4">
      <c r="K370" s="5">
        <v>368</v>
      </c>
      <c r="L370" s="73">
        <v>-1534.9999999999998</v>
      </c>
    </row>
    <row r="371" spans="11:12" x14ac:dyDescent="0.4">
      <c r="K371" s="5">
        <v>369</v>
      </c>
      <c r="L371" s="73">
        <v>-1498.7999999999997</v>
      </c>
    </row>
    <row r="372" spans="11:12" x14ac:dyDescent="0.4">
      <c r="K372" s="5">
        <v>370</v>
      </c>
      <c r="L372" s="73">
        <v>-1543.6</v>
      </c>
    </row>
    <row r="373" spans="11:12" x14ac:dyDescent="0.4">
      <c r="K373" s="5">
        <v>371</v>
      </c>
      <c r="L373" s="73">
        <v>-1519.6</v>
      </c>
    </row>
    <row r="374" spans="11:12" x14ac:dyDescent="0.4">
      <c r="K374" s="5">
        <v>372</v>
      </c>
      <c r="L374" s="73">
        <v>-1555.2999999999997</v>
      </c>
    </row>
    <row r="375" spans="11:12" x14ac:dyDescent="0.4">
      <c r="K375" s="5">
        <v>373</v>
      </c>
      <c r="L375" s="73">
        <v>-1554.9999999999998</v>
      </c>
    </row>
    <row r="376" spans="11:12" x14ac:dyDescent="0.4">
      <c r="K376" s="5">
        <v>374</v>
      </c>
      <c r="L376" s="73">
        <v>-1564.6</v>
      </c>
    </row>
    <row r="377" spans="11:12" x14ac:dyDescent="0.4">
      <c r="K377" s="5">
        <v>375</v>
      </c>
      <c r="L377" s="73">
        <v>-1535.6999999999998</v>
      </c>
    </row>
    <row r="378" spans="11:12" x14ac:dyDescent="0.4">
      <c r="K378" s="5">
        <v>376</v>
      </c>
      <c r="L378" s="73">
        <v>-1562.4999999999998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0B679-4FA7-4A3F-B179-3292079B5405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37">
        <v>670</v>
      </c>
      <c r="C3" s="138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4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39">
        <v>-3.4999999999999893</v>
      </c>
      <c r="C4" s="140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14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41">
        <f>IF(B$2=0,0,B$4/B$2)</f>
        <v>-3.8461538461538346E-2</v>
      </c>
      <c r="C5" s="142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13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33">
        <f>IF(B$2=0,0,(B$7*1+B$8*2+B$9*3)/B$2)</f>
        <v>1.9890109890109891</v>
      </c>
      <c r="C6" s="134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13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12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2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15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3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4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10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2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3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12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6</v>
      </c>
      <c r="K28" s="5">
        <v>26</v>
      </c>
      <c r="L28" s="73">
        <v>143.79999999999998</v>
      </c>
    </row>
    <row r="29" spans="1:17" x14ac:dyDescent="0.4">
      <c r="A29" s="40" t="s">
        <v>177</v>
      </c>
      <c r="B29" s="129">
        <v>118000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164.79999999999998</v>
      </c>
    </row>
    <row r="30" spans="1:17" x14ac:dyDescent="0.4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177.7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">
      <c r="A32" s="64" t="s">
        <v>168</v>
      </c>
      <c r="B32" s="122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201.5</v>
      </c>
    </row>
    <row r="33" spans="1:12" x14ac:dyDescent="0.4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8</v>
      </c>
      <c r="K33" s="5">
        <v>31</v>
      </c>
      <c r="L33" s="73">
        <v>189.9</v>
      </c>
    </row>
    <row r="34" spans="1:12" x14ac:dyDescent="0.4">
      <c r="A34" s="37" t="s">
        <v>165</v>
      </c>
      <c r="B34" s="123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">
      <c r="A35" s="37" t="s">
        <v>166</v>
      </c>
      <c r="B35" s="123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">
      <c r="A36" s="37" t="s">
        <v>167</v>
      </c>
      <c r="B36" s="123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169</v>
      </c>
      <c r="B37" s="123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170</v>
      </c>
      <c r="B38" s="123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171</v>
      </c>
      <c r="B39" s="123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172</v>
      </c>
      <c r="B40" s="123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173</v>
      </c>
      <c r="B41" s="123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9" t="s">
        <v>176</v>
      </c>
      <c r="B44" s="124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9" t="s">
        <v>182</v>
      </c>
      <c r="B47" s="125">
        <v>133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213.90000000000003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">
      <c r="K53" s="5">
        <v>51</v>
      </c>
      <c r="L53" s="73">
        <v>292.60000000000002</v>
      </c>
    </row>
    <row r="54" spans="5:12" x14ac:dyDescent="0.4">
      <c r="K54" s="5">
        <v>52</v>
      </c>
      <c r="L54" s="73">
        <v>319.10000000000002</v>
      </c>
    </row>
    <row r="55" spans="5:12" x14ac:dyDescent="0.4">
      <c r="K55" s="5">
        <v>53</v>
      </c>
      <c r="L55" s="73">
        <v>268.60000000000002</v>
      </c>
    </row>
    <row r="56" spans="5:12" x14ac:dyDescent="0.4">
      <c r="K56" s="5">
        <v>54</v>
      </c>
      <c r="L56" s="73">
        <v>253.50000000000003</v>
      </c>
    </row>
    <row r="57" spans="5:12" x14ac:dyDescent="0.4">
      <c r="K57" s="5">
        <v>55</v>
      </c>
      <c r="L57" s="73">
        <v>269.40000000000003</v>
      </c>
    </row>
    <row r="58" spans="5:12" x14ac:dyDescent="0.4">
      <c r="K58" s="5">
        <v>56</v>
      </c>
      <c r="L58" s="73">
        <v>273.8</v>
      </c>
    </row>
    <row r="59" spans="5:12" x14ac:dyDescent="0.4">
      <c r="K59" s="5">
        <v>57</v>
      </c>
      <c r="L59" s="73">
        <v>260.3</v>
      </c>
    </row>
    <row r="60" spans="5:12" x14ac:dyDescent="0.4">
      <c r="K60" s="5">
        <v>58</v>
      </c>
      <c r="L60" s="73">
        <v>293.3</v>
      </c>
    </row>
    <row r="61" spans="5:12" x14ac:dyDescent="0.4">
      <c r="K61" s="5">
        <v>59</v>
      </c>
      <c r="L61" s="73">
        <v>283.3</v>
      </c>
    </row>
    <row r="62" spans="5:12" x14ac:dyDescent="0.4">
      <c r="K62" s="5">
        <v>60</v>
      </c>
      <c r="L62" s="73">
        <v>272.60000000000002</v>
      </c>
    </row>
    <row r="63" spans="5:12" x14ac:dyDescent="0.4">
      <c r="K63" s="5">
        <v>61</v>
      </c>
      <c r="L63" s="73">
        <v>259.20000000000005</v>
      </c>
    </row>
    <row r="64" spans="5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5BD-995F-49BF-AD42-C040F2B2743C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37">
        <v>37</v>
      </c>
      <c r="C3" s="138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39">
        <v>-86.4</v>
      </c>
      <c r="C4" s="140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41">
        <f>IF(B$2=0,0,B$4/B$2)</f>
        <v>-17.28</v>
      </c>
      <c r="C5" s="142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5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33">
        <f>IF(B$2=0,0,(B$7*1+B$8*2+B$9*3)/B$2)</f>
        <v>2.2000000000000002</v>
      </c>
      <c r="C6" s="134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13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3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14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15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14</v>
      </c>
    </row>
    <row r="21" spans="1:17" x14ac:dyDescent="0.4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6</v>
      </c>
    </row>
    <row r="24" spans="1:17" x14ac:dyDescent="0.4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17" x14ac:dyDescent="0.4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29">
        <v>57800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3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3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3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9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6991-35A8-4D7B-A81B-11AF9BD5D343}">
  <sheetPr codeName="Sheet10"/>
  <dimension ref="A1:Q24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246</v>
      </c>
      <c r="C2" s="128"/>
      <c r="E2" s="43" t="s">
        <v>66</v>
      </c>
      <c r="F2" s="25" t="s">
        <v>22</v>
      </c>
      <c r="G2" s="13">
        <v>379</v>
      </c>
      <c r="H2" s="106">
        <f>IF(B$47=0,0,G2/B$47)</f>
        <v>0.67557932263814613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-17.073170731707318</v>
      </c>
      <c r="P2" s="92">
        <v>246</v>
      </c>
      <c r="Q2" s="76">
        <v>-4200</v>
      </c>
    </row>
    <row r="3" spans="1:17" x14ac:dyDescent="0.4">
      <c r="A3" s="37" t="s">
        <v>8</v>
      </c>
      <c r="B3" s="137">
        <v>2048</v>
      </c>
      <c r="C3" s="138"/>
      <c r="E3" s="44" t="s">
        <v>72</v>
      </c>
      <c r="F3" s="41" t="s">
        <v>27</v>
      </c>
      <c r="G3" s="34">
        <v>318</v>
      </c>
      <c r="H3" s="107">
        <f>IF(B$47=0,0,G3/B$47)</f>
        <v>0.5668449197860963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-1648.3333333333333</v>
      </c>
      <c r="P3" s="93">
        <v>240</v>
      </c>
      <c r="Q3" s="77">
        <v>-395600</v>
      </c>
    </row>
    <row r="4" spans="1:17" x14ac:dyDescent="0.4">
      <c r="A4" s="37" t="s">
        <v>6</v>
      </c>
      <c r="B4" s="139">
        <v>-1172</v>
      </c>
      <c r="C4" s="140"/>
      <c r="E4" s="44" t="s">
        <v>64</v>
      </c>
      <c r="F4" s="41" t="s">
        <v>20</v>
      </c>
      <c r="G4" s="34">
        <v>203</v>
      </c>
      <c r="H4" s="107">
        <f>IF(B$47=0,0,G4/B$47)</f>
        <v>0.36185383244206776</v>
      </c>
      <c r="I4" s="68">
        <v>17</v>
      </c>
      <c r="K4" s="5">
        <v>2</v>
      </c>
      <c r="L4" s="73">
        <v>58.5</v>
      </c>
      <c r="N4" s="89" t="s">
        <v>128</v>
      </c>
      <c r="O4" s="96">
        <f t="shared" si="0"/>
        <v>-1230.909090909091</v>
      </c>
      <c r="P4" s="93">
        <v>220</v>
      </c>
      <c r="Q4" s="77">
        <v>-270800</v>
      </c>
    </row>
    <row r="5" spans="1:17" x14ac:dyDescent="0.4">
      <c r="A5" s="37" t="s">
        <v>7</v>
      </c>
      <c r="B5" s="141">
        <f>IF(B$2=0,0,B$4/B$2)</f>
        <v>-4.7642276422764231</v>
      </c>
      <c r="C5" s="142"/>
      <c r="E5" s="44" t="s">
        <v>157</v>
      </c>
      <c r="F5" s="41" t="s">
        <v>158</v>
      </c>
      <c r="G5" s="34">
        <v>177</v>
      </c>
      <c r="H5" s="107">
        <f>IF(B$47=0,0,G5/B$47)</f>
        <v>0.31550802139037432</v>
      </c>
      <c r="I5" s="68">
        <v>6</v>
      </c>
      <c r="K5" s="5">
        <v>3</v>
      </c>
      <c r="L5" s="73">
        <v>82.1</v>
      </c>
      <c r="N5" s="89" t="s">
        <v>129</v>
      </c>
      <c r="O5" s="96">
        <f t="shared" si="0"/>
        <v>-110.90047393364929</v>
      </c>
      <c r="P5" s="93">
        <v>211</v>
      </c>
      <c r="Q5" s="77">
        <v>-23400</v>
      </c>
    </row>
    <row r="6" spans="1:17" x14ac:dyDescent="0.4">
      <c r="A6" s="37" t="s">
        <v>1</v>
      </c>
      <c r="B6" s="133">
        <f>IF(B$2=0,0,(B$7*1+B$8*2+B$9*3)/B$2)</f>
        <v>2.1300813008130079</v>
      </c>
      <c r="C6" s="134"/>
      <c r="E6" s="44" t="s">
        <v>68</v>
      </c>
      <c r="F6" s="41" t="s">
        <v>12</v>
      </c>
      <c r="G6" s="34">
        <v>150</v>
      </c>
      <c r="H6" s="107">
        <f>IF(B$47=0,0,G6/B$47)</f>
        <v>0.26737967914438504</v>
      </c>
      <c r="I6" s="68">
        <v>14</v>
      </c>
      <c r="K6" s="5">
        <v>4</v>
      </c>
      <c r="L6" s="73">
        <v>57.699999999999996</v>
      </c>
      <c r="N6" s="89" t="s">
        <v>130</v>
      </c>
      <c r="O6" s="96">
        <f t="shared" si="0"/>
        <v>-537.3056994818653</v>
      </c>
      <c r="P6" s="93">
        <v>193</v>
      </c>
      <c r="Q6" s="77">
        <v>-103700</v>
      </c>
    </row>
    <row r="7" spans="1:17" x14ac:dyDescent="0.4">
      <c r="A7" s="37" t="s">
        <v>2</v>
      </c>
      <c r="B7" s="34">
        <v>63</v>
      </c>
      <c r="C7" s="31">
        <f t="shared" ref="C7:C10" si="1">IF(B$2=0,0,B7/B$2)</f>
        <v>0.25609756097560976</v>
      </c>
      <c r="E7" s="44" t="s">
        <v>67</v>
      </c>
      <c r="F7" s="41" t="s">
        <v>23</v>
      </c>
      <c r="G7" s="34">
        <v>91</v>
      </c>
      <c r="H7" s="107">
        <f>IF(B$47=0,0,G7/B$47)</f>
        <v>0.16221033868092691</v>
      </c>
      <c r="I7" s="68">
        <v>16</v>
      </c>
      <c r="K7" s="5">
        <v>5</v>
      </c>
      <c r="L7" s="73">
        <v>123.69999999999999</v>
      </c>
      <c r="N7" s="90" t="s">
        <v>131</v>
      </c>
      <c r="O7" s="97">
        <f t="shared" si="0"/>
        <v>-1009.2592592592592</v>
      </c>
      <c r="P7" s="94">
        <v>162</v>
      </c>
      <c r="Q7" s="78">
        <v>-163500</v>
      </c>
    </row>
    <row r="8" spans="1:17" x14ac:dyDescent="0.4">
      <c r="A8" s="37" t="s">
        <v>3</v>
      </c>
      <c r="B8" s="34">
        <v>88</v>
      </c>
      <c r="C8" s="31">
        <f t="shared" si="1"/>
        <v>0.35772357723577236</v>
      </c>
      <c r="E8" s="44" t="s">
        <v>69</v>
      </c>
      <c r="F8" s="41" t="s">
        <v>24</v>
      </c>
      <c r="G8" s="34">
        <v>89</v>
      </c>
      <c r="H8" s="107">
        <f>IF(B$47=0,0,G8/B$47)</f>
        <v>0.1586452762923351</v>
      </c>
      <c r="I8" s="68">
        <v>5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95</v>
      </c>
      <c r="C9" s="7">
        <f t="shared" si="1"/>
        <v>0.38617886178861788</v>
      </c>
      <c r="E9" s="44" t="s">
        <v>65</v>
      </c>
      <c r="F9" s="41" t="s">
        <v>21</v>
      </c>
      <c r="G9" s="34">
        <v>60</v>
      </c>
      <c r="H9" s="107">
        <f>IF(B$47=0,0,G9/B$47)</f>
        <v>0.10695187165775401</v>
      </c>
      <c r="I9" s="68">
        <v>9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24</v>
      </c>
      <c r="C10" s="32">
        <f t="shared" si="1"/>
        <v>9.7560975609756101E-2</v>
      </c>
      <c r="E10" s="44" t="s">
        <v>70</v>
      </c>
      <c r="F10" s="41" t="s">
        <v>25</v>
      </c>
      <c r="G10" s="34">
        <v>49</v>
      </c>
      <c r="H10" s="107">
        <f>IF(B$47=0,0,G10/B$47)</f>
        <v>8.7344028520499106E-2</v>
      </c>
      <c r="I10" s="68">
        <v>9</v>
      </c>
      <c r="K10" s="5">
        <v>8</v>
      </c>
      <c r="L10" s="73">
        <v>96.5</v>
      </c>
      <c r="N10" s="88" t="s">
        <v>149</v>
      </c>
      <c r="O10" s="98">
        <f>IF(P10=0,0,Q10/P10)</f>
        <v>-7.7510869565217408</v>
      </c>
      <c r="P10" s="92">
        <v>92</v>
      </c>
      <c r="Q10" s="80">
        <v>-713.10000000000014</v>
      </c>
    </row>
    <row r="11" spans="1:17" x14ac:dyDescent="0.4">
      <c r="A11" s="40" t="s">
        <v>121</v>
      </c>
      <c r="B11" s="16">
        <v>397</v>
      </c>
      <c r="C11" s="11">
        <f>IF(B$46=0,0,B11/B$46)</f>
        <v>0.21252676659528907</v>
      </c>
      <c r="E11" s="44" t="s">
        <v>89</v>
      </c>
      <c r="F11" s="41" t="s">
        <v>44</v>
      </c>
      <c r="G11" s="34">
        <v>44</v>
      </c>
      <c r="H11" s="107">
        <f>IF(B$47=0,0,G11/B$47)</f>
        <v>7.8431372549019607E-2</v>
      </c>
      <c r="I11" s="68">
        <v>15</v>
      </c>
      <c r="K11" s="5">
        <v>9</v>
      </c>
      <c r="L11" s="73">
        <v>82.8</v>
      </c>
      <c r="N11" s="89" t="s">
        <v>150</v>
      </c>
      <c r="O11" s="99">
        <f>IF(P11=0,0,Q11/P11)</f>
        <v>-1.5771428571428565</v>
      </c>
      <c r="P11" s="93">
        <v>70</v>
      </c>
      <c r="Q11" s="81">
        <v>-110.39999999999995</v>
      </c>
    </row>
    <row r="12" spans="1:17" x14ac:dyDescent="0.4">
      <c r="A12" s="37" t="s">
        <v>118</v>
      </c>
      <c r="B12" s="34">
        <v>510</v>
      </c>
      <c r="C12" s="31">
        <f>IF(B$46=0,0,B12/B$46)</f>
        <v>0.27301927194860814</v>
      </c>
      <c r="E12" s="44" t="s">
        <v>71</v>
      </c>
      <c r="F12" s="41" t="s">
        <v>26</v>
      </c>
      <c r="G12" s="34">
        <v>43</v>
      </c>
      <c r="H12" s="107">
        <f>IF(B$47=0,0,G12/B$47)</f>
        <v>7.6648841354723704E-2</v>
      </c>
      <c r="I12" s="68">
        <v>6</v>
      </c>
      <c r="K12" s="5">
        <v>10</v>
      </c>
      <c r="L12" s="73">
        <v>110.5</v>
      </c>
      <c r="N12" s="90" t="s">
        <v>151</v>
      </c>
      <c r="O12" s="100">
        <f>IF(P12=0,0,Q12/P12)</f>
        <v>-4.1488095238095237</v>
      </c>
      <c r="P12" s="94">
        <v>84</v>
      </c>
      <c r="Q12" s="82">
        <v>-348.5</v>
      </c>
    </row>
    <row r="13" spans="1:17" x14ac:dyDescent="0.4">
      <c r="A13" s="19" t="s">
        <v>123</v>
      </c>
      <c r="B13" s="13">
        <v>204</v>
      </c>
      <c r="C13" s="4">
        <f>IF(B$11=0,0,B13/B$11)</f>
        <v>0.51385390428211586</v>
      </c>
      <c r="E13" s="44" t="s">
        <v>83</v>
      </c>
      <c r="F13" s="41" t="s">
        <v>38</v>
      </c>
      <c r="G13" s="34">
        <v>35</v>
      </c>
      <c r="H13" s="107">
        <f>IF(B$47=0,0,G13/B$47)</f>
        <v>6.2388591800356503E-2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204</v>
      </c>
      <c r="C14" s="4">
        <f>IF(B$12=0,0,B14/B$12)</f>
        <v>0.4</v>
      </c>
      <c r="E14" s="44" t="s">
        <v>86</v>
      </c>
      <c r="F14" s="41" t="s">
        <v>41</v>
      </c>
      <c r="G14" s="34">
        <v>22</v>
      </c>
      <c r="H14" s="107">
        <f>IF(B$47=0,0,G14/B$47)</f>
        <v>3.9215686274509803E-2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612</v>
      </c>
      <c r="C15" s="4">
        <f>IF(B$3=0,0,B15/B$3)</f>
        <v>0.298828125</v>
      </c>
      <c r="E15" s="44" t="s">
        <v>81</v>
      </c>
      <c r="F15" s="41" t="s">
        <v>36</v>
      </c>
      <c r="G15" s="34">
        <v>17</v>
      </c>
      <c r="H15" s="107">
        <f>IF(B$47=0,0,G15/B$47)</f>
        <v>3.0303030303030304E-2</v>
      </c>
      <c r="I15" s="68">
        <v>6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">
      <c r="A16" s="37" t="s">
        <v>13</v>
      </c>
      <c r="B16" s="34">
        <v>331</v>
      </c>
      <c r="C16" s="31">
        <f>IF(B$3=0,0,B16/B$3)</f>
        <v>0.16162109375</v>
      </c>
      <c r="E16" s="44" t="s">
        <v>78</v>
      </c>
      <c r="F16" s="41" t="s">
        <v>33</v>
      </c>
      <c r="G16" s="34">
        <v>9</v>
      </c>
      <c r="H16" s="107">
        <f>IF(B$47=0,0,G16/B$47)</f>
        <v>1.6042780748663103E-2</v>
      </c>
      <c r="I16" s="68">
        <v>11</v>
      </c>
      <c r="K16" s="5">
        <v>14</v>
      </c>
      <c r="L16" s="73">
        <v>4.7999999999999936</v>
      </c>
      <c r="N16" s="89" t="s">
        <v>193</v>
      </c>
      <c r="O16" s="99">
        <f>IF(P16=0,0,Q16/P16)</f>
        <v>9.1339999999999968</v>
      </c>
      <c r="P16" s="93">
        <v>100</v>
      </c>
      <c r="Q16" s="81">
        <v>913.39999999999964</v>
      </c>
    </row>
    <row r="17" spans="1:17" x14ac:dyDescent="0.4">
      <c r="A17" s="37" t="s">
        <v>12</v>
      </c>
      <c r="B17" s="34">
        <v>257</v>
      </c>
      <c r="C17" s="31">
        <f>IF(B$15=0,0,B17/B$15)</f>
        <v>0.41993464052287582</v>
      </c>
      <c r="E17" s="44" t="s">
        <v>79</v>
      </c>
      <c r="F17" s="41" t="s">
        <v>34</v>
      </c>
      <c r="G17" s="34">
        <v>7</v>
      </c>
      <c r="H17" s="107">
        <f>IF(B$47=0,0,G17/B$47)</f>
        <v>1.2477718360071301E-2</v>
      </c>
      <c r="I17" s="68">
        <v>11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">
      <c r="A18" s="37" t="s">
        <v>11</v>
      </c>
      <c r="B18" s="34">
        <v>355</v>
      </c>
      <c r="C18" s="31">
        <f>IF(B$15=0,0,B18/B$15)</f>
        <v>0.58006535947712423</v>
      </c>
      <c r="E18" s="44" t="s">
        <v>91</v>
      </c>
      <c r="F18" s="41" t="s">
        <v>46</v>
      </c>
      <c r="G18" s="34">
        <v>7</v>
      </c>
      <c r="H18" s="107">
        <f>IF(B$47=0,0,G18/B$47)</f>
        <v>1.2477718360071301E-2</v>
      </c>
      <c r="I18" s="68">
        <v>11</v>
      </c>
      <c r="K18" s="5">
        <v>16</v>
      </c>
      <c r="L18" s="73">
        <v>-45.300000000000004</v>
      </c>
      <c r="N18" s="89" t="s">
        <v>187</v>
      </c>
      <c r="O18" s="99">
        <f>IF(P18=0,0,Q18/P18)</f>
        <v>3.252631578947367</v>
      </c>
      <c r="P18" s="93">
        <v>57</v>
      </c>
      <c r="Q18" s="81">
        <v>185.39999999999992</v>
      </c>
    </row>
    <row r="19" spans="1:17" x14ac:dyDescent="0.4">
      <c r="A19" s="37" t="s">
        <v>180</v>
      </c>
      <c r="B19" s="34">
        <v>204</v>
      </c>
      <c r="C19" s="31">
        <f>IF(B$15=0,0,B19/B$15)</f>
        <v>0.33333333333333331</v>
      </c>
      <c r="E19" s="44" t="s">
        <v>74</v>
      </c>
      <c r="F19" s="41" t="s">
        <v>29</v>
      </c>
      <c r="G19" s="34">
        <v>3</v>
      </c>
      <c r="H19" s="107">
        <f>IF(B$47=0,0,G19/B$47)</f>
        <v>5.3475935828877002E-3</v>
      </c>
      <c r="I19" s="68">
        <v>5</v>
      </c>
      <c r="K19" s="5">
        <v>17</v>
      </c>
      <c r="L19" s="73">
        <v>-45.000000000000007</v>
      </c>
      <c r="N19" s="89" t="s">
        <v>190</v>
      </c>
      <c r="O19" s="99">
        <f>IF(P19=0,0,Q19/P19)</f>
        <v>-8.8780821917808233</v>
      </c>
      <c r="P19" s="93">
        <v>73</v>
      </c>
      <c r="Q19" s="81">
        <v>-648.10000000000014</v>
      </c>
    </row>
    <row r="20" spans="1:17" x14ac:dyDescent="0.4">
      <c r="A20" s="37" t="s">
        <v>178</v>
      </c>
      <c r="B20" s="34">
        <v>204</v>
      </c>
      <c r="C20" s="31">
        <f>IF(B$15=0,0,B20/B$15)</f>
        <v>0.33333333333333331</v>
      </c>
      <c r="E20" s="44" t="s">
        <v>75</v>
      </c>
      <c r="F20" s="41" t="s">
        <v>30</v>
      </c>
      <c r="G20" s="34">
        <v>3</v>
      </c>
      <c r="H20" s="107">
        <f>IF(B$47=0,0,G20/B$47)</f>
        <v>5.3475935828877002E-3</v>
      </c>
      <c r="I20" s="68">
        <v>7</v>
      </c>
      <c r="K20" s="5">
        <v>18</v>
      </c>
      <c r="L20" s="73">
        <v>-30.300000000000008</v>
      </c>
      <c r="N20" s="89" t="s">
        <v>191</v>
      </c>
      <c r="O20" s="99">
        <f>IF(P20=0,0,Q20/P20)</f>
        <v>-11.866037735849057</v>
      </c>
      <c r="P20" s="93">
        <v>53</v>
      </c>
      <c r="Q20" s="81">
        <v>-628.9</v>
      </c>
    </row>
    <row r="21" spans="1:17" x14ac:dyDescent="0.4">
      <c r="A21" s="37" t="s">
        <v>179</v>
      </c>
      <c r="B21" s="34">
        <v>204</v>
      </c>
      <c r="C21" s="31">
        <f>IF(B$15=0,0,B21/B$15)</f>
        <v>0.33333333333333331</v>
      </c>
      <c r="E21" s="44" t="s">
        <v>77</v>
      </c>
      <c r="F21" s="41" t="s">
        <v>32</v>
      </c>
      <c r="G21" s="34">
        <v>3</v>
      </c>
      <c r="H21" s="107">
        <f>IF(B$47=0,0,G21/B$47)</f>
        <v>5.3475935828877002E-3</v>
      </c>
      <c r="I21" s="68">
        <v>7</v>
      </c>
      <c r="K21" s="5">
        <v>19</v>
      </c>
      <c r="L21" s="73">
        <v>17.699999999999992</v>
      </c>
      <c r="N21" s="89" t="s">
        <v>199</v>
      </c>
      <c r="O21" s="99">
        <f>IF(P21=0,0,Q21/P21)</f>
        <v>-16.62857142857143</v>
      </c>
      <c r="P21" s="93">
        <v>7</v>
      </c>
      <c r="Q21" s="81">
        <v>-116.40000000000002</v>
      </c>
    </row>
    <row r="22" spans="1:17" x14ac:dyDescent="0.4">
      <c r="A22" s="37" t="s">
        <v>5</v>
      </c>
      <c r="B22" s="17">
        <f>IF(B$15=0,0,C22/B$15)</f>
        <v>7464.8692810457514</v>
      </c>
      <c r="C22" s="8">
        <v>4568500</v>
      </c>
      <c r="E22" s="44" t="s">
        <v>88</v>
      </c>
      <c r="F22" s="41" t="s">
        <v>43</v>
      </c>
      <c r="G22" s="34">
        <v>2</v>
      </c>
      <c r="H22" s="107">
        <f>IF(B$47=0,0,G22/B$47)</f>
        <v>3.5650623885918001E-3</v>
      </c>
      <c r="I22" s="68">
        <v>1</v>
      </c>
      <c r="K22" s="5">
        <v>20</v>
      </c>
      <c r="L22" s="73">
        <v>-24.100000000000005</v>
      </c>
      <c r="N22" s="89" t="s">
        <v>195</v>
      </c>
      <c r="O22" s="99">
        <f>IF(P22=0,0,Q22/P22)</f>
        <v>-18.444078947368421</v>
      </c>
      <c r="P22" s="93">
        <v>152</v>
      </c>
      <c r="Q22" s="81">
        <v>-2803.5</v>
      </c>
    </row>
    <row r="23" spans="1:17" x14ac:dyDescent="0.4">
      <c r="A23" s="38" t="s">
        <v>162</v>
      </c>
      <c r="B23" s="114">
        <f>IF($B$15-B$14=0,0,C23/($B$15-B$14))</f>
        <v>8075.2450980392159</v>
      </c>
      <c r="C23" s="115">
        <v>3294700</v>
      </c>
      <c r="E23" s="44" t="s">
        <v>73</v>
      </c>
      <c r="F23" s="41" t="s">
        <v>28</v>
      </c>
      <c r="G23" s="34">
        <v>1</v>
      </c>
      <c r="H23" s="107">
        <f>IF(B$47=0,0,G23/B$47)</f>
        <v>1.7825311942959001E-3</v>
      </c>
      <c r="I23" s="68">
        <v>10</v>
      </c>
      <c r="K23" s="5">
        <v>21</v>
      </c>
      <c r="L23" s="73">
        <v>-29.600000000000005</v>
      </c>
      <c r="N23" s="89" t="s">
        <v>192</v>
      </c>
      <c r="O23" s="99">
        <f>IF(P23=0,0,Q23/P23)</f>
        <v>-26.638888888888889</v>
      </c>
      <c r="P23" s="93">
        <v>18</v>
      </c>
      <c r="Q23" s="81">
        <v>-479.5</v>
      </c>
    </row>
    <row r="24" spans="1:17" x14ac:dyDescent="0.4">
      <c r="A24" s="38" t="s">
        <v>163</v>
      </c>
      <c r="B24" s="114">
        <f>IF(B$14=0,0,C24/B$14)</f>
        <v>6244.1176470588234</v>
      </c>
      <c r="C24" s="115">
        <v>1273800</v>
      </c>
      <c r="E24" s="44" t="s">
        <v>87</v>
      </c>
      <c r="F24" s="41" t="s">
        <v>42</v>
      </c>
      <c r="G24" s="34">
        <v>1</v>
      </c>
      <c r="H24" s="107">
        <f>IF(B$47=0,0,G24/B$47)</f>
        <v>1.7825311942959001E-3</v>
      </c>
      <c r="I24" s="68">
        <v>7</v>
      </c>
      <c r="K24" s="5">
        <v>22</v>
      </c>
      <c r="L24" s="73">
        <v>-4.7000000000000064</v>
      </c>
      <c r="N24" s="89" t="s">
        <v>197</v>
      </c>
      <c r="O24" s="99">
        <f>IF(P24=0,0,Q24/P24)</f>
        <v>-27.433333333333326</v>
      </c>
      <c r="P24" s="93">
        <v>6</v>
      </c>
      <c r="Q24" s="81">
        <v>-164.59999999999997</v>
      </c>
    </row>
    <row r="25" spans="1:17" x14ac:dyDescent="0.4">
      <c r="A25" s="38" t="s">
        <v>161</v>
      </c>
      <c r="B25" s="114">
        <f>IF(B$16=0,0,C25/B$16)</f>
        <v>-8596.3746223564958</v>
      </c>
      <c r="C25" s="115">
        <v>-2845400</v>
      </c>
      <c r="E25" s="44" t="s">
        <v>90</v>
      </c>
      <c r="F25" s="41" t="s">
        <v>45</v>
      </c>
      <c r="G25" s="34">
        <v>1</v>
      </c>
      <c r="H25" s="107">
        <f>IF(B$47=0,0,G25/B$47)</f>
        <v>1.7825311942959001E-3</v>
      </c>
      <c r="I25" s="68">
        <v>4</v>
      </c>
      <c r="K25" s="5">
        <v>23</v>
      </c>
      <c r="L25" s="73">
        <v>-18.600000000000009</v>
      </c>
    </row>
    <row r="26" spans="1:17" x14ac:dyDescent="0.4">
      <c r="A26" s="37" t="s">
        <v>155</v>
      </c>
      <c r="B26" s="34">
        <v>10</v>
      </c>
      <c r="C26" s="109">
        <v>0</v>
      </c>
      <c r="E26" s="44" t="s">
        <v>93</v>
      </c>
      <c r="F26" s="41" t="s">
        <v>48</v>
      </c>
      <c r="G26" s="34">
        <v>1</v>
      </c>
      <c r="H26" s="107">
        <f>IF(B$47=0,0,G26/B$47)</f>
        <v>1.7825311942959001E-3</v>
      </c>
      <c r="I26" s="68">
        <v>7</v>
      </c>
      <c r="K26" s="5">
        <v>24</v>
      </c>
      <c r="L26" s="73">
        <v>-26.900000000000009</v>
      </c>
    </row>
    <row r="27" spans="1:17" x14ac:dyDescent="0.4">
      <c r="A27" s="37" t="s">
        <v>156</v>
      </c>
      <c r="B27" s="34">
        <v>32</v>
      </c>
      <c r="C27" s="109">
        <v>0</v>
      </c>
      <c r="E27" s="44" t="s">
        <v>76</v>
      </c>
      <c r="F27" s="41" t="s">
        <v>31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-37.900000000000006</v>
      </c>
    </row>
    <row r="28" spans="1:17" x14ac:dyDescent="0.4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-59.800000000000004</v>
      </c>
    </row>
    <row r="29" spans="1:17" x14ac:dyDescent="0.4">
      <c r="A29" s="40" t="s">
        <v>177</v>
      </c>
      <c r="B29" s="129">
        <v>103200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-53.7</v>
      </c>
    </row>
    <row r="30" spans="1:17" x14ac:dyDescent="0.4">
      <c r="A30" s="39" t="s">
        <v>135</v>
      </c>
      <c r="B30" s="27">
        <v>5</v>
      </c>
      <c r="C30" s="32">
        <f>IF(B$3=0,0,B30/B$3)</f>
        <v>2.44140625E-3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6</v>
      </c>
      <c r="K30" s="5">
        <v>28</v>
      </c>
      <c r="L30" s="73">
        <v>-53.1</v>
      </c>
    </row>
    <row r="31" spans="1:17" x14ac:dyDescent="0.4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-12.899999999999999</v>
      </c>
    </row>
    <row r="32" spans="1:17" x14ac:dyDescent="0.4">
      <c r="A32" s="64" t="s">
        <v>168</v>
      </c>
      <c r="B32" s="122">
        <v>59</v>
      </c>
      <c r="C32" s="119">
        <f>IF(B$15=0,0,B32/B$15)</f>
        <v>9.6405228758169939E-2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-48.6</v>
      </c>
    </row>
    <row r="33" spans="1:12" x14ac:dyDescent="0.4">
      <c r="A33" s="37" t="s">
        <v>164</v>
      </c>
      <c r="B33" s="34">
        <v>120</v>
      </c>
      <c r="C33" s="31">
        <f t="shared" ref="C33:C44" si="2">IF(B$15=0,0,B33/B$15)</f>
        <v>0.19607843137254902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7" t="s">
        <v>165</v>
      </c>
      <c r="B34" s="123">
        <v>113</v>
      </c>
      <c r="C34" s="31">
        <f>IF(B$15=0,0,B34/B$15)</f>
        <v>0.184640522875817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">
      <c r="A35" s="37" t="s">
        <v>166</v>
      </c>
      <c r="B35" s="123">
        <v>107</v>
      </c>
      <c r="C35" s="31">
        <f t="shared" si="2"/>
        <v>0.17483660130718953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37" t="s">
        <v>167</v>
      </c>
      <c r="B36" s="123">
        <v>83</v>
      </c>
      <c r="C36" s="31">
        <f t="shared" si="2"/>
        <v>0.13562091503267973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169</v>
      </c>
      <c r="B37" s="123">
        <v>36</v>
      </c>
      <c r="C37" s="31">
        <f t="shared" si="2"/>
        <v>5.8823529411764705E-2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170</v>
      </c>
      <c r="B38" s="123">
        <v>21</v>
      </c>
      <c r="C38" s="31">
        <f t="shared" si="2"/>
        <v>3.4313725490196081E-2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171</v>
      </c>
      <c r="B39" s="123">
        <v>15</v>
      </c>
      <c r="C39" s="31">
        <f t="shared" si="2"/>
        <v>2.4509803921568627E-2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172</v>
      </c>
      <c r="B40" s="123">
        <v>4</v>
      </c>
      <c r="C40" s="31">
        <f t="shared" si="2"/>
        <v>6.5359477124183009E-3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173</v>
      </c>
      <c r="B41" s="123">
        <v>1</v>
      </c>
      <c r="C41" s="31">
        <f t="shared" si="2"/>
        <v>1.6339869281045752E-3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174</v>
      </c>
      <c r="B42" s="123">
        <v>1</v>
      </c>
      <c r="C42" s="31">
        <f t="shared" si="2"/>
        <v>1.6339869281045752E-3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9" t="s">
        <v>176</v>
      </c>
      <c r="B44" s="124">
        <v>1</v>
      </c>
      <c r="C44" s="32">
        <f t="shared" si="2"/>
        <v>1.6339869281045752E-3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64" t="s">
        <v>181</v>
      </c>
      <c r="B46" s="127">
        <v>1868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9" t="s">
        <v>182</v>
      </c>
      <c r="B47" s="125">
        <v>561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-402.29999999999995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">
      <c r="K53" s="5">
        <v>51</v>
      </c>
      <c r="L53" s="73">
        <v>-417.29999999999995</v>
      </c>
    </row>
    <row r="54" spans="5:12" x14ac:dyDescent="0.4">
      <c r="K54" s="5">
        <v>52</v>
      </c>
      <c r="L54" s="73">
        <v>-421.29999999999995</v>
      </c>
    </row>
    <row r="55" spans="5:12" x14ac:dyDescent="0.4">
      <c r="K55" s="5">
        <v>53</v>
      </c>
      <c r="L55" s="73">
        <v>-451.69999999999993</v>
      </c>
    </row>
    <row r="56" spans="5:12" x14ac:dyDescent="0.4">
      <c r="K56" s="5">
        <v>54</v>
      </c>
      <c r="L56" s="73">
        <v>-445.09999999999991</v>
      </c>
    </row>
    <row r="57" spans="5:12" x14ac:dyDescent="0.4">
      <c r="K57" s="5">
        <v>55</v>
      </c>
      <c r="L57" s="73">
        <v>-465.59999999999991</v>
      </c>
    </row>
    <row r="58" spans="5:12" x14ac:dyDescent="0.4">
      <c r="K58" s="5">
        <v>56</v>
      </c>
      <c r="L58" s="73">
        <v>-502.59999999999991</v>
      </c>
    </row>
    <row r="59" spans="5:12" x14ac:dyDescent="0.4">
      <c r="K59" s="5">
        <v>57</v>
      </c>
      <c r="L59" s="73">
        <v>-533.29999999999995</v>
      </c>
    </row>
    <row r="60" spans="5:12" x14ac:dyDescent="0.4">
      <c r="K60" s="5">
        <v>58</v>
      </c>
      <c r="L60" s="73">
        <v>-573.29999999999995</v>
      </c>
    </row>
    <row r="61" spans="5:12" x14ac:dyDescent="0.4">
      <c r="K61" s="5">
        <v>59</v>
      </c>
      <c r="L61" s="73">
        <v>-550.79999999999995</v>
      </c>
    </row>
    <row r="62" spans="5:12" x14ac:dyDescent="0.4">
      <c r="K62" s="5">
        <v>60</v>
      </c>
      <c r="L62" s="73">
        <v>-535.29999999999995</v>
      </c>
    </row>
    <row r="63" spans="5:12" x14ac:dyDescent="0.4">
      <c r="K63" s="5">
        <v>61</v>
      </c>
      <c r="L63" s="73">
        <v>-492.29999999999995</v>
      </c>
    </row>
    <row r="64" spans="5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A7F13-6334-447D-B28F-D979090E165F}">
  <sheetPr codeName="Sheet11"/>
  <dimension ref="A1:Q41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417</v>
      </c>
      <c r="C2" s="128"/>
      <c r="E2" s="43" t="s">
        <v>66</v>
      </c>
      <c r="F2" s="25" t="s">
        <v>22</v>
      </c>
      <c r="G2" s="13">
        <v>769</v>
      </c>
      <c r="H2" s="106">
        <f>IF(B$47=0,0,G2/B$47)</f>
        <v>0.80439330543933052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-853.02663438256661</v>
      </c>
      <c r="P2" s="92">
        <v>413</v>
      </c>
      <c r="Q2" s="76">
        <v>-352300</v>
      </c>
    </row>
    <row r="3" spans="1:17" x14ac:dyDescent="0.4">
      <c r="A3" s="37" t="s">
        <v>8</v>
      </c>
      <c r="B3" s="137">
        <v>3406</v>
      </c>
      <c r="C3" s="138"/>
      <c r="E3" s="44" t="s">
        <v>72</v>
      </c>
      <c r="F3" s="41" t="s">
        <v>27</v>
      </c>
      <c r="G3" s="34">
        <v>501</v>
      </c>
      <c r="H3" s="107">
        <f>IF(B$47=0,0,G3/B$47)</f>
        <v>0.52405857740585771</v>
      </c>
      <c r="I3" s="68">
        <v>13</v>
      </c>
      <c r="K3" s="5">
        <v>1</v>
      </c>
      <c r="L3" s="73">
        <v>-36.700000000000003</v>
      </c>
      <c r="N3" s="89" t="s">
        <v>127</v>
      </c>
      <c r="O3" s="96">
        <f t="shared" si="0"/>
        <v>-17.5</v>
      </c>
      <c r="P3" s="93">
        <v>400</v>
      </c>
      <c r="Q3" s="77">
        <v>-7000</v>
      </c>
    </row>
    <row r="4" spans="1:17" x14ac:dyDescent="0.4">
      <c r="A4" s="37" t="s">
        <v>6</v>
      </c>
      <c r="B4" s="139">
        <v>-863.20000000000061</v>
      </c>
      <c r="C4" s="140"/>
      <c r="E4" s="44" t="s">
        <v>64</v>
      </c>
      <c r="F4" s="41" t="s">
        <v>20</v>
      </c>
      <c r="G4" s="34">
        <v>433</v>
      </c>
      <c r="H4" s="107">
        <f>IF(B$47=0,0,G4/B$47)</f>
        <v>0.45292887029288703</v>
      </c>
      <c r="I4" s="68">
        <v>13</v>
      </c>
      <c r="K4" s="5">
        <v>2</v>
      </c>
      <c r="L4" s="73">
        <v>-45.300000000000004</v>
      </c>
      <c r="N4" s="89" t="s">
        <v>128</v>
      </c>
      <c r="O4" s="96">
        <f t="shared" si="0"/>
        <v>418.35106382978722</v>
      </c>
      <c r="P4" s="93">
        <v>376</v>
      </c>
      <c r="Q4" s="77">
        <v>157300</v>
      </c>
    </row>
    <row r="5" spans="1:17" x14ac:dyDescent="0.4">
      <c r="A5" s="37" t="s">
        <v>7</v>
      </c>
      <c r="B5" s="141">
        <f>IF(B$2=0,0,B$4/B$2)</f>
        <v>-2.0700239808153493</v>
      </c>
      <c r="C5" s="142"/>
      <c r="E5" s="44" t="s">
        <v>68</v>
      </c>
      <c r="F5" s="41" t="s">
        <v>12</v>
      </c>
      <c r="G5" s="34">
        <v>290</v>
      </c>
      <c r="H5" s="107">
        <f>IF(B$47=0,0,G5/B$47)</f>
        <v>0.30334728033472802</v>
      </c>
      <c r="I5" s="68">
        <v>10</v>
      </c>
      <c r="K5" s="5">
        <v>3</v>
      </c>
      <c r="L5" s="73">
        <v>-81.7</v>
      </c>
      <c r="N5" s="89" t="s">
        <v>129</v>
      </c>
      <c r="O5" s="96">
        <f t="shared" si="0"/>
        <v>-1100.2873563218391</v>
      </c>
      <c r="P5" s="93">
        <v>348</v>
      </c>
      <c r="Q5" s="77">
        <v>-382900</v>
      </c>
    </row>
    <row r="6" spans="1:17" x14ac:dyDescent="0.4">
      <c r="A6" s="37" t="s">
        <v>1</v>
      </c>
      <c r="B6" s="133">
        <f>IF(B$2=0,0,(B$7*1+B$8*2+B$9*3)/B$2)</f>
        <v>2.0071942446043165</v>
      </c>
      <c r="C6" s="134"/>
      <c r="E6" s="44" t="s">
        <v>157</v>
      </c>
      <c r="F6" s="41" t="s">
        <v>158</v>
      </c>
      <c r="G6" s="34">
        <v>279</v>
      </c>
      <c r="H6" s="107">
        <f>IF(B$47=0,0,G6/B$47)</f>
        <v>0.29184100418410042</v>
      </c>
      <c r="I6" s="68">
        <v>8</v>
      </c>
      <c r="K6" s="5">
        <v>4</v>
      </c>
      <c r="L6" s="73">
        <v>-114.30000000000001</v>
      </c>
      <c r="N6" s="89" t="s">
        <v>130</v>
      </c>
      <c r="O6" s="96">
        <f t="shared" si="0"/>
        <v>-13.418530351437699</v>
      </c>
      <c r="P6" s="93">
        <v>313</v>
      </c>
      <c r="Q6" s="77">
        <v>-4200</v>
      </c>
    </row>
    <row r="7" spans="1:17" x14ac:dyDescent="0.4">
      <c r="A7" s="37" t="s">
        <v>2</v>
      </c>
      <c r="B7" s="34">
        <v>141</v>
      </c>
      <c r="C7" s="31">
        <f t="shared" ref="C7:C10" si="1">IF(B$2=0,0,B7/B$2)</f>
        <v>0.33812949640287771</v>
      </c>
      <c r="E7" s="44" t="s">
        <v>67</v>
      </c>
      <c r="F7" s="41" t="s">
        <v>23</v>
      </c>
      <c r="G7" s="34">
        <v>250</v>
      </c>
      <c r="H7" s="107">
        <f>IF(B$47=0,0,G7/B$47)</f>
        <v>0.2615062761506276</v>
      </c>
      <c r="I7" s="68">
        <v>11</v>
      </c>
      <c r="K7" s="5">
        <v>5</v>
      </c>
      <c r="L7" s="73">
        <v>-136.30000000000001</v>
      </c>
      <c r="N7" s="90" t="s">
        <v>131</v>
      </c>
      <c r="O7" s="97">
        <f t="shared" si="0"/>
        <v>68.40148698884758</v>
      </c>
      <c r="P7" s="94">
        <v>269</v>
      </c>
      <c r="Q7" s="78">
        <v>18400</v>
      </c>
    </row>
    <row r="8" spans="1:17" x14ac:dyDescent="0.4">
      <c r="A8" s="37" t="s">
        <v>3</v>
      </c>
      <c r="B8" s="34">
        <v>132</v>
      </c>
      <c r="C8" s="31">
        <f t="shared" si="1"/>
        <v>0.31654676258992803</v>
      </c>
      <c r="E8" s="44" t="s">
        <v>69</v>
      </c>
      <c r="F8" s="41" t="s">
        <v>24</v>
      </c>
      <c r="G8" s="34">
        <v>138</v>
      </c>
      <c r="H8" s="107">
        <f>IF(B$47=0,0,G8/B$47)</f>
        <v>0.14435146443514643</v>
      </c>
      <c r="I8" s="68">
        <v>8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144</v>
      </c>
      <c r="C9" s="7">
        <f t="shared" si="1"/>
        <v>0.34532374100719426</v>
      </c>
      <c r="E9" s="44" t="s">
        <v>89</v>
      </c>
      <c r="F9" s="41" t="s">
        <v>44</v>
      </c>
      <c r="G9" s="34">
        <v>122</v>
      </c>
      <c r="H9" s="107">
        <f>IF(B$47=0,0,G9/B$47)</f>
        <v>0.12761506276150628</v>
      </c>
      <c r="I9" s="68">
        <v>9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54</v>
      </c>
      <c r="C10" s="32">
        <f t="shared" si="1"/>
        <v>0.12949640287769784</v>
      </c>
      <c r="E10" s="44" t="s">
        <v>70</v>
      </c>
      <c r="F10" s="41" t="s">
        <v>25</v>
      </c>
      <c r="G10" s="34">
        <v>107</v>
      </c>
      <c r="H10" s="107">
        <f>IF(B$47=0,0,G10/B$47)</f>
        <v>0.11192468619246862</v>
      </c>
      <c r="I10" s="68">
        <v>4</v>
      </c>
      <c r="K10" s="5">
        <v>8</v>
      </c>
      <c r="L10" s="73">
        <v>-52.300000000000018</v>
      </c>
      <c r="N10" s="88" t="s">
        <v>149</v>
      </c>
      <c r="O10" s="98">
        <f>IF(P10=0,0,Q10/P10)</f>
        <v>-2.5768656716417895</v>
      </c>
      <c r="P10" s="92">
        <v>134</v>
      </c>
      <c r="Q10" s="80">
        <v>-345.29999999999978</v>
      </c>
    </row>
    <row r="11" spans="1:17" x14ac:dyDescent="0.4">
      <c r="A11" s="40" t="s">
        <v>121</v>
      </c>
      <c r="B11" s="16">
        <v>830</v>
      </c>
      <c r="C11" s="11">
        <f>IF(B$46=0,0,B11/B$46)</f>
        <v>0.25304878048780488</v>
      </c>
      <c r="E11" s="44" t="s">
        <v>65</v>
      </c>
      <c r="F11" s="41" t="s">
        <v>21</v>
      </c>
      <c r="G11" s="34">
        <v>91</v>
      </c>
      <c r="H11" s="107">
        <f>IF(B$47=0,0,G11/B$47)</f>
        <v>9.518828451882845E-2</v>
      </c>
      <c r="I11" s="68">
        <v>12</v>
      </c>
      <c r="K11" s="5">
        <v>9</v>
      </c>
      <c r="L11" s="73">
        <v>-53.500000000000021</v>
      </c>
      <c r="N11" s="89" t="s">
        <v>150</v>
      </c>
      <c r="O11" s="99">
        <f>IF(P11=0,0,Q11/P11)</f>
        <v>-1.3177777777777784</v>
      </c>
      <c r="P11" s="93">
        <v>135</v>
      </c>
      <c r="Q11" s="81">
        <v>-177.90000000000009</v>
      </c>
    </row>
    <row r="12" spans="1:17" x14ac:dyDescent="0.4">
      <c r="A12" s="37" t="s">
        <v>118</v>
      </c>
      <c r="B12" s="34">
        <v>779</v>
      </c>
      <c r="C12" s="31">
        <f>IF(B$46=0,0,B12/B$46)</f>
        <v>0.23749999999999999</v>
      </c>
      <c r="E12" s="44" t="s">
        <v>71</v>
      </c>
      <c r="F12" s="41" t="s">
        <v>26</v>
      </c>
      <c r="G12" s="34">
        <v>86</v>
      </c>
      <c r="H12" s="107">
        <f>IF(B$47=0,0,G12/B$47)</f>
        <v>8.9958158995815898E-2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-2.5664383561643822</v>
      </c>
      <c r="P12" s="94">
        <v>146</v>
      </c>
      <c r="Q12" s="82">
        <v>-374.69999999999982</v>
      </c>
    </row>
    <row r="13" spans="1:17" x14ac:dyDescent="0.4">
      <c r="A13" s="19" t="s">
        <v>123</v>
      </c>
      <c r="B13" s="13">
        <v>443</v>
      </c>
      <c r="C13" s="4">
        <f>IF(B$11=0,0,B13/B$11)</f>
        <v>0.53373493975903619</v>
      </c>
      <c r="E13" s="44" t="s">
        <v>86</v>
      </c>
      <c r="F13" s="41" t="s">
        <v>41</v>
      </c>
      <c r="G13" s="34">
        <v>52</v>
      </c>
      <c r="H13" s="107">
        <f>IF(B$47=0,0,G13/B$47)</f>
        <v>5.4393305439330547E-2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290</v>
      </c>
      <c r="C14" s="4">
        <f>IF(B$12=0,0,B14/B$12)</f>
        <v>0.37227214377406931</v>
      </c>
      <c r="E14" s="44" t="s">
        <v>83</v>
      </c>
      <c r="F14" s="41" t="s">
        <v>38</v>
      </c>
      <c r="G14" s="34">
        <v>43</v>
      </c>
      <c r="H14" s="107">
        <f>IF(B$47=0,0,G14/B$47)</f>
        <v>4.4979079497907949E-2</v>
      </c>
      <c r="I14" s="68">
        <v>10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993</v>
      </c>
      <c r="C15" s="4">
        <f>IF(B$3=0,0,B15/B$3)</f>
        <v>0.29154433352906634</v>
      </c>
      <c r="E15" s="44" t="s">
        <v>78</v>
      </c>
      <c r="F15" s="41" t="s">
        <v>33</v>
      </c>
      <c r="G15" s="34">
        <v>35</v>
      </c>
      <c r="H15" s="107">
        <f>IF(B$47=0,0,G15/B$47)</f>
        <v>3.6610878661087864E-2</v>
      </c>
      <c r="I15" s="68">
        <v>3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13</v>
      </c>
      <c r="B16" s="34">
        <v>595</v>
      </c>
      <c r="C16" s="31">
        <f>IF(B$3=0,0,B16/B$3)</f>
        <v>0.17469172049324722</v>
      </c>
      <c r="E16" s="44" t="s">
        <v>81</v>
      </c>
      <c r="F16" s="41" t="s">
        <v>36</v>
      </c>
      <c r="G16" s="34">
        <v>29</v>
      </c>
      <c r="H16" s="107">
        <f>IF(B$47=0,0,G16/B$47)</f>
        <v>3.0334728033472803E-2</v>
      </c>
      <c r="I16" s="68">
        <v>5</v>
      </c>
      <c r="K16" s="5">
        <v>14</v>
      </c>
      <c r="L16" s="73">
        <v>-50.400000000000027</v>
      </c>
      <c r="N16" s="89" t="s">
        <v>197</v>
      </c>
      <c r="O16" s="99">
        <f>IF(P16=0,0,Q16/P16)</f>
        <v>29.772222222222222</v>
      </c>
      <c r="P16" s="93">
        <v>18</v>
      </c>
      <c r="Q16" s="81">
        <v>535.9</v>
      </c>
    </row>
    <row r="17" spans="1:17" x14ac:dyDescent="0.4">
      <c r="A17" s="37" t="s">
        <v>12</v>
      </c>
      <c r="B17" s="34">
        <v>416</v>
      </c>
      <c r="C17" s="31">
        <f>IF(B$15=0,0,B17/B$15)</f>
        <v>0.41893252769385703</v>
      </c>
      <c r="E17" s="44" t="s">
        <v>91</v>
      </c>
      <c r="F17" s="41" t="s">
        <v>46</v>
      </c>
      <c r="G17" s="34">
        <v>20</v>
      </c>
      <c r="H17" s="107">
        <f>IF(B$47=0,0,G17/B$47)</f>
        <v>2.0920502092050208E-2</v>
      </c>
      <c r="I17" s="68">
        <v>4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">
      <c r="A18" s="37" t="s">
        <v>11</v>
      </c>
      <c r="B18" s="34">
        <v>577</v>
      </c>
      <c r="C18" s="31">
        <f>IF(B$15=0,0,B18/B$15)</f>
        <v>0.58106747230614297</v>
      </c>
      <c r="E18" s="44" t="s">
        <v>79</v>
      </c>
      <c r="F18" s="41" t="s">
        <v>34</v>
      </c>
      <c r="G18" s="34">
        <v>13</v>
      </c>
      <c r="H18" s="107">
        <f>IF(B$47=0,0,G18/B$47)</f>
        <v>1.3598326359832637E-2</v>
      </c>
      <c r="I18" s="68">
        <v>10</v>
      </c>
      <c r="K18" s="5">
        <v>16</v>
      </c>
      <c r="L18" s="73">
        <v>58.89999999999997</v>
      </c>
      <c r="N18" s="89" t="s">
        <v>190</v>
      </c>
      <c r="O18" s="99">
        <f>IF(P18=0,0,Q18/P18)</f>
        <v>6.3886524822695021</v>
      </c>
      <c r="P18" s="93">
        <v>141</v>
      </c>
      <c r="Q18" s="81">
        <v>900.79999999999984</v>
      </c>
    </row>
    <row r="19" spans="1:17" x14ac:dyDescent="0.4">
      <c r="A19" s="37" t="s">
        <v>180</v>
      </c>
      <c r="B19" s="34">
        <v>443</v>
      </c>
      <c r="C19" s="31">
        <f>IF(B$15=0,0,B19/B$15)</f>
        <v>0.44612286002014101</v>
      </c>
      <c r="E19" s="44" t="s">
        <v>77</v>
      </c>
      <c r="F19" s="41" t="s">
        <v>32</v>
      </c>
      <c r="G19" s="34">
        <v>9</v>
      </c>
      <c r="H19" s="107">
        <f>IF(B$47=0,0,G19/B$47)</f>
        <v>9.4142259414225944E-3</v>
      </c>
      <c r="I19" s="68">
        <v>2</v>
      </c>
      <c r="K19" s="5">
        <v>17</v>
      </c>
      <c r="L19" s="73">
        <v>58.599999999999973</v>
      </c>
      <c r="N19" s="89" t="s">
        <v>198</v>
      </c>
      <c r="O19" s="99">
        <f>IF(P19=0,0,Q19/P19)</f>
        <v>5.75</v>
      </c>
      <c r="P19" s="93">
        <v>4</v>
      </c>
      <c r="Q19" s="81">
        <v>23</v>
      </c>
    </row>
    <row r="20" spans="1:17" x14ac:dyDescent="0.4">
      <c r="A20" s="37" t="s">
        <v>178</v>
      </c>
      <c r="B20" s="34">
        <v>290</v>
      </c>
      <c r="C20" s="31">
        <f>IF(B$15=0,0,B20/B$15)</f>
        <v>0.29204431017119836</v>
      </c>
      <c r="E20" s="44" t="s">
        <v>73</v>
      </c>
      <c r="F20" s="41" t="s">
        <v>28</v>
      </c>
      <c r="G20" s="34">
        <v>6</v>
      </c>
      <c r="H20" s="107">
        <f>IF(B$47=0,0,G20/B$47)</f>
        <v>6.2761506276150627E-3</v>
      </c>
      <c r="I20" s="68">
        <v>6</v>
      </c>
      <c r="K20" s="5">
        <v>18</v>
      </c>
      <c r="L20" s="73">
        <v>122.59999999999997</v>
      </c>
      <c r="N20" s="89" t="s">
        <v>186</v>
      </c>
      <c r="O20" s="99">
        <f>IF(P20=0,0,Q20/P20)</f>
        <v>3.5652173913043526</v>
      </c>
      <c r="P20" s="93">
        <v>23</v>
      </c>
      <c r="Q20" s="81">
        <v>82.000000000000114</v>
      </c>
    </row>
    <row r="21" spans="1:17" x14ac:dyDescent="0.4">
      <c r="A21" s="37" t="s">
        <v>179</v>
      </c>
      <c r="B21" s="34">
        <v>260</v>
      </c>
      <c r="C21" s="31">
        <f>IF(B$15=0,0,B21/B$15)</f>
        <v>0.26183282980866063</v>
      </c>
      <c r="E21" s="44" t="s">
        <v>74</v>
      </c>
      <c r="F21" s="41" t="s">
        <v>29</v>
      </c>
      <c r="G21" s="34">
        <v>6</v>
      </c>
      <c r="H21" s="107">
        <f>IF(B$47=0,0,G21/B$47)</f>
        <v>6.2761506276150627E-3</v>
      </c>
      <c r="I21" s="68">
        <v>3</v>
      </c>
      <c r="K21" s="5">
        <v>19</v>
      </c>
      <c r="L21" s="73">
        <v>125.69999999999996</v>
      </c>
      <c r="N21" s="89" t="s">
        <v>187</v>
      </c>
      <c r="O21" s="99">
        <f>IF(P21=0,0,Q21/P21)</f>
        <v>1.5705357142857159</v>
      </c>
      <c r="P21" s="93">
        <v>112</v>
      </c>
      <c r="Q21" s="81">
        <v>175.90000000000018</v>
      </c>
    </row>
    <row r="22" spans="1:17" x14ac:dyDescent="0.4">
      <c r="A22" s="37" t="s">
        <v>5</v>
      </c>
      <c r="B22" s="17">
        <f>IF(B$15=0,0,C22/B$15)</f>
        <v>8860.7250755287005</v>
      </c>
      <c r="C22" s="8">
        <v>8798700</v>
      </c>
      <c r="E22" s="44" t="s">
        <v>75</v>
      </c>
      <c r="F22" s="41" t="s">
        <v>30</v>
      </c>
      <c r="G22" s="34">
        <v>6</v>
      </c>
      <c r="H22" s="107">
        <f>IF(B$47=0,0,G22/B$47)</f>
        <v>6.2761506276150627E-3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1.4495652173913072</v>
      </c>
      <c r="P22" s="93">
        <v>115</v>
      </c>
      <c r="Q22" s="81">
        <v>166.70000000000033</v>
      </c>
    </row>
    <row r="23" spans="1:17" x14ac:dyDescent="0.4">
      <c r="A23" s="38" t="s">
        <v>162</v>
      </c>
      <c r="B23" s="114">
        <f>IF($B$15-B$14=0,0,C23/($B$15-B$14))</f>
        <v>9511.2375533428167</v>
      </c>
      <c r="C23" s="115">
        <v>6686400</v>
      </c>
      <c r="E23" s="44" t="s">
        <v>153</v>
      </c>
      <c r="F23" s="41" t="s">
        <v>154</v>
      </c>
      <c r="G23" s="34">
        <v>5</v>
      </c>
      <c r="H23" s="107">
        <f>IF(B$47=0,0,G23/B$47)</f>
        <v>5.2301255230125521E-3</v>
      </c>
      <c r="I23" s="68">
        <v>8</v>
      </c>
      <c r="K23" s="5">
        <v>21</v>
      </c>
      <c r="L23" s="73">
        <v>129.69999999999996</v>
      </c>
      <c r="N23" s="89" t="s">
        <v>196</v>
      </c>
      <c r="O23" s="99">
        <f>IF(P23=0,0,Q23/P23)</f>
        <v>-6.2</v>
      </c>
      <c r="P23" s="93">
        <v>3</v>
      </c>
      <c r="Q23" s="81">
        <v>-18.600000000000001</v>
      </c>
    </row>
    <row r="24" spans="1:17" x14ac:dyDescent="0.4">
      <c r="A24" s="38" t="s">
        <v>163</v>
      </c>
      <c r="B24" s="114">
        <f>IF(B$14=0,0,C24/B$14)</f>
        <v>7283.7931034482763</v>
      </c>
      <c r="C24" s="115">
        <v>2112300</v>
      </c>
      <c r="E24" s="44" t="s">
        <v>84</v>
      </c>
      <c r="F24" s="41" t="s">
        <v>39</v>
      </c>
      <c r="G24" s="34">
        <v>4</v>
      </c>
      <c r="H24" s="107">
        <f>IF(B$47=0,0,G24/B$47)</f>
        <v>4.1841004184100415E-3</v>
      </c>
      <c r="I24" s="68">
        <v>1</v>
      </c>
      <c r="K24" s="5">
        <v>22</v>
      </c>
      <c r="L24" s="73">
        <v>174.29999999999995</v>
      </c>
      <c r="N24" s="89" t="s">
        <v>188</v>
      </c>
      <c r="O24" s="99">
        <f>IF(P24=0,0,Q24/P24)</f>
        <v>-9.1340000000000003</v>
      </c>
      <c r="P24" s="93">
        <v>100</v>
      </c>
      <c r="Q24" s="81">
        <v>-913.4</v>
      </c>
    </row>
    <row r="25" spans="1:17" x14ac:dyDescent="0.4">
      <c r="A25" s="38" t="s">
        <v>161</v>
      </c>
      <c r="B25" s="114">
        <f>IF(B$16=0,0,C25/B$16)</f>
        <v>-8474.1176470588234</v>
      </c>
      <c r="C25" s="115">
        <v>-5042100</v>
      </c>
      <c r="E25" s="44" t="s">
        <v>92</v>
      </c>
      <c r="F25" s="41" t="s">
        <v>47</v>
      </c>
      <c r="G25" s="34">
        <v>4</v>
      </c>
      <c r="H25" s="107">
        <f>IF(B$47=0,0,G25/B$47)</f>
        <v>4.1841004184100415E-3</v>
      </c>
      <c r="I25" s="68">
        <v>5</v>
      </c>
      <c r="K25" s="5">
        <v>23</v>
      </c>
      <c r="L25" s="73">
        <v>172.89999999999995</v>
      </c>
      <c r="N25" s="89" t="s">
        <v>195</v>
      </c>
      <c r="O25" s="99">
        <f>IF(P25=0,0,Q25/P25)</f>
        <v>-13.475174825174831</v>
      </c>
      <c r="P25" s="93">
        <v>286</v>
      </c>
      <c r="Q25" s="81">
        <v>-3853.9000000000015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4.1841004184100415E-3</v>
      </c>
      <c r="I26" s="68">
        <v>3</v>
      </c>
      <c r="K26" s="5">
        <v>24</v>
      </c>
      <c r="L26" s="73">
        <v>133.19999999999993</v>
      </c>
      <c r="N26" s="89" t="s">
        <v>194</v>
      </c>
      <c r="O26" s="99">
        <f>IF(P26=0,0,Q26/P26)</f>
        <v>-18.00714285714286</v>
      </c>
      <c r="P26" s="93">
        <v>14</v>
      </c>
      <c r="Q26" s="81">
        <v>-252.10000000000002</v>
      </c>
    </row>
    <row r="27" spans="1:17" x14ac:dyDescent="0.4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3.1380753138075313E-3</v>
      </c>
      <c r="I27" s="68">
        <v>2</v>
      </c>
      <c r="K27" s="5">
        <v>25</v>
      </c>
      <c r="L27" s="73">
        <v>117.39999999999993</v>
      </c>
    </row>
    <row r="28" spans="1:17" x14ac:dyDescent="0.4">
      <c r="A28" s="64" t="s">
        <v>134</v>
      </c>
      <c r="B28" s="131">
        <v>9</v>
      </c>
      <c r="C28" s="132"/>
      <c r="E28" s="44" t="s">
        <v>85</v>
      </c>
      <c r="F28" s="41" t="s">
        <v>40</v>
      </c>
      <c r="G28" s="34">
        <v>1</v>
      </c>
      <c r="H28" s="107">
        <f>IF(B$47=0,0,G28/B$47)</f>
        <v>1.0460251046025104E-3</v>
      </c>
      <c r="I28" s="68">
        <v>7</v>
      </c>
      <c r="K28" s="5">
        <v>26</v>
      </c>
      <c r="L28" s="73">
        <v>128.69999999999993</v>
      </c>
    </row>
    <row r="29" spans="1:17" x14ac:dyDescent="0.4">
      <c r="A29" s="40" t="s">
        <v>177</v>
      </c>
      <c r="B29" s="129">
        <v>109300</v>
      </c>
      <c r="C29" s="130"/>
      <c r="E29" s="44" t="s">
        <v>88</v>
      </c>
      <c r="F29" s="41" t="s">
        <v>43</v>
      </c>
      <c r="G29" s="34">
        <v>1</v>
      </c>
      <c r="H29" s="107">
        <f>IF(B$47=0,0,G29/B$47)</f>
        <v>1.0460251046025104E-3</v>
      </c>
      <c r="I29" s="68">
        <v>6</v>
      </c>
      <c r="K29" s="5">
        <v>27</v>
      </c>
      <c r="L29" s="73">
        <v>84.699999999999932</v>
      </c>
    </row>
    <row r="30" spans="1:17" x14ac:dyDescent="0.4">
      <c r="A30" s="39" t="s">
        <v>135</v>
      </c>
      <c r="B30" s="27">
        <v>9</v>
      </c>
      <c r="C30" s="32">
        <f>IF(B$3=0,0,B30/B$3)</f>
        <v>2.6423957721667646E-3</v>
      </c>
      <c r="E30" s="44" t="s">
        <v>95</v>
      </c>
      <c r="F30" s="41" t="s">
        <v>50</v>
      </c>
      <c r="G30" s="34">
        <v>1</v>
      </c>
      <c r="H30" s="107">
        <f>IF(B$47=0,0,G30/B$47)</f>
        <v>1.0460251046025104E-3</v>
      </c>
      <c r="I30" s="68">
        <v>5</v>
      </c>
      <c r="K30" s="5">
        <v>28</v>
      </c>
      <c r="L30" s="73">
        <v>43.699999999999932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32.899999999999935</v>
      </c>
    </row>
    <row r="32" spans="1:17" x14ac:dyDescent="0.4">
      <c r="A32" s="64" t="s">
        <v>168</v>
      </c>
      <c r="B32" s="122">
        <v>52</v>
      </c>
      <c r="C32" s="119">
        <f>IF(B$15=0,0,B32/B$15)</f>
        <v>5.2366565961732128E-2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48.499999999999936</v>
      </c>
    </row>
    <row r="33" spans="1:12" x14ac:dyDescent="0.4">
      <c r="A33" s="37" t="s">
        <v>164</v>
      </c>
      <c r="B33" s="34">
        <v>151</v>
      </c>
      <c r="C33" s="31">
        <f t="shared" ref="C33:C44" si="2">IF(B$15=0,0,B33/B$15)</f>
        <v>0.15206445115810674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5.0999999999999375</v>
      </c>
    </row>
    <row r="34" spans="1:12" x14ac:dyDescent="0.4">
      <c r="A34" s="37" t="s">
        <v>165</v>
      </c>
      <c r="B34" s="123">
        <v>209</v>
      </c>
      <c r="C34" s="31">
        <f>IF(B$15=0,0,B34/B$15)</f>
        <v>0.21047331319234641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5.7999999999999376</v>
      </c>
    </row>
    <row r="35" spans="1:12" x14ac:dyDescent="0.4">
      <c r="A35" s="37" t="s">
        <v>166</v>
      </c>
      <c r="B35" s="123">
        <v>186</v>
      </c>
      <c r="C35" s="31">
        <f t="shared" si="2"/>
        <v>0.18731117824773413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37" t="s">
        <v>167</v>
      </c>
      <c r="B36" s="123">
        <v>135</v>
      </c>
      <c r="C36" s="31">
        <f t="shared" si="2"/>
        <v>0.13595166163141995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169</v>
      </c>
      <c r="B37" s="123">
        <v>91</v>
      </c>
      <c r="C37" s="31">
        <f t="shared" si="2"/>
        <v>9.1641490433031214E-2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170</v>
      </c>
      <c r="B38" s="123">
        <v>46</v>
      </c>
      <c r="C38" s="31">
        <f t="shared" si="2"/>
        <v>4.632426988922457E-2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171</v>
      </c>
      <c r="B39" s="123">
        <v>35</v>
      </c>
      <c r="C39" s="31">
        <f t="shared" si="2"/>
        <v>3.5246727089627394E-2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172</v>
      </c>
      <c r="B40" s="123">
        <v>17</v>
      </c>
      <c r="C40" s="31">
        <f t="shared" si="2"/>
        <v>1.7119838872104734E-2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173</v>
      </c>
      <c r="B41" s="123">
        <v>12</v>
      </c>
      <c r="C41" s="31">
        <f t="shared" si="2"/>
        <v>1.2084592145015106E-2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174</v>
      </c>
      <c r="B42" s="123">
        <v>8</v>
      </c>
      <c r="C42" s="31">
        <f t="shared" si="2"/>
        <v>8.0563947633434038E-3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175</v>
      </c>
      <c r="B43" s="123">
        <v>2</v>
      </c>
      <c r="C43" s="31">
        <f t="shared" si="2"/>
        <v>2.014098690835851E-3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9" t="s">
        <v>176</v>
      </c>
      <c r="B44" s="124">
        <v>12</v>
      </c>
      <c r="C44" s="32">
        <f t="shared" si="2"/>
        <v>1.2084592145015106E-2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64" t="s">
        <v>181</v>
      </c>
      <c r="B46" s="127">
        <v>3280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9" t="s">
        <v>182</v>
      </c>
      <c r="B47" s="125">
        <v>956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">
      <c r="K53" s="5">
        <v>51</v>
      </c>
      <c r="L53" s="73">
        <v>196.99999999999994</v>
      </c>
    </row>
    <row r="54" spans="5:12" x14ac:dyDescent="0.4">
      <c r="K54" s="5">
        <v>52</v>
      </c>
      <c r="L54" s="73">
        <v>196.59999999999994</v>
      </c>
    </row>
    <row r="55" spans="5:12" x14ac:dyDescent="0.4">
      <c r="K55" s="5">
        <v>53</v>
      </c>
      <c r="L55" s="73">
        <v>214.69999999999993</v>
      </c>
    </row>
    <row r="56" spans="5:12" x14ac:dyDescent="0.4">
      <c r="K56" s="5">
        <v>54</v>
      </c>
      <c r="L56" s="73">
        <v>237.49999999999994</v>
      </c>
    </row>
    <row r="57" spans="5:12" x14ac:dyDescent="0.4">
      <c r="K57" s="5">
        <v>55</v>
      </c>
      <c r="L57" s="73">
        <v>224.69999999999993</v>
      </c>
    </row>
    <row r="58" spans="5:12" x14ac:dyDescent="0.4">
      <c r="K58" s="5">
        <v>56</v>
      </c>
      <c r="L58" s="73">
        <v>260.69999999999993</v>
      </c>
    </row>
    <row r="59" spans="5:12" x14ac:dyDescent="0.4">
      <c r="K59" s="5">
        <v>57</v>
      </c>
      <c r="L59" s="73">
        <v>211.59999999999994</v>
      </c>
    </row>
    <row r="60" spans="5:12" x14ac:dyDescent="0.4">
      <c r="K60" s="5">
        <v>58</v>
      </c>
      <c r="L60" s="73">
        <v>208.99999999999994</v>
      </c>
    </row>
    <row r="61" spans="5:12" x14ac:dyDescent="0.4">
      <c r="K61" s="5">
        <v>59</v>
      </c>
      <c r="L61" s="73">
        <v>221.49999999999994</v>
      </c>
    </row>
    <row r="62" spans="5:12" x14ac:dyDescent="0.4">
      <c r="K62" s="5">
        <v>60</v>
      </c>
      <c r="L62" s="73">
        <v>233.79999999999995</v>
      </c>
    </row>
    <row r="63" spans="5:12" x14ac:dyDescent="0.4">
      <c r="K63" s="5">
        <v>61</v>
      </c>
      <c r="L63" s="73">
        <v>234.69999999999996</v>
      </c>
    </row>
    <row r="64" spans="5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A95A1-A722-4D4E-A7B7-BF085ED6A4F2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37">
        <v>316</v>
      </c>
      <c r="C3" s="138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39">
        <v>91.000000000000014</v>
      </c>
      <c r="C4" s="140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4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41">
        <f>IF(B$2=0,0,B$4/B$2)</f>
        <v>2.3333333333333335</v>
      </c>
      <c r="C5" s="142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33">
        <f>IF(B$2=0,0,(B$7*1+B$8*2+B$9*3)/B$2)</f>
        <v>2.0256410256410255</v>
      </c>
      <c r="C6" s="134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3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13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14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7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2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8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152.50000000000003</v>
      </c>
    </row>
    <row r="23" spans="1:17" x14ac:dyDescent="0.4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81.500000000000028</v>
      </c>
    </row>
    <row r="27" spans="1:17" x14ac:dyDescent="0.4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6</v>
      </c>
      <c r="K28" s="5">
        <v>26</v>
      </c>
      <c r="L28" s="73">
        <v>51.10000000000003</v>
      </c>
    </row>
    <row r="29" spans="1:17" x14ac:dyDescent="0.4">
      <c r="A29" s="40" t="s">
        <v>177</v>
      </c>
      <c r="B29" s="129">
        <v>109300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64.700000000000031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49.60000000000003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">
      <c r="A32" s="64" t="s">
        <v>168</v>
      </c>
      <c r="B32" s="122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-30.799999999999976</v>
      </c>
    </row>
    <row r="33" spans="1:12" x14ac:dyDescent="0.4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7" t="s">
        <v>165</v>
      </c>
      <c r="B34" s="123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A35" s="37" t="s">
        <v>166</v>
      </c>
      <c r="B35" s="123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">
      <c r="A36" s="37" t="s">
        <v>167</v>
      </c>
      <c r="B36" s="123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169</v>
      </c>
      <c r="B37" s="123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170</v>
      </c>
      <c r="B38" s="123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171</v>
      </c>
      <c r="B39" s="123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172</v>
      </c>
      <c r="B40" s="123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173</v>
      </c>
      <c r="B41" s="123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174</v>
      </c>
      <c r="B42" s="123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">
      <c r="A44" s="39" t="s">
        <v>176</v>
      </c>
      <c r="B44" s="124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">
      <c r="A47" s="39" t="s">
        <v>182</v>
      </c>
      <c r="B47" s="125">
        <v>61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77ED-48B8-4936-9903-E6C3E7ED91FE}">
  <sheetPr codeName="Sheet13"/>
  <dimension ref="A1:Q31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317</v>
      </c>
      <c r="C2" s="128"/>
      <c r="E2" s="43" t="s">
        <v>66</v>
      </c>
      <c r="F2" s="25" t="s">
        <v>22</v>
      </c>
      <c r="G2" s="13">
        <v>565</v>
      </c>
      <c r="H2" s="106">
        <f>IF(B$47=0,0,G2/B$47)</f>
        <v>0.78800557880055788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142.81150159744408</v>
      </c>
      <c r="P2" s="92">
        <v>313</v>
      </c>
      <c r="Q2" s="76">
        <v>44700</v>
      </c>
    </row>
    <row r="3" spans="1:17" x14ac:dyDescent="0.4">
      <c r="A3" s="37" t="s">
        <v>8</v>
      </c>
      <c r="B3" s="137">
        <v>2542</v>
      </c>
      <c r="C3" s="138"/>
      <c r="E3" s="44" t="s">
        <v>72</v>
      </c>
      <c r="F3" s="41" t="s">
        <v>27</v>
      </c>
      <c r="G3" s="34">
        <v>409</v>
      </c>
      <c r="H3" s="107">
        <f>IF(B$47=0,0,G3/B$47)</f>
        <v>0.57043235704323569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-263.07189542483661</v>
      </c>
      <c r="P3" s="93">
        <v>306</v>
      </c>
      <c r="Q3" s="77">
        <v>-80500</v>
      </c>
    </row>
    <row r="4" spans="1:17" x14ac:dyDescent="0.4">
      <c r="A4" s="37" t="s">
        <v>6</v>
      </c>
      <c r="B4" s="139">
        <v>0.700000000000216</v>
      </c>
      <c r="C4" s="140"/>
      <c r="E4" s="44" t="s">
        <v>64</v>
      </c>
      <c r="F4" s="41" t="s">
        <v>20</v>
      </c>
      <c r="G4" s="34">
        <v>399</v>
      </c>
      <c r="H4" s="107">
        <f>IF(B$47=0,0,G4/B$47)</f>
        <v>0.55648535564853552</v>
      </c>
      <c r="I4" s="68">
        <v>5</v>
      </c>
      <c r="K4" s="5">
        <v>2</v>
      </c>
      <c r="L4" s="73">
        <v>-33.9</v>
      </c>
      <c r="N4" s="89" t="s">
        <v>128</v>
      </c>
      <c r="O4" s="96">
        <f t="shared" si="0"/>
        <v>540.35087719298247</v>
      </c>
      <c r="P4" s="93">
        <v>285</v>
      </c>
      <c r="Q4" s="77">
        <v>154000</v>
      </c>
    </row>
    <row r="5" spans="1:17" x14ac:dyDescent="0.4">
      <c r="A5" s="37" t="s">
        <v>7</v>
      </c>
      <c r="B5" s="141">
        <f>IF(B$2=0,0,B$4/B$2)</f>
        <v>2.2082018927451607E-3</v>
      </c>
      <c r="C5" s="142"/>
      <c r="E5" s="44" t="s">
        <v>67</v>
      </c>
      <c r="F5" s="41" t="s">
        <v>23</v>
      </c>
      <c r="G5" s="34">
        <v>262</v>
      </c>
      <c r="H5" s="107">
        <f>IF(B$47=0,0,G5/B$47)</f>
        <v>0.36541143654114366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787.98449612403101</v>
      </c>
      <c r="P5" s="93">
        <v>258</v>
      </c>
      <c r="Q5" s="77">
        <v>203300</v>
      </c>
    </row>
    <row r="6" spans="1:17" x14ac:dyDescent="0.4">
      <c r="A6" s="37" t="s">
        <v>1</v>
      </c>
      <c r="B6" s="133">
        <f>IF(B$2=0,0,(B$7*1+B$8*2+B$9*3)/B$2)</f>
        <v>2.053627760252366</v>
      </c>
      <c r="C6" s="134"/>
      <c r="E6" s="44" t="s">
        <v>68</v>
      </c>
      <c r="F6" s="41" t="s">
        <v>12</v>
      </c>
      <c r="G6" s="34">
        <v>229</v>
      </c>
      <c r="H6" s="107">
        <f>IF(B$47=0,0,G6/B$47)</f>
        <v>0.31938633193863319</v>
      </c>
      <c r="I6" s="68">
        <v>8</v>
      </c>
      <c r="K6" s="5">
        <v>4</v>
      </c>
      <c r="L6" s="73">
        <v>-35.099999999999994</v>
      </c>
      <c r="N6" s="89" t="s">
        <v>130</v>
      </c>
      <c r="O6" s="96">
        <f t="shared" si="0"/>
        <v>-1581.7021276595744</v>
      </c>
      <c r="P6" s="93">
        <v>235</v>
      </c>
      <c r="Q6" s="77">
        <v>-371700</v>
      </c>
    </row>
    <row r="7" spans="1:17" x14ac:dyDescent="0.4">
      <c r="A7" s="37" t="s">
        <v>2</v>
      </c>
      <c r="B7" s="34">
        <v>97</v>
      </c>
      <c r="C7" s="31">
        <f t="shared" ref="C7:C10" si="1">IF(B$2=0,0,B7/B$2)</f>
        <v>0.305993690851735</v>
      </c>
      <c r="E7" s="44" t="s">
        <v>157</v>
      </c>
      <c r="F7" s="41" t="s">
        <v>158</v>
      </c>
      <c r="G7" s="34">
        <v>174</v>
      </c>
      <c r="H7" s="107">
        <f>IF(B$47=0,0,G7/B$47)</f>
        <v>0.24267782426778242</v>
      </c>
      <c r="I7" s="68">
        <v>11</v>
      </c>
      <c r="K7" s="5">
        <v>5</v>
      </c>
      <c r="L7" s="73">
        <v>-80.099999999999994</v>
      </c>
      <c r="N7" s="90" t="s">
        <v>131</v>
      </c>
      <c r="O7" s="97">
        <f t="shared" si="0"/>
        <v>214.21319796954316</v>
      </c>
      <c r="P7" s="94">
        <v>197</v>
      </c>
      <c r="Q7" s="78">
        <v>42200</v>
      </c>
    </row>
    <row r="8" spans="1:17" x14ac:dyDescent="0.4">
      <c r="A8" s="37" t="s">
        <v>3</v>
      </c>
      <c r="B8" s="34">
        <v>106</v>
      </c>
      <c r="C8" s="31">
        <f t="shared" si="1"/>
        <v>0.33438485804416401</v>
      </c>
      <c r="E8" s="44" t="s">
        <v>69</v>
      </c>
      <c r="F8" s="41" t="s">
        <v>24</v>
      </c>
      <c r="G8" s="34">
        <v>127</v>
      </c>
      <c r="H8" s="107">
        <f>IF(B$47=0,0,G8/B$47)</f>
        <v>0.17712691771269176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114</v>
      </c>
      <c r="C9" s="7">
        <f t="shared" si="1"/>
        <v>0.35962145110410093</v>
      </c>
      <c r="E9" s="44" t="s">
        <v>89</v>
      </c>
      <c r="F9" s="41" t="s">
        <v>44</v>
      </c>
      <c r="G9" s="34">
        <v>119</v>
      </c>
      <c r="H9" s="107">
        <f>IF(B$47=0,0,G9/B$47)</f>
        <v>0.16596931659693165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42</v>
      </c>
      <c r="C10" s="32">
        <f t="shared" si="1"/>
        <v>0.13249211356466878</v>
      </c>
      <c r="E10" s="44" t="s">
        <v>65</v>
      </c>
      <c r="F10" s="41" t="s">
        <v>21</v>
      </c>
      <c r="G10" s="34">
        <v>86</v>
      </c>
      <c r="H10" s="107">
        <f>IF(B$47=0,0,G10/B$47)</f>
        <v>0.11994421199442119</v>
      </c>
      <c r="I10" s="68">
        <v>6</v>
      </c>
      <c r="K10" s="5">
        <v>8</v>
      </c>
      <c r="L10" s="73">
        <v>-146</v>
      </c>
      <c r="N10" s="88" t="s">
        <v>149</v>
      </c>
      <c r="O10" s="98">
        <f>IF(P10=0,0,Q10/P10)</f>
        <v>-2.7693877551020418</v>
      </c>
      <c r="P10" s="92">
        <v>98</v>
      </c>
      <c r="Q10" s="80">
        <v>-271.40000000000009</v>
      </c>
    </row>
    <row r="11" spans="1:17" x14ac:dyDescent="0.4">
      <c r="A11" s="40" t="s">
        <v>121</v>
      </c>
      <c r="B11" s="16">
        <v>748</v>
      </c>
      <c r="C11" s="11">
        <f>IF(B$46=0,0,B11/B$46)</f>
        <v>0.29860279441117765</v>
      </c>
      <c r="E11" s="44" t="s">
        <v>70</v>
      </c>
      <c r="F11" s="41" t="s">
        <v>25</v>
      </c>
      <c r="G11" s="34">
        <v>80</v>
      </c>
      <c r="H11" s="107">
        <f>IF(B$47=0,0,G11/B$47)</f>
        <v>0.11157601115760112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2.1325203252032523</v>
      </c>
      <c r="P11" s="93">
        <v>123</v>
      </c>
      <c r="Q11" s="81">
        <v>262.3</v>
      </c>
    </row>
    <row r="12" spans="1:17" x14ac:dyDescent="0.4">
      <c r="A12" s="37" t="s">
        <v>118</v>
      </c>
      <c r="B12" s="34">
        <v>471</v>
      </c>
      <c r="C12" s="31">
        <f>IF(B$46=0,0,B12/B$46)</f>
        <v>0.18802395209580838</v>
      </c>
      <c r="E12" s="44" t="s">
        <v>86</v>
      </c>
      <c r="F12" s="41" t="s">
        <v>41</v>
      </c>
      <c r="G12" s="34">
        <v>49</v>
      </c>
      <c r="H12" s="107">
        <f>IF(B$47=0,0,G12/B$47)</f>
        <v>6.8340306834030681E-2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1.3129032258064519</v>
      </c>
      <c r="P12" s="94">
        <v>93</v>
      </c>
      <c r="Q12" s="82">
        <v>122.10000000000002</v>
      </c>
    </row>
    <row r="13" spans="1:17" x14ac:dyDescent="0.4">
      <c r="A13" s="19" t="s">
        <v>123</v>
      </c>
      <c r="B13" s="13">
        <v>425</v>
      </c>
      <c r="C13" s="4">
        <f>IF(B$11=0,0,B13/B$11)</f>
        <v>0.56818181818181823</v>
      </c>
      <c r="E13" s="44" t="s">
        <v>71</v>
      </c>
      <c r="F13" s="41" t="s">
        <v>26</v>
      </c>
      <c r="G13" s="34">
        <v>33</v>
      </c>
      <c r="H13" s="107">
        <f>IF(B$47=0,0,G13/B$47)</f>
        <v>4.6025104602510462E-2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191</v>
      </c>
      <c r="C14" s="4">
        <f>IF(B$12=0,0,B14/B$12)</f>
        <v>0.40552016985138006</v>
      </c>
      <c r="E14" s="44" t="s">
        <v>83</v>
      </c>
      <c r="F14" s="41" t="s">
        <v>38</v>
      </c>
      <c r="G14" s="34">
        <v>26</v>
      </c>
      <c r="H14" s="107">
        <f>IF(B$47=0,0,G14/B$47)</f>
        <v>3.626220362622036E-2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727</v>
      </c>
      <c r="C15" s="4">
        <f>IF(B$3=0,0,B15/B$3)</f>
        <v>0.2859952793076318</v>
      </c>
      <c r="E15" s="44" t="s">
        <v>78</v>
      </c>
      <c r="F15" s="41" t="s">
        <v>33</v>
      </c>
      <c r="G15" s="34">
        <v>23</v>
      </c>
      <c r="H15" s="107">
        <f>IF(B$47=0,0,G15/B$47)</f>
        <v>3.2078103207810321E-2</v>
      </c>
      <c r="I15" s="68">
        <v>4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13</v>
      </c>
      <c r="B16" s="34">
        <v>464</v>
      </c>
      <c r="C16" s="31">
        <f>IF(B$3=0,0,B16/B$3)</f>
        <v>0.18253343823760818</v>
      </c>
      <c r="E16" s="44" t="s">
        <v>91</v>
      </c>
      <c r="F16" s="41" t="s">
        <v>46</v>
      </c>
      <c r="G16" s="34">
        <v>19</v>
      </c>
      <c r="H16" s="107">
        <f>IF(B$47=0,0,G16/B$47)</f>
        <v>2.6499302649930265E-2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37" t="s">
        <v>12</v>
      </c>
      <c r="B17" s="34">
        <v>317</v>
      </c>
      <c r="C17" s="31">
        <f>IF(B$15=0,0,B17/B$15)</f>
        <v>0.43603851444291608</v>
      </c>
      <c r="E17" s="44" t="s">
        <v>153</v>
      </c>
      <c r="F17" s="41" t="s">
        <v>154</v>
      </c>
      <c r="G17" s="34">
        <v>19</v>
      </c>
      <c r="H17" s="107">
        <f>IF(B$47=0,0,G17/B$47)</f>
        <v>2.6499302649930265E-2</v>
      </c>
      <c r="I17" s="68">
        <v>2</v>
      </c>
      <c r="K17" s="5">
        <v>15</v>
      </c>
      <c r="L17" s="73">
        <v>-212.5</v>
      </c>
      <c r="N17" s="89" t="s">
        <v>197</v>
      </c>
      <c r="O17" s="99">
        <f>IF(P17=0,0,Q17/P17)</f>
        <v>17.12777777777778</v>
      </c>
      <c r="P17" s="93">
        <v>18</v>
      </c>
      <c r="Q17" s="81">
        <v>308.3</v>
      </c>
    </row>
    <row r="18" spans="1:17" x14ac:dyDescent="0.4">
      <c r="A18" s="37" t="s">
        <v>11</v>
      </c>
      <c r="B18" s="34">
        <v>410</v>
      </c>
      <c r="C18" s="31">
        <f>IF(B$15=0,0,B18/B$15)</f>
        <v>0.56396148555708392</v>
      </c>
      <c r="E18" s="44" t="s">
        <v>81</v>
      </c>
      <c r="F18" s="41" t="s">
        <v>36</v>
      </c>
      <c r="G18" s="34">
        <v>18</v>
      </c>
      <c r="H18" s="107">
        <f>IF(B$47=0,0,G18/B$47)</f>
        <v>2.5104602510460251E-2</v>
      </c>
      <c r="I18" s="68">
        <v>7</v>
      </c>
      <c r="K18" s="5">
        <v>16</v>
      </c>
      <c r="L18" s="73">
        <v>-233.2</v>
      </c>
      <c r="N18" s="89" t="s">
        <v>188</v>
      </c>
      <c r="O18" s="99">
        <f>IF(P18=0,0,Q18/P18)</f>
        <v>11.866037735849053</v>
      </c>
      <c r="P18" s="93">
        <v>53</v>
      </c>
      <c r="Q18" s="81">
        <v>628.89999999999986</v>
      </c>
    </row>
    <row r="19" spans="1:17" x14ac:dyDescent="0.4">
      <c r="A19" s="37" t="s">
        <v>180</v>
      </c>
      <c r="B19" s="34">
        <v>425</v>
      </c>
      <c r="C19" s="31">
        <f>IF(B$15=0,0,B19/B$15)</f>
        <v>0.58459422283356255</v>
      </c>
      <c r="E19" s="44" t="s">
        <v>79</v>
      </c>
      <c r="F19" s="41" t="s">
        <v>34</v>
      </c>
      <c r="G19" s="34">
        <v>11</v>
      </c>
      <c r="H19" s="107">
        <f>IF(B$47=0,0,G19/B$47)</f>
        <v>1.5341701534170154E-2</v>
      </c>
      <c r="I19" s="68">
        <v>8</v>
      </c>
      <c r="K19" s="5">
        <v>17</v>
      </c>
      <c r="L19" s="73">
        <v>-268.7</v>
      </c>
      <c r="N19" s="89" t="s">
        <v>194</v>
      </c>
      <c r="O19" s="99">
        <f>IF(P19=0,0,Q19/P19)</f>
        <v>11.2125</v>
      </c>
      <c r="P19" s="93">
        <v>16</v>
      </c>
      <c r="Q19" s="81">
        <v>179.4</v>
      </c>
    </row>
    <row r="20" spans="1:17" x14ac:dyDescent="0.4">
      <c r="A20" s="37" t="s">
        <v>178</v>
      </c>
      <c r="B20" s="34">
        <v>191</v>
      </c>
      <c r="C20" s="31">
        <f>IF(B$15=0,0,B20/B$15)</f>
        <v>0.2627235213204952</v>
      </c>
      <c r="E20" s="44" t="s">
        <v>73</v>
      </c>
      <c r="F20" s="41" t="s">
        <v>28</v>
      </c>
      <c r="G20" s="34">
        <v>8</v>
      </c>
      <c r="H20" s="107">
        <f>IF(B$47=0,0,G20/B$47)</f>
        <v>1.1157601115760111E-2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6.6903225806451596</v>
      </c>
      <c r="P20" s="93">
        <v>31</v>
      </c>
      <c r="Q20" s="81">
        <v>207.39999999999995</v>
      </c>
    </row>
    <row r="21" spans="1:17" x14ac:dyDescent="0.4">
      <c r="A21" s="37" t="s">
        <v>179</v>
      </c>
      <c r="B21" s="34">
        <v>111</v>
      </c>
      <c r="C21" s="31">
        <f>IF(B$15=0,0,B21/B$15)</f>
        <v>0.15268225584594222</v>
      </c>
      <c r="E21" s="44" t="s">
        <v>92</v>
      </c>
      <c r="F21" s="41" t="s">
        <v>47</v>
      </c>
      <c r="G21" s="34">
        <v>8</v>
      </c>
      <c r="H21" s="107">
        <f>IF(B$47=0,0,G21/B$47)</f>
        <v>1.1157601115760111E-2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5</v>
      </c>
      <c r="B22" s="17">
        <f>IF(B$15=0,0,C22/B$15)</f>
        <v>10425.584594222833</v>
      </c>
      <c r="C22" s="8">
        <v>7579400</v>
      </c>
      <c r="E22" s="44" t="s">
        <v>75</v>
      </c>
      <c r="F22" s="41" t="s">
        <v>30</v>
      </c>
      <c r="G22" s="34">
        <v>7</v>
      </c>
      <c r="H22" s="107">
        <f>IF(B$47=0,0,G22/B$47)</f>
        <v>9.7629009762900971E-3</v>
      </c>
      <c r="I22" s="68">
        <v>1</v>
      </c>
      <c r="K22" s="5">
        <v>20</v>
      </c>
      <c r="L22" s="73">
        <v>-270</v>
      </c>
      <c r="N22" s="89" t="s">
        <v>187</v>
      </c>
      <c r="O22" s="99">
        <f>IF(P22=0,0,Q22/P22)</f>
        <v>-0.93809523809523887</v>
      </c>
      <c r="P22" s="93">
        <v>84</v>
      </c>
      <c r="Q22" s="81">
        <v>-78.800000000000068</v>
      </c>
    </row>
    <row r="23" spans="1:17" x14ac:dyDescent="0.4">
      <c r="A23" s="38" t="s">
        <v>162</v>
      </c>
      <c r="B23" s="114">
        <f>IF($B$15-B$14=0,0,C23/($B$15-B$14))</f>
        <v>11233.022388059702</v>
      </c>
      <c r="C23" s="115">
        <v>6020900</v>
      </c>
      <c r="E23" s="44" t="s">
        <v>77</v>
      </c>
      <c r="F23" s="41" t="s">
        <v>32</v>
      </c>
      <c r="G23" s="34">
        <v>4</v>
      </c>
      <c r="H23" s="107">
        <f>IF(B$47=0,0,G23/B$47)</f>
        <v>5.5788005578800556E-3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-1.4495652173913083</v>
      </c>
      <c r="P23" s="93">
        <v>115</v>
      </c>
      <c r="Q23" s="81">
        <v>-166.70000000000044</v>
      </c>
    </row>
    <row r="24" spans="1:17" x14ac:dyDescent="0.4">
      <c r="A24" s="38" t="s">
        <v>163</v>
      </c>
      <c r="B24" s="114">
        <f>IF(B$14=0,0,C24/B$14)</f>
        <v>8159.6858638743452</v>
      </c>
      <c r="C24" s="115">
        <v>1558500</v>
      </c>
      <c r="E24" s="44" t="s">
        <v>93</v>
      </c>
      <c r="F24" s="41" t="s">
        <v>48</v>
      </c>
      <c r="G24" s="34">
        <v>4</v>
      </c>
      <c r="H24" s="107">
        <f>IF(B$47=0,0,G24/B$47)</f>
        <v>5.5788005578800556E-3</v>
      </c>
      <c r="I24" s="68">
        <v>2</v>
      </c>
      <c r="K24" s="5">
        <v>22</v>
      </c>
      <c r="L24" s="73">
        <v>-202.9</v>
      </c>
      <c r="N24" s="89" t="s">
        <v>190</v>
      </c>
      <c r="O24" s="99">
        <f>IF(P24=0,0,Q24/P24)</f>
        <v>-1.9130000000000005</v>
      </c>
      <c r="P24" s="93">
        <v>100</v>
      </c>
      <c r="Q24" s="81">
        <v>-191.30000000000004</v>
      </c>
    </row>
    <row r="25" spans="1:17" x14ac:dyDescent="0.4">
      <c r="A25" s="38" t="s">
        <v>161</v>
      </c>
      <c r="B25" s="114">
        <f>IF(B$16=0,0,C25/B$16)</f>
        <v>-8795.2586206896558</v>
      </c>
      <c r="C25" s="115">
        <v>-4081000</v>
      </c>
      <c r="E25" s="44" t="s">
        <v>84</v>
      </c>
      <c r="F25" s="41" t="s">
        <v>39</v>
      </c>
      <c r="G25" s="34">
        <v>3</v>
      </c>
      <c r="H25" s="107">
        <f>IF(B$47=0,0,G25/B$47)</f>
        <v>4.1841004184100415E-3</v>
      </c>
      <c r="I25" s="68">
        <v>1</v>
      </c>
      <c r="K25" s="5">
        <v>23</v>
      </c>
      <c r="L25" s="73">
        <v>-200.9</v>
      </c>
      <c r="N25" s="89" t="s">
        <v>189</v>
      </c>
      <c r="O25" s="99">
        <f>IF(P25=0,0,Q25/P25)</f>
        <v>-3.9666666666666663</v>
      </c>
      <c r="P25" s="93">
        <v>3</v>
      </c>
      <c r="Q25" s="81">
        <v>-11.899999999999999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2</v>
      </c>
      <c r="H26" s="107">
        <f>IF(B$47=0,0,G26/B$47)</f>
        <v>2.7894002789400278E-3</v>
      </c>
      <c r="I26" s="68">
        <v>5</v>
      </c>
      <c r="K26" s="5">
        <v>24</v>
      </c>
      <c r="L26" s="73">
        <v>-168.2</v>
      </c>
      <c r="N26" s="89" t="s">
        <v>195</v>
      </c>
      <c r="O26" s="99">
        <f>IF(P26=0,0,Q26/P26)</f>
        <v>-4.7939086294416233</v>
      </c>
      <c r="P26" s="93">
        <v>197</v>
      </c>
      <c r="Q26" s="81">
        <v>-944.39999999999986</v>
      </c>
    </row>
    <row r="27" spans="1:17" x14ac:dyDescent="0.4">
      <c r="A27" s="37" t="s">
        <v>156</v>
      </c>
      <c r="B27" s="34">
        <v>32</v>
      </c>
      <c r="C27" s="109">
        <v>0</v>
      </c>
      <c r="E27" s="44" t="s">
        <v>87</v>
      </c>
      <c r="F27" s="41" t="s">
        <v>42</v>
      </c>
      <c r="G27" s="34">
        <v>2</v>
      </c>
      <c r="H27" s="107">
        <f>IF(B$47=0,0,G27/B$47)</f>
        <v>2.7894002789400278E-3</v>
      </c>
      <c r="I27" s="68">
        <v>3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64" t="s">
        <v>134</v>
      </c>
      <c r="B28" s="131">
        <v>8</v>
      </c>
      <c r="C28" s="132"/>
      <c r="E28" s="44" t="s">
        <v>90</v>
      </c>
      <c r="F28" s="41" t="s">
        <v>45</v>
      </c>
      <c r="G28" s="34">
        <v>2</v>
      </c>
      <c r="H28" s="107">
        <f>IF(B$47=0,0,G28/B$47)</f>
        <v>2.7894002789400278E-3</v>
      </c>
      <c r="I28" s="68">
        <v>3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40" t="s">
        <v>177</v>
      </c>
      <c r="B29" s="129">
        <v>124700</v>
      </c>
      <c r="C29" s="130"/>
      <c r="E29" s="44" t="s">
        <v>74</v>
      </c>
      <c r="F29" s="41" t="s">
        <v>29</v>
      </c>
      <c r="G29" s="34">
        <v>1</v>
      </c>
      <c r="H29" s="107">
        <f>IF(B$47=0,0,G29/B$47)</f>
        <v>1.3947001394700139E-3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9" t="s">
        <v>135</v>
      </c>
      <c r="B30" s="27">
        <v>9</v>
      </c>
      <c r="C30" s="32">
        <f>IF(B$3=0,0,B30/B$3)</f>
        <v>3.5405192761605035E-3</v>
      </c>
      <c r="E30" s="44" t="s">
        <v>97</v>
      </c>
      <c r="F30" s="41" t="s">
        <v>52</v>
      </c>
      <c r="G30" s="34">
        <v>1</v>
      </c>
      <c r="H30" s="107">
        <f>IF(B$47=0,0,G30/B$47)</f>
        <v>1.3947001394700139E-3</v>
      </c>
      <c r="I30" s="68">
        <v>2</v>
      </c>
      <c r="K30" s="5">
        <v>28</v>
      </c>
      <c r="L30" s="73">
        <v>-290.19999999999993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">
      <c r="A32" s="64" t="s">
        <v>168</v>
      </c>
      <c r="B32" s="122">
        <v>24</v>
      </c>
      <c r="C32" s="119">
        <f>IF(B$15=0,0,B32/B$15)</f>
        <v>3.3012379642365884E-2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">
      <c r="A33" s="37" t="s">
        <v>164</v>
      </c>
      <c r="B33" s="34">
        <v>76</v>
      </c>
      <c r="C33" s="31">
        <f t="shared" ref="C33:C44" si="2">IF(B$15=0,0,B33/B$15)</f>
        <v>0.10453920220082531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">
      <c r="A34" s="37" t="s">
        <v>165</v>
      </c>
      <c r="B34" s="123">
        <v>107</v>
      </c>
      <c r="C34" s="31">
        <f>IF(B$15=0,0,B34/B$15)</f>
        <v>0.14718019257221457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">
      <c r="A35" s="37" t="s">
        <v>166</v>
      </c>
      <c r="B35" s="123">
        <v>144</v>
      </c>
      <c r="C35" s="31">
        <f t="shared" si="2"/>
        <v>0.19807427785419532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37" t="s">
        <v>167</v>
      </c>
      <c r="B36" s="123">
        <v>139</v>
      </c>
      <c r="C36" s="31">
        <f t="shared" si="2"/>
        <v>0.19119669876203577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">
      <c r="A37" s="37" t="s">
        <v>169</v>
      </c>
      <c r="B37" s="123">
        <v>79</v>
      </c>
      <c r="C37" s="31">
        <f t="shared" si="2"/>
        <v>0.10866574965612105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170</v>
      </c>
      <c r="B38" s="123">
        <v>59</v>
      </c>
      <c r="C38" s="31">
        <f t="shared" si="2"/>
        <v>8.11554332874828E-2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171</v>
      </c>
      <c r="B39" s="123">
        <v>31</v>
      </c>
      <c r="C39" s="31">
        <f t="shared" si="2"/>
        <v>4.264099037138927E-2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172</v>
      </c>
      <c r="B40" s="123">
        <v>23</v>
      </c>
      <c r="C40" s="31">
        <f t="shared" si="2"/>
        <v>3.1636863823933978E-2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173</v>
      </c>
      <c r="B41" s="123">
        <v>11</v>
      </c>
      <c r="C41" s="31">
        <f t="shared" si="2"/>
        <v>1.5130674002751032E-2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174</v>
      </c>
      <c r="B42" s="123">
        <v>6</v>
      </c>
      <c r="C42" s="31">
        <f t="shared" si="2"/>
        <v>8.253094910591471E-3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175</v>
      </c>
      <c r="B43" s="123">
        <v>3</v>
      </c>
      <c r="C43" s="31">
        <f t="shared" si="2"/>
        <v>4.1265474552957355E-3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9" t="s">
        <v>176</v>
      </c>
      <c r="B44" s="124">
        <v>15</v>
      </c>
      <c r="C44" s="32">
        <f t="shared" si="2"/>
        <v>2.0632737276478678E-2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64" t="s">
        <v>181</v>
      </c>
      <c r="B46" s="127">
        <v>2505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9" t="s">
        <v>182</v>
      </c>
      <c r="B47" s="125">
        <v>717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">
      <c r="K53" s="5">
        <v>51</v>
      </c>
      <c r="L53" s="73">
        <v>-409.99999999999994</v>
      </c>
    </row>
    <row r="54" spans="5:12" x14ac:dyDescent="0.4">
      <c r="K54" s="5">
        <v>52</v>
      </c>
      <c r="L54" s="73">
        <v>-426.39999999999992</v>
      </c>
    </row>
    <row r="55" spans="5:12" x14ac:dyDescent="0.4">
      <c r="K55" s="5">
        <v>53</v>
      </c>
      <c r="L55" s="73">
        <v>-399.89999999999992</v>
      </c>
    </row>
    <row r="56" spans="5:12" x14ac:dyDescent="0.4">
      <c r="K56" s="5">
        <v>54</v>
      </c>
      <c r="L56" s="73">
        <v>-411.19999999999993</v>
      </c>
    </row>
    <row r="57" spans="5:12" x14ac:dyDescent="0.4">
      <c r="K57" s="5">
        <v>55</v>
      </c>
      <c r="L57" s="73">
        <v>-420.49999999999994</v>
      </c>
    </row>
    <row r="58" spans="5:12" x14ac:dyDescent="0.4">
      <c r="K58" s="5">
        <v>56</v>
      </c>
      <c r="L58" s="73">
        <v>-395.39999999999992</v>
      </c>
    </row>
    <row r="59" spans="5:12" x14ac:dyDescent="0.4">
      <c r="K59" s="5">
        <v>57</v>
      </c>
      <c r="L59" s="73">
        <v>-428.89999999999992</v>
      </c>
    </row>
    <row r="60" spans="5:12" x14ac:dyDescent="0.4">
      <c r="K60" s="5">
        <v>58</v>
      </c>
      <c r="L60" s="73">
        <v>-466.39999999999992</v>
      </c>
    </row>
    <row r="61" spans="5:12" x14ac:dyDescent="0.4">
      <c r="K61" s="5">
        <v>59</v>
      </c>
      <c r="L61" s="73">
        <v>-475.7999999999999</v>
      </c>
    </row>
    <row r="62" spans="5:12" x14ac:dyDescent="0.4">
      <c r="K62" s="5">
        <v>60</v>
      </c>
      <c r="L62" s="73">
        <v>-475.2999999999999</v>
      </c>
    </row>
    <row r="63" spans="5:12" x14ac:dyDescent="0.4">
      <c r="K63" s="5">
        <v>61</v>
      </c>
      <c r="L63" s="73">
        <v>-487.39999999999992</v>
      </c>
    </row>
    <row r="64" spans="5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F168-7671-4500-BA17-6F54C30D2F26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37">
        <v>69</v>
      </c>
      <c r="C3" s="138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12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39">
        <v>109</v>
      </c>
      <c r="C4" s="140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41">
        <f>IF(B$2=0,0,B$4/B$2)</f>
        <v>12.111111111111111</v>
      </c>
      <c r="C5" s="142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4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33">
        <f>IF(B$2=0,0,(B$7*1+B$8*2+B$9*3)/B$2)</f>
        <v>1.6666666666666667</v>
      </c>
      <c r="C6" s="134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16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4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2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4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3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10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13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13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14</v>
      </c>
    </row>
    <row r="24" spans="1:17" x14ac:dyDescent="0.4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6</v>
      </c>
    </row>
    <row r="27" spans="1:17" x14ac:dyDescent="0.4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8</v>
      </c>
    </row>
    <row r="28" spans="1:17" x14ac:dyDescent="0.4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9</v>
      </c>
    </row>
    <row r="29" spans="1:17" x14ac:dyDescent="0.4">
      <c r="A29" s="40" t="s">
        <v>177</v>
      </c>
      <c r="B29" s="129">
        <v>78000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6</v>
      </c>
    </row>
    <row r="31" spans="1:17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24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4DF5E-387C-4D39-9A31-96409DF5E66C}">
  <sheetPr codeName="Sheet15"/>
  <dimension ref="A1:Q25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257</v>
      </c>
      <c r="C2" s="128"/>
      <c r="E2" s="43" t="s">
        <v>66</v>
      </c>
      <c r="F2" s="25" t="s">
        <v>22</v>
      </c>
      <c r="G2" s="13">
        <v>375</v>
      </c>
      <c r="H2" s="106">
        <f>IF(B$47=0,0,G2/B$47)</f>
        <v>0.6696428571428571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140.85603112840468</v>
      </c>
      <c r="P2" s="92">
        <v>257</v>
      </c>
      <c r="Q2" s="76">
        <v>36200</v>
      </c>
    </row>
    <row r="3" spans="1:17" x14ac:dyDescent="0.4">
      <c r="A3" s="37" t="s">
        <v>8</v>
      </c>
      <c r="B3" s="137">
        <v>2087</v>
      </c>
      <c r="C3" s="138"/>
      <c r="E3" s="44" t="s">
        <v>72</v>
      </c>
      <c r="F3" s="41" t="s">
        <v>27</v>
      </c>
      <c r="G3" s="34">
        <v>296</v>
      </c>
      <c r="H3" s="107">
        <f>IF(B$47=0,0,G3/B$47)</f>
        <v>0.52857142857142858</v>
      </c>
      <c r="I3" s="68">
        <v>12</v>
      </c>
      <c r="K3" s="5">
        <v>1</v>
      </c>
      <c r="L3" s="73">
        <v>15</v>
      </c>
      <c r="N3" s="89" t="s">
        <v>127</v>
      </c>
      <c r="O3" s="96">
        <f t="shared" si="0"/>
        <v>822.4</v>
      </c>
      <c r="P3" s="93">
        <v>250</v>
      </c>
      <c r="Q3" s="77">
        <v>205600</v>
      </c>
    </row>
    <row r="4" spans="1:17" x14ac:dyDescent="0.4">
      <c r="A4" s="37" t="s">
        <v>6</v>
      </c>
      <c r="B4" s="139">
        <v>-423.1</v>
      </c>
      <c r="C4" s="140"/>
      <c r="E4" s="44" t="s">
        <v>64</v>
      </c>
      <c r="F4" s="41" t="s">
        <v>20</v>
      </c>
      <c r="G4" s="34">
        <v>294</v>
      </c>
      <c r="H4" s="107">
        <f>IF(B$47=0,0,G4/B$47)</f>
        <v>0.52500000000000002</v>
      </c>
      <c r="I4" s="68">
        <v>6</v>
      </c>
      <c r="K4" s="5">
        <v>2</v>
      </c>
      <c r="L4" s="73">
        <v>-24.299999999999997</v>
      </c>
      <c r="N4" s="89" t="s">
        <v>128</v>
      </c>
      <c r="O4" s="96">
        <f t="shared" si="0"/>
        <v>-1071.6738197424893</v>
      </c>
      <c r="P4" s="93">
        <v>233</v>
      </c>
      <c r="Q4" s="77">
        <v>-249700</v>
      </c>
    </row>
    <row r="5" spans="1:17" x14ac:dyDescent="0.4">
      <c r="A5" s="37" t="s">
        <v>7</v>
      </c>
      <c r="B5" s="141">
        <f>IF(B$2=0,0,B$4/B$2)</f>
        <v>-1.6463035019455254</v>
      </c>
      <c r="C5" s="142"/>
      <c r="E5" s="44" t="s">
        <v>157</v>
      </c>
      <c r="F5" s="41" t="s">
        <v>158</v>
      </c>
      <c r="G5" s="34">
        <v>227</v>
      </c>
      <c r="H5" s="107">
        <f>IF(B$47=0,0,G5/B$47)</f>
        <v>0.40535714285714286</v>
      </c>
      <c r="I5" s="68">
        <v>2</v>
      </c>
      <c r="K5" s="5">
        <v>3</v>
      </c>
      <c r="L5" s="73">
        <v>-15.599999999999998</v>
      </c>
      <c r="N5" s="89" t="s">
        <v>129</v>
      </c>
      <c r="O5" s="96">
        <f t="shared" si="0"/>
        <v>-203.24074074074073</v>
      </c>
      <c r="P5" s="93">
        <v>216</v>
      </c>
      <c r="Q5" s="77">
        <v>-43900</v>
      </c>
    </row>
    <row r="6" spans="1:17" x14ac:dyDescent="0.4">
      <c r="A6" s="37" t="s">
        <v>1</v>
      </c>
      <c r="B6" s="133">
        <f>IF(B$2=0,0,(B$7*1+B$8*2+B$9*3)/B$2)</f>
        <v>2.0622568093385212</v>
      </c>
      <c r="C6" s="134"/>
      <c r="E6" s="44" t="s">
        <v>67</v>
      </c>
      <c r="F6" s="41" t="s">
        <v>23</v>
      </c>
      <c r="G6" s="34">
        <v>207</v>
      </c>
      <c r="H6" s="107">
        <f>IF(B$47=0,0,G6/B$47)</f>
        <v>0.36964285714285716</v>
      </c>
      <c r="I6" s="68">
        <v>5</v>
      </c>
      <c r="K6" s="5">
        <v>4</v>
      </c>
      <c r="L6" s="73">
        <v>5.1000000000000014</v>
      </c>
      <c r="N6" s="89" t="s">
        <v>130</v>
      </c>
      <c r="O6" s="96">
        <f t="shared" si="0"/>
        <v>-1709.1836734693877</v>
      </c>
      <c r="P6" s="93">
        <v>196</v>
      </c>
      <c r="Q6" s="77">
        <v>-335000</v>
      </c>
    </row>
    <row r="7" spans="1:17" x14ac:dyDescent="0.4">
      <c r="A7" s="37" t="s">
        <v>2</v>
      </c>
      <c r="B7" s="34">
        <v>71</v>
      </c>
      <c r="C7" s="31">
        <f t="shared" ref="C7:C10" si="1">IF(B$2=0,0,B7/B$2)</f>
        <v>0.27626459143968873</v>
      </c>
      <c r="E7" s="44" t="s">
        <v>68</v>
      </c>
      <c r="F7" s="41" t="s">
        <v>12</v>
      </c>
      <c r="G7" s="34">
        <v>179</v>
      </c>
      <c r="H7" s="107">
        <f>IF(B$47=0,0,G7/B$47)</f>
        <v>0.31964285714285712</v>
      </c>
      <c r="I7" s="68">
        <v>7</v>
      </c>
      <c r="K7" s="5">
        <v>5</v>
      </c>
      <c r="L7" s="73">
        <v>9.6000000000000014</v>
      </c>
      <c r="N7" s="90" t="s">
        <v>131</v>
      </c>
      <c r="O7" s="97">
        <f t="shared" si="0"/>
        <v>-124.69135802469135</v>
      </c>
      <c r="P7" s="94">
        <v>162</v>
      </c>
      <c r="Q7" s="78">
        <v>-20200</v>
      </c>
    </row>
    <row r="8" spans="1:17" x14ac:dyDescent="0.4">
      <c r="A8" s="37" t="s">
        <v>3</v>
      </c>
      <c r="B8" s="34">
        <v>99</v>
      </c>
      <c r="C8" s="31">
        <f t="shared" si="1"/>
        <v>0.38521400778210119</v>
      </c>
      <c r="E8" s="44" t="s">
        <v>69</v>
      </c>
      <c r="F8" s="41" t="s">
        <v>24</v>
      </c>
      <c r="G8" s="34">
        <v>75</v>
      </c>
      <c r="H8" s="107">
        <f>IF(B$47=0,0,G8/B$47)</f>
        <v>0.13392857142857142</v>
      </c>
      <c r="I8" s="68">
        <v>11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87</v>
      </c>
      <c r="C9" s="7">
        <f t="shared" si="1"/>
        <v>0.33852140077821014</v>
      </c>
      <c r="E9" s="44" t="s">
        <v>89</v>
      </c>
      <c r="F9" s="41" t="s">
        <v>44</v>
      </c>
      <c r="G9" s="34">
        <v>63</v>
      </c>
      <c r="H9" s="107">
        <f>IF(B$47=0,0,G9/B$47)</f>
        <v>0.1125</v>
      </c>
      <c r="I9" s="68">
        <v>12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33</v>
      </c>
      <c r="C10" s="32">
        <f t="shared" si="1"/>
        <v>0.12840466926070038</v>
      </c>
      <c r="E10" s="44" t="s">
        <v>65</v>
      </c>
      <c r="F10" s="41" t="s">
        <v>21</v>
      </c>
      <c r="G10" s="34">
        <v>53</v>
      </c>
      <c r="H10" s="107">
        <f>IF(B$47=0,0,G10/B$47)</f>
        <v>9.464285714285714E-2</v>
      </c>
      <c r="I10" s="68">
        <v>13</v>
      </c>
      <c r="K10" s="5">
        <v>8</v>
      </c>
      <c r="L10" s="73">
        <v>-4.4999999999999964</v>
      </c>
      <c r="N10" s="88" t="s">
        <v>149</v>
      </c>
      <c r="O10" s="98">
        <f>IF(P10=0,0,Q10/P10)</f>
        <v>-3.6693877551020417</v>
      </c>
      <c r="P10" s="92">
        <v>98</v>
      </c>
      <c r="Q10" s="80">
        <v>-359.60000000000008</v>
      </c>
    </row>
    <row r="11" spans="1:17" x14ac:dyDescent="0.4">
      <c r="A11" s="40" t="s">
        <v>121</v>
      </c>
      <c r="B11" s="16">
        <v>518</v>
      </c>
      <c r="C11" s="11">
        <f>IF(B$46=0,0,B11/B$46)</f>
        <v>0.24820316243411594</v>
      </c>
      <c r="E11" s="44" t="s">
        <v>70</v>
      </c>
      <c r="F11" s="41" t="s">
        <v>25</v>
      </c>
      <c r="G11" s="34">
        <v>47</v>
      </c>
      <c r="H11" s="107">
        <f>IF(B$47=0,0,G11/B$47)</f>
        <v>8.3928571428571422E-2</v>
      </c>
      <c r="I11" s="68">
        <v>10</v>
      </c>
      <c r="K11" s="5">
        <v>9</v>
      </c>
      <c r="L11" s="73">
        <v>-9.3999999999999968</v>
      </c>
      <c r="N11" s="89" t="s">
        <v>150</v>
      </c>
      <c r="O11" s="99">
        <f>IF(P11=0,0,Q11/P11)</f>
        <v>0.38902439024390217</v>
      </c>
      <c r="P11" s="93">
        <v>82</v>
      </c>
      <c r="Q11" s="81">
        <v>31.899999999999977</v>
      </c>
    </row>
    <row r="12" spans="1:17" x14ac:dyDescent="0.4">
      <c r="A12" s="37" t="s">
        <v>118</v>
      </c>
      <c r="B12" s="34">
        <v>470</v>
      </c>
      <c r="C12" s="31">
        <f>IF(B$46=0,0,B12/B$46)</f>
        <v>0.2252036415908002</v>
      </c>
      <c r="E12" s="44" t="s">
        <v>71</v>
      </c>
      <c r="F12" s="41" t="s">
        <v>26</v>
      </c>
      <c r="G12" s="34">
        <v>45</v>
      </c>
      <c r="H12" s="107">
        <f>IF(B$47=0,0,G12/B$47)</f>
        <v>8.0357142857142863E-2</v>
      </c>
      <c r="I12" s="68">
        <v>4</v>
      </c>
      <c r="K12" s="5">
        <v>10</v>
      </c>
      <c r="L12" s="73">
        <v>-24.299999999999997</v>
      </c>
      <c r="N12" s="90" t="s">
        <v>151</v>
      </c>
      <c r="O12" s="100">
        <f>IF(P12=0,0,Q12/P12)</f>
        <v>-1.2389610389610395</v>
      </c>
      <c r="P12" s="94">
        <v>77</v>
      </c>
      <c r="Q12" s="82">
        <v>-95.400000000000034</v>
      </c>
    </row>
    <row r="13" spans="1:17" x14ac:dyDescent="0.4">
      <c r="A13" s="19" t="s">
        <v>123</v>
      </c>
      <c r="B13" s="13">
        <v>301</v>
      </c>
      <c r="C13" s="4">
        <f>IF(B$11=0,0,B13/B$11)</f>
        <v>0.58108108108108103</v>
      </c>
      <c r="E13" s="44" t="s">
        <v>83</v>
      </c>
      <c r="F13" s="41" t="s">
        <v>38</v>
      </c>
      <c r="G13" s="34">
        <v>32</v>
      </c>
      <c r="H13" s="107">
        <f>IF(B$47=0,0,G13/B$47)</f>
        <v>5.7142857142857141E-2</v>
      </c>
      <c r="I13" s="68">
        <v>6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172</v>
      </c>
      <c r="C14" s="4">
        <f>IF(B$12=0,0,B14/B$12)</f>
        <v>0.36595744680851061</v>
      </c>
      <c r="E14" s="44" t="s">
        <v>86</v>
      </c>
      <c r="F14" s="41" t="s">
        <v>41</v>
      </c>
      <c r="G14" s="34">
        <v>32</v>
      </c>
      <c r="H14" s="107">
        <f>IF(B$47=0,0,G14/B$47)</f>
        <v>5.7142857142857141E-2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560</v>
      </c>
      <c r="C15" s="4">
        <f>IF(B$3=0,0,B15/B$3)</f>
        <v>0.26832774317201724</v>
      </c>
      <c r="E15" s="44" t="s">
        <v>78</v>
      </c>
      <c r="F15" s="41" t="s">
        <v>33</v>
      </c>
      <c r="G15" s="34">
        <v>15</v>
      </c>
      <c r="H15" s="107">
        <f>IF(B$47=0,0,G15/B$47)</f>
        <v>2.6785714285714284E-2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13</v>
      </c>
      <c r="B16" s="34">
        <v>314</v>
      </c>
      <c r="C16" s="31">
        <f>IF(B$3=0,0,B16/B$3)</f>
        <v>0.15045519885002395</v>
      </c>
      <c r="E16" s="44" t="s">
        <v>81</v>
      </c>
      <c r="F16" s="41" t="s">
        <v>36</v>
      </c>
      <c r="G16" s="34">
        <v>13</v>
      </c>
      <c r="H16" s="107">
        <f>IF(B$47=0,0,G16/B$47)</f>
        <v>2.3214285714285715E-2</v>
      </c>
      <c r="I16" s="68">
        <v>9</v>
      </c>
      <c r="K16" s="5">
        <v>14</v>
      </c>
      <c r="L16" s="73">
        <v>-5.7999999999999945</v>
      </c>
      <c r="N16" s="89" t="s">
        <v>197</v>
      </c>
      <c r="O16" s="99">
        <f>IF(P16=0,0,Q16/P16)</f>
        <v>32.171428571428571</v>
      </c>
      <c r="P16" s="93">
        <v>28</v>
      </c>
      <c r="Q16" s="81">
        <v>900.8</v>
      </c>
    </row>
    <row r="17" spans="1:17" x14ac:dyDescent="0.4">
      <c r="A17" s="37" t="s">
        <v>12</v>
      </c>
      <c r="B17" s="34">
        <v>246</v>
      </c>
      <c r="C17" s="31">
        <f>IF(B$15=0,0,B17/B$15)</f>
        <v>0.43928571428571428</v>
      </c>
      <c r="E17" s="44" t="s">
        <v>79</v>
      </c>
      <c r="F17" s="41" t="s">
        <v>34</v>
      </c>
      <c r="G17" s="34">
        <v>12</v>
      </c>
      <c r="H17" s="107">
        <f>IF(B$47=0,0,G17/B$47)</f>
        <v>2.1428571428571429E-2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37" t="s">
        <v>11</v>
      </c>
      <c r="B18" s="34">
        <v>314</v>
      </c>
      <c r="C18" s="31">
        <f>IF(B$15=0,0,B18/B$15)</f>
        <v>0.56071428571428572</v>
      </c>
      <c r="E18" s="44" t="s">
        <v>91</v>
      </c>
      <c r="F18" s="41" t="s">
        <v>46</v>
      </c>
      <c r="G18" s="34">
        <v>12</v>
      </c>
      <c r="H18" s="107">
        <f>IF(B$47=0,0,G18/B$47)</f>
        <v>2.1428571428571429E-2</v>
      </c>
      <c r="I18" s="68">
        <v>3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37" t="s">
        <v>180</v>
      </c>
      <c r="B19" s="34">
        <v>301</v>
      </c>
      <c r="C19" s="31">
        <f>IF(B$15=0,0,B19/B$15)</f>
        <v>0.53749999999999998</v>
      </c>
      <c r="E19" s="44" t="s">
        <v>85</v>
      </c>
      <c r="F19" s="41" t="s">
        <v>40</v>
      </c>
      <c r="G19" s="34">
        <v>7</v>
      </c>
      <c r="H19" s="107">
        <f>IF(B$47=0,0,G19/B$47)</f>
        <v>1.2500000000000001E-2</v>
      </c>
      <c r="I19" s="68">
        <v>1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">
      <c r="A20" s="37" t="s">
        <v>178</v>
      </c>
      <c r="B20" s="34">
        <v>172</v>
      </c>
      <c r="C20" s="31">
        <f>IF(B$15=0,0,B20/B$15)</f>
        <v>0.30714285714285716</v>
      </c>
      <c r="E20" s="44" t="s">
        <v>153</v>
      </c>
      <c r="F20" s="41" t="s">
        <v>154</v>
      </c>
      <c r="G20" s="34">
        <v>6</v>
      </c>
      <c r="H20" s="107">
        <f>IF(B$47=0,0,G20/B$47)</f>
        <v>1.0714285714285714E-2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5.2428571428571447</v>
      </c>
      <c r="P20" s="93">
        <v>56</v>
      </c>
      <c r="Q20" s="81">
        <v>293.60000000000008</v>
      </c>
    </row>
    <row r="21" spans="1:17" x14ac:dyDescent="0.4">
      <c r="A21" s="37" t="s">
        <v>179</v>
      </c>
      <c r="B21" s="34">
        <v>87</v>
      </c>
      <c r="C21" s="31">
        <f>IF(B$15=0,0,B21/B$15)</f>
        <v>0.15535714285714286</v>
      </c>
      <c r="E21" s="44" t="s">
        <v>73</v>
      </c>
      <c r="F21" s="41" t="s">
        <v>28</v>
      </c>
      <c r="G21" s="34">
        <v>4</v>
      </c>
      <c r="H21" s="107">
        <f>IF(B$47=0,0,G21/B$47)</f>
        <v>7.1428571428571426E-3</v>
      </c>
      <c r="I21" s="68">
        <v>5</v>
      </c>
      <c r="K21" s="5">
        <v>19</v>
      </c>
      <c r="L21" s="73">
        <v>-60</v>
      </c>
      <c r="N21" s="89" t="s">
        <v>191</v>
      </c>
      <c r="O21" s="99">
        <f>IF(P21=0,0,Q21/P21)</f>
        <v>0.93809523809523954</v>
      </c>
      <c r="P21" s="93">
        <v>84</v>
      </c>
      <c r="Q21" s="81">
        <v>78.800000000000125</v>
      </c>
    </row>
    <row r="22" spans="1:17" x14ac:dyDescent="0.4">
      <c r="A22" s="37" t="s">
        <v>5</v>
      </c>
      <c r="B22" s="17">
        <f>IF(B$15=0,0,C22/B$15)</f>
        <v>8644.6428571428569</v>
      </c>
      <c r="C22" s="8">
        <v>4841000</v>
      </c>
      <c r="E22" s="44" t="s">
        <v>74</v>
      </c>
      <c r="F22" s="41" t="s">
        <v>29</v>
      </c>
      <c r="G22" s="34">
        <v>3</v>
      </c>
      <c r="H22" s="107">
        <f>IF(B$47=0,0,G22/B$47)</f>
        <v>5.3571428571428572E-3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8" t="s">
        <v>162</v>
      </c>
      <c r="B23" s="114">
        <f>IF($B$15-B$14=0,0,C23/($B$15-B$14))</f>
        <v>9430.6701030927834</v>
      </c>
      <c r="C23" s="115">
        <v>3659100</v>
      </c>
      <c r="E23" s="44" t="s">
        <v>75</v>
      </c>
      <c r="F23" s="41" t="s">
        <v>30</v>
      </c>
      <c r="G23" s="34">
        <v>3</v>
      </c>
      <c r="H23" s="107">
        <f>IF(B$47=0,0,G23/B$47)</f>
        <v>5.3571428571428572E-3</v>
      </c>
      <c r="I23" s="68">
        <v>6</v>
      </c>
      <c r="K23" s="5">
        <v>21</v>
      </c>
      <c r="L23" s="73">
        <v>-125.80000000000001</v>
      </c>
      <c r="N23" s="89" t="s">
        <v>193</v>
      </c>
      <c r="O23" s="99">
        <f>IF(P23=0,0,Q23/P23)</f>
        <v>-1.5705357142857146</v>
      </c>
      <c r="P23" s="93">
        <v>112</v>
      </c>
      <c r="Q23" s="81">
        <v>-175.90000000000003</v>
      </c>
    </row>
    <row r="24" spans="1:17" x14ac:dyDescent="0.4">
      <c r="A24" s="38" t="s">
        <v>163</v>
      </c>
      <c r="B24" s="114">
        <f>IF(B$14=0,0,C24/B$14)</f>
        <v>6871.5116279069771</v>
      </c>
      <c r="C24" s="115">
        <v>1181900</v>
      </c>
      <c r="E24" s="44" t="s">
        <v>77</v>
      </c>
      <c r="F24" s="41" t="s">
        <v>32</v>
      </c>
      <c r="G24" s="34">
        <v>3</v>
      </c>
      <c r="H24" s="107">
        <f>IF(B$47=0,0,G24/B$47)</f>
        <v>5.3571428571428572E-3</v>
      </c>
      <c r="I24" s="68">
        <v>6</v>
      </c>
      <c r="K24" s="5">
        <v>22</v>
      </c>
      <c r="L24" s="73">
        <v>-149.30000000000001</v>
      </c>
      <c r="N24" s="89" t="s">
        <v>188</v>
      </c>
      <c r="O24" s="99">
        <f>IF(P24=0,0,Q24/P24)</f>
        <v>-3.2526315789473692</v>
      </c>
      <c r="P24" s="93">
        <v>57</v>
      </c>
      <c r="Q24" s="81">
        <v>-185.40000000000003</v>
      </c>
    </row>
    <row r="25" spans="1:17" x14ac:dyDescent="0.4">
      <c r="A25" s="38" t="s">
        <v>161</v>
      </c>
      <c r="B25" s="114">
        <f>IF(B$16=0,0,C25/B$16)</f>
        <v>-7575.1592356687897</v>
      </c>
      <c r="C25" s="115">
        <v>-2378600</v>
      </c>
      <c r="E25" s="44" t="s">
        <v>90</v>
      </c>
      <c r="F25" s="41" t="s">
        <v>45</v>
      </c>
      <c r="G25" s="34">
        <v>2</v>
      </c>
      <c r="H25" s="107">
        <f>IF(B$47=0,0,G25/B$47)</f>
        <v>3.5714285714285713E-3</v>
      </c>
      <c r="I25" s="68">
        <v>1</v>
      </c>
      <c r="K25" s="5">
        <v>23</v>
      </c>
      <c r="L25" s="73">
        <v>-150.30000000000001</v>
      </c>
      <c r="N25" s="89" t="s">
        <v>195</v>
      </c>
      <c r="O25" s="99">
        <f>IF(P25=0,0,Q25/P25)</f>
        <v>-21.632800000000003</v>
      </c>
      <c r="P25" s="93">
        <v>125</v>
      </c>
      <c r="Q25" s="81">
        <v>-2704.1000000000004</v>
      </c>
    </row>
    <row r="26" spans="1:17" x14ac:dyDescent="0.4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3.5714285714285713E-3</v>
      </c>
      <c r="I26" s="68">
        <v>7</v>
      </c>
      <c r="K26" s="5">
        <v>24</v>
      </c>
      <c r="L26" s="73">
        <v>-196.10000000000002</v>
      </c>
      <c r="N26" s="89" t="s">
        <v>196</v>
      </c>
      <c r="O26" s="99">
        <f>IF(P26=0,0,Q26/P26)</f>
        <v>-45.699999999999996</v>
      </c>
      <c r="P26" s="93">
        <v>3</v>
      </c>
      <c r="Q26" s="81">
        <v>-137.1</v>
      </c>
    </row>
    <row r="27" spans="1:17" x14ac:dyDescent="0.4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3.5714285714285713E-3</v>
      </c>
      <c r="I27" s="68">
        <v>4</v>
      </c>
      <c r="K27" s="5">
        <v>25</v>
      </c>
      <c r="L27" s="73">
        <v>-240.00000000000003</v>
      </c>
    </row>
    <row r="28" spans="1:17" x14ac:dyDescent="0.4">
      <c r="A28" s="64" t="s">
        <v>134</v>
      </c>
      <c r="B28" s="131">
        <v>8</v>
      </c>
      <c r="C28" s="132"/>
      <c r="E28" s="44" t="s">
        <v>101</v>
      </c>
      <c r="F28" s="41" t="s">
        <v>56</v>
      </c>
      <c r="G28" s="34">
        <v>2</v>
      </c>
      <c r="H28" s="107">
        <f>IF(B$47=0,0,G28/B$47)</f>
        <v>3.5714285714285713E-3</v>
      </c>
      <c r="I28" s="68">
        <v>1</v>
      </c>
      <c r="K28" s="5">
        <v>26</v>
      </c>
      <c r="L28" s="73">
        <v>-277</v>
      </c>
    </row>
    <row r="29" spans="1:17" x14ac:dyDescent="0.4">
      <c r="A29" s="40" t="s">
        <v>177</v>
      </c>
      <c r="B29" s="129">
        <v>103000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1.7857142857142857E-3</v>
      </c>
      <c r="I29" s="68">
        <v>6</v>
      </c>
      <c r="K29" s="5">
        <v>27</v>
      </c>
      <c r="L29" s="73">
        <v>-266.7</v>
      </c>
    </row>
    <row r="30" spans="1:17" x14ac:dyDescent="0.4">
      <c r="A30" s="39" t="s">
        <v>135</v>
      </c>
      <c r="B30" s="27">
        <v>7</v>
      </c>
      <c r="C30" s="32">
        <f>IF(B$3=0,0,B30/B$3)</f>
        <v>3.3540967896502154E-3</v>
      </c>
      <c r="E30" s="44" t="s">
        <v>88</v>
      </c>
      <c r="F30" s="41" t="s">
        <v>43</v>
      </c>
      <c r="G30" s="34">
        <v>1</v>
      </c>
      <c r="H30" s="107">
        <f>IF(B$47=0,0,G30/B$47)</f>
        <v>1.7857142857142857E-3</v>
      </c>
      <c r="I30" s="68">
        <v>4</v>
      </c>
      <c r="K30" s="5">
        <v>28</v>
      </c>
      <c r="L30" s="73">
        <v>-283.7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">
      <c r="A32" s="64" t="s">
        <v>168</v>
      </c>
      <c r="B32" s="122">
        <v>40</v>
      </c>
      <c r="C32" s="119">
        <f>IF(B$15=0,0,B32/B$15)</f>
        <v>7.1428571428571425E-2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37" t="s">
        <v>164</v>
      </c>
      <c r="B33" s="34">
        <v>88</v>
      </c>
      <c r="C33" s="31">
        <f t="shared" ref="C33:C44" si="2">IF(B$15=0,0,B33/B$15)</f>
        <v>0.15714285714285714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7" t="s">
        <v>165</v>
      </c>
      <c r="B34" s="123">
        <v>107</v>
      </c>
      <c r="C34" s="31">
        <f>IF(B$15=0,0,B34/B$15)</f>
        <v>0.19107142857142856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-360.79999999999995</v>
      </c>
    </row>
    <row r="35" spans="1:12" x14ac:dyDescent="0.4">
      <c r="A35" s="37" t="s">
        <v>166</v>
      </c>
      <c r="B35" s="123">
        <v>93</v>
      </c>
      <c r="C35" s="31">
        <f t="shared" si="2"/>
        <v>0.16607142857142856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37" t="s">
        <v>167</v>
      </c>
      <c r="B36" s="123">
        <v>96</v>
      </c>
      <c r="C36" s="31">
        <f t="shared" si="2"/>
        <v>0.17142857142857143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">
      <c r="A37" s="37" t="s">
        <v>169</v>
      </c>
      <c r="B37" s="123">
        <v>57</v>
      </c>
      <c r="C37" s="31">
        <f t="shared" si="2"/>
        <v>0.10178571428571428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170</v>
      </c>
      <c r="B38" s="123">
        <v>33</v>
      </c>
      <c r="C38" s="31">
        <f t="shared" si="2"/>
        <v>5.8928571428571427E-2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171</v>
      </c>
      <c r="B39" s="123">
        <v>16</v>
      </c>
      <c r="C39" s="31">
        <f t="shared" si="2"/>
        <v>2.8571428571428571E-2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172</v>
      </c>
      <c r="B40" s="123">
        <v>13</v>
      </c>
      <c r="C40" s="31">
        <f t="shared" si="2"/>
        <v>2.3214285714285715E-2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173</v>
      </c>
      <c r="B41" s="123">
        <v>8</v>
      </c>
      <c r="C41" s="31">
        <f t="shared" si="2"/>
        <v>1.4285714285714285E-2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174</v>
      </c>
      <c r="B42" s="123">
        <v>2</v>
      </c>
      <c r="C42" s="31">
        <f t="shared" si="2"/>
        <v>3.5714285714285713E-3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175</v>
      </c>
      <c r="B43" s="123">
        <v>1</v>
      </c>
      <c r="C43" s="31">
        <f t="shared" si="2"/>
        <v>1.7857142857142857E-3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9" t="s">
        <v>176</v>
      </c>
      <c r="B44" s="124">
        <v>6</v>
      </c>
      <c r="C44" s="32">
        <f t="shared" si="2"/>
        <v>1.0714285714285714E-2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64" t="s">
        <v>181</v>
      </c>
      <c r="B46" s="127">
        <v>2087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9" t="s">
        <v>182</v>
      </c>
      <c r="B47" s="125">
        <v>560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">
      <c r="K53" s="5">
        <v>51</v>
      </c>
      <c r="L53" s="73">
        <v>-601.09999999999991</v>
      </c>
    </row>
    <row r="54" spans="5:12" x14ac:dyDescent="0.4">
      <c r="K54" s="5">
        <v>52</v>
      </c>
      <c r="L54" s="73">
        <v>-608.19999999999993</v>
      </c>
    </row>
    <row r="55" spans="5:12" x14ac:dyDescent="0.4">
      <c r="K55" s="5">
        <v>53</v>
      </c>
      <c r="L55" s="73">
        <v>-616.09999999999991</v>
      </c>
    </row>
    <row r="56" spans="5:12" x14ac:dyDescent="0.4">
      <c r="K56" s="5">
        <v>54</v>
      </c>
      <c r="L56" s="73">
        <v>-613.89999999999986</v>
      </c>
    </row>
    <row r="57" spans="5:12" x14ac:dyDescent="0.4">
      <c r="K57" s="5">
        <v>55</v>
      </c>
      <c r="L57" s="73">
        <v>-690.49999999999989</v>
      </c>
    </row>
    <row r="58" spans="5:12" x14ac:dyDescent="0.4">
      <c r="K58" s="5">
        <v>56</v>
      </c>
      <c r="L58" s="73">
        <v>-655.69999999999993</v>
      </c>
    </row>
    <row r="59" spans="5:12" x14ac:dyDescent="0.4">
      <c r="K59" s="5">
        <v>57</v>
      </c>
      <c r="L59" s="73">
        <v>-643.5</v>
      </c>
    </row>
    <row r="60" spans="5:12" x14ac:dyDescent="0.4">
      <c r="K60" s="5">
        <v>58</v>
      </c>
      <c r="L60" s="73">
        <v>-597.5</v>
      </c>
    </row>
    <row r="61" spans="5:12" x14ac:dyDescent="0.4">
      <c r="K61" s="5">
        <v>59</v>
      </c>
      <c r="L61" s="73">
        <v>-600.69999999999993</v>
      </c>
    </row>
    <row r="62" spans="5:12" x14ac:dyDescent="0.4">
      <c r="K62" s="5">
        <v>60</v>
      </c>
      <c r="L62" s="73">
        <v>-658.89999999999986</v>
      </c>
    </row>
    <row r="63" spans="5:12" x14ac:dyDescent="0.4">
      <c r="K63" s="5">
        <v>61</v>
      </c>
      <c r="L63" s="73">
        <v>-606.39999999999986</v>
      </c>
    </row>
    <row r="64" spans="5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-449.29999999999995</v>
      </c>
    </row>
    <row r="198" spans="11:12" x14ac:dyDescent="0.4">
      <c r="K198" s="5">
        <v>196</v>
      </c>
      <c r="L198" s="73">
        <v>-465.4</v>
      </c>
    </row>
    <row r="199" spans="11:12" x14ac:dyDescent="0.4">
      <c r="K199" s="5">
        <v>197</v>
      </c>
      <c r="L199" s="73">
        <v>-458.79999999999995</v>
      </c>
    </row>
    <row r="200" spans="11:12" x14ac:dyDescent="0.4">
      <c r="K200" s="5">
        <v>198</v>
      </c>
      <c r="L200" s="73">
        <v>-454.4</v>
      </c>
    </row>
    <row r="201" spans="11:12" x14ac:dyDescent="0.4">
      <c r="K201" s="5">
        <v>199</v>
      </c>
      <c r="L201" s="73">
        <v>-456</v>
      </c>
    </row>
    <row r="202" spans="11:12" x14ac:dyDescent="0.4">
      <c r="K202" s="5">
        <v>200</v>
      </c>
      <c r="L202" s="73">
        <v>-447.4</v>
      </c>
    </row>
    <row r="203" spans="11:12" x14ac:dyDescent="0.4">
      <c r="K203" s="5">
        <v>201</v>
      </c>
      <c r="L203" s="73">
        <v>-385.9</v>
      </c>
    </row>
    <row r="204" spans="11:12" x14ac:dyDescent="0.4">
      <c r="K204" s="5">
        <v>202</v>
      </c>
      <c r="L204" s="73">
        <v>-420.79999999999995</v>
      </c>
    </row>
    <row r="205" spans="11:12" x14ac:dyDescent="0.4">
      <c r="K205" s="5">
        <v>203</v>
      </c>
      <c r="L205" s="73">
        <v>-408.59999999999997</v>
      </c>
    </row>
    <row r="206" spans="11:12" x14ac:dyDescent="0.4">
      <c r="K206" s="5">
        <v>204</v>
      </c>
      <c r="L206" s="73">
        <v>-428.59999999999997</v>
      </c>
    </row>
    <row r="207" spans="11:12" x14ac:dyDescent="0.4">
      <c r="K207" s="5">
        <v>205</v>
      </c>
      <c r="L207" s="73">
        <v>-416</v>
      </c>
    </row>
    <row r="208" spans="11:12" x14ac:dyDescent="0.4">
      <c r="K208" s="5">
        <v>206</v>
      </c>
      <c r="L208" s="73">
        <v>-390.4</v>
      </c>
    </row>
    <row r="209" spans="11:12" x14ac:dyDescent="0.4">
      <c r="K209" s="5">
        <v>207</v>
      </c>
      <c r="L209" s="73">
        <v>-391</v>
      </c>
    </row>
    <row r="210" spans="11:12" x14ac:dyDescent="0.4">
      <c r="K210" s="5">
        <v>208</v>
      </c>
      <c r="L210" s="73">
        <v>-397.79999999999995</v>
      </c>
    </row>
    <row r="211" spans="11:12" x14ac:dyDescent="0.4">
      <c r="K211" s="5">
        <v>209</v>
      </c>
      <c r="L211" s="73">
        <v>-388.7</v>
      </c>
    </row>
    <row r="212" spans="11:12" x14ac:dyDescent="0.4">
      <c r="K212" s="5">
        <v>210</v>
      </c>
      <c r="L212" s="73">
        <v>-391.7</v>
      </c>
    </row>
    <row r="213" spans="11:12" x14ac:dyDescent="0.4">
      <c r="K213" s="5">
        <v>211</v>
      </c>
      <c r="L213" s="73">
        <v>-410</v>
      </c>
    </row>
    <row r="214" spans="11:12" x14ac:dyDescent="0.4">
      <c r="K214" s="5">
        <v>212</v>
      </c>
      <c r="L214" s="73">
        <v>-361.09999999999997</v>
      </c>
    </row>
    <row r="215" spans="11:12" x14ac:dyDescent="0.4">
      <c r="K215" s="5">
        <v>213</v>
      </c>
      <c r="L215" s="73">
        <v>-401.2</v>
      </c>
    </row>
    <row r="216" spans="11:12" x14ac:dyDescent="0.4">
      <c r="K216" s="5">
        <v>214</v>
      </c>
      <c r="L216" s="73">
        <v>-384.59999999999997</v>
      </c>
    </row>
    <row r="217" spans="11:12" x14ac:dyDescent="0.4">
      <c r="K217" s="5">
        <v>215</v>
      </c>
      <c r="L217" s="73">
        <v>-359.79999999999995</v>
      </c>
    </row>
    <row r="218" spans="11:12" x14ac:dyDescent="0.4">
      <c r="K218" s="5">
        <v>216</v>
      </c>
      <c r="L218" s="73">
        <v>-320.5</v>
      </c>
    </row>
    <row r="219" spans="11:12" x14ac:dyDescent="0.4">
      <c r="K219" s="5">
        <v>217</v>
      </c>
      <c r="L219" s="73">
        <v>-376.4</v>
      </c>
    </row>
    <row r="220" spans="11:12" x14ac:dyDescent="0.4">
      <c r="K220" s="5">
        <v>218</v>
      </c>
      <c r="L220" s="73">
        <v>-370.4</v>
      </c>
    </row>
    <row r="221" spans="11:12" x14ac:dyDescent="0.4">
      <c r="K221" s="5">
        <v>219</v>
      </c>
      <c r="L221" s="73">
        <v>-385.7</v>
      </c>
    </row>
    <row r="222" spans="11:12" x14ac:dyDescent="0.4">
      <c r="K222" s="5">
        <v>220</v>
      </c>
      <c r="L222" s="73">
        <v>-351.09999999999997</v>
      </c>
    </row>
    <row r="223" spans="11:12" x14ac:dyDescent="0.4">
      <c r="K223" s="5">
        <v>221</v>
      </c>
      <c r="L223" s="73">
        <v>-357.59999999999997</v>
      </c>
    </row>
    <row r="224" spans="11:12" x14ac:dyDescent="0.4">
      <c r="K224" s="5">
        <v>222</v>
      </c>
      <c r="L224" s="73">
        <v>-382.9</v>
      </c>
    </row>
    <row r="225" spans="11:12" x14ac:dyDescent="0.4">
      <c r="K225" s="5">
        <v>223</v>
      </c>
      <c r="L225" s="73">
        <v>-403.79999999999995</v>
      </c>
    </row>
    <row r="226" spans="11:12" x14ac:dyDescent="0.4">
      <c r="K226" s="5">
        <v>224</v>
      </c>
      <c r="L226" s="73">
        <v>-400.29999999999995</v>
      </c>
    </row>
    <row r="227" spans="11:12" x14ac:dyDescent="0.4">
      <c r="K227" s="5">
        <v>225</v>
      </c>
      <c r="L227" s="73">
        <v>-433.29999999999995</v>
      </c>
    </row>
    <row r="228" spans="11:12" x14ac:dyDescent="0.4">
      <c r="K228" s="5">
        <v>226</v>
      </c>
      <c r="L228" s="73">
        <v>-457.4</v>
      </c>
    </row>
    <row r="229" spans="11:12" x14ac:dyDescent="0.4">
      <c r="K229" s="5">
        <v>227</v>
      </c>
      <c r="L229" s="73">
        <v>-447.09999999999997</v>
      </c>
    </row>
    <row r="230" spans="11:12" x14ac:dyDescent="0.4">
      <c r="K230" s="5">
        <v>228</v>
      </c>
      <c r="L230" s="73">
        <v>-451.5</v>
      </c>
    </row>
    <row r="231" spans="11:12" x14ac:dyDescent="0.4">
      <c r="K231" s="5">
        <v>229</v>
      </c>
      <c r="L231" s="73">
        <v>-465.7</v>
      </c>
    </row>
    <row r="232" spans="11:12" x14ac:dyDescent="0.4">
      <c r="K232" s="5">
        <v>230</v>
      </c>
      <c r="L232" s="73">
        <v>-463.2</v>
      </c>
    </row>
    <row r="233" spans="11:12" x14ac:dyDescent="0.4">
      <c r="K233" s="5">
        <v>231</v>
      </c>
      <c r="L233" s="73">
        <v>-433.09999999999997</v>
      </c>
    </row>
    <row r="234" spans="11:12" x14ac:dyDescent="0.4">
      <c r="K234" s="5">
        <v>232</v>
      </c>
      <c r="L234" s="73">
        <v>-435</v>
      </c>
    </row>
    <row r="235" spans="11:12" x14ac:dyDescent="0.4">
      <c r="K235" s="5">
        <v>233</v>
      </c>
      <c r="L235" s="73">
        <v>-425.7</v>
      </c>
    </row>
    <row r="236" spans="11:12" x14ac:dyDescent="0.4">
      <c r="K236" s="5">
        <v>234</v>
      </c>
      <c r="L236" s="73">
        <v>-484.79999999999995</v>
      </c>
    </row>
    <row r="237" spans="11:12" x14ac:dyDescent="0.4">
      <c r="K237" s="5">
        <v>235</v>
      </c>
      <c r="L237" s="73">
        <v>-530.9</v>
      </c>
    </row>
    <row r="238" spans="11:12" x14ac:dyDescent="0.4">
      <c r="K238" s="5">
        <v>236</v>
      </c>
      <c r="L238" s="73">
        <v>-567.5</v>
      </c>
    </row>
    <row r="239" spans="11:12" x14ac:dyDescent="0.4">
      <c r="K239" s="5">
        <v>237</v>
      </c>
      <c r="L239" s="73">
        <v>-563.29999999999995</v>
      </c>
    </row>
    <row r="240" spans="11:12" x14ac:dyDescent="0.4">
      <c r="K240" s="5">
        <v>238</v>
      </c>
      <c r="L240" s="73">
        <v>-513.5</v>
      </c>
    </row>
    <row r="241" spans="11:12" x14ac:dyDescent="0.4">
      <c r="K241" s="5">
        <v>239</v>
      </c>
      <c r="L241" s="73">
        <v>-514.70000000000005</v>
      </c>
    </row>
    <row r="242" spans="11:12" x14ac:dyDescent="0.4">
      <c r="K242" s="5">
        <v>240</v>
      </c>
      <c r="L242" s="73">
        <v>-526.1</v>
      </c>
    </row>
    <row r="243" spans="11:12" x14ac:dyDescent="0.4">
      <c r="K243" s="5">
        <v>241</v>
      </c>
      <c r="L243" s="73">
        <v>-517.29999999999995</v>
      </c>
    </row>
    <row r="244" spans="11:12" x14ac:dyDescent="0.4">
      <c r="K244" s="5">
        <v>242</v>
      </c>
      <c r="L244" s="73">
        <v>-494.9</v>
      </c>
    </row>
    <row r="245" spans="11:12" x14ac:dyDescent="0.4">
      <c r="K245" s="5">
        <v>243</v>
      </c>
      <c r="L245" s="73">
        <v>-481.3</v>
      </c>
    </row>
    <row r="246" spans="11:12" x14ac:dyDescent="0.4">
      <c r="K246" s="5">
        <v>244</v>
      </c>
      <c r="L246" s="73">
        <v>-454.90000000000003</v>
      </c>
    </row>
    <row r="247" spans="11:12" x14ac:dyDescent="0.4">
      <c r="K247" s="5">
        <v>245</v>
      </c>
      <c r="L247" s="73">
        <v>-460.7</v>
      </c>
    </row>
    <row r="248" spans="11:12" x14ac:dyDescent="0.4">
      <c r="K248" s="5">
        <v>246</v>
      </c>
      <c r="L248" s="73">
        <v>-517.1</v>
      </c>
    </row>
    <row r="249" spans="11:12" x14ac:dyDescent="0.4">
      <c r="K249" s="5">
        <v>247</v>
      </c>
      <c r="L249" s="73">
        <v>-455.1</v>
      </c>
    </row>
    <row r="250" spans="11:12" x14ac:dyDescent="0.4">
      <c r="K250" s="5">
        <v>248</v>
      </c>
      <c r="L250" s="73">
        <v>-452.4</v>
      </c>
    </row>
    <row r="251" spans="11:12" x14ac:dyDescent="0.4">
      <c r="K251" s="5">
        <v>249</v>
      </c>
      <c r="L251" s="73">
        <v>-414.6</v>
      </c>
    </row>
    <row r="252" spans="11:12" x14ac:dyDescent="0.4">
      <c r="K252" s="5">
        <v>250</v>
      </c>
      <c r="L252" s="73">
        <v>-388.7</v>
      </c>
    </row>
    <row r="253" spans="11:12" x14ac:dyDescent="0.4">
      <c r="K253" s="5">
        <v>251</v>
      </c>
      <c r="L253" s="73">
        <v>-401.6</v>
      </c>
    </row>
    <row r="254" spans="11:12" x14ac:dyDescent="0.4">
      <c r="K254" s="5">
        <v>252</v>
      </c>
      <c r="L254" s="73">
        <v>-365.6</v>
      </c>
    </row>
    <row r="255" spans="11:12" x14ac:dyDescent="0.4">
      <c r="K255" s="5">
        <v>253</v>
      </c>
      <c r="L255" s="73">
        <v>-345.2</v>
      </c>
    </row>
    <row r="256" spans="11:12" x14ac:dyDescent="0.4">
      <c r="K256" s="5">
        <v>254</v>
      </c>
      <c r="L256" s="73">
        <v>-383.5</v>
      </c>
    </row>
    <row r="257" spans="11:12" x14ac:dyDescent="0.4">
      <c r="K257" s="5">
        <v>255</v>
      </c>
      <c r="L257" s="73">
        <v>-376.1</v>
      </c>
    </row>
    <row r="258" spans="11:12" x14ac:dyDescent="0.4">
      <c r="K258" s="5">
        <v>256</v>
      </c>
      <c r="L258" s="73">
        <v>-402.90000000000003</v>
      </c>
    </row>
    <row r="259" spans="11:12" x14ac:dyDescent="0.4">
      <c r="K259" s="5">
        <v>257</v>
      </c>
      <c r="L259" s="73">
        <v>-423.1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1111-ECD7-409A-9C68-A0422D48AEDF}">
  <sheetPr codeName="Sheet16"/>
  <dimension ref="A1:Q9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97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0.75221238938053092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-2812.5</v>
      </c>
      <c r="P2" s="92">
        <v>96</v>
      </c>
      <c r="Q2" s="76">
        <v>-270000</v>
      </c>
    </row>
    <row r="3" spans="1:17" x14ac:dyDescent="0.4">
      <c r="A3" s="37" t="s">
        <v>8</v>
      </c>
      <c r="B3" s="137">
        <v>846</v>
      </c>
      <c r="C3" s="138"/>
      <c r="E3" s="44" t="s">
        <v>64</v>
      </c>
      <c r="F3" s="41" t="s">
        <v>20</v>
      </c>
      <c r="G3" s="34">
        <v>106</v>
      </c>
      <c r="H3" s="107">
        <f>IF(B$47=0,0,G3/B$47)</f>
        <v>0.46902654867256638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389.58333333333331</v>
      </c>
      <c r="P3" s="93">
        <v>96</v>
      </c>
      <c r="Q3" s="77">
        <v>37400</v>
      </c>
    </row>
    <row r="4" spans="1:17" x14ac:dyDescent="0.4">
      <c r="A4" s="37" t="s">
        <v>6</v>
      </c>
      <c r="B4" s="139">
        <v>-713.5</v>
      </c>
      <c r="C4" s="140"/>
      <c r="E4" s="44" t="s">
        <v>72</v>
      </c>
      <c r="F4" s="41" t="s">
        <v>27</v>
      </c>
      <c r="G4" s="34">
        <v>105</v>
      </c>
      <c r="H4" s="107">
        <f>IF(B$47=0,0,G4/B$47)</f>
        <v>0.46460176991150443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-1573.9130434782608</v>
      </c>
      <c r="P4" s="93">
        <v>92</v>
      </c>
      <c r="Q4" s="77">
        <v>-144800</v>
      </c>
    </row>
    <row r="5" spans="1:17" x14ac:dyDescent="0.4">
      <c r="A5" s="37" t="s">
        <v>7</v>
      </c>
      <c r="B5" s="141">
        <f>IF(B$2=0,0,B$4/B$2)</f>
        <v>-7.3556701030927831</v>
      </c>
      <c r="C5" s="142"/>
      <c r="E5" s="44" t="s">
        <v>68</v>
      </c>
      <c r="F5" s="41" t="s">
        <v>12</v>
      </c>
      <c r="G5" s="34">
        <v>88</v>
      </c>
      <c r="H5" s="107">
        <f>IF(B$47=0,0,G5/B$47)</f>
        <v>0.38938053097345132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-3184.5238095238096</v>
      </c>
      <c r="P5" s="93">
        <v>84</v>
      </c>
      <c r="Q5" s="77">
        <v>-267500</v>
      </c>
    </row>
    <row r="6" spans="1:17" x14ac:dyDescent="0.4">
      <c r="A6" s="37" t="s">
        <v>1</v>
      </c>
      <c r="B6" s="133">
        <f>IF(B$2=0,0,(B$7*1+B$8*2+B$9*3)/B$2)</f>
        <v>2.1443298969072164</v>
      </c>
      <c r="C6" s="134"/>
      <c r="E6" s="44" t="s">
        <v>157</v>
      </c>
      <c r="F6" s="41" t="s">
        <v>158</v>
      </c>
      <c r="G6" s="34">
        <v>79</v>
      </c>
      <c r="H6" s="107">
        <f>IF(B$47=0,0,G6/B$47)</f>
        <v>0.34955752212389379</v>
      </c>
      <c r="I6" s="68">
        <v>4</v>
      </c>
      <c r="K6" s="5">
        <v>4</v>
      </c>
      <c r="L6" s="73">
        <v>52.3</v>
      </c>
      <c r="N6" s="89" t="s">
        <v>130</v>
      </c>
      <c r="O6" s="96">
        <f t="shared" si="0"/>
        <v>1229.3333333333333</v>
      </c>
      <c r="P6" s="93">
        <v>75</v>
      </c>
      <c r="Q6" s="77">
        <v>92200</v>
      </c>
    </row>
    <row r="7" spans="1:17" x14ac:dyDescent="0.4">
      <c r="A7" s="37" t="s">
        <v>2</v>
      </c>
      <c r="B7" s="34">
        <v>27</v>
      </c>
      <c r="C7" s="31">
        <f t="shared" ref="C7:C10" si="1">IF(B$2=0,0,B7/B$2)</f>
        <v>0.27835051546391754</v>
      </c>
      <c r="E7" s="44" t="s">
        <v>67</v>
      </c>
      <c r="F7" s="41" t="s">
        <v>23</v>
      </c>
      <c r="G7" s="34">
        <v>50</v>
      </c>
      <c r="H7" s="107">
        <f>IF(B$47=0,0,G7/B$47)</f>
        <v>0.22123893805309736</v>
      </c>
      <c r="I7" s="68">
        <v>14</v>
      </c>
      <c r="K7" s="5">
        <v>5</v>
      </c>
      <c r="L7" s="73">
        <v>15</v>
      </c>
      <c r="N7" s="90" t="s">
        <v>131</v>
      </c>
      <c r="O7" s="97">
        <f t="shared" si="0"/>
        <v>84.848484848484844</v>
      </c>
      <c r="P7" s="94">
        <v>66</v>
      </c>
      <c r="Q7" s="78">
        <v>5600</v>
      </c>
    </row>
    <row r="8" spans="1:17" x14ac:dyDescent="0.4">
      <c r="A8" s="37" t="s">
        <v>3</v>
      </c>
      <c r="B8" s="34">
        <v>29</v>
      </c>
      <c r="C8" s="31">
        <f t="shared" si="1"/>
        <v>0.29896907216494845</v>
      </c>
      <c r="E8" s="44" t="s">
        <v>69</v>
      </c>
      <c r="F8" s="41" t="s">
        <v>24</v>
      </c>
      <c r="G8" s="34">
        <v>32</v>
      </c>
      <c r="H8" s="107">
        <f>IF(B$47=0,0,G8/B$47)</f>
        <v>0.1415929203539823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41</v>
      </c>
      <c r="C9" s="7">
        <f t="shared" si="1"/>
        <v>0.42268041237113402</v>
      </c>
      <c r="E9" s="44" t="s">
        <v>70</v>
      </c>
      <c r="F9" s="41" t="s">
        <v>25</v>
      </c>
      <c r="G9" s="34">
        <v>26</v>
      </c>
      <c r="H9" s="107">
        <f>IF(B$47=0,0,G9/B$47)</f>
        <v>0.11504424778761062</v>
      </c>
      <c r="I9" s="68">
        <v>3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16</v>
      </c>
      <c r="C10" s="32">
        <f t="shared" si="1"/>
        <v>0.16494845360824742</v>
      </c>
      <c r="E10" s="44" t="s">
        <v>89</v>
      </c>
      <c r="F10" s="41" t="s">
        <v>44</v>
      </c>
      <c r="G10" s="34">
        <v>26</v>
      </c>
      <c r="H10" s="107">
        <f>IF(B$47=0,0,G10/B$47)</f>
        <v>0.11504424778761062</v>
      </c>
      <c r="I10" s="68">
        <v>11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">
      <c r="A11" s="40" t="s">
        <v>121</v>
      </c>
      <c r="B11" s="16">
        <v>191</v>
      </c>
      <c r="C11" s="11">
        <f>IF(B$46=0,0,B11/B$46)</f>
        <v>0.22576832151300236</v>
      </c>
      <c r="E11" s="44" t="s">
        <v>65</v>
      </c>
      <c r="F11" s="41" t="s">
        <v>21</v>
      </c>
      <c r="G11" s="34">
        <v>20</v>
      </c>
      <c r="H11" s="107">
        <f>IF(B$47=0,0,G11/B$47)</f>
        <v>8.8495575221238937E-2</v>
      </c>
      <c r="I11" s="68">
        <v>14</v>
      </c>
      <c r="K11" s="5">
        <v>9</v>
      </c>
      <c r="L11" s="73">
        <v>-70.599999999999994</v>
      </c>
      <c r="N11" s="89" t="s">
        <v>150</v>
      </c>
      <c r="O11" s="99">
        <f>IF(P11=0,0,Q11/P11)</f>
        <v>-5.2052631578947368</v>
      </c>
      <c r="P11" s="93">
        <v>38</v>
      </c>
      <c r="Q11" s="81">
        <v>-197.8</v>
      </c>
    </row>
    <row r="12" spans="1:17" x14ac:dyDescent="0.4">
      <c r="A12" s="37" t="s">
        <v>118</v>
      </c>
      <c r="B12" s="34">
        <v>173</v>
      </c>
      <c r="C12" s="31">
        <f>IF(B$46=0,0,B12/B$46)</f>
        <v>0.2044917257683215</v>
      </c>
      <c r="E12" s="44" t="s">
        <v>71</v>
      </c>
      <c r="F12" s="41" t="s">
        <v>26</v>
      </c>
      <c r="G12" s="34">
        <v>13</v>
      </c>
      <c r="H12" s="107">
        <f>IF(B$47=0,0,G12/B$47)</f>
        <v>5.7522123893805309E-2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">
      <c r="A13" s="19" t="s">
        <v>123</v>
      </c>
      <c r="B13" s="13">
        <v>109</v>
      </c>
      <c r="C13" s="4">
        <f>IF(B$11=0,0,B13/B$11)</f>
        <v>0.5706806282722513</v>
      </c>
      <c r="E13" s="44" t="s">
        <v>86</v>
      </c>
      <c r="F13" s="41" t="s">
        <v>41</v>
      </c>
      <c r="G13" s="34">
        <v>12</v>
      </c>
      <c r="H13" s="107">
        <f>IF(B$47=0,0,G13/B$47)</f>
        <v>5.3097345132743362E-2</v>
      </c>
      <c r="I13" s="68">
        <v>13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58</v>
      </c>
      <c r="C14" s="4">
        <f>IF(B$12=0,0,B14/B$12)</f>
        <v>0.33526011560693642</v>
      </c>
      <c r="E14" s="44" t="s">
        <v>78</v>
      </c>
      <c r="F14" s="41" t="s">
        <v>33</v>
      </c>
      <c r="G14" s="34">
        <v>7</v>
      </c>
      <c r="H14" s="107">
        <f>IF(B$47=0,0,G14/B$47)</f>
        <v>3.0973451327433628E-2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226</v>
      </c>
      <c r="C15" s="4">
        <f>IF(B$3=0,0,B15/B$3)</f>
        <v>0.26713947990543735</v>
      </c>
      <c r="E15" s="44" t="s">
        <v>83</v>
      </c>
      <c r="F15" s="41" t="s">
        <v>38</v>
      </c>
      <c r="G15" s="34">
        <v>7</v>
      </c>
      <c r="H15" s="107">
        <f>IF(B$47=0,0,G15/B$47)</f>
        <v>3.0973451327433628E-2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">
      <c r="A16" s="37" t="s">
        <v>13</v>
      </c>
      <c r="B16" s="34">
        <v>163</v>
      </c>
      <c r="C16" s="31">
        <f>IF(B$3=0,0,B16/B$3)</f>
        <v>0.19267139479905437</v>
      </c>
      <c r="E16" s="44" t="s">
        <v>79</v>
      </c>
      <c r="F16" s="41" t="s">
        <v>34</v>
      </c>
      <c r="G16" s="34">
        <v>4</v>
      </c>
      <c r="H16" s="107">
        <f>IF(B$47=0,0,G16/B$47)</f>
        <v>1.7699115044247787E-2</v>
      </c>
      <c r="I16" s="68">
        <v>6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37" t="s">
        <v>12</v>
      </c>
      <c r="B17" s="34">
        <v>116</v>
      </c>
      <c r="C17" s="31">
        <f>IF(B$15=0,0,B17/B$15)</f>
        <v>0.51327433628318586</v>
      </c>
      <c r="E17" s="44" t="s">
        <v>153</v>
      </c>
      <c r="F17" s="41" t="s">
        <v>154</v>
      </c>
      <c r="G17" s="34">
        <v>4</v>
      </c>
      <c r="H17" s="107">
        <f>IF(B$47=0,0,G17/B$47)</f>
        <v>1.7699115044247787E-2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">
      <c r="A18" s="37" t="s">
        <v>11</v>
      </c>
      <c r="B18" s="34">
        <v>110</v>
      </c>
      <c r="C18" s="31">
        <f>IF(B$15=0,0,B18/B$15)</f>
        <v>0.48672566371681414</v>
      </c>
      <c r="E18" s="44" t="s">
        <v>73</v>
      </c>
      <c r="F18" s="41" t="s">
        <v>28</v>
      </c>
      <c r="G18" s="34">
        <v>3</v>
      </c>
      <c r="H18" s="107">
        <f>IF(B$47=0,0,G18/B$47)</f>
        <v>1.3274336283185841E-2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37" t="s">
        <v>180</v>
      </c>
      <c r="B19" s="34">
        <v>109</v>
      </c>
      <c r="C19" s="31">
        <f>IF(B$15=0,0,B19/B$15)</f>
        <v>0.48230088495575218</v>
      </c>
      <c r="E19" s="44" t="s">
        <v>81</v>
      </c>
      <c r="F19" s="41" t="s">
        <v>36</v>
      </c>
      <c r="G19" s="34">
        <v>3</v>
      </c>
      <c r="H19" s="107">
        <f>IF(B$47=0,0,G19/B$47)</f>
        <v>1.3274336283185841E-2</v>
      </c>
      <c r="I19" s="68">
        <v>12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">
      <c r="A20" s="37" t="s">
        <v>178</v>
      </c>
      <c r="B20" s="34">
        <v>58</v>
      </c>
      <c r="C20" s="31">
        <f>IF(B$15=0,0,B20/B$15)</f>
        <v>0.25663716814159293</v>
      </c>
      <c r="E20" s="44" t="s">
        <v>87</v>
      </c>
      <c r="F20" s="41" t="s">
        <v>42</v>
      </c>
      <c r="G20" s="34">
        <v>2</v>
      </c>
      <c r="H20" s="107">
        <f>IF(B$47=0,0,G20/B$47)</f>
        <v>8.8495575221238937E-3</v>
      </c>
      <c r="I20" s="68">
        <v>1</v>
      </c>
      <c r="K20" s="5">
        <v>18</v>
      </c>
      <c r="L20" s="73">
        <v>-342.69999999999993</v>
      </c>
      <c r="N20" s="89" t="s">
        <v>191</v>
      </c>
      <c r="O20" s="99">
        <f>IF(P20=0,0,Q20/P20)</f>
        <v>-6.6903225806451596</v>
      </c>
      <c r="P20" s="93">
        <v>31</v>
      </c>
      <c r="Q20" s="81">
        <v>-207.39999999999995</v>
      </c>
    </row>
    <row r="21" spans="1:17" x14ac:dyDescent="0.4">
      <c r="A21" s="37" t="s">
        <v>179</v>
      </c>
      <c r="B21" s="34">
        <v>59</v>
      </c>
      <c r="C21" s="31">
        <f>IF(B$15=0,0,B21/B$15)</f>
        <v>0.26106194690265488</v>
      </c>
      <c r="E21" s="44" t="s">
        <v>91</v>
      </c>
      <c r="F21" s="41" t="s">
        <v>46</v>
      </c>
      <c r="G21" s="34">
        <v>2</v>
      </c>
      <c r="H21" s="107">
        <f>IF(B$47=0,0,G21/B$47)</f>
        <v>8.8495575221238937E-3</v>
      </c>
      <c r="I21" s="68">
        <v>12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">
      <c r="A22" s="37" t="s">
        <v>5</v>
      </c>
      <c r="B22" s="17">
        <f>IF(B$15=0,0,C22/B$15)</f>
        <v>7922.1238938053093</v>
      </c>
      <c r="C22" s="8">
        <v>1790400</v>
      </c>
      <c r="E22" s="44" t="s">
        <v>75</v>
      </c>
      <c r="F22" s="41" t="s">
        <v>30</v>
      </c>
      <c r="G22" s="34">
        <v>1</v>
      </c>
      <c r="H22" s="107">
        <f>IF(B$47=0,0,G22/B$47)</f>
        <v>4.4247787610619468E-3</v>
      </c>
      <c r="I22" s="68">
        <v>9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">
      <c r="A23" s="38" t="s">
        <v>162</v>
      </c>
      <c r="B23" s="114">
        <f>IF($B$15-B$14=0,0,C23/($B$15-B$14))</f>
        <v>8687.5</v>
      </c>
      <c r="C23" s="115">
        <v>1459500</v>
      </c>
      <c r="E23" s="44" t="s">
        <v>85</v>
      </c>
      <c r="F23" s="41" t="s">
        <v>40</v>
      </c>
      <c r="G23" s="34">
        <v>1</v>
      </c>
      <c r="H23" s="107">
        <f>IF(B$47=0,0,G23/B$47)</f>
        <v>4.4247787610619468E-3</v>
      </c>
      <c r="I23" s="68">
        <v>3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4.4247787610619468E-3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">
      <c r="A25" s="38" t="s">
        <v>161</v>
      </c>
      <c r="B25" s="114">
        <f>IF(B$16=0,0,C25/B$16)</f>
        <v>-7985.2760736196315</v>
      </c>
      <c r="C25" s="115">
        <v>-1301600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194</v>
      </c>
      <c r="O25" s="99">
        <f>IF(P25=0,0,Q25/P25)</f>
        <v>-59.433333333333337</v>
      </c>
      <c r="P25" s="93">
        <v>3</v>
      </c>
      <c r="Q25" s="81">
        <v>-178.3</v>
      </c>
    </row>
    <row r="26" spans="1:17" x14ac:dyDescent="0.4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</row>
    <row r="27" spans="1:17" x14ac:dyDescent="0.4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40" t="s">
        <v>177</v>
      </c>
      <c r="B29" s="129">
        <v>113300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9" t="s">
        <v>135</v>
      </c>
      <c r="B30" s="27">
        <v>3</v>
      </c>
      <c r="C30" s="32">
        <f>IF(B$3=0,0,B30/B$3)</f>
        <v>3.5460992907801418E-3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6</v>
      </c>
      <c r="K30" s="5">
        <v>28</v>
      </c>
      <c r="L30" s="73">
        <v>-447.9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">
      <c r="A32" s="64" t="s">
        <v>168</v>
      </c>
      <c r="B32" s="122">
        <v>26</v>
      </c>
      <c r="C32" s="119">
        <f>IF(B$15=0,0,B32/B$15)</f>
        <v>0.11504424778761062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-374.09999999999991</v>
      </c>
    </row>
    <row r="33" spans="1:12" x14ac:dyDescent="0.4">
      <c r="A33" s="37" t="s">
        <v>164</v>
      </c>
      <c r="B33" s="34">
        <v>44</v>
      </c>
      <c r="C33" s="31">
        <f t="shared" ref="C33:C44" si="2">IF(B$15=0,0,B33/B$15)</f>
        <v>0.19469026548672566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8</v>
      </c>
      <c r="K33" s="5">
        <v>31</v>
      </c>
      <c r="L33" s="73">
        <v>-343.69999999999993</v>
      </c>
    </row>
    <row r="34" spans="1:12" x14ac:dyDescent="0.4">
      <c r="A34" s="37" t="s">
        <v>165</v>
      </c>
      <c r="B34" s="123">
        <v>39</v>
      </c>
      <c r="C34" s="31">
        <f>IF(B$15=0,0,B34/B$15)</f>
        <v>0.17256637168141592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A35" s="37" t="s">
        <v>166</v>
      </c>
      <c r="B35" s="123">
        <v>38</v>
      </c>
      <c r="C35" s="31">
        <f t="shared" si="2"/>
        <v>0.16814159292035399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37" t="s">
        <v>167</v>
      </c>
      <c r="B36" s="123">
        <v>34</v>
      </c>
      <c r="C36" s="31">
        <f t="shared" si="2"/>
        <v>0.15044247787610621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">
      <c r="A37" s="37" t="s">
        <v>169</v>
      </c>
      <c r="B37" s="123">
        <v>22</v>
      </c>
      <c r="C37" s="31">
        <f t="shared" si="2"/>
        <v>9.7345132743362831E-2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170</v>
      </c>
      <c r="B38" s="123">
        <v>9</v>
      </c>
      <c r="C38" s="31">
        <f t="shared" si="2"/>
        <v>3.9823008849557522E-2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171</v>
      </c>
      <c r="B39" s="123">
        <v>7</v>
      </c>
      <c r="C39" s="31">
        <f t="shared" si="2"/>
        <v>3.0973451327433628E-2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172</v>
      </c>
      <c r="B40" s="123">
        <v>3</v>
      </c>
      <c r="C40" s="31">
        <f t="shared" si="2"/>
        <v>1.3274336283185841E-2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173</v>
      </c>
      <c r="B41" s="123">
        <v>2</v>
      </c>
      <c r="C41" s="31">
        <f t="shared" si="2"/>
        <v>8.8495575221238937E-3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174</v>
      </c>
      <c r="B42" s="123">
        <v>1</v>
      </c>
      <c r="C42" s="31">
        <f t="shared" si="2"/>
        <v>4.4247787610619468E-3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9" t="s">
        <v>176</v>
      </c>
      <c r="B44" s="124">
        <v>1</v>
      </c>
      <c r="C44" s="32">
        <f t="shared" si="2"/>
        <v>4.4247787610619468E-3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64" t="s">
        <v>181</v>
      </c>
      <c r="B46" s="127">
        <v>846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9" t="s">
        <v>182</v>
      </c>
      <c r="B47" s="125">
        <v>226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">
      <c r="K53" s="5">
        <v>51</v>
      </c>
      <c r="L53" s="73">
        <v>-379</v>
      </c>
    </row>
    <row r="54" spans="5:12" x14ac:dyDescent="0.4">
      <c r="K54" s="5">
        <v>52</v>
      </c>
      <c r="L54" s="73">
        <v>-435</v>
      </c>
    </row>
    <row r="55" spans="5:12" x14ac:dyDescent="0.4">
      <c r="K55" s="5">
        <v>53</v>
      </c>
      <c r="L55" s="73">
        <v>-458.69999999999993</v>
      </c>
    </row>
    <row r="56" spans="5:12" x14ac:dyDescent="0.4">
      <c r="K56" s="5">
        <v>54</v>
      </c>
      <c r="L56" s="73">
        <v>-493.79999999999995</v>
      </c>
    </row>
    <row r="57" spans="5:12" x14ac:dyDescent="0.4">
      <c r="K57" s="5">
        <v>55</v>
      </c>
      <c r="L57" s="73">
        <v>-444.79999999999995</v>
      </c>
    </row>
    <row r="58" spans="5:12" x14ac:dyDescent="0.4">
      <c r="K58" s="5">
        <v>56</v>
      </c>
      <c r="L58" s="73">
        <v>-417.69999999999993</v>
      </c>
    </row>
    <row r="59" spans="5:12" x14ac:dyDescent="0.4">
      <c r="K59" s="5">
        <v>57</v>
      </c>
      <c r="L59" s="73">
        <v>-450.5</v>
      </c>
    </row>
    <row r="60" spans="5:12" x14ac:dyDescent="0.4">
      <c r="K60" s="5">
        <v>58</v>
      </c>
      <c r="L60" s="73">
        <v>-532.5</v>
      </c>
    </row>
    <row r="61" spans="5:12" x14ac:dyDescent="0.4">
      <c r="K61" s="5">
        <v>59</v>
      </c>
      <c r="L61" s="73">
        <v>-594.79999999999995</v>
      </c>
    </row>
    <row r="62" spans="5:12" x14ac:dyDescent="0.4">
      <c r="K62" s="5">
        <v>60</v>
      </c>
      <c r="L62" s="73">
        <v>-542.79999999999995</v>
      </c>
    </row>
    <row r="63" spans="5:12" x14ac:dyDescent="0.4">
      <c r="K63" s="5">
        <v>61</v>
      </c>
      <c r="L63" s="73">
        <v>-588.1</v>
      </c>
    </row>
    <row r="64" spans="5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3E26-5BD6-484B-8509-569DCA68EBC9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37">
        <v>253</v>
      </c>
      <c r="C3" s="138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15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39">
        <v>-22.000000000000028</v>
      </c>
      <c r="C4" s="140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12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41">
        <f>IF(B$2=0,0,B$4/B$2)</f>
        <v>-0.7857142857142867</v>
      </c>
      <c r="C5" s="142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33">
        <f>IF(B$2=0,0,(B$7*1+B$8*2+B$9*3)/B$2)</f>
        <v>1.9285714285714286</v>
      </c>
      <c r="C6" s="134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6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5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10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4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13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1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14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3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6</v>
      </c>
      <c r="K25" s="5">
        <v>23</v>
      </c>
      <c r="L25" s="73">
        <v>57.399999999999984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  <c r="K26" s="5">
        <v>24</v>
      </c>
      <c r="L26" s="73">
        <v>10.899999999999977</v>
      </c>
    </row>
    <row r="27" spans="1:17" x14ac:dyDescent="0.4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45.399999999999977</v>
      </c>
    </row>
    <row r="28" spans="1:17" x14ac:dyDescent="0.4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">
      <c r="A29" s="40" t="s">
        <v>177</v>
      </c>
      <c r="B29" s="129">
        <v>106300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  <c r="K29" s="5">
        <v>27</v>
      </c>
      <c r="L29" s="73">
        <v>23.499999999999972</v>
      </c>
    </row>
    <row r="30" spans="1:17" x14ac:dyDescent="0.4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  <c r="K30" s="5">
        <v>28</v>
      </c>
      <c r="L30" s="73">
        <v>-22.000000000000028</v>
      </c>
    </row>
    <row r="31" spans="1:17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17" x14ac:dyDescent="0.4">
      <c r="A32" s="64" t="s">
        <v>168</v>
      </c>
      <c r="B32" s="122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80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055C-9207-4FEC-A78F-3EB4873F0D0E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200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37">
        <v>13</v>
      </c>
      <c r="C3" s="138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7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39">
        <v>13.3</v>
      </c>
      <c r="C4" s="140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1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41">
        <f>IF(B$2=0,0,B$4/B$2)</f>
        <v>13.3</v>
      </c>
      <c r="C5" s="142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33">
        <f>IF(B$2=0,0,(B$7*1+B$8*2+B$9*3)/B$2)</f>
        <v>2</v>
      </c>
      <c r="C6" s="134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14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15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17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</row>
    <row r="19" spans="1:9" x14ac:dyDescent="0.4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13</v>
      </c>
    </row>
    <row r="20" spans="1:9" x14ac:dyDescent="0.4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6</v>
      </c>
    </row>
    <row r="24" spans="1:9" x14ac:dyDescent="0.4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9" x14ac:dyDescent="0.4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9" x14ac:dyDescent="0.4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">
      <c r="A28" s="64" t="s">
        <v>134</v>
      </c>
      <c r="B28" s="131">
        <v>5</v>
      </c>
      <c r="C28" s="132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16</v>
      </c>
    </row>
    <row r="29" spans="1:9" x14ac:dyDescent="0.4">
      <c r="A29" s="40" t="s">
        <v>177</v>
      </c>
      <c r="B29" s="129">
        <v>48300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</row>
    <row r="30" spans="1:9" x14ac:dyDescent="0.4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9" x14ac:dyDescent="0.4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D40-6BA1-4643-94E0-9476305DE3D7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50</v>
      </c>
      <c r="C2" s="128"/>
      <c r="E2" s="43" t="s">
        <v>66</v>
      </c>
      <c r="F2" s="25" t="s">
        <v>22</v>
      </c>
      <c r="G2" s="13">
        <v>63</v>
      </c>
      <c r="H2" s="106">
        <f>IF(B$47=0,0,G2/B$47)</f>
        <v>0.61764705882352944</v>
      </c>
      <c r="I2" s="67">
        <v>14</v>
      </c>
      <c r="K2" s="3">
        <v>0</v>
      </c>
      <c r="L2" s="72">
        <v>0</v>
      </c>
      <c r="N2" s="88" t="s">
        <v>126</v>
      </c>
      <c r="O2" s="95">
        <f t="shared" ref="O2:O7" si="0">IF(P2=0,0,Q2/P2)</f>
        <v>-3322</v>
      </c>
      <c r="P2" s="92">
        <v>50</v>
      </c>
      <c r="Q2" s="76">
        <v>-166100</v>
      </c>
    </row>
    <row r="3" spans="1:17" x14ac:dyDescent="0.4">
      <c r="A3" s="37" t="s">
        <v>8</v>
      </c>
      <c r="B3" s="137">
        <v>414</v>
      </c>
      <c r="C3" s="138"/>
      <c r="E3" s="44" t="s">
        <v>72</v>
      </c>
      <c r="F3" s="41" t="s">
        <v>27</v>
      </c>
      <c r="G3" s="34">
        <v>57</v>
      </c>
      <c r="H3" s="107">
        <f>IF(B$47=0,0,G3/B$47)</f>
        <v>0.55882352941176472</v>
      </c>
      <c r="I3" s="68">
        <v>8</v>
      </c>
      <c r="K3" s="5">
        <v>1</v>
      </c>
      <c r="L3" s="73">
        <v>-43.2</v>
      </c>
      <c r="N3" s="89" t="s">
        <v>127</v>
      </c>
      <c r="O3" s="96">
        <f t="shared" si="0"/>
        <v>-794</v>
      </c>
      <c r="P3" s="93">
        <v>50</v>
      </c>
      <c r="Q3" s="77">
        <v>-39700</v>
      </c>
    </row>
    <row r="4" spans="1:17" x14ac:dyDescent="0.4">
      <c r="A4" s="37" t="s">
        <v>6</v>
      </c>
      <c r="B4" s="139">
        <v>-917.40000000000009</v>
      </c>
      <c r="C4" s="140"/>
      <c r="E4" s="44" t="s">
        <v>64</v>
      </c>
      <c r="F4" s="41" t="s">
        <v>20</v>
      </c>
      <c r="G4" s="34">
        <v>45</v>
      </c>
      <c r="H4" s="107">
        <f>IF(B$47=0,0,G4/B$47)</f>
        <v>0.44117647058823528</v>
      </c>
      <c r="I4" s="68">
        <v>15</v>
      </c>
      <c r="K4" s="5">
        <v>2</v>
      </c>
      <c r="L4" s="73">
        <v>-96.5</v>
      </c>
      <c r="N4" s="89" t="s">
        <v>128</v>
      </c>
      <c r="O4" s="96">
        <f t="shared" si="0"/>
        <v>-1412.2448979591836</v>
      </c>
      <c r="P4" s="93">
        <v>49</v>
      </c>
      <c r="Q4" s="77">
        <v>-69200</v>
      </c>
    </row>
    <row r="5" spans="1:17" x14ac:dyDescent="0.4">
      <c r="A5" s="37" t="s">
        <v>7</v>
      </c>
      <c r="B5" s="141">
        <f>IF(B$2=0,0,B$4/B$2)</f>
        <v>-18.348000000000003</v>
      </c>
      <c r="C5" s="142"/>
      <c r="E5" s="44" t="s">
        <v>157</v>
      </c>
      <c r="F5" s="41" t="s">
        <v>158</v>
      </c>
      <c r="G5" s="34">
        <v>39</v>
      </c>
      <c r="H5" s="107">
        <f>IF(B$47=0,0,G5/B$47)</f>
        <v>0.38235294117647056</v>
      </c>
      <c r="I5" s="68">
        <v>3</v>
      </c>
      <c r="K5" s="5">
        <v>3</v>
      </c>
      <c r="L5" s="73">
        <v>-151.9</v>
      </c>
      <c r="N5" s="89" t="s">
        <v>129</v>
      </c>
      <c r="O5" s="96">
        <f t="shared" si="0"/>
        <v>-1704.4444444444443</v>
      </c>
      <c r="P5" s="93">
        <v>45</v>
      </c>
      <c r="Q5" s="77">
        <v>-76700</v>
      </c>
    </row>
    <row r="6" spans="1:17" x14ac:dyDescent="0.4">
      <c r="A6" s="37" t="s">
        <v>1</v>
      </c>
      <c r="B6" s="133">
        <f>IF(B$2=0,0,(B$7*1+B$8*2+B$9*3)/B$2)</f>
        <v>2.46</v>
      </c>
      <c r="C6" s="134"/>
      <c r="E6" s="44" t="s">
        <v>68</v>
      </c>
      <c r="F6" s="41" t="s">
        <v>12</v>
      </c>
      <c r="G6" s="34">
        <v>29</v>
      </c>
      <c r="H6" s="107">
        <f>IF(B$47=0,0,G6/B$47)</f>
        <v>0.28431372549019607</v>
      </c>
      <c r="I6" s="68">
        <v>12</v>
      </c>
      <c r="K6" s="5">
        <v>4</v>
      </c>
      <c r="L6" s="73">
        <v>-134.1</v>
      </c>
      <c r="N6" s="89" t="s">
        <v>130</v>
      </c>
      <c r="O6" s="96">
        <f t="shared" si="0"/>
        <v>-1773.8095238095239</v>
      </c>
      <c r="P6" s="93">
        <v>42</v>
      </c>
      <c r="Q6" s="77">
        <v>-74500</v>
      </c>
    </row>
    <row r="7" spans="1:17" x14ac:dyDescent="0.4">
      <c r="A7" s="37" t="s">
        <v>2</v>
      </c>
      <c r="B7" s="34">
        <v>6</v>
      </c>
      <c r="C7" s="31">
        <f t="shared" ref="C7:C10" si="1">IF(B$2=0,0,B7/B$2)</f>
        <v>0.12</v>
      </c>
      <c r="E7" s="44" t="s">
        <v>67</v>
      </c>
      <c r="F7" s="41" t="s">
        <v>23</v>
      </c>
      <c r="G7" s="34">
        <v>22</v>
      </c>
      <c r="H7" s="107">
        <f>IF(B$47=0,0,G7/B$47)</f>
        <v>0.21568627450980393</v>
      </c>
      <c r="I7" s="68">
        <v>15</v>
      </c>
      <c r="K7" s="5">
        <v>5</v>
      </c>
      <c r="L7" s="73">
        <v>-152</v>
      </c>
      <c r="N7" s="90" t="s">
        <v>131</v>
      </c>
      <c r="O7" s="97">
        <f t="shared" si="0"/>
        <v>-4047.2222222222222</v>
      </c>
      <c r="P7" s="94">
        <v>36</v>
      </c>
      <c r="Q7" s="78">
        <v>-145700</v>
      </c>
    </row>
    <row r="8" spans="1:17" x14ac:dyDescent="0.4">
      <c r="A8" s="37" t="s">
        <v>3</v>
      </c>
      <c r="B8" s="34">
        <v>15</v>
      </c>
      <c r="C8" s="31">
        <f t="shared" si="1"/>
        <v>0.3</v>
      </c>
      <c r="E8" s="44" t="s">
        <v>89</v>
      </c>
      <c r="F8" s="41" t="s">
        <v>44</v>
      </c>
      <c r="G8" s="34">
        <v>13</v>
      </c>
      <c r="H8" s="107">
        <f>IF(B$47=0,0,G8/B$47)</f>
        <v>0.12745098039215685</v>
      </c>
      <c r="I8" s="68">
        <v>10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29</v>
      </c>
      <c r="C9" s="7">
        <f t="shared" si="1"/>
        <v>0.57999999999999996</v>
      </c>
      <c r="E9" s="44" t="s">
        <v>65</v>
      </c>
      <c r="F9" s="41" t="s">
        <v>21</v>
      </c>
      <c r="G9" s="34">
        <v>11</v>
      </c>
      <c r="H9" s="107">
        <f>IF(B$47=0,0,G9/B$47)</f>
        <v>0.10784313725490197</v>
      </c>
      <c r="I9" s="68">
        <v>8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10</v>
      </c>
      <c r="C10" s="32">
        <f t="shared" si="1"/>
        <v>0.2</v>
      </c>
      <c r="E10" s="44" t="s">
        <v>70</v>
      </c>
      <c r="F10" s="41" t="s">
        <v>25</v>
      </c>
      <c r="G10" s="34">
        <v>11</v>
      </c>
      <c r="H10" s="107">
        <f>IF(B$47=0,0,G10/B$47)</f>
        <v>0.10784313725490197</v>
      </c>
      <c r="I10" s="68">
        <v>6</v>
      </c>
      <c r="K10" s="5">
        <v>8</v>
      </c>
      <c r="L10" s="73">
        <v>-289.8</v>
      </c>
      <c r="N10" s="88" t="s">
        <v>149</v>
      </c>
      <c r="O10" s="98">
        <f>IF(P10=0,0,Q10/P10)</f>
        <v>-25.162499999999998</v>
      </c>
      <c r="P10" s="92">
        <v>24</v>
      </c>
      <c r="Q10" s="80">
        <v>-603.9</v>
      </c>
    </row>
    <row r="11" spans="1:17" x14ac:dyDescent="0.4">
      <c r="A11" s="40" t="s">
        <v>121</v>
      </c>
      <c r="B11" s="16">
        <v>83</v>
      </c>
      <c r="C11" s="11">
        <f>IF(B$46=0,0,B11/B$46)</f>
        <v>0.20048309178743962</v>
      </c>
      <c r="E11" s="44" t="s">
        <v>69</v>
      </c>
      <c r="F11" s="41" t="s">
        <v>24</v>
      </c>
      <c r="G11" s="34">
        <v>8</v>
      </c>
      <c r="H11" s="107">
        <f>IF(B$47=0,0,G11/B$47)</f>
        <v>7.8431372549019607E-2</v>
      </c>
      <c r="I11" s="68">
        <v>16</v>
      </c>
      <c r="K11" s="5">
        <v>9</v>
      </c>
      <c r="L11" s="73">
        <v>-292.60000000000002</v>
      </c>
      <c r="N11" s="89" t="s">
        <v>150</v>
      </c>
      <c r="O11" s="99">
        <f>IF(P11=0,0,Q11/P11)</f>
        <v>-17.146153846153844</v>
      </c>
      <c r="P11" s="93">
        <v>13</v>
      </c>
      <c r="Q11" s="81">
        <v>-222.89999999999998</v>
      </c>
    </row>
    <row r="12" spans="1:17" x14ac:dyDescent="0.4">
      <c r="A12" s="37" t="s">
        <v>118</v>
      </c>
      <c r="B12" s="34">
        <v>98</v>
      </c>
      <c r="C12" s="31">
        <f>IF(B$46=0,0,B12/B$46)</f>
        <v>0.23671497584541062</v>
      </c>
      <c r="E12" s="44" t="s">
        <v>71</v>
      </c>
      <c r="F12" s="41" t="s">
        <v>26</v>
      </c>
      <c r="G12" s="34">
        <v>8</v>
      </c>
      <c r="H12" s="107">
        <f>IF(B$47=0,0,G12/B$47)</f>
        <v>7.8431372549019607E-2</v>
      </c>
      <c r="I12" s="68">
        <v>5</v>
      </c>
      <c r="K12" s="5">
        <v>10</v>
      </c>
      <c r="L12" s="73">
        <v>-304.60000000000002</v>
      </c>
      <c r="N12" s="90" t="s">
        <v>151</v>
      </c>
      <c r="O12" s="100">
        <f>IF(P12=0,0,Q12/P12)</f>
        <v>-6.9692307692307685</v>
      </c>
      <c r="P12" s="94">
        <v>13</v>
      </c>
      <c r="Q12" s="82">
        <v>-90.6</v>
      </c>
    </row>
    <row r="13" spans="1:17" x14ac:dyDescent="0.4">
      <c r="A13" s="19" t="s">
        <v>123</v>
      </c>
      <c r="B13" s="13">
        <v>46</v>
      </c>
      <c r="C13" s="4">
        <f>IF(B$11=0,0,B13/B$11)</f>
        <v>0.55421686746987953</v>
      </c>
      <c r="E13" s="44" t="s">
        <v>86</v>
      </c>
      <c r="F13" s="41" t="s">
        <v>41</v>
      </c>
      <c r="G13" s="34">
        <v>8</v>
      </c>
      <c r="H13" s="107">
        <f>IF(B$47=0,0,G13/B$47)</f>
        <v>7.8431372549019607E-2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37</v>
      </c>
      <c r="C14" s="4">
        <f>IF(B$12=0,0,B14/B$12)</f>
        <v>0.37755102040816324</v>
      </c>
      <c r="E14" s="44" t="s">
        <v>83</v>
      </c>
      <c r="F14" s="41" t="s">
        <v>38</v>
      </c>
      <c r="G14" s="34">
        <v>6</v>
      </c>
      <c r="H14" s="107">
        <f>IF(B$47=0,0,G14/B$47)</f>
        <v>5.8823529411764705E-2</v>
      </c>
      <c r="I14" s="68">
        <v>5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102</v>
      </c>
      <c r="C15" s="4">
        <f>IF(B$3=0,0,B15/B$3)</f>
        <v>0.24637681159420291</v>
      </c>
      <c r="E15" s="44" t="s">
        <v>78</v>
      </c>
      <c r="F15" s="41" t="s">
        <v>33</v>
      </c>
      <c r="G15" s="34">
        <v>3</v>
      </c>
      <c r="H15" s="107">
        <f>IF(B$47=0,0,G15/B$47)</f>
        <v>2.9411764705882353E-2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27.433333333333334</v>
      </c>
      <c r="P15" s="92">
        <v>6</v>
      </c>
      <c r="Q15" s="80">
        <v>164.6</v>
      </c>
    </row>
    <row r="16" spans="1:17" x14ac:dyDescent="0.4">
      <c r="A16" s="37" t="s">
        <v>13</v>
      </c>
      <c r="B16" s="34">
        <v>84</v>
      </c>
      <c r="C16" s="31">
        <f>IF(B$3=0,0,B16/B$3)</f>
        <v>0.20289855072463769</v>
      </c>
      <c r="E16" s="44" t="s">
        <v>81</v>
      </c>
      <c r="F16" s="41" t="s">
        <v>36</v>
      </c>
      <c r="G16" s="34">
        <v>2</v>
      </c>
      <c r="H16" s="107">
        <f>IF(B$47=0,0,G16/B$47)</f>
        <v>1.9607843137254902E-2</v>
      </c>
      <c r="I16" s="68">
        <v>10</v>
      </c>
      <c r="K16" s="5">
        <v>14</v>
      </c>
      <c r="L16" s="73">
        <v>-416.90000000000003</v>
      </c>
      <c r="N16" s="89" t="s">
        <v>191</v>
      </c>
      <c r="O16" s="99">
        <f>IF(P16=0,0,Q16/P16)</f>
        <v>-17.12777777777778</v>
      </c>
      <c r="P16" s="93">
        <v>18</v>
      </c>
      <c r="Q16" s="81">
        <v>-308.3</v>
      </c>
    </row>
    <row r="17" spans="1:17" x14ac:dyDescent="0.4">
      <c r="A17" s="37" t="s">
        <v>12</v>
      </c>
      <c r="B17" s="34">
        <v>48</v>
      </c>
      <c r="C17" s="31">
        <f>IF(B$15=0,0,B17/B$15)</f>
        <v>0.47058823529411764</v>
      </c>
      <c r="E17" s="44" t="s">
        <v>91</v>
      </c>
      <c r="F17" s="41" t="s">
        <v>46</v>
      </c>
      <c r="G17" s="34">
        <v>2</v>
      </c>
      <c r="H17" s="107">
        <f>IF(B$47=0,0,G17/B$47)</f>
        <v>1.9607843137254902E-2</v>
      </c>
      <c r="I17" s="68">
        <v>5</v>
      </c>
      <c r="K17" s="5">
        <v>15</v>
      </c>
      <c r="L17" s="73">
        <v>-452.20000000000005</v>
      </c>
      <c r="N17" s="89" t="s">
        <v>194</v>
      </c>
      <c r="O17" s="99">
        <f>IF(P17=0,0,Q17/P17)</f>
        <v>-17.649999999999999</v>
      </c>
      <c r="P17" s="93">
        <v>2</v>
      </c>
      <c r="Q17" s="81">
        <v>-35.299999999999997</v>
      </c>
    </row>
    <row r="18" spans="1:17" x14ac:dyDescent="0.4">
      <c r="A18" s="37" t="s">
        <v>11</v>
      </c>
      <c r="B18" s="34">
        <v>54</v>
      </c>
      <c r="C18" s="31">
        <f>IF(B$15=0,0,B18/B$15)</f>
        <v>0.52941176470588236</v>
      </c>
      <c r="E18" s="44" t="s">
        <v>74</v>
      </c>
      <c r="F18" s="41" t="s">
        <v>29</v>
      </c>
      <c r="G18" s="34">
        <v>1</v>
      </c>
      <c r="H18" s="107">
        <f>IF(B$47=0,0,G18/B$47)</f>
        <v>9.8039215686274508E-3</v>
      </c>
      <c r="I18" s="68">
        <v>1</v>
      </c>
      <c r="K18" s="5">
        <v>16</v>
      </c>
      <c r="L18" s="73">
        <v>-392.1</v>
      </c>
      <c r="N18" s="89" t="s">
        <v>190</v>
      </c>
      <c r="O18" s="99">
        <f>IF(P18=0,0,Q18/P18)</f>
        <v>-25.799999999999997</v>
      </c>
      <c r="P18" s="93">
        <v>1</v>
      </c>
      <c r="Q18" s="81">
        <v>-25.799999999999997</v>
      </c>
    </row>
    <row r="19" spans="1:17" x14ac:dyDescent="0.4">
      <c r="A19" s="37" t="s">
        <v>180</v>
      </c>
      <c r="B19" s="34">
        <v>46</v>
      </c>
      <c r="C19" s="31">
        <f>IF(B$15=0,0,B19/B$15)</f>
        <v>0.45098039215686275</v>
      </c>
      <c r="E19" s="44" t="s">
        <v>95</v>
      </c>
      <c r="F19" s="41" t="s">
        <v>50</v>
      </c>
      <c r="G19" s="34">
        <v>1</v>
      </c>
      <c r="H19" s="107">
        <f>IF(B$47=0,0,G19/B$47)</f>
        <v>9.8039215686274508E-3</v>
      </c>
      <c r="I19" s="68">
        <v>1</v>
      </c>
      <c r="K19" s="5">
        <v>17</v>
      </c>
      <c r="L19" s="73">
        <v>-445.20000000000005</v>
      </c>
      <c r="N19" s="89" t="s">
        <v>195</v>
      </c>
      <c r="O19" s="99">
        <f>IF(P19=0,0,Q19/P19)</f>
        <v>-26.992307692307694</v>
      </c>
      <c r="P19" s="93">
        <v>13</v>
      </c>
      <c r="Q19" s="81">
        <v>-350.90000000000003</v>
      </c>
    </row>
    <row r="20" spans="1:17" x14ac:dyDescent="0.4">
      <c r="A20" s="37" t="s">
        <v>178</v>
      </c>
      <c r="B20" s="34">
        <v>37</v>
      </c>
      <c r="C20" s="31">
        <f>IF(B$15=0,0,B20/B$15)</f>
        <v>0.36274509803921567</v>
      </c>
      <c r="E20" s="44" t="s">
        <v>73</v>
      </c>
      <c r="F20" s="41" t="s">
        <v>28</v>
      </c>
      <c r="G20" s="34">
        <v>0</v>
      </c>
      <c r="H20" s="107">
        <f>IF(B$47=0,0,G20/B$47)</f>
        <v>0</v>
      </c>
      <c r="I20" s="68">
        <v>11</v>
      </c>
      <c r="K20" s="5">
        <v>18</v>
      </c>
      <c r="L20" s="73">
        <v>-443.20000000000005</v>
      </c>
      <c r="N20" s="89" t="s">
        <v>193</v>
      </c>
      <c r="O20" s="99">
        <f>IF(P20=0,0,Q20/P20)</f>
        <v>-29.772222222222222</v>
      </c>
      <c r="P20" s="93">
        <v>18</v>
      </c>
      <c r="Q20" s="81">
        <v>-535.9</v>
      </c>
    </row>
    <row r="21" spans="1:17" x14ac:dyDescent="0.4">
      <c r="A21" s="37" t="s">
        <v>179</v>
      </c>
      <c r="B21" s="34">
        <v>19</v>
      </c>
      <c r="C21" s="31">
        <f>IF(B$15=0,0,B21/B$15)</f>
        <v>0.18627450980392157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-443.70000000000005</v>
      </c>
      <c r="N21" s="89" t="s">
        <v>187</v>
      </c>
      <c r="O21" s="99">
        <f>IF(P21=0,0,Q21/P21)</f>
        <v>-32.171428571428571</v>
      </c>
      <c r="P21" s="93">
        <v>28</v>
      </c>
      <c r="Q21" s="81">
        <v>-900.8</v>
      </c>
    </row>
    <row r="22" spans="1:17" x14ac:dyDescent="0.4">
      <c r="A22" s="37" t="s">
        <v>5</v>
      </c>
      <c r="B22" s="17">
        <f>IF(B$15=0,0,C22/B$15)</f>
        <v>7560.7843137254904</v>
      </c>
      <c r="C22" s="8">
        <v>771200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-467.6</v>
      </c>
      <c r="N22" s="89" t="s">
        <v>199</v>
      </c>
      <c r="O22" s="99">
        <f>IF(P22=0,0,Q22/P22)</f>
        <v>-41.385714285714293</v>
      </c>
      <c r="P22" s="93">
        <v>7</v>
      </c>
      <c r="Q22" s="81">
        <v>-289.70000000000005</v>
      </c>
    </row>
    <row r="23" spans="1:17" x14ac:dyDescent="0.4">
      <c r="A23" s="38" t="s">
        <v>162</v>
      </c>
      <c r="B23" s="114">
        <f>IF($B$15-B$14=0,0,C23/($B$15-B$14))</f>
        <v>8163.0769230769229</v>
      </c>
      <c r="C23" s="115">
        <v>530600</v>
      </c>
      <c r="E23" s="44" t="s">
        <v>77</v>
      </c>
      <c r="F23" s="41" t="s">
        <v>32</v>
      </c>
      <c r="G23" s="34">
        <v>0</v>
      </c>
      <c r="H23" s="107">
        <f>IF(B$47=0,0,G23/B$47)</f>
        <v>0</v>
      </c>
      <c r="I23" s="68">
        <v>9</v>
      </c>
      <c r="K23" s="5">
        <v>21</v>
      </c>
      <c r="L23" s="73">
        <v>-469.5</v>
      </c>
      <c r="N23" s="89" t="s">
        <v>186</v>
      </c>
      <c r="O23" s="99">
        <f>IF(P23=0,0,Q23/P23)</f>
        <v>-67.157142857142858</v>
      </c>
      <c r="P23" s="93">
        <v>7</v>
      </c>
      <c r="Q23" s="81">
        <v>-470.1</v>
      </c>
    </row>
    <row r="24" spans="1:17" x14ac:dyDescent="0.4">
      <c r="A24" s="38" t="s">
        <v>163</v>
      </c>
      <c r="B24" s="114">
        <f>IF(B$14=0,0,C24/B$14)</f>
        <v>6502.7027027027025</v>
      </c>
      <c r="C24" s="115">
        <v>240600</v>
      </c>
      <c r="E24" s="44" t="s">
        <v>79</v>
      </c>
      <c r="F24" s="41" t="s">
        <v>34</v>
      </c>
      <c r="G24" s="34">
        <v>0</v>
      </c>
      <c r="H24" s="107">
        <f>IF(B$47=0,0,G24/B$47)</f>
        <v>0</v>
      </c>
      <c r="I24" s="68">
        <v>13</v>
      </c>
      <c r="K24" s="5">
        <v>22</v>
      </c>
      <c r="L24" s="73">
        <v>-510.20000000000005</v>
      </c>
    </row>
    <row r="25" spans="1:17" x14ac:dyDescent="0.4">
      <c r="A25" s="38" t="s">
        <v>161</v>
      </c>
      <c r="B25" s="114">
        <f>IF(B$16=0,0,C25/B$16)</f>
        <v>-7995.2380952380954</v>
      </c>
      <c r="C25" s="115">
        <v>-671600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-559.5</v>
      </c>
    </row>
    <row r="26" spans="1:17" x14ac:dyDescent="0.4">
      <c r="A26" s="37" t="s">
        <v>155</v>
      </c>
      <c r="B26" s="34">
        <v>5</v>
      </c>
      <c r="C26" s="109">
        <v>0</v>
      </c>
      <c r="E26" s="44" t="s">
        <v>82</v>
      </c>
      <c r="F26" s="41" t="s">
        <v>37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-565.10000000000014</v>
      </c>
    </row>
    <row r="27" spans="1:17" x14ac:dyDescent="0.4">
      <c r="A27" s="37" t="s">
        <v>156</v>
      </c>
      <c r="B27" s="34">
        <v>19</v>
      </c>
      <c r="C27" s="109">
        <v>0</v>
      </c>
      <c r="E27" s="44" t="s">
        <v>84</v>
      </c>
      <c r="F27" s="41" t="s">
        <v>39</v>
      </c>
      <c r="G27" s="34">
        <v>0</v>
      </c>
      <c r="H27" s="107">
        <f>IF(B$47=0,0,G27/B$47)</f>
        <v>0</v>
      </c>
      <c r="I27" s="68">
        <v>6</v>
      </c>
      <c r="K27" s="5">
        <v>25</v>
      </c>
      <c r="L27" s="73">
        <v>-612.90000000000009</v>
      </c>
    </row>
    <row r="28" spans="1:17" x14ac:dyDescent="0.4">
      <c r="A28" s="64" t="s">
        <v>134</v>
      </c>
      <c r="B28" s="131">
        <v>6</v>
      </c>
      <c r="C28" s="132"/>
      <c r="E28" s="44" t="s">
        <v>85</v>
      </c>
      <c r="F28" s="41" t="s">
        <v>40</v>
      </c>
      <c r="G28" s="34">
        <v>0</v>
      </c>
      <c r="H28" s="107">
        <f>IF(B$47=0,0,G28/B$47)</f>
        <v>0</v>
      </c>
      <c r="I28" s="68">
        <v>8</v>
      </c>
      <c r="K28" s="5">
        <v>26</v>
      </c>
      <c r="L28" s="73">
        <v>-645.20000000000005</v>
      </c>
    </row>
    <row r="29" spans="1:17" x14ac:dyDescent="0.4">
      <c r="A29" s="40" t="s">
        <v>177</v>
      </c>
      <c r="B29" s="129">
        <v>85100</v>
      </c>
      <c r="C29" s="130"/>
      <c r="E29" s="44" t="s">
        <v>87</v>
      </c>
      <c r="F29" s="41" t="s">
        <v>42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-648.10000000000014</v>
      </c>
    </row>
    <row r="30" spans="1:17" x14ac:dyDescent="0.4">
      <c r="A30" s="39" t="s">
        <v>135</v>
      </c>
      <c r="B30" s="27">
        <v>2</v>
      </c>
      <c r="C30" s="32">
        <f>IF(B$3=0,0,B30/B$3)</f>
        <v>4.830917874396135E-3</v>
      </c>
      <c r="E30" s="44" t="s">
        <v>88</v>
      </c>
      <c r="F30" s="41" t="s">
        <v>43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-693.2</v>
      </c>
    </row>
    <row r="31" spans="1:17" x14ac:dyDescent="0.4">
      <c r="E31" s="44" t="s">
        <v>90</v>
      </c>
      <c r="F31" s="41" t="s">
        <v>45</v>
      </c>
      <c r="G31" s="34">
        <v>0</v>
      </c>
      <c r="H31" s="107">
        <f>IF(B$47=0,0,G31/B$47)</f>
        <v>0</v>
      </c>
      <c r="I31" s="68">
        <v>6</v>
      </c>
      <c r="K31" s="5">
        <v>29</v>
      </c>
      <c r="L31" s="73">
        <v>-720.7</v>
      </c>
    </row>
    <row r="32" spans="1:17" x14ac:dyDescent="0.4">
      <c r="A32" s="64" t="s">
        <v>168</v>
      </c>
      <c r="B32" s="122">
        <v>10</v>
      </c>
      <c r="C32" s="119">
        <f>IF(B$15=0,0,B32/B$15)</f>
        <v>9.8039215686274508E-2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37" t="s">
        <v>164</v>
      </c>
      <c r="B33" s="34">
        <v>22</v>
      </c>
      <c r="C33" s="31">
        <f t="shared" ref="C33:C44" si="2">IF(B$15=0,0,B33/B$15)</f>
        <v>0.21568627450980393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-757.60000000000014</v>
      </c>
    </row>
    <row r="34" spans="1:12" x14ac:dyDescent="0.4">
      <c r="A34" s="37" t="s">
        <v>165</v>
      </c>
      <c r="B34" s="123">
        <v>23</v>
      </c>
      <c r="C34" s="31">
        <f>IF(B$15=0,0,B34/B$15)</f>
        <v>0.22549019607843138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-742.70000000000016</v>
      </c>
    </row>
    <row r="35" spans="1:12" x14ac:dyDescent="0.4">
      <c r="A35" s="37" t="s">
        <v>166</v>
      </c>
      <c r="B35" s="123">
        <v>15</v>
      </c>
      <c r="C35" s="31">
        <f t="shared" si="2"/>
        <v>0.14705882352941177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37" t="s">
        <v>167</v>
      </c>
      <c r="B36" s="123">
        <v>13</v>
      </c>
      <c r="C36" s="31">
        <f t="shared" si="2"/>
        <v>0.12745098039215685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-780.90000000000009</v>
      </c>
    </row>
    <row r="37" spans="1:12" x14ac:dyDescent="0.4">
      <c r="A37" s="37" t="s">
        <v>169</v>
      </c>
      <c r="B37" s="123">
        <v>6</v>
      </c>
      <c r="C37" s="31">
        <f t="shared" si="2"/>
        <v>5.8823529411764705E-2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-731.80000000000018</v>
      </c>
    </row>
    <row r="38" spans="1:12" x14ac:dyDescent="0.4">
      <c r="A38" s="37" t="s">
        <v>170</v>
      </c>
      <c r="B38" s="123">
        <v>6</v>
      </c>
      <c r="C38" s="31">
        <f t="shared" si="2"/>
        <v>5.8823529411764705E-2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171</v>
      </c>
      <c r="B39" s="123">
        <v>5</v>
      </c>
      <c r="C39" s="31">
        <f t="shared" si="2"/>
        <v>4.9019607843137254E-2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-735.20000000000016</v>
      </c>
    </row>
    <row r="41" spans="1:12" x14ac:dyDescent="0.4">
      <c r="A41" s="37" t="s">
        <v>173</v>
      </c>
      <c r="B41" s="123">
        <v>1</v>
      </c>
      <c r="C41" s="31">
        <f t="shared" si="2"/>
        <v>9.8039215686274508E-3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-765.10000000000014</v>
      </c>
    </row>
    <row r="42" spans="1:12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9" t="s">
        <v>176</v>
      </c>
      <c r="B44" s="124">
        <v>1</v>
      </c>
      <c r="C44" s="32">
        <f t="shared" si="2"/>
        <v>9.8039215686274508E-3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-824.50000000000011</v>
      </c>
    </row>
    <row r="46" spans="1:12" x14ac:dyDescent="0.4">
      <c r="A46" s="64" t="s">
        <v>181</v>
      </c>
      <c r="B46" s="127">
        <v>414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-775.30000000000018</v>
      </c>
    </row>
    <row r="47" spans="1:12" x14ac:dyDescent="0.4">
      <c r="A47" s="39" t="s">
        <v>182</v>
      </c>
      <c r="B47" s="125">
        <v>102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-866.30000000000007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05967-563F-4E1C-A2E1-12DB7E7D20D1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37">
        <v>32</v>
      </c>
      <c r="C3" s="138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16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39">
        <v>-56.2</v>
      </c>
      <c r="C4" s="140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16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41">
        <f>IF(B$2=0,0,B$4/B$2)</f>
        <v>-14.05</v>
      </c>
      <c r="C5" s="142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12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33">
        <f>IF(B$2=0,0,(B$7*1+B$8*2+B$9*3)/B$2)</f>
        <v>2.25</v>
      </c>
      <c r="C6" s="134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10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17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3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4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15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10</v>
      </c>
    </row>
    <row r="19" spans="1:9" x14ac:dyDescent="0.4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13</v>
      </c>
    </row>
    <row r="22" spans="1:9" x14ac:dyDescent="0.4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13</v>
      </c>
    </row>
    <row r="23" spans="1:9" x14ac:dyDescent="0.4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6</v>
      </c>
    </row>
    <row r="26" spans="1:9" x14ac:dyDescent="0.4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</row>
    <row r="27" spans="1:9" x14ac:dyDescent="0.4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</row>
    <row r="28" spans="1:9" x14ac:dyDescent="0.4">
      <c r="A28" s="64" t="s">
        <v>134</v>
      </c>
      <c r="B28" s="131">
        <v>2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">
      <c r="A29" s="40" t="s">
        <v>177</v>
      </c>
      <c r="B29" s="129">
        <v>55200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</row>
    <row r="30" spans="1:9" x14ac:dyDescent="0.4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9" x14ac:dyDescent="0.4">
      <c r="A32" s="64" t="s">
        <v>168</v>
      </c>
      <c r="B32" s="122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10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1064</vt:i4>
      </vt:variant>
    </vt:vector>
  </HeadingPairs>
  <TitlesOfParts>
    <vt:vector size="1085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2019-11-20T17:08:13Z</dcterms:modified>
</cp:coreProperties>
</file>