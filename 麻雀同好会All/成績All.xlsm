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733F676A-9B35-4D0F-BA52-940A60270272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793" r:id="rId4"/>
    <sheet name="だいち" sheetId="5794" r:id="rId5"/>
    <sheet name="かこたろう" sheetId="5795" r:id="rId6"/>
    <sheet name="ともき" sheetId="5796" r:id="rId7"/>
    <sheet name="りくと" sheetId="5797" r:id="rId8"/>
    <sheet name="いっしー" sheetId="5798" r:id="rId9"/>
    <sheet name="がくと" sheetId="5799" r:id="rId10"/>
    <sheet name="たかの" sheetId="5800" r:id="rId11"/>
    <sheet name="ただ" sheetId="5801" r:id="rId12"/>
    <sheet name="やがさき" sheetId="5802" r:id="rId13"/>
    <sheet name="れんたろう" sheetId="5803" r:id="rId14"/>
    <sheet name="あさひ" sheetId="5804" r:id="rId15"/>
    <sheet name="まっつん" sheetId="5805" r:id="rId16"/>
    <sheet name="ぱぱ" sheetId="5806" r:id="rId17"/>
    <sheet name="ほたに" sheetId="5807" r:id="rId18"/>
    <sheet name="かわたつ" sheetId="5808" r:id="rId19"/>
    <sheet name="のり" sheetId="5809" r:id="rId20"/>
    <sheet name="ちさと" sheetId="5810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09" l="1"/>
  <c r="O17" i="5809"/>
  <c r="O16" i="5809"/>
  <c r="O15" i="5809"/>
  <c r="O21" i="5803"/>
  <c r="O16" i="5797"/>
  <c r="O18" i="5794"/>
  <c r="O23" i="5800"/>
  <c r="O16" i="5810" l="1"/>
  <c r="O15" i="5810"/>
  <c r="H53" i="5810"/>
  <c r="H5" i="5810"/>
  <c r="H52" i="5810"/>
  <c r="H51" i="5810"/>
  <c r="H50" i="5810"/>
  <c r="H49" i="5810"/>
  <c r="H48" i="5810"/>
  <c r="H47" i="5810"/>
  <c r="H46" i="5810"/>
  <c r="H45" i="5810"/>
  <c r="H44" i="5810"/>
  <c r="H43" i="5810"/>
  <c r="H42" i="5810"/>
  <c r="H41" i="5810"/>
  <c r="H40" i="5810"/>
  <c r="H39" i="5810"/>
  <c r="H38" i="5810"/>
  <c r="H37" i="5810"/>
  <c r="H36" i="5810"/>
  <c r="H35" i="5810"/>
  <c r="H34" i="5810"/>
  <c r="H33" i="5810"/>
  <c r="H32" i="5810"/>
  <c r="H31" i="5810"/>
  <c r="H30" i="5810"/>
  <c r="H13" i="5810"/>
  <c r="H29" i="5810"/>
  <c r="C27" i="5810"/>
  <c r="H28" i="5810"/>
  <c r="H12" i="5810"/>
  <c r="H27" i="5810"/>
  <c r="B24" i="5810"/>
  <c r="H26" i="5810"/>
  <c r="H11" i="5810"/>
  <c r="H25" i="5810"/>
  <c r="H10" i="5810"/>
  <c r="C20" i="5810"/>
  <c r="H24" i="5810"/>
  <c r="H23" i="5810"/>
  <c r="H22" i="5810"/>
  <c r="B17" i="5810"/>
  <c r="C19" i="5810" s="1"/>
  <c r="H21" i="5810"/>
  <c r="C16" i="5810"/>
  <c r="H20" i="5810"/>
  <c r="C15" i="5810"/>
  <c r="H19" i="5810"/>
  <c r="C14" i="5810"/>
  <c r="H18" i="5810"/>
  <c r="C13" i="5810"/>
  <c r="O12" i="5810"/>
  <c r="H17" i="5810"/>
  <c r="C12" i="5810"/>
  <c r="O11" i="5810"/>
  <c r="H2" i="5810"/>
  <c r="C11" i="5810"/>
  <c r="O10" i="5810"/>
  <c r="H16" i="5810"/>
  <c r="C10" i="5810"/>
  <c r="H15" i="5810"/>
  <c r="C9" i="5810"/>
  <c r="H9" i="5810"/>
  <c r="C8" i="5810"/>
  <c r="O7" i="5810"/>
  <c r="H8" i="5810"/>
  <c r="C7" i="5810"/>
  <c r="O6" i="5810"/>
  <c r="H14" i="5810"/>
  <c r="B6" i="5810"/>
  <c r="O5" i="5810"/>
  <c r="H7" i="5810"/>
  <c r="B5" i="5810"/>
  <c r="O4" i="5810"/>
  <c r="H4" i="5810"/>
  <c r="O3" i="5810"/>
  <c r="H6" i="5810"/>
  <c r="O2" i="5810"/>
  <c r="H3" i="5810"/>
  <c r="O22" i="5809"/>
  <c r="O21" i="5809"/>
  <c r="O20" i="5809"/>
  <c r="O19" i="5809"/>
  <c r="H53" i="5809"/>
  <c r="H5" i="5809"/>
  <c r="H52" i="5809"/>
  <c r="H51" i="5809"/>
  <c r="H50" i="5809"/>
  <c r="H49" i="5809"/>
  <c r="H48" i="5809"/>
  <c r="H47" i="5809"/>
  <c r="H46" i="5809"/>
  <c r="H45" i="5809"/>
  <c r="H44" i="5809"/>
  <c r="H43" i="5809"/>
  <c r="H42" i="5809"/>
  <c r="H41" i="5809"/>
  <c r="H40" i="5809"/>
  <c r="H39" i="5809"/>
  <c r="H38" i="5809"/>
  <c r="H37" i="5809"/>
  <c r="H36" i="5809"/>
  <c r="H35" i="5809"/>
  <c r="H34" i="5809"/>
  <c r="H33" i="5809"/>
  <c r="H32" i="5809"/>
  <c r="H18" i="5809"/>
  <c r="H31" i="5809"/>
  <c r="H13" i="5809"/>
  <c r="H30" i="5809"/>
  <c r="C27" i="5809"/>
  <c r="H29" i="5809"/>
  <c r="H9" i="5809"/>
  <c r="H28" i="5809"/>
  <c r="B24" i="5809"/>
  <c r="H27" i="5809"/>
  <c r="H12" i="5809"/>
  <c r="H26" i="5809"/>
  <c r="H16" i="5809"/>
  <c r="C20" i="5809"/>
  <c r="H25" i="5809"/>
  <c r="H24" i="5809"/>
  <c r="H11" i="5809"/>
  <c r="B17" i="5809"/>
  <c r="B23" i="5809" s="1"/>
  <c r="H23" i="5809"/>
  <c r="C16" i="5809"/>
  <c r="H22" i="5809"/>
  <c r="C15" i="5809"/>
  <c r="H21" i="5809"/>
  <c r="C14" i="5809"/>
  <c r="H17" i="5809"/>
  <c r="C13" i="5809"/>
  <c r="O12" i="5809"/>
  <c r="H20" i="5809"/>
  <c r="C12" i="5809"/>
  <c r="O11" i="5809"/>
  <c r="H4" i="5809"/>
  <c r="C11" i="5809"/>
  <c r="O10" i="5809"/>
  <c r="H15" i="5809"/>
  <c r="C10" i="5809"/>
  <c r="H14" i="5809"/>
  <c r="C9" i="5809"/>
  <c r="H10" i="5809"/>
  <c r="C8" i="5809"/>
  <c r="O7" i="5809"/>
  <c r="H7" i="5809"/>
  <c r="C7" i="5809"/>
  <c r="O6" i="5809"/>
  <c r="H19" i="5809"/>
  <c r="B6" i="5809"/>
  <c r="O5" i="5809"/>
  <c r="H6" i="5809"/>
  <c r="B5" i="5809"/>
  <c r="O4" i="5809"/>
  <c r="H2" i="5809"/>
  <c r="O3" i="5809"/>
  <c r="H8" i="5809"/>
  <c r="O2" i="5809"/>
  <c r="H3" i="5809"/>
  <c r="O16" i="5808"/>
  <c r="O15" i="5808"/>
  <c r="H53" i="5808"/>
  <c r="H7" i="5808"/>
  <c r="H52" i="5808"/>
  <c r="H51" i="5808"/>
  <c r="H50" i="5808"/>
  <c r="H49" i="5808"/>
  <c r="H48" i="5808"/>
  <c r="H47" i="5808"/>
  <c r="H46" i="5808"/>
  <c r="H45" i="5808"/>
  <c r="H44" i="5808"/>
  <c r="H43" i="5808"/>
  <c r="H42" i="5808"/>
  <c r="H41" i="5808"/>
  <c r="H40" i="5808"/>
  <c r="H39" i="5808"/>
  <c r="H38" i="5808"/>
  <c r="H37" i="5808"/>
  <c r="H36" i="5808"/>
  <c r="H35" i="5808"/>
  <c r="H34" i="5808"/>
  <c r="H33" i="5808"/>
  <c r="H32" i="5808"/>
  <c r="H31" i="5808"/>
  <c r="H30" i="5808"/>
  <c r="H29" i="5808"/>
  <c r="H28" i="5808"/>
  <c r="C27" i="5808"/>
  <c r="H27" i="5808"/>
  <c r="H26" i="5808"/>
  <c r="H25" i="5808"/>
  <c r="B24" i="5808"/>
  <c r="H24" i="5808"/>
  <c r="H23" i="5808"/>
  <c r="H22" i="5808"/>
  <c r="H6" i="5808"/>
  <c r="C20" i="5808"/>
  <c r="H21" i="5808"/>
  <c r="H20" i="5808"/>
  <c r="H19" i="5808"/>
  <c r="B17" i="5808"/>
  <c r="C19" i="5808" s="1"/>
  <c r="H18" i="5808"/>
  <c r="C16" i="5808"/>
  <c r="H17" i="5808"/>
  <c r="C15" i="5808"/>
  <c r="H16" i="5808"/>
  <c r="C14" i="5808"/>
  <c r="H15" i="5808"/>
  <c r="C13" i="5808"/>
  <c r="O12" i="5808"/>
  <c r="H14" i="5808"/>
  <c r="C12" i="5808"/>
  <c r="O11" i="5808"/>
  <c r="H13" i="5808"/>
  <c r="C11" i="5808"/>
  <c r="O10" i="5808"/>
  <c r="H12" i="5808"/>
  <c r="C10" i="5808"/>
  <c r="H11" i="5808"/>
  <c r="C9" i="5808"/>
  <c r="H10" i="5808"/>
  <c r="C8" i="5808"/>
  <c r="O7" i="5808"/>
  <c r="H5" i="5808"/>
  <c r="C7" i="5808"/>
  <c r="O6" i="5808"/>
  <c r="H9" i="5808"/>
  <c r="B6" i="5808"/>
  <c r="O5" i="5808"/>
  <c r="H4" i="5808"/>
  <c r="B5" i="5808"/>
  <c r="O4" i="5808"/>
  <c r="H2" i="5808"/>
  <c r="O3" i="5808"/>
  <c r="H8" i="5808"/>
  <c r="O2" i="5808"/>
  <c r="H3" i="5808"/>
  <c r="O22" i="5807"/>
  <c r="O21" i="5807"/>
  <c r="O17" i="5807"/>
  <c r="O20" i="5807"/>
  <c r="O19" i="5807"/>
  <c r="O18" i="5807"/>
  <c r="O16" i="5807"/>
  <c r="O15" i="5807"/>
  <c r="H53" i="5807"/>
  <c r="H7" i="5807"/>
  <c r="H52" i="5807"/>
  <c r="H51" i="5807"/>
  <c r="H50" i="5807"/>
  <c r="H49" i="5807"/>
  <c r="H48" i="5807"/>
  <c r="H47" i="5807"/>
  <c r="H46" i="5807"/>
  <c r="H45" i="5807"/>
  <c r="H44" i="5807"/>
  <c r="H43" i="5807"/>
  <c r="H42" i="5807"/>
  <c r="H41" i="5807"/>
  <c r="H40" i="5807"/>
  <c r="H39" i="5807"/>
  <c r="H38" i="5807"/>
  <c r="H37" i="5807"/>
  <c r="H36" i="5807"/>
  <c r="H35" i="5807"/>
  <c r="H34" i="5807"/>
  <c r="H33" i="5807"/>
  <c r="H32" i="5807"/>
  <c r="H31" i="5807"/>
  <c r="H30" i="5807"/>
  <c r="H8" i="5807"/>
  <c r="H29" i="5807"/>
  <c r="C27" i="5807"/>
  <c r="H28" i="5807"/>
  <c r="H11" i="5807"/>
  <c r="H27" i="5807"/>
  <c r="B24" i="5807"/>
  <c r="H26" i="5807"/>
  <c r="H14" i="5807"/>
  <c r="H25" i="5807"/>
  <c r="H18" i="5807"/>
  <c r="C20" i="5807"/>
  <c r="H24" i="5807"/>
  <c r="H17" i="5807"/>
  <c r="H13" i="5807"/>
  <c r="B17" i="5807"/>
  <c r="C19" i="5807" s="1"/>
  <c r="H15" i="5807"/>
  <c r="C16" i="5807"/>
  <c r="H23" i="5807"/>
  <c r="C15" i="5807"/>
  <c r="H22" i="5807"/>
  <c r="C14" i="5807"/>
  <c r="H21" i="5807"/>
  <c r="C13" i="5807"/>
  <c r="O12" i="5807"/>
  <c r="H20" i="5807"/>
  <c r="C12" i="5807"/>
  <c r="O11" i="5807"/>
  <c r="H2" i="5807"/>
  <c r="C11" i="5807"/>
  <c r="O10" i="5807"/>
  <c r="H16" i="5807"/>
  <c r="C10" i="5807"/>
  <c r="H12" i="5807"/>
  <c r="C9" i="5807"/>
  <c r="H9" i="5807"/>
  <c r="C8" i="5807"/>
  <c r="O7" i="5807"/>
  <c r="H6" i="5807"/>
  <c r="C7" i="5807"/>
  <c r="O6" i="5807"/>
  <c r="H19" i="5807"/>
  <c r="B6" i="5807"/>
  <c r="O5" i="5807"/>
  <c r="H5" i="5807"/>
  <c r="B5" i="5807"/>
  <c r="O4" i="5807"/>
  <c r="H3" i="5807"/>
  <c r="O3" i="5807"/>
  <c r="H10" i="5807"/>
  <c r="O2" i="5807"/>
  <c r="H4" i="5807"/>
  <c r="O22" i="5804"/>
  <c r="O16" i="5804"/>
  <c r="O15" i="5804"/>
  <c r="O26" i="5805"/>
  <c r="O17" i="5805"/>
  <c r="O16" i="5805"/>
  <c r="O15" i="5805"/>
  <c r="O23" i="5806"/>
  <c r="O24" i="5806"/>
  <c r="O18" i="5806"/>
  <c r="O15" i="5806"/>
  <c r="O21" i="5800"/>
  <c r="O18" i="5800"/>
  <c r="O28" i="5803"/>
  <c r="O19" i="5803"/>
  <c r="O19" i="5801"/>
  <c r="O15" i="5801"/>
  <c r="O16" i="5801"/>
  <c r="O25" i="5797"/>
  <c r="O29" i="5794"/>
  <c r="O19" i="5794"/>
  <c r="O17" i="5794"/>
  <c r="O31" i="5793"/>
  <c r="O26" i="5793"/>
  <c r="O18" i="5793"/>
  <c r="O16" i="5793"/>
  <c r="C17" i="5810" l="1"/>
  <c r="B23" i="5810"/>
  <c r="C18" i="5810"/>
  <c r="C17" i="5809"/>
  <c r="C19" i="5809"/>
  <c r="C18" i="5809"/>
  <c r="C17" i="5808"/>
  <c r="B23" i="5808"/>
  <c r="C18" i="5808"/>
  <c r="C17" i="5807"/>
  <c r="B23" i="5807"/>
  <c r="C18" i="5807"/>
  <c r="O21" i="5806" l="1"/>
  <c r="O17" i="5806"/>
  <c r="O20" i="5806"/>
  <c r="O22" i="5806"/>
  <c r="O25" i="5806"/>
  <c r="O16" i="5806"/>
  <c r="O19" i="5806"/>
  <c r="H53" i="5806"/>
  <c r="H6" i="5806"/>
  <c r="H20" i="5806"/>
  <c r="H52" i="5806"/>
  <c r="H51" i="5806"/>
  <c r="H50" i="5806"/>
  <c r="H49" i="5806"/>
  <c r="H48" i="5806"/>
  <c r="H25" i="5806"/>
  <c r="H47" i="5806"/>
  <c r="H46" i="5806"/>
  <c r="H45" i="5806"/>
  <c r="H44" i="5806"/>
  <c r="H43" i="5806"/>
  <c r="H42" i="5806"/>
  <c r="H41" i="5806"/>
  <c r="H40" i="5806"/>
  <c r="H39" i="5806"/>
  <c r="H38" i="5806"/>
  <c r="H37" i="5806"/>
  <c r="H36" i="5806"/>
  <c r="H35" i="5806"/>
  <c r="H34" i="5806"/>
  <c r="H22" i="5806"/>
  <c r="H33" i="5806"/>
  <c r="H10" i="5806"/>
  <c r="H32" i="5806"/>
  <c r="C27" i="5806"/>
  <c r="H21" i="5806"/>
  <c r="H14" i="5806"/>
  <c r="H24" i="5806"/>
  <c r="B24" i="5806"/>
  <c r="H31" i="5806"/>
  <c r="H15" i="5806"/>
  <c r="H30" i="5806"/>
  <c r="H19" i="5806"/>
  <c r="C20" i="5806"/>
  <c r="H29" i="5806"/>
  <c r="H17" i="5806"/>
  <c r="H16" i="5806"/>
  <c r="B17" i="5806"/>
  <c r="C19" i="5806" s="1"/>
  <c r="H28" i="5806"/>
  <c r="C16" i="5806"/>
  <c r="H27" i="5806"/>
  <c r="C15" i="5806"/>
  <c r="H23" i="5806"/>
  <c r="C14" i="5806"/>
  <c r="H26" i="5806"/>
  <c r="C13" i="5806"/>
  <c r="O12" i="5806"/>
  <c r="H18" i="5806"/>
  <c r="C12" i="5806"/>
  <c r="O11" i="5806"/>
  <c r="H3" i="5806"/>
  <c r="C11" i="5806"/>
  <c r="O10" i="5806"/>
  <c r="H13" i="5806"/>
  <c r="C10" i="5806"/>
  <c r="H9" i="5806"/>
  <c r="C9" i="5806"/>
  <c r="H8" i="5806"/>
  <c r="C8" i="5806"/>
  <c r="O7" i="5806"/>
  <c r="H5" i="5806"/>
  <c r="C7" i="5806"/>
  <c r="O6" i="5806"/>
  <c r="H11" i="5806"/>
  <c r="B6" i="5806"/>
  <c r="O5" i="5806"/>
  <c r="H7" i="5806"/>
  <c r="B5" i="5806"/>
  <c r="O4" i="5806"/>
  <c r="H2" i="5806"/>
  <c r="O3" i="5806"/>
  <c r="H12" i="5806"/>
  <c r="O2" i="5806"/>
  <c r="H4" i="5806"/>
  <c r="O25" i="5805"/>
  <c r="O23" i="5805"/>
  <c r="O22" i="5805"/>
  <c r="O21" i="5805"/>
  <c r="O24" i="5805"/>
  <c r="O19" i="5805"/>
  <c r="O20" i="5805"/>
  <c r="O18" i="5805"/>
  <c r="H53" i="5805"/>
  <c r="H5" i="5805"/>
  <c r="H28" i="5805"/>
  <c r="H52" i="5805"/>
  <c r="H51" i="5805"/>
  <c r="H50" i="5805"/>
  <c r="H49" i="5805"/>
  <c r="H48" i="5805"/>
  <c r="H47" i="5805"/>
  <c r="H46" i="5805"/>
  <c r="H45" i="5805"/>
  <c r="H44" i="5805"/>
  <c r="H43" i="5805"/>
  <c r="H26" i="5805"/>
  <c r="H42" i="5805"/>
  <c r="H41" i="5805"/>
  <c r="H40" i="5805"/>
  <c r="H39" i="5805"/>
  <c r="H38" i="5805"/>
  <c r="H37" i="5805"/>
  <c r="H36" i="5805"/>
  <c r="H27" i="5805"/>
  <c r="H25" i="5805"/>
  <c r="H19" i="5805"/>
  <c r="H24" i="5805"/>
  <c r="H10" i="5805"/>
  <c r="H35" i="5805"/>
  <c r="C27" i="5805"/>
  <c r="H34" i="5805"/>
  <c r="H15" i="5805"/>
  <c r="H20" i="5805"/>
  <c r="B24" i="5805"/>
  <c r="H33" i="5805"/>
  <c r="H13" i="5805"/>
  <c r="H32" i="5805"/>
  <c r="H18" i="5805"/>
  <c r="C20" i="5805"/>
  <c r="H31" i="5805"/>
  <c r="H17" i="5805"/>
  <c r="H16" i="5805"/>
  <c r="B17" i="5805"/>
  <c r="B23" i="5805" s="1"/>
  <c r="H21" i="5805"/>
  <c r="C16" i="5805"/>
  <c r="H30" i="5805"/>
  <c r="C15" i="5805"/>
  <c r="H23" i="5805"/>
  <c r="C14" i="5805"/>
  <c r="H22" i="5805"/>
  <c r="C13" i="5805"/>
  <c r="O12" i="5805"/>
  <c r="H29" i="5805"/>
  <c r="C12" i="5805"/>
  <c r="O11" i="5805"/>
  <c r="H3" i="5805"/>
  <c r="C11" i="5805"/>
  <c r="O10" i="5805"/>
  <c r="H14" i="5805"/>
  <c r="C10" i="5805"/>
  <c r="H12" i="5805"/>
  <c r="C9" i="5805"/>
  <c r="H9" i="5805"/>
  <c r="C8" i="5805"/>
  <c r="O7" i="5805"/>
  <c r="H7" i="5805"/>
  <c r="C7" i="5805"/>
  <c r="O6" i="5805"/>
  <c r="H8" i="5805"/>
  <c r="B6" i="5805"/>
  <c r="O5" i="5805"/>
  <c r="H6" i="5805"/>
  <c r="B5" i="5805"/>
  <c r="O4" i="5805"/>
  <c r="H2" i="5805"/>
  <c r="O3" i="5805"/>
  <c r="H11" i="5805"/>
  <c r="O2" i="5805"/>
  <c r="H4" i="5805"/>
  <c r="O21" i="5804"/>
  <c r="O19" i="5804"/>
  <c r="O20" i="5804"/>
  <c r="O18" i="5804"/>
  <c r="O17" i="5804"/>
  <c r="H53" i="5804"/>
  <c r="H14" i="5804"/>
  <c r="H52" i="5804"/>
  <c r="H51" i="5804"/>
  <c r="H50" i="5804"/>
  <c r="H49" i="5804"/>
  <c r="H48" i="5804"/>
  <c r="H47" i="5804"/>
  <c r="H46" i="5804"/>
  <c r="H45" i="5804"/>
  <c r="H44" i="5804"/>
  <c r="H43" i="5804"/>
  <c r="H42" i="5804"/>
  <c r="H41" i="5804"/>
  <c r="H40" i="5804"/>
  <c r="H39" i="5804"/>
  <c r="H38" i="5804"/>
  <c r="H37" i="5804"/>
  <c r="H36" i="5804"/>
  <c r="H35" i="5804"/>
  <c r="H34" i="5804"/>
  <c r="H33" i="5804"/>
  <c r="H32" i="5804"/>
  <c r="H15" i="5804"/>
  <c r="H31" i="5804"/>
  <c r="H8" i="5804"/>
  <c r="H30" i="5804"/>
  <c r="C27" i="5804"/>
  <c r="H29" i="5804"/>
  <c r="H11" i="5804"/>
  <c r="H28" i="5804"/>
  <c r="B24" i="5804"/>
  <c r="H27" i="5804"/>
  <c r="H26" i="5804"/>
  <c r="H25" i="5804"/>
  <c r="H24" i="5804"/>
  <c r="C20" i="5804"/>
  <c r="H23" i="5804"/>
  <c r="H22" i="5804"/>
  <c r="H21" i="5804"/>
  <c r="B17" i="5804"/>
  <c r="B23" i="5804" s="1"/>
  <c r="H20" i="5804"/>
  <c r="C16" i="5804"/>
  <c r="H19" i="5804"/>
  <c r="C15" i="5804"/>
  <c r="H18" i="5804"/>
  <c r="C14" i="5804"/>
  <c r="H17" i="5804"/>
  <c r="C13" i="5804"/>
  <c r="O12" i="5804"/>
  <c r="H16" i="5804"/>
  <c r="C12" i="5804"/>
  <c r="O11" i="5804"/>
  <c r="H4" i="5804"/>
  <c r="C11" i="5804"/>
  <c r="O10" i="5804"/>
  <c r="H13" i="5804"/>
  <c r="C10" i="5804"/>
  <c r="H10" i="5804"/>
  <c r="C9" i="5804"/>
  <c r="H9" i="5804"/>
  <c r="C8" i="5804"/>
  <c r="O7" i="5804"/>
  <c r="H7" i="5804"/>
  <c r="C7" i="5804"/>
  <c r="O6" i="5804"/>
  <c r="H5" i="5804"/>
  <c r="B6" i="5804"/>
  <c r="O5" i="5804"/>
  <c r="H6" i="5804"/>
  <c r="B5" i="5804"/>
  <c r="O4" i="5804"/>
  <c r="H3" i="5804"/>
  <c r="O3" i="5804"/>
  <c r="H12" i="5804"/>
  <c r="O2" i="5804"/>
  <c r="H2" i="5804"/>
  <c r="O27" i="5803"/>
  <c r="O23" i="5803"/>
  <c r="O26" i="5803"/>
  <c r="O24" i="5803"/>
  <c r="O22" i="5803"/>
  <c r="O20" i="5803"/>
  <c r="O17" i="5803"/>
  <c r="O25" i="5803"/>
  <c r="O16" i="5803"/>
  <c r="O15" i="5803"/>
  <c r="O18" i="5803"/>
  <c r="H53" i="5803"/>
  <c r="H8" i="5803"/>
  <c r="H23" i="5803"/>
  <c r="H52" i="5803"/>
  <c r="H51" i="5803"/>
  <c r="H50" i="5803"/>
  <c r="H49" i="5803"/>
  <c r="H48" i="5803"/>
  <c r="H47" i="5803"/>
  <c r="H46" i="5803"/>
  <c r="H45" i="5803"/>
  <c r="H44" i="5803"/>
  <c r="H43" i="5803"/>
  <c r="H42" i="5803"/>
  <c r="H41" i="5803"/>
  <c r="H40" i="5803"/>
  <c r="H39" i="5803"/>
  <c r="H38" i="5803"/>
  <c r="H37" i="5803"/>
  <c r="H36" i="5803"/>
  <c r="H35" i="5803"/>
  <c r="H26" i="5803"/>
  <c r="H22" i="5803"/>
  <c r="H17" i="5803"/>
  <c r="H30" i="5803"/>
  <c r="H10" i="5803"/>
  <c r="H34" i="5803"/>
  <c r="C27" i="5803"/>
  <c r="H27" i="5803"/>
  <c r="H13" i="5803"/>
  <c r="H29" i="5803"/>
  <c r="B24" i="5803"/>
  <c r="H25" i="5803"/>
  <c r="H16" i="5803"/>
  <c r="H33" i="5803"/>
  <c r="H18" i="5803"/>
  <c r="C20" i="5803"/>
  <c r="H32" i="5803"/>
  <c r="H19" i="5803"/>
  <c r="H15" i="5803"/>
  <c r="B17" i="5803"/>
  <c r="B23" i="5803" s="1"/>
  <c r="H24" i="5803"/>
  <c r="C16" i="5803"/>
  <c r="H31" i="5803"/>
  <c r="C15" i="5803"/>
  <c r="H21" i="5803"/>
  <c r="C14" i="5803"/>
  <c r="H28" i="5803"/>
  <c r="C13" i="5803"/>
  <c r="O12" i="5803"/>
  <c r="H20" i="5803"/>
  <c r="C12" i="5803"/>
  <c r="O11" i="5803"/>
  <c r="H3" i="5803"/>
  <c r="C11" i="5803"/>
  <c r="O10" i="5803"/>
  <c r="H14" i="5803"/>
  <c r="C10" i="5803"/>
  <c r="H12" i="5803"/>
  <c r="C9" i="5803"/>
  <c r="H9" i="5803"/>
  <c r="C8" i="5803"/>
  <c r="O7" i="5803"/>
  <c r="H7" i="5803"/>
  <c r="C7" i="5803"/>
  <c r="O6" i="5803"/>
  <c r="H5" i="5803"/>
  <c r="B6" i="5803"/>
  <c r="O5" i="5803"/>
  <c r="H6" i="5803"/>
  <c r="B5" i="5803"/>
  <c r="O4" i="5803"/>
  <c r="H2" i="5803"/>
  <c r="O3" i="5803"/>
  <c r="H11" i="5803"/>
  <c r="O2" i="5803"/>
  <c r="H4" i="5803"/>
  <c r="O15" i="5802"/>
  <c r="O21" i="5802"/>
  <c r="O19" i="5802"/>
  <c r="O18" i="5802"/>
  <c r="O20" i="5802"/>
  <c r="O17" i="5802"/>
  <c r="O16" i="5802"/>
  <c r="H53" i="5802"/>
  <c r="H11" i="5802"/>
  <c r="H17" i="5802"/>
  <c r="H52" i="5802"/>
  <c r="H51" i="5802"/>
  <c r="H50" i="5802"/>
  <c r="H49" i="5802"/>
  <c r="H48" i="5802"/>
  <c r="H47" i="5802"/>
  <c r="H46" i="5802"/>
  <c r="H45" i="5802"/>
  <c r="H44" i="5802"/>
  <c r="H43" i="5802"/>
  <c r="H42" i="5802"/>
  <c r="H41" i="5802"/>
  <c r="H40" i="5802"/>
  <c r="H39" i="5802"/>
  <c r="H38" i="5802"/>
  <c r="H37" i="5802"/>
  <c r="H36" i="5802"/>
  <c r="H35" i="5802"/>
  <c r="H34" i="5802"/>
  <c r="H21" i="5802"/>
  <c r="H20" i="5802"/>
  <c r="H33" i="5802"/>
  <c r="H8" i="5802"/>
  <c r="H32" i="5802"/>
  <c r="C27" i="5802"/>
  <c r="H31" i="5802"/>
  <c r="H19" i="5802"/>
  <c r="H30" i="5802"/>
  <c r="B24" i="5802"/>
  <c r="H29" i="5802"/>
  <c r="H16" i="5802"/>
  <c r="H28" i="5802"/>
  <c r="H27" i="5802"/>
  <c r="C20" i="5802"/>
  <c r="H26" i="5802"/>
  <c r="H15" i="5802"/>
  <c r="H14" i="5802"/>
  <c r="B17" i="5802"/>
  <c r="B23" i="5802" s="1"/>
  <c r="H25" i="5802"/>
  <c r="C16" i="5802"/>
  <c r="H24" i="5802"/>
  <c r="C15" i="5802"/>
  <c r="H23" i="5802"/>
  <c r="C14" i="5802"/>
  <c r="H22" i="5802"/>
  <c r="C13" i="5802"/>
  <c r="O12" i="5802"/>
  <c r="H18" i="5802"/>
  <c r="C12" i="5802"/>
  <c r="O11" i="5802"/>
  <c r="H4" i="5802"/>
  <c r="C11" i="5802"/>
  <c r="O10" i="5802"/>
  <c r="H13" i="5802"/>
  <c r="C10" i="5802"/>
  <c r="H12" i="5802"/>
  <c r="C9" i="5802"/>
  <c r="H10" i="5802"/>
  <c r="C8" i="5802"/>
  <c r="O7" i="5802"/>
  <c r="H7" i="5802"/>
  <c r="C7" i="5802"/>
  <c r="O6" i="5802"/>
  <c r="H2" i="5802"/>
  <c r="B6" i="5802"/>
  <c r="O5" i="5802"/>
  <c r="H6" i="5802"/>
  <c r="B5" i="5802"/>
  <c r="O4" i="5802"/>
  <c r="H3" i="5802"/>
  <c r="O3" i="5802"/>
  <c r="H9" i="5802"/>
  <c r="O2" i="5802"/>
  <c r="H5" i="5802"/>
  <c r="O26" i="5801"/>
  <c r="O24" i="5801"/>
  <c r="O23" i="5801"/>
  <c r="O25" i="5801"/>
  <c r="O17" i="5801"/>
  <c r="O20" i="5801"/>
  <c r="O21" i="5801"/>
  <c r="O18" i="5801"/>
  <c r="O22" i="5801"/>
  <c r="H53" i="5801"/>
  <c r="H8" i="5801"/>
  <c r="H27" i="5801"/>
  <c r="H52" i="5801"/>
  <c r="H51" i="5801"/>
  <c r="H50" i="5801"/>
  <c r="H49" i="5801"/>
  <c r="H48" i="5801"/>
  <c r="H47" i="5801"/>
  <c r="H46" i="5801"/>
  <c r="H45" i="5801"/>
  <c r="H44" i="5801"/>
  <c r="H43" i="5801"/>
  <c r="H42" i="5801"/>
  <c r="H41" i="5801"/>
  <c r="H40" i="5801"/>
  <c r="H39" i="5801"/>
  <c r="H38" i="5801"/>
  <c r="H37" i="5801"/>
  <c r="H36" i="5801"/>
  <c r="H35" i="5801"/>
  <c r="H24" i="5801"/>
  <c r="H30" i="5801"/>
  <c r="H18" i="5801"/>
  <c r="H34" i="5801"/>
  <c r="H10" i="5801"/>
  <c r="H29" i="5801"/>
  <c r="C27" i="5801"/>
  <c r="H26" i="5801"/>
  <c r="H14" i="5801"/>
  <c r="H28" i="5801"/>
  <c r="B24" i="5801"/>
  <c r="H25" i="5801"/>
  <c r="H16" i="5801"/>
  <c r="H33" i="5801"/>
  <c r="H17" i="5801"/>
  <c r="C20" i="5801"/>
  <c r="H32" i="5801"/>
  <c r="H19" i="5801"/>
  <c r="H15" i="5801"/>
  <c r="B17" i="5801"/>
  <c r="C19" i="5801" s="1"/>
  <c r="H20" i="5801"/>
  <c r="C16" i="5801"/>
  <c r="H31" i="5801"/>
  <c r="C15" i="5801"/>
  <c r="H23" i="5801"/>
  <c r="C14" i="5801"/>
  <c r="H22" i="5801"/>
  <c r="C13" i="5801"/>
  <c r="O12" i="5801"/>
  <c r="H21" i="5801"/>
  <c r="C12" i="5801"/>
  <c r="O11" i="5801"/>
  <c r="H3" i="5801"/>
  <c r="C11" i="5801"/>
  <c r="O10" i="5801"/>
  <c r="H13" i="5801"/>
  <c r="C10" i="5801"/>
  <c r="H11" i="5801"/>
  <c r="C9" i="5801"/>
  <c r="H9" i="5801"/>
  <c r="C8" i="5801"/>
  <c r="O7" i="5801"/>
  <c r="H5" i="5801"/>
  <c r="C7" i="5801"/>
  <c r="O6" i="5801"/>
  <c r="H7" i="5801"/>
  <c r="B6" i="5801"/>
  <c r="O5" i="5801"/>
  <c r="H6" i="5801"/>
  <c r="B5" i="5801"/>
  <c r="O4" i="5801"/>
  <c r="H2" i="5801"/>
  <c r="O3" i="5801"/>
  <c r="H12" i="5801"/>
  <c r="O2" i="5801"/>
  <c r="H4" i="5801"/>
  <c r="O24" i="5800"/>
  <c r="O20" i="5800"/>
  <c r="O22" i="5800"/>
  <c r="O15" i="5800"/>
  <c r="O19" i="5800"/>
  <c r="O16" i="5800"/>
  <c r="O17" i="5800"/>
  <c r="H53" i="5800"/>
  <c r="H5" i="5800"/>
  <c r="H52" i="5800"/>
  <c r="H51" i="5800"/>
  <c r="H50" i="5800"/>
  <c r="H49" i="5800"/>
  <c r="H48" i="5800"/>
  <c r="H47" i="5800"/>
  <c r="H46" i="5800"/>
  <c r="H45" i="5800"/>
  <c r="H44" i="5800"/>
  <c r="H43" i="5800"/>
  <c r="H42" i="5800"/>
  <c r="H41" i="5800"/>
  <c r="H40" i="5800"/>
  <c r="H39" i="5800"/>
  <c r="H38" i="5800"/>
  <c r="H37" i="5800"/>
  <c r="H36" i="5800"/>
  <c r="H35" i="5800"/>
  <c r="H34" i="5800"/>
  <c r="H33" i="5800"/>
  <c r="H32" i="5800"/>
  <c r="H19" i="5800"/>
  <c r="H26" i="5800"/>
  <c r="H13" i="5800"/>
  <c r="H25" i="5800"/>
  <c r="C27" i="5800"/>
  <c r="H24" i="5800"/>
  <c r="H15" i="5800"/>
  <c r="H31" i="5800"/>
  <c r="B24" i="5800"/>
  <c r="H30" i="5800"/>
  <c r="H14" i="5800"/>
  <c r="H29" i="5800"/>
  <c r="H16" i="5800"/>
  <c r="C20" i="5800"/>
  <c r="H28" i="5800"/>
  <c r="H18" i="5800"/>
  <c r="H17" i="5800"/>
  <c r="B17" i="5800"/>
  <c r="B23" i="5800" s="1"/>
  <c r="H20" i="5800"/>
  <c r="C16" i="5800"/>
  <c r="H27" i="5800"/>
  <c r="C15" i="5800"/>
  <c r="H22" i="5800"/>
  <c r="C14" i="5800"/>
  <c r="H21" i="5800"/>
  <c r="C13" i="5800"/>
  <c r="O12" i="5800"/>
  <c r="H23" i="5800"/>
  <c r="C12" i="5800"/>
  <c r="O11" i="5800"/>
  <c r="H3" i="5800"/>
  <c r="C11" i="5800"/>
  <c r="O10" i="5800"/>
  <c r="H12" i="5800"/>
  <c r="C10" i="5800"/>
  <c r="H11" i="5800"/>
  <c r="C9" i="5800"/>
  <c r="H9" i="5800"/>
  <c r="C8" i="5800"/>
  <c r="O7" i="5800"/>
  <c r="H6" i="5800"/>
  <c r="C7" i="5800"/>
  <c r="O6" i="5800"/>
  <c r="H7" i="5800"/>
  <c r="B6" i="5800"/>
  <c r="O5" i="5800"/>
  <c r="H8" i="5800"/>
  <c r="B5" i="5800"/>
  <c r="O4" i="5800"/>
  <c r="H2" i="5800"/>
  <c r="O3" i="5800"/>
  <c r="H10" i="5800"/>
  <c r="O2" i="5800"/>
  <c r="H4" i="5800"/>
  <c r="O19" i="5799"/>
  <c r="O18" i="5799"/>
  <c r="O17" i="5799"/>
  <c r="O16" i="5799"/>
  <c r="O15" i="5799"/>
  <c r="H53" i="5799"/>
  <c r="H52" i="5799"/>
  <c r="H51" i="5799"/>
  <c r="H50" i="5799"/>
  <c r="H49" i="5799"/>
  <c r="H48" i="5799"/>
  <c r="H47" i="5799"/>
  <c r="H46" i="5799"/>
  <c r="H45" i="5799"/>
  <c r="H44" i="5799"/>
  <c r="H43" i="5799"/>
  <c r="H42" i="5799"/>
  <c r="H41" i="5799"/>
  <c r="H40" i="5799"/>
  <c r="H39" i="5799"/>
  <c r="H38" i="5799"/>
  <c r="H37" i="5799"/>
  <c r="H36" i="5799"/>
  <c r="H35" i="5799"/>
  <c r="H34" i="5799"/>
  <c r="H33" i="5799"/>
  <c r="H32" i="5799"/>
  <c r="H31" i="5799"/>
  <c r="H30" i="5799"/>
  <c r="H29" i="5799"/>
  <c r="H28" i="5799"/>
  <c r="H27" i="5799"/>
  <c r="C27" i="5799"/>
  <c r="H26" i="5799"/>
  <c r="H11" i="5799"/>
  <c r="H25" i="5799"/>
  <c r="B24" i="5799"/>
  <c r="H24" i="5799"/>
  <c r="H23" i="5799"/>
  <c r="H22" i="5799"/>
  <c r="H21" i="5799"/>
  <c r="C20" i="5799"/>
  <c r="H20" i="5799"/>
  <c r="H8" i="5799"/>
  <c r="H19" i="5799"/>
  <c r="B17" i="5799"/>
  <c r="B23" i="5799" s="1"/>
  <c r="H18" i="5799"/>
  <c r="C16" i="5799"/>
  <c r="H17" i="5799"/>
  <c r="C15" i="5799"/>
  <c r="H16" i="5799"/>
  <c r="C14" i="5799"/>
  <c r="H15" i="5799"/>
  <c r="C13" i="5799"/>
  <c r="O12" i="5799"/>
  <c r="H14" i="5799"/>
  <c r="C12" i="5799"/>
  <c r="O11" i="5799"/>
  <c r="H5" i="5799"/>
  <c r="C11" i="5799"/>
  <c r="O10" i="5799"/>
  <c r="H13" i="5799"/>
  <c r="C10" i="5799"/>
  <c r="H12" i="5799"/>
  <c r="C9" i="5799"/>
  <c r="H10" i="5799"/>
  <c r="C8" i="5799"/>
  <c r="O7" i="5799"/>
  <c r="H6" i="5799"/>
  <c r="C7" i="5799"/>
  <c r="O6" i="5799"/>
  <c r="H3" i="5799"/>
  <c r="B6" i="5799"/>
  <c r="O5" i="5799"/>
  <c r="H7" i="5799"/>
  <c r="B5" i="5799"/>
  <c r="O4" i="5799"/>
  <c r="H9" i="5799"/>
  <c r="O3" i="5799"/>
  <c r="H4" i="5799"/>
  <c r="O2" i="5799"/>
  <c r="H2" i="5799"/>
  <c r="O22" i="5798"/>
  <c r="O24" i="5798"/>
  <c r="O21" i="5798"/>
  <c r="O18" i="5798"/>
  <c r="O15" i="5798"/>
  <c r="O19" i="5798"/>
  <c r="O23" i="5798"/>
  <c r="O17" i="5798"/>
  <c r="O20" i="5798"/>
  <c r="O16" i="5798"/>
  <c r="O25" i="5798"/>
  <c r="H53" i="5798"/>
  <c r="H9" i="5798"/>
  <c r="H52" i="5798"/>
  <c r="H51" i="5798"/>
  <c r="H50" i="5798"/>
  <c r="H49" i="5798"/>
  <c r="H48" i="5798"/>
  <c r="H47" i="5798"/>
  <c r="H46" i="5798"/>
  <c r="H45" i="5798"/>
  <c r="H44" i="5798"/>
  <c r="H43" i="5798"/>
  <c r="H42" i="5798"/>
  <c r="H41" i="5798"/>
  <c r="H40" i="5798"/>
  <c r="H39" i="5798"/>
  <c r="H38" i="5798"/>
  <c r="H24" i="5798"/>
  <c r="H37" i="5798"/>
  <c r="H36" i="5798"/>
  <c r="H35" i="5798"/>
  <c r="H23" i="5798"/>
  <c r="H34" i="5798"/>
  <c r="H18" i="5798"/>
  <c r="H33" i="5798"/>
  <c r="H12" i="5798"/>
  <c r="H32" i="5798"/>
  <c r="C27" i="5798"/>
  <c r="H31" i="5798"/>
  <c r="H17" i="5798"/>
  <c r="H30" i="5798"/>
  <c r="B24" i="5798"/>
  <c r="H29" i="5798"/>
  <c r="H10" i="5798"/>
  <c r="H28" i="5798"/>
  <c r="H15" i="5798"/>
  <c r="C20" i="5798"/>
  <c r="H27" i="5798"/>
  <c r="H16" i="5798"/>
  <c r="H22" i="5798"/>
  <c r="B17" i="5798"/>
  <c r="B23" i="5798" s="1"/>
  <c r="H26" i="5798"/>
  <c r="C16" i="5798"/>
  <c r="H25" i="5798"/>
  <c r="C15" i="5798"/>
  <c r="H21" i="5798"/>
  <c r="C14" i="5798"/>
  <c r="H20" i="5798"/>
  <c r="C13" i="5798"/>
  <c r="O12" i="5798"/>
  <c r="H19" i="5798"/>
  <c r="C12" i="5798"/>
  <c r="O11" i="5798"/>
  <c r="H3" i="5798"/>
  <c r="C11" i="5798"/>
  <c r="O10" i="5798"/>
  <c r="H14" i="5798"/>
  <c r="C10" i="5798"/>
  <c r="H11" i="5798"/>
  <c r="C9" i="5798"/>
  <c r="H8" i="5798"/>
  <c r="C8" i="5798"/>
  <c r="O7" i="5798"/>
  <c r="H6" i="5798"/>
  <c r="C7" i="5798"/>
  <c r="O6" i="5798"/>
  <c r="H4" i="5798"/>
  <c r="B6" i="5798"/>
  <c r="O5" i="5798"/>
  <c r="H7" i="5798"/>
  <c r="B5" i="5798"/>
  <c r="O4" i="5798"/>
  <c r="H2" i="5798"/>
  <c r="O3" i="5798"/>
  <c r="H13" i="5798"/>
  <c r="O2" i="5798"/>
  <c r="H5" i="5798"/>
  <c r="O26" i="5797"/>
  <c r="O23" i="5797"/>
  <c r="O21" i="5797"/>
  <c r="O22" i="5797"/>
  <c r="O24" i="5797"/>
  <c r="O20" i="5797"/>
  <c r="O19" i="5797"/>
  <c r="O17" i="5797"/>
  <c r="O15" i="5797"/>
  <c r="O18" i="5797"/>
  <c r="H53" i="5797"/>
  <c r="H7" i="5797"/>
  <c r="H20" i="5797"/>
  <c r="H52" i="5797"/>
  <c r="H51" i="5797"/>
  <c r="H50" i="5797"/>
  <c r="H49" i="5797"/>
  <c r="H48" i="5797"/>
  <c r="H47" i="5797"/>
  <c r="H46" i="5797"/>
  <c r="H45" i="5797"/>
  <c r="H44" i="5797"/>
  <c r="H43" i="5797"/>
  <c r="H42" i="5797"/>
  <c r="H41" i="5797"/>
  <c r="H40" i="5797"/>
  <c r="H39" i="5797"/>
  <c r="H38" i="5797"/>
  <c r="H37" i="5797"/>
  <c r="H32" i="5797"/>
  <c r="H36" i="5797"/>
  <c r="H31" i="5797"/>
  <c r="H25" i="5797"/>
  <c r="H18" i="5797"/>
  <c r="H35" i="5797"/>
  <c r="H11" i="5797"/>
  <c r="H27" i="5797"/>
  <c r="C27" i="5797"/>
  <c r="H30" i="5797"/>
  <c r="H13" i="5797"/>
  <c r="H26" i="5797"/>
  <c r="B24" i="5797"/>
  <c r="H24" i="5797"/>
  <c r="H14" i="5797"/>
  <c r="H34" i="5797"/>
  <c r="H16" i="5797"/>
  <c r="C20" i="5797"/>
  <c r="H29" i="5797"/>
  <c r="H19" i="5797"/>
  <c r="H17" i="5797"/>
  <c r="B17" i="5797"/>
  <c r="C19" i="5797" s="1"/>
  <c r="H28" i="5797"/>
  <c r="C16" i="5797"/>
  <c r="H33" i="5797"/>
  <c r="C15" i="5797"/>
  <c r="H21" i="5797"/>
  <c r="C14" i="5797"/>
  <c r="H23" i="5797"/>
  <c r="C13" i="5797"/>
  <c r="O12" i="5797"/>
  <c r="H22" i="5797"/>
  <c r="C12" i="5797"/>
  <c r="O11" i="5797"/>
  <c r="H4" i="5797"/>
  <c r="C11" i="5797"/>
  <c r="O10" i="5797"/>
  <c r="H15" i="5797"/>
  <c r="C10" i="5797"/>
  <c r="H12" i="5797"/>
  <c r="C9" i="5797"/>
  <c r="H9" i="5797"/>
  <c r="C8" i="5797"/>
  <c r="O7" i="5797"/>
  <c r="H5" i="5797"/>
  <c r="C7" i="5797"/>
  <c r="O6" i="5797"/>
  <c r="H8" i="5797"/>
  <c r="B6" i="5797"/>
  <c r="O5" i="5797"/>
  <c r="H6" i="5797"/>
  <c r="B5" i="5797"/>
  <c r="O4" i="5797"/>
  <c r="H2" i="5797"/>
  <c r="O3" i="5797"/>
  <c r="H10" i="5797"/>
  <c r="O2" i="5797"/>
  <c r="H3" i="5797"/>
  <c r="O18" i="5796"/>
  <c r="O17" i="5796"/>
  <c r="O16" i="5796"/>
  <c r="O15" i="5796"/>
  <c r="H53" i="5796"/>
  <c r="H52" i="5796"/>
  <c r="H51" i="5796"/>
  <c r="H50" i="5796"/>
  <c r="H49" i="5796"/>
  <c r="H48" i="5796"/>
  <c r="H47" i="5796"/>
  <c r="H46" i="5796"/>
  <c r="H45" i="5796"/>
  <c r="H44" i="5796"/>
  <c r="H43" i="5796"/>
  <c r="H42" i="5796"/>
  <c r="H41" i="5796"/>
  <c r="H40" i="5796"/>
  <c r="H39" i="5796"/>
  <c r="H38" i="5796"/>
  <c r="H37" i="5796"/>
  <c r="H36" i="5796"/>
  <c r="H35" i="5796"/>
  <c r="H34" i="5796"/>
  <c r="H33" i="5796"/>
  <c r="H32" i="5796"/>
  <c r="H31" i="5796"/>
  <c r="H30" i="5796"/>
  <c r="H29" i="5796"/>
  <c r="H7" i="5796"/>
  <c r="H28" i="5796"/>
  <c r="C27" i="5796"/>
  <c r="H27" i="5796"/>
  <c r="H12" i="5796"/>
  <c r="H26" i="5796"/>
  <c r="B24" i="5796"/>
  <c r="H25" i="5796"/>
  <c r="H11" i="5796"/>
  <c r="H24" i="5796"/>
  <c r="H23" i="5796"/>
  <c r="C20" i="5796"/>
  <c r="H22" i="5796"/>
  <c r="H21" i="5796"/>
  <c r="H20" i="5796"/>
  <c r="B17" i="5796"/>
  <c r="B23" i="5796" s="1"/>
  <c r="H19" i="5796"/>
  <c r="C16" i="5796"/>
  <c r="H18" i="5796"/>
  <c r="C15" i="5796"/>
  <c r="H17" i="5796"/>
  <c r="C14" i="5796"/>
  <c r="H16" i="5796"/>
  <c r="C13" i="5796"/>
  <c r="O12" i="5796"/>
  <c r="H15" i="5796"/>
  <c r="C12" i="5796"/>
  <c r="O11" i="5796"/>
  <c r="H3" i="5796"/>
  <c r="C11" i="5796"/>
  <c r="O10" i="5796"/>
  <c r="H10" i="5796"/>
  <c r="C10" i="5796"/>
  <c r="H14" i="5796"/>
  <c r="C9" i="5796"/>
  <c r="H9" i="5796"/>
  <c r="C8" i="5796"/>
  <c r="O7" i="5796"/>
  <c r="H8" i="5796"/>
  <c r="C7" i="5796"/>
  <c r="O6" i="5796"/>
  <c r="H6" i="5796"/>
  <c r="B6" i="5796"/>
  <c r="O5" i="5796"/>
  <c r="H5" i="5796"/>
  <c r="B5" i="5796"/>
  <c r="O4" i="5796"/>
  <c r="H2" i="5796"/>
  <c r="O3" i="5796"/>
  <c r="H13" i="5796"/>
  <c r="O2" i="5796"/>
  <c r="H4" i="5796"/>
  <c r="O17" i="5795"/>
  <c r="O16" i="5795"/>
  <c r="O15" i="5795"/>
  <c r="H53" i="5795"/>
  <c r="H52" i="5795"/>
  <c r="H51" i="5795"/>
  <c r="H50" i="5795"/>
  <c r="H49" i="5795"/>
  <c r="H48" i="5795"/>
  <c r="H47" i="5795"/>
  <c r="H46" i="5795"/>
  <c r="H45" i="5795"/>
  <c r="H44" i="5795"/>
  <c r="H43" i="5795"/>
  <c r="H42" i="5795"/>
  <c r="H41" i="5795"/>
  <c r="H40" i="5795"/>
  <c r="H39" i="5795"/>
  <c r="H38" i="5795"/>
  <c r="H37" i="5795"/>
  <c r="H36" i="5795"/>
  <c r="H35" i="5795"/>
  <c r="H34" i="5795"/>
  <c r="H33" i="5795"/>
  <c r="H32" i="5795"/>
  <c r="H31" i="5795"/>
  <c r="H30" i="5795"/>
  <c r="H29" i="5795"/>
  <c r="H28" i="5795"/>
  <c r="H27" i="5795"/>
  <c r="C27" i="5795"/>
  <c r="H26" i="5795"/>
  <c r="H25" i="5795"/>
  <c r="H24" i="5795"/>
  <c r="B24" i="5795"/>
  <c r="H23" i="5795"/>
  <c r="H22" i="5795"/>
  <c r="H21" i="5795"/>
  <c r="H20" i="5795"/>
  <c r="C20" i="5795"/>
  <c r="H19" i="5795"/>
  <c r="H18" i="5795"/>
  <c r="H17" i="5795"/>
  <c r="B17" i="5795"/>
  <c r="B23" i="5795" s="1"/>
  <c r="H16" i="5795"/>
  <c r="C16" i="5795"/>
  <c r="H15" i="5795"/>
  <c r="C15" i="5795"/>
  <c r="H14" i="5795"/>
  <c r="C14" i="5795"/>
  <c r="H13" i="5795"/>
  <c r="C13" i="5795"/>
  <c r="O12" i="5795"/>
  <c r="H12" i="5795"/>
  <c r="C12" i="5795"/>
  <c r="O11" i="5795"/>
  <c r="H11" i="5795"/>
  <c r="C11" i="5795"/>
  <c r="O10" i="5795"/>
  <c r="H10" i="5795"/>
  <c r="C10" i="5795"/>
  <c r="H9" i="5795"/>
  <c r="C9" i="5795"/>
  <c r="H8" i="5795"/>
  <c r="C8" i="5795"/>
  <c r="O7" i="5795"/>
  <c r="H7" i="5795"/>
  <c r="C7" i="5795"/>
  <c r="O6" i="5795"/>
  <c r="H6" i="5795"/>
  <c r="B6" i="5795"/>
  <c r="O5" i="5795"/>
  <c r="H5" i="5795"/>
  <c r="B5" i="5795"/>
  <c r="O4" i="5795"/>
  <c r="H4" i="5795"/>
  <c r="O3" i="5795"/>
  <c r="H3" i="5795"/>
  <c r="O2" i="5795"/>
  <c r="H2" i="5795"/>
  <c r="O26" i="5794"/>
  <c r="O24" i="5794"/>
  <c r="O25" i="5794"/>
  <c r="O28" i="5794"/>
  <c r="O23" i="5794"/>
  <c r="O27" i="5794"/>
  <c r="O22" i="5794"/>
  <c r="O20" i="5794"/>
  <c r="O21" i="5794"/>
  <c r="O16" i="5794"/>
  <c r="O15" i="5794"/>
  <c r="H53" i="5794"/>
  <c r="H8" i="5794"/>
  <c r="H16" i="5794"/>
  <c r="H52" i="5794"/>
  <c r="H51" i="5794"/>
  <c r="H50" i="5794"/>
  <c r="H49" i="5794"/>
  <c r="H48" i="5794"/>
  <c r="H33" i="5794"/>
  <c r="H47" i="5794"/>
  <c r="H46" i="5794"/>
  <c r="H45" i="5794"/>
  <c r="H44" i="5794"/>
  <c r="H43" i="5794"/>
  <c r="H42" i="5794"/>
  <c r="H41" i="5794"/>
  <c r="H40" i="5794"/>
  <c r="H39" i="5794"/>
  <c r="H38" i="5794"/>
  <c r="H32" i="5794"/>
  <c r="H37" i="5794"/>
  <c r="H31" i="5794"/>
  <c r="H23" i="5794"/>
  <c r="H19" i="5794"/>
  <c r="H26" i="5794"/>
  <c r="H9" i="5794"/>
  <c r="H30" i="5794"/>
  <c r="C27" i="5794"/>
  <c r="H29" i="5794"/>
  <c r="H13" i="5794"/>
  <c r="H22" i="5794"/>
  <c r="B24" i="5794"/>
  <c r="H28" i="5794"/>
  <c r="H15" i="5794"/>
  <c r="H36" i="5794"/>
  <c r="H18" i="5794"/>
  <c r="C20" i="5794"/>
  <c r="H35" i="5794"/>
  <c r="H20" i="5794"/>
  <c r="H17" i="5794"/>
  <c r="B17" i="5794"/>
  <c r="C19" i="5794" s="1"/>
  <c r="H21" i="5794"/>
  <c r="C16" i="5794"/>
  <c r="H34" i="5794"/>
  <c r="C15" i="5794"/>
  <c r="H25" i="5794"/>
  <c r="C14" i="5794"/>
  <c r="H27" i="5794"/>
  <c r="C13" i="5794"/>
  <c r="O12" i="5794"/>
  <c r="H24" i="5794"/>
  <c r="C12" i="5794"/>
  <c r="O11" i="5794"/>
  <c r="H3" i="5794"/>
  <c r="C11" i="5794"/>
  <c r="O10" i="5794"/>
  <c r="H14" i="5794"/>
  <c r="C10" i="5794"/>
  <c r="H12" i="5794"/>
  <c r="C9" i="5794"/>
  <c r="H10" i="5794"/>
  <c r="C8" i="5794"/>
  <c r="O7" i="5794"/>
  <c r="H7" i="5794"/>
  <c r="C7" i="5794"/>
  <c r="O6" i="5794"/>
  <c r="H5" i="5794"/>
  <c r="B6" i="5794"/>
  <c r="O5" i="5794"/>
  <c r="H6" i="5794"/>
  <c r="B5" i="5794"/>
  <c r="O4" i="5794"/>
  <c r="H2" i="5794"/>
  <c r="O3" i="5794"/>
  <c r="H11" i="5794"/>
  <c r="O2" i="5794"/>
  <c r="H4" i="5794"/>
  <c r="O30" i="5793"/>
  <c r="O29" i="5793"/>
  <c r="O27" i="5793"/>
  <c r="O24" i="5793"/>
  <c r="O28" i="5793"/>
  <c r="O25" i="5793"/>
  <c r="O22" i="5793"/>
  <c r="O21" i="5793"/>
  <c r="O20" i="5793"/>
  <c r="O23" i="5793"/>
  <c r="O19" i="5793"/>
  <c r="O17" i="5793"/>
  <c r="O15" i="5793"/>
  <c r="H53" i="5793"/>
  <c r="H8" i="5793"/>
  <c r="H20" i="5793"/>
  <c r="H52" i="5793"/>
  <c r="H51" i="5793"/>
  <c r="H50" i="5793"/>
  <c r="H49" i="5793"/>
  <c r="H48" i="5793"/>
  <c r="H34" i="5793"/>
  <c r="H47" i="5793"/>
  <c r="H46" i="5793"/>
  <c r="H45" i="5793"/>
  <c r="H44" i="5793"/>
  <c r="H33" i="5793"/>
  <c r="H43" i="5793"/>
  <c r="H42" i="5793"/>
  <c r="H41" i="5793"/>
  <c r="H36" i="5793"/>
  <c r="H40" i="5793"/>
  <c r="H32" i="5793"/>
  <c r="H39" i="5793"/>
  <c r="H27" i="5793"/>
  <c r="H24" i="5793"/>
  <c r="H18" i="5793"/>
  <c r="H30" i="5793"/>
  <c r="H10" i="5793"/>
  <c r="H31" i="5793"/>
  <c r="C27" i="5793"/>
  <c r="H29" i="5793"/>
  <c r="H14" i="5793"/>
  <c r="H25" i="5793"/>
  <c r="B24" i="5793"/>
  <c r="H28" i="5793"/>
  <c r="H15" i="5793"/>
  <c r="H38" i="5793"/>
  <c r="H17" i="5793"/>
  <c r="C20" i="5793"/>
  <c r="H35" i="5793"/>
  <c r="H19" i="5793"/>
  <c r="H16" i="5793"/>
  <c r="B17" i="5793"/>
  <c r="C19" i="5793" s="1"/>
  <c r="H21" i="5793"/>
  <c r="C16" i="5793"/>
  <c r="H37" i="5793"/>
  <c r="C15" i="5793"/>
  <c r="H23" i="5793"/>
  <c r="C14" i="5793"/>
  <c r="H26" i="5793"/>
  <c r="C13" i="5793"/>
  <c r="O12" i="5793"/>
  <c r="H22" i="5793"/>
  <c r="C12" i="5793"/>
  <c r="O11" i="5793"/>
  <c r="H3" i="5793"/>
  <c r="C11" i="5793"/>
  <c r="O10" i="5793"/>
  <c r="H13" i="5793"/>
  <c r="C10" i="5793"/>
  <c r="H12" i="5793"/>
  <c r="C9" i="5793"/>
  <c r="H9" i="5793"/>
  <c r="C8" i="5793"/>
  <c r="O7" i="5793"/>
  <c r="H5" i="5793"/>
  <c r="C7" i="5793"/>
  <c r="O6" i="5793"/>
  <c r="H6" i="5793"/>
  <c r="B6" i="5793"/>
  <c r="O5" i="5793"/>
  <c r="H7" i="5793"/>
  <c r="B5" i="5793"/>
  <c r="O4" i="5793"/>
  <c r="H2" i="5793"/>
  <c r="O3" i="5793"/>
  <c r="H11" i="5793"/>
  <c r="O2" i="5793"/>
  <c r="H4" i="5793"/>
  <c r="C17" i="5804" l="1"/>
  <c r="C17" i="5805"/>
  <c r="C18" i="5801"/>
  <c r="B23" i="5801"/>
  <c r="C17" i="5801"/>
  <c r="C17" i="5806"/>
  <c r="B23" i="5806"/>
  <c r="C18" i="5806"/>
  <c r="C19" i="5805"/>
  <c r="C18" i="5805"/>
  <c r="C19" i="5804"/>
  <c r="C18" i="5804"/>
  <c r="C17" i="5803"/>
  <c r="C19" i="5803"/>
  <c r="C18" i="5803"/>
  <c r="C17" i="5802"/>
  <c r="C19" i="5802"/>
  <c r="C18" i="5802"/>
  <c r="C17" i="5800"/>
  <c r="C19" i="5800"/>
  <c r="C18" i="5800"/>
  <c r="C17" i="5799"/>
  <c r="C19" i="5799"/>
  <c r="C18" i="5799"/>
  <c r="C19" i="5798"/>
  <c r="C17" i="5798"/>
  <c r="C18" i="5798"/>
  <c r="C17" i="5797"/>
  <c r="B23" i="5797"/>
  <c r="C18" i="5797"/>
  <c r="C17" i="5796"/>
  <c r="C19" i="5796"/>
  <c r="C18" i="5796"/>
  <c r="C17" i="5795"/>
  <c r="C19" i="5795"/>
  <c r="C18" i="5795"/>
  <c r="C17" i="5794"/>
  <c r="B23" i="5794"/>
  <c r="C18" i="5794"/>
  <c r="B23" i="5793"/>
  <c r="C17" i="5793"/>
  <c r="C18" i="5793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<sst xmlns="http://schemas.openxmlformats.org/spreadsheetml/2006/main" count="3580" uniqueCount="189">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</sst>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全体!$K$2:$K$2156</c:f>
              <c:numCache>
                <c:formatCode>General</c:formatCode>
                <c:ptCount val="2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</c:numCache>
            </c:numRef>
          </c:xVal>
          <c:yVal>
            <c:numRef>
              <c:f>全体!$L$2:$L$2156</c:f>
              <c:numCache>
                <c:formatCode>\+0.0;\-0.0;\±0</c:formatCode>
                <c:ptCount val="215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D-4AF5-8EEE-E55CE01D4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-17.790262172284645</c:v>
                </c:pt>
                <c:pt idx="1">
                  <c:v>-2.8901734104046244</c:v>
                </c:pt>
                <c:pt idx="2">
                  <c:v>6.6360387953037261</c:v>
                </c:pt>
                <c:pt idx="3">
                  <c:v>5.5834729201563373</c:v>
                </c:pt>
                <c:pt idx="4">
                  <c:v>1.2531328320802004</c:v>
                </c:pt>
                <c:pt idx="5">
                  <c:v>8.202833706189411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6-45EF-A894-AF4D8D81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だいち!$L$2:$L$524</c:f>
              <c:numCache>
                <c:formatCode>\+0.0;\-0.0;\±0</c:formatCode>
                <c:ptCount val="52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1-4928-8B02-5486D9095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1266.0852713178294</c:v>
                </c:pt>
                <c:pt idx="1">
                  <c:v>1060.678642714571</c:v>
                </c:pt>
                <c:pt idx="2">
                  <c:v>1217.6470588235295</c:v>
                </c:pt>
                <c:pt idx="3">
                  <c:v>1979.9076212471132</c:v>
                </c:pt>
                <c:pt idx="4">
                  <c:v>1685.1948051948052</c:v>
                </c:pt>
                <c:pt idx="5">
                  <c:v>1869.375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4-4F4D-AB28-36CD77D7C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03-4300-B102-CD82485C8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A-4CDA-8EF4-F2A220731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8-43E2-AFA9-E436A5DEC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B0-4996-ADCB-E50DEA8D7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りくと!$K$2:$K$335</c:f>
              <c:numCache>
                <c:formatCode>General</c:formatCode>
                <c:ptCount val="3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</c:numCache>
            </c:numRef>
          </c:xVal>
          <c:yVal>
            <c:numRef>
              <c:f>りくと!$L$2:$L$335</c:f>
              <c:numCache>
                <c:formatCode>\+0.0;\-0.0;\±0</c:formatCode>
                <c:ptCount val="33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A-4BDB-B17A-2965CA55A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-23.030303030303031</c:v>
                </c:pt>
                <c:pt idx="1">
                  <c:v>-1398.4423676012461</c:v>
                </c:pt>
                <c:pt idx="2">
                  <c:v>451.13268608414239</c:v>
                </c:pt>
                <c:pt idx="3">
                  <c:v>-743.88489208633098</c:v>
                </c:pt>
                <c:pt idx="4">
                  <c:v>-1044.8979591836735</c:v>
                </c:pt>
                <c:pt idx="5">
                  <c:v>-912.91866028708137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2C-486E-8462-F5B5836B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4-4439-8D35-A32D74C92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7E-4F99-BA3B-9DDD47BCC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6-4BA3-A0D1-650E0E3D7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3-4838-90AB-5D2A15DB6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たかの!$K$2:$K$214</c:f>
              <c:numCache>
                <c:formatCode>General</c:formatCode>
                <c:ptCount val="2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</c:numCache>
            </c:numRef>
          </c:xVal>
          <c:yVal>
            <c:numRef>
              <c:f>たかの!$L$2:$L$214</c:f>
              <c:numCache>
                <c:formatCode>\+0.0;\-0.0;\±0</c:formatCode>
                <c:ptCount val="21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0-41F3-8A31-BEE116D82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-576.88679245283015</c:v>
                </c:pt>
                <c:pt idx="1">
                  <c:v>-1707.7294685990339</c:v>
                </c:pt>
                <c:pt idx="2">
                  <c:v>-800.52910052910056</c:v>
                </c:pt>
                <c:pt idx="3">
                  <c:v>226.66666666666666</c:v>
                </c:pt>
                <c:pt idx="4">
                  <c:v>-831.28834355828224</c:v>
                </c:pt>
                <c:pt idx="5">
                  <c:v>-968.38235294117646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D-4A86-90A4-47A2F3ADD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ただ!$K$2:$K$350</c:f>
              <c:numCache>
                <c:formatCode>General</c:formatCode>
                <c:ptCount val="3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</c:numCache>
            </c:numRef>
          </c:xVal>
          <c:yVal>
            <c:numRef>
              <c:f>ただ!$L$2:$L$350</c:f>
              <c:numCache>
                <c:formatCode>\+0.0;\-0.0;\±0</c:formatCode>
                <c:ptCount val="34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91-4349-A1A7-FD4AB2425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-477.32558139534882</c:v>
                </c:pt>
                <c:pt idx="1">
                  <c:v>-493.67469879518075</c:v>
                </c:pt>
                <c:pt idx="2">
                  <c:v>728.57142857142856</c:v>
                </c:pt>
                <c:pt idx="3">
                  <c:v>-1152.2336769759449</c:v>
                </c:pt>
                <c:pt idx="4">
                  <c:v>153.07692307692307</c:v>
                </c:pt>
                <c:pt idx="5">
                  <c:v>-307.2072072072072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0-4EDC-BF3A-DCA26EDF8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A-4C88-8E92-1C20A938B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9-4C28-A39F-B27D7A5C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れんたろう!$K$2:$K$267</c:f>
              <c:numCache>
                <c:formatCode>General</c:formatCode>
                <c:ptCount val="2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</c:numCache>
            </c:numRef>
          </c:xVal>
          <c:yVal>
            <c:numRef>
              <c:f>れんたろう!$L$2:$L$267</c:f>
              <c:numCache>
                <c:formatCode>\+0.0;\-0.0;\±0</c:formatCode>
                <c:ptCount val="2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49-4D7F-BB3A-F521D7B0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-161.30268199233717</c:v>
                </c:pt>
                <c:pt idx="1">
                  <c:v>297.24409448818898</c:v>
                </c:pt>
                <c:pt idx="2">
                  <c:v>599.15966386554624</c:v>
                </c:pt>
                <c:pt idx="3">
                  <c:v>293.92523364485982</c:v>
                </c:pt>
                <c:pt idx="4">
                  <c:v>-2367.5257731958764</c:v>
                </c:pt>
                <c:pt idx="5">
                  <c:v>-198.18181818181819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2-4F50-9F30-A6868F3F5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0-4B7C-8AFD-A44E199A9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5-486F-AF92-48EFC4F10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まっつん!$K$2:$K$185</c:f>
              <c:numCache>
                <c:formatCode>General</c:formatCode>
                <c:ptCount val="1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</c:numCache>
            </c:numRef>
          </c:xVal>
          <c:yVal>
            <c:numRef>
              <c:f>まっつん!$L$2:$L$185</c:f>
              <c:numCache>
                <c:formatCode>\+0.0;\-0.0;\±0</c:formatCode>
                <c:ptCount val="18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C-4BD8-B3AF-7F7F2A125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91.803278688524586</c:v>
                </c:pt>
                <c:pt idx="1">
                  <c:v>844.94382022471905</c:v>
                </c:pt>
                <c:pt idx="2">
                  <c:v>-1642.7710843373493</c:v>
                </c:pt>
                <c:pt idx="3">
                  <c:v>-335.48387096774195</c:v>
                </c:pt>
                <c:pt idx="4">
                  <c:v>-2094.9640287769785</c:v>
                </c:pt>
                <c:pt idx="5">
                  <c:v>366.66666666666669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4-4FE4-BF8A-19856E9C4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5-4088-A869-3F5147037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3-41CC-AD9B-D480A22F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2-43A3-9956-531981D38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B-4DA4-A595-103B294F0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5-4961-B6C3-DCA5BD6D1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3-4CBC-9E62-4A9990A9C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のり!$L$2:$L$26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2-430C-A9CC-243756219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-3437.5</c:v>
                </c:pt>
                <c:pt idx="1">
                  <c:v>-1683.3333333333333</c:v>
                </c:pt>
                <c:pt idx="2">
                  <c:v>-1782.608695652174</c:v>
                </c:pt>
                <c:pt idx="3">
                  <c:v>-1922.7272727272727</c:v>
                </c:pt>
                <c:pt idx="4">
                  <c:v>-1475</c:v>
                </c:pt>
                <c:pt idx="5">
                  <c:v>-5229.411764705882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15-43DF-876C-CFD69CBD0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9B-4572-8CF5-FB15444A0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5-42F8-931B-7EAAC7C2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3B0D71-44C9-4A07-87E2-9267D56E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681EB3-528E-4629-B028-7CD1F9092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566220-4BEB-4D3C-A3DC-6222D8A7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4E49D0-9F20-4B03-937A-FBB68008C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8D3BE2-725D-493A-A0C9-2A341D1E0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C9C9F3-4EFC-4BB1-AA1B-87BABDEF2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462A9B-59A5-4F5E-818F-2965AD1FD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26DA07-CE15-4AFE-ABE1-4CB6EAE77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9B939D-054C-42B5-B0DB-8858908C9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5302F8-B506-441A-B6C0-E4931B729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843177-7348-49C3-A0FA-74503739A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66E7E6-C8B6-43D3-95A8-79DD4EE93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6510C0-9E90-48DB-A77D-E04CB29D2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B3A020-ED16-40FC-B81D-C62FF675B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3A2E4D-F3AB-4B0A-907C-F0CC0120E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07869F-8527-49E8-A93A-2170BFD20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E20FED-B94B-487B-B071-C25C8DC177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43BCD0-3E15-4976-8F78-4BCE85933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185AAB-2357-4B0E-AA4A-28A18428B5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721162-25C8-495E-9256-CA0346BBD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F8D8F6-048B-4869-AB8E-57237944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B80EC2-3DAE-4A4D-BC3C-60407BE81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E6AF37-B639-4D11-9E31-BE91FEE50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D75B1E-1E4E-477A-A61B-DB2BAE05C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9FB14C-D577-4E78-BBF1-C667B00FB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9F2EC4-A73F-44B2-9D58-22887E0F1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141F68-39EE-4366-876A-787744C9E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C3255B-F05E-4C3B-A731-16F3DA972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0F314D-AFBC-4324-ABAB-9F0DEFAD60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8BDE7F-FD92-42E8-9794-0C504DC78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25BB8C-938D-4A89-8FEF-0BDAFA015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A0383A-7B40-48C8-BBFF-82C402D4F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FF39DF-4DC0-4821-BFEF-C97DFCEBB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B06B4E-CC0B-446C-B7D0-DE1239A6B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EEEDE5-7AA1-4FE3-875B-DA822E46A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452160-0517-4DF7-9558-54A2A792B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15"/>
      <c r="C1" s="11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7">
        <v>0</v>
      </c>
      <c r="C2" s="118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19">
        <v>0</v>
      </c>
      <c r="C3" s="120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1">
        <v>0</v>
      </c>
      <c r="C4" s="122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23">
        <f>IF(B$2=0,0,B$4/B$2)</f>
        <v>0</v>
      </c>
      <c r="C5" s="124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31">
        <f>IF(B$2=0,0,(B$7*1+B$8*2+B$9*3)/B$2)</f>
        <v>0</v>
      </c>
      <c r="C6" s="132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9">
        <v>0</v>
      </c>
      <c r="C25" s="130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27">
        <v>0</v>
      </c>
      <c r="C26" s="128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7">
        <v>0</v>
      </c>
      <c r="C28" s="118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25">
        <v>0</v>
      </c>
      <c r="C29" s="126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28:C28"/>
    <mergeCell ref="B29:C29"/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142</v>
      </c>
      <c r="B1">
        <v>2154</v>
      </c>
    </row>
    <row r="2" spans="1:2" x14ac:dyDescent="0.4">
      <c r="A2" t="s">
        <v>127</v>
      </c>
      <c r="B2">
        <v>522</v>
      </c>
    </row>
    <row r="3" spans="1:2" x14ac:dyDescent="0.4">
      <c r="A3" t="s">
        <v>181</v>
      </c>
      <c r="B3">
        <v>4</v>
      </c>
    </row>
    <row r="4" spans="1:2" x14ac:dyDescent="0.4">
      <c r="A4" t="s">
        <v>183</v>
      </c>
      <c r="B4">
        <v>4</v>
      </c>
    </row>
    <row r="5" spans="1:2" x14ac:dyDescent="0.4">
      <c r="A5" t="s">
        <v>173</v>
      </c>
      <c r="B5">
        <v>333</v>
      </c>
    </row>
    <row r="6" spans="1:2" x14ac:dyDescent="0.4">
      <c r="A6" t="s">
        <v>185</v>
      </c>
      <c r="B6">
        <v>89</v>
      </c>
    </row>
    <row r="7" spans="1:2" x14ac:dyDescent="0.4">
      <c r="A7" t="s">
        <v>182</v>
      </c>
      <c r="B7">
        <v>5</v>
      </c>
    </row>
    <row r="8" spans="1:2" x14ac:dyDescent="0.4">
      <c r="A8" t="s">
        <v>162</v>
      </c>
      <c r="B8">
        <v>212</v>
      </c>
    </row>
    <row r="9" spans="1:2" x14ac:dyDescent="0.4">
      <c r="A9" t="s">
        <v>128</v>
      </c>
      <c r="B9">
        <v>348</v>
      </c>
    </row>
    <row r="10" spans="1:2" x14ac:dyDescent="0.4">
      <c r="A10" t="s">
        <v>184</v>
      </c>
      <c r="B10">
        <v>39</v>
      </c>
    </row>
    <row r="11" spans="1:2" x14ac:dyDescent="0.4">
      <c r="A11" t="s">
        <v>171</v>
      </c>
      <c r="B11">
        <v>265</v>
      </c>
    </row>
    <row r="12" spans="1:2" x14ac:dyDescent="0.4">
      <c r="A12" t="s">
        <v>186</v>
      </c>
      <c r="B12">
        <v>9</v>
      </c>
    </row>
    <row r="13" spans="1:2" x14ac:dyDescent="0.4">
      <c r="A13" t="s">
        <v>172</v>
      </c>
      <c r="B13">
        <v>183</v>
      </c>
    </row>
    <row r="14" spans="1:2" x14ac:dyDescent="0.4">
      <c r="A14" t="s">
        <v>174</v>
      </c>
      <c r="B14">
        <v>84</v>
      </c>
    </row>
    <row r="15" spans="1:2" x14ac:dyDescent="0.4">
      <c r="A15" t="s">
        <v>176</v>
      </c>
      <c r="B15">
        <v>28</v>
      </c>
    </row>
    <row r="16" spans="1:2" x14ac:dyDescent="0.4">
      <c r="A16" t="s">
        <v>188</v>
      </c>
      <c r="B16">
        <v>1</v>
      </c>
    </row>
    <row r="17" spans="1:2" x14ac:dyDescent="0.4">
      <c r="A17" t="s">
        <v>175</v>
      </c>
      <c r="B17">
        <v>24</v>
      </c>
    </row>
    <row r="18" spans="1:2" x14ac:dyDescent="0.4">
      <c r="A18" t="s">
        <v>187</v>
      </c>
      <c r="B18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156</v>
      </c>
      <c r="K1" s="136"/>
      <c r="L1" s="135" t="s">
        <v>143</v>
      </c>
      <c r="M1" s="136"/>
      <c r="N1" s="135" t="s">
        <v>144</v>
      </c>
      <c r="O1" s="136"/>
      <c r="P1" s="135" t="s">
        <v>5</v>
      </c>
      <c r="Q1" s="136"/>
      <c r="R1" s="135" t="s">
        <v>17</v>
      </c>
      <c r="S1" s="136"/>
      <c r="T1" s="135" t="s">
        <v>18</v>
      </c>
      <c r="U1" s="136"/>
      <c r="V1" s="135" t="s">
        <v>138</v>
      </c>
      <c r="W1" s="136"/>
      <c r="X1" s="135" t="s">
        <v>123</v>
      </c>
      <c r="Y1" s="136"/>
      <c r="Z1" s="135" t="s">
        <v>120</v>
      </c>
      <c r="AA1" s="136"/>
      <c r="AB1" s="135" t="s">
        <v>126</v>
      </c>
      <c r="AC1" s="136"/>
      <c r="AD1" s="135" t="s">
        <v>145</v>
      </c>
      <c r="AE1" s="136"/>
      <c r="AF1" s="135" t="s">
        <v>141</v>
      </c>
      <c r="AG1" s="136"/>
      <c r="AH1" s="135" t="s">
        <v>147</v>
      </c>
      <c r="AI1" s="136"/>
    </row>
    <row r="2" spans="1:35" x14ac:dyDescent="0.4">
      <c r="A2" s="45" t="s">
        <v>155</v>
      </c>
      <c r="B2" s="137"/>
      <c r="C2" s="138"/>
      <c r="D2" s="137"/>
      <c r="E2" s="138"/>
      <c r="F2" s="133">
        <v>0.96916212397608148</v>
      </c>
      <c r="G2" s="134"/>
      <c r="H2" s="133">
        <v>0.97307853008369671</v>
      </c>
      <c r="I2" s="134"/>
      <c r="J2" s="133">
        <v>0.93360358191254933</v>
      </c>
      <c r="K2" s="134"/>
      <c r="L2" s="133">
        <v>0.80341498325767824</v>
      </c>
      <c r="M2" s="134"/>
      <c r="N2" s="133">
        <v>0.91538945325140086</v>
      </c>
      <c r="O2" s="134"/>
      <c r="P2" s="133">
        <v>0.55695530784500313</v>
      </c>
      <c r="Q2" s="134"/>
      <c r="R2" s="133">
        <v>-0.20418793926107043</v>
      </c>
      <c r="S2" s="134"/>
      <c r="T2" s="133">
        <v>0.27508205241797623</v>
      </c>
      <c r="U2" s="134"/>
      <c r="V2" s="133">
        <v>0.77935431251330411</v>
      </c>
      <c r="W2" s="134"/>
      <c r="X2" s="133">
        <v>0.61229380249022636</v>
      </c>
      <c r="Y2" s="134"/>
      <c r="Z2" s="133">
        <v>-9.4447554727370361E-2</v>
      </c>
      <c r="AA2" s="134"/>
      <c r="AB2" s="133">
        <v>0.12785582070820409</v>
      </c>
      <c r="AC2" s="134"/>
      <c r="AD2" s="133">
        <v>0.6850609703524172</v>
      </c>
      <c r="AE2" s="134"/>
      <c r="AF2" s="133">
        <v>-0.24802643887101772</v>
      </c>
      <c r="AG2" s="134"/>
      <c r="AH2" s="133">
        <v>0.7833342031607331</v>
      </c>
      <c r="AI2" s="134"/>
    </row>
    <row r="3" spans="1:35" x14ac:dyDescent="0.4">
      <c r="A3" s="47">
        <v>1</v>
      </c>
      <c r="B3" s="48" t="s">
        <v>127</v>
      </c>
      <c r="C3" s="49">
        <v>5101.7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127</v>
      </c>
      <c r="M3" s="53">
        <v>0.34786821705426357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-7384.5188284518827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1.7490421455938698</v>
      </c>
      <c r="H4" s="58" t="s">
        <v>127</v>
      </c>
      <c r="I4" s="60">
        <v>0.46934865900383144</v>
      </c>
      <c r="J4" s="58" t="s">
        <v>127</v>
      </c>
      <c r="K4" s="60">
        <v>0.21839080459770116</v>
      </c>
      <c r="L4" s="58" t="s">
        <v>186</v>
      </c>
      <c r="M4" s="61">
        <v>0.34782608695652173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0.50316055625790135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9.7733716475095775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0.1431686046511628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8.6206896551724144E-2</v>
      </c>
      <c r="V5" s="58" t="s">
        <v>184</v>
      </c>
      <c r="W5" s="60">
        <v>0.17948717948717949</v>
      </c>
      <c r="X5" s="58" t="s">
        <v>127</v>
      </c>
      <c r="Y5" s="61">
        <v>0.29738562091503268</v>
      </c>
      <c r="Z5" s="58" t="s">
        <v>162</v>
      </c>
      <c r="AA5" s="61">
        <v>0.27713920817369092</v>
      </c>
      <c r="AB5" s="58" t="s">
        <v>127</v>
      </c>
      <c r="AC5" s="61">
        <v>0.61630036630036633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187</v>
      </c>
      <c r="O6" s="61">
        <v>0.15625</v>
      </c>
      <c r="P6" s="58" t="s">
        <v>171</v>
      </c>
      <c r="Q6" s="62">
        <v>10352.246256239601</v>
      </c>
      <c r="R6" s="58" t="s">
        <v>186</v>
      </c>
      <c r="S6" s="62">
        <v>-8400</v>
      </c>
      <c r="T6" s="58" t="s">
        <v>162</v>
      </c>
      <c r="U6" s="60">
        <v>0.10377358490566038</v>
      </c>
      <c r="V6" s="58" t="s">
        <v>127</v>
      </c>
      <c r="W6" s="60">
        <v>0.17049808429118773</v>
      </c>
      <c r="X6" s="58" t="s">
        <v>173</v>
      </c>
      <c r="Y6" s="61">
        <v>0.29207920792079206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0.41031941031941033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-7.9999999999999272</v>
      </c>
      <c r="D7" s="58" t="s">
        <v>142</v>
      </c>
      <c r="E7" s="70">
        <v>-3.7140204271123153E-3</v>
      </c>
      <c r="F7" s="58" t="s">
        <v>142</v>
      </c>
      <c r="G7" s="59">
        <v>2</v>
      </c>
      <c r="H7" s="58" t="s">
        <v>185</v>
      </c>
      <c r="I7" s="60">
        <v>0.33707865168539325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172</v>
      </c>
      <c r="O7" s="61">
        <v>0.15785997357992074</v>
      </c>
      <c r="P7" s="58" t="s">
        <v>173</v>
      </c>
      <c r="Q7" s="62">
        <v>9512.9120879120874</v>
      </c>
      <c r="R7" s="58" t="s">
        <v>128</v>
      </c>
      <c r="S7" s="62">
        <v>-8472.3014256619153</v>
      </c>
      <c r="T7" s="58" t="s">
        <v>186</v>
      </c>
      <c r="U7" s="60">
        <v>0.1111111111111111</v>
      </c>
      <c r="V7" s="58" t="s">
        <v>171</v>
      </c>
      <c r="W7" s="60">
        <v>0.15094339622641509</v>
      </c>
      <c r="X7" s="58" t="s">
        <v>171</v>
      </c>
      <c r="Y7" s="61">
        <v>0.29030710172744723</v>
      </c>
      <c r="Z7" s="58" t="s">
        <v>175</v>
      </c>
      <c r="AA7" s="61">
        <v>0.25742574257425743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128</v>
      </c>
      <c r="I8" s="60">
        <v>0.33620689655172414</v>
      </c>
      <c r="J8" s="58" t="s">
        <v>142</v>
      </c>
      <c r="K8" s="60">
        <v>0.33333333333333331</v>
      </c>
      <c r="L8" s="58" t="s">
        <v>162</v>
      </c>
      <c r="M8" s="61">
        <v>0.30355097365406641</v>
      </c>
      <c r="N8" s="58" t="s">
        <v>183</v>
      </c>
      <c r="O8" s="61">
        <v>0.16666666666666666</v>
      </c>
      <c r="P8" s="58" t="s">
        <v>127</v>
      </c>
      <c r="Q8" s="62">
        <v>9432.6601671309199</v>
      </c>
      <c r="R8" s="58" t="s">
        <v>173</v>
      </c>
      <c r="S8" s="62">
        <v>-8479.083665338645</v>
      </c>
      <c r="T8" s="58" t="s">
        <v>128</v>
      </c>
      <c r="U8" s="60">
        <v>0.12931034482758622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184</v>
      </c>
      <c r="AA8" s="61">
        <v>0.24358974358974358</v>
      </c>
      <c r="AB8" s="58" t="s">
        <v>173</v>
      </c>
      <c r="AC8" s="61">
        <v>0.58192090395480223</v>
      </c>
      <c r="AD8" s="58" t="s">
        <v>142</v>
      </c>
      <c r="AE8" s="61">
        <v>0.4021646254628311</v>
      </c>
      <c r="AF8" s="58" t="s">
        <v>175</v>
      </c>
      <c r="AG8" s="61">
        <v>0.45652173913043476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0.29841817658901354</v>
      </c>
      <c r="N9" s="58" t="s">
        <v>162</v>
      </c>
      <c r="O9" s="61">
        <v>0.1672394043528064</v>
      </c>
      <c r="P9" s="58" t="s">
        <v>185</v>
      </c>
      <c r="Q9" s="62">
        <v>9408.4507042253517</v>
      </c>
      <c r="R9" s="58" t="s">
        <v>175</v>
      </c>
      <c r="S9" s="62">
        <v>-8543.4782608695659</v>
      </c>
      <c r="T9" s="58" t="s">
        <v>142</v>
      </c>
      <c r="U9" s="60">
        <v>0.12999071494893222</v>
      </c>
      <c r="V9" s="58" t="s">
        <v>128</v>
      </c>
      <c r="W9" s="60">
        <v>0.13505747126436782</v>
      </c>
      <c r="X9" s="58" t="s">
        <v>142</v>
      </c>
      <c r="Y9" s="61">
        <v>0.26983530590519128</v>
      </c>
      <c r="Z9" s="58" t="s">
        <v>172</v>
      </c>
      <c r="AA9" s="61">
        <v>0.23249669749009247</v>
      </c>
      <c r="AB9" s="58" t="s">
        <v>174</v>
      </c>
      <c r="AC9" s="61">
        <v>0.58125000000000004</v>
      </c>
      <c r="AD9" s="58" t="s">
        <v>176</v>
      </c>
      <c r="AE9" s="61">
        <v>0.39285714285714285</v>
      </c>
      <c r="AF9" s="58" t="s">
        <v>173</v>
      </c>
      <c r="AG9" s="61">
        <v>0.44230769230769229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-1.4203773584905655</v>
      </c>
      <c r="F10" s="58" t="s">
        <v>128</v>
      </c>
      <c r="G10" s="59">
        <v>2.014367816091954</v>
      </c>
      <c r="H10" s="58" t="s">
        <v>172</v>
      </c>
      <c r="I10" s="60">
        <v>0.29508196721311475</v>
      </c>
      <c r="J10" s="58" t="s">
        <v>128</v>
      </c>
      <c r="K10" s="60">
        <v>0.35057471264367818</v>
      </c>
      <c r="L10" s="58" t="s">
        <v>128</v>
      </c>
      <c r="M10" s="61">
        <v>0.28963093145869945</v>
      </c>
      <c r="N10" s="58" t="s">
        <v>184</v>
      </c>
      <c r="O10" s="61">
        <v>0.16772151898734178</v>
      </c>
      <c r="P10" s="58" t="s">
        <v>142</v>
      </c>
      <c r="Q10" s="62">
        <v>9150.0385505011564</v>
      </c>
      <c r="R10" s="58" t="s">
        <v>142</v>
      </c>
      <c r="S10" s="62">
        <v>-8558.1942078364573</v>
      </c>
      <c r="T10" s="58" t="s">
        <v>171</v>
      </c>
      <c r="U10" s="60">
        <v>0.14339622641509434</v>
      </c>
      <c r="V10" s="58" t="s">
        <v>142</v>
      </c>
      <c r="W10" s="60">
        <v>0.12999071494893222</v>
      </c>
      <c r="X10" s="58" t="s">
        <v>128</v>
      </c>
      <c r="Y10" s="61">
        <v>0.25891872011769035</v>
      </c>
      <c r="Z10" s="58" t="s">
        <v>128</v>
      </c>
      <c r="AA10" s="61">
        <v>0.2247149687385068</v>
      </c>
      <c r="AB10" s="58" t="s">
        <v>175</v>
      </c>
      <c r="AC10" s="61">
        <v>0.57777777777777772</v>
      </c>
      <c r="AD10" s="58" t="s">
        <v>162</v>
      </c>
      <c r="AE10" s="61">
        <v>0.39170506912442399</v>
      </c>
      <c r="AF10" s="58" t="s">
        <v>185</v>
      </c>
      <c r="AG10" s="61">
        <v>0.44131455399061031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-2.2663793103448291</v>
      </c>
      <c r="F11" s="58" t="s">
        <v>184</v>
      </c>
      <c r="G11" s="59">
        <v>2.0256410256410255</v>
      </c>
      <c r="H11" s="58" t="s">
        <v>171</v>
      </c>
      <c r="I11" s="60">
        <v>0.28301886792452829</v>
      </c>
      <c r="J11" s="58" t="s">
        <v>162</v>
      </c>
      <c r="K11" s="60">
        <v>0.36792452830188677</v>
      </c>
      <c r="L11" s="58" t="s">
        <v>171</v>
      </c>
      <c r="M11" s="61">
        <v>0.28335690711928335</v>
      </c>
      <c r="N11" s="58" t="s">
        <v>142</v>
      </c>
      <c r="O11" s="61">
        <v>0.16882369859073915</v>
      </c>
      <c r="P11" s="58" t="s">
        <v>128</v>
      </c>
      <c r="Q11" s="62">
        <v>8972.4514563106804</v>
      </c>
      <c r="R11" s="58" t="s">
        <v>162</v>
      </c>
      <c r="S11" s="62">
        <v>-8597.6027397260277</v>
      </c>
      <c r="T11" s="58" t="s">
        <v>172</v>
      </c>
      <c r="U11" s="60">
        <v>0.15300546448087432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0.21986348550316237</v>
      </c>
      <c r="AB11" s="58" t="s">
        <v>142</v>
      </c>
      <c r="AC11" s="61">
        <v>0.57553956834532372</v>
      </c>
      <c r="AD11" s="58" t="s">
        <v>128</v>
      </c>
      <c r="AE11" s="61">
        <v>0.37315875613747956</v>
      </c>
      <c r="AF11" s="58" t="s">
        <v>162</v>
      </c>
      <c r="AG11" s="61">
        <v>0.43396226415094341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-2.473224043715847</v>
      </c>
      <c r="F12" s="58" t="s">
        <v>171</v>
      </c>
      <c r="G12" s="59">
        <v>2.0867924528301889</v>
      </c>
      <c r="H12" s="58" t="s">
        <v>174</v>
      </c>
      <c r="I12" s="60">
        <v>0.27380952380952384</v>
      </c>
      <c r="J12" s="58" t="s">
        <v>171</v>
      </c>
      <c r="K12" s="60">
        <v>0.36981132075471695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127</v>
      </c>
      <c r="S12" s="62">
        <v>-8661.7597292724204</v>
      </c>
      <c r="T12" s="58" t="s">
        <v>173</v>
      </c>
      <c r="U12" s="60">
        <v>0.15315315315315314</v>
      </c>
      <c r="V12" s="58" t="s">
        <v>173</v>
      </c>
      <c r="W12" s="60">
        <v>0.10510510510510511</v>
      </c>
      <c r="X12" s="58" t="s">
        <v>176</v>
      </c>
      <c r="Y12" s="61">
        <v>0.24901185770750989</v>
      </c>
      <c r="Z12" s="58" t="s">
        <v>127</v>
      </c>
      <c r="AA12" s="61">
        <v>0.21541394335511982</v>
      </c>
      <c r="AB12" s="58" t="s">
        <v>172</v>
      </c>
      <c r="AC12" s="61">
        <v>0.57182320441988954</v>
      </c>
      <c r="AD12" s="58" t="s">
        <v>173</v>
      </c>
      <c r="AE12" s="61">
        <v>0.35294117647058826</v>
      </c>
      <c r="AF12" s="58" t="s">
        <v>172</v>
      </c>
      <c r="AG12" s="61">
        <v>0.42564102564102563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173</v>
      </c>
      <c r="E13" s="70">
        <v>-3.7819819819819815</v>
      </c>
      <c r="F13" s="58" t="s">
        <v>172</v>
      </c>
      <c r="G13" s="59">
        <v>2.0874316939890711</v>
      </c>
      <c r="H13" s="58" t="s">
        <v>173</v>
      </c>
      <c r="I13" s="60">
        <v>0.27027027027027029</v>
      </c>
      <c r="J13" s="58" t="s">
        <v>173</v>
      </c>
      <c r="K13" s="60">
        <v>0.37237237237237236</v>
      </c>
      <c r="L13" s="58" t="s">
        <v>174</v>
      </c>
      <c r="M13" s="61">
        <v>0.27500000000000002</v>
      </c>
      <c r="N13" s="58" t="s">
        <v>128</v>
      </c>
      <c r="O13" s="61">
        <v>0.17258347978910368</v>
      </c>
      <c r="P13" s="58" t="s">
        <v>172</v>
      </c>
      <c r="Q13" s="62">
        <v>8785.3846153846152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9.4339622641509441E-2</v>
      </c>
      <c r="X13" s="58" t="s">
        <v>172</v>
      </c>
      <c r="Y13" s="61">
        <v>0.23910171730515192</v>
      </c>
      <c r="Z13" s="58" t="s">
        <v>174</v>
      </c>
      <c r="AA13" s="61">
        <v>0.21249999999999999</v>
      </c>
      <c r="AB13" s="58" t="s">
        <v>171</v>
      </c>
      <c r="AC13" s="61">
        <v>0.55702479338842981</v>
      </c>
      <c r="AD13" s="58" t="s">
        <v>172</v>
      </c>
      <c r="AE13" s="61">
        <v>0.34943181818181818</v>
      </c>
      <c r="AF13" s="58" t="s">
        <v>142</v>
      </c>
      <c r="AG13" s="61">
        <v>0.425597532767926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-376.39999999999986</v>
      </c>
      <c r="D14" s="58" t="s">
        <v>183</v>
      </c>
      <c r="E14" s="70">
        <v>-3.875</v>
      </c>
      <c r="F14" s="58" t="s">
        <v>173</v>
      </c>
      <c r="G14" s="59">
        <v>2.1021021021021022</v>
      </c>
      <c r="H14" s="58" t="s">
        <v>183</v>
      </c>
      <c r="I14" s="60">
        <v>0.25</v>
      </c>
      <c r="J14" s="58" t="s">
        <v>172</v>
      </c>
      <c r="K14" s="60">
        <v>0.38251366120218577</v>
      </c>
      <c r="L14" s="58" t="s">
        <v>173</v>
      </c>
      <c r="M14" s="61">
        <v>0.27113594040968342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-9014.7582697201015</v>
      </c>
      <c r="T14" s="58" t="s">
        <v>185</v>
      </c>
      <c r="U14" s="60">
        <v>0.15730337078651685</v>
      </c>
      <c r="V14" s="58" t="s">
        <v>172</v>
      </c>
      <c r="W14" s="60">
        <v>8.7431693989071038E-2</v>
      </c>
      <c r="X14" s="58" t="s">
        <v>185</v>
      </c>
      <c r="Y14" s="61">
        <v>0.23261390887290168</v>
      </c>
      <c r="Z14" s="58" t="s">
        <v>171</v>
      </c>
      <c r="AA14" s="61">
        <v>0.1952975047984645</v>
      </c>
      <c r="AB14" s="58" t="s">
        <v>128</v>
      </c>
      <c r="AC14" s="61">
        <v>0.54829545454545459</v>
      </c>
      <c r="AD14" s="58" t="s">
        <v>174</v>
      </c>
      <c r="AE14" s="61">
        <v>0.33333333333333331</v>
      </c>
      <c r="AF14" s="58" t="s">
        <v>171</v>
      </c>
      <c r="AG14" s="61">
        <v>0.4226289517470882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-452.6</v>
      </c>
      <c r="D15" s="58" t="s">
        <v>162</v>
      </c>
      <c r="E15" s="70">
        <v>-4.4589622641509434</v>
      </c>
      <c r="F15" s="58" t="s">
        <v>162</v>
      </c>
      <c r="G15" s="59">
        <v>2.1273584905660377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0.18528995756718528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0.17533003300330033</v>
      </c>
      <c r="AB15" s="58" t="s">
        <v>162</v>
      </c>
      <c r="AC15" s="61">
        <v>0.5252808988764045</v>
      </c>
      <c r="AD15" s="58" t="s">
        <v>184</v>
      </c>
      <c r="AE15" s="61">
        <v>0.31578947368421051</v>
      </c>
      <c r="AF15" s="58" t="s">
        <v>128</v>
      </c>
      <c r="AG15" s="61">
        <v>0.41747572815533979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175</v>
      </c>
      <c r="C16" s="57">
        <v>-565.10000000000014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0.24056603773584906</v>
      </c>
      <c r="J16" s="58" t="s">
        <v>182</v>
      </c>
      <c r="K16" s="60">
        <v>0.4</v>
      </c>
      <c r="L16" s="58" t="s">
        <v>172</v>
      </c>
      <c r="M16" s="61">
        <v>0.25759577278731838</v>
      </c>
      <c r="N16" s="58" t="s">
        <v>173</v>
      </c>
      <c r="O16" s="61">
        <v>0.18696461824953445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0.16666666666666666</v>
      </c>
      <c r="V16" s="58" t="s">
        <v>176</v>
      </c>
      <c r="W16" s="60">
        <v>7.1428571428571425E-2</v>
      </c>
      <c r="X16" s="58" t="s">
        <v>162</v>
      </c>
      <c r="Y16" s="61">
        <v>0.227330779054917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0.30769230769230771</v>
      </c>
      <c r="AF16" s="58" t="s">
        <v>127</v>
      </c>
      <c r="AG16" s="61">
        <v>0.40181058495821725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174</v>
      </c>
      <c r="C17" s="57">
        <v>-589.6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175</v>
      </c>
      <c r="Q17" s="62">
        <v>7591.304347826087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4.1666666666666664E-2</v>
      </c>
      <c r="X17" s="58" t="s">
        <v>175</v>
      </c>
      <c r="Y17" s="61">
        <v>0.22277227722772278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-788.7000000000005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4.1666666666666664E-2</v>
      </c>
      <c r="J18" s="58" t="s">
        <v>187</v>
      </c>
      <c r="K18" s="60">
        <v>0.5</v>
      </c>
      <c r="L18" s="58" t="s">
        <v>175</v>
      </c>
      <c r="M18" s="61">
        <v>0.22772277227722773</v>
      </c>
      <c r="N18" s="58" t="s">
        <v>182</v>
      </c>
      <c r="O18" s="61">
        <v>0.21621621621621623</v>
      </c>
      <c r="P18" s="58" t="s">
        <v>162</v>
      </c>
      <c r="Q18" s="62">
        <v>7543.3962264150941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174</v>
      </c>
      <c r="Y18" s="61">
        <v>0.22222222222222221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-945.3</v>
      </c>
      <c r="D19" s="58" t="s">
        <v>175</v>
      </c>
      <c r="E19" s="70">
        <v>-23.545833333333338</v>
      </c>
      <c r="F19" s="58" t="s">
        <v>175</v>
      </c>
      <c r="G19" s="59">
        <v>2.5416666666666665</v>
      </c>
      <c r="H19" s="58" t="s">
        <v>181</v>
      </c>
      <c r="I19" s="60">
        <v>0</v>
      </c>
      <c r="J19" s="58" t="s">
        <v>175</v>
      </c>
      <c r="K19" s="60">
        <v>0.58333333333333337</v>
      </c>
      <c r="L19" s="58" t="s">
        <v>188</v>
      </c>
      <c r="M19" s="61">
        <v>0.15384615384615385</v>
      </c>
      <c r="N19" s="58" t="s">
        <v>175</v>
      </c>
      <c r="O19" s="61">
        <v>0.22772277227722773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187</v>
      </c>
      <c r="Y19" s="61">
        <v>0.21875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-1259.3999999999999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D326-DDE9-443A-B3ED-B5A9800D8E6B}">
  <sheetPr codeName="Sheet3"/>
  <dimension ref="A1:Q215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142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2154</v>
      </c>
      <c r="C2" s="118"/>
      <c r="E2" s="41" t="s">
        <v>67</v>
      </c>
      <c r="F2" s="38" t="s">
        <v>23</v>
      </c>
      <c r="G2" s="25">
        <v>3460</v>
      </c>
      <c r="H2" s="105">
        <f>IF(B$29=0,0,G2/B$29)</f>
        <v>0.72780816154816996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-17.790262172284645</v>
      </c>
      <c r="P2" s="91">
        <v>2136</v>
      </c>
      <c r="Q2" s="75">
        <v>-38000</v>
      </c>
    </row>
    <row r="3" spans="1:17" x14ac:dyDescent="0.4">
      <c r="A3" s="34" t="s">
        <v>8</v>
      </c>
      <c r="B3" s="119">
        <v>17385</v>
      </c>
      <c r="C3" s="120"/>
      <c r="E3" s="42" t="s">
        <v>73</v>
      </c>
      <c r="F3" s="39" t="s">
        <v>28</v>
      </c>
      <c r="G3" s="26">
        <v>2577</v>
      </c>
      <c r="H3" s="106">
        <f>IF(B$29=0,0,G3/B$29)</f>
        <v>0.54206983592763991</v>
      </c>
      <c r="I3" s="67">
        <v>10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-2.8901734104046244</v>
      </c>
      <c r="P3" s="92">
        <v>2076</v>
      </c>
      <c r="Q3" s="76">
        <v>-6000</v>
      </c>
    </row>
    <row r="4" spans="1:17" x14ac:dyDescent="0.4">
      <c r="A4" s="34" t="s">
        <v>6</v>
      </c>
      <c r="B4" s="121">
        <v>-7.9999999999999272</v>
      </c>
      <c r="C4" s="122"/>
      <c r="E4" s="42" t="s">
        <v>65</v>
      </c>
      <c r="F4" s="39" t="s">
        <v>21</v>
      </c>
      <c r="G4" s="26">
        <v>2394</v>
      </c>
      <c r="H4" s="106">
        <f>IF(B$29=0,0,G4/B$29)</f>
        <v>0.50357593605384943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6.6360387953037261</v>
      </c>
      <c r="P4" s="92">
        <v>1959</v>
      </c>
      <c r="Q4" s="76">
        <v>13000</v>
      </c>
    </row>
    <row r="5" spans="1:17" x14ac:dyDescent="0.4">
      <c r="A5" s="34" t="s">
        <v>7</v>
      </c>
      <c r="B5" s="123">
        <f>IF(B$2=0,0,B$4/B$2)</f>
        <v>-3.7140204271123153E-3</v>
      </c>
      <c r="C5" s="124"/>
      <c r="E5" s="42" t="s">
        <v>69</v>
      </c>
      <c r="F5" s="39" t="s">
        <v>12</v>
      </c>
      <c r="G5" s="26">
        <v>1465</v>
      </c>
      <c r="H5" s="106">
        <f>IF(B$29=0,0,G5/B$29)</f>
        <v>0.30816154816996216</v>
      </c>
      <c r="I5" s="67">
        <v>8</v>
      </c>
      <c r="K5" s="17">
        <v>3</v>
      </c>
      <c r="L5" s="72">
        <v>0</v>
      </c>
      <c r="N5" s="88" t="s">
        <v>132</v>
      </c>
      <c r="O5" s="95">
        <f t="shared" si="0"/>
        <v>5.5834729201563373</v>
      </c>
      <c r="P5" s="92">
        <v>1791</v>
      </c>
      <c r="Q5" s="76">
        <v>10000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177</v>
      </c>
      <c r="F6" s="39" t="s">
        <v>178</v>
      </c>
      <c r="G6" s="26">
        <v>1434</v>
      </c>
      <c r="H6" s="106">
        <f>IF(B$29=0,0,G6/B$29)</f>
        <v>0.30164072360117794</v>
      </c>
      <c r="I6" s="67">
        <v>8</v>
      </c>
      <c r="K6" s="17">
        <v>4</v>
      </c>
      <c r="L6" s="72">
        <v>-1</v>
      </c>
      <c r="N6" s="88" t="s">
        <v>133</v>
      </c>
      <c r="O6" s="95">
        <f t="shared" si="0"/>
        <v>1.2531328320802004</v>
      </c>
      <c r="P6" s="92">
        <v>1596</v>
      </c>
      <c r="Q6" s="76">
        <v>2000</v>
      </c>
    </row>
    <row r="7" spans="1:17" x14ac:dyDescent="0.4">
      <c r="A7" s="34" t="s">
        <v>2</v>
      </c>
      <c r="B7" s="26">
        <v>718</v>
      </c>
      <c r="C7" s="18">
        <f>IF(B$2=0,0,B7/B$2)</f>
        <v>0.33333333333333331</v>
      </c>
      <c r="E7" s="42" t="s">
        <v>68</v>
      </c>
      <c r="F7" s="39" t="s">
        <v>24</v>
      </c>
      <c r="G7" s="26">
        <v>1406</v>
      </c>
      <c r="H7" s="106">
        <f>IF(B$29=0,0,G7/B$29)</f>
        <v>0.29575094657130835</v>
      </c>
      <c r="I7" s="67">
        <v>10</v>
      </c>
      <c r="K7" s="17">
        <v>5</v>
      </c>
      <c r="L7" s="72">
        <v>39.9</v>
      </c>
      <c r="N7" s="89" t="s">
        <v>134</v>
      </c>
      <c r="O7" s="96">
        <f t="shared" si="0"/>
        <v>8.202833706189411</v>
      </c>
      <c r="P7" s="93">
        <v>1341</v>
      </c>
      <c r="Q7" s="77">
        <v>11000</v>
      </c>
    </row>
    <row r="8" spans="1:17" x14ac:dyDescent="0.4">
      <c r="A8" s="34" t="s">
        <v>3</v>
      </c>
      <c r="B8" s="26">
        <v>718</v>
      </c>
      <c r="C8" s="18">
        <f>IF(B$2=0,0,B8/B$2)</f>
        <v>0.33333333333333331</v>
      </c>
      <c r="E8" s="42" t="s">
        <v>167</v>
      </c>
      <c r="F8" s="39" t="s">
        <v>168</v>
      </c>
      <c r="G8" s="26">
        <v>1226</v>
      </c>
      <c r="H8" s="106">
        <f>IF(B$29=0,0,G8/B$29)</f>
        <v>0.2578880942364325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718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734</v>
      </c>
      <c r="H9" s="106">
        <f>IF(B$29=0,0,G9/B$29)</f>
        <v>0.15439629785443837</v>
      </c>
      <c r="I9" s="67">
        <v>6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280</v>
      </c>
      <c r="C10" s="19">
        <f>IF(B$2=0,0,B10/B$2)</f>
        <v>0.12999071494893222</v>
      </c>
      <c r="E10" s="42" t="s">
        <v>90</v>
      </c>
      <c r="F10" s="39" t="s">
        <v>45</v>
      </c>
      <c r="G10" s="26">
        <v>657</v>
      </c>
      <c r="H10" s="106">
        <f>IF(B$29=0,0,G10/B$29)</f>
        <v>0.13819941102229702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-1.7920279720279706</v>
      </c>
      <c r="P10" s="91">
        <v>715</v>
      </c>
      <c r="Q10" s="79">
        <v>-1281.299999999999</v>
      </c>
    </row>
    <row r="11" spans="1:17" x14ac:dyDescent="0.4">
      <c r="A11" s="35" t="s">
        <v>137</v>
      </c>
      <c r="B11" s="27">
        <v>280</v>
      </c>
      <c r="C11" s="19">
        <f>IF(B$2=0,0,B11/B$2)</f>
        <v>0.12999071494893222</v>
      </c>
      <c r="E11" s="42" t="s">
        <v>66</v>
      </c>
      <c r="F11" s="39" t="s">
        <v>22</v>
      </c>
      <c r="G11" s="26">
        <v>534</v>
      </c>
      <c r="H11" s="106">
        <f>IF(B$29=0,0,G11/B$29)</f>
        <v>0.11232646192679849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0.42643356643356689</v>
      </c>
      <c r="P11" s="92">
        <v>715</v>
      </c>
      <c r="Q11" s="80">
        <v>304.90000000000032</v>
      </c>
    </row>
    <row r="12" spans="1:17" x14ac:dyDescent="0.4">
      <c r="A12" s="36" t="s">
        <v>154</v>
      </c>
      <c r="B12" s="28">
        <v>182</v>
      </c>
      <c r="C12" s="21">
        <f>IF(B$2=0,0,B12/B$2)</f>
        <v>8.4493964716805939E-2</v>
      </c>
      <c r="E12" s="42" t="s">
        <v>71</v>
      </c>
      <c r="F12" s="39" t="s">
        <v>26</v>
      </c>
      <c r="G12" s="26">
        <v>460</v>
      </c>
      <c r="H12" s="106">
        <f>IF(B$29=0,0,G12/B$29)</f>
        <v>9.6760622633571727E-2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1.3544055944055948</v>
      </c>
      <c r="P12" s="93">
        <v>715</v>
      </c>
      <c r="Q12" s="81">
        <v>968.40000000000032</v>
      </c>
    </row>
    <row r="13" spans="1:17" x14ac:dyDescent="0.4">
      <c r="A13" s="37" t="s">
        <v>122</v>
      </c>
      <c r="B13" s="29">
        <v>4309</v>
      </c>
      <c r="C13" s="23">
        <f>IF(B$28=0,0,B13/B$28)</f>
        <v>0.26983530590519128</v>
      </c>
      <c r="E13" s="42" t="s">
        <v>72</v>
      </c>
      <c r="F13" s="39" t="s">
        <v>27</v>
      </c>
      <c r="G13" s="26">
        <v>290</v>
      </c>
      <c r="H13" s="106">
        <f>IF(B$29=0,0,G13/B$29)</f>
        <v>6.1001262095077828E-2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3511</v>
      </c>
      <c r="C14" s="18">
        <f>IF(B$28=0,0,B14/B$28)</f>
        <v>0.21986348550316237</v>
      </c>
      <c r="E14" s="42" t="s">
        <v>87</v>
      </c>
      <c r="F14" s="39" t="s">
        <v>42</v>
      </c>
      <c r="G14" s="26">
        <v>287</v>
      </c>
      <c r="H14" s="106">
        <f>IF(B$29=0,0,G14/B$29)</f>
        <v>6.0370214556163232E-2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2480</v>
      </c>
      <c r="C15" s="16">
        <f>IF(B$13=0,0,B15/B$13)</f>
        <v>0.57553956834532372</v>
      </c>
      <c r="E15" s="42" t="s">
        <v>84</v>
      </c>
      <c r="F15" s="39" t="s">
        <v>39</v>
      </c>
      <c r="G15" s="26">
        <v>228</v>
      </c>
      <c r="H15" s="106">
        <f>IF(B$29=0,0,G15/B$29)</f>
        <v>4.7959612957509466E-2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1412</v>
      </c>
      <c r="C16" s="16">
        <f>IF(B$14=0,0,B16/B$14)</f>
        <v>0.4021646254628311</v>
      </c>
      <c r="E16" s="42" t="s">
        <v>79</v>
      </c>
      <c r="F16" s="39" t="s">
        <v>34</v>
      </c>
      <c r="G16" s="26">
        <v>133</v>
      </c>
      <c r="H16" s="106">
        <f>IF(B$29=0,0,G16/B$29)</f>
        <v>2.7976440891880523E-2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35.318750000000001</v>
      </c>
      <c r="P16" s="92">
        <v>48</v>
      </c>
      <c r="Q16" s="80">
        <v>1695.3</v>
      </c>
    </row>
    <row r="17" spans="1:17" x14ac:dyDescent="0.4">
      <c r="A17" s="33" t="s">
        <v>10</v>
      </c>
      <c r="B17" s="25">
        <f>B19+B18</f>
        <v>5188</v>
      </c>
      <c r="C17" s="16">
        <f>IF(B$3=0,0,B17/B$3)</f>
        <v>0.29841817658901354</v>
      </c>
      <c r="E17" s="42" t="s">
        <v>82</v>
      </c>
      <c r="F17" s="39" t="s">
        <v>37</v>
      </c>
      <c r="G17" s="26">
        <v>123</v>
      </c>
      <c r="H17" s="106">
        <f>IF(B$29=0,0,G17/B$29)</f>
        <v>2.5872949095498528E-2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2208</v>
      </c>
      <c r="C18" s="18">
        <f>IF(B$17=0,0,B18/B$17)</f>
        <v>0.425597532767926</v>
      </c>
      <c r="E18" s="42" t="s">
        <v>92</v>
      </c>
      <c r="F18" s="39" t="s">
        <v>47</v>
      </c>
      <c r="G18" s="26">
        <v>93</v>
      </c>
      <c r="H18" s="106">
        <f>IF(B$29=0,0,G18/B$29)</f>
        <v>1.9562473706352546E-2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2980</v>
      </c>
      <c r="C19" s="18">
        <f>IF(B$17=0,0,B19/B$17)</f>
        <v>0.574402467232074</v>
      </c>
      <c r="E19" s="42" t="s">
        <v>80</v>
      </c>
      <c r="F19" s="39" t="s">
        <v>35</v>
      </c>
      <c r="G19" s="26">
        <v>76</v>
      </c>
      <c r="H19" s="106">
        <f>IF(B$29=0,0,G19/B$29)</f>
        <v>1.5986537652503154E-2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2935</v>
      </c>
      <c r="C20" s="18">
        <f>IF(B$3=0,0,B20/B$3)</f>
        <v>0.16882369859073915</v>
      </c>
      <c r="E20" s="42" t="s">
        <v>163</v>
      </c>
      <c r="F20" s="39" t="s">
        <v>164</v>
      </c>
      <c r="G20" s="26">
        <v>54</v>
      </c>
      <c r="H20" s="106">
        <f>IF(B$29=0,0,G20/B$29)</f>
        <v>1.1358855700462769E-2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6.6860849056603762</v>
      </c>
      <c r="P20" s="92">
        <v>424</v>
      </c>
      <c r="Q20" s="80">
        <v>2834.8999999999996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IF(B$29=0,0,G21/B$29)</f>
        <v>6.941522928060581E-3</v>
      </c>
      <c r="I21" s="67">
        <v>5</v>
      </c>
      <c r="K21" s="17">
        <v>19</v>
      </c>
      <c r="L21" s="72">
        <v>-6.1</v>
      </c>
      <c r="N21" s="88" t="s">
        <v>183</v>
      </c>
      <c r="O21" s="98">
        <f>IF(P21=0,0,Q21/P21)</f>
        <v>5.8125</v>
      </c>
      <c r="P21" s="92">
        <v>8</v>
      </c>
      <c r="Q21" s="80">
        <v>46.5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IF(B$29=0,0,G22/B$29)</f>
        <v>6.1001262095077826E-3</v>
      </c>
      <c r="I22" s="67">
        <v>6</v>
      </c>
      <c r="K22" s="17">
        <v>20</v>
      </c>
      <c r="L22" s="72">
        <v>4.9000000000000004</v>
      </c>
      <c r="N22" s="88" t="s">
        <v>173</v>
      </c>
      <c r="O22" s="98">
        <f>IF(P22=0,0,Q22/P22)</f>
        <v>5.6654654654654655</v>
      </c>
      <c r="P22" s="92">
        <v>666</v>
      </c>
      <c r="Q22" s="80">
        <v>3773.2000000000003</v>
      </c>
    </row>
    <row r="23" spans="1:17" x14ac:dyDescent="0.4">
      <c r="A23" s="34" t="s">
        <v>5</v>
      </c>
      <c r="B23" s="30">
        <f>IF(B$17=0,0,C23/B$17)</f>
        <v>9150.0385505011564</v>
      </c>
      <c r="C23" s="20">
        <v>47470400</v>
      </c>
      <c r="E23" s="42" t="s">
        <v>76</v>
      </c>
      <c r="F23" s="39" t="s">
        <v>31</v>
      </c>
      <c r="G23" s="26">
        <v>28</v>
      </c>
      <c r="H23" s="106">
        <f>IF(B$29=0,0,G23/B$29)</f>
        <v>5.8897770298695839E-3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3.7071038251366124</v>
      </c>
      <c r="P23" s="92">
        <v>366</v>
      </c>
      <c r="Q23" s="80">
        <v>1356.8000000000002</v>
      </c>
    </row>
    <row r="24" spans="1:17" x14ac:dyDescent="0.4">
      <c r="A24" s="36" t="s">
        <v>14</v>
      </c>
      <c r="B24" s="31">
        <f>IF(B$20=0,0,C24/B$20)</f>
        <v>-8558.1942078364573</v>
      </c>
      <c r="C24" s="24">
        <v>-25118300</v>
      </c>
      <c r="E24" s="42" t="s">
        <v>93</v>
      </c>
      <c r="F24" s="39" t="s">
        <v>48</v>
      </c>
      <c r="G24" s="26">
        <v>23</v>
      </c>
      <c r="H24" s="106">
        <f>IF(B$29=0,0,G24/B$29)</f>
        <v>4.8380311316785869E-3</v>
      </c>
      <c r="I24" s="67">
        <v>5</v>
      </c>
      <c r="K24" s="17">
        <v>22</v>
      </c>
      <c r="L24" s="72">
        <v>-36</v>
      </c>
      <c r="N24" s="88" t="s">
        <v>128</v>
      </c>
      <c r="O24" s="98">
        <f>IF(P24=0,0,Q24/P24)</f>
        <v>3.3952586206896673</v>
      </c>
      <c r="P24" s="92">
        <v>696</v>
      </c>
      <c r="Q24" s="80">
        <v>2363.1000000000085</v>
      </c>
    </row>
    <row r="25" spans="1:17" x14ac:dyDescent="0.4">
      <c r="A25" s="63" t="s">
        <v>139</v>
      </c>
      <c r="B25" s="129">
        <v>10</v>
      </c>
      <c r="C25" s="130"/>
      <c r="E25" s="42" t="s">
        <v>86</v>
      </c>
      <c r="F25" s="39" t="s">
        <v>41</v>
      </c>
      <c r="G25" s="26">
        <v>22</v>
      </c>
      <c r="H25" s="106">
        <f>IF(B$29=0,0,G25/B$29)</f>
        <v>4.6276819520403873E-3</v>
      </c>
      <c r="I25" s="67">
        <v>4</v>
      </c>
      <c r="K25" s="17">
        <v>23</v>
      </c>
      <c r="L25" s="72">
        <v>-3</v>
      </c>
      <c r="N25" s="88" t="s">
        <v>171</v>
      </c>
      <c r="O25" s="98">
        <f>IF(P25=0,0,Q25/P25)</f>
        <v>2.1249056603773582</v>
      </c>
      <c r="P25" s="92">
        <v>530</v>
      </c>
      <c r="Q25" s="80">
        <v>1126.1999999999998</v>
      </c>
    </row>
    <row r="26" spans="1:17" x14ac:dyDescent="0.4">
      <c r="A26" s="37" t="s">
        <v>146</v>
      </c>
      <c r="B26" s="127">
        <v>124700</v>
      </c>
      <c r="C26" s="128"/>
      <c r="E26" s="42" t="s">
        <v>75</v>
      </c>
      <c r="F26" s="39" t="s">
        <v>30</v>
      </c>
      <c r="G26" s="26">
        <v>18</v>
      </c>
      <c r="H26" s="106">
        <f>IF(B$29=0,0,G26/B$29)</f>
        <v>3.7862852334875894E-3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47</v>
      </c>
      <c r="C27" s="21">
        <f>IF(B$3=0,0,B27/B$3)</f>
        <v>2.7034800115041703E-3</v>
      </c>
      <c r="E27" s="42" t="s">
        <v>94</v>
      </c>
      <c r="F27" s="39" t="s">
        <v>49</v>
      </c>
      <c r="G27" s="26">
        <v>13</v>
      </c>
      <c r="H27" s="106">
        <f>IF(B$29=0,0,G27/B$29)</f>
        <v>2.7345393352965924E-3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7">
        <v>15969</v>
      </c>
      <c r="C28" s="118"/>
      <c r="E28" s="42" t="s">
        <v>85</v>
      </c>
      <c r="F28" s="39" t="s">
        <v>40</v>
      </c>
      <c r="G28" s="26">
        <v>12</v>
      </c>
      <c r="H28" s="106">
        <f>IF(B$29=0,0,G28/B$29)</f>
        <v>2.5241901556583928E-3</v>
      </c>
      <c r="I28" s="67">
        <v>4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25">
        <v>4754</v>
      </c>
      <c r="C29" s="126"/>
      <c r="E29" s="42" t="s">
        <v>88</v>
      </c>
      <c r="F29" s="39" t="s">
        <v>43</v>
      </c>
      <c r="G29" s="26">
        <v>12</v>
      </c>
      <c r="H29" s="106">
        <f>IF(B$29=0,0,G29/B$29)</f>
        <v>2.5241901556583928E-3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-14.665804597701149</v>
      </c>
      <c r="P29" s="92">
        <v>1044</v>
      </c>
      <c r="Q29" s="80">
        <v>-15311.099999999999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>IF(B$29=0,0,G30/B$29)</f>
        <v>1.8931426167437947E-3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7</v>
      </c>
      <c r="H31" s="106">
        <f>IF(B$29=0,0,G31/B$29)</f>
        <v>1.472444257467396E-3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IF(B$29=0,0,G32/B$29)</f>
        <v>8.4139671855279767E-4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IF(B$29=0,0,G33/B$29)</f>
        <v>4.2069835927639884E-4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IF(B$29=0,0,G34/B$29)</f>
        <v>4.2069835927639884E-4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IF(B$29=0,0,G35/B$29)</f>
        <v>2.1034917963819942E-4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IF(B$29=0,0,G36/B$29)</f>
        <v>2.1034917963819942E-4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2D556-0E84-491F-8A6C-94EF3226AB21}">
  <sheetPr codeName="Sheet4"/>
  <dimension ref="A1:Q524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522</v>
      </c>
      <c r="C2" s="118"/>
      <c r="E2" s="41" t="s">
        <v>67</v>
      </c>
      <c r="F2" s="38" t="s">
        <v>23</v>
      </c>
      <c r="G2" s="25">
        <v>934</v>
      </c>
      <c r="H2" s="105">
        <f>IF(B$29=0,0,G2/B$29)</f>
        <v>0.72968750000000004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1266.0852713178294</v>
      </c>
      <c r="P2" s="91">
        <v>516</v>
      </c>
      <c r="Q2" s="75">
        <v>653300</v>
      </c>
    </row>
    <row r="3" spans="1:17" x14ac:dyDescent="0.4">
      <c r="A3" s="34" t="s">
        <v>8</v>
      </c>
      <c r="B3" s="119">
        <v>4128</v>
      </c>
      <c r="C3" s="120"/>
      <c r="E3" s="42" t="s">
        <v>73</v>
      </c>
      <c r="F3" s="39" t="s">
        <v>28</v>
      </c>
      <c r="G3" s="26">
        <v>700</v>
      </c>
      <c r="H3" s="106">
        <f>IF(B$29=0,0,G3/B$29)</f>
        <v>0.546875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1060.678642714571</v>
      </c>
      <c r="P3" s="92">
        <v>501</v>
      </c>
      <c r="Q3" s="76">
        <v>531400</v>
      </c>
    </row>
    <row r="4" spans="1:17" x14ac:dyDescent="0.4">
      <c r="A4" s="34" t="s">
        <v>6</v>
      </c>
      <c r="B4" s="121">
        <v>5101.7</v>
      </c>
      <c r="C4" s="122"/>
      <c r="E4" s="42" t="s">
        <v>65</v>
      </c>
      <c r="F4" s="39" t="s">
        <v>21</v>
      </c>
      <c r="G4" s="26">
        <v>634</v>
      </c>
      <c r="H4" s="106">
        <f>IF(B$29=0,0,G4/B$29)</f>
        <v>0.49531249999999999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1217.6470588235295</v>
      </c>
      <c r="P4" s="92">
        <v>476</v>
      </c>
      <c r="Q4" s="76">
        <v>579600</v>
      </c>
    </row>
    <row r="5" spans="1:17" x14ac:dyDescent="0.4">
      <c r="A5" s="34" t="s">
        <v>7</v>
      </c>
      <c r="B5" s="123">
        <f>IF(B$2=0,0,B$4/B$2)</f>
        <v>9.7733716475095775</v>
      </c>
      <c r="C5" s="124"/>
      <c r="E5" s="42" t="s">
        <v>177</v>
      </c>
      <c r="F5" s="39" t="s">
        <v>178</v>
      </c>
      <c r="G5" s="26">
        <v>457</v>
      </c>
      <c r="H5" s="106">
        <f>IF(B$29=0,0,G5/B$29)</f>
        <v>0.35703125000000002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1979.9076212471132</v>
      </c>
      <c r="P5" s="92">
        <v>433</v>
      </c>
      <c r="Q5" s="76">
        <v>857300</v>
      </c>
    </row>
    <row r="6" spans="1:17" x14ac:dyDescent="0.4">
      <c r="A6" s="34" t="s">
        <v>1</v>
      </c>
      <c r="B6" s="131">
        <f>IF(B$2=0,0,(B$7*1+B$8*2+B$9*3)/B$2)</f>
        <v>1.7490421455938698</v>
      </c>
      <c r="C6" s="132"/>
      <c r="E6" s="42" t="s">
        <v>68</v>
      </c>
      <c r="F6" s="39" t="s">
        <v>24</v>
      </c>
      <c r="G6" s="26">
        <v>385</v>
      </c>
      <c r="H6" s="106">
        <f>IF(B$29=0,0,G6/B$29)</f>
        <v>0.30078125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1685.1948051948052</v>
      </c>
      <c r="P6" s="92">
        <v>385</v>
      </c>
      <c r="Q6" s="76">
        <v>648800</v>
      </c>
    </row>
    <row r="7" spans="1:17" x14ac:dyDescent="0.4">
      <c r="A7" s="34" t="s">
        <v>2</v>
      </c>
      <c r="B7" s="26">
        <v>245</v>
      </c>
      <c r="C7" s="18">
        <f>IF(B$2=0,0,B7/B$2)</f>
        <v>0.46934865900383144</v>
      </c>
      <c r="E7" s="42" t="s">
        <v>69</v>
      </c>
      <c r="F7" s="39" t="s">
        <v>12</v>
      </c>
      <c r="G7" s="26">
        <v>365</v>
      </c>
      <c r="H7" s="106">
        <f>IF(B$29=0,0,G7/B$29)</f>
        <v>0.28515625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1869.375</v>
      </c>
      <c r="P7" s="93">
        <v>320</v>
      </c>
      <c r="Q7" s="77">
        <v>598200</v>
      </c>
    </row>
    <row r="8" spans="1:17" x14ac:dyDescent="0.4">
      <c r="A8" s="34" t="s">
        <v>3</v>
      </c>
      <c r="B8" s="26">
        <v>163</v>
      </c>
      <c r="C8" s="18">
        <f>IF(B$2=0,0,B8/B$2)</f>
        <v>0.31226053639846746</v>
      </c>
      <c r="E8" s="42" t="s">
        <v>167</v>
      </c>
      <c r="F8" s="39" t="s">
        <v>168</v>
      </c>
      <c r="G8" s="26">
        <v>285</v>
      </c>
      <c r="H8" s="106">
        <f>IF(B$29=0,0,G8/B$29)</f>
        <v>0.22265625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114</v>
      </c>
      <c r="C9" s="19">
        <f t="shared" ref="C9" si="1">IF(B$2=0,0,B9/B$2)</f>
        <v>0.21839080459770116</v>
      </c>
      <c r="E9" s="42" t="s">
        <v>90</v>
      </c>
      <c r="F9" s="39" t="s">
        <v>45</v>
      </c>
      <c r="G9" s="26">
        <v>220</v>
      </c>
      <c r="H9" s="106">
        <f>IF(B$29=0,0,G9/B$29)</f>
        <v>0.171875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45</v>
      </c>
      <c r="C10" s="19">
        <f>IF(B$2=0,0,B10/B$2)</f>
        <v>8.6206896551724144E-2</v>
      </c>
      <c r="E10" s="42" t="s">
        <v>70</v>
      </c>
      <c r="F10" s="39" t="s">
        <v>25</v>
      </c>
      <c r="G10" s="26">
        <v>197</v>
      </c>
      <c r="H10" s="106">
        <f>IF(B$29=0,0,G10/B$29)</f>
        <v>0.15390624999999999</v>
      </c>
      <c r="I10" s="67">
        <v>7</v>
      </c>
      <c r="K10" s="17">
        <v>8</v>
      </c>
      <c r="L10" s="72">
        <v>55.700000000000017</v>
      </c>
      <c r="N10" s="87" t="s">
        <v>158</v>
      </c>
      <c r="O10" s="97">
        <f>IF(P10=0,0,Q10/P10)</f>
        <v>13.975000000000003</v>
      </c>
      <c r="P10" s="91">
        <v>132</v>
      </c>
      <c r="Q10" s="79">
        <v>1844.7000000000005</v>
      </c>
    </row>
    <row r="11" spans="1:17" x14ac:dyDescent="0.4">
      <c r="A11" s="35" t="s">
        <v>137</v>
      </c>
      <c r="B11" s="27">
        <v>89</v>
      </c>
      <c r="C11" s="19">
        <f>IF(B$2=0,0,B11/B$2)</f>
        <v>0.17049808429118773</v>
      </c>
      <c r="E11" s="42" t="s">
        <v>66</v>
      </c>
      <c r="F11" s="39" t="s">
        <v>22</v>
      </c>
      <c r="G11" s="26">
        <v>152</v>
      </c>
      <c r="H11" s="106">
        <f>IF(B$29=0,0,G11/B$29)</f>
        <v>0.11874999999999999</v>
      </c>
      <c r="I11" s="67">
        <v>7</v>
      </c>
      <c r="K11" s="17">
        <v>9</v>
      </c>
      <c r="L11" s="72">
        <v>14.700000000000017</v>
      </c>
      <c r="N11" s="88" t="s">
        <v>159</v>
      </c>
      <c r="O11" s="98">
        <f>IF(P11=0,0,Q11/P11)</f>
        <v>7.878313253012049</v>
      </c>
      <c r="P11" s="92">
        <v>166</v>
      </c>
      <c r="Q11" s="80">
        <v>1307.8000000000002</v>
      </c>
    </row>
    <row r="12" spans="1:17" x14ac:dyDescent="0.4">
      <c r="A12" s="36" t="s">
        <v>154</v>
      </c>
      <c r="B12" s="28">
        <v>62</v>
      </c>
      <c r="C12" s="21">
        <f>IF(B$2=0,0,B12/B$2)</f>
        <v>0.11877394636015326</v>
      </c>
      <c r="E12" s="42" t="s">
        <v>71</v>
      </c>
      <c r="F12" s="39" t="s">
        <v>26</v>
      </c>
      <c r="G12" s="26">
        <v>100</v>
      </c>
      <c r="H12" s="106">
        <f>IF(B$29=0,0,G12/B$29)</f>
        <v>7.8125E-2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8.6950226244343902</v>
      </c>
      <c r="P12" s="93">
        <v>221</v>
      </c>
      <c r="Q12" s="81">
        <v>1921.6000000000004</v>
      </c>
    </row>
    <row r="13" spans="1:17" x14ac:dyDescent="0.4">
      <c r="A13" s="37" t="s">
        <v>122</v>
      </c>
      <c r="B13" s="29">
        <v>1092</v>
      </c>
      <c r="C13" s="23">
        <f>IF(B$28=0,0,B13/B$28)</f>
        <v>0.29738562091503268</v>
      </c>
      <c r="E13" s="42" t="s">
        <v>87</v>
      </c>
      <c r="F13" s="39" t="s">
        <v>42</v>
      </c>
      <c r="G13" s="26">
        <v>85</v>
      </c>
      <c r="H13" s="106">
        <f>IF(B$29=0,0,G13/B$29)</f>
        <v>6.640625E-2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791</v>
      </c>
      <c r="C14" s="18">
        <f>IF(B$28=0,0,B14/B$28)</f>
        <v>0.21541394335511982</v>
      </c>
      <c r="E14" s="42" t="s">
        <v>72</v>
      </c>
      <c r="F14" s="39" t="s">
        <v>27</v>
      </c>
      <c r="G14" s="26">
        <v>79</v>
      </c>
      <c r="H14" s="106">
        <f>IF(B$29=0,0,G14/B$29)</f>
        <v>6.1718750000000003E-2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673</v>
      </c>
      <c r="C15" s="16">
        <f>IF(B$13=0,0,B15/B$13)</f>
        <v>0.61630036630036633</v>
      </c>
      <c r="E15" s="42" t="s">
        <v>84</v>
      </c>
      <c r="F15" s="39" t="s">
        <v>39</v>
      </c>
      <c r="G15" s="26">
        <v>54</v>
      </c>
      <c r="H15" s="106">
        <f>IF(B$29=0,0,G15/B$29)</f>
        <v>4.2187500000000003E-2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398</v>
      </c>
      <c r="C16" s="16">
        <f>IF(B$14=0,0,B16/B$14)</f>
        <v>0.50316055625790135</v>
      </c>
      <c r="E16" s="42" t="s">
        <v>163</v>
      </c>
      <c r="F16" s="39" t="s">
        <v>164</v>
      </c>
      <c r="G16" s="26">
        <v>30</v>
      </c>
      <c r="H16" s="106">
        <f>IF(B$29=0,0,G16/B$29)</f>
        <v>2.34375E-2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1436</v>
      </c>
      <c r="C17" s="16">
        <f>IF(B$3=0,0,B17/B$3)</f>
        <v>0.34786821705426357</v>
      </c>
      <c r="E17" s="42" t="s">
        <v>79</v>
      </c>
      <c r="F17" s="39" t="s">
        <v>34</v>
      </c>
      <c r="G17" s="26">
        <v>27</v>
      </c>
      <c r="H17" s="106">
        <f>IF(B$29=0,0,G17/B$29)</f>
        <v>2.1093750000000001E-2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577</v>
      </c>
      <c r="C18" s="18">
        <f>IF(B$17=0,0,B18/B$17)</f>
        <v>0.40181058495821725</v>
      </c>
      <c r="E18" s="42" t="s">
        <v>82</v>
      </c>
      <c r="F18" s="39" t="s">
        <v>37</v>
      </c>
      <c r="G18" s="26">
        <v>24</v>
      </c>
      <c r="H18" s="106">
        <f>IF(B$29=0,0,G18/B$29)</f>
        <v>1.8749999999999999E-2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40.333333333333336</v>
      </c>
      <c r="P18" s="92">
        <v>3</v>
      </c>
      <c r="Q18" s="80">
        <v>121</v>
      </c>
    </row>
    <row r="19" spans="1:17" x14ac:dyDescent="0.4">
      <c r="A19" s="34" t="s">
        <v>11</v>
      </c>
      <c r="B19" s="26">
        <v>859</v>
      </c>
      <c r="C19" s="18">
        <f>IF(B$17=0,0,B19/B$17)</f>
        <v>0.59818941504178269</v>
      </c>
      <c r="E19" s="42" t="s">
        <v>92</v>
      </c>
      <c r="F19" s="39" t="s">
        <v>47</v>
      </c>
      <c r="G19" s="26">
        <v>23</v>
      </c>
      <c r="H19" s="106">
        <f>IF(B$29=0,0,G19/B$29)</f>
        <v>1.7968749999999999E-2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591</v>
      </c>
      <c r="C20" s="18">
        <f>IF(B$3=0,0,B20/B$3)</f>
        <v>0.1431686046511628</v>
      </c>
      <c r="E20" s="42" t="s">
        <v>80</v>
      </c>
      <c r="F20" s="39" t="s">
        <v>35</v>
      </c>
      <c r="G20" s="26">
        <v>14</v>
      </c>
      <c r="H20" s="106">
        <f>IF(B$29=0,0,G20/B$29)</f>
        <v>1.0937499999999999E-2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IF(B$29=0,0,G21/B$29)</f>
        <v>8.5937500000000007E-3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24.416666666666671</v>
      </c>
      <c r="P21" s="92">
        <v>84</v>
      </c>
      <c r="Q21" s="80">
        <v>2051.0000000000005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IF(B$29=0,0,G22/B$29)</f>
        <v>7.8125E-3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20.418115942028983</v>
      </c>
      <c r="P22" s="92">
        <v>138</v>
      </c>
      <c r="Q22" s="80">
        <v>2817.7</v>
      </c>
    </row>
    <row r="23" spans="1:17" x14ac:dyDescent="0.4">
      <c r="A23" s="34" t="s">
        <v>5</v>
      </c>
      <c r="B23" s="30">
        <f>IF(B$17=0,0,C23/B$17)</f>
        <v>9432.6601671309199</v>
      </c>
      <c r="C23" s="20">
        <v>13545300</v>
      </c>
      <c r="E23" s="42" t="s">
        <v>93</v>
      </c>
      <c r="F23" s="39" t="s">
        <v>48</v>
      </c>
      <c r="G23" s="26">
        <v>9</v>
      </c>
      <c r="H23" s="106">
        <f>IF(B$29=0,0,G23/B$29)</f>
        <v>7.0312500000000002E-3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14.902811244979919</v>
      </c>
      <c r="P23" s="92">
        <v>249</v>
      </c>
      <c r="Q23" s="80">
        <v>3710.7999999999997</v>
      </c>
    </row>
    <row r="24" spans="1:17" x14ac:dyDescent="0.4">
      <c r="A24" s="36" t="s">
        <v>14</v>
      </c>
      <c r="B24" s="31">
        <f>IF(B$20=0,0,C24/B$20)</f>
        <v>-8661.7597292724204</v>
      </c>
      <c r="C24" s="24">
        <v>-5119100</v>
      </c>
      <c r="E24" s="42" t="s">
        <v>74</v>
      </c>
      <c r="F24" s="39" t="s">
        <v>29</v>
      </c>
      <c r="G24" s="26">
        <v>7</v>
      </c>
      <c r="H24" s="106">
        <f>IF(B$29=0,0,G24/B$29)</f>
        <v>5.4687499999999997E-3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13.113991769547329</v>
      </c>
      <c r="P24" s="92">
        <v>243</v>
      </c>
      <c r="Q24" s="80">
        <v>3186.7000000000012</v>
      </c>
    </row>
    <row r="25" spans="1:17" x14ac:dyDescent="0.4">
      <c r="A25" s="63" t="s">
        <v>139</v>
      </c>
      <c r="B25" s="129">
        <v>10</v>
      </c>
      <c r="C25" s="130"/>
      <c r="E25" s="42" t="s">
        <v>76</v>
      </c>
      <c r="F25" s="39" t="s">
        <v>31</v>
      </c>
      <c r="G25" s="26">
        <v>5</v>
      </c>
      <c r="H25" s="106">
        <f>IF(B$29=0,0,G25/B$29)</f>
        <v>3.90625E-3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27">
        <v>120200</v>
      </c>
      <c r="C26" s="128"/>
      <c r="E26" s="42" t="s">
        <v>91</v>
      </c>
      <c r="F26" s="39" t="s">
        <v>46</v>
      </c>
      <c r="G26" s="26">
        <v>5</v>
      </c>
      <c r="H26" s="106">
        <f>IF(B$29=0,0,G26/B$29)</f>
        <v>3.90625E-3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7.2674418604651162E-4</v>
      </c>
      <c r="E27" s="42" t="s">
        <v>75</v>
      </c>
      <c r="F27" s="39" t="s">
        <v>30</v>
      </c>
      <c r="G27" s="26">
        <v>3</v>
      </c>
      <c r="H27" s="106">
        <f>IF(B$29=0,0,G27/B$29)</f>
        <v>2.3437499999999999E-3</v>
      </c>
      <c r="I27" s="67">
        <v>8</v>
      </c>
      <c r="K27" s="17">
        <v>25</v>
      </c>
      <c r="L27" s="72">
        <v>84.300000000000011</v>
      </c>
      <c r="N27" s="88" t="s">
        <v>171</v>
      </c>
      <c r="O27" s="98">
        <f>IF(P27=0,0,Q27/P27)</f>
        <v>6.356741573033708</v>
      </c>
      <c r="P27" s="92">
        <v>178</v>
      </c>
      <c r="Q27" s="80">
        <v>1131.5</v>
      </c>
    </row>
    <row r="28" spans="1:17" x14ac:dyDescent="0.4">
      <c r="A28" s="33" t="s">
        <v>179</v>
      </c>
      <c r="B28" s="117">
        <v>3672</v>
      </c>
      <c r="C28" s="118"/>
      <c r="E28" s="42" t="s">
        <v>85</v>
      </c>
      <c r="F28" s="39" t="s">
        <v>40</v>
      </c>
      <c r="G28" s="26">
        <v>3</v>
      </c>
      <c r="H28" s="106">
        <f>IF(B$29=0,0,G28/B$29)</f>
        <v>2.3437499999999999E-3</v>
      </c>
      <c r="I28" s="67">
        <v>5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25">
        <v>1280</v>
      </c>
      <c r="C29" s="126"/>
      <c r="E29" s="42" t="s">
        <v>88</v>
      </c>
      <c r="F29" s="39" t="s">
        <v>43</v>
      </c>
      <c r="G29" s="26">
        <v>3</v>
      </c>
      <c r="H29" s="106">
        <f>IF(B$29=0,0,G29/B$29)</f>
        <v>2.3437499999999999E-3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>IF(B$29=0,0,G30/B$29)</f>
        <v>2.3437499999999999E-3</v>
      </c>
      <c r="I30" s="67">
        <v>2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>IF(B$29=0,0,G31/B$29)</f>
        <v>2.3437499999999999E-3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IF(B$29=0,0,G32/B$29)</f>
        <v>2.3437499999999999E-3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IF(B$29=0,0,G33/B$29)</f>
        <v>7.8125000000000004E-4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IF(B$29=0,0,G35/B$29)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CDBE-8C56-4037-990C-C95C54FFC7B3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65</v>
      </c>
      <c r="F2" s="38" t="s">
        <v>21</v>
      </c>
      <c r="G2" s="25">
        <v>0</v>
      </c>
      <c r="H2" s="105">
        <f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19">
        <v>25</v>
      </c>
      <c r="C3" s="120"/>
      <c r="E3" s="42" t="s">
        <v>66</v>
      </c>
      <c r="F3" s="39" t="s">
        <v>22</v>
      </c>
      <c r="G3" s="26">
        <v>0</v>
      </c>
      <c r="H3" s="106">
        <f>IF(B$29=0,0,G3/B$29)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1">
        <v>-132.1</v>
      </c>
      <c r="C4" s="122"/>
      <c r="E4" s="42" t="s">
        <v>67</v>
      </c>
      <c r="F4" s="39" t="s">
        <v>23</v>
      </c>
      <c r="G4" s="26">
        <v>0</v>
      </c>
      <c r="H4" s="106">
        <f>IF(B$29=0,0,G4/B$29)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23">
        <f>IF(B$2=0,0,B$4/B$2)</f>
        <v>-33.024999999999999</v>
      </c>
      <c r="C5" s="124"/>
      <c r="E5" s="42" t="s">
        <v>68</v>
      </c>
      <c r="F5" s="39" t="s">
        <v>24</v>
      </c>
      <c r="G5" s="26">
        <v>0</v>
      </c>
      <c r="H5" s="106">
        <f>IF(B$29=0,0,G5/B$29)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31">
        <f>IF(B$2=0,0,(B$7*1+B$8*2+B$9*3)/B$2)</f>
        <v>3</v>
      </c>
      <c r="C6" s="132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IF(B$29=0,0,G7/B$29)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IF(B$29=0,0,G8/B$29)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IF(B$29=0,0,G10/B$29)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IF(B$29=0,0,G11/B$29)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IF(B$29=0,0,G12/B$29)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>IF(B$29=0,0,G13/B$29)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IF(B$29=0,0,G15/B$29)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IF(B$29=0,0,G16/B$29)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IF(B$29=0,0,G17/B$29)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IF(B$29=0,0,G18/B$29)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IF(B$29=0,0,G19/B$29)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IF(B$29=0,0,G20/B$29)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IF(B$29=0,0,G21/B$29)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IF(B$29=0,0,G22/B$29)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IF(B$29=0,0,G23/B$29)</f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>IF(B$29=0,0,G24/B$29)</f>
        <v>0</v>
      </c>
      <c r="I24" s="67">
        <v>8</v>
      </c>
    </row>
    <row r="25" spans="1:17" x14ac:dyDescent="0.4">
      <c r="A25" s="63" t="s">
        <v>139</v>
      </c>
      <c r="B25" s="129">
        <v>0</v>
      </c>
      <c r="C25" s="130"/>
      <c r="E25" s="42" t="s">
        <v>87</v>
      </c>
      <c r="F25" s="39" t="s">
        <v>42</v>
      </c>
      <c r="G25" s="26">
        <v>0</v>
      </c>
      <c r="H25" s="106">
        <f>IF(B$29=0,0,G25/B$29)</f>
        <v>0</v>
      </c>
      <c r="I25" s="67">
        <v>17</v>
      </c>
    </row>
    <row r="26" spans="1:17" x14ac:dyDescent="0.4">
      <c r="A26" s="37" t="s">
        <v>146</v>
      </c>
      <c r="B26" s="127">
        <v>13000</v>
      </c>
      <c r="C26" s="128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0</v>
      </c>
      <c r="C28" s="118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25">
        <v>0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B45AC-EA25-4A69-B0BE-15BBFDD391CE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67</v>
      </c>
      <c r="F2" s="38" t="s">
        <v>23</v>
      </c>
      <c r="G2" s="25">
        <v>5</v>
      </c>
      <c r="H2" s="105">
        <f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19">
        <v>24</v>
      </c>
      <c r="C3" s="120"/>
      <c r="E3" s="42" t="s">
        <v>73</v>
      </c>
      <c r="F3" s="39" t="s">
        <v>28</v>
      </c>
      <c r="G3" s="26">
        <v>3</v>
      </c>
      <c r="H3" s="106">
        <f>IF(B$29=0,0,G3/B$29)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1">
        <v>-15.5</v>
      </c>
      <c r="C4" s="122"/>
      <c r="E4" s="42" t="s">
        <v>65</v>
      </c>
      <c r="F4" s="39" t="s">
        <v>21</v>
      </c>
      <c r="G4" s="26">
        <v>2</v>
      </c>
      <c r="H4" s="106">
        <f>IF(B$29=0,0,G4/B$29)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23">
        <f>IF(B$2=0,0,B$4/B$2)</f>
        <v>-3.875</v>
      </c>
      <c r="C5" s="124"/>
      <c r="E5" s="42" t="s">
        <v>68</v>
      </c>
      <c r="F5" s="39" t="s">
        <v>24</v>
      </c>
      <c r="G5" s="26">
        <v>2</v>
      </c>
      <c r="H5" s="106">
        <f>IF(B$29=0,0,G5/B$29)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177</v>
      </c>
      <c r="F6" s="39" t="s">
        <v>178</v>
      </c>
      <c r="G6" s="26">
        <v>2</v>
      </c>
      <c r="H6" s="106">
        <f>IF(B$29=0,0,G6/B$29)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IF(B$29=0,0,G8/B$29)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IF(B$29=0,0,G9/B$29)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IF(B$29=0,0,G10/B$29)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IF(B$29=0,0,G11/B$29)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IF(B$29=0,0,G12/B$29)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>IF(B$29=0,0,G13/B$29)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IF(B$29=0,0,G15/B$29)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IF(B$29=0,0,G16/B$29)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IF(B$29=0,0,G17/B$29)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IF(B$29=0,0,G18/B$29)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IF(B$29=0,0,G19/B$29)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IF(B$29=0,0,G20/B$29)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IF(B$29=0,0,G21/B$29)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IF(B$29=0,0,G22/B$29)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IF(B$29=0,0,G23/B$29)</f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>IF(B$29=0,0,G24/B$29)</f>
        <v>0</v>
      </c>
      <c r="I24" s="67">
        <v>1</v>
      </c>
    </row>
    <row r="25" spans="1:17" x14ac:dyDescent="0.4">
      <c r="A25" s="63" t="s">
        <v>139</v>
      </c>
      <c r="B25" s="129">
        <v>3</v>
      </c>
      <c r="C25" s="130"/>
      <c r="E25" s="42" t="s">
        <v>85</v>
      </c>
      <c r="F25" s="39" t="s">
        <v>40</v>
      </c>
      <c r="G25" s="26">
        <v>0</v>
      </c>
      <c r="H25" s="106">
        <f>IF(B$29=0,0,G25/B$29)</f>
        <v>0</v>
      </c>
      <c r="I25" s="67">
        <v>6</v>
      </c>
    </row>
    <row r="26" spans="1:17" x14ac:dyDescent="0.4">
      <c r="A26" s="37" t="s">
        <v>146</v>
      </c>
      <c r="B26" s="127">
        <v>46000</v>
      </c>
      <c r="C26" s="128"/>
      <c r="E26" s="42" t="s">
        <v>86</v>
      </c>
      <c r="F26" s="39" t="s">
        <v>41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17" x14ac:dyDescent="0.4">
      <c r="A28" s="33" t="s">
        <v>179</v>
      </c>
      <c r="B28" s="117">
        <v>19</v>
      </c>
      <c r="C28" s="118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17" x14ac:dyDescent="0.4">
      <c r="A29" s="36" t="s">
        <v>180</v>
      </c>
      <c r="B29" s="125">
        <v>4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0D372-9F7A-4329-857D-D896C9530126}">
  <sheetPr codeName="Sheet7"/>
  <dimension ref="A1:Q33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333</v>
      </c>
      <c r="C2" s="118"/>
      <c r="E2" s="41" t="s">
        <v>67</v>
      </c>
      <c r="F2" s="38" t="s">
        <v>23</v>
      </c>
      <c r="G2" s="25">
        <v>467</v>
      </c>
      <c r="H2" s="105">
        <f>IF(B$29=0,0,G2/B$29)</f>
        <v>0.7001499250374813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-23.030303030303031</v>
      </c>
      <c r="P2" s="91">
        <v>330</v>
      </c>
      <c r="Q2" s="75">
        <v>-7600</v>
      </c>
    </row>
    <row r="3" spans="1:17" x14ac:dyDescent="0.4">
      <c r="A3" s="34" t="s">
        <v>8</v>
      </c>
      <c r="B3" s="119">
        <v>2685</v>
      </c>
      <c r="C3" s="120"/>
      <c r="E3" s="42" t="s">
        <v>65</v>
      </c>
      <c r="F3" s="39" t="s">
        <v>21</v>
      </c>
      <c r="G3" s="26">
        <v>397</v>
      </c>
      <c r="H3" s="106">
        <f>IF(B$29=0,0,G3/B$29)</f>
        <v>0.59520239880059966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-1398.4423676012461</v>
      </c>
      <c r="P3" s="92">
        <v>321</v>
      </c>
      <c r="Q3" s="76">
        <v>-448900</v>
      </c>
    </row>
    <row r="4" spans="1:17" x14ac:dyDescent="0.4">
      <c r="A4" s="34" t="s">
        <v>6</v>
      </c>
      <c r="B4" s="121">
        <v>-1259.3999999999999</v>
      </c>
      <c r="C4" s="122"/>
      <c r="E4" s="42" t="s">
        <v>73</v>
      </c>
      <c r="F4" s="39" t="s">
        <v>28</v>
      </c>
      <c r="G4" s="26">
        <v>319</v>
      </c>
      <c r="H4" s="106">
        <f>IF(B$29=0,0,G4/B$29)</f>
        <v>0.47826086956521741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451.13268608414239</v>
      </c>
      <c r="P4" s="92">
        <v>309</v>
      </c>
      <c r="Q4" s="76">
        <v>139400</v>
      </c>
    </row>
    <row r="5" spans="1:17" x14ac:dyDescent="0.4">
      <c r="A5" s="34" t="s">
        <v>7</v>
      </c>
      <c r="B5" s="123">
        <f>IF(B$2=0,0,B$4/B$2)</f>
        <v>-3.7819819819819815</v>
      </c>
      <c r="C5" s="124"/>
      <c r="E5" s="42" t="s">
        <v>69</v>
      </c>
      <c r="F5" s="39" t="s">
        <v>12</v>
      </c>
      <c r="G5" s="26">
        <v>234</v>
      </c>
      <c r="H5" s="106">
        <f>IF(B$29=0,0,G5/B$29)</f>
        <v>0.35082458770614694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-743.88489208633098</v>
      </c>
      <c r="P5" s="92">
        <v>278</v>
      </c>
      <c r="Q5" s="76">
        <v>-206800</v>
      </c>
    </row>
    <row r="6" spans="1:17" x14ac:dyDescent="0.4">
      <c r="A6" s="34" t="s">
        <v>1</v>
      </c>
      <c r="B6" s="131">
        <f>IF(B$2=0,0,(B$7*1+B$8*2+B$9*3)/B$2)</f>
        <v>2.1021021021021022</v>
      </c>
      <c r="C6" s="132"/>
      <c r="E6" s="42" t="s">
        <v>68</v>
      </c>
      <c r="F6" s="39" t="s">
        <v>24</v>
      </c>
      <c r="G6" s="26">
        <v>224</v>
      </c>
      <c r="H6" s="106">
        <f>IF(B$29=0,0,G6/B$29)</f>
        <v>0.335832083958021</v>
      </c>
      <c r="I6" s="67">
        <v>8</v>
      </c>
      <c r="K6" s="17">
        <v>4</v>
      </c>
      <c r="L6" s="72">
        <v>3.6000000000000014</v>
      </c>
      <c r="N6" s="88" t="s">
        <v>133</v>
      </c>
      <c r="O6" s="95">
        <f t="shared" si="0"/>
        <v>-1044.8979591836735</v>
      </c>
      <c r="P6" s="92">
        <v>245</v>
      </c>
      <c r="Q6" s="76">
        <v>-256000</v>
      </c>
    </row>
    <row r="7" spans="1:17" x14ac:dyDescent="0.4">
      <c r="A7" s="34" t="s">
        <v>2</v>
      </c>
      <c r="B7" s="26">
        <v>90</v>
      </c>
      <c r="C7" s="18">
        <f>IF(B$2=0,0,B7/B$2)</f>
        <v>0.27027027027027029</v>
      </c>
      <c r="E7" s="42" t="s">
        <v>167</v>
      </c>
      <c r="F7" s="39" t="s">
        <v>168</v>
      </c>
      <c r="G7" s="26">
        <v>180</v>
      </c>
      <c r="H7" s="106">
        <f>IF(B$29=0,0,G7/B$29)</f>
        <v>0.26986506746626687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-912.91866028708137</v>
      </c>
      <c r="P7" s="93">
        <v>209</v>
      </c>
      <c r="Q7" s="77">
        <v>-190800</v>
      </c>
    </row>
    <row r="8" spans="1:17" x14ac:dyDescent="0.4">
      <c r="A8" s="34" t="s">
        <v>3</v>
      </c>
      <c r="B8" s="26">
        <v>119</v>
      </c>
      <c r="C8" s="18">
        <f>IF(B$2=0,0,B8/B$2)</f>
        <v>0.35735735735735735</v>
      </c>
      <c r="E8" s="42" t="s">
        <v>177</v>
      </c>
      <c r="F8" s="39" t="s">
        <v>178</v>
      </c>
      <c r="G8" s="26">
        <v>179</v>
      </c>
      <c r="H8" s="106">
        <f>IF(B$29=0,0,G8/B$29)</f>
        <v>0.2683658170914543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124</v>
      </c>
      <c r="C9" s="19">
        <f t="shared" ref="C9" si="1">IF(B$2=0,0,B9/B$2)</f>
        <v>0.37237237237237236</v>
      </c>
      <c r="E9" s="42" t="s">
        <v>70</v>
      </c>
      <c r="F9" s="39" t="s">
        <v>25</v>
      </c>
      <c r="G9" s="26">
        <v>128</v>
      </c>
      <c r="H9" s="106">
        <f>IF(B$29=0,0,G9/B$29)</f>
        <v>0.19190404797601199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0.15315315315315314</v>
      </c>
      <c r="E10" s="42" t="s">
        <v>66</v>
      </c>
      <c r="F10" s="39" t="s">
        <v>22</v>
      </c>
      <c r="G10" s="26">
        <v>93</v>
      </c>
      <c r="H10" s="106">
        <f>IF(B$29=0,0,G10/B$29)</f>
        <v>0.13943028485757122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0.10510510510510511</v>
      </c>
      <c r="E11" s="42" t="s">
        <v>90</v>
      </c>
      <c r="F11" s="39" t="s">
        <v>45</v>
      </c>
      <c r="G11" s="26">
        <v>90</v>
      </c>
      <c r="H11" s="106">
        <f>IF(B$29=0,0,G11/B$29)</f>
        <v>0.13493253373313344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-4.8122641509433963</v>
      </c>
      <c r="P11" s="92">
        <v>106</v>
      </c>
      <c r="Q11" s="80">
        <v>-510.1</v>
      </c>
    </row>
    <row r="12" spans="1:17" x14ac:dyDescent="0.4">
      <c r="A12" s="36" t="s">
        <v>154</v>
      </c>
      <c r="B12" s="28">
        <v>22</v>
      </c>
      <c r="C12" s="21">
        <f>IF(B$2=0,0,B12/B$2)</f>
        <v>6.6066066066066062E-2</v>
      </c>
      <c r="E12" s="42" t="s">
        <v>71</v>
      </c>
      <c r="F12" s="39" t="s">
        <v>26</v>
      </c>
      <c r="G12" s="26">
        <v>86</v>
      </c>
      <c r="H12" s="106">
        <f>IF(B$29=0,0,G12/B$29)</f>
        <v>0.12893553223388307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7.3333333333333431E-2</v>
      </c>
      <c r="P12" s="93">
        <v>90</v>
      </c>
      <c r="Q12" s="81">
        <v>6.6000000000000085</v>
      </c>
    </row>
    <row r="13" spans="1:17" x14ac:dyDescent="0.4">
      <c r="A13" s="37" t="s">
        <v>122</v>
      </c>
      <c r="B13" s="29">
        <v>708</v>
      </c>
      <c r="C13" s="23">
        <f>IF(B$28=0,0,B13/B$28)</f>
        <v>0.29207920792079206</v>
      </c>
      <c r="E13" s="42" t="s">
        <v>87</v>
      </c>
      <c r="F13" s="39" t="s">
        <v>42</v>
      </c>
      <c r="G13" s="26">
        <v>42</v>
      </c>
      <c r="H13" s="106">
        <f>IF(B$29=0,0,G13/B$29)</f>
        <v>6.296851574212893E-2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425</v>
      </c>
      <c r="C14" s="18">
        <f>IF(B$28=0,0,B14/B$28)</f>
        <v>0.17533003300330033</v>
      </c>
      <c r="E14" s="42" t="s">
        <v>84</v>
      </c>
      <c r="F14" s="39" t="s">
        <v>39</v>
      </c>
      <c r="G14" s="26">
        <v>38</v>
      </c>
      <c r="H14" s="106">
        <f>IF(B$29=0,0,G14/B$29)</f>
        <v>5.6971514242878558E-2</v>
      </c>
      <c r="I14" s="67">
        <v>6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412</v>
      </c>
      <c r="C15" s="16">
        <f>IF(B$13=0,0,B15/B$13)</f>
        <v>0.58192090395480223</v>
      </c>
      <c r="E15" s="42" t="s">
        <v>72</v>
      </c>
      <c r="F15" s="39" t="s">
        <v>27</v>
      </c>
      <c r="G15" s="26">
        <v>30</v>
      </c>
      <c r="H15" s="106">
        <f>IF(B$29=0,0,G15/B$29)</f>
        <v>4.4977511244377814E-2</v>
      </c>
      <c r="I15" s="67">
        <v>10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150</v>
      </c>
      <c r="C16" s="16">
        <f>IF(B$14=0,0,B16/B$14)</f>
        <v>0.35294117647058826</v>
      </c>
      <c r="E16" s="42" t="s">
        <v>82</v>
      </c>
      <c r="F16" s="39" t="s">
        <v>37</v>
      </c>
      <c r="G16" s="26">
        <v>23</v>
      </c>
      <c r="H16" s="106">
        <f>IF(B$29=0,0,G16/B$29)</f>
        <v>3.4482758620689655E-2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728</v>
      </c>
      <c r="C17" s="16">
        <f>IF(B$3=0,0,B17/B$3)</f>
        <v>0.27113594040968342</v>
      </c>
      <c r="E17" s="42" t="s">
        <v>79</v>
      </c>
      <c r="F17" s="39" t="s">
        <v>34</v>
      </c>
      <c r="G17" s="26">
        <v>15</v>
      </c>
      <c r="H17" s="106">
        <f>IF(B$29=0,0,G17/B$29)</f>
        <v>2.2488755622188907E-2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9.5417910447761205</v>
      </c>
      <c r="P17" s="92">
        <v>67</v>
      </c>
      <c r="Q17" s="80">
        <v>639.30000000000007</v>
      </c>
    </row>
    <row r="18" spans="1:17" x14ac:dyDescent="0.4">
      <c r="A18" s="34" t="s">
        <v>12</v>
      </c>
      <c r="B18" s="26">
        <v>322</v>
      </c>
      <c r="C18" s="18">
        <f>IF(B$17=0,0,B18/B$17)</f>
        <v>0.44230769230769229</v>
      </c>
      <c r="E18" s="42" t="s">
        <v>92</v>
      </c>
      <c r="F18" s="39" t="s">
        <v>47</v>
      </c>
      <c r="G18" s="26">
        <v>15</v>
      </c>
      <c r="H18" s="106">
        <f>IF(B$29=0,0,G18/B$29)</f>
        <v>2.2488755622188907E-2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406</v>
      </c>
      <c r="C19" s="18">
        <f>IF(B$17=0,0,B19/B$17)</f>
        <v>0.55769230769230771</v>
      </c>
      <c r="E19" s="42" t="s">
        <v>80</v>
      </c>
      <c r="F19" s="39" t="s">
        <v>35</v>
      </c>
      <c r="G19" s="26">
        <v>11</v>
      </c>
      <c r="H19" s="106">
        <f>IF(B$29=0,0,G19/B$29)</f>
        <v>1.6491754122938532E-2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502</v>
      </c>
      <c r="C20" s="18">
        <f>IF(B$3=0,0,B20/B$3)</f>
        <v>0.18696461824953445</v>
      </c>
      <c r="E20" s="42" t="s">
        <v>163</v>
      </c>
      <c r="F20" s="39" t="s">
        <v>164</v>
      </c>
      <c r="G20" s="26">
        <v>9</v>
      </c>
      <c r="H20" s="106">
        <f>IF(B$29=0,0,G20/B$29)</f>
        <v>1.3493253373313344E-2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IF(B$29=0,0,G21/B$29)</f>
        <v>8.9955022488755615E-3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-3.3600000000000003</v>
      </c>
      <c r="P21" s="92">
        <v>120</v>
      </c>
      <c r="Q21" s="80">
        <v>-403.20000000000005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IF(B$29=0,0,G22/B$29)</f>
        <v>5.9970014992503746E-3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-5.0682926829268284</v>
      </c>
      <c r="P22" s="92">
        <v>41</v>
      </c>
      <c r="Q22" s="80">
        <v>-207.79999999999998</v>
      </c>
    </row>
    <row r="23" spans="1:17" x14ac:dyDescent="0.4">
      <c r="A23" s="34" t="s">
        <v>5</v>
      </c>
      <c r="B23" s="30">
        <f>IF(B$17=0,0,C23/B$17)</f>
        <v>9512.9120879120874</v>
      </c>
      <c r="C23" s="20">
        <v>6925400</v>
      </c>
      <c r="E23" s="42" t="s">
        <v>75</v>
      </c>
      <c r="F23" s="39" t="s">
        <v>30</v>
      </c>
      <c r="G23" s="26">
        <v>3</v>
      </c>
      <c r="H23" s="106">
        <f>IF(B$29=0,0,G23/B$29)</f>
        <v>4.4977511244377807E-3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-8479.083665338645</v>
      </c>
      <c r="C24" s="24">
        <v>-4256500</v>
      </c>
      <c r="E24" s="42" t="s">
        <v>85</v>
      </c>
      <c r="F24" s="39" t="s">
        <v>40</v>
      </c>
      <c r="G24" s="26">
        <v>3</v>
      </c>
      <c r="H24" s="106">
        <f>IF(B$29=0,0,G24/B$29)</f>
        <v>4.4977511244377807E-3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-14.902811244979919</v>
      </c>
      <c r="P24" s="92">
        <v>249</v>
      </c>
      <c r="Q24" s="80">
        <v>-3710.7999999999997</v>
      </c>
    </row>
    <row r="25" spans="1:17" x14ac:dyDescent="0.4">
      <c r="A25" s="63" t="s">
        <v>139</v>
      </c>
      <c r="B25" s="129">
        <v>10</v>
      </c>
      <c r="C25" s="130"/>
      <c r="E25" s="42" t="s">
        <v>93</v>
      </c>
      <c r="F25" s="39" t="s">
        <v>48</v>
      </c>
      <c r="G25" s="26">
        <v>3</v>
      </c>
      <c r="H25" s="106">
        <f>IF(B$29=0,0,G25/B$29)</f>
        <v>4.4977511244377807E-3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27">
        <v>107600</v>
      </c>
      <c r="C26" s="128"/>
      <c r="E26" s="42" t="s">
        <v>86</v>
      </c>
      <c r="F26" s="39" t="s">
        <v>41</v>
      </c>
      <c r="G26" s="26">
        <v>2</v>
      </c>
      <c r="H26" s="106">
        <f>IF(B$29=0,0,G26/B$29)</f>
        <v>2.9985007496251873E-3</v>
      </c>
      <c r="I26" s="67">
        <v>5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11</v>
      </c>
      <c r="C27" s="21">
        <f>IF(B$3=0,0,B27/B$3)</f>
        <v>4.0968342644320298E-3</v>
      </c>
      <c r="E27" s="42" t="s">
        <v>89</v>
      </c>
      <c r="F27" s="39" t="s">
        <v>44</v>
      </c>
      <c r="G27" s="26">
        <v>2</v>
      </c>
      <c r="H27" s="106">
        <f>IF(B$29=0,0,G27/B$29)</f>
        <v>2.9985007496251873E-3</v>
      </c>
      <c r="I27" s="67">
        <v>1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7">
        <v>2424</v>
      </c>
      <c r="C28" s="118"/>
      <c r="E28" s="42" t="s">
        <v>78</v>
      </c>
      <c r="F28" s="39" t="s">
        <v>33</v>
      </c>
      <c r="G28" s="26">
        <v>1</v>
      </c>
      <c r="H28" s="106">
        <f>IF(B$29=0,0,G28/B$29)</f>
        <v>1.4992503748125937E-3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25">
        <v>667</v>
      </c>
      <c r="C29" s="126"/>
      <c r="E29" s="42" t="s">
        <v>81</v>
      </c>
      <c r="F29" s="39" t="s">
        <v>36</v>
      </c>
      <c r="G29" s="26">
        <v>1</v>
      </c>
      <c r="H29" s="106">
        <f>IF(B$29=0,0,G29/B$29)</f>
        <v>1.4992503748125937E-3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>IF(B$29=0,0,G30/B$29)</f>
        <v>1.4992503748125937E-3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>IF(B$29=0,0,G31/B$29)</f>
        <v>1.4992503748125937E-3</v>
      </c>
      <c r="I31" s="67">
        <v>7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IF(B$29=0,0,G32/B$29)</f>
        <v>1.4992503748125937E-3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DE55-1478-4824-852A-6F9C8FAC8373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89</v>
      </c>
      <c r="C2" s="118"/>
      <c r="E2" s="41" t="s">
        <v>67</v>
      </c>
      <c r="F2" s="38" t="s">
        <v>23</v>
      </c>
      <c r="G2" s="25">
        <v>108</v>
      </c>
      <c r="H2" s="105">
        <f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19">
        <v>655</v>
      </c>
      <c r="C3" s="120"/>
      <c r="E3" s="42" t="s">
        <v>73</v>
      </c>
      <c r="F3" s="39" t="s">
        <v>28</v>
      </c>
      <c r="G3" s="26">
        <v>79</v>
      </c>
      <c r="H3" s="106">
        <f>IF(B$29=0,0,G3/B$29)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1">
        <v>-32.699999999999989</v>
      </c>
      <c r="C4" s="122"/>
      <c r="E4" s="42" t="s">
        <v>177</v>
      </c>
      <c r="F4" s="39" t="s">
        <v>178</v>
      </c>
      <c r="G4" s="26">
        <v>69</v>
      </c>
      <c r="H4" s="106">
        <f>IF(B$29=0,0,G4/B$29)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23">
        <f>IF(B$2=0,0,B$4/B$2)</f>
        <v>-0.36741573033707853</v>
      </c>
      <c r="C5" s="124"/>
      <c r="E5" s="42" t="s">
        <v>65</v>
      </c>
      <c r="F5" s="39" t="s">
        <v>21</v>
      </c>
      <c r="G5" s="26">
        <v>58</v>
      </c>
      <c r="H5" s="106">
        <f>IF(B$29=0,0,G5/B$29)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69</v>
      </c>
      <c r="F6" s="39" t="s">
        <v>12</v>
      </c>
      <c r="G6" s="26">
        <v>35</v>
      </c>
      <c r="H6" s="106">
        <f>IF(B$29=0,0,G6/B$29)</f>
        <v>0.27777777777777779</v>
      </c>
      <c r="I6" s="67">
        <v>14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IF(B$29=0,0,G7/B$29)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IF(B$29=0,0,G8/B$29)</f>
        <v>0.12698412698412698</v>
      </c>
      <c r="I8" s="67">
        <v>12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IF(B$29=0,0,G9/B$29)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IF(B$29=0,0,G10/B$29)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IF(B$29=0,0,G11/B$29)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IF(B$29=0,0,G12/B$29)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>IF(B$29=0,0,G13/B$29)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>IF(B$29=0,0,G14/B$29)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IF(B$29=0,0,G15/B$29)</f>
        <v>3.968253968253968E-2</v>
      </c>
      <c r="I15" s="67">
        <v>4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IF(B$29=0,0,G16/B$29)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IF(B$29=0,0,G17/B$29)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IF(B$29=0,0,G18/B$29)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IF(B$29=0,0,G19/B$29)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IF(B$29=0,0,G20/B$29)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IF(B$29=0,0,G21/B$29)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IF(B$29=0,0,G22/B$29)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IF(B$29=0,0,G23/B$29)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>IF(B$29=0,0,G24/B$29)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9">
        <v>7</v>
      </c>
      <c r="C25" s="130"/>
      <c r="E25" s="42" t="s">
        <v>77</v>
      </c>
      <c r="F25" s="39" t="s">
        <v>32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27">
        <v>118000</v>
      </c>
      <c r="C26" s="128"/>
      <c r="E26" s="42" t="s">
        <v>78</v>
      </c>
      <c r="F26" s="39" t="s">
        <v>33</v>
      </c>
      <c r="G26" s="26">
        <v>0</v>
      </c>
      <c r="H26" s="106">
        <f>IF(B$29=0,0,G26/B$29)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>IF(B$29=0,0,G27/B$29)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7">
        <v>417</v>
      </c>
      <c r="C28" s="118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25">
        <v>126</v>
      </c>
      <c r="C29" s="126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26982-EB6D-41B6-AE18-2FC6B53F4CF3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</v>
      </c>
      <c r="C2" s="118"/>
      <c r="E2" s="41" t="s">
        <v>65</v>
      </c>
      <c r="F2" s="38" t="s">
        <v>21</v>
      </c>
      <c r="G2" s="25">
        <v>6</v>
      </c>
      <c r="H2" s="105">
        <f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19">
        <v>37</v>
      </c>
      <c r="C3" s="120"/>
      <c r="E3" s="42" t="s">
        <v>177</v>
      </c>
      <c r="F3" s="39" t="s">
        <v>178</v>
      </c>
      <c r="G3" s="26">
        <v>6</v>
      </c>
      <c r="H3" s="106">
        <f>IF(B$29=0,0,G3/B$29)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1">
        <v>-86.4</v>
      </c>
      <c r="C4" s="122"/>
      <c r="E4" s="42" t="s">
        <v>66</v>
      </c>
      <c r="F4" s="39" t="s">
        <v>22</v>
      </c>
      <c r="G4" s="26">
        <v>4</v>
      </c>
      <c r="H4" s="106">
        <f>IF(B$29=0,0,G4/B$29)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23">
        <f>IF(B$2=0,0,B$4/B$2)</f>
        <v>-17.28</v>
      </c>
      <c r="C5" s="124"/>
      <c r="E5" s="42" t="s">
        <v>73</v>
      </c>
      <c r="F5" s="39" t="s">
        <v>28</v>
      </c>
      <c r="G5" s="26">
        <v>4</v>
      </c>
      <c r="H5" s="106">
        <f>IF(B$29=0,0,G5/B$29)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31">
        <f>IF(B$2=0,0,(B$7*1+B$8*2+B$9*3)/B$2)</f>
        <v>2.2000000000000002</v>
      </c>
      <c r="C6" s="132"/>
      <c r="E6" s="42" t="s">
        <v>69</v>
      </c>
      <c r="F6" s="39" t="s">
        <v>12</v>
      </c>
      <c r="G6" s="26">
        <v>3</v>
      </c>
      <c r="H6" s="106">
        <f>IF(B$29=0,0,G6/B$29)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IF(B$29=0,0,G7/B$29)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IF(B$29=0,0,G8/B$29)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IF(B$29=0,0,G9/B$29)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IF(B$29=0,0,G10/B$29)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IF(B$29=0,0,G11/B$29)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IF(B$29=0,0,G12/B$29)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>IF(B$29=0,0,G13/B$29)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IF(B$29=0,0,G20/B$29)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IF(B$29=0,0,G21/B$29)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17" x14ac:dyDescent="0.4">
      <c r="A25" s="63" t="s">
        <v>139</v>
      </c>
      <c r="B25" s="129">
        <v>3</v>
      </c>
      <c r="C25" s="130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17" x14ac:dyDescent="0.4">
      <c r="A26" s="37" t="s">
        <v>146</v>
      </c>
      <c r="B26" s="127">
        <v>57800</v>
      </c>
      <c r="C26" s="128"/>
      <c r="E26" s="42" t="s">
        <v>88</v>
      </c>
      <c r="F26" s="39" t="s">
        <v>43</v>
      </c>
      <c r="G26" s="26">
        <v>0</v>
      </c>
      <c r="H26" s="106">
        <f>IF(B$29=0,0,G26/B$29)</f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31</v>
      </c>
      <c r="C28" s="118"/>
      <c r="E28" s="42" t="s">
        <v>90</v>
      </c>
      <c r="F28" s="39" t="s">
        <v>45</v>
      </c>
      <c r="G28" s="26">
        <v>0</v>
      </c>
      <c r="H28" s="106">
        <f>IF(B$29=0,0,G28/B$29)</f>
        <v>0</v>
      </c>
      <c r="I28" s="67">
        <v>16</v>
      </c>
    </row>
    <row r="29" spans="1:17" x14ac:dyDescent="0.4">
      <c r="A29" s="36" t="s">
        <v>180</v>
      </c>
      <c r="B29" s="125">
        <v>9</v>
      </c>
      <c r="C29" s="126"/>
      <c r="E29" s="42" t="s">
        <v>91</v>
      </c>
      <c r="F29" s="39" t="s">
        <v>46</v>
      </c>
      <c r="G29" s="26">
        <v>0</v>
      </c>
      <c r="H29" s="106">
        <f>IF(B$29=0,0,G29/B$29)</f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>IF(B$29=0,0,G30/B$29)</f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>IF(B$29=0,0,G31/B$29)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IF(B$29=0,0,G33/B$29)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IF(B$29=0,0,G35/B$29)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IF(B$29=0,0,G36/B$29)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IF(B$29=0,0,G37/B$29)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IF(B$29=0,0,G40/B$29)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IF(B$29=0,0,G41/B$29)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IF(B$29=0,0,G45/B$29)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IF(B$29=0,0,G46/B$29)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IF(B$29=0,0,G51/B$29)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IF(B$29=0,0,G52/B$29)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2E84-E8ED-4918-B456-2D34C9297433}">
  <sheetPr codeName="Sheet10"/>
  <dimension ref="A1:Q214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162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212</v>
      </c>
      <c r="C2" s="118"/>
      <c r="E2" s="41" t="s">
        <v>67</v>
      </c>
      <c r="F2" s="38" t="s">
        <v>23</v>
      </c>
      <c r="G2" s="25">
        <v>316</v>
      </c>
      <c r="H2" s="105">
        <f>IF(B$29=0,0,G2/B$29)</f>
        <v>0.65970772442588721</v>
      </c>
      <c r="I2" s="66">
        <v>11</v>
      </c>
      <c r="K2" s="15">
        <v>0</v>
      </c>
      <c r="L2" s="71">
        <v>0</v>
      </c>
      <c r="N2" s="87" t="s">
        <v>129</v>
      </c>
      <c r="O2" s="94">
        <f>IF(P2=0,0,Q2/P2)</f>
        <v>-576.88679245283015</v>
      </c>
      <c r="P2" s="91">
        <v>212</v>
      </c>
      <c r="Q2" s="75">
        <v>-122300</v>
      </c>
    </row>
    <row r="3" spans="1:17" x14ac:dyDescent="0.4">
      <c r="A3" s="34" t="s">
        <v>8</v>
      </c>
      <c r="B3" s="119">
        <v>1746</v>
      </c>
      <c r="C3" s="120"/>
      <c r="E3" s="42" t="s">
        <v>73</v>
      </c>
      <c r="F3" s="39" t="s">
        <v>28</v>
      </c>
      <c r="G3" s="26">
        <v>270</v>
      </c>
      <c r="H3" s="106">
        <f>IF(B$29=0,0,G3/B$29)</f>
        <v>0.56367432150313157</v>
      </c>
      <c r="I3" s="67">
        <v>7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-1707.7294685990339</v>
      </c>
      <c r="P3" s="92">
        <v>207</v>
      </c>
      <c r="Q3" s="76">
        <v>-353500</v>
      </c>
    </row>
    <row r="4" spans="1:17" x14ac:dyDescent="0.4">
      <c r="A4" s="34" t="s">
        <v>6</v>
      </c>
      <c r="B4" s="121">
        <v>-945.3</v>
      </c>
      <c r="C4" s="122"/>
      <c r="E4" s="42" t="s">
        <v>65</v>
      </c>
      <c r="F4" s="39" t="s">
        <v>21</v>
      </c>
      <c r="G4" s="26">
        <v>184</v>
      </c>
      <c r="H4" s="106">
        <f>IF(B$29=0,0,G4/B$29)</f>
        <v>0.38413361169102295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-800.52910052910056</v>
      </c>
      <c r="P4" s="92">
        <v>189</v>
      </c>
      <c r="Q4" s="76">
        <v>-151300</v>
      </c>
    </row>
    <row r="5" spans="1:17" x14ac:dyDescent="0.4">
      <c r="A5" s="34" t="s">
        <v>7</v>
      </c>
      <c r="B5" s="123">
        <f>IF(B$2=0,0,B$4/B$2)</f>
        <v>-4.4589622641509434</v>
      </c>
      <c r="C5" s="124"/>
      <c r="E5" s="42" t="s">
        <v>167</v>
      </c>
      <c r="F5" s="39" t="s">
        <v>168</v>
      </c>
      <c r="G5" s="26">
        <v>146</v>
      </c>
      <c r="H5" s="106">
        <f>IF(B$29=0,0,G5/B$29)</f>
        <v>0.30480167014613779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226.66666666666666</v>
      </c>
      <c r="P5" s="92">
        <v>180</v>
      </c>
      <c r="Q5" s="76">
        <v>40800</v>
      </c>
    </row>
    <row r="6" spans="1:17" x14ac:dyDescent="0.4">
      <c r="A6" s="34" t="s">
        <v>1</v>
      </c>
      <c r="B6" s="131">
        <f>IF(B$2=0,0,(B$7*1+B$8*2+B$9*3)/B$2)</f>
        <v>2.1273584905660377</v>
      </c>
      <c r="C6" s="132"/>
      <c r="E6" s="42" t="s">
        <v>69</v>
      </c>
      <c r="F6" s="39" t="s">
        <v>12</v>
      </c>
      <c r="G6" s="26">
        <v>134</v>
      </c>
      <c r="H6" s="106">
        <f>IF(B$29=0,0,G6/B$29)</f>
        <v>0.27974947807933193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0"/>
        <v>-831.28834355828224</v>
      </c>
      <c r="P6" s="92">
        <v>163</v>
      </c>
      <c r="Q6" s="76">
        <v>-135500</v>
      </c>
    </row>
    <row r="7" spans="1:17" x14ac:dyDescent="0.4">
      <c r="A7" s="34" t="s">
        <v>2</v>
      </c>
      <c r="B7" s="26">
        <v>51</v>
      </c>
      <c r="C7" s="18">
        <f>IF(B$2=0,0,B7/B$2)</f>
        <v>0.24056603773584906</v>
      </c>
      <c r="E7" s="42" t="s">
        <v>177</v>
      </c>
      <c r="F7" s="39" t="s">
        <v>178</v>
      </c>
      <c r="G7" s="26">
        <v>118</v>
      </c>
      <c r="H7" s="106">
        <f>IF(B$29=0,0,G7/B$29)</f>
        <v>0.24634655532359082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-968.38235294117646</v>
      </c>
      <c r="P7" s="93">
        <v>136</v>
      </c>
      <c r="Q7" s="77">
        <v>-131700</v>
      </c>
    </row>
    <row r="8" spans="1:17" x14ac:dyDescent="0.4">
      <c r="A8" s="34" t="s">
        <v>3</v>
      </c>
      <c r="B8" s="26">
        <v>83</v>
      </c>
      <c r="C8" s="18">
        <f>IF(B$2=0,0,B8/B$2)</f>
        <v>0.39150943396226418</v>
      </c>
      <c r="E8" s="42" t="s">
        <v>68</v>
      </c>
      <c r="F8" s="39" t="s">
        <v>24</v>
      </c>
      <c r="G8" s="26">
        <v>80</v>
      </c>
      <c r="H8" s="106">
        <f>IF(B$29=0,0,G8/B$29)</f>
        <v>0.16701461377870563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78</v>
      </c>
      <c r="C9" s="19">
        <f t="shared" ref="C9" si="1">IF(B$2=0,0,B9/B$2)</f>
        <v>0.36792452830188677</v>
      </c>
      <c r="E9" s="42" t="s">
        <v>70</v>
      </c>
      <c r="F9" s="39" t="s">
        <v>25</v>
      </c>
      <c r="G9" s="26">
        <v>77</v>
      </c>
      <c r="H9" s="106">
        <f>IF(B$29=0,0,G9/B$29)</f>
        <v>0.16075156576200417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0.10377358490566038</v>
      </c>
      <c r="E10" s="42" t="s">
        <v>66</v>
      </c>
      <c r="F10" s="39" t="s">
        <v>22</v>
      </c>
      <c r="G10" s="26">
        <v>57</v>
      </c>
      <c r="H10" s="106">
        <f>IF(B$29=0,0,G10/B$29)</f>
        <v>0.11899791231732777</v>
      </c>
      <c r="I10" s="67">
        <v>6</v>
      </c>
      <c r="K10" s="17">
        <v>8</v>
      </c>
      <c r="L10" s="72">
        <v>96.5</v>
      </c>
      <c r="N10" s="87" t="s">
        <v>158</v>
      </c>
      <c r="O10" s="97">
        <f>IF(P10=0,0,Q10/P10)</f>
        <v>-6.4717948717948746</v>
      </c>
      <c r="P10" s="91">
        <v>78</v>
      </c>
      <c r="Q10" s="79">
        <v>-504.80000000000024</v>
      </c>
    </row>
    <row r="11" spans="1:17" x14ac:dyDescent="0.4">
      <c r="A11" s="35" t="s">
        <v>137</v>
      </c>
      <c r="B11" s="27">
        <v>20</v>
      </c>
      <c r="C11" s="19">
        <f>IF(B$2=0,0,B11/B$2)</f>
        <v>9.4339622641509441E-2</v>
      </c>
      <c r="E11" s="42" t="s">
        <v>71</v>
      </c>
      <c r="F11" s="39" t="s">
        <v>26</v>
      </c>
      <c r="G11" s="26">
        <v>40</v>
      </c>
      <c r="H11" s="106">
        <f>IF(B$29=0,0,G11/B$29)</f>
        <v>8.3507306889352817E-2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-2.5406779661016938</v>
      </c>
      <c r="P11" s="92">
        <v>59</v>
      </c>
      <c r="Q11" s="80">
        <v>-149.89999999999995</v>
      </c>
    </row>
    <row r="12" spans="1:17" x14ac:dyDescent="0.4">
      <c r="A12" s="36" t="s">
        <v>154</v>
      </c>
      <c r="B12" s="28">
        <v>16</v>
      </c>
      <c r="C12" s="21">
        <f>IF(B$2=0,0,B12/B$2)</f>
        <v>7.5471698113207544E-2</v>
      </c>
      <c r="E12" s="42" t="s">
        <v>72</v>
      </c>
      <c r="F12" s="39" t="s">
        <v>27</v>
      </c>
      <c r="G12" s="26">
        <v>37</v>
      </c>
      <c r="H12" s="106">
        <f>IF(B$29=0,0,G12/B$29)</f>
        <v>7.724425887265135E-2</v>
      </c>
      <c r="I12" s="67">
        <v>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356</v>
      </c>
      <c r="C13" s="23">
        <f>IF(B$28=0,0,B13/B$28)</f>
        <v>0.227330779054917</v>
      </c>
      <c r="E13" s="42" t="s">
        <v>90</v>
      </c>
      <c r="F13" s="39" t="s">
        <v>45</v>
      </c>
      <c r="G13" s="26">
        <v>37</v>
      </c>
      <c r="H13" s="106">
        <f>IF(B$29=0,0,G13/B$29)</f>
        <v>7.724425887265135E-2</v>
      </c>
      <c r="I13" s="67">
        <v>14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434</v>
      </c>
      <c r="C14" s="18">
        <f>IF(B$28=0,0,B14/B$28)</f>
        <v>0.27713920817369092</v>
      </c>
      <c r="E14" s="42" t="s">
        <v>84</v>
      </c>
      <c r="F14" s="39" t="s">
        <v>39</v>
      </c>
      <c r="G14" s="26">
        <v>27</v>
      </c>
      <c r="H14" s="106">
        <f>IF(B$29=0,0,G14/B$29)</f>
        <v>5.6367432150313153E-2</v>
      </c>
      <c r="I14" s="67">
        <v>7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187</v>
      </c>
      <c r="C15" s="16">
        <f>IF(B$13=0,0,B15/B$13)</f>
        <v>0.5252808988764045</v>
      </c>
      <c r="E15" s="42" t="s">
        <v>87</v>
      </c>
      <c r="F15" s="39" t="s">
        <v>42</v>
      </c>
      <c r="G15" s="26">
        <v>19</v>
      </c>
      <c r="H15" s="106">
        <f>IF(B$29=0,0,G15/B$29)</f>
        <v>3.9665970772442591E-2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170</v>
      </c>
      <c r="C16" s="16">
        <f>IF(B$14=0,0,B16/B$14)</f>
        <v>0.39170506912442399</v>
      </c>
      <c r="E16" s="42" t="s">
        <v>82</v>
      </c>
      <c r="F16" s="39" t="s">
        <v>37</v>
      </c>
      <c r="G16" s="26">
        <v>15</v>
      </c>
      <c r="H16" s="106">
        <f>IF(B$29=0,0,G16/B$29)</f>
        <v>3.1315240083507306E-2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12.745882352941171</v>
      </c>
      <c r="P16" s="92">
        <v>85</v>
      </c>
      <c r="Q16" s="80">
        <v>1083.3999999999996</v>
      </c>
    </row>
    <row r="17" spans="1:17" x14ac:dyDescent="0.4">
      <c r="A17" s="33" t="s">
        <v>10</v>
      </c>
      <c r="B17" s="25">
        <f>B19+B18</f>
        <v>530</v>
      </c>
      <c r="C17" s="16">
        <f>IF(B$3=0,0,B17/B$3)</f>
        <v>0.30355097365406641</v>
      </c>
      <c r="E17" s="42" t="s">
        <v>79</v>
      </c>
      <c r="F17" s="39" t="s">
        <v>34</v>
      </c>
      <c r="G17" s="26">
        <v>9</v>
      </c>
      <c r="H17" s="106">
        <f>IF(B$29=0,0,G17/B$29)</f>
        <v>1.8789144050104383E-2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4.9690476190476174</v>
      </c>
      <c r="P17" s="92">
        <v>42</v>
      </c>
      <c r="Q17" s="80">
        <v>208.69999999999993</v>
      </c>
    </row>
    <row r="18" spans="1:17" x14ac:dyDescent="0.4">
      <c r="A18" s="34" t="s">
        <v>12</v>
      </c>
      <c r="B18" s="26">
        <v>230</v>
      </c>
      <c r="C18" s="18">
        <f>IF(B$17=0,0,B18/B$17)</f>
        <v>0.43396226415094341</v>
      </c>
      <c r="E18" s="42" t="s">
        <v>80</v>
      </c>
      <c r="F18" s="39" t="s">
        <v>35</v>
      </c>
      <c r="G18" s="26">
        <v>6</v>
      </c>
      <c r="H18" s="106">
        <f>IF(B$29=0,0,G18/B$29)</f>
        <v>1.2526096033402923E-2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300</v>
      </c>
      <c r="C19" s="18">
        <f>IF(B$17=0,0,B19/B$17)</f>
        <v>0.56603773584905659</v>
      </c>
      <c r="E19" s="42" t="s">
        <v>92</v>
      </c>
      <c r="F19" s="39" t="s">
        <v>47</v>
      </c>
      <c r="G19" s="26">
        <v>5</v>
      </c>
      <c r="H19" s="106">
        <f>IF(B$29=0,0,G19/B$29)</f>
        <v>1.0438413361169102E-2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292</v>
      </c>
      <c r="C20" s="18">
        <f>IF(B$3=0,0,B20/B$3)</f>
        <v>0.1672394043528064</v>
      </c>
      <c r="E20" s="42" t="s">
        <v>78</v>
      </c>
      <c r="F20" s="39" t="s">
        <v>33</v>
      </c>
      <c r="G20" s="26">
        <v>3</v>
      </c>
      <c r="H20" s="106">
        <f>IF(B$29=0,0,G20/B$29)</f>
        <v>6.2630480167014616E-3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-9.5417910447761223</v>
      </c>
      <c r="P20" s="92">
        <v>67</v>
      </c>
      <c r="Q20" s="80">
        <v>-639.30000000000018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IF(B$29=0,0,G21/B$29)</f>
        <v>4.1753653444676405E-3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IF(B$29=0,0,G22/B$29)</f>
        <v>4.1753653444676405E-3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-20.418115942028983</v>
      </c>
      <c r="P22" s="92">
        <v>138</v>
      </c>
      <c r="Q22" s="80">
        <v>-2817.7</v>
      </c>
    </row>
    <row r="23" spans="1:17" x14ac:dyDescent="0.4">
      <c r="A23" s="34" t="s">
        <v>5</v>
      </c>
      <c r="B23" s="30">
        <f>IF(B$17=0,0,C23/B$17)</f>
        <v>7543.3962264150941</v>
      </c>
      <c r="C23" s="20">
        <v>3998000</v>
      </c>
      <c r="E23" s="42" t="s">
        <v>74</v>
      </c>
      <c r="F23" s="39" t="s">
        <v>29</v>
      </c>
      <c r="G23" s="26">
        <v>1</v>
      </c>
      <c r="H23" s="106">
        <f>IF(B$29=0,0,G23/B$29)</f>
        <v>2.0876826722338203E-3</v>
      </c>
      <c r="I23" s="67">
        <v>9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-8597.6027397260277</v>
      </c>
      <c r="C24" s="24">
        <v>-2510500</v>
      </c>
      <c r="E24" s="42" t="s">
        <v>88</v>
      </c>
      <c r="F24" s="39" t="s">
        <v>43</v>
      </c>
      <c r="G24" s="26">
        <v>1</v>
      </c>
      <c r="H24" s="106">
        <f>IF(B$29=0,0,G24/B$29)</f>
        <v>2.0876826722338203E-3</v>
      </c>
      <c r="I24" s="67">
        <v>6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9">
        <v>7</v>
      </c>
      <c r="C25" s="130"/>
      <c r="E25" s="42" t="s">
        <v>89</v>
      </c>
      <c r="F25" s="39" t="s">
        <v>44</v>
      </c>
      <c r="G25" s="26">
        <v>1</v>
      </c>
      <c r="H25" s="106">
        <f>IF(B$29=0,0,G25/B$29)</f>
        <v>2.0876826722338203E-3</v>
      </c>
      <c r="I25" s="67">
        <v>3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27">
        <v>103200</v>
      </c>
      <c r="C26" s="128"/>
      <c r="E26" s="42" t="s">
        <v>91</v>
      </c>
      <c r="F26" s="39" t="s">
        <v>46</v>
      </c>
      <c r="G26" s="26">
        <v>1</v>
      </c>
      <c r="H26" s="106">
        <f>IF(B$29=0,0,G26/B$29)</f>
        <v>2.0876826722338203E-3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2.8636884306987398E-3</v>
      </c>
      <c r="E27" s="42" t="s">
        <v>77</v>
      </c>
      <c r="F27" s="39" t="s">
        <v>32</v>
      </c>
      <c r="G27" s="26">
        <v>0</v>
      </c>
      <c r="H27" s="106">
        <f>IF(B$29=0,0,G27/B$29)</f>
        <v>0</v>
      </c>
      <c r="I27" s="67">
        <v>1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7">
        <v>1566</v>
      </c>
      <c r="C28" s="118"/>
      <c r="E28" s="42" t="s">
        <v>81</v>
      </c>
      <c r="F28" s="39" t="s">
        <v>36</v>
      </c>
      <c r="G28" s="26">
        <v>0</v>
      </c>
      <c r="H28" s="106">
        <f>IF(B$29=0,0,G28/B$29)</f>
        <v>0</v>
      </c>
      <c r="I28" s="67">
        <v>3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25">
        <v>479</v>
      </c>
      <c r="C29" s="126"/>
      <c r="E29" s="42" t="s">
        <v>83</v>
      </c>
      <c r="F29" s="39" t="s">
        <v>38</v>
      </c>
      <c r="G29" s="26">
        <v>0</v>
      </c>
      <c r="H29" s="106">
        <f>IF(B$29=0,0,G29/B$29)</f>
        <v>0</v>
      </c>
      <c r="I29" s="67">
        <v>1</v>
      </c>
      <c r="K29" s="17">
        <v>27</v>
      </c>
      <c r="L29" s="72">
        <v>-53.7</v>
      </c>
    </row>
    <row r="30" spans="1:17" x14ac:dyDescent="0.4">
      <c r="E30" s="42" t="s">
        <v>85</v>
      </c>
      <c r="F30" s="39" t="s">
        <v>40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-53.1</v>
      </c>
    </row>
    <row r="31" spans="1:17" x14ac:dyDescent="0.4">
      <c r="E31" s="42" t="s">
        <v>86</v>
      </c>
      <c r="F31" s="39" t="s">
        <v>41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-12.899999999999999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9E0EB-F911-4A9B-A98A-5E4B934C36B3}">
  <sheetPr codeName="Sheet11"/>
  <dimension ref="A1:Q35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348</v>
      </c>
      <c r="C2" s="118"/>
      <c r="E2" s="41" t="s">
        <v>67</v>
      </c>
      <c r="F2" s="38" t="s">
        <v>23</v>
      </c>
      <c r="G2" s="25">
        <v>642</v>
      </c>
      <c r="H2" s="105">
        <f>IF(B$29=0,0,G2/B$29)</f>
        <v>0.8157560355781448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-477.32558139534882</v>
      </c>
      <c r="P2" s="91">
        <v>344</v>
      </c>
      <c r="Q2" s="75">
        <v>-164200</v>
      </c>
    </row>
    <row r="3" spans="1:17" x14ac:dyDescent="0.4">
      <c r="A3" s="34" t="s">
        <v>8</v>
      </c>
      <c r="B3" s="119">
        <v>2845</v>
      </c>
      <c r="C3" s="120"/>
      <c r="E3" s="42" t="s">
        <v>73</v>
      </c>
      <c r="F3" s="39" t="s">
        <v>28</v>
      </c>
      <c r="G3" s="26">
        <v>410</v>
      </c>
      <c r="H3" s="106">
        <f>IF(B$29=0,0,G3/B$29)</f>
        <v>0.52096569250317659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-493.67469879518075</v>
      </c>
      <c r="P3" s="92">
        <v>332</v>
      </c>
      <c r="Q3" s="76">
        <v>-163900</v>
      </c>
    </row>
    <row r="4" spans="1:17" x14ac:dyDescent="0.4">
      <c r="A4" s="34" t="s">
        <v>6</v>
      </c>
      <c r="B4" s="121">
        <v>-788.7000000000005</v>
      </c>
      <c r="C4" s="122"/>
      <c r="E4" s="42" t="s">
        <v>65</v>
      </c>
      <c r="F4" s="39" t="s">
        <v>21</v>
      </c>
      <c r="G4" s="26">
        <v>375</v>
      </c>
      <c r="H4" s="106">
        <f>IF(B$29=0,0,G4/B$29)</f>
        <v>0.47649301143583228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728.57142857142856</v>
      </c>
      <c r="P4" s="92">
        <v>315</v>
      </c>
      <c r="Q4" s="76">
        <v>229500</v>
      </c>
    </row>
    <row r="5" spans="1:17" x14ac:dyDescent="0.4">
      <c r="A5" s="34" t="s">
        <v>7</v>
      </c>
      <c r="B5" s="123">
        <f>IF(B$2=0,0,B$4/B$2)</f>
        <v>-2.2663793103448291</v>
      </c>
      <c r="C5" s="124"/>
      <c r="E5" s="42" t="s">
        <v>69</v>
      </c>
      <c r="F5" s="39" t="s">
        <v>12</v>
      </c>
      <c r="G5" s="26">
        <v>250</v>
      </c>
      <c r="H5" s="106">
        <f>IF(B$29=0,0,G5/B$29)</f>
        <v>0.31766200762388819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-1152.2336769759449</v>
      </c>
      <c r="P5" s="92">
        <v>291</v>
      </c>
      <c r="Q5" s="76">
        <v>-335300</v>
      </c>
    </row>
    <row r="6" spans="1:17" x14ac:dyDescent="0.4">
      <c r="A6" s="34" t="s">
        <v>1</v>
      </c>
      <c r="B6" s="131">
        <f>IF(B$2=0,0,(B$7*1+B$8*2+B$9*3)/B$2)</f>
        <v>2.014367816091954</v>
      </c>
      <c r="C6" s="132"/>
      <c r="E6" s="42" t="s">
        <v>68</v>
      </c>
      <c r="F6" s="39" t="s">
        <v>24</v>
      </c>
      <c r="G6" s="26">
        <v>222</v>
      </c>
      <c r="H6" s="106">
        <f>IF(B$29=0,0,G6/B$29)</f>
        <v>0.28208386277001268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0"/>
        <v>153.07692307692307</v>
      </c>
      <c r="P6" s="92">
        <v>260</v>
      </c>
      <c r="Q6" s="76">
        <v>39800</v>
      </c>
    </row>
    <row r="7" spans="1:17" x14ac:dyDescent="0.4">
      <c r="A7" s="34" t="s">
        <v>2</v>
      </c>
      <c r="B7" s="26">
        <v>117</v>
      </c>
      <c r="C7" s="18">
        <f>IF(B$2=0,0,B7/B$2)</f>
        <v>0.33620689655172414</v>
      </c>
      <c r="E7" s="42" t="s">
        <v>177</v>
      </c>
      <c r="F7" s="39" t="s">
        <v>178</v>
      </c>
      <c r="G7" s="26">
        <v>220</v>
      </c>
      <c r="H7" s="106">
        <f>IF(B$29=0,0,G7/B$29)</f>
        <v>0.27954256670902161</v>
      </c>
      <c r="I7" s="67">
        <v>9</v>
      </c>
      <c r="K7" s="17">
        <v>5</v>
      </c>
      <c r="L7" s="72">
        <v>-136.30000000000001</v>
      </c>
      <c r="N7" s="89" t="s">
        <v>134</v>
      </c>
      <c r="O7" s="96">
        <f t="shared" si="0"/>
        <v>-307.2072072072072</v>
      </c>
      <c r="P7" s="93">
        <v>222</v>
      </c>
      <c r="Q7" s="77">
        <v>-68200</v>
      </c>
    </row>
    <row r="8" spans="1:17" x14ac:dyDescent="0.4">
      <c r="A8" s="34" t="s">
        <v>3</v>
      </c>
      <c r="B8" s="26">
        <v>109</v>
      </c>
      <c r="C8" s="18">
        <f>IF(B$2=0,0,B8/B$2)</f>
        <v>0.31321839080459768</v>
      </c>
      <c r="E8" s="42" t="s">
        <v>167</v>
      </c>
      <c r="F8" s="39" t="s">
        <v>168</v>
      </c>
      <c r="G8" s="26">
        <v>213</v>
      </c>
      <c r="H8" s="106">
        <f>IF(B$29=0,0,G8/B$29)</f>
        <v>0.27064803049555275</v>
      </c>
      <c r="I8" s="67">
        <v>7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122</v>
      </c>
      <c r="C9" s="19">
        <f t="shared" ref="C9" si="1">IF(B$2=0,0,B9/B$2)</f>
        <v>0.35057471264367818</v>
      </c>
      <c r="E9" s="42" t="s">
        <v>70</v>
      </c>
      <c r="F9" s="39" t="s">
        <v>25</v>
      </c>
      <c r="G9" s="26">
        <v>115</v>
      </c>
      <c r="H9" s="106">
        <f>IF(B$29=0,0,G9/B$29)</f>
        <v>0.14612452350698857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45</v>
      </c>
      <c r="C10" s="19">
        <f>IF(B$2=0,0,B10/B$2)</f>
        <v>0.12931034482758622</v>
      </c>
      <c r="E10" s="42" t="s">
        <v>90</v>
      </c>
      <c r="F10" s="39" t="s">
        <v>45</v>
      </c>
      <c r="G10" s="26">
        <v>103</v>
      </c>
      <c r="H10" s="106">
        <f>IF(B$29=0,0,G10/B$29)</f>
        <v>0.13087674714104194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-2.4796610169491506</v>
      </c>
      <c r="P10" s="91">
        <v>118</v>
      </c>
      <c r="Q10" s="79">
        <v>-292.5999999999998</v>
      </c>
    </row>
    <row r="11" spans="1:17" x14ac:dyDescent="0.4">
      <c r="A11" s="35" t="s">
        <v>137</v>
      </c>
      <c r="B11" s="27">
        <v>47</v>
      </c>
      <c r="C11" s="19">
        <f>IF(B$2=0,0,B11/B$2)</f>
        <v>0.13505747126436782</v>
      </c>
      <c r="E11" s="42" t="s">
        <v>71</v>
      </c>
      <c r="F11" s="39" t="s">
        <v>26</v>
      </c>
      <c r="G11" s="26">
        <v>87</v>
      </c>
      <c r="H11" s="106">
        <f>IF(B$29=0,0,G11/B$29)</f>
        <v>0.11054637865311309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37</v>
      </c>
      <c r="C12" s="21">
        <f>IF(B$2=0,0,B12/B$2)</f>
        <v>0.10632183908045977</v>
      </c>
      <c r="E12" s="42" t="s">
        <v>66</v>
      </c>
      <c r="F12" s="39" t="s">
        <v>22</v>
      </c>
      <c r="G12" s="26">
        <v>75</v>
      </c>
      <c r="H12" s="106">
        <f>IF(B$29=0,0,G12/B$29)</f>
        <v>9.5298602287166453E-2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-1.2111111111111095</v>
      </c>
      <c r="P12" s="93">
        <v>117</v>
      </c>
      <c r="Q12" s="81">
        <v>-141.69999999999982</v>
      </c>
    </row>
    <row r="13" spans="1:17" x14ac:dyDescent="0.4">
      <c r="A13" s="37" t="s">
        <v>122</v>
      </c>
      <c r="B13" s="29">
        <v>704</v>
      </c>
      <c r="C13" s="23">
        <f>IF(B$28=0,0,B13/B$28)</f>
        <v>0.25891872011769035</v>
      </c>
      <c r="E13" s="42" t="s">
        <v>72</v>
      </c>
      <c r="F13" s="39" t="s">
        <v>27</v>
      </c>
      <c r="G13" s="26">
        <v>67</v>
      </c>
      <c r="H13" s="106">
        <f>IF(B$29=0,0,G13/B$29)</f>
        <v>8.5133418043202028E-2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611</v>
      </c>
      <c r="C14" s="18">
        <f>IF(B$28=0,0,B14/B$28)</f>
        <v>0.2247149687385068</v>
      </c>
      <c r="E14" s="42" t="s">
        <v>87</v>
      </c>
      <c r="F14" s="39" t="s">
        <v>42</v>
      </c>
      <c r="G14" s="26">
        <v>40</v>
      </c>
      <c r="H14" s="106">
        <f>IF(B$29=0,0,G14/B$29)</f>
        <v>5.0825921219822108E-2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386</v>
      </c>
      <c r="C15" s="16">
        <f>IF(B$13=0,0,B15/B$13)</f>
        <v>0.54829545454545459</v>
      </c>
      <c r="E15" s="42" t="s">
        <v>79</v>
      </c>
      <c r="F15" s="39" t="s">
        <v>34</v>
      </c>
      <c r="G15" s="26">
        <v>31</v>
      </c>
      <c r="H15" s="106">
        <f>IF(B$29=0,0,G15/B$29)</f>
        <v>3.9390088945362133E-2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228</v>
      </c>
      <c r="C16" s="16">
        <f>IF(B$14=0,0,B16/B$14)</f>
        <v>0.37315875613747956</v>
      </c>
      <c r="E16" s="42" t="s">
        <v>84</v>
      </c>
      <c r="F16" s="39" t="s">
        <v>39</v>
      </c>
      <c r="G16" s="26">
        <v>29</v>
      </c>
      <c r="H16" s="106">
        <f>IF(B$29=0,0,G16/B$29)</f>
        <v>3.6848792884371026E-2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824</v>
      </c>
      <c r="C17" s="16">
        <f>IF(B$3=0,0,B17/B$3)</f>
        <v>0.28963093145869945</v>
      </c>
      <c r="E17" s="42" t="s">
        <v>82</v>
      </c>
      <c r="F17" s="39" t="s">
        <v>37</v>
      </c>
      <c r="G17" s="26">
        <v>22</v>
      </c>
      <c r="H17" s="106">
        <f>IF(B$29=0,0,G17/B$29)</f>
        <v>2.795425667090216E-2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344</v>
      </c>
      <c r="C18" s="18">
        <f>IF(B$17=0,0,B18/B$17)</f>
        <v>0.41747572815533979</v>
      </c>
      <c r="E18" s="42" t="s">
        <v>92</v>
      </c>
      <c r="F18" s="39" t="s">
        <v>47</v>
      </c>
      <c r="G18" s="26">
        <v>16</v>
      </c>
      <c r="H18" s="106">
        <f>IF(B$29=0,0,G18/B$29)</f>
        <v>2.0330368487928845E-2</v>
      </c>
      <c r="I18" s="67">
        <v>6</v>
      </c>
      <c r="K18" s="17">
        <v>16</v>
      </c>
      <c r="L18" s="72">
        <v>58.89999999999997</v>
      </c>
      <c r="N18" s="88" t="s">
        <v>172</v>
      </c>
      <c r="O18" s="98">
        <f>IF(P18=0,0,Q18/P18)</f>
        <v>6.1297619047619074</v>
      </c>
      <c r="P18" s="92">
        <v>84</v>
      </c>
      <c r="Q18" s="80">
        <v>514.9000000000002</v>
      </c>
    </row>
    <row r="19" spans="1:17" x14ac:dyDescent="0.4">
      <c r="A19" s="34" t="s">
        <v>11</v>
      </c>
      <c r="B19" s="26">
        <v>480</v>
      </c>
      <c r="C19" s="18">
        <f>IF(B$17=0,0,B19/B$17)</f>
        <v>0.58252427184466016</v>
      </c>
      <c r="E19" s="42" t="s">
        <v>80</v>
      </c>
      <c r="F19" s="39" t="s">
        <v>35</v>
      </c>
      <c r="G19" s="26">
        <v>12</v>
      </c>
      <c r="H19" s="106">
        <f>IF(B$29=0,0,G19/B$29)</f>
        <v>1.5247776365946633E-2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491</v>
      </c>
      <c r="C20" s="18">
        <f>IF(B$3=0,0,B20/B$3)</f>
        <v>0.17258347978910368</v>
      </c>
      <c r="E20" s="42" t="s">
        <v>78</v>
      </c>
      <c r="F20" s="39" t="s">
        <v>33</v>
      </c>
      <c r="G20" s="26">
        <v>8</v>
      </c>
      <c r="H20" s="106">
        <f>IF(B$29=0,0,G20/B$29)</f>
        <v>1.0165184243964422E-2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3.36</v>
      </c>
      <c r="P20" s="92">
        <v>120</v>
      </c>
      <c r="Q20" s="80">
        <v>403.2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IF(B$29=0,0,G21/B$29)</f>
        <v>6.3532401524777635E-3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IF(B$29=0,0,G22/B$29)</f>
        <v>6.3532401524777635E-3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8972.4514563106804</v>
      </c>
      <c r="C23" s="20">
        <v>7393300</v>
      </c>
      <c r="E23" s="42" t="s">
        <v>76</v>
      </c>
      <c r="F23" s="39" t="s">
        <v>31</v>
      </c>
      <c r="G23" s="26">
        <v>4</v>
      </c>
      <c r="H23" s="106">
        <f>IF(B$29=0,0,G23/B$29)</f>
        <v>5.0825921219822112E-3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-8472.3014256619153</v>
      </c>
      <c r="C24" s="24">
        <v>-4159900</v>
      </c>
      <c r="E24" s="42" t="s">
        <v>94</v>
      </c>
      <c r="F24" s="39" t="s">
        <v>49</v>
      </c>
      <c r="G24" s="26">
        <v>4</v>
      </c>
      <c r="H24" s="106">
        <f>IF(B$29=0,0,G24/B$29)</f>
        <v>5.0825921219822112E-3</v>
      </c>
      <c r="I24" s="67">
        <v>2</v>
      </c>
      <c r="K24" s="17">
        <v>22</v>
      </c>
      <c r="L24" s="72">
        <v>174.29999999999995</v>
      </c>
      <c r="N24" s="88" t="s">
        <v>162</v>
      </c>
      <c r="O24" s="98">
        <f>IF(P24=0,0,Q24/P24)</f>
        <v>-12.745882352941175</v>
      </c>
      <c r="P24" s="92">
        <v>85</v>
      </c>
      <c r="Q24" s="80">
        <v>-1083.3999999999999</v>
      </c>
    </row>
    <row r="25" spans="1:17" x14ac:dyDescent="0.4">
      <c r="A25" s="63" t="s">
        <v>139</v>
      </c>
      <c r="B25" s="129">
        <v>9</v>
      </c>
      <c r="C25" s="130"/>
      <c r="E25" s="42" t="s">
        <v>85</v>
      </c>
      <c r="F25" s="39" t="s">
        <v>40</v>
      </c>
      <c r="G25" s="26">
        <v>3</v>
      </c>
      <c r="H25" s="106">
        <f>IF(B$29=0,0,G25/B$29)</f>
        <v>3.8119440914866584E-3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-13.113991769547331</v>
      </c>
      <c r="P25" s="92">
        <v>243</v>
      </c>
      <c r="Q25" s="80">
        <v>-3186.7000000000016</v>
      </c>
    </row>
    <row r="26" spans="1:17" x14ac:dyDescent="0.4">
      <c r="A26" s="37" t="s">
        <v>146</v>
      </c>
      <c r="B26" s="127">
        <v>109300</v>
      </c>
      <c r="C26" s="128"/>
      <c r="E26" s="42" t="s">
        <v>88</v>
      </c>
      <c r="F26" s="39" t="s">
        <v>43</v>
      </c>
      <c r="G26" s="26">
        <v>3</v>
      </c>
      <c r="H26" s="106">
        <f>IF(B$29=0,0,G26/B$29)</f>
        <v>3.8119440914866584E-3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2.4604569420035149E-3</v>
      </c>
      <c r="E27" s="42" t="s">
        <v>163</v>
      </c>
      <c r="F27" s="39" t="s">
        <v>164</v>
      </c>
      <c r="G27" s="26">
        <v>3</v>
      </c>
      <c r="H27" s="106">
        <f>IF(B$29=0,0,G27/B$29)</f>
        <v>3.8119440914866584E-3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7">
        <v>2719</v>
      </c>
      <c r="C28" s="118"/>
      <c r="E28" s="42" t="s">
        <v>86</v>
      </c>
      <c r="F28" s="39" t="s">
        <v>41</v>
      </c>
      <c r="G28" s="26">
        <v>1</v>
      </c>
      <c r="H28" s="106">
        <f>IF(B$29=0,0,G28/B$29)</f>
        <v>1.2706480304955528E-3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25">
        <v>787</v>
      </c>
      <c r="C29" s="126"/>
      <c r="E29" s="42" t="s">
        <v>89</v>
      </c>
      <c r="F29" s="39" t="s">
        <v>44</v>
      </c>
      <c r="G29" s="26">
        <v>1</v>
      </c>
      <c r="H29" s="106">
        <f>IF(B$29=0,0,G29/B$29)</f>
        <v>1.2706480304955528E-3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>IF(B$29=0,0,G30/B$29)</f>
        <v>1.2706480304955528E-3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A27E-7C47-4E9F-A296-DBC6C6171B4C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39</v>
      </c>
      <c r="C2" s="118"/>
      <c r="E2" s="41" t="s">
        <v>177</v>
      </c>
      <c r="F2" s="38" t="s">
        <v>178</v>
      </c>
      <c r="G2" s="25">
        <v>43</v>
      </c>
      <c r="H2" s="105">
        <f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19">
        <v>316</v>
      </c>
      <c r="C3" s="120"/>
      <c r="E3" s="42" t="s">
        <v>67</v>
      </c>
      <c r="F3" s="39" t="s">
        <v>23</v>
      </c>
      <c r="G3" s="26">
        <v>39</v>
      </c>
      <c r="H3" s="106">
        <f>IF(B$29=0,0,G3/B$29)</f>
        <v>0.63934426229508201</v>
      </c>
      <c r="I3" s="67">
        <v>13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1">
        <v>91.000000000000014</v>
      </c>
      <c r="C4" s="122"/>
      <c r="E4" s="42" t="s">
        <v>73</v>
      </c>
      <c r="F4" s="39" t="s">
        <v>28</v>
      </c>
      <c r="G4" s="26">
        <v>35</v>
      </c>
      <c r="H4" s="106">
        <f>IF(B$29=0,0,G4/B$29)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23">
        <f>IF(B$2=0,0,B$4/B$2)</f>
        <v>2.3333333333333335</v>
      </c>
      <c r="C5" s="124"/>
      <c r="E5" s="42" t="s">
        <v>65</v>
      </c>
      <c r="F5" s="39" t="s">
        <v>21</v>
      </c>
      <c r="G5" s="26">
        <v>34</v>
      </c>
      <c r="H5" s="106">
        <f>IF(B$29=0,0,G5/B$29)</f>
        <v>0.55737704918032782</v>
      </c>
      <c r="I5" s="67">
        <v>5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31">
        <f>IF(B$2=0,0,(B$7*1+B$8*2+B$9*3)/B$2)</f>
        <v>2.0256410256410255</v>
      </c>
      <c r="C6" s="132"/>
      <c r="E6" s="42" t="s">
        <v>68</v>
      </c>
      <c r="F6" s="39" t="s">
        <v>24</v>
      </c>
      <c r="G6" s="26">
        <v>28</v>
      </c>
      <c r="H6" s="106">
        <f>IF(B$29=0,0,G6/B$29)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IF(B$29=0,0,G7/B$29)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IF(B$29=0,0,G8/B$29)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IF(B$29=0,0,G9/B$29)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IF(B$29=0,0,G10/B$29)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IF(B$29=0,0,G11/B$29)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IF(B$29=0,0,G12/B$29)</f>
        <v>8.1967213114754092E-2</v>
      </c>
      <c r="I12" s="67">
        <v>10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>IF(B$29=0,0,G13/B$29)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>IF(B$29=0,0,G14/B$29)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IF(B$29=0,0,G15/B$29)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IF(B$29=0,0,G16/B$29)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IF(B$29=0,0,G17/B$29)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IF(B$29=0,0,G18/B$29)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IF(B$29=0,0,G19/B$29)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IF(B$29=0,0,G20/B$29)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IF(B$29=0,0,G21/B$29)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IF(B$29=0,0,G23/B$29)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>IF(B$29=0,0,G24/B$29)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9">
        <v>7</v>
      </c>
      <c r="C25" s="130"/>
      <c r="E25" s="42" t="s">
        <v>78</v>
      </c>
      <c r="F25" s="39" t="s">
        <v>33</v>
      </c>
      <c r="G25" s="26">
        <v>0</v>
      </c>
      <c r="H25" s="106">
        <f>IF(B$29=0,0,G25/B$29)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27">
        <v>109300</v>
      </c>
      <c r="C26" s="128"/>
      <c r="E26" s="42" t="s">
        <v>81</v>
      </c>
      <c r="F26" s="39" t="s">
        <v>36</v>
      </c>
      <c r="G26" s="26">
        <v>0</v>
      </c>
      <c r="H26" s="106">
        <f>IF(B$29=0,0,G26/B$29)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>IF(B$29=0,0,G27/B$29)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7">
        <v>234</v>
      </c>
      <c r="C28" s="118"/>
      <c r="E28" s="42" t="s">
        <v>83</v>
      </c>
      <c r="F28" s="39" t="s">
        <v>38</v>
      </c>
      <c r="G28" s="26">
        <v>0</v>
      </c>
      <c r="H28" s="106">
        <f>IF(B$29=0,0,G28/B$29)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25">
        <v>61</v>
      </c>
      <c r="C29" s="126"/>
      <c r="E29" s="42" t="s">
        <v>85</v>
      </c>
      <c r="F29" s="39" t="s">
        <v>40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>IF(B$29=0,0,G30/B$29)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>IF(B$29=0,0,G31/B$29)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74237-F1C8-4359-9068-5CB35F2844FD}">
  <sheetPr codeName="Sheet13"/>
  <dimension ref="A1:Q267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265</v>
      </c>
      <c r="C2" s="118"/>
      <c r="E2" s="41" t="s">
        <v>67</v>
      </c>
      <c r="F2" s="38" t="s">
        <v>23</v>
      </c>
      <c r="G2" s="25">
        <v>456</v>
      </c>
      <c r="H2" s="105">
        <f>IF(B$29=0,0,G2/B$29)</f>
        <v>0.77157360406091369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-161.30268199233717</v>
      </c>
      <c r="P2" s="91">
        <v>261</v>
      </c>
      <c r="Q2" s="75">
        <v>-42100</v>
      </c>
    </row>
    <row r="3" spans="1:17" x14ac:dyDescent="0.4">
      <c r="A3" s="34" t="s">
        <v>8</v>
      </c>
      <c r="B3" s="119">
        <v>2121</v>
      </c>
      <c r="C3" s="120"/>
      <c r="E3" s="42" t="s">
        <v>73</v>
      </c>
      <c r="F3" s="39" t="s">
        <v>28</v>
      </c>
      <c r="G3" s="26">
        <v>350</v>
      </c>
      <c r="H3" s="106">
        <f>IF(B$29=0,0,G3/B$29)</f>
        <v>0.59221658206429784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297.24409448818898</v>
      </c>
      <c r="P3" s="92">
        <v>254</v>
      </c>
      <c r="Q3" s="76">
        <v>75500</v>
      </c>
    </row>
    <row r="4" spans="1:17" x14ac:dyDescent="0.4">
      <c r="A4" s="34" t="s">
        <v>6</v>
      </c>
      <c r="B4" s="121">
        <v>-376.39999999999986</v>
      </c>
      <c r="C4" s="122"/>
      <c r="E4" s="42" t="s">
        <v>65</v>
      </c>
      <c r="F4" s="39" t="s">
        <v>21</v>
      </c>
      <c r="G4" s="26">
        <v>324</v>
      </c>
      <c r="H4" s="106">
        <f>IF(B$29=0,0,G4/B$29)</f>
        <v>0.54822335025380708</v>
      </c>
      <c r="I4" s="67">
        <v>6</v>
      </c>
      <c r="K4" s="17">
        <v>2</v>
      </c>
      <c r="L4" s="72">
        <v>-33.9</v>
      </c>
      <c r="N4" s="88" t="s">
        <v>131</v>
      </c>
      <c r="O4" s="95">
        <f t="shared" si="0"/>
        <v>599.15966386554624</v>
      </c>
      <c r="P4" s="92">
        <v>238</v>
      </c>
      <c r="Q4" s="76">
        <v>142600</v>
      </c>
    </row>
    <row r="5" spans="1:17" x14ac:dyDescent="0.4">
      <c r="A5" s="34" t="s">
        <v>7</v>
      </c>
      <c r="B5" s="123">
        <f>IF(B$2=0,0,B$4/B$2)</f>
        <v>-1.4203773584905655</v>
      </c>
      <c r="C5" s="124"/>
      <c r="E5" s="42" t="s">
        <v>177</v>
      </c>
      <c r="F5" s="39" t="s">
        <v>178</v>
      </c>
      <c r="G5" s="26">
        <v>254</v>
      </c>
      <c r="H5" s="106">
        <f>IF(B$29=0,0,G5/B$29)</f>
        <v>0.42978003384094754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293.92523364485982</v>
      </c>
      <c r="P5" s="92">
        <v>214</v>
      </c>
      <c r="Q5" s="76">
        <v>62900</v>
      </c>
    </row>
    <row r="6" spans="1:17" x14ac:dyDescent="0.4">
      <c r="A6" s="34" t="s">
        <v>1</v>
      </c>
      <c r="B6" s="131">
        <f>IF(B$2=0,0,(B$7*1+B$8*2+B$9*3)/B$2)</f>
        <v>2.0867924528301889</v>
      </c>
      <c r="C6" s="132"/>
      <c r="E6" s="42" t="s">
        <v>68</v>
      </c>
      <c r="F6" s="39" t="s">
        <v>24</v>
      </c>
      <c r="G6" s="26">
        <v>209</v>
      </c>
      <c r="H6" s="106">
        <f>IF(B$29=0,0,G6/B$29)</f>
        <v>0.3536379018612521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-2367.5257731958764</v>
      </c>
      <c r="P6" s="92">
        <v>194</v>
      </c>
      <c r="Q6" s="76">
        <v>-459300</v>
      </c>
    </row>
    <row r="7" spans="1:17" x14ac:dyDescent="0.4">
      <c r="A7" s="34" t="s">
        <v>2</v>
      </c>
      <c r="B7" s="26">
        <v>75</v>
      </c>
      <c r="C7" s="18">
        <f>IF(B$2=0,0,B7/B$2)</f>
        <v>0.28301886792452829</v>
      </c>
      <c r="E7" s="42" t="s">
        <v>69</v>
      </c>
      <c r="F7" s="39" t="s">
        <v>12</v>
      </c>
      <c r="G7" s="26">
        <v>180</v>
      </c>
      <c r="H7" s="106">
        <f>IF(B$29=0,0,G7/B$29)</f>
        <v>0.30456852791878175</v>
      </c>
      <c r="I7" s="67">
        <v>10</v>
      </c>
      <c r="K7" s="17">
        <v>5</v>
      </c>
      <c r="L7" s="72">
        <v>-80.099999999999994</v>
      </c>
      <c r="N7" s="89" t="s">
        <v>134</v>
      </c>
      <c r="O7" s="96">
        <f t="shared" si="0"/>
        <v>-198.18181818181819</v>
      </c>
      <c r="P7" s="93">
        <v>165</v>
      </c>
      <c r="Q7" s="77">
        <v>-32700</v>
      </c>
    </row>
    <row r="8" spans="1:17" x14ac:dyDescent="0.4">
      <c r="A8" s="34" t="s">
        <v>3</v>
      </c>
      <c r="B8" s="26">
        <v>92</v>
      </c>
      <c r="C8" s="18">
        <f>IF(B$2=0,0,B8/B$2)</f>
        <v>0.3471698113207547</v>
      </c>
      <c r="E8" s="42" t="s">
        <v>167</v>
      </c>
      <c r="F8" s="39" t="s">
        <v>168</v>
      </c>
      <c r="G8" s="26">
        <v>123</v>
      </c>
      <c r="H8" s="106">
        <f>IF(B$29=0,0,G8/B$29)</f>
        <v>0.20812182741116753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98</v>
      </c>
      <c r="C9" s="19">
        <f t="shared" ref="C9" si="1">IF(B$2=0,0,B9/B$2)</f>
        <v>0.36981132075471695</v>
      </c>
      <c r="E9" s="42" t="s">
        <v>70</v>
      </c>
      <c r="F9" s="39" t="s">
        <v>25</v>
      </c>
      <c r="G9" s="26">
        <v>98</v>
      </c>
      <c r="H9" s="106">
        <f>IF(B$29=0,0,G9/B$29)</f>
        <v>0.16582064297800339</v>
      </c>
      <c r="I9" s="67">
        <v>4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38</v>
      </c>
      <c r="C10" s="19">
        <f>IF(B$2=0,0,B10/B$2)</f>
        <v>0.14339622641509434</v>
      </c>
      <c r="E10" s="42" t="s">
        <v>90</v>
      </c>
      <c r="F10" s="39" t="s">
        <v>45</v>
      </c>
      <c r="G10" s="26">
        <v>95</v>
      </c>
      <c r="H10" s="106">
        <f>IF(B$29=0,0,G10/B$29)</f>
        <v>0.16074450084602368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40</v>
      </c>
      <c r="C11" s="19">
        <f>IF(B$2=0,0,B11/B$2)</f>
        <v>0.15094339622641509</v>
      </c>
      <c r="E11" s="42" t="s">
        <v>66</v>
      </c>
      <c r="F11" s="39" t="s">
        <v>22</v>
      </c>
      <c r="G11" s="26">
        <v>65</v>
      </c>
      <c r="H11" s="106">
        <f>IF(B$29=0,0,G11/B$29)</f>
        <v>0.10998307952622674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7.1428571428571938E-2</v>
      </c>
      <c r="P11" s="92">
        <v>98</v>
      </c>
      <c r="Q11" s="80">
        <v>7.0000000000000497</v>
      </c>
    </row>
    <row r="12" spans="1:17" x14ac:dyDescent="0.4">
      <c r="A12" s="36" t="s">
        <v>154</v>
      </c>
      <c r="B12" s="28">
        <v>19</v>
      </c>
      <c r="C12" s="21">
        <f>IF(B$2=0,0,B12/B$2)</f>
        <v>7.1698113207547168E-2</v>
      </c>
      <c r="E12" s="42" t="s">
        <v>71</v>
      </c>
      <c r="F12" s="39" t="s">
        <v>26</v>
      </c>
      <c r="G12" s="26">
        <v>62</v>
      </c>
      <c r="H12" s="106">
        <f>IF(B$29=0,0,G12/B$29)</f>
        <v>0.10490693739424704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-1.1249999999999715E-2</v>
      </c>
      <c r="P12" s="93">
        <v>80</v>
      </c>
      <c r="Q12" s="81">
        <v>-0.89999999999997726</v>
      </c>
    </row>
    <row r="13" spans="1:17" x14ac:dyDescent="0.4">
      <c r="A13" s="37" t="s">
        <v>122</v>
      </c>
      <c r="B13" s="29">
        <v>605</v>
      </c>
      <c r="C13" s="23">
        <f>IF(B$28=0,0,B13/B$28)</f>
        <v>0.29030710172744723</v>
      </c>
      <c r="E13" s="42" t="s">
        <v>87</v>
      </c>
      <c r="F13" s="39" t="s">
        <v>42</v>
      </c>
      <c r="G13" s="26">
        <v>45</v>
      </c>
      <c r="H13" s="106">
        <f>IF(B$29=0,0,G13/B$29)</f>
        <v>7.6142131979695438E-2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407</v>
      </c>
      <c r="C14" s="18">
        <f>IF(B$28=0,0,B14/B$28)</f>
        <v>0.1952975047984645</v>
      </c>
      <c r="E14" s="42" t="s">
        <v>72</v>
      </c>
      <c r="F14" s="39" t="s">
        <v>27</v>
      </c>
      <c r="G14" s="26">
        <v>25</v>
      </c>
      <c r="H14" s="106">
        <f>IF(B$29=0,0,G14/B$29)</f>
        <v>4.2301184433164128E-2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337</v>
      </c>
      <c r="C15" s="16">
        <f>IF(B$13=0,0,B15/B$13)</f>
        <v>0.55702479338842981</v>
      </c>
      <c r="E15" s="42" t="s">
        <v>79</v>
      </c>
      <c r="F15" s="39" t="s">
        <v>34</v>
      </c>
      <c r="G15" s="26">
        <v>22</v>
      </c>
      <c r="H15" s="106">
        <f>IF(B$29=0,0,G15/B$29)</f>
        <v>3.7225042301184431E-2</v>
      </c>
      <c r="I15" s="67">
        <v>5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167</v>
      </c>
      <c r="C16" s="16">
        <f>IF(B$14=0,0,B16/B$14)</f>
        <v>0.41031941031941033</v>
      </c>
      <c r="E16" s="42" t="s">
        <v>84</v>
      </c>
      <c r="F16" s="39" t="s">
        <v>39</v>
      </c>
      <c r="G16" s="26">
        <v>22</v>
      </c>
      <c r="H16" s="106">
        <f>IF(B$29=0,0,G16/B$29)</f>
        <v>3.7225042301184431E-2</v>
      </c>
      <c r="I16" s="67">
        <v>11</v>
      </c>
      <c r="K16" s="17">
        <v>14</v>
      </c>
      <c r="L16" s="72">
        <v>-231</v>
      </c>
      <c r="N16" s="88" t="s">
        <v>184</v>
      </c>
      <c r="O16" s="98">
        <f>IF(P16=0,0,Q16/P16)</f>
        <v>19.924999999999997</v>
      </c>
      <c r="P16" s="92">
        <v>4</v>
      </c>
      <c r="Q16" s="80">
        <v>79.699999999999989</v>
      </c>
    </row>
    <row r="17" spans="1:17" x14ac:dyDescent="0.4">
      <c r="A17" s="33" t="s">
        <v>10</v>
      </c>
      <c r="B17" s="25">
        <f>B19+B18</f>
        <v>601</v>
      </c>
      <c r="C17" s="16">
        <f>IF(B$3=0,0,B17/B$3)</f>
        <v>0.28335690711928335</v>
      </c>
      <c r="E17" s="42" t="s">
        <v>92</v>
      </c>
      <c r="F17" s="39" t="s">
        <v>47</v>
      </c>
      <c r="G17" s="26">
        <v>17</v>
      </c>
      <c r="H17" s="106">
        <f>IF(B$29=0,0,G17/B$29)</f>
        <v>2.8764805414551606E-2</v>
      </c>
      <c r="I17" s="67">
        <v>2</v>
      </c>
      <c r="K17" s="17">
        <v>15</v>
      </c>
      <c r="L17" s="72">
        <v>-212.5</v>
      </c>
      <c r="N17" s="88" t="s">
        <v>185</v>
      </c>
      <c r="O17" s="98">
        <f>IF(P17=0,0,Q17/P17)</f>
        <v>11.2125</v>
      </c>
      <c r="P17" s="92">
        <v>16</v>
      </c>
      <c r="Q17" s="80">
        <v>179.4</v>
      </c>
    </row>
    <row r="18" spans="1:17" x14ac:dyDescent="0.4">
      <c r="A18" s="34" t="s">
        <v>12</v>
      </c>
      <c r="B18" s="26">
        <v>254</v>
      </c>
      <c r="C18" s="18">
        <f>IF(B$17=0,0,B18/B$17)</f>
        <v>0.4226289517470882</v>
      </c>
      <c r="E18" s="42" t="s">
        <v>82</v>
      </c>
      <c r="F18" s="39" t="s">
        <v>37</v>
      </c>
      <c r="G18" s="26">
        <v>16</v>
      </c>
      <c r="H18" s="106">
        <f>IF(B$29=0,0,G18/B$29)</f>
        <v>2.7072758037225041E-2</v>
      </c>
      <c r="I18" s="67">
        <v>8</v>
      </c>
      <c r="K18" s="17">
        <v>16</v>
      </c>
      <c r="L18" s="72">
        <v>-233.2</v>
      </c>
      <c r="N18" s="88" t="s">
        <v>174</v>
      </c>
      <c r="O18" s="98">
        <f>IF(P18=0,0,Q18/P18)</f>
        <v>7.3615384615384594</v>
      </c>
      <c r="P18" s="92">
        <v>26</v>
      </c>
      <c r="Q18" s="80">
        <v>191.39999999999995</v>
      </c>
    </row>
    <row r="19" spans="1:17" x14ac:dyDescent="0.4">
      <c r="A19" s="34" t="s">
        <v>11</v>
      </c>
      <c r="B19" s="26">
        <v>347</v>
      </c>
      <c r="C19" s="18">
        <f>IF(B$17=0,0,B19/B$17)</f>
        <v>0.57737104825291186</v>
      </c>
      <c r="E19" s="42" t="s">
        <v>80</v>
      </c>
      <c r="F19" s="39" t="s">
        <v>35</v>
      </c>
      <c r="G19" s="26">
        <v>10</v>
      </c>
      <c r="H19" s="106">
        <f>IF(B$29=0,0,G19/B$29)</f>
        <v>1.6920473773265651E-2</v>
      </c>
      <c r="I19" s="67">
        <v>7</v>
      </c>
      <c r="K19" s="17">
        <v>17</v>
      </c>
      <c r="L19" s="72">
        <v>-268.7</v>
      </c>
      <c r="N19" s="88" t="s">
        <v>176</v>
      </c>
      <c r="O19" s="98">
        <f>IF(P19=0,0,Q19/P19)</f>
        <v>5.6000000000000014</v>
      </c>
      <c r="P19" s="92">
        <v>8</v>
      </c>
      <c r="Q19" s="80">
        <v>44.800000000000011</v>
      </c>
    </row>
    <row r="20" spans="1:17" x14ac:dyDescent="0.4">
      <c r="A20" s="34" t="s">
        <v>13</v>
      </c>
      <c r="B20" s="26">
        <v>393</v>
      </c>
      <c r="C20" s="18">
        <f>IF(B$3=0,0,B20/B$3)</f>
        <v>0.18528995756718528</v>
      </c>
      <c r="E20" s="42" t="s">
        <v>74</v>
      </c>
      <c r="F20" s="39" t="s">
        <v>29</v>
      </c>
      <c r="G20" s="26">
        <v>7</v>
      </c>
      <c r="H20" s="106">
        <f>IF(B$29=0,0,G20/B$29)</f>
        <v>1.1844331641285956E-2</v>
      </c>
      <c r="I20" s="67">
        <v>3</v>
      </c>
      <c r="K20" s="17">
        <v>18</v>
      </c>
      <c r="L20" s="72">
        <v>-295.8</v>
      </c>
      <c r="N20" s="88" t="s">
        <v>162</v>
      </c>
      <c r="O20" s="98">
        <f>IF(P20=0,0,Q20/P20)</f>
        <v>3.9268292682926815</v>
      </c>
      <c r="P20" s="92">
        <v>41</v>
      </c>
      <c r="Q20" s="80">
        <v>160.99999999999994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IF(B$29=0,0,G21/B$29)</f>
        <v>1.1844331641285956E-2</v>
      </c>
      <c r="I21" s="67">
        <v>1</v>
      </c>
      <c r="K21" s="17">
        <v>19</v>
      </c>
      <c r="L21" s="72">
        <v>-273.2</v>
      </c>
      <c r="N21" s="88" t="s">
        <v>175</v>
      </c>
      <c r="O21" s="98">
        <f>IF(P21=0,0,Q21/P21)</f>
        <v>1.7749999999999988</v>
      </c>
      <c r="P21" s="92">
        <v>8</v>
      </c>
      <c r="Q21" s="80">
        <v>14.19999999999999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IF(B$29=0,0,G22/B$29)</f>
        <v>1.1844331641285956E-2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10352.246256239601</v>
      </c>
      <c r="C23" s="20">
        <v>6221700</v>
      </c>
      <c r="E23" s="42" t="s">
        <v>163</v>
      </c>
      <c r="F23" s="39" t="s">
        <v>164</v>
      </c>
      <c r="G23" s="26">
        <v>6</v>
      </c>
      <c r="H23" s="106">
        <f>IF(B$29=0,0,G23/B$29)</f>
        <v>1.015228426395939E-2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-9014.7582697201015</v>
      </c>
      <c r="C24" s="24">
        <v>-3542800</v>
      </c>
      <c r="E24" s="42" t="s">
        <v>78</v>
      </c>
      <c r="F24" s="39" t="s">
        <v>33</v>
      </c>
      <c r="G24" s="26">
        <v>4</v>
      </c>
      <c r="H24" s="106">
        <f>IF(B$29=0,0,G24/B$29)</f>
        <v>6.7681895093062603E-3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9">
        <v>8</v>
      </c>
      <c r="C25" s="130"/>
      <c r="E25" s="42" t="s">
        <v>85</v>
      </c>
      <c r="F25" s="39" t="s">
        <v>40</v>
      </c>
      <c r="G25" s="26">
        <v>3</v>
      </c>
      <c r="H25" s="106">
        <f>IF(B$29=0,0,G25/B$29)</f>
        <v>5.076142131979695E-3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-5.4293103448275861</v>
      </c>
      <c r="P25" s="92">
        <v>58</v>
      </c>
      <c r="Q25" s="80">
        <v>-314.89999999999998</v>
      </c>
    </row>
    <row r="26" spans="1:17" x14ac:dyDescent="0.4">
      <c r="A26" s="37" t="s">
        <v>146</v>
      </c>
      <c r="B26" s="127">
        <v>124700</v>
      </c>
      <c r="C26" s="128"/>
      <c r="E26" s="42" t="s">
        <v>94</v>
      </c>
      <c r="F26" s="39" t="s">
        <v>49</v>
      </c>
      <c r="G26" s="26">
        <v>3</v>
      </c>
      <c r="H26" s="106">
        <f>IF(B$29=0,0,G26/B$29)</f>
        <v>5.076142131979695E-3</v>
      </c>
      <c r="I26" s="67">
        <v>3</v>
      </c>
      <c r="K26" s="17">
        <v>24</v>
      </c>
      <c r="L26" s="72">
        <v>-168.2</v>
      </c>
      <c r="N26" s="88" t="s">
        <v>127</v>
      </c>
      <c r="O26" s="98">
        <f>IF(P26=0,0,Q26/P26)</f>
        <v>-6.3567415730337062</v>
      </c>
      <c r="P26" s="92">
        <v>178</v>
      </c>
      <c r="Q26" s="80">
        <v>-1131.4999999999998</v>
      </c>
    </row>
    <row r="27" spans="1:17" x14ac:dyDescent="0.4">
      <c r="A27" s="36" t="s">
        <v>140</v>
      </c>
      <c r="B27" s="44">
        <v>9</v>
      </c>
      <c r="C27" s="21">
        <f>IF(B$3=0,0,B27/B$3)</f>
        <v>4.2432814710042432E-3</v>
      </c>
      <c r="E27" s="42" t="s">
        <v>88</v>
      </c>
      <c r="F27" s="39" t="s">
        <v>43</v>
      </c>
      <c r="G27" s="26">
        <v>2</v>
      </c>
      <c r="H27" s="106">
        <f>IF(B$29=0,0,G27/B$29)</f>
        <v>3.3840947546531302E-3</v>
      </c>
      <c r="I27" s="67">
        <v>3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7">
        <v>2084</v>
      </c>
      <c r="C28" s="118"/>
      <c r="E28" s="42" t="s">
        <v>75</v>
      </c>
      <c r="F28" s="39" t="s">
        <v>30</v>
      </c>
      <c r="G28" s="26">
        <v>1</v>
      </c>
      <c r="H28" s="106">
        <f>IF(B$29=0,0,G28/B$29)</f>
        <v>1.6920473773265651E-3</v>
      </c>
      <c r="I28" s="67">
        <v>9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25">
        <v>591</v>
      </c>
      <c r="C29" s="126"/>
      <c r="E29" s="42" t="s">
        <v>86</v>
      </c>
      <c r="F29" s="39" t="s">
        <v>41</v>
      </c>
      <c r="G29" s="26">
        <v>1</v>
      </c>
      <c r="H29" s="106">
        <f>IF(B$29=0,0,G29/B$29)</f>
        <v>1.6920473773265651E-3</v>
      </c>
      <c r="I29" s="67">
        <v>6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>IF(B$29=0,0,G30/B$29)</f>
        <v>1.6920473773265651E-3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>IF(B$29=0,0,G31/B$29)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IF(B$29=0,0,G32/B$29)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IF(B$29=0,0,G33/B$29)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IF(B$29=0,0,G35/B$29)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IF(B$29=0,0,G36/B$29)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IF(B$29=0,0,G37/B$29)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IF(B$29=0,0,G38/B$29)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IF(B$29=0,0,G39/B$29)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IF(B$29=0,0,G42/B$29)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FE641-08B1-4FDC-9DF7-A7190AA2F4F1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9</v>
      </c>
      <c r="C2" s="118"/>
      <c r="E2" s="41" t="s">
        <v>65</v>
      </c>
      <c r="F2" s="38" t="s">
        <v>21</v>
      </c>
      <c r="G2" s="25">
        <v>15</v>
      </c>
      <c r="H2" s="105">
        <f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19">
        <v>69</v>
      </c>
      <c r="C3" s="120"/>
      <c r="E3" s="42" t="s">
        <v>67</v>
      </c>
      <c r="F3" s="39" t="s">
        <v>23</v>
      </c>
      <c r="G3" s="26">
        <v>15</v>
      </c>
      <c r="H3" s="106">
        <f>IF(B$29=0,0,G3/B$29)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1">
        <v>108</v>
      </c>
      <c r="C4" s="122"/>
      <c r="E4" s="42" t="s">
        <v>73</v>
      </c>
      <c r="F4" s="39" t="s">
        <v>28</v>
      </c>
      <c r="G4" s="26">
        <v>13</v>
      </c>
      <c r="H4" s="106">
        <f>IF(B$29=0,0,G4/B$29)</f>
        <v>0.54166666666666663</v>
      </c>
      <c r="I4" s="67">
        <v>11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23">
        <f>IF(B$2=0,0,B$4/B$2)</f>
        <v>12</v>
      </c>
      <c r="C5" s="124"/>
      <c r="E5" s="42" t="s">
        <v>177</v>
      </c>
      <c r="F5" s="39" t="s">
        <v>178</v>
      </c>
      <c r="G5" s="26">
        <v>12</v>
      </c>
      <c r="H5" s="106">
        <f>IF(B$29=0,0,G5/B$29)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31">
        <f>IF(B$2=0,0,(B$7*1+B$8*2+B$9*3)/B$2)</f>
        <v>1.6666666666666667</v>
      </c>
      <c r="C6" s="132"/>
      <c r="E6" s="42" t="s">
        <v>68</v>
      </c>
      <c r="F6" s="39" t="s">
        <v>24</v>
      </c>
      <c r="G6" s="26">
        <v>9</v>
      </c>
      <c r="H6" s="106">
        <f>IF(B$29=0,0,G6/B$29)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IF(B$29=0,0,G7/B$29)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IF(B$29=0,0,G8/B$29)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IF(B$29=0,0,G9/B$29)</f>
        <v>0.16666666666666666</v>
      </c>
      <c r="I9" s="67">
        <v>3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IF(B$29=0,0,G10/B$29)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IF(B$29=0,0,G11/B$29)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IF(B$29=0,0,G12/B$29)</f>
        <v>0.125</v>
      </c>
      <c r="I12" s="67">
        <v>5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>IF(B$29=0,0,G13/B$29)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>IF(B$29=0,0,G14/B$29)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IF(B$29=0,0,G15/B$29)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IF(B$29=0,0,G16/B$29)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IF(B$29=0,0,G17/B$29)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IF(B$29=0,0,G18/B$29)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IF(B$29=0,0,G19/B$29)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IF(B$29=0,0,G20/B$29)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IF(B$29=0,0,G21/B$29)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IF(B$29=0,0,G22/B$29)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IF(B$29=0,0,G23/B$29)</f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>IF(B$29=0,0,G24/B$29)</f>
        <v>0</v>
      </c>
      <c r="I24" s="67">
        <v>14</v>
      </c>
    </row>
    <row r="25" spans="1:17" x14ac:dyDescent="0.4">
      <c r="A25" s="63" t="s">
        <v>139</v>
      </c>
      <c r="B25" s="129">
        <v>5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17" x14ac:dyDescent="0.4">
      <c r="A26" s="37" t="s">
        <v>146</v>
      </c>
      <c r="B26" s="127">
        <v>78000</v>
      </c>
      <c r="C26" s="128"/>
      <c r="E26" s="42" t="s">
        <v>84</v>
      </c>
      <c r="F26" s="39" t="s">
        <v>39</v>
      </c>
      <c r="G26" s="26">
        <v>0</v>
      </c>
      <c r="H26" s="106">
        <f>IF(B$29=0,0,G26/B$29)</f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69</v>
      </c>
      <c r="C28" s="118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25">
        <v>24</v>
      </c>
      <c r="C29" s="126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53A43-E801-41C8-B9FB-4147A1B899B4}">
  <sheetPr codeName="Sheet15"/>
  <dimension ref="A1:Q18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183</v>
      </c>
      <c r="C2" s="118"/>
      <c r="E2" s="41" t="s">
        <v>67</v>
      </c>
      <c r="F2" s="38" t="s">
        <v>23</v>
      </c>
      <c r="G2" s="25">
        <v>252</v>
      </c>
      <c r="H2" s="105">
        <f>IF(B$29=0,0,G2/B$29)</f>
        <v>0.64615384615384619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91.803278688524586</v>
      </c>
      <c r="P2" s="91">
        <v>183</v>
      </c>
      <c r="Q2" s="75">
        <v>16800</v>
      </c>
    </row>
    <row r="3" spans="1:17" x14ac:dyDescent="0.4">
      <c r="A3" s="34" t="s">
        <v>8</v>
      </c>
      <c r="B3" s="119">
        <v>1514</v>
      </c>
      <c r="C3" s="120"/>
      <c r="E3" s="42" t="s">
        <v>73</v>
      </c>
      <c r="F3" s="39" t="s">
        <v>28</v>
      </c>
      <c r="G3" s="26">
        <v>217</v>
      </c>
      <c r="H3" s="106">
        <f>IF(B$29=0,0,G3/B$29)</f>
        <v>0.55641025641025643</v>
      </c>
      <c r="I3" s="67">
        <v>8</v>
      </c>
      <c r="K3" s="17">
        <v>1</v>
      </c>
      <c r="L3" s="72">
        <v>15</v>
      </c>
      <c r="N3" s="88" t="s">
        <v>130</v>
      </c>
      <c r="O3" s="95">
        <f t="shared" ref="O3:O7" si="0">IF(P3=0,0,Q3/P3)</f>
        <v>844.94382022471905</v>
      </c>
      <c r="P3" s="92">
        <v>178</v>
      </c>
      <c r="Q3" s="76">
        <v>150400</v>
      </c>
    </row>
    <row r="4" spans="1:17" x14ac:dyDescent="0.4">
      <c r="A4" s="34" t="s">
        <v>6</v>
      </c>
      <c r="B4" s="121">
        <v>-452.6</v>
      </c>
      <c r="C4" s="122"/>
      <c r="E4" s="42" t="s">
        <v>65</v>
      </c>
      <c r="F4" s="39" t="s">
        <v>21</v>
      </c>
      <c r="G4" s="26">
        <v>206</v>
      </c>
      <c r="H4" s="106">
        <f>IF(B$29=0,0,G4/B$29)</f>
        <v>0.52820512820512822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-1642.7710843373493</v>
      </c>
      <c r="P4" s="92">
        <v>166</v>
      </c>
      <c r="Q4" s="76">
        <v>-272700</v>
      </c>
    </row>
    <row r="5" spans="1:17" x14ac:dyDescent="0.4">
      <c r="A5" s="34" t="s">
        <v>7</v>
      </c>
      <c r="B5" s="123">
        <f>IF(B$2=0,0,B$4/B$2)</f>
        <v>-2.473224043715847</v>
      </c>
      <c r="C5" s="124"/>
      <c r="E5" s="42" t="s">
        <v>167</v>
      </c>
      <c r="F5" s="39" t="s">
        <v>168</v>
      </c>
      <c r="G5" s="26">
        <v>139</v>
      </c>
      <c r="H5" s="106">
        <f>IF(B$29=0,0,G5/B$29)</f>
        <v>0.35641025641025642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-335.48387096774195</v>
      </c>
      <c r="P5" s="92">
        <v>155</v>
      </c>
      <c r="Q5" s="76">
        <v>-52000</v>
      </c>
    </row>
    <row r="6" spans="1:17" x14ac:dyDescent="0.4">
      <c r="A6" s="34" t="s">
        <v>1</v>
      </c>
      <c r="B6" s="131">
        <f>IF(B$2=0,0,(B$7*1+B$8*2+B$9*3)/B$2)</f>
        <v>2.0874316939890711</v>
      </c>
      <c r="C6" s="132"/>
      <c r="E6" s="42" t="s">
        <v>68</v>
      </c>
      <c r="F6" s="39" t="s">
        <v>24</v>
      </c>
      <c r="G6" s="26">
        <v>131</v>
      </c>
      <c r="H6" s="106">
        <f>IF(B$29=0,0,G6/B$29)</f>
        <v>0.33589743589743587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0"/>
        <v>-2094.9640287769785</v>
      </c>
      <c r="P6" s="92">
        <v>139</v>
      </c>
      <c r="Q6" s="76">
        <v>-291200</v>
      </c>
    </row>
    <row r="7" spans="1:17" x14ac:dyDescent="0.4">
      <c r="A7" s="34" t="s">
        <v>2</v>
      </c>
      <c r="B7" s="26">
        <v>54</v>
      </c>
      <c r="C7" s="18">
        <f>IF(B$2=0,0,B7/B$2)</f>
        <v>0.29508196721311475</v>
      </c>
      <c r="E7" s="42" t="s">
        <v>69</v>
      </c>
      <c r="F7" s="39" t="s">
        <v>12</v>
      </c>
      <c r="G7" s="26">
        <v>120</v>
      </c>
      <c r="H7" s="106">
        <f>IF(B$29=0,0,G7/B$29)</f>
        <v>0.30769230769230771</v>
      </c>
      <c r="I7" s="67">
        <v>9</v>
      </c>
      <c r="K7" s="17">
        <v>5</v>
      </c>
      <c r="L7" s="72">
        <v>9.6000000000000014</v>
      </c>
      <c r="N7" s="89" t="s">
        <v>134</v>
      </c>
      <c r="O7" s="96">
        <f t="shared" si="0"/>
        <v>366.66666666666669</v>
      </c>
      <c r="P7" s="93">
        <v>114</v>
      </c>
      <c r="Q7" s="77">
        <v>41800</v>
      </c>
    </row>
    <row r="8" spans="1:17" x14ac:dyDescent="0.4">
      <c r="A8" s="34" t="s">
        <v>3</v>
      </c>
      <c r="B8" s="26">
        <v>59</v>
      </c>
      <c r="C8" s="18">
        <f>IF(B$2=0,0,B8/B$2)</f>
        <v>0.32240437158469948</v>
      </c>
      <c r="E8" s="42" t="s">
        <v>177</v>
      </c>
      <c r="F8" s="39" t="s">
        <v>178</v>
      </c>
      <c r="G8" s="26">
        <v>55</v>
      </c>
      <c r="H8" s="106">
        <f>IF(B$29=0,0,G8/B$29)</f>
        <v>0.14102564102564102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70</v>
      </c>
      <c r="C9" s="19">
        <f t="shared" ref="C9" si="1">IF(B$2=0,0,B9/B$2)</f>
        <v>0.38251366120218577</v>
      </c>
      <c r="E9" s="42" t="s">
        <v>70</v>
      </c>
      <c r="F9" s="39" t="s">
        <v>25</v>
      </c>
      <c r="G9" s="26">
        <v>50</v>
      </c>
      <c r="H9" s="106">
        <f>IF(B$29=0,0,G9/B$29)</f>
        <v>0.12820512820512819</v>
      </c>
      <c r="I9" s="67">
        <v>11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</v>
      </c>
      <c r="C10" s="19">
        <f>IF(B$2=0,0,B10/B$2)</f>
        <v>0.15300546448087432</v>
      </c>
      <c r="E10" s="42" t="s">
        <v>90</v>
      </c>
      <c r="F10" s="39" t="s">
        <v>45</v>
      </c>
      <c r="G10" s="26">
        <v>45</v>
      </c>
      <c r="H10" s="106">
        <f>IF(B$29=0,0,G10/B$29)</f>
        <v>0.11538461538461539</v>
      </c>
      <c r="I10" s="67">
        <v>11</v>
      </c>
      <c r="K10" s="17">
        <v>8</v>
      </c>
      <c r="L10" s="72">
        <v>-4.4999999999999964</v>
      </c>
      <c r="N10" s="87" t="s">
        <v>158</v>
      </c>
      <c r="O10" s="97">
        <f>IF(P10=0,0,Q10/P10)</f>
        <v>-5.0447761194029859</v>
      </c>
      <c r="P10" s="91">
        <v>67</v>
      </c>
      <c r="Q10" s="79">
        <v>-338.00000000000006</v>
      </c>
    </row>
    <row r="11" spans="1:17" x14ac:dyDescent="0.4">
      <c r="A11" s="35" t="s">
        <v>137</v>
      </c>
      <c r="B11" s="27">
        <v>16</v>
      </c>
      <c r="C11" s="19">
        <f>IF(B$2=0,0,B11/B$2)</f>
        <v>8.7431693989071038E-2</v>
      </c>
      <c r="E11" s="42" t="s">
        <v>66</v>
      </c>
      <c r="F11" s="39" t="s">
        <v>22</v>
      </c>
      <c r="G11" s="26">
        <v>39</v>
      </c>
      <c r="H11" s="106">
        <f>IF(B$29=0,0,G11/B$29)</f>
        <v>0.1</v>
      </c>
      <c r="I11" s="67">
        <v>10</v>
      </c>
      <c r="K11" s="17">
        <v>9</v>
      </c>
      <c r="L11" s="72">
        <v>-9.3999999999999968</v>
      </c>
      <c r="N11" s="88" t="s">
        <v>159</v>
      </c>
      <c r="O11" s="98">
        <f>IF(P11=0,0,Q11/P11)</f>
        <v>-0.33965517241379378</v>
      </c>
      <c r="P11" s="92">
        <v>58</v>
      </c>
      <c r="Q11" s="80">
        <v>-19.700000000000038</v>
      </c>
    </row>
    <row r="12" spans="1:17" x14ac:dyDescent="0.4">
      <c r="A12" s="36" t="s">
        <v>154</v>
      </c>
      <c r="B12" s="28">
        <v>8</v>
      </c>
      <c r="C12" s="21">
        <f>IF(B$2=0,0,B12/B$2)</f>
        <v>4.3715846994535519E-2</v>
      </c>
      <c r="E12" s="42" t="s">
        <v>71</v>
      </c>
      <c r="F12" s="39" t="s">
        <v>26</v>
      </c>
      <c r="G12" s="26">
        <v>32</v>
      </c>
      <c r="H12" s="106">
        <f>IF(B$29=0,0,G12/B$29)</f>
        <v>8.2051282051282051E-2</v>
      </c>
      <c r="I12" s="67">
        <v>9</v>
      </c>
      <c r="K12" s="17">
        <v>10</v>
      </c>
      <c r="L12" s="72">
        <v>-24.299999999999997</v>
      </c>
      <c r="N12" s="89" t="s">
        <v>160</v>
      </c>
      <c r="O12" s="99">
        <f>IF(P12=0,0,Q12/P12)</f>
        <v>-1.6362068965517245</v>
      </c>
      <c r="P12" s="93">
        <v>58</v>
      </c>
      <c r="Q12" s="81">
        <v>-94.90000000000002</v>
      </c>
    </row>
    <row r="13" spans="1:17" x14ac:dyDescent="0.4">
      <c r="A13" s="37" t="s">
        <v>122</v>
      </c>
      <c r="B13" s="29">
        <v>362</v>
      </c>
      <c r="C13" s="23">
        <f>IF(B$28=0,0,B13/B$28)</f>
        <v>0.23910171730515192</v>
      </c>
      <c r="E13" s="42" t="s">
        <v>84</v>
      </c>
      <c r="F13" s="39" t="s">
        <v>39</v>
      </c>
      <c r="G13" s="26">
        <v>28</v>
      </c>
      <c r="H13" s="106">
        <f>IF(B$29=0,0,G13/B$29)</f>
        <v>7.179487179487179E-2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352</v>
      </c>
      <c r="C14" s="18">
        <f>IF(B$28=0,0,B14/B$28)</f>
        <v>0.23249669749009247</v>
      </c>
      <c r="E14" s="42" t="s">
        <v>72</v>
      </c>
      <c r="F14" s="39" t="s">
        <v>27</v>
      </c>
      <c r="G14" s="26">
        <v>25</v>
      </c>
      <c r="H14" s="106">
        <f>IF(B$29=0,0,G14/B$29)</f>
        <v>6.4102564102564097E-2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207</v>
      </c>
      <c r="C15" s="16">
        <f>IF(B$13=0,0,B15/B$13)</f>
        <v>0.57182320441988954</v>
      </c>
      <c r="E15" s="42" t="s">
        <v>87</v>
      </c>
      <c r="F15" s="39" t="s">
        <v>42</v>
      </c>
      <c r="G15" s="26">
        <v>21</v>
      </c>
      <c r="H15" s="106">
        <f>IF(B$29=0,0,G15/B$29)</f>
        <v>5.3846153846153849E-2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44.339999999999996</v>
      </c>
      <c r="P15" s="91">
        <v>10</v>
      </c>
      <c r="Q15" s="79">
        <v>443.4</v>
      </c>
    </row>
    <row r="16" spans="1:17" x14ac:dyDescent="0.4">
      <c r="A16" s="33" t="s">
        <v>125</v>
      </c>
      <c r="B16" s="25">
        <v>123</v>
      </c>
      <c r="C16" s="16">
        <f>IF(B$14=0,0,B16/B$14)</f>
        <v>0.34943181818181818</v>
      </c>
      <c r="E16" s="42" t="s">
        <v>79</v>
      </c>
      <c r="F16" s="39" t="s">
        <v>34</v>
      </c>
      <c r="G16" s="26">
        <v>14</v>
      </c>
      <c r="H16" s="106">
        <f>IF(B$29=0,0,G16/B$29)</f>
        <v>3.5897435897435895E-2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390</v>
      </c>
      <c r="C17" s="16">
        <f>IF(B$3=0,0,B17/B$3)</f>
        <v>0.25759577278731838</v>
      </c>
      <c r="E17" s="42" t="s">
        <v>80</v>
      </c>
      <c r="F17" s="39" t="s">
        <v>35</v>
      </c>
      <c r="G17" s="26">
        <v>10</v>
      </c>
      <c r="H17" s="106">
        <f>IF(B$29=0,0,G17/B$29)</f>
        <v>2.564102564102564E-2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166</v>
      </c>
      <c r="C18" s="18">
        <f>IF(B$17=0,0,B18/B$17)</f>
        <v>0.42564102564102563</v>
      </c>
      <c r="E18" s="42" t="s">
        <v>82</v>
      </c>
      <c r="F18" s="39" t="s">
        <v>37</v>
      </c>
      <c r="G18" s="26">
        <v>10</v>
      </c>
      <c r="H18" s="106">
        <f>IF(B$29=0,0,G18/B$29)</f>
        <v>2.564102564102564E-2</v>
      </c>
      <c r="I18" s="67">
        <v>10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224</v>
      </c>
      <c r="C19" s="18">
        <f>IF(B$17=0,0,B19/B$17)</f>
        <v>0.57435897435897432</v>
      </c>
      <c r="E19" s="42" t="s">
        <v>92</v>
      </c>
      <c r="F19" s="39" t="s">
        <v>47</v>
      </c>
      <c r="G19" s="26">
        <v>10</v>
      </c>
      <c r="H19" s="106">
        <f>IF(B$29=0,0,G19/B$29)</f>
        <v>2.564102564102564E-2</v>
      </c>
      <c r="I19" s="67">
        <v>3</v>
      </c>
      <c r="K19" s="17">
        <v>17</v>
      </c>
      <c r="L19" s="72">
        <v>-39.799999999999997</v>
      </c>
      <c r="N19" s="88" t="s">
        <v>171</v>
      </c>
      <c r="O19" s="98">
        <f>IF(P19=0,0,Q19/P19)</f>
        <v>5.4293103448275879</v>
      </c>
      <c r="P19" s="92">
        <v>58</v>
      </c>
      <c r="Q19" s="80">
        <v>314.90000000000009</v>
      </c>
    </row>
    <row r="20" spans="1:17" x14ac:dyDescent="0.4">
      <c r="A20" s="34" t="s">
        <v>13</v>
      </c>
      <c r="B20" s="26">
        <v>239</v>
      </c>
      <c r="C20" s="18">
        <f>IF(B$3=0,0,B20/B$3)</f>
        <v>0.15785997357992074</v>
      </c>
      <c r="E20" s="42" t="s">
        <v>86</v>
      </c>
      <c r="F20" s="39" t="s">
        <v>41</v>
      </c>
      <c r="G20" s="26">
        <v>7</v>
      </c>
      <c r="H20" s="106">
        <f>IF(B$29=0,0,G20/B$29)</f>
        <v>1.7948717948717947E-2</v>
      </c>
      <c r="I20" s="67">
        <v>1</v>
      </c>
      <c r="K20" s="17">
        <v>18</v>
      </c>
      <c r="L20" s="72">
        <v>-60.4</v>
      </c>
      <c r="N20" s="88" t="s">
        <v>173</v>
      </c>
      <c r="O20" s="98">
        <f>IF(P20=0,0,Q20/P20)</f>
        <v>5.0682926829268293</v>
      </c>
      <c r="P20" s="92">
        <v>41</v>
      </c>
      <c r="Q20" s="80">
        <v>207.8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IF(B$29=0,0,G21/B$29)</f>
        <v>7.6923076923076927E-3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IF(B$29=0,0,G22/B$29)</f>
        <v>5.1282051282051282E-3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8785.3846153846152</v>
      </c>
      <c r="C23" s="20">
        <v>3426300</v>
      </c>
      <c r="E23" s="42" t="s">
        <v>76</v>
      </c>
      <c r="F23" s="39" t="s">
        <v>31</v>
      </c>
      <c r="G23" s="26">
        <v>2</v>
      </c>
      <c r="H23" s="106">
        <f>IF(B$29=0,0,G23/B$29)</f>
        <v>5.1282051282051282E-3</v>
      </c>
      <c r="I23" s="67">
        <v>5</v>
      </c>
      <c r="K23" s="17">
        <v>21</v>
      </c>
      <c r="L23" s="72">
        <v>-125.80000000000001</v>
      </c>
      <c r="N23" s="88" t="s">
        <v>162</v>
      </c>
      <c r="O23" s="98">
        <f>IF(P23=0,0,Q23/P23)</f>
        <v>-4.9690476190476192</v>
      </c>
      <c r="P23" s="92">
        <v>42</v>
      </c>
      <c r="Q23" s="80">
        <v>-208.70000000000002</v>
      </c>
    </row>
    <row r="24" spans="1:17" x14ac:dyDescent="0.4">
      <c r="A24" s="36" t="s">
        <v>14</v>
      </c>
      <c r="B24" s="31">
        <f>IF(B$20=0,0,C24/B$20)</f>
        <v>-7384.5188284518827</v>
      </c>
      <c r="C24" s="24">
        <v>-1764900</v>
      </c>
      <c r="E24" s="42" t="s">
        <v>91</v>
      </c>
      <c r="F24" s="39" t="s">
        <v>46</v>
      </c>
      <c r="G24" s="26">
        <v>2</v>
      </c>
      <c r="H24" s="106">
        <f>IF(B$29=0,0,G24/B$29)</f>
        <v>5.1282051282051282E-3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-6.1297619047619056</v>
      </c>
      <c r="P24" s="92">
        <v>84</v>
      </c>
      <c r="Q24" s="80">
        <v>-514.90000000000009</v>
      </c>
    </row>
    <row r="25" spans="1:17" x14ac:dyDescent="0.4">
      <c r="A25" s="63" t="s">
        <v>139</v>
      </c>
      <c r="B25" s="129">
        <v>8</v>
      </c>
      <c r="C25" s="130"/>
      <c r="E25" s="42" t="s">
        <v>93</v>
      </c>
      <c r="F25" s="39" t="s">
        <v>48</v>
      </c>
      <c r="G25" s="26">
        <v>2</v>
      </c>
      <c r="H25" s="106">
        <f>IF(B$29=0,0,G25/B$29)</f>
        <v>5.1282051282051282E-3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-24.416666666666668</v>
      </c>
      <c r="P25" s="92">
        <v>84</v>
      </c>
      <c r="Q25" s="80">
        <v>-2051</v>
      </c>
    </row>
    <row r="26" spans="1:17" x14ac:dyDescent="0.4">
      <c r="A26" s="37" t="s">
        <v>146</v>
      </c>
      <c r="B26" s="127">
        <v>103000</v>
      </c>
      <c r="C26" s="128"/>
      <c r="E26" s="42" t="s">
        <v>102</v>
      </c>
      <c r="F26" s="39" t="s">
        <v>57</v>
      </c>
      <c r="G26" s="26">
        <v>2</v>
      </c>
      <c r="H26" s="106">
        <f>IF(B$29=0,0,G26/B$29)</f>
        <v>5.1282051282051282E-3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6</v>
      </c>
      <c r="C27" s="21">
        <f>IF(B$3=0,0,B27/B$3)</f>
        <v>3.9630118890356669E-3</v>
      </c>
      <c r="E27" s="42" t="s">
        <v>94</v>
      </c>
      <c r="F27" s="39" t="s">
        <v>49</v>
      </c>
      <c r="G27" s="26">
        <v>1</v>
      </c>
      <c r="H27" s="106">
        <f>IF(B$29=0,0,G27/B$29)</f>
        <v>2.5641025641025641E-3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7">
        <v>1514</v>
      </c>
      <c r="C28" s="118"/>
      <c r="E28" s="42" t="s">
        <v>163</v>
      </c>
      <c r="F28" s="39" t="s">
        <v>164</v>
      </c>
      <c r="G28" s="26">
        <v>1</v>
      </c>
      <c r="H28" s="106">
        <f>IF(B$29=0,0,G28/B$29)</f>
        <v>2.5641025641025641E-3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25">
        <v>390</v>
      </c>
      <c r="C29" s="126"/>
      <c r="E29" s="42" t="s">
        <v>74</v>
      </c>
      <c r="F29" s="39" t="s">
        <v>29</v>
      </c>
      <c r="G29" s="26">
        <v>0</v>
      </c>
      <c r="H29" s="106">
        <f>IF(B$29=0,0,G29/B$29)</f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>IF(B$29=0,0,G31/B$29)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IF(B$29=0,0,G32/B$29)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IF(B$29=0,0,G35/B$29)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IF(B$29=0,0,G43/B$29)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IF(B$29=0,0,G47/B$29)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806E9-796C-4F73-83D3-C86A69A677EB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84</v>
      </c>
      <c r="C2" s="118"/>
      <c r="E2" s="41" t="s">
        <v>67</v>
      </c>
      <c r="F2" s="38" t="s">
        <v>23</v>
      </c>
      <c r="G2" s="25">
        <v>144</v>
      </c>
      <c r="H2" s="105">
        <f>IF(B$29=0,0,G2/B$29)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19">
        <v>720</v>
      </c>
      <c r="C3" s="120"/>
      <c r="E3" s="42" t="s">
        <v>73</v>
      </c>
      <c r="F3" s="39" t="s">
        <v>28</v>
      </c>
      <c r="G3" s="26">
        <v>94</v>
      </c>
      <c r="H3" s="106">
        <f>IF(B$29=0,0,G3/B$29)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1">
        <v>-589.6</v>
      </c>
      <c r="C4" s="122"/>
      <c r="E4" s="42" t="s">
        <v>65</v>
      </c>
      <c r="F4" s="39" t="s">
        <v>21</v>
      </c>
      <c r="G4" s="26">
        <v>91</v>
      </c>
      <c r="H4" s="106">
        <f>IF(B$29=0,0,G4/B$29)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23">
        <f>IF(B$2=0,0,B$4/B$2)</f>
        <v>-7.019047619047619</v>
      </c>
      <c r="C5" s="124"/>
      <c r="E5" s="42" t="s">
        <v>69</v>
      </c>
      <c r="F5" s="39" t="s">
        <v>12</v>
      </c>
      <c r="G5" s="26">
        <v>75</v>
      </c>
      <c r="H5" s="106">
        <f>IF(B$29=0,0,G5/B$29)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31">
        <f>IF(B$2=0,0,(B$7*1+B$8*2+B$9*3)/B$2)</f>
        <v>2.1309523809523809</v>
      </c>
      <c r="C6" s="132"/>
      <c r="E6" s="42" t="s">
        <v>167</v>
      </c>
      <c r="F6" s="39" t="s">
        <v>168</v>
      </c>
      <c r="G6" s="26">
        <v>69</v>
      </c>
      <c r="H6" s="106">
        <f>IF(B$29=0,0,G6/B$29)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IF(B$29=0,0,G7/B$29)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IF(B$29=0,0,G8/B$29)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IF(B$29=0,0,G9/B$29)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IF(B$29=0,0,G10/B$29)</f>
        <v>0.11616161616161616</v>
      </c>
      <c r="I10" s="67">
        <v>10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IF(B$29=0,0,G11/B$29)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IF(B$29=0,0,G12/B$29)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>IF(B$29=0,0,G13/B$29)</f>
        <v>5.5555555555555552E-2</v>
      </c>
      <c r="I13" s="67">
        <v>9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>IF(B$29=0,0,G14/B$29)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IF(B$29=0,0,G15/B$29)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IF(B$29=0,0,G16/B$29)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IF(B$29=0,0,G17/B$29)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IF(B$29=0,0,G18/B$29)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IF(B$29=0,0,G19/B$29)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IF(B$29=0,0,G20/B$29)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IF(B$29=0,0,G21/B$29)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IF(B$29=0,0,G22/B$29)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IF(B$29=0,0,G23/B$29)</f>
        <v>5.0505050505050509E-3</v>
      </c>
      <c r="I23" s="67">
        <v>7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>IF(B$29=0,0,G24/B$29)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9">
        <v>7</v>
      </c>
      <c r="C25" s="130"/>
      <c r="E25" s="42" t="s">
        <v>107</v>
      </c>
      <c r="F25" s="39" t="s">
        <v>114</v>
      </c>
      <c r="G25" s="26">
        <v>1</v>
      </c>
      <c r="H25" s="106">
        <f>IF(B$29=0,0,G25/B$29)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27">
        <v>113300</v>
      </c>
      <c r="C26" s="128"/>
      <c r="E26" s="42" t="s">
        <v>75</v>
      </c>
      <c r="F26" s="39" t="s">
        <v>30</v>
      </c>
      <c r="G26" s="26">
        <v>0</v>
      </c>
      <c r="H26" s="106">
        <f>IF(B$29=0,0,G26/B$29)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>IF(B$29=0,0,G27/B$29)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7">
        <v>720</v>
      </c>
      <c r="C28" s="118"/>
      <c r="E28" s="42" t="s">
        <v>78</v>
      </c>
      <c r="F28" s="39" t="s">
        <v>33</v>
      </c>
      <c r="G28" s="26">
        <v>0</v>
      </c>
      <c r="H28" s="106">
        <f>IF(B$29=0,0,G28/B$29)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25">
        <v>198</v>
      </c>
      <c r="C29" s="126"/>
      <c r="E29" s="42" t="s">
        <v>81</v>
      </c>
      <c r="F29" s="39" t="s">
        <v>36</v>
      </c>
      <c r="G29" s="26">
        <v>0</v>
      </c>
      <c r="H29" s="106">
        <f>IF(B$29=0,0,G29/B$29)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>IF(B$29=0,0,G30/B$29)</f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>IF(B$29=0,0,G31/B$29)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IF(B$29=0,0,G32/B$29)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IF(B$29=0,0,G33/B$29)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IF(B$29=0,0,G35/B$29)</f>
        <v>0</v>
      </c>
      <c r="I35" s="67">
        <v>8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IF(B$29=0,0,G36/B$29)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IF(B$29=0,0,G37/B$29)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IF(B$29=0,0,G38/B$29)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IF(B$29=0,0,G39/B$29)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IF(B$29=0,0,G40/B$29)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IF(B$29=0,0,G41/B$29)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IF(B$29=0,0,G42/B$29)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IF(B$29=0,0,G43/B$29)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IF(B$29=0,0,G44/B$29)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IF(B$29=0,0,G45/B$29)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IF(B$29=0,0,G46/B$29)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IF(B$29=0,0,G47/B$29)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IF(B$29=0,0,G48/B$29)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IF(B$29=0,0,G49/B$29)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IF(B$29=0,0,G50/B$29)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IF(B$29=0,0,G51/B$29)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IF(B$29=0,0,G52/B$29)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38A62-FFC2-424B-873E-AA276152067E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28</v>
      </c>
      <c r="C2" s="118"/>
      <c r="E2" s="41" t="s">
        <v>73</v>
      </c>
      <c r="F2" s="38" t="s">
        <v>28</v>
      </c>
      <c r="G2" s="25">
        <v>55</v>
      </c>
      <c r="H2" s="105">
        <f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19">
        <v>253</v>
      </c>
      <c r="C3" s="120"/>
      <c r="E3" s="42" t="s">
        <v>67</v>
      </c>
      <c r="F3" s="39" t="s">
        <v>23</v>
      </c>
      <c r="G3" s="26">
        <v>45</v>
      </c>
      <c r="H3" s="106">
        <f>IF(B$29=0,0,G3/B$29)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1">
        <v>-22.000000000000028</v>
      </c>
      <c r="C4" s="122"/>
      <c r="E4" s="42" t="s">
        <v>65</v>
      </c>
      <c r="F4" s="39" t="s">
        <v>21</v>
      </c>
      <c r="G4" s="26">
        <v>37</v>
      </c>
      <c r="H4" s="106">
        <f>IF(B$29=0,0,G4/B$29)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23">
        <f>IF(B$2=0,0,B$4/B$2)</f>
        <v>-0.7857142857142867</v>
      </c>
      <c r="C5" s="124"/>
      <c r="E5" s="42" t="s">
        <v>68</v>
      </c>
      <c r="F5" s="39" t="s">
        <v>24</v>
      </c>
      <c r="G5" s="26">
        <v>27</v>
      </c>
      <c r="H5" s="106">
        <f>IF(B$29=0,0,G5/B$29)</f>
        <v>0.33750000000000002</v>
      </c>
      <c r="I5" s="67">
        <v>6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31">
        <f>IF(B$2=0,0,(B$7*1+B$8*2+B$9*3)/B$2)</f>
        <v>1.9285714285714286</v>
      </c>
      <c r="C6" s="132"/>
      <c r="E6" s="42" t="s">
        <v>69</v>
      </c>
      <c r="F6" s="39" t="s">
        <v>12</v>
      </c>
      <c r="G6" s="26">
        <v>26</v>
      </c>
      <c r="H6" s="106">
        <f>IF(B$29=0,0,G6/B$29)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IF(B$29=0,0,G7/B$29)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IF(B$29=0,0,G8/B$29)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IF(B$29=0,0,G9/B$29)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IF(B$29=0,0,G10/B$29)</f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IF(B$29=0,0,G11/B$29)</f>
        <v>0.1</v>
      </c>
      <c r="I11" s="67">
        <v>5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IF(B$29=0,0,G12/B$29)</f>
        <v>0.05</v>
      </c>
      <c r="I12" s="67">
        <v>12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>IF(B$29=0,0,G13/B$29)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>IF(B$29=0,0,G14/B$29)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IF(B$29=0,0,G15/B$29)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IF(B$29=0,0,G16/B$29)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IF(B$29=0,0,G17/B$29)</f>
        <v>2.5000000000000001E-2</v>
      </c>
      <c r="I17" s="67">
        <v>4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IF(B$29=0,0,G18/B$29)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IF(B$29=0,0,G22/B$29)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IF(B$29=0,0,G23/B$29)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9">
        <v>4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27">
        <v>106300</v>
      </c>
      <c r="C26" s="128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7">
        <v>253</v>
      </c>
      <c r="C28" s="118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25">
        <v>80</v>
      </c>
      <c r="C29" s="126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9810B-6E3B-4148-906A-82AD22815002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</v>
      </c>
      <c r="C2" s="118"/>
      <c r="E2" s="41" t="s">
        <v>67</v>
      </c>
      <c r="F2" s="38" t="s">
        <v>23</v>
      </c>
      <c r="G2" s="25">
        <v>3</v>
      </c>
      <c r="H2" s="105">
        <f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19">
        <v>13</v>
      </c>
      <c r="C3" s="120"/>
      <c r="E3" s="42" t="s">
        <v>65</v>
      </c>
      <c r="F3" s="39" t="s">
        <v>21</v>
      </c>
      <c r="G3" s="26">
        <v>1</v>
      </c>
      <c r="H3" s="106">
        <f>IF(B$29=0,0,G3/B$29)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1">
        <v>13.3</v>
      </c>
      <c r="C4" s="122"/>
      <c r="E4" s="42" t="s">
        <v>68</v>
      </c>
      <c r="F4" s="39" t="s">
        <v>24</v>
      </c>
      <c r="G4" s="26">
        <v>1</v>
      </c>
      <c r="H4" s="106">
        <f>IF(B$29=0,0,G4/B$29)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23">
        <f>IF(B$2=0,0,B$4/B$2)</f>
        <v>13.3</v>
      </c>
      <c r="C5" s="124"/>
      <c r="E5" s="42" t="s">
        <v>69</v>
      </c>
      <c r="F5" s="39" t="s">
        <v>12</v>
      </c>
      <c r="G5" s="26">
        <v>1</v>
      </c>
      <c r="H5" s="106">
        <f>IF(B$29=0,0,G5/B$29)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82</v>
      </c>
      <c r="F6" s="39" t="s">
        <v>37</v>
      </c>
      <c r="G6" s="26">
        <v>1</v>
      </c>
      <c r="H6" s="106">
        <f>IF(B$29=0,0,G6/B$29)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IF(B$29=0,0,G7/B$29)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IF(B$29=0,0,G8/B$29)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IF(B$29=0,0,G9/B$29)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IF(B$29=0,0,G10/B$29)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IF(B$29=0,0,G11/B$29)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IF(B$29=0,0,G12/B$29)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>IF(B$29=0,0,G13/B$29)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>IF(B$29=0,0,G14/B$29)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IF(B$29=0,0,G15/B$29)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IF(B$29=0,0,G16/B$29)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IF(B$29=0,0,G17/B$29)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IF(B$29=0,0,G18/B$29)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IF(B$29=0,0,G19/B$29)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IF(B$29=0,0,G20/B$29)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IF(B$29=0,0,G21/B$29)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IF(B$29=0,0,G22/B$29)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IF(B$29=0,0,G23/B$29)</f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>IF(B$29=0,0,G24/B$29)</f>
        <v>0</v>
      </c>
      <c r="I24" s="67">
        <v>6</v>
      </c>
    </row>
    <row r="25" spans="1:9" x14ac:dyDescent="0.4">
      <c r="A25" s="63" t="s">
        <v>139</v>
      </c>
      <c r="B25" s="129">
        <v>5</v>
      </c>
      <c r="C25" s="130"/>
      <c r="E25" s="42" t="s">
        <v>86</v>
      </c>
      <c r="F25" s="39" t="s">
        <v>41</v>
      </c>
      <c r="G25" s="26">
        <v>0</v>
      </c>
      <c r="H25" s="106">
        <f>IF(B$29=0,0,G25/B$29)</f>
        <v>0</v>
      </c>
      <c r="I25" s="67">
        <v>8</v>
      </c>
    </row>
    <row r="26" spans="1:9" x14ac:dyDescent="0.4">
      <c r="A26" s="37" t="s">
        <v>146</v>
      </c>
      <c r="B26" s="127">
        <v>48300</v>
      </c>
      <c r="C26" s="128"/>
      <c r="E26" s="42" t="s">
        <v>87</v>
      </c>
      <c r="F26" s="39" t="s">
        <v>42</v>
      </c>
      <c r="G26" s="26">
        <v>0</v>
      </c>
      <c r="H26" s="106">
        <f>IF(B$29=0,0,G26/B$29)</f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7">
        <v>13</v>
      </c>
      <c r="C28" s="118"/>
      <c r="E28" s="42" t="s">
        <v>89</v>
      </c>
      <c r="F28" s="39" t="s">
        <v>44</v>
      </c>
      <c r="G28" s="26">
        <v>0</v>
      </c>
      <c r="H28" s="106">
        <f>IF(B$29=0,0,G28/B$29)</f>
        <v>0</v>
      </c>
      <c r="I28" s="67">
        <v>6</v>
      </c>
    </row>
    <row r="29" spans="1:9" x14ac:dyDescent="0.4">
      <c r="A29" s="36" t="s">
        <v>180</v>
      </c>
      <c r="B29" s="125">
        <v>2</v>
      </c>
      <c r="C29" s="126"/>
      <c r="E29" s="42" t="s">
        <v>90</v>
      </c>
      <c r="F29" s="39" t="s">
        <v>45</v>
      </c>
      <c r="G29" s="26">
        <v>0</v>
      </c>
      <c r="H29" s="106">
        <f>IF(B$29=0,0,G29/B$29)</f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91E89-0CF7-42D7-BD09-29CBDC7116B2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24</v>
      </c>
      <c r="C2" s="118"/>
      <c r="E2" s="41" t="s">
        <v>67</v>
      </c>
      <c r="F2" s="38" t="s">
        <v>23</v>
      </c>
      <c r="G2" s="25">
        <v>31</v>
      </c>
      <c r="H2" s="105">
        <f>IF(B$29=0,0,G2/B$29)</f>
        <v>0.67391304347826086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-3437.5</v>
      </c>
      <c r="P2" s="91">
        <v>24</v>
      </c>
      <c r="Q2" s="75">
        <v>-82500</v>
      </c>
    </row>
    <row r="3" spans="1:17" x14ac:dyDescent="0.4">
      <c r="A3" s="34" t="s">
        <v>8</v>
      </c>
      <c r="B3" s="119">
        <v>202</v>
      </c>
      <c r="C3" s="120"/>
      <c r="E3" s="42" t="s">
        <v>65</v>
      </c>
      <c r="F3" s="39" t="s">
        <v>21</v>
      </c>
      <c r="G3" s="26">
        <v>26</v>
      </c>
      <c r="H3" s="106">
        <f>IF(B$29=0,0,G3/B$29)</f>
        <v>0.56521739130434778</v>
      </c>
      <c r="I3" s="67">
        <v>4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-1683.3333333333333</v>
      </c>
      <c r="P3" s="92">
        <v>24</v>
      </c>
      <c r="Q3" s="76">
        <v>-40400</v>
      </c>
    </row>
    <row r="4" spans="1:17" x14ac:dyDescent="0.4">
      <c r="A4" s="34" t="s">
        <v>6</v>
      </c>
      <c r="B4" s="121">
        <v>-565.10000000000014</v>
      </c>
      <c r="C4" s="122"/>
      <c r="E4" s="42" t="s">
        <v>73</v>
      </c>
      <c r="F4" s="39" t="s">
        <v>28</v>
      </c>
      <c r="G4" s="26">
        <v>21</v>
      </c>
      <c r="H4" s="106">
        <f>IF(B$29=0,0,G4/B$29)</f>
        <v>0.45652173913043476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-1782.608695652174</v>
      </c>
      <c r="P4" s="92">
        <v>23</v>
      </c>
      <c r="Q4" s="76">
        <v>-41000</v>
      </c>
    </row>
    <row r="5" spans="1:17" x14ac:dyDescent="0.4">
      <c r="A5" s="34" t="s">
        <v>7</v>
      </c>
      <c r="B5" s="123">
        <f>IF(B$2=0,0,B$4/B$2)</f>
        <v>-23.545833333333338</v>
      </c>
      <c r="C5" s="124"/>
      <c r="E5" s="42" t="s">
        <v>167</v>
      </c>
      <c r="F5" s="39" t="s">
        <v>168</v>
      </c>
      <c r="G5" s="26">
        <v>18</v>
      </c>
      <c r="H5" s="106">
        <f>IF(B$29=0,0,G5/B$29)</f>
        <v>0.39130434782608697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-1922.7272727272727</v>
      </c>
      <c r="P5" s="92">
        <v>22</v>
      </c>
      <c r="Q5" s="76">
        <v>-42300</v>
      </c>
    </row>
    <row r="6" spans="1:17" x14ac:dyDescent="0.4">
      <c r="A6" s="34" t="s">
        <v>1</v>
      </c>
      <c r="B6" s="131">
        <f>IF(B$2=0,0,(B$7*1+B$8*2+B$9*3)/B$2)</f>
        <v>2.5416666666666665</v>
      </c>
      <c r="C6" s="132"/>
      <c r="E6" s="42" t="s">
        <v>68</v>
      </c>
      <c r="F6" s="39" t="s">
        <v>24</v>
      </c>
      <c r="G6" s="26">
        <v>13</v>
      </c>
      <c r="H6" s="106">
        <f>IF(B$29=0,0,G6/B$29)</f>
        <v>0.28260869565217389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0"/>
        <v>-1475</v>
      </c>
      <c r="P6" s="92">
        <v>20</v>
      </c>
      <c r="Q6" s="76">
        <v>-29500</v>
      </c>
    </row>
    <row r="7" spans="1:17" x14ac:dyDescent="0.4">
      <c r="A7" s="34" t="s">
        <v>2</v>
      </c>
      <c r="B7" s="26">
        <v>1</v>
      </c>
      <c r="C7" s="18">
        <f>IF(B$2=0,0,B7/B$2)</f>
        <v>4.1666666666666664E-2</v>
      </c>
      <c r="E7" s="42" t="s">
        <v>69</v>
      </c>
      <c r="F7" s="39" t="s">
        <v>12</v>
      </c>
      <c r="G7" s="26">
        <v>13</v>
      </c>
      <c r="H7" s="106">
        <f>IF(B$29=0,0,G7/B$29)</f>
        <v>0.28260869565217389</v>
      </c>
      <c r="I7" s="67">
        <v>12</v>
      </c>
      <c r="K7" s="17">
        <v>5</v>
      </c>
      <c r="L7" s="72">
        <v>-152</v>
      </c>
      <c r="N7" s="89" t="s">
        <v>134</v>
      </c>
      <c r="O7" s="96">
        <f t="shared" si="0"/>
        <v>-5229.411764705882</v>
      </c>
      <c r="P7" s="93">
        <v>17</v>
      </c>
      <c r="Q7" s="77">
        <v>-88900</v>
      </c>
    </row>
    <row r="8" spans="1:17" x14ac:dyDescent="0.4">
      <c r="A8" s="34" t="s">
        <v>3</v>
      </c>
      <c r="B8" s="26">
        <v>9</v>
      </c>
      <c r="C8" s="18">
        <f>IF(B$2=0,0,B8/B$2)</f>
        <v>0.375</v>
      </c>
      <c r="E8" s="42" t="s">
        <v>66</v>
      </c>
      <c r="F8" s="39" t="s">
        <v>22</v>
      </c>
      <c r="G8" s="26">
        <v>6</v>
      </c>
      <c r="H8" s="106">
        <f>IF(B$29=0,0,G8/B$29)</f>
        <v>0.13043478260869565</v>
      </c>
      <c r="I8" s="67">
        <v>4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14</v>
      </c>
      <c r="C9" s="19">
        <f t="shared" ref="C9" si="1">IF(B$2=0,0,B9/B$2)</f>
        <v>0.58333333333333337</v>
      </c>
      <c r="E9" s="42" t="s">
        <v>87</v>
      </c>
      <c r="F9" s="39" t="s">
        <v>42</v>
      </c>
      <c r="G9" s="26">
        <v>5</v>
      </c>
      <c r="H9" s="106">
        <f>IF(B$29=0,0,G9/B$29)</f>
        <v>0.10869565217391304</v>
      </c>
      <c r="I9" s="67">
        <v>4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</v>
      </c>
      <c r="C10" s="19">
        <f>IF(B$2=0,0,B10/B$2)</f>
        <v>0.16666666666666666</v>
      </c>
      <c r="E10" s="42" t="s">
        <v>70</v>
      </c>
      <c r="F10" s="39" t="s">
        <v>25</v>
      </c>
      <c r="G10" s="26">
        <v>3</v>
      </c>
      <c r="H10" s="106">
        <f>IF(B$29=0,0,G10/B$29)</f>
        <v>6.5217391304347824E-2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-25.8125</v>
      </c>
      <c r="P10" s="91">
        <v>16</v>
      </c>
      <c r="Q10" s="79">
        <v>-413</v>
      </c>
    </row>
    <row r="11" spans="1:17" x14ac:dyDescent="0.4">
      <c r="A11" s="35" t="s">
        <v>137</v>
      </c>
      <c r="B11" s="27">
        <v>1</v>
      </c>
      <c r="C11" s="19">
        <f>IF(B$2=0,0,B11/B$2)</f>
        <v>4.1666666666666664E-2</v>
      </c>
      <c r="E11" s="42" t="s">
        <v>79</v>
      </c>
      <c r="F11" s="39" t="s">
        <v>34</v>
      </c>
      <c r="G11" s="26">
        <v>3</v>
      </c>
      <c r="H11" s="106">
        <f>IF(B$29=0,0,G11/B$29)</f>
        <v>6.5217391304347824E-2</v>
      </c>
      <c r="I11" s="67">
        <v>1</v>
      </c>
      <c r="K11" s="17">
        <v>9</v>
      </c>
      <c r="L11" s="72">
        <v>-292.60000000000002</v>
      </c>
      <c r="N11" s="88" t="s">
        <v>159</v>
      </c>
      <c r="O11" s="98">
        <f>IF(P11=0,0,Q11/P11)</f>
        <v>-15.379999999999995</v>
      </c>
      <c r="P11" s="92">
        <v>5</v>
      </c>
      <c r="Q11" s="80">
        <v>-76.899999999999977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84</v>
      </c>
      <c r="F12" s="39" t="s">
        <v>39</v>
      </c>
      <c r="G12" s="26">
        <v>3</v>
      </c>
      <c r="H12" s="106">
        <f>IF(B$29=0,0,G12/B$29)</f>
        <v>6.5217391304347824E-2</v>
      </c>
      <c r="I12" s="67">
        <v>5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45</v>
      </c>
      <c r="C13" s="23">
        <f>IF(B$28=0,0,B13/B$28)</f>
        <v>0.22277227722772278</v>
      </c>
      <c r="E13" s="42" t="s">
        <v>90</v>
      </c>
      <c r="F13" s="39" t="s">
        <v>45</v>
      </c>
      <c r="G13" s="26">
        <v>3</v>
      </c>
      <c r="H13" s="106">
        <f>IF(B$29=0,0,G13/B$29)</f>
        <v>6.5217391304347824E-2</v>
      </c>
      <c r="I13" s="67">
        <v>15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52</v>
      </c>
      <c r="C14" s="18">
        <f>IF(B$28=0,0,B14/B$28)</f>
        <v>0.25742574257425743</v>
      </c>
      <c r="E14" s="42" t="s">
        <v>71</v>
      </c>
      <c r="F14" s="39" t="s">
        <v>26</v>
      </c>
      <c r="G14" s="26">
        <v>2</v>
      </c>
      <c r="H14" s="106">
        <f>IF(B$29=0,0,G14/B$29)</f>
        <v>4.3478260869565216E-2</v>
      </c>
      <c r="I14" s="67">
        <v>13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26</v>
      </c>
      <c r="C15" s="16">
        <f>IF(B$13=0,0,B15/B$13)</f>
        <v>0.57777777777777772</v>
      </c>
      <c r="E15" s="42" t="s">
        <v>72</v>
      </c>
      <c r="F15" s="39" t="s">
        <v>27</v>
      </c>
      <c r="G15" s="26">
        <v>2</v>
      </c>
      <c r="H15" s="106">
        <f>IF(B$29=0,0,G15/B$29)</f>
        <v>4.3478260869565216E-2</v>
      </c>
      <c r="I15" s="67">
        <v>11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16</v>
      </c>
      <c r="C16" s="16">
        <f>IF(B$14=0,0,B16/B$14)</f>
        <v>0.30769230769230771</v>
      </c>
      <c r="E16" s="42" t="s">
        <v>82</v>
      </c>
      <c r="F16" s="39" t="s">
        <v>37</v>
      </c>
      <c r="G16" s="26">
        <v>2</v>
      </c>
      <c r="H16" s="106">
        <f>IF(B$29=0,0,G16/B$29)</f>
        <v>4.3478260869565216E-2</v>
      </c>
      <c r="I16" s="67">
        <v>3</v>
      </c>
      <c r="K16" s="17">
        <v>14</v>
      </c>
      <c r="L16" s="72">
        <v>-416.90000000000003</v>
      </c>
      <c r="N16" s="88" t="s">
        <v>171</v>
      </c>
      <c r="O16" s="98">
        <f>IF(P16=0,0,Q16/P16)</f>
        <v>-1.7749999999999977</v>
      </c>
      <c r="P16" s="92">
        <v>8</v>
      </c>
      <c r="Q16" s="80">
        <v>-14.199999999999982</v>
      </c>
    </row>
    <row r="17" spans="1:17" x14ac:dyDescent="0.4">
      <c r="A17" s="33" t="s">
        <v>10</v>
      </c>
      <c r="B17" s="25">
        <f>B19+B18</f>
        <v>46</v>
      </c>
      <c r="C17" s="16">
        <f>IF(B$3=0,0,B17/B$3)</f>
        <v>0.22772277227722773</v>
      </c>
      <c r="E17" s="42" t="s">
        <v>75</v>
      </c>
      <c r="F17" s="39" t="s">
        <v>30</v>
      </c>
      <c r="G17" s="26">
        <v>1</v>
      </c>
      <c r="H17" s="106">
        <f>IF(B$29=0,0,G17/B$29)</f>
        <v>2.1739130434782608E-2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21</v>
      </c>
      <c r="C18" s="18">
        <f>IF(B$17=0,0,B18/B$17)</f>
        <v>0.45652173913043476</v>
      </c>
      <c r="E18" s="42" t="s">
        <v>92</v>
      </c>
      <c r="F18" s="39" t="s">
        <v>47</v>
      </c>
      <c r="G18" s="26">
        <v>1</v>
      </c>
      <c r="H18" s="106">
        <f>IF(B$29=0,0,G18/B$29)</f>
        <v>2.1739130434782608E-2</v>
      </c>
      <c r="I18" s="67">
        <v>5</v>
      </c>
      <c r="K18" s="17">
        <v>16</v>
      </c>
      <c r="L18" s="72">
        <v>-392.1</v>
      </c>
      <c r="N18" s="88" t="s">
        <v>127</v>
      </c>
      <c r="O18" s="98">
        <f>IF(P18=0,0,Q18/P18)</f>
        <v>-40.333333333333336</v>
      </c>
      <c r="P18" s="92">
        <v>3</v>
      </c>
      <c r="Q18" s="80">
        <v>-121</v>
      </c>
    </row>
    <row r="19" spans="1:17" x14ac:dyDescent="0.4">
      <c r="A19" s="34" t="s">
        <v>11</v>
      </c>
      <c r="B19" s="26">
        <v>25</v>
      </c>
      <c r="C19" s="18">
        <f>IF(B$17=0,0,B19/B$17)</f>
        <v>0.54347826086956519</v>
      </c>
      <c r="E19" s="42" t="s">
        <v>177</v>
      </c>
      <c r="F19" s="39" t="s">
        <v>178</v>
      </c>
      <c r="G19" s="26">
        <v>0</v>
      </c>
      <c r="H19" s="106">
        <f>IF(B$29=0,0,G19/B$29)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46</v>
      </c>
      <c r="C20" s="18">
        <f>IF(B$3=0,0,B20/B$3)</f>
        <v>0.22772277227722773</v>
      </c>
      <c r="E20" s="42" t="s">
        <v>74</v>
      </c>
      <c r="F20" s="39" t="s">
        <v>29</v>
      </c>
      <c r="G20" s="26">
        <v>0</v>
      </c>
      <c r="H20" s="106">
        <f>IF(B$29=0,0,G20/B$29)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IF(B$29=0,0,G21/B$29)</f>
        <v>0</v>
      </c>
      <c r="I21" s="67">
        <v>10</v>
      </c>
      <c r="K21" s="17">
        <v>19</v>
      </c>
      <c r="L21" s="72">
        <v>-443.70000000000005</v>
      </c>
      <c r="N21" s="88" t="s">
        <v>172</v>
      </c>
      <c r="O21" s="98">
        <f>IF(P21=0,0,Q21/P21)</f>
        <v>-44.34</v>
      </c>
      <c r="P21" s="92">
        <v>10</v>
      </c>
      <c r="Q21" s="80">
        <v>-443.40000000000003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IF(B$29=0,0,G22/B$29)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7591.304347826087</v>
      </c>
      <c r="C23" s="20">
        <v>349200</v>
      </c>
      <c r="E23" s="42" t="s">
        <v>78</v>
      </c>
      <c r="F23" s="39" t="s">
        <v>33</v>
      </c>
      <c r="G23" s="26">
        <v>0</v>
      </c>
      <c r="H23" s="106">
        <f>IF(B$29=0,0,G23/B$29)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-8543.4782608695659</v>
      </c>
      <c r="C24" s="24">
        <v>-393000</v>
      </c>
      <c r="E24" s="42" t="s">
        <v>80</v>
      </c>
      <c r="F24" s="39" t="s">
        <v>35</v>
      </c>
      <c r="G24" s="26">
        <v>0</v>
      </c>
      <c r="H24" s="106">
        <f>IF(B$29=0,0,G24/B$29)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9">
        <v>6</v>
      </c>
      <c r="C25" s="130"/>
      <c r="E25" s="42" t="s">
        <v>81</v>
      </c>
      <c r="F25" s="39" t="s">
        <v>36</v>
      </c>
      <c r="G25" s="26">
        <v>0</v>
      </c>
      <c r="H25" s="106">
        <f>IF(B$29=0,0,G25/B$29)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27">
        <v>85100</v>
      </c>
      <c r="C26" s="128"/>
      <c r="E26" s="42" t="s">
        <v>83</v>
      </c>
      <c r="F26" s="39" t="s">
        <v>38</v>
      </c>
      <c r="G26" s="26">
        <v>0</v>
      </c>
      <c r="H26" s="106">
        <f>IF(B$29=0,0,G26/B$29)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1</v>
      </c>
      <c r="C27" s="21">
        <f>IF(B$3=0,0,B27/B$3)</f>
        <v>4.9504950495049506E-3</v>
      </c>
      <c r="E27" s="42" t="s">
        <v>85</v>
      </c>
      <c r="F27" s="39" t="s">
        <v>40</v>
      </c>
      <c r="G27" s="26">
        <v>0</v>
      </c>
      <c r="H27" s="106">
        <f>IF(B$29=0,0,G27/B$29)</f>
        <v>0</v>
      </c>
      <c r="I27" s="67">
        <v>6</v>
      </c>
    </row>
    <row r="28" spans="1:17" x14ac:dyDescent="0.4">
      <c r="A28" s="33" t="s">
        <v>179</v>
      </c>
      <c r="B28" s="117">
        <v>202</v>
      </c>
      <c r="C28" s="118"/>
      <c r="E28" s="42" t="s">
        <v>86</v>
      </c>
      <c r="F28" s="39" t="s">
        <v>41</v>
      </c>
      <c r="G28" s="26">
        <v>0</v>
      </c>
      <c r="H28" s="106">
        <f>IF(B$29=0,0,G28/B$29)</f>
        <v>0</v>
      </c>
      <c r="I28" s="67">
        <v>8</v>
      </c>
    </row>
    <row r="29" spans="1:17" x14ac:dyDescent="0.4">
      <c r="A29" s="36" t="s">
        <v>180</v>
      </c>
      <c r="B29" s="125">
        <v>46</v>
      </c>
      <c r="C29" s="126"/>
      <c r="E29" s="42" t="s">
        <v>88</v>
      </c>
      <c r="F29" s="39" t="s">
        <v>43</v>
      </c>
      <c r="G29" s="26">
        <v>0</v>
      </c>
      <c r="H29" s="106">
        <f>IF(B$29=0,0,G29/B$29)</f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>IF(B$29=0,0,G30/B$29)</f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>IF(B$29=0,0,G31/B$29)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3D0A-A3E9-49CE-9720-035A3C9B3B63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73</v>
      </c>
      <c r="F2" s="38" t="s">
        <v>28</v>
      </c>
      <c r="G2" s="25">
        <v>7</v>
      </c>
      <c r="H2" s="105">
        <f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19">
        <v>32</v>
      </c>
      <c r="C3" s="120"/>
      <c r="E3" s="42" t="s">
        <v>65</v>
      </c>
      <c r="F3" s="39" t="s">
        <v>21</v>
      </c>
      <c r="G3" s="26">
        <v>4</v>
      </c>
      <c r="H3" s="106">
        <f>IF(B$29=0,0,G3/B$29)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1">
        <v>-56.2</v>
      </c>
      <c r="C4" s="122"/>
      <c r="E4" s="42" t="s">
        <v>67</v>
      </c>
      <c r="F4" s="39" t="s">
        <v>23</v>
      </c>
      <c r="G4" s="26">
        <v>2</v>
      </c>
      <c r="H4" s="106">
        <f>IF(B$29=0,0,G4/B$29)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23">
        <f>IF(B$2=0,0,B$4/B$2)</f>
        <v>-14.05</v>
      </c>
      <c r="C5" s="124"/>
      <c r="E5" s="42" t="s">
        <v>167</v>
      </c>
      <c r="F5" s="39" t="s">
        <v>168</v>
      </c>
      <c r="G5" s="26">
        <v>2</v>
      </c>
      <c r="H5" s="106">
        <f>IF(B$29=0,0,G5/B$29)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31">
        <f>IF(B$2=0,0,(B$7*1+B$8*2+B$9*3)/B$2)</f>
        <v>2.25</v>
      </c>
      <c r="C6" s="132"/>
      <c r="E6" s="42" t="s">
        <v>66</v>
      </c>
      <c r="F6" s="39" t="s">
        <v>22</v>
      </c>
      <c r="G6" s="26">
        <v>1</v>
      </c>
      <c r="H6" s="106">
        <f>IF(B$29=0,0,G6/B$29)</f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IF(B$29=0,0,G7/B$29)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IF(B$29=0,0,G8/B$29)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IF(B$29=0,0,G9/B$29)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IF(B$29=0,0,G10/B$29)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IF(B$29=0,0,G11/B$29)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IF(B$29=0,0,G12/B$29)</f>
        <v>0.1</v>
      </c>
      <c r="I12" s="67">
        <v>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>IF(B$29=0,0,G13/B$29)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>IF(B$29=0,0,G14/B$29)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IF(B$29=0,0,G15/B$29)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IF(B$29=0,0,G16/B$29)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IF(B$29=0,0,G17/B$29)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IF(B$29=0,0,G18/B$29)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IF(B$29=0,0,G19/B$29)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IF(B$29=0,0,G20/B$29)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IF(B$29=0,0,G21/B$29)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IF(B$29=0,0,G22/B$29)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IF(B$29=0,0,G23/B$29)</f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>IF(B$29=0,0,G24/B$29)</f>
        <v>0</v>
      </c>
      <c r="I24" s="67">
        <v>3</v>
      </c>
    </row>
    <row r="25" spans="1:9" x14ac:dyDescent="0.4">
      <c r="A25" s="63" t="s">
        <v>139</v>
      </c>
      <c r="B25" s="129">
        <v>2</v>
      </c>
      <c r="C25" s="130"/>
      <c r="E25" s="42" t="s">
        <v>83</v>
      </c>
      <c r="F25" s="39" t="s">
        <v>38</v>
      </c>
      <c r="G25" s="26">
        <v>0</v>
      </c>
      <c r="H25" s="106">
        <f>IF(B$29=0,0,G25/B$29)</f>
        <v>0</v>
      </c>
      <c r="I25" s="67">
        <v>1</v>
      </c>
    </row>
    <row r="26" spans="1:9" x14ac:dyDescent="0.4">
      <c r="A26" s="37" t="s">
        <v>146</v>
      </c>
      <c r="B26" s="127">
        <v>55200</v>
      </c>
      <c r="C26" s="128"/>
      <c r="E26" s="42" t="s">
        <v>85</v>
      </c>
      <c r="F26" s="39" t="s">
        <v>40</v>
      </c>
      <c r="G26" s="26">
        <v>0</v>
      </c>
      <c r="H26" s="106">
        <f>IF(B$29=0,0,G26/B$29)</f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>IF(B$29=0,0,G27/B$29)</f>
        <v>0</v>
      </c>
      <c r="I27" s="67">
        <v>8</v>
      </c>
    </row>
    <row r="28" spans="1:9" x14ac:dyDescent="0.4">
      <c r="A28" s="33" t="s">
        <v>179</v>
      </c>
      <c r="B28" s="117">
        <v>32</v>
      </c>
      <c r="C28" s="118"/>
      <c r="E28" s="42" t="s">
        <v>88</v>
      </c>
      <c r="F28" s="39" t="s">
        <v>43</v>
      </c>
      <c r="G28" s="26">
        <v>0</v>
      </c>
      <c r="H28" s="106">
        <f>IF(B$29=0,0,G28/B$29)</f>
        <v>0</v>
      </c>
      <c r="I28" s="67">
        <v>8</v>
      </c>
    </row>
    <row r="29" spans="1:9" x14ac:dyDescent="0.4">
      <c r="A29" s="36" t="s">
        <v>180</v>
      </c>
      <c r="B29" s="125">
        <v>10</v>
      </c>
      <c r="C29" s="126"/>
      <c r="E29" s="42" t="s">
        <v>89</v>
      </c>
      <c r="F29" s="39" t="s">
        <v>44</v>
      </c>
      <c r="G29" s="26">
        <v>0</v>
      </c>
      <c r="H29" s="106">
        <f>IF(B$29=0,0,G29/B$29)</f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>IF(B$29=0,0,G30/B$29)</f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>IF(B$29=0,0,G31/B$29)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IF(B$29=0,0,G32/B$29)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IF(B$29=0,0,G33/B$29)</f>
        <v>0</v>
      </c>
      <c r="I33" s="67">
        <v>8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IF(B$29=0,0,G35/B$29)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IF(B$29=0,0,G36/B$29)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IF(B$29=0,0,G37/B$29)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IF(B$29=0,0,G38/B$29)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IF(B$29=0,0,G39/B$29)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IF(B$29=0,0,G40/B$29)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IF(B$29=0,0,G41/B$29)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IF(B$29=0,0,G42/B$29)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IF(B$29=0,0,G43/B$29)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IF(B$29=0,0,G44/B$29)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IF(B$29=0,0,G45/B$29)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IF(B$29=0,0,G46/B$29)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IF(B$29=0,0,G47/B$29)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IF(B$29=0,0,G48/B$29)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IF(B$29=0,0,G49/B$29)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IF(B$29=0,0,G50/B$29)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IF(B$29=0,0,G51/B$29)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IF(B$29=0,0,G52/B$29)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IF(B$29=0,0,G53/B$29)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2019-10-13T04:57:28Z</dcterms:modified>
</cp:coreProperties>
</file>