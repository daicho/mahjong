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8C4C690C-F220-4245-9E8E-20DB68CB586A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747" r:id="rId4"/>
    <sheet name="だいち" sheetId="3748" r:id="rId5"/>
    <sheet name="かこたろう" sheetId="3749" r:id="rId6"/>
    <sheet name="ともき" sheetId="3750" r:id="rId7"/>
    <sheet name="りくと" sheetId="3751" r:id="rId8"/>
    <sheet name="いっしー" sheetId="3752" r:id="rId9"/>
    <sheet name="がくと" sheetId="3753" r:id="rId10"/>
    <sheet name="たかの" sheetId="3754" r:id="rId11"/>
    <sheet name="ただ" sheetId="3755" r:id="rId12"/>
    <sheet name="やがさき" sheetId="3756" r:id="rId13"/>
    <sheet name="れんたろう" sheetId="3757" r:id="rId14"/>
    <sheet name="あさひ" sheetId="3758" r:id="rId15"/>
    <sheet name="まっつん" sheetId="3759" r:id="rId16"/>
    <sheet name="ぱぱ" sheetId="3760" r:id="rId17"/>
    <sheet name="ほたに" sheetId="3761" r:id="rId18"/>
    <sheet name="かわたつ" sheetId="3762" r:id="rId19"/>
    <sheet name="のり" sheetId="3763" r:id="rId20"/>
    <sheet name="ちさと" sheetId="3764" r:id="rId21"/>
    <sheet name="たか" sheetId="3765" r:id="rId22"/>
    <sheet name="ゆう" sheetId="376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766" l="1"/>
  <c r="O16" i="3766"/>
  <c r="O15" i="3766"/>
  <c r="H52" i="3766"/>
  <c r="H4" i="3766"/>
  <c r="H51" i="3766"/>
  <c r="H50" i="3766"/>
  <c r="H49" i="3766"/>
  <c r="C48" i="3766"/>
  <c r="H48" i="3766"/>
  <c r="C47" i="3766"/>
  <c r="H47" i="3766"/>
  <c r="C46" i="3766"/>
  <c r="H46" i="3766"/>
  <c r="C45" i="3766"/>
  <c r="H45" i="3766"/>
  <c r="C44" i="3766"/>
  <c r="H44" i="3766"/>
  <c r="C43" i="3766"/>
  <c r="H43" i="3766"/>
  <c r="C42" i="3766"/>
  <c r="H42" i="3766"/>
  <c r="C41" i="3766"/>
  <c r="H41" i="3766"/>
  <c r="C40" i="3766"/>
  <c r="H40" i="3766"/>
  <c r="C39" i="3766"/>
  <c r="H39" i="3766"/>
  <c r="C38" i="3766"/>
  <c r="H38" i="3766"/>
  <c r="C37" i="3766"/>
  <c r="H37" i="3766"/>
  <c r="C36" i="3766"/>
  <c r="H36" i="3766"/>
  <c r="H35" i="3766"/>
  <c r="C34" i="3766"/>
  <c r="H34" i="3766"/>
  <c r="H33" i="3766"/>
  <c r="H32" i="3766"/>
  <c r="H31" i="3766"/>
  <c r="H30" i="3766"/>
  <c r="B29" i="3766"/>
  <c r="H29" i="3766"/>
  <c r="B28" i="3766"/>
  <c r="H9" i="3766"/>
  <c r="B27" i="3766"/>
  <c r="H28" i="3766"/>
  <c r="B26" i="3766"/>
  <c r="H12" i="3766"/>
  <c r="C25" i="3766"/>
  <c r="H27" i="3766"/>
  <c r="C24" i="3766"/>
  <c r="H26" i="3766"/>
  <c r="C23" i="3766"/>
  <c r="H25" i="3766"/>
  <c r="C22" i="3766"/>
  <c r="H24" i="3766"/>
  <c r="C21" i="3766"/>
  <c r="H23" i="3766"/>
  <c r="C20" i="3766"/>
  <c r="H22" i="3766"/>
  <c r="C19" i="3766"/>
  <c r="H21" i="3766"/>
  <c r="C18" i="3766"/>
  <c r="H20" i="3766"/>
  <c r="C17" i="3766"/>
  <c r="H5" i="3766"/>
  <c r="C16" i="3766"/>
  <c r="H19" i="3766"/>
  <c r="C15" i="3766"/>
  <c r="H18" i="3766"/>
  <c r="C14" i="3766"/>
  <c r="H17" i="3766"/>
  <c r="O12" i="3766"/>
  <c r="H16" i="3766"/>
  <c r="B12" i="3766"/>
  <c r="O11" i="3766"/>
  <c r="H15" i="3766"/>
  <c r="B11" i="3766"/>
  <c r="O10" i="3766"/>
  <c r="H8" i="3766"/>
  <c r="B10" i="3766"/>
  <c r="B13" i="3766" s="1"/>
  <c r="H14" i="3766"/>
  <c r="C9" i="3766"/>
  <c r="H13" i="3766"/>
  <c r="C8" i="3766"/>
  <c r="O7" i="3766"/>
  <c r="H7" i="3766"/>
  <c r="C7" i="3766"/>
  <c r="O6" i="3766"/>
  <c r="H6" i="3766"/>
  <c r="B6" i="3766"/>
  <c r="O5" i="3766"/>
  <c r="H11" i="3766"/>
  <c r="B5" i="3766"/>
  <c r="O4" i="3766"/>
  <c r="H3" i="3766"/>
  <c r="O3" i="3766"/>
  <c r="H10" i="3766"/>
  <c r="O2" i="3766"/>
  <c r="H2" i="3766"/>
  <c r="O20" i="3765"/>
  <c r="O19" i="3765"/>
  <c r="O18" i="3765"/>
  <c r="O17" i="3765"/>
  <c r="O16" i="3765"/>
  <c r="O15" i="3765"/>
  <c r="H52" i="3765"/>
  <c r="H5" i="3765"/>
  <c r="H51" i="3765"/>
  <c r="H50" i="3765"/>
  <c r="H49" i="3765"/>
  <c r="C48" i="3765"/>
  <c r="H48" i="3765"/>
  <c r="C47" i="3765"/>
  <c r="H47" i="3765"/>
  <c r="C46" i="3765"/>
  <c r="H46" i="3765"/>
  <c r="C45" i="3765"/>
  <c r="H45" i="3765"/>
  <c r="C44" i="3765"/>
  <c r="H44" i="3765"/>
  <c r="C43" i="3765"/>
  <c r="H43" i="3765"/>
  <c r="C42" i="3765"/>
  <c r="H42" i="3765"/>
  <c r="C41" i="3765"/>
  <c r="H41" i="3765"/>
  <c r="C40" i="3765"/>
  <c r="H40" i="3765"/>
  <c r="C39" i="3765"/>
  <c r="H39" i="3765"/>
  <c r="C38" i="3765"/>
  <c r="H38" i="3765"/>
  <c r="C37" i="3765"/>
  <c r="H37" i="3765"/>
  <c r="C36" i="3765"/>
  <c r="H36" i="3765"/>
  <c r="H35" i="3765"/>
  <c r="C34" i="3765"/>
  <c r="H34" i="3765"/>
  <c r="H33" i="3765"/>
  <c r="H32" i="3765"/>
  <c r="H31" i="3765"/>
  <c r="H14" i="3765"/>
  <c r="B29" i="3765"/>
  <c r="H30" i="3765"/>
  <c r="B28" i="3765"/>
  <c r="H13" i="3765"/>
  <c r="B27" i="3765"/>
  <c r="H29" i="3765"/>
  <c r="B26" i="3765"/>
  <c r="H28" i="3765"/>
  <c r="C25" i="3765"/>
  <c r="H27" i="3765"/>
  <c r="C24" i="3765"/>
  <c r="H26" i="3765"/>
  <c r="C23" i="3765"/>
  <c r="H25" i="3765"/>
  <c r="C22" i="3765"/>
  <c r="H24" i="3765"/>
  <c r="C21" i="3765"/>
  <c r="H23" i="3765"/>
  <c r="C20" i="3765"/>
  <c r="H12" i="3765"/>
  <c r="C19" i="3765"/>
  <c r="H22" i="3765"/>
  <c r="C18" i="3765"/>
  <c r="H21" i="3765"/>
  <c r="C17" i="3765"/>
  <c r="H20" i="3765"/>
  <c r="C16" i="3765"/>
  <c r="H19" i="3765"/>
  <c r="C15" i="3765"/>
  <c r="H18" i="3765"/>
  <c r="C14" i="3765"/>
  <c r="H17" i="3765"/>
  <c r="O12" i="3765"/>
  <c r="H16" i="3765"/>
  <c r="B12" i="3765"/>
  <c r="O11" i="3765"/>
  <c r="H15" i="3765"/>
  <c r="B11" i="3765"/>
  <c r="O10" i="3765"/>
  <c r="H8" i="3765"/>
  <c r="B10" i="3765"/>
  <c r="B13" i="3765" s="1"/>
  <c r="H11" i="3765"/>
  <c r="C9" i="3765"/>
  <c r="H10" i="3765"/>
  <c r="C8" i="3765"/>
  <c r="O7" i="3765"/>
  <c r="H7" i="3765"/>
  <c r="C7" i="3765"/>
  <c r="O6" i="3765"/>
  <c r="H6" i="3765"/>
  <c r="B6" i="3765"/>
  <c r="O5" i="3765"/>
  <c r="H4" i="3765"/>
  <c r="B5" i="3765"/>
  <c r="O4" i="3765"/>
  <c r="H2" i="3765"/>
  <c r="O3" i="3765"/>
  <c r="H9" i="3765"/>
  <c r="O2" i="3765"/>
  <c r="H3" i="3765"/>
  <c r="O23" i="3750"/>
  <c r="O20" i="3750"/>
  <c r="O19" i="3750"/>
  <c r="O17" i="3750"/>
  <c r="O15" i="3750"/>
  <c r="O19" i="3752"/>
  <c r="O17" i="3760"/>
  <c r="O23" i="3763"/>
  <c r="O21" i="3763"/>
  <c r="O19" i="3763"/>
  <c r="O18" i="3763"/>
  <c r="O17" i="3763"/>
  <c r="O16" i="3763"/>
  <c r="O15" i="3763"/>
  <c r="O27" i="3759"/>
  <c r="O21" i="3759"/>
  <c r="O17" i="3757"/>
  <c r="O15" i="3751"/>
  <c r="O23" i="3755"/>
  <c r="O20" i="3748"/>
  <c r="O26" i="3754"/>
  <c r="O23" i="3754"/>
  <c r="O15" i="3754"/>
  <c r="O17" i="3747"/>
  <c r="O16" i="3764" l="1"/>
  <c r="O15" i="3764"/>
  <c r="H52" i="3764"/>
  <c r="H5" i="3764"/>
  <c r="H51" i="3764"/>
  <c r="H50" i="3764"/>
  <c r="H49" i="3764"/>
  <c r="C48" i="3764"/>
  <c r="H48" i="3764"/>
  <c r="C47" i="3764"/>
  <c r="H47" i="3764"/>
  <c r="C46" i="3764"/>
  <c r="H46" i="3764"/>
  <c r="C45" i="3764"/>
  <c r="H45" i="3764"/>
  <c r="C44" i="3764"/>
  <c r="H44" i="3764"/>
  <c r="C43" i="3764"/>
  <c r="H43" i="3764"/>
  <c r="C42" i="3764"/>
  <c r="H42" i="3764"/>
  <c r="C41" i="3764"/>
  <c r="H41" i="3764"/>
  <c r="C40" i="3764"/>
  <c r="H40" i="3764"/>
  <c r="C39" i="3764"/>
  <c r="H39" i="3764"/>
  <c r="C38" i="3764"/>
  <c r="H38" i="3764"/>
  <c r="C37" i="3764"/>
  <c r="H37" i="3764"/>
  <c r="C36" i="3764"/>
  <c r="H36" i="3764"/>
  <c r="H35" i="3764"/>
  <c r="C34" i="3764"/>
  <c r="H34" i="3764"/>
  <c r="H33" i="3764"/>
  <c r="H32" i="3764"/>
  <c r="H31" i="3764"/>
  <c r="H30" i="3764"/>
  <c r="B29" i="3764"/>
  <c r="H29" i="3764"/>
  <c r="B28" i="3764"/>
  <c r="H13" i="3764"/>
  <c r="B27" i="3764"/>
  <c r="H28" i="3764"/>
  <c r="B26" i="3764"/>
  <c r="H27" i="3764"/>
  <c r="C25" i="3764"/>
  <c r="H12" i="3764"/>
  <c r="C24" i="3764"/>
  <c r="H26" i="3764"/>
  <c r="C23" i="3764"/>
  <c r="H25" i="3764"/>
  <c r="C22" i="3764"/>
  <c r="H11" i="3764"/>
  <c r="C21" i="3764"/>
  <c r="H24" i="3764"/>
  <c r="C20" i="3764"/>
  <c r="H10" i="3764"/>
  <c r="C19" i="3764"/>
  <c r="H23" i="3764"/>
  <c r="C18" i="3764"/>
  <c r="H22" i="3764"/>
  <c r="C17" i="3764"/>
  <c r="H21" i="3764"/>
  <c r="C16" i="3764"/>
  <c r="H20" i="3764"/>
  <c r="C15" i="3764"/>
  <c r="H19" i="3764"/>
  <c r="C14" i="3764"/>
  <c r="H18" i="3764"/>
  <c r="B13" i="3764"/>
  <c r="O12" i="3764"/>
  <c r="H17" i="3764"/>
  <c r="B12" i="3764"/>
  <c r="O11" i="3764"/>
  <c r="H16" i="3764"/>
  <c r="B11" i="3764"/>
  <c r="O10" i="3764"/>
  <c r="H2" i="3764"/>
  <c r="B10" i="3764"/>
  <c r="H15" i="3764"/>
  <c r="C9" i="3764"/>
  <c r="H14" i="3764"/>
  <c r="C8" i="3764"/>
  <c r="O7" i="3764"/>
  <c r="H9" i="3764"/>
  <c r="C7" i="3764"/>
  <c r="O6" i="3764"/>
  <c r="H8" i="3764"/>
  <c r="B6" i="3764"/>
  <c r="O5" i="3764"/>
  <c r="H7" i="3764"/>
  <c r="B5" i="3764"/>
  <c r="O4" i="3764"/>
  <c r="H4" i="3764"/>
  <c r="O3" i="3764"/>
  <c r="H6" i="3764"/>
  <c r="O2" i="3764"/>
  <c r="H3" i="3764"/>
  <c r="O25" i="3763"/>
  <c r="O22" i="3763"/>
  <c r="O20" i="3763"/>
  <c r="O24" i="3763"/>
  <c r="H52" i="3763"/>
  <c r="H5" i="3763"/>
  <c r="H23" i="3763"/>
  <c r="H51" i="3763"/>
  <c r="H50" i="3763"/>
  <c r="C48" i="3763"/>
  <c r="H49" i="3763"/>
  <c r="C47" i="3763"/>
  <c r="H48" i="3763"/>
  <c r="C46" i="3763"/>
  <c r="H47" i="3763"/>
  <c r="C45" i="3763"/>
  <c r="H46" i="3763"/>
  <c r="C44" i="3763"/>
  <c r="H45" i="3763"/>
  <c r="C43" i="3763"/>
  <c r="H44" i="3763"/>
  <c r="C42" i="3763"/>
  <c r="H43" i="3763"/>
  <c r="C41" i="3763"/>
  <c r="H42" i="3763"/>
  <c r="C40" i="3763"/>
  <c r="H41" i="3763"/>
  <c r="C39" i="3763"/>
  <c r="H40" i="3763"/>
  <c r="C38" i="3763"/>
  <c r="H39" i="3763"/>
  <c r="C37" i="3763"/>
  <c r="H38" i="3763"/>
  <c r="C36" i="3763"/>
  <c r="H37" i="3763"/>
  <c r="H36" i="3763"/>
  <c r="C34" i="3763"/>
  <c r="H22" i="3763"/>
  <c r="H35" i="3763"/>
  <c r="H34" i="3763"/>
  <c r="H21" i="3763"/>
  <c r="H16" i="3763"/>
  <c r="B29" i="3763"/>
  <c r="H33" i="3763"/>
  <c r="B28" i="3763"/>
  <c r="H8" i="3763"/>
  <c r="B27" i="3763"/>
  <c r="H32" i="3763"/>
  <c r="B26" i="3763"/>
  <c r="H31" i="3763"/>
  <c r="C25" i="3763"/>
  <c r="H13" i="3763"/>
  <c r="C24" i="3763"/>
  <c r="H30" i="3763"/>
  <c r="C23" i="3763"/>
  <c r="H29" i="3763"/>
  <c r="C22" i="3763"/>
  <c r="H15" i="3763"/>
  <c r="C21" i="3763"/>
  <c r="H28" i="3763"/>
  <c r="C20" i="3763"/>
  <c r="H14" i="3763"/>
  <c r="C19" i="3763"/>
  <c r="H27" i="3763"/>
  <c r="C18" i="3763"/>
  <c r="H20" i="3763"/>
  <c r="C17" i="3763"/>
  <c r="H17" i="3763"/>
  <c r="C16" i="3763"/>
  <c r="H26" i="3763"/>
  <c r="C15" i="3763"/>
  <c r="H25" i="3763"/>
  <c r="C14" i="3763"/>
  <c r="H24" i="3763"/>
  <c r="O12" i="3763"/>
  <c r="H19" i="3763"/>
  <c r="B12" i="3763"/>
  <c r="O11" i="3763"/>
  <c r="H18" i="3763"/>
  <c r="B11" i="3763"/>
  <c r="O10" i="3763"/>
  <c r="H3" i="3763"/>
  <c r="B10" i="3763"/>
  <c r="H12" i="3763"/>
  <c r="C9" i="3763"/>
  <c r="H11" i="3763"/>
  <c r="C8" i="3763"/>
  <c r="O7" i="3763"/>
  <c r="H10" i="3763"/>
  <c r="C7" i="3763"/>
  <c r="O6" i="3763"/>
  <c r="H6" i="3763"/>
  <c r="B6" i="3763"/>
  <c r="O5" i="3763"/>
  <c r="H7" i="3763"/>
  <c r="B5" i="3763"/>
  <c r="O4" i="3763"/>
  <c r="H2" i="3763"/>
  <c r="O3" i="3763"/>
  <c r="H9" i="3763"/>
  <c r="O2" i="3763"/>
  <c r="H4" i="3763"/>
  <c r="O16" i="3762"/>
  <c r="O15" i="3762"/>
  <c r="H52" i="3762"/>
  <c r="H7" i="3762"/>
  <c r="H51" i="3762"/>
  <c r="H50" i="3762"/>
  <c r="H49" i="3762"/>
  <c r="C48" i="3762"/>
  <c r="H48" i="3762"/>
  <c r="C47" i="3762"/>
  <c r="H47" i="3762"/>
  <c r="C46" i="3762"/>
  <c r="H46" i="3762"/>
  <c r="C45" i="3762"/>
  <c r="H45" i="3762"/>
  <c r="C44" i="3762"/>
  <c r="H44" i="3762"/>
  <c r="C43" i="3762"/>
  <c r="H43" i="3762"/>
  <c r="C42" i="3762"/>
  <c r="H42" i="3762"/>
  <c r="C41" i="3762"/>
  <c r="H41" i="3762"/>
  <c r="C40" i="3762"/>
  <c r="H40" i="3762"/>
  <c r="C39" i="3762"/>
  <c r="H39" i="3762"/>
  <c r="C38" i="3762"/>
  <c r="H38" i="3762"/>
  <c r="C37" i="3762"/>
  <c r="H37" i="3762"/>
  <c r="C36" i="3762"/>
  <c r="H36" i="3762"/>
  <c r="H35" i="3762"/>
  <c r="C34" i="3762"/>
  <c r="H34" i="3762"/>
  <c r="H33" i="3762"/>
  <c r="H32" i="3762"/>
  <c r="H31" i="3762"/>
  <c r="H30" i="3762"/>
  <c r="B29" i="3762"/>
  <c r="H29" i="3762"/>
  <c r="B28" i="3762"/>
  <c r="H28" i="3762"/>
  <c r="B27" i="3762"/>
  <c r="H27" i="3762"/>
  <c r="B26" i="3762"/>
  <c r="H26" i="3762"/>
  <c r="C25" i="3762"/>
  <c r="H25" i="3762"/>
  <c r="C24" i="3762"/>
  <c r="H24" i="3762"/>
  <c r="C23" i="3762"/>
  <c r="H23" i="3762"/>
  <c r="C22" i="3762"/>
  <c r="H22" i="3762"/>
  <c r="C21" i="3762"/>
  <c r="H21" i="3762"/>
  <c r="C20" i="3762"/>
  <c r="H6" i="3762"/>
  <c r="C19" i="3762"/>
  <c r="H20" i="3762"/>
  <c r="C18" i="3762"/>
  <c r="H19" i="3762"/>
  <c r="C17" i="3762"/>
  <c r="H18" i="3762"/>
  <c r="C16" i="3762"/>
  <c r="H17" i="3762"/>
  <c r="C15" i="3762"/>
  <c r="H16" i="3762"/>
  <c r="C14" i="3762"/>
  <c r="H15" i="3762"/>
  <c r="O12" i="3762"/>
  <c r="H14" i="3762"/>
  <c r="B12" i="3762"/>
  <c r="O11" i="3762"/>
  <c r="H13" i="3762"/>
  <c r="B11" i="3762"/>
  <c r="O10" i="3762"/>
  <c r="H12" i="3762"/>
  <c r="B10" i="3762"/>
  <c r="B13" i="3762" s="1"/>
  <c r="H11" i="3762"/>
  <c r="C9" i="3762"/>
  <c r="H10" i="3762"/>
  <c r="C8" i="3762"/>
  <c r="O7" i="3762"/>
  <c r="H9" i="3762"/>
  <c r="C7" i="3762"/>
  <c r="O6" i="3762"/>
  <c r="H5" i="3762"/>
  <c r="B6" i="3762"/>
  <c r="O5" i="3762"/>
  <c r="H4" i="3762"/>
  <c r="B5" i="3762"/>
  <c r="O4" i="3762"/>
  <c r="H2" i="3762"/>
  <c r="O3" i="3762"/>
  <c r="H8" i="3762"/>
  <c r="O2" i="3762"/>
  <c r="H3" i="3762"/>
  <c r="O22" i="3761"/>
  <c r="O21" i="3761"/>
  <c r="O17" i="3761"/>
  <c r="O20" i="3761"/>
  <c r="O19" i="3761"/>
  <c r="O18" i="3761"/>
  <c r="O16" i="3761"/>
  <c r="O15" i="3761"/>
  <c r="H52" i="3761"/>
  <c r="H7" i="3761"/>
  <c r="H51" i="3761"/>
  <c r="H50" i="3761"/>
  <c r="H49" i="3761"/>
  <c r="C48" i="3761"/>
  <c r="H48" i="3761"/>
  <c r="C47" i="3761"/>
  <c r="H47" i="3761"/>
  <c r="C46" i="3761"/>
  <c r="H46" i="3761"/>
  <c r="C45" i="3761"/>
  <c r="H45" i="3761"/>
  <c r="C44" i="3761"/>
  <c r="H44" i="3761"/>
  <c r="C43" i="3761"/>
  <c r="H43" i="3761"/>
  <c r="C42" i="3761"/>
  <c r="H42" i="3761"/>
  <c r="C41" i="3761"/>
  <c r="H41" i="3761"/>
  <c r="C40" i="3761"/>
  <c r="H40" i="3761"/>
  <c r="C39" i="3761"/>
  <c r="H39" i="3761"/>
  <c r="C38" i="3761"/>
  <c r="H38" i="3761"/>
  <c r="C37" i="3761"/>
  <c r="H37" i="3761"/>
  <c r="C36" i="3761"/>
  <c r="H36" i="3761"/>
  <c r="H35" i="3761"/>
  <c r="C34" i="3761"/>
  <c r="H34" i="3761"/>
  <c r="H33" i="3761"/>
  <c r="H32" i="3761"/>
  <c r="H31" i="3761"/>
  <c r="H30" i="3761"/>
  <c r="B29" i="3761"/>
  <c r="H29" i="3761"/>
  <c r="B28" i="3761"/>
  <c r="H8" i="3761"/>
  <c r="B27" i="3761"/>
  <c r="H28" i="3761"/>
  <c r="B26" i="3761"/>
  <c r="H27" i="3761"/>
  <c r="C25" i="3761"/>
  <c r="H11" i="3761"/>
  <c r="C24" i="3761"/>
  <c r="H26" i="3761"/>
  <c r="C23" i="3761"/>
  <c r="H25" i="3761"/>
  <c r="C22" i="3761"/>
  <c r="H14" i="3761"/>
  <c r="C21" i="3761"/>
  <c r="H24" i="3761"/>
  <c r="C20" i="3761"/>
  <c r="H18" i="3761"/>
  <c r="C19" i="3761"/>
  <c r="H23" i="3761"/>
  <c r="C18" i="3761"/>
  <c r="H17" i="3761"/>
  <c r="C17" i="3761"/>
  <c r="H13" i="3761"/>
  <c r="C16" i="3761"/>
  <c r="H15" i="3761"/>
  <c r="C15" i="3761"/>
  <c r="H22" i="3761"/>
  <c r="C14" i="3761"/>
  <c r="H21" i="3761"/>
  <c r="O12" i="3761"/>
  <c r="H20" i="3761"/>
  <c r="B12" i="3761"/>
  <c r="O11" i="3761"/>
  <c r="H19" i="3761"/>
  <c r="B11" i="3761"/>
  <c r="O10" i="3761"/>
  <c r="H2" i="3761"/>
  <c r="B10" i="3761"/>
  <c r="B13" i="3761" s="1"/>
  <c r="H16" i="3761"/>
  <c r="C9" i="3761"/>
  <c r="H12" i="3761"/>
  <c r="C8" i="3761"/>
  <c r="O7" i="3761"/>
  <c r="H9" i="3761"/>
  <c r="C7" i="3761"/>
  <c r="O6" i="3761"/>
  <c r="H6" i="3761"/>
  <c r="B6" i="3761"/>
  <c r="O5" i="3761"/>
  <c r="H5" i="3761"/>
  <c r="B5" i="3761"/>
  <c r="O4" i="3761"/>
  <c r="H3" i="3761"/>
  <c r="O3" i="3761"/>
  <c r="H10" i="3761"/>
  <c r="O2" i="3761"/>
  <c r="H4" i="3761"/>
  <c r="O22" i="3758"/>
  <c r="O16" i="3758"/>
  <c r="O15" i="3758"/>
  <c r="O28" i="3759"/>
  <c r="O17" i="3759"/>
  <c r="O15" i="3759"/>
  <c r="O16" i="3759"/>
  <c r="O24" i="3760"/>
  <c r="O25" i="3760"/>
  <c r="O18" i="3760"/>
  <c r="O15" i="3760"/>
  <c r="O22" i="3754"/>
  <c r="O17" i="3754"/>
  <c r="O28" i="3757"/>
  <c r="O21" i="3757"/>
  <c r="O20" i="3755"/>
  <c r="O15" i="3755"/>
  <c r="O16" i="3755"/>
  <c r="O25" i="3751"/>
  <c r="O29" i="3748"/>
  <c r="O19" i="3748"/>
  <c r="O17" i="3748"/>
  <c r="O32" i="3747"/>
  <c r="O26" i="3747"/>
  <c r="O18" i="3747"/>
  <c r="O19" i="3747"/>
  <c r="B13" i="3763" l="1"/>
  <c r="O21" i="3760"/>
  <c r="O20" i="3760"/>
  <c r="O22" i="3760"/>
  <c r="O23" i="3760"/>
  <c r="O26" i="3760"/>
  <c r="O16" i="3760"/>
  <c r="O19" i="3760"/>
  <c r="H52" i="3760"/>
  <c r="H6" i="3760"/>
  <c r="H17" i="3760"/>
  <c r="H51" i="3760"/>
  <c r="H50" i="3760"/>
  <c r="C48" i="3760"/>
  <c r="H49" i="3760"/>
  <c r="C47" i="3760"/>
  <c r="H48" i="3760"/>
  <c r="C46" i="3760"/>
  <c r="H47" i="3760"/>
  <c r="C45" i="3760"/>
  <c r="H24" i="3760"/>
  <c r="C44" i="3760"/>
  <c r="H46" i="3760"/>
  <c r="C43" i="3760"/>
  <c r="H45" i="3760"/>
  <c r="C42" i="3760"/>
  <c r="H44" i="3760"/>
  <c r="C41" i="3760"/>
  <c r="H43" i="3760"/>
  <c r="C40" i="3760"/>
  <c r="H42" i="3760"/>
  <c r="C39" i="3760"/>
  <c r="H41" i="3760"/>
  <c r="C38" i="3760"/>
  <c r="H40" i="3760"/>
  <c r="C37" i="3760"/>
  <c r="H39" i="3760"/>
  <c r="C36" i="3760"/>
  <c r="H38" i="3760"/>
  <c r="H37" i="3760"/>
  <c r="C34" i="3760"/>
  <c r="H36" i="3760"/>
  <c r="H35" i="3760"/>
  <c r="H34" i="3760"/>
  <c r="H33" i="3760"/>
  <c r="H21" i="3760"/>
  <c r="B29" i="3760"/>
  <c r="H32" i="3760"/>
  <c r="B28" i="3760"/>
  <c r="H10" i="3760"/>
  <c r="B27" i="3760"/>
  <c r="H31" i="3760"/>
  <c r="B26" i="3760"/>
  <c r="H20" i="3760"/>
  <c r="C25" i="3760"/>
  <c r="H13" i="3760"/>
  <c r="C24" i="3760"/>
  <c r="H23" i="3760"/>
  <c r="C23" i="3760"/>
  <c r="H30" i="3760"/>
  <c r="C22" i="3760"/>
  <c r="H15" i="3760"/>
  <c r="C21" i="3760"/>
  <c r="H29" i="3760"/>
  <c r="C20" i="3760"/>
  <c r="H19" i="3760"/>
  <c r="C19" i="3760"/>
  <c r="H28" i="3760"/>
  <c r="C18" i="3760"/>
  <c r="H16" i="3760"/>
  <c r="C17" i="3760"/>
  <c r="H14" i="3760"/>
  <c r="C16" i="3760"/>
  <c r="H27" i="3760"/>
  <c r="C15" i="3760"/>
  <c r="H26" i="3760"/>
  <c r="C14" i="3760"/>
  <c r="H22" i="3760"/>
  <c r="B13" i="3760"/>
  <c r="O12" i="3760"/>
  <c r="H25" i="3760"/>
  <c r="B12" i="3760"/>
  <c r="O11" i="3760"/>
  <c r="H18" i="3760"/>
  <c r="B11" i="3760"/>
  <c r="O10" i="3760"/>
  <c r="H4" i="3760"/>
  <c r="B10" i="3760"/>
  <c r="H12" i="3760"/>
  <c r="C9" i="3760"/>
  <c r="H9" i="3760"/>
  <c r="C8" i="3760"/>
  <c r="O7" i="3760"/>
  <c r="H8" i="3760"/>
  <c r="C7" i="3760"/>
  <c r="O6" i="3760"/>
  <c r="H5" i="3760"/>
  <c r="B6" i="3760"/>
  <c r="O5" i="3760"/>
  <c r="H7" i="3760"/>
  <c r="B5" i="3760"/>
  <c r="O4" i="3760"/>
  <c r="H2" i="3760"/>
  <c r="O3" i="3760"/>
  <c r="H11" i="3760"/>
  <c r="O2" i="3760"/>
  <c r="H3" i="3760"/>
  <c r="O26" i="3759"/>
  <c r="O25" i="3759"/>
  <c r="O22" i="3759"/>
  <c r="O20" i="3759"/>
  <c r="O23" i="3759"/>
  <c r="O24" i="3759"/>
  <c r="O19" i="3759"/>
  <c r="O18" i="3759"/>
  <c r="H52" i="3759"/>
  <c r="H5" i="3759"/>
  <c r="H20" i="3759"/>
  <c r="H51" i="3759"/>
  <c r="H50" i="3759"/>
  <c r="C48" i="3759"/>
  <c r="H49" i="3759"/>
  <c r="C47" i="3759"/>
  <c r="H48" i="3759"/>
  <c r="C46" i="3759"/>
  <c r="H47" i="3759"/>
  <c r="C45" i="3759"/>
  <c r="H46" i="3759"/>
  <c r="C44" i="3759"/>
  <c r="H45" i="3759"/>
  <c r="C43" i="3759"/>
  <c r="H44" i="3759"/>
  <c r="C42" i="3759"/>
  <c r="H43" i="3759"/>
  <c r="C41" i="3759"/>
  <c r="H42" i="3759"/>
  <c r="C40" i="3759"/>
  <c r="H29" i="3759"/>
  <c r="C39" i="3759"/>
  <c r="H41" i="3759"/>
  <c r="C38" i="3759"/>
  <c r="H40" i="3759"/>
  <c r="C37" i="3759"/>
  <c r="H39" i="3759"/>
  <c r="C36" i="3759"/>
  <c r="H38" i="3759"/>
  <c r="H37" i="3759"/>
  <c r="C34" i="3759"/>
  <c r="H36" i="3759"/>
  <c r="H35" i="3759"/>
  <c r="H28" i="3759"/>
  <c r="H22" i="3759"/>
  <c r="H17" i="3759"/>
  <c r="B29" i="3759"/>
  <c r="H27" i="3759"/>
  <c r="B28" i="3759"/>
  <c r="H9" i="3759"/>
  <c r="B27" i="3759"/>
  <c r="H26" i="3759"/>
  <c r="B26" i="3759"/>
  <c r="H30" i="3759"/>
  <c r="C25" i="3759"/>
  <c r="H14" i="3759"/>
  <c r="C24" i="3759"/>
  <c r="H19" i="3759"/>
  <c r="C23" i="3759"/>
  <c r="H34" i="3759"/>
  <c r="C22" i="3759"/>
  <c r="H13" i="3759"/>
  <c r="C21" i="3759"/>
  <c r="H33" i="3759"/>
  <c r="C20" i="3759"/>
  <c r="H16" i="3759"/>
  <c r="C19" i="3759"/>
  <c r="H32" i="3759"/>
  <c r="C18" i="3759"/>
  <c r="H18" i="3759"/>
  <c r="C17" i="3759"/>
  <c r="H15" i="3759"/>
  <c r="C16" i="3759"/>
  <c r="H25" i="3759"/>
  <c r="C15" i="3759"/>
  <c r="H31" i="3759"/>
  <c r="C14" i="3759"/>
  <c r="H23" i="3759"/>
  <c r="O12" i="3759"/>
  <c r="H24" i="3759"/>
  <c r="B12" i="3759"/>
  <c r="O11" i="3759"/>
  <c r="H21" i="3759"/>
  <c r="B11" i="3759"/>
  <c r="O10" i="3759"/>
  <c r="H3" i="3759"/>
  <c r="B10" i="3759"/>
  <c r="H11" i="3759"/>
  <c r="C9" i="3759"/>
  <c r="H12" i="3759"/>
  <c r="C8" i="3759"/>
  <c r="O7" i="3759"/>
  <c r="H8" i="3759"/>
  <c r="C7" i="3759"/>
  <c r="O6" i="3759"/>
  <c r="H7" i="3759"/>
  <c r="B6" i="3759"/>
  <c r="O5" i="3759"/>
  <c r="H6" i="3759"/>
  <c r="B5" i="3759"/>
  <c r="O4" i="3759"/>
  <c r="H2" i="3759"/>
  <c r="O3" i="3759"/>
  <c r="H10" i="3759"/>
  <c r="O2" i="3759"/>
  <c r="H4" i="3759"/>
  <c r="O21" i="3758"/>
  <c r="O19" i="3758"/>
  <c r="O20" i="3758"/>
  <c r="O18" i="3758"/>
  <c r="O17" i="3758"/>
  <c r="H52" i="3758"/>
  <c r="H13" i="3758"/>
  <c r="H51" i="3758"/>
  <c r="H50" i="3758"/>
  <c r="H49" i="3758"/>
  <c r="C48" i="3758"/>
  <c r="H48" i="3758"/>
  <c r="C47" i="3758"/>
  <c r="H47" i="3758"/>
  <c r="C46" i="3758"/>
  <c r="H46" i="3758"/>
  <c r="C45" i="3758"/>
  <c r="H45" i="3758"/>
  <c r="C44" i="3758"/>
  <c r="H44" i="3758"/>
  <c r="C43" i="3758"/>
  <c r="H43" i="3758"/>
  <c r="C42" i="3758"/>
  <c r="H42" i="3758"/>
  <c r="C41" i="3758"/>
  <c r="H41" i="3758"/>
  <c r="C40" i="3758"/>
  <c r="H40" i="3758"/>
  <c r="C39" i="3758"/>
  <c r="H39" i="3758"/>
  <c r="C38" i="3758"/>
  <c r="H38" i="3758"/>
  <c r="C37" i="3758"/>
  <c r="H37" i="3758"/>
  <c r="C36" i="3758"/>
  <c r="H36" i="3758"/>
  <c r="H35" i="3758"/>
  <c r="C34" i="3758"/>
  <c r="H34" i="3758"/>
  <c r="H33" i="3758"/>
  <c r="H32" i="3758"/>
  <c r="H31" i="3758"/>
  <c r="H14" i="3758"/>
  <c r="B29" i="3758"/>
  <c r="H30" i="3758"/>
  <c r="B28" i="3758"/>
  <c r="H7" i="3758"/>
  <c r="B27" i="3758"/>
  <c r="H29" i="3758"/>
  <c r="B26" i="3758"/>
  <c r="H28" i="3758"/>
  <c r="C25" i="3758"/>
  <c r="H10" i="3758"/>
  <c r="C24" i="3758"/>
  <c r="H27" i="3758"/>
  <c r="C23" i="3758"/>
  <c r="H26" i="3758"/>
  <c r="C22" i="3758"/>
  <c r="H25" i="3758"/>
  <c r="C21" i="3758"/>
  <c r="H24" i="3758"/>
  <c r="C20" i="3758"/>
  <c r="H23" i="3758"/>
  <c r="C19" i="3758"/>
  <c r="H22" i="3758"/>
  <c r="C18" i="3758"/>
  <c r="H21" i="3758"/>
  <c r="C17" i="3758"/>
  <c r="H20" i="3758"/>
  <c r="C16" i="3758"/>
  <c r="H19" i="3758"/>
  <c r="C15" i="3758"/>
  <c r="H18" i="3758"/>
  <c r="C14" i="3758"/>
  <c r="H17" i="3758"/>
  <c r="O12" i="3758"/>
  <c r="H16" i="3758"/>
  <c r="B12" i="3758"/>
  <c r="O11" i="3758"/>
  <c r="H15" i="3758"/>
  <c r="B11" i="3758"/>
  <c r="B13" i="3758" s="1"/>
  <c r="O10" i="3758"/>
  <c r="H4" i="3758"/>
  <c r="B10" i="3758"/>
  <c r="H12" i="3758"/>
  <c r="C9" i="3758"/>
  <c r="H9" i="3758"/>
  <c r="C8" i="3758"/>
  <c r="O7" i="3758"/>
  <c r="H8" i="3758"/>
  <c r="C7" i="3758"/>
  <c r="O6" i="3758"/>
  <c r="H6" i="3758"/>
  <c r="B6" i="3758"/>
  <c r="O5" i="3758"/>
  <c r="H5" i="3758"/>
  <c r="B5" i="3758"/>
  <c r="O4" i="3758"/>
  <c r="H3" i="3758"/>
  <c r="O3" i="3758"/>
  <c r="H11" i="3758"/>
  <c r="O2" i="3758"/>
  <c r="H2" i="3758"/>
  <c r="O27" i="3757"/>
  <c r="O22" i="3757"/>
  <c r="O26" i="3757"/>
  <c r="O25" i="3757"/>
  <c r="O24" i="3757"/>
  <c r="O18" i="3757"/>
  <c r="O20" i="3757"/>
  <c r="O23" i="3757"/>
  <c r="O16" i="3757"/>
  <c r="O15" i="3757"/>
  <c r="O19" i="3757"/>
  <c r="H52" i="3757"/>
  <c r="H7" i="3757"/>
  <c r="H16" i="3757"/>
  <c r="H51" i="3757"/>
  <c r="H50" i="3757"/>
  <c r="C48" i="3757"/>
  <c r="H49" i="3757"/>
  <c r="C47" i="3757"/>
  <c r="H48" i="3757"/>
  <c r="C46" i="3757"/>
  <c r="H47" i="3757"/>
  <c r="C45" i="3757"/>
  <c r="H46" i="3757"/>
  <c r="C44" i="3757"/>
  <c r="H45" i="3757"/>
  <c r="C43" i="3757"/>
  <c r="H44" i="3757"/>
  <c r="C42" i="3757"/>
  <c r="H43" i="3757"/>
  <c r="C41" i="3757"/>
  <c r="H42" i="3757"/>
  <c r="C40" i="3757"/>
  <c r="H41" i="3757"/>
  <c r="C39" i="3757"/>
  <c r="H40" i="3757"/>
  <c r="C38" i="3757"/>
  <c r="H39" i="3757"/>
  <c r="C37" i="3757"/>
  <c r="H38" i="3757"/>
  <c r="C36" i="3757"/>
  <c r="H32" i="3757"/>
  <c r="H37" i="3757"/>
  <c r="C34" i="3757"/>
  <c r="H31" i="3757"/>
  <c r="H36" i="3757"/>
  <c r="H26" i="3757"/>
  <c r="H20" i="3757"/>
  <c r="H17" i="3757"/>
  <c r="B29" i="3757"/>
  <c r="H27" i="3757"/>
  <c r="B28" i="3757"/>
  <c r="H8" i="3757"/>
  <c r="B27" i="3757"/>
  <c r="H30" i="3757"/>
  <c r="B26" i="3757"/>
  <c r="H28" i="3757"/>
  <c r="C25" i="3757"/>
  <c r="H12" i="3757"/>
  <c r="C24" i="3757"/>
  <c r="H25" i="3757"/>
  <c r="C23" i="3757"/>
  <c r="H24" i="3757"/>
  <c r="C22" i="3757"/>
  <c r="H14" i="3757"/>
  <c r="C21" i="3757"/>
  <c r="H35" i="3757"/>
  <c r="C20" i="3757"/>
  <c r="H18" i="3757"/>
  <c r="C19" i="3757"/>
  <c r="H34" i="3757"/>
  <c r="C18" i="3757"/>
  <c r="H19" i="3757"/>
  <c r="C17" i="3757"/>
  <c r="H15" i="3757"/>
  <c r="C16" i="3757"/>
  <c r="H23" i="3757"/>
  <c r="C15" i="3757"/>
  <c r="H33" i="3757"/>
  <c r="C14" i="3757"/>
  <c r="H22" i="3757"/>
  <c r="O12" i="3757"/>
  <c r="H29" i="3757"/>
  <c r="B12" i="3757"/>
  <c r="O11" i="3757"/>
  <c r="H21" i="3757"/>
  <c r="B11" i="3757"/>
  <c r="O10" i="3757"/>
  <c r="H3" i="3757"/>
  <c r="B10" i="3757"/>
  <c r="H13" i="3757"/>
  <c r="C9" i="3757"/>
  <c r="H11" i="3757"/>
  <c r="C8" i="3757"/>
  <c r="O7" i="3757"/>
  <c r="H9" i="3757"/>
  <c r="C7" i="3757"/>
  <c r="O6" i="3757"/>
  <c r="H6" i="3757"/>
  <c r="B6" i="3757"/>
  <c r="O5" i="3757"/>
  <c r="H5" i="3757"/>
  <c r="B5" i="3757"/>
  <c r="O4" i="3757"/>
  <c r="H2" i="3757"/>
  <c r="O3" i="3757"/>
  <c r="H10" i="3757"/>
  <c r="O2" i="3757"/>
  <c r="H4" i="3757"/>
  <c r="O15" i="3756"/>
  <c r="O21" i="3756"/>
  <c r="O19" i="3756"/>
  <c r="O20" i="3756"/>
  <c r="O18" i="3756"/>
  <c r="O17" i="3756"/>
  <c r="O16" i="3756"/>
  <c r="H52" i="3756"/>
  <c r="H10" i="3756"/>
  <c r="H16" i="3756"/>
  <c r="H51" i="3756"/>
  <c r="H50" i="3756"/>
  <c r="C48" i="3756"/>
  <c r="H49" i="3756"/>
  <c r="C47" i="3756"/>
  <c r="H48" i="3756"/>
  <c r="C46" i="3756"/>
  <c r="H47" i="3756"/>
  <c r="C45" i="3756"/>
  <c r="H46" i="3756"/>
  <c r="C44" i="3756"/>
  <c r="H45" i="3756"/>
  <c r="C43" i="3756"/>
  <c r="H44" i="3756"/>
  <c r="C42" i="3756"/>
  <c r="H43" i="3756"/>
  <c r="C41" i="3756"/>
  <c r="H42" i="3756"/>
  <c r="C40" i="3756"/>
  <c r="H41" i="3756"/>
  <c r="C39" i="3756"/>
  <c r="H40" i="3756"/>
  <c r="C38" i="3756"/>
  <c r="H39" i="3756"/>
  <c r="C37" i="3756"/>
  <c r="H38" i="3756"/>
  <c r="C36" i="3756"/>
  <c r="H37" i="3756"/>
  <c r="H36" i="3756"/>
  <c r="C34" i="3756"/>
  <c r="H35" i="3756"/>
  <c r="H34" i="3756"/>
  <c r="H33" i="3756"/>
  <c r="H20" i="3756"/>
  <c r="H19" i="3756"/>
  <c r="B29" i="3756"/>
  <c r="H32" i="3756"/>
  <c r="B28" i="3756"/>
  <c r="H7" i="3756"/>
  <c r="B27" i="3756"/>
  <c r="H31" i="3756"/>
  <c r="B26" i="3756"/>
  <c r="H30" i="3756"/>
  <c r="C25" i="3756"/>
  <c r="H18" i="3756"/>
  <c r="C24" i="3756"/>
  <c r="H29" i="3756"/>
  <c r="C23" i="3756"/>
  <c r="H28" i="3756"/>
  <c r="C22" i="3756"/>
  <c r="H15" i="3756"/>
  <c r="C21" i="3756"/>
  <c r="H27" i="3756"/>
  <c r="C20" i="3756"/>
  <c r="H26" i="3756"/>
  <c r="C19" i="3756"/>
  <c r="H25" i="3756"/>
  <c r="C18" i="3756"/>
  <c r="H14" i="3756"/>
  <c r="C17" i="3756"/>
  <c r="H13" i="3756"/>
  <c r="C16" i="3756"/>
  <c r="H24" i="3756"/>
  <c r="C15" i="3756"/>
  <c r="H23" i="3756"/>
  <c r="C14" i="3756"/>
  <c r="H22" i="3756"/>
  <c r="B13" i="3756"/>
  <c r="O12" i="3756"/>
  <c r="H21" i="3756"/>
  <c r="B12" i="3756"/>
  <c r="O11" i="3756"/>
  <c r="H17" i="3756"/>
  <c r="B11" i="3756"/>
  <c r="O10" i="3756"/>
  <c r="H3" i="3756"/>
  <c r="B10" i="3756"/>
  <c r="H12" i="3756"/>
  <c r="C9" i="3756"/>
  <c r="H11" i="3756"/>
  <c r="C8" i="3756"/>
  <c r="O7" i="3756"/>
  <c r="H9" i="3756"/>
  <c r="C7" i="3756"/>
  <c r="O6" i="3756"/>
  <c r="H6" i="3756"/>
  <c r="B6" i="3756"/>
  <c r="O5" i="3756"/>
  <c r="H5" i="3756"/>
  <c r="B5" i="3756"/>
  <c r="O4" i="3756"/>
  <c r="H2" i="3756"/>
  <c r="O3" i="3756"/>
  <c r="H8" i="3756"/>
  <c r="O2" i="3756"/>
  <c r="H4" i="3756"/>
  <c r="O27" i="3755"/>
  <c r="O24" i="3755"/>
  <c r="O25" i="3755"/>
  <c r="O26" i="3755"/>
  <c r="O17" i="3755"/>
  <c r="O18" i="3755"/>
  <c r="O22" i="3755"/>
  <c r="O21" i="3755"/>
  <c r="O19" i="3755"/>
  <c r="H52" i="3755"/>
  <c r="H5" i="3755"/>
  <c r="H20" i="3755"/>
  <c r="H51" i="3755"/>
  <c r="H50" i="3755"/>
  <c r="C48" i="3755"/>
  <c r="H49" i="3755"/>
  <c r="C47" i="3755"/>
  <c r="H48" i="3755"/>
  <c r="C46" i="3755"/>
  <c r="H47" i="3755"/>
  <c r="C45" i="3755"/>
  <c r="H46" i="3755"/>
  <c r="C44" i="3755"/>
  <c r="H45" i="3755"/>
  <c r="C43" i="3755"/>
  <c r="H44" i="3755"/>
  <c r="C42" i="3755"/>
  <c r="H43" i="3755"/>
  <c r="C41" i="3755"/>
  <c r="H42" i="3755"/>
  <c r="C40" i="3755"/>
  <c r="H41" i="3755"/>
  <c r="C39" i="3755"/>
  <c r="H40" i="3755"/>
  <c r="C38" i="3755"/>
  <c r="H39" i="3755"/>
  <c r="C37" i="3755"/>
  <c r="H38" i="3755"/>
  <c r="C36" i="3755"/>
  <c r="H37" i="3755"/>
  <c r="H36" i="3755"/>
  <c r="C34" i="3755"/>
  <c r="H32" i="3755"/>
  <c r="H35" i="3755"/>
  <c r="H26" i="3755"/>
  <c r="H25" i="3755"/>
  <c r="H17" i="3755"/>
  <c r="B29" i="3755"/>
  <c r="H28" i="3755"/>
  <c r="B28" i="3755"/>
  <c r="H9" i="3755"/>
  <c r="B27" i="3755"/>
  <c r="H31" i="3755"/>
  <c r="B26" i="3755"/>
  <c r="H27" i="3755"/>
  <c r="C25" i="3755"/>
  <c r="H13" i="3755"/>
  <c r="C24" i="3755"/>
  <c r="H30" i="3755"/>
  <c r="C23" i="3755"/>
  <c r="H24" i="3755"/>
  <c r="C22" i="3755"/>
  <c r="H14" i="3755"/>
  <c r="C21" i="3755"/>
  <c r="H34" i="3755"/>
  <c r="C20" i="3755"/>
  <c r="H16" i="3755"/>
  <c r="C19" i="3755"/>
  <c r="H33" i="3755"/>
  <c r="C18" i="3755"/>
  <c r="H18" i="3755"/>
  <c r="C17" i="3755"/>
  <c r="H15" i="3755"/>
  <c r="C16" i="3755"/>
  <c r="H19" i="3755"/>
  <c r="C15" i="3755"/>
  <c r="H29" i="3755"/>
  <c r="C14" i="3755"/>
  <c r="H23" i="3755"/>
  <c r="O12" i="3755"/>
  <c r="H22" i="3755"/>
  <c r="B12" i="3755"/>
  <c r="O11" i="3755"/>
  <c r="H21" i="3755"/>
  <c r="B11" i="3755"/>
  <c r="O10" i="3755"/>
  <c r="H3" i="3755"/>
  <c r="B10" i="3755"/>
  <c r="H12" i="3755"/>
  <c r="C9" i="3755"/>
  <c r="H10" i="3755"/>
  <c r="C8" i="3755"/>
  <c r="O7" i="3755"/>
  <c r="H8" i="3755"/>
  <c r="C7" i="3755"/>
  <c r="O6" i="3755"/>
  <c r="H6" i="3755"/>
  <c r="B6" i="3755"/>
  <c r="O5" i="3755"/>
  <c r="H7" i="3755"/>
  <c r="B5" i="3755"/>
  <c r="O4" i="3755"/>
  <c r="H2" i="3755"/>
  <c r="O3" i="3755"/>
  <c r="H11" i="3755"/>
  <c r="O2" i="3755"/>
  <c r="H4" i="3755"/>
  <c r="O25" i="3754"/>
  <c r="O20" i="3754"/>
  <c r="O24" i="3754"/>
  <c r="O16" i="3754"/>
  <c r="O21" i="3754"/>
  <c r="O18" i="3754"/>
  <c r="O19" i="3754"/>
  <c r="H52" i="3754"/>
  <c r="H5" i="3754"/>
  <c r="H51" i="3754"/>
  <c r="H50" i="3754"/>
  <c r="H49" i="3754"/>
  <c r="C48" i="3754"/>
  <c r="H48" i="3754"/>
  <c r="C47" i="3754"/>
  <c r="H47" i="3754"/>
  <c r="C46" i="3754"/>
  <c r="H46" i="3754"/>
  <c r="C45" i="3754"/>
  <c r="H45" i="3754"/>
  <c r="C44" i="3754"/>
  <c r="H44" i="3754"/>
  <c r="C43" i="3754"/>
  <c r="H43" i="3754"/>
  <c r="C42" i="3754"/>
  <c r="H42" i="3754"/>
  <c r="C41" i="3754"/>
  <c r="H41" i="3754"/>
  <c r="C40" i="3754"/>
  <c r="H40" i="3754"/>
  <c r="C39" i="3754"/>
  <c r="H39" i="3754"/>
  <c r="C38" i="3754"/>
  <c r="H38" i="3754"/>
  <c r="C37" i="3754"/>
  <c r="H37" i="3754"/>
  <c r="C36" i="3754"/>
  <c r="H36" i="3754"/>
  <c r="H35" i="3754"/>
  <c r="C34" i="3754"/>
  <c r="H34" i="3754"/>
  <c r="H33" i="3754"/>
  <c r="H24" i="3754"/>
  <c r="H32" i="3754"/>
  <c r="H18" i="3754"/>
  <c r="B29" i="3754"/>
  <c r="H27" i="3754"/>
  <c r="B28" i="3754"/>
  <c r="H12" i="3754"/>
  <c r="B27" i="3754"/>
  <c r="H23" i="3754"/>
  <c r="B26" i="3754"/>
  <c r="H22" i="3754"/>
  <c r="C25" i="3754"/>
  <c r="H14" i="3754"/>
  <c r="C24" i="3754"/>
  <c r="H31" i="3754"/>
  <c r="C23" i="3754"/>
  <c r="H26" i="3754"/>
  <c r="C22" i="3754"/>
  <c r="H13" i="3754"/>
  <c r="C21" i="3754"/>
  <c r="H30" i="3754"/>
  <c r="C20" i="3754"/>
  <c r="H15" i="3754"/>
  <c r="C19" i="3754"/>
  <c r="H29" i="3754"/>
  <c r="C18" i="3754"/>
  <c r="H17" i="3754"/>
  <c r="C17" i="3754"/>
  <c r="H16" i="3754"/>
  <c r="C16" i="3754"/>
  <c r="H21" i="3754"/>
  <c r="C15" i="3754"/>
  <c r="H28" i="3754"/>
  <c r="C14" i="3754"/>
  <c r="H20" i="3754"/>
  <c r="O12" i="3754"/>
  <c r="H19" i="3754"/>
  <c r="B12" i="3754"/>
  <c r="O11" i="3754"/>
  <c r="H25" i="3754"/>
  <c r="B11" i="3754"/>
  <c r="O10" i="3754"/>
  <c r="H3" i="3754"/>
  <c r="B10" i="3754"/>
  <c r="H10" i="3754"/>
  <c r="C9" i="3754"/>
  <c r="H11" i="3754"/>
  <c r="C8" i="3754"/>
  <c r="O7" i="3754"/>
  <c r="H8" i="3754"/>
  <c r="C7" i="3754"/>
  <c r="O6" i="3754"/>
  <c r="H6" i="3754"/>
  <c r="B6" i="3754"/>
  <c r="O5" i="3754"/>
  <c r="H7" i="3754"/>
  <c r="B5" i="3754"/>
  <c r="O4" i="3754"/>
  <c r="H2" i="3754"/>
  <c r="O3" i="3754"/>
  <c r="H9" i="3754"/>
  <c r="O2" i="3754"/>
  <c r="H4" i="3754"/>
  <c r="O19" i="3753"/>
  <c r="O18" i="3753"/>
  <c r="O17" i="3753"/>
  <c r="O16" i="3753"/>
  <c r="O15" i="3753"/>
  <c r="H52" i="3753"/>
  <c r="H51" i="3753"/>
  <c r="H50" i="3753"/>
  <c r="H49" i="3753"/>
  <c r="H48" i="3753"/>
  <c r="C48" i="3753"/>
  <c r="H47" i="3753"/>
  <c r="C47" i="3753"/>
  <c r="H46" i="3753"/>
  <c r="C46" i="3753"/>
  <c r="H45" i="3753"/>
  <c r="C45" i="3753"/>
  <c r="H44" i="3753"/>
  <c r="C44" i="3753"/>
  <c r="H43" i="3753"/>
  <c r="C43" i="3753"/>
  <c r="H42" i="3753"/>
  <c r="C42" i="3753"/>
  <c r="H41" i="3753"/>
  <c r="C41" i="3753"/>
  <c r="H40" i="3753"/>
  <c r="C40" i="3753"/>
  <c r="H39" i="3753"/>
  <c r="C39" i="3753"/>
  <c r="H38" i="3753"/>
  <c r="C38" i="3753"/>
  <c r="H37" i="3753"/>
  <c r="C37" i="3753"/>
  <c r="H36" i="3753"/>
  <c r="C36" i="3753"/>
  <c r="H35" i="3753"/>
  <c r="H34" i="3753"/>
  <c r="C34" i="3753"/>
  <c r="H33" i="3753"/>
  <c r="H32" i="3753"/>
  <c r="H31" i="3753"/>
  <c r="H30" i="3753"/>
  <c r="H29" i="3753"/>
  <c r="B29" i="3753"/>
  <c r="H28" i="3753"/>
  <c r="B28" i="3753"/>
  <c r="H27" i="3753"/>
  <c r="B27" i="3753"/>
  <c r="H26" i="3753"/>
  <c r="B26" i="3753"/>
  <c r="H25" i="3753"/>
  <c r="C25" i="3753"/>
  <c r="H10" i="3753"/>
  <c r="C24" i="3753"/>
  <c r="H24" i="3753"/>
  <c r="C23" i="3753"/>
  <c r="H23" i="3753"/>
  <c r="C22" i="3753"/>
  <c r="H22" i="3753"/>
  <c r="C21" i="3753"/>
  <c r="H21" i="3753"/>
  <c r="C20" i="3753"/>
  <c r="H20" i="3753"/>
  <c r="C19" i="3753"/>
  <c r="H19" i="3753"/>
  <c r="C18" i="3753"/>
  <c r="H7" i="3753"/>
  <c r="C17" i="3753"/>
  <c r="H18" i="3753"/>
  <c r="C16" i="3753"/>
  <c r="H17" i="3753"/>
  <c r="C15" i="3753"/>
  <c r="H16" i="3753"/>
  <c r="C14" i="3753"/>
  <c r="H15" i="3753"/>
  <c r="B13" i="3753"/>
  <c r="O12" i="3753"/>
  <c r="H14" i="3753"/>
  <c r="B12" i="3753"/>
  <c r="O11" i="3753"/>
  <c r="H13" i="3753"/>
  <c r="B11" i="3753"/>
  <c r="O10" i="3753"/>
  <c r="H4" i="3753"/>
  <c r="B10" i="3753"/>
  <c r="H12" i="3753"/>
  <c r="C9" i="3753"/>
  <c r="H11" i="3753"/>
  <c r="C8" i="3753"/>
  <c r="O7" i="3753"/>
  <c r="H9" i="3753"/>
  <c r="C7" i="3753"/>
  <c r="O6" i="3753"/>
  <c r="H5" i="3753"/>
  <c r="B6" i="3753"/>
  <c r="O5" i="3753"/>
  <c r="H6" i="3753"/>
  <c r="B5" i="3753"/>
  <c r="O4" i="3753"/>
  <c r="H8" i="3753"/>
  <c r="O3" i="3753"/>
  <c r="H3" i="3753"/>
  <c r="O2" i="3753"/>
  <c r="H2" i="3753"/>
  <c r="O23" i="3752"/>
  <c r="O25" i="3752"/>
  <c r="O22" i="3752"/>
  <c r="O18" i="3752"/>
  <c r="O15" i="3752"/>
  <c r="O20" i="3752"/>
  <c r="O24" i="3752"/>
  <c r="O17" i="3752"/>
  <c r="O21" i="3752"/>
  <c r="O16" i="3752"/>
  <c r="O26" i="3752"/>
  <c r="H52" i="3752"/>
  <c r="H7" i="3752"/>
  <c r="H51" i="3752"/>
  <c r="H50" i="3752"/>
  <c r="H49" i="3752"/>
  <c r="C48" i="3752"/>
  <c r="H48" i="3752"/>
  <c r="C47" i="3752"/>
  <c r="H47" i="3752"/>
  <c r="C46" i="3752"/>
  <c r="H46" i="3752"/>
  <c r="C45" i="3752"/>
  <c r="H45" i="3752"/>
  <c r="C44" i="3752"/>
  <c r="H44" i="3752"/>
  <c r="C43" i="3752"/>
  <c r="H43" i="3752"/>
  <c r="C42" i="3752"/>
  <c r="H42" i="3752"/>
  <c r="C41" i="3752"/>
  <c r="H41" i="3752"/>
  <c r="C40" i="3752"/>
  <c r="H40" i="3752"/>
  <c r="C39" i="3752"/>
  <c r="H39" i="3752"/>
  <c r="C38" i="3752"/>
  <c r="H38" i="3752"/>
  <c r="C37" i="3752"/>
  <c r="H37" i="3752"/>
  <c r="C36" i="3752"/>
  <c r="H23" i="3752"/>
  <c r="H36" i="3752"/>
  <c r="C34" i="3752"/>
  <c r="H35" i="3752"/>
  <c r="H34" i="3752"/>
  <c r="H22" i="3752"/>
  <c r="H33" i="3752"/>
  <c r="H17" i="3752"/>
  <c r="B29" i="3752"/>
  <c r="H32" i="3752"/>
  <c r="B28" i="3752"/>
  <c r="H11" i="3752"/>
  <c r="B27" i="3752"/>
  <c r="H31" i="3752"/>
  <c r="B26" i="3752"/>
  <c r="H30" i="3752"/>
  <c r="C25" i="3752"/>
  <c r="H16" i="3752"/>
  <c r="C24" i="3752"/>
  <c r="H29" i="3752"/>
  <c r="C23" i="3752"/>
  <c r="H28" i="3752"/>
  <c r="C22" i="3752"/>
  <c r="H9" i="3752"/>
  <c r="C21" i="3752"/>
  <c r="H27" i="3752"/>
  <c r="C20" i="3752"/>
  <c r="H14" i="3752"/>
  <c r="C19" i="3752"/>
  <c r="H26" i="3752"/>
  <c r="C18" i="3752"/>
  <c r="H15" i="3752"/>
  <c r="C17" i="3752"/>
  <c r="H21" i="3752"/>
  <c r="C16" i="3752"/>
  <c r="H25" i="3752"/>
  <c r="C15" i="3752"/>
  <c r="H24" i="3752"/>
  <c r="C14" i="3752"/>
  <c r="H20" i="3752"/>
  <c r="O12" i="3752"/>
  <c r="H19" i="3752"/>
  <c r="B12" i="3752"/>
  <c r="O11" i="3752"/>
  <c r="H18" i="3752"/>
  <c r="B11" i="3752"/>
  <c r="B13" i="3752" s="1"/>
  <c r="O10" i="3752"/>
  <c r="H3" i="3752"/>
  <c r="B10" i="3752"/>
  <c r="H13" i="3752"/>
  <c r="C9" i="3752"/>
  <c r="H10" i="3752"/>
  <c r="C8" i="3752"/>
  <c r="O7" i="3752"/>
  <c r="H8" i="3752"/>
  <c r="C7" i="3752"/>
  <c r="O6" i="3752"/>
  <c r="H5" i="3752"/>
  <c r="B6" i="3752"/>
  <c r="O5" i="3752"/>
  <c r="H6" i="3752"/>
  <c r="B5" i="3752"/>
  <c r="O4" i="3752"/>
  <c r="H2" i="3752"/>
  <c r="O3" i="3752"/>
  <c r="H12" i="3752"/>
  <c r="O2" i="3752"/>
  <c r="H4" i="3752"/>
  <c r="O26" i="3751"/>
  <c r="O23" i="3751"/>
  <c r="O22" i="3751"/>
  <c r="O21" i="3751"/>
  <c r="O24" i="3751"/>
  <c r="O20" i="3751"/>
  <c r="O18" i="3751"/>
  <c r="O17" i="3751"/>
  <c r="O19" i="3751"/>
  <c r="O16" i="3751"/>
  <c r="H52" i="3751"/>
  <c r="H7" i="3751"/>
  <c r="H19" i="3751"/>
  <c r="H51" i="3751"/>
  <c r="H50" i="3751"/>
  <c r="C48" i="3751"/>
  <c r="H49" i="3751"/>
  <c r="C47" i="3751"/>
  <c r="H48" i="3751"/>
  <c r="C46" i="3751"/>
  <c r="H47" i="3751"/>
  <c r="C45" i="3751"/>
  <c r="H46" i="3751"/>
  <c r="C44" i="3751"/>
  <c r="H45" i="3751"/>
  <c r="C43" i="3751"/>
  <c r="H44" i="3751"/>
  <c r="C42" i="3751"/>
  <c r="H43" i="3751"/>
  <c r="C41" i="3751"/>
  <c r="H42" i="3751"/>
  <c r="C40" i="3751"/>
  <c r="H41" i="3751"/>
  <c r="C39" i="3751"/>
  <c r="H40" i="3751"/>
  <c r="C38" i="3751"/>
  <c r="H39" i="3751"/>
  <c r="C37" i="3751"/>
  <c r="H38" i="3751"/>
  <c r="C36" i="3751"/>
  <c r="H37" i="3751"/>
  <c r="H36" i="3751"/>
  <c r="C34" i="3751"/>
  <c r="H31" i="3751"/>
  <c r="H35" i="3751"/>
  <c r="H30" i="3751"/>
  <c r="H25" i="3751"/>
  <c r="H17" i="3751"/>
  <c r="B29" i="3751"/>
  <c r="H34" i="3751"/>
  <c r="B28" i="3751"/>
  <c r="H10" i="3751"/>
  <c r="B27" i="3751"/>
  <c r="H26" i="3751"/>
  <c r="B26" i="3751"/>
  <c r="H29" i="3751"/>
  <c r="C25" i="3751"/>
  <c r="H12" i="3751"/>
  <c r="C24" i="3751"/>
  <c r="H24" i="3751"/>
  <c r="C23" i="3751"/>
  <c r="H23" i="3751"/>
  <c r="C22" i="3751"/>
  <c r="H13" i="3751"/>
  <c r="C21" i="3751"/>
  <c r="H33" i="3751"/>
  <c r="C20" i="3751"/>
  <c r="H15" i="3751"/>
  <c r="C19" i="3751"/>
  <c r="H28" i="3751"/>
  <c r="C18" i="3751"/>
  <c r="H18" i="3751"/>
  <c r="C17" i="3751"/>
  <c r="H16" i="3751"/>
  <c r="C16" i="3751"/>
  <c r="H27" i="3751"/>
  <c r="C15" i="3751"/>
  <c r="H32" i="3751"/>
  <c r="C14" i="3751"/>
  <c r="H20" i="3751"/>
  <c r="O12" i="3751"/>
  <c r="H22" i="3751"/>
  <c r="B12" i="3751"/>
  <c r="O11" i="3751"/>
  <c r="H21" i="3751"/>
  <c r="B11" i="3751"/>
  <c r="O10" i="3751"/>
  <c r="H4" i="3751"/>
  <c r="B10" i="3751"/>
  <c r="H14" i="3751"/>
  <c r="C9" i="3751"/>
  <c r="H11" i="3751"/>
  <c r="C8" i="3751"/>
  <c r="O7" i="3751"/>
  <c r="H8" i="3751"/>
  <c r="C7" i="3751"/>
  <c r="O6" i="3751"/>
  <c r="H5" i="3751"/>
  <c r="B6" i="3751"/>
  <c r="O5" i="3751"/>
  <c r="H6" i="3751"/>
  <c r="B5" i="3751"/>
  <c r="O4" i="3751"/>
  <c r="H2" i="3751"/>
  <c r="O3" i="3751"/>
  <c r="H9" i="3751"/>
  <c r="O2" i="3751"/>
  <c r="H3" i="3751"/>
  <c r="O21" i="3750"/>
  <c r="O22" i="3750"/>
  <c r="O18" i="3750"/>
  <c r="O16" i="3750"/>
  <c r="H52" i="3750"/>
  <c r="H7" i="3750"/>
  <c r="H51" i="3750"/>
  <c r="H50" i="3750"/>
  <c r="H49" i="3750"/>
  <c r="C48" i="3750"/>
  <c r="H48" i="3750"/>
  <c r="C47" i="3750"/>
  <c r="H47" i="3750"/>
  <c r="C46" i="3750"/>
  <c r="H46" i="3750"/>
  <c r="C45" i="3750"/>
  <c r="H45" i="3750"/>
  <c r="C44" i="3750"/>
  <c r="H44" i="3750"/>
  <c r="C43" i="3750"/>
  <c r="H43" i="3750"/>
  <c r="C42" i="3750"/>
  <c r="H42" i="3750"/>
  <c r="C41" i="3750"/>
  <c r="H41" i="3750"/>
  <c r="C40" i="3750"/>
  <c r="H40" i="3750"/>
  <c r="C39" i="3750"/>
  <c r="H39" i="3750"/>
  <c r="C38" i="3750"/>
  <c r="H38" i="3750"/>
  <c r="C37" i="3750"/>
  <c r="H37" i="3750"/>
  <c r="C36" i="3750"/>
  <c r="H36" i="3750"/>
  <c r="H35" i="3750"/>
  <c r="C34" i="3750"/>
  <c r="H34" i="3750"/>
  <c r="H33" i="3750"/>
  <c r="H32" i="3750"/>
  <c r="H31" i="3750"/>
  <c r="H30" i="3750"/>
  <c r="B29" i="3750"/>
  <c r="H29" i="3750"/>
  <c r="B28" i="3750"/>
  <c r="H11" i="3750"/>
  <c r="B27" i="3750"/>
  <c r="H28" i="3750"/>
  <c r="B26" i="3750"/>
  <c r="H27" i="3750"/>
  <c r="C25" i="3750"/>
  <c r="H17" i="3750"/>
  <c r="C24" i="3750"/>
  <c r="H16" i="3750"/>
  <c r="C23" i="3750"/>
  <c r="H26" i="3750"/>
  <c r="C22" i="3750"/>
  <c r="H12" i="3750"/>
  <c r="C21" i="3750"/>
  <c r="H25" i="3750"/>
  <c r="C20" i="3750"/>
  <c r="H24" i="3750"/>
  <c r="C19" i="3750"/>
  <c r="H23" i="3750"/>
  <c r="C18" i="3750"/>
  <c r="H15" i="3750"/>
  <c r="C17" i="3750"/>
  <c r="H22" i="3750"/>
  <c r="C16" i="3750"/>
  <c r="H21" i="3750"/>
  <c r="C15" i="3750"/>
  <c r="H20" i="3750"/>
  <c r="C14" i="3750"/>
  <c r="H14" i="3750"/>
  <c r="O12" i="3750"/>
  <c r="H19" i="3750"/>
  <c r="B12" i="3750"/>
  <c r="O11" i="3750"/>
  <c r="H18" i="3750"/>
  <c r="B11" i="3750"/>
  <c r="O10" i="3750"/>
  <c r="H5" i="3750"/>
  <c r="B10" i="3750"/>
  <c r="H13" i="3750"/>
  <c r="C9" i="3750"/>
  <c r="H10" i="3750"/>
  <c r="C8" i="3750"/>
  <c r="O7" i="3750"/>
  <c r="H9" i="3750"/>
  <c r="C7" i="3750"/>
  <c r="O6" i="3750"/>
  <c r="H6" i="3750"/>
  <c r="B6" i="3750"/>
  <c r="O5" i="3750"/>
  <c r="H4" i="3750"/>
  <c r="B5" i="3750"/>
  <c r="O4" i="3750"/>
  <c r="H2" i="3750"/>
  <c r="O3" i="3750"/>
  <c r="H8" i="3750"/>
  <c r="O2" i="3750"/>
  <c r="H3" i="3750"/>
  <c r="O17" i="3749"/>
  <c r="O16" i="3749"/>
  <c r="O15" i="3749"/>
  <c r="H52" i="3749"/>
  <c r="H51" i="3749"/>
  <c r="H50" i="3749"/>
  <c r="H49" i="3749"/>
  <c r="H48" i="3749"/>
  <c r="C48" i="3749"/>
  <c r="H47" i="3749"/>
  <c r="C47" i="3749"/>
  <c r="H46" i="3749"/>
  <c r="C46" i="3749"/>
  <c r="H45" i="3749"/>
  <c r="C45" i="3749"/>
  <c r="H44" i="3749"/>
  <c r="C44" i="3749"/>
  <c r="H43" i="3749"/>
  <c r="C43" i="3749"/>
  <c r="H42" i="3749"/>
  <c r="C42" i="3749"/>
  <c r="H41" i="3749"/>
  <c r="C41" i="3749"/>
  <c r="H40" i="3749"/>
  <c r="C40" i="3749"/>
  <c r="H39" i="3749"/>
  <c r="C39" i="3749"/>
  <c r="H38" i="3749"/>
  <c r="C38" i="3749"/>
  <c r="H37" i="3749"/>
  <c r="C37" i="3749"/>
  <c r="H36" i="3749"/>
  <c r="C36" i="3749"/>
  <c r="H35" i="3749"/>
  <c r="H34" i="3749"/>
  <c r="C34" i="3749"/>
  <c r="H33" i="3749"/>
  <c r="H32" i="3749"/>
  <c r="H31" i="3749"/>
  <c r="H30" i="3749"/>
  <c r="H29" i="3749"/>
  <c r="B29" i="3749"/>
  <c r="H28" i="3749"/>
  <c r="B28" i="3749"/>
  <c r="H27" i="3749"/>
  <c r="B27" i="3749"/>
  <c r="H26" i="3749"/>
  <c r="B26" i="3749"/>
  <c r="H25" i="3749"/>
  <c r="C25" i="3749"/>
  <c r="H24" i="3749"/>
  <c r="C24" i="3749"/>
  <c r="H23" i="3749"/>
  <c r="C23" i="3749"/>
  <c r="H22" i="3749"/>
  <c r="C22" i="3749"/>
  <c r="H21" i="3749"/>
  <c r="C21" i="3749"/>
  <c r="H20" i="3749"/>
  <c r="C20" i="3749"/>
  <c r="H19" i="3749"/>
  <c r="C19" i="3749"/>
  <c r="H18" i="3749"/>
  <c r="C18" i="3749"/>
  <c r="H17" i="3749"/>
  <c r="C17" i="3749"/>
  <c r="H16" i="3749"/>
  <c r="C16" i="3749"/>
  <c r="H15" i="3749"/>
  <c r="C15" i="3749"/>
  <c r="H14" i="3749"/>
  <c r="C14" i="3749"/>
  <c r="H13" i="3749"/>
  <c r="O12" i="3749"/>
  <c r="H12" i="3749"/>
  <c r="B12" i="3749"/>
  <c r="O11" i="3749"/>
  <c r="H11" i="3749"/>
  <c r="B11" i="3749"/>
  <c r="O10" i="3749"/>
  <c r="H10" i="3749"/>
  <c r="B10" i="3749"/>
  <c r="B13" i="3749" s="1"/>
  <c r="H9" i="3749"/>
  <c r="C9" i="3749"/>
  <c r="H8" i="3749"/>
  <c r="C8" i="3749"/>
  <c r="O7" i="3749"/>
  <c r="H7" i="3749"/>
  <c r="C7" i="3749"/>
  <c r="O6" i="3749"/>
  <c r="H6" i="3749"/>
  <c r="B6" i="3749"/>
  <c r="O5" i="3749"/>
  <c r="H5" i="3749"/>
  <c r="B5" i="3749"/>
  <c r="O4" i="3749"/>
  <c r="H4" i="3749"/>
  <c r="O3" i="3749"/>
  <c r="H3" i="3749"/>
  <c r="O2" i="3749"/>
  <c r="H2" i="3749"/>
  <c r="O27" i="3748"/>
  <c r="O25" i="3748"/>
  <c r="O18" i="3748"/>
  <c r="O28" i="3748"/>
  <c r="O24" i="3748"/>
  <c r="O26" i="3748"/>
  <c r="O22" i="3748"/>
  <c r="O21" i="3748"/>
  <c r="O23" i="3748"/>
  <c r="O16" i="3748"/>
  <c r="O15" i="3748"/>
  <c r="H52" i="3748"/>
  <c r="H7" i="3748"/>
  <c r="H16" i="3748"/>
  <c r="H51" i="3748"/>
  <c r="H50" i="3748"/>
  <c r="C48" i="3748"/>
  <c r="H49" i="3748"/>
  <c r="C47" i="3748"/>
  <c r="H48" i="3748"/>
  <c r="C46" i="3748"/>
  <c r="H47" i="3748"/>
  <c r="C45" i="3748"/>
  <c r="H32" i="3748"/>
  <c r="C44" i="3748"/>
  <c r="H46" i="3748"/>
  <c r="C43" i="3748"/>
  <c r="H45" i="3748"/>
  <c r="C42" i="3748"/>
  <c r="H44" i="3748"/>
  <c r="C41" i="3748"/>
  <c r="H43" i="3748"/>
  <c r="C40" i="3748"/>
  <c r="H42" i="3748"/>
  <c r="C39" i="3748"/>
  <c r="H41" i="3748"/>
  <c r="C38" i="3748"/>
  <c r="H40" i="3748"/>
  <c r="C37" i="3748"/>
  <c r="H39" i="3748"/>
  <c r="C36" i="3748"/>
  <c r="H38" i="3748"/>
  <c r="H37" i="3748"/>
  <c r="C34" i="3748"/>
  <c r="H30" i="3748"/>
  <c r="H36" i="3748"/>
  <c r="H31" i="3748"/>
  <c r="H21" i="3748"/>
  <c r="H18" i="3748"/>
  <c r="B29" i="3748"/>
  <c r="H25" i="3748"/>
  <c r="B28" i="3748"/>
  <c r="H8" i="3748"/>
  <c r="B27" i="3748"/>
  <c r="H29" i="3748"/>
  <c r="B26" i="3748"/>
  <c r="H28" i="3748"/>
  <c r="C25" i="3748"/>
  <c r="H12" i="3748"/>
  <c r="C24" i="3748"/>
  <c r="H20" i="3748"/>
  <c r="C23" i="3748"/>
  <c r="H27" i="3748"/>
  <c r="C22" i="3748"/>
  <c r="H14" i="3748"/>
  <c r="C21" i="3748"/>
  <c r="H35" i="3748"/>
  <c r="C20" i="3748"/>
  <c r="H17" i="3748"/>
  <c r="C19" i="3748"/>
  <c r="H34" i="3748"/>
  <c r="C18" i="3748"/>
  <c r="H19" i="3748"/>
  <c r="C17" i="3748"/>
  <c r="H15" i="3748"/>
  <c r="C16" i="3748"/>
  <c r="H22" i="3748"/>
  <c r="C15" i="3748"/>
  <c r="H33" i="3748"/>
  <c r="C14" i="3748"/>
  <c r="H23" i="3748"/>
  <c r="O12" i="3748"/>
  <c r="H26" i="3748"/>
  <c r="B12" i="3748"/>
  <c r="O11" i="3748"/>
  <c r="H24" i="3748"/>
  <c r="B11" i="3748"/>
  <c r="O10" i="3748"/>
  <c r="H3" i="3748"/>
  <c r="B10" i="3748"/>
  <c r="H13" i="3748"/>
  <c r="C9" i="3748"/>
  <c r="H11" i="3748"/>
  <c r="C8" i="3748"/>
  <c r="O7" i="3748"/>
  <c r="H9" i="3748"/>
  <c r="C7" i="3748"/>
  <c r="O6" i="3748"/>
  <c r="H5" i="3748"/>
  <c r="B6" i="3748"/>
  <c r="O5" i="3748"/>
  <c r="H6" i="3748"/>
  <c r="B5" i="3748"/>
  <c r="O4" i="3748"/>
  <c r="H2" i="3748"/>
  <c r="O3" i="3748"/>
  <c r="H10" i="3748"/>
  <c r="O2" i="3748"/>
  <c r="H4" i="3748"/>
  <c r="O31" i="3747"/>
  <c r="O30" i="3747"/>
  <c r="O27" i="3747"/>
  <c r="O24" i="3747"/>
  <c r="O29" i="3747"/>
  <c r="O28" i="3747"/>
  <c r="O22" i="3747"/>
  <c r="O23" i="3747"/>
  <c r="O21" i="3747"/>
  <c r="O25" i="3747"/>
  <c r="O20" i="3747"/>
  <c r="O16" i="3747"/>
  <c r="O15" i="3747"/>
  <c r="H52" i="3747"/>
  <c r="H6" i="3747"/>
  <c r="H19" i="3747"/>
  <c r="H51" i="3747"/>
  <c r="H50" i="3747"/>
  <c r="C48" i="3747"/>
  <c r="H49" i="3747"/>
  <c r="C47" i="3747"/>
  <c r="H48" i="3747"/>
  <c r="C46" i="3747"/>
  <c r="H47" i="3747"/>
  <c r="C45" i="3747"/>
  <c r="H32" i="3747"/>
  <c r="C44" i="3747"/>
  <c r="H46" i="3747"/>
  <c r="C43" i="3747"/>
  <c r="H45" i="3747"/>
  <c r="C42" i="3747"/>
  <c r="H44" i="3747"/>
  <c r="C41" i="3747"/>
  <c r="H43" i="3747"/>
  <c r="C40" i="3747"/>
  <c r="H34" i="3747"/>
  <c r="C39" i="3747"/>
  <c r="H42" i="3747"/>
  <c r="C38" i="3747"/>
  <c r="H41" i="3747"/>
  <c r="C37" i="3747"/>
  <c r="H40" i="3747"/>
  <c r="C36" i="3747"/>
  <c r="H33" i="3747"/>
  <c r="H39" i="3747"/>
  <c r="C34" i="3747"/>
  <c r="H31" i="3747"/>
  <c r="H38" i="3747"/>
  <c r="H27" i="3747"/>
  <c r="H22" i="3747"/>
  <c r="H17" i="3747"/>
  <c r="B29" i="3747"/>
  <c r="H29" i="3747"/>
  <c r="B28" i="3747"/>
  <c r="H9" i="3747"/>
  <c r="B27" i="3747"/>
  <c r="H30" i="3747"/>
  <c r="B26" i="3747"/>
  <c r="H28" i="3747"/>
  <c r="C25" i="3747"/>
  <c r="H13" i="3747"/>
  <c r="C24" i="3747"/>
  <c r="H24" i="3747"/>
  <c r="C23" i="3747"/>
  <c r="H26" i="3747"/>
  <c r="C22" i="3747"/>
  <c r="H14" i="3747"/>
  <c r="C21" i="3747"/>
  <c r="H37" i="3747"/>
  <c r="C20" i="3747"/>
  <c r="H16" i="3747"/>
  <c r="C19" i="3747"/>
  <c r="H36" i="3747"/>
  <c r="C18" i="3747"/>
  <c r="H18" i="3747"/>
  <c r="C17" i="3747"/>
  <c r="H15" i="3747"/>
  <c r="C16" i="3747"/>
  <c r="H23" i="3747"/>
  <c r="C15" i="3747"/>
  <c r="H35" i="3747"/>
  <c r="C14" i="3747"/>
  <c r="H20" i="3747"/>
  <c r="O12" i="3747"/>
  <c r="H25" i="3747"/>
  <c r="B12" i="3747"/>
  <c r="O11" i="3747"/>
  <c r="H21" i="3747"/>
  <c r="B11" i="3747"/>
  <c r="O10" i="3747"/>
  <c r="H3" i="3747"/>
  <c r="B10" i="3747"/>
  <c r="H12" i="3747"/>
  <c r="C9" i="3747"/>
  <c r="H11" i="3747"/>
  <c r="C8" i="3747"/>
  <c r="O7" i="3747"/>
  <c r="H8" i="3747"/>
  <c r="C7" i="3747"/>
  <c r="O6" i="3747"/>
  <c r="H5" i="3747"/>
  <c r="B6" i="3747"/>
  <c r="O5" i="3747"/>
  <c r="H7" i="3747"/>
  <c r="B5" i="3747"/>
  <c r="O4" i="3747"/>
  <c r="H2" i="3747"/>
  <c r="O3" i="3747"/>
  <c r="H10" i="3747"/>
  <c r="O2" i="3747"/>
  <c r="H4" i="3747"/>
  <c r="B13" i="3750" l="1"/>
  <c r="B13" i="3751"/>
  <c r="B13" i="3754"/>
  <c r="B13" i="3759"/>
  <c r="B13" i="3757"/>
  <c r="B13" i="3755"/>
  <c r="B13" i="3748"/>
  <c r="B13" i="3747"/>
  <c r="B12" i="2228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<sst xmlns="http://schemas.openxmlformats.org/spreadsheetml/2006/main" count="4343" uniqueCount="207">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</sst>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全体!$K$2:$K$2990</c:f>
              <c:numCache>
                <c:formatCode>General</c:formatCode>
                <c:ptCount val="29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</c:numCache>
            </c:numRef>
          </c:xVal>
          <c:yVal>
            <c:numRef>
              <c:f>全体!$L$2:$L$2990</c:f>
              <c:numCache>
                <c:formatCode>\+0.0;\-0.0;\±0</c:formatCode>
                <c:ptCount val="298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4-4073-95DE-CB921C18F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-21.5706100438153</c:v>
                </c:pt>
                <c:pt idx="1">
                  <c:v>-0.69084628670120896</c:v>
                </c:pt>
                <c:pt idx="2">
                  <c:v>7.3502388827636898</c:v>
                </c:pt>
                <c:pt idx="3">
                  <c:v>1.5987210231814548</c:v>
                </c:pt>
                <c:pt idx="4">
                  <c:v>3.5460992907801416</c:v>
                </c:pt>
                <c:pt idx="5">
                  <c:v>17.488076311605724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5E-4279-A19B-D7489F15F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470</c:v>
                </c:pt>
                <c:pt idx="1">
                  <c:v>1039</c:v>
                </c:pt>
                <c:pt idx="2">
                  <c:v>1278</c:v>
                </c:pt>
                <c:pt idx="3">
                  <c:v>1275</c:v>
                </c:pt>
                <c:pt idx="4">
                  <c:v>1061</c:v>
                </c:pt>
                <c:pt idx="5">
                  <c:v>698</c:v>
                </c:pt>
                <c:pt idx="6">
                  <c:v>410</c:v>
                </c:pt>
                <c:pt idx="7">
                  <c:v>229</c:v>
                </c:pt>
                <c:pt idx="8">
                  <c:v>131</c:v>
                </c:pt>
                <c:pt idx="9">
                  <c:v>62</c:v>
                </c:pt>
                <c:pt idx="10">
                  <c:v>35</c:v>
                </c:pt>
                <c:pt idx="11">
                  <c:v>15</c:v>
                </c:pt>
                <c:pt idx="1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36-4612-851C-878D04CF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だいち!$K$2:$K$690</c:f>
              <c:numCache>
                <c:formatCode>General</c:formatCode>
                <c:ptCount val="6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</c:numCache>
            </c:numRef>
          </c:xVal>
          <c:yVal>
            <c:numRef>
              <c:f>だいち!$L$2:$L$690</c:f>
              <c:numCache>
                <c:formatCode>\+0.0;\-0.0;\±0</c:formatCode>
                <c:ptCount val="68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65-4F73-82F6-5C028DB1D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1340.3225806451612</c:v>
                </c:pt>
                <c:pt idx="1">
                  <c:v>1369.4736842105262</c:v>
                </c:pt>
                <c:pt idx="2">
                  <c:v>1390.6645569620252</c:v>
                </c:pt>
                <c:pt idx="3">
                  <c:v>1543.5233160621763</c:v>
                </c:pt>
                <c:pt idx="4">
                  <c:v>1395.1923076923076</c:v>
                </c:pt>
                <c:pt idx="5">
                  <c:v>1642.9234338747099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6-4612-9325-D67FE7D63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120</c:v>
                </c:pt>
                <c:pt idx="1">
                  <c:v>250</c:v>
                </c:pt>
                <c:pt idx="2">
                  <c:v>330</c:v>
                </c:pt>
                <c:pt idx="3">
                  <c:v>345</c:v>
                </c:pt>
                <c:pt idx="4">
                  <c:v>256</c:v>
                </c:pt>
                <c:pt idx="5">
                  <c:v>187</c:v>
                </c:pt>
                <c:pt idx="6">
                  <c:v>116</c:v>
                </c:pt>
                <c:pt idx="7">
                  <c:v>55</c:v>
                </c:pt>
                <c:pt idx="8">
                  <c:v>34</c:v>
                </c:pt>
                <c:pt idx="9">
                  <c:v>15</c:v>
                </c:pt>
                <c:pt idx="10">
                  <c:v>8</c:v>
                </c:pt>
                <c:pt idx="11">
                  <c:v>3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2B-4997-A2C3-5348F846D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5F-4E84-BA2F-CED790A4B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0F-45FF-BD9F-8740F3CD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79-491C-A259-163C501CF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ともき!$L$2:$L$24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C4-4C00-B60A-869D76B8D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-3113.6363636363635</c:v>
                </c:pt>
                <c:pt idx="1">
                  <c:v>-614.28571428571433</c:v>
                </c:pt>
                <c:pt idx="2">
                  <c:v>-2495.2380952380954</c:v>
                </c:pt>
                <c:pt idx="3">
                  <c:v>1911.1111111111111</c:v>
                </c:pt>
                <c:pt idx="4">
                  <c:v>1681.25</c:v>
                </c:pt>
                <c:pt idx="5">
                  <c:v>978.57142857142856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52-4A07-B58F-C474EDCE6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5-45A7-A235-A95EC48DB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りくと!$K$2:$K$411</c:f>
              <c:numCache>
                <c:formatCode>General</c:formatCode>
                <c:ptCount val="4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</c:numCache>
            </c:numRef>
          </c:xVal>
          <c:yVal>
            <c:numRef>
              <c:f>りくと!$L$2:$L$411</c:f>
              <c:numCache>
                <c:formatCode>\+0.0;\-0.0;\±0</c:formatCode>
                <c:ptCount val="4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1-46CB-9EDE-C314B6125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-243.5960591133005</c:v>
                </c:pt>
                <c:pt idx="1">
                  <c:v>-1283.375314861461</c:v>
                </c:pt>
                <c:pt idx="2">
                  <c:v>394.4591029023747</c:v>
                </c:pt>
                <c:pt idx="3">
                  <c:v>-737.93103448275861</c:v>
                </c:pt>
                <c:pt idx="4">
                  <c:v>-1250.16077170418</c:v>
                </c:pt>
                <c:pt idx="5">
                  <c:v>-1064.6616541353383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C-47BB-80F1-3D383BA9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108</c:v>
                </c:pt>
                <c:pt idx="2">
                  <c:v>168</c:v>
                </c:pt>
                <c:pt idx="3">
                  <c:v>153</c:v>
                </c:pt>
                <c:pt idx="4">
                  <c:v>139</c:v>
                </c:pt>
                <c:pt idx="5">
                  <c:v>97</c:v>
                </c:pt>
                <c:pt idx="6">
                  <c:v>60</c:v>
                </c:pt>
                <c:pt idx="7">
                  <c:v>30</c:v>
                </c:pt>
                <c:pt idx="8">
                  <c:v>14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943-B34A-74F3C3982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C-4F73-A901-0C7DABD4E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A-499C-A8AA-788606F5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8-477A-9D77-27132B659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BE-40CB-9796-191C17844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1-42B0-84E8-0996DBC00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A-429E-8C03-36140E6B5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たかの!$K$2:$K$285</c:f>
              <c:numCache>
                <c:formatCode>General</c:formatCode>
                <c:ptCount val="2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</c:numCache>
            </c:numRef>
          </c:xVal>
          <c:yVal>
            <c:numRef>
              <c:f>たかの!$L$2:$L$285</c:f>
              <c:numCache>
                <c:formatCode>\+0.0;\-0.0;\±0</c:formatCode>
                <c:ptCount val="28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C-4324-945D-391B51F5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328.26855123674909</c:v>
                </c:pt>
                <c:pt idx="1">
                  <c:v>-1844.927536231884</c:v>
                </c:pt>
                <c:pt idx="2">
                  <c:v>-1651.953125</c:v>
                </c:pt>
                <c:pt idx="3">
                  <c:v>16.528925619834709</c:v>
                </c:pt>
                <c:pt idx="4">
                  <c:v>-870.40358744394621</c:v>
                </c:pt>
                <c:pt idx="5">
                  <c:v>-1336.9565217391305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5-47E4-A07D-65AFF855F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71</c:v>
                </c:pt>
                <c:pt idx="1">
                  <c:v>140</c:v>
                </c:pt>
                <c:pt idx="2">
                  <c:v>130</c:v>
                </c:pt>
                <c:pt idx="3">
                  <c:v>130</c:v>
                </c:pt>
                <c:pt idx="4">
                  <c:v>91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6-4838-BBE5-0A974AEE4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ただ!$K$2:$K$488</c:f>
              <c:numCache>
                <c:formatCode>General</c:formatCode>
                <c:ptCount val="4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</c:numCache>
            </c:numRef>
          </c:xVal>
          <c:yVal>
            <c:numRef>
              <c:f>ただ!$L$2:$L$488</c:f>
              <c:numCache>
                <c:formatCode>\+0.0;\-0.0;\±0</c:formatCode>
                <c:ptCount val="48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C-4303-8171-270802B97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-764.24116424116426</c:v>
                </c:pt>
                <c:pt idx="1">
                  <c:v>-66.595289079229119</c:v>
                </c:pt>
                <c:pt idx="2">
                  <c:v>264.0091116173121</c:v>
                </c:pt>
                <c:pt idx="3">
                  <c:v>-1116.1369193154035</c:v>
                </c:pt>
                <c:pt idx="4">
                  <c:v>-103.80434782608695</c:v>
                </c:pt>
                <c:pt idx="5">
                  <c:v>163.49206349206349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8E-4B91-B5F1-12E7FC5E5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73</c:v>
                </c:pt>
                <c:pt idx="1">
                  <c:v>200</c:v>
                </c:pt>
                <c:pt idx="2">
                  <c:v>244</c:v>
                </c:pt>
                <c:pt idx="3">
                  <c:v>224</c:v>
                </c:pt>
                <c:pt idx="4">
                  <c:v>158</c:v>
                </c:pt>
                <c:pt idx="5">
                  <c:v>104</c:v>
                </c:pt>
                <c:pt idx="6">
                  <c:v>51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9-4E08-AFCB-388C533D0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80-4A70-95DD-B108F3BBF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1E-915F-8116B7C8A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A-455F-8E32-E8A515A1A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れんたろう!$L$2:$L$402</c:f>
              <c:numCache>
                <c:formatCode>\+0.0;\-0.0;\±0</c:formatCode>
                <c:ptCount val="40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78-4516-97C6-8EC330053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568.10126582278485</c:v>
                </c:pt>
                <c:pt idx="1">
                  <c:v>-558.03108808290153</c:v>
                </c:pt>
                <c:pt idx="2">
                  <c:v>375.63025210084032</c:v>
                </c:pt>
                <c:pt idx="3">
                  <c:v>860.68111455108362</c:v>
                </c:pt>
                <c:pt idx="4">
                  <c:v>-794.55782312925169</c:v>
                </c:pt>
                <c:pt idx="5">
                  <c:v>229.46058091286307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7-4F38-BB66-DE8EDFB66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89</c:v>
                </c:pt>
                <c:pt idx="2">
                  <c:v>131</c:v>
                </c:pt>
                <c:pt idx="3">
                  <c:v>175</c:v>
                </c:pt>
                <c:pt idx="4">
                  <c:v>170</c:v>
                </c:pt>
                <c:pt idx="5">
                  <c:v>112</c:v>
                </c:pt>
                <c:pt idx="6">
                  <c:v>70</c:v>
                </c:pt>
                <c:pt idx="7">
                  <c:v>46</c:v>
                </c:pt>
                <c:pt idx="8">
                  <c:v>31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2-4F6E-BBEA-363EFB98F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67-4E93-8122-A25591701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3A-4646-AF95-8AD888372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4-4B12-B0B8-68DDBFB58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まっつん!$K$2:$K$317</c:f>
              <c:numCache>
                <c:formatCode>General</c:formatCode>
                <c:ptCount val="3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</c:numCache>
            </c:numRef>
          </c:xVal>
          <c:yVal>
            <c:numRef>
              <c:f>まっつん!$L$2:$L$317</c:f>
              <c:numCache>
                <c:formatCode>\+0.0;\-0.0;\±0</c:formatCode>
                <c:ptCount val="31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7-4D2C-A57C-DCF75392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-298.73015873015873</c:v>
                </c:pt>
                <c:pt idx="1">
                  <c:v>673.0519480519481</c:v>
                </c:pt>
                <c:pt idx="2">
                  <c:v>-559.375</c:v>
                </c:pt>
                <c:pt idx="3">
                  <c:v>-69.811320754716988</c:v>
                </c:pt>
                <c:pt idx="4">
                  <c:v>-1064.4628099173553</c:v>
                </c:pt>
                <c:pt idx="5">
                  <c:v>-252.23880597014926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8-4151-B5CA-E7BD726BC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109</c:v>
                </c:pt>
                <c:pt idx="2">
                  <c:v>127</c:v>
                </c:pt>
                <c:pt idx="3">
                  <c:v>123</c:v>
                </c:pt>
                <c:pt idx="4">
                  <c:v>111</c:v>
                </c:pt>
                <c:pt idx="5">
                  <c:v>73</c:v>
                </c:pt>
                <c:pt idx="6">
                  <c:v>41</c:v>
                </c:pt>
                <c:pt idx="7">
                  <c:v>18</c:v>
                </c:pt>
                <c:pt idx="8">
                  <c:v>14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0-4E87-A242-550398AFF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ぱぱ!$L$2:$L$107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8-419C-8CB2-2C9F7BB6E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-2735.9223300970875</c:v>
                </c:pt>
                <c:pt idx="1">
                  <c:v>114.70588235294117</c:v>
                </c:pt>
                <c:pt idx="2">
                  <c:v>-1292.8571428571429</c:v>
                </c:pt>
                <c:pt idx="3">
                  <c:v>-3208.8888888888887</c:v>
                </c:pt>
                <c:pt idx="4">
                  <c:v>1030</c:v>
                </c:pt>
                <c:pt idx="5">
                  <c:v>25.35211267605634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C-4433-A141-0219BD7A5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46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C-4F25-A2D3-965573ED8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0-4FBA-A506-FBACC7B7F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D7-48A2-88C4-5ABB93D9B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1-4E71-8C68-C876E07ED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EA-44F3-AEBC-2D94A8D77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3-4ED4-B486-D1DA9C739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1-4688-96A3-EDC559C3D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のり!$L$2:$L$86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C-4E1A-993A-952647C5E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-3746.4285714285716</c:v>
                </c:pt>
                <c:pt idx="1">
                  <c:v>810.84337349397595</c:v>
                </c:pt>
                <c:pt idx="2">
                  <c:v>-1216.6666666666667</c:v>
                </c:pt>
                <c:pt idx="3">
                  <c:v>-1249.2957746478874</c:v>
                </c:pt>
                <c:pt idx="4">
                  <c:v>-1692.4242424242425</c:v>
                </c:pt>
                <c:pt idx="5">
                  <c:v>-2650.9433962264152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0-4B55-B2E4-F0180CFF0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31</c:v>
                </c:pt>
                <c:pt idx="2">
                  <c:v>34</c:v>
                </c:pt>
                <c:pt idx="3">
                  <c:v>30</c:v>
                </c:pt>
                <c:pt idx="4">
                  <c:v>25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0-4553-ADB1-7B239DD64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70-46CC-8D37-24472A774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D3-41F8-BF1B-A1F462547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F-4234-B721-F0A3A9349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F8-4E3B-93D7-CBBA48EF6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FF-4394-846C-F50A94AF4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8-4FD7-98F9-B8D58FC19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5-460B-9534-E53B1BD6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8-4FB7-A15C-7DB7350F4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B-44C9-A70E-F7C05189C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774D92-CD41-47CF-8FD0-571CB7BE4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60249D-22B4-41E4-9D28-5A25AA2F4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4908579-D581-434F-87E3-DDF1AC86C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9DFC15-9C03-44B3-B749-96CD11CFC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930229-D554-4AEE-BCBC-11654C7EF6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E3773B-61A5-4AC5-8017-D16A94032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A3D3DC-0775-43DA-841B-5311BD704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D32CCA-A3DF-4620-907D-780409FCD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08B6CB-6241-463D-A7D5-0C4EBC9838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2248FD-2DD8-43B5-AF0A-53A6BCAE8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E93BBA-7A38-46D4-8578-3E7BA01A8A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2752C94-1A1A-44AE-87DB-E494F0233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92358B-3023-4688-B0FE-C9B3E911C6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599D6C-71FA-437B-8AC3-0A8338E01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BEA50F-543A-4108-BCCB-29830417E4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EF7DFC-E901-465B-B219-97530BC0A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183C40-04B6-43B2-AB55-4C58801FD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602F90-06F6-4AE1-A89C-AB0BD12DE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6B996C-A8F0-49C9-B822-CDA36ADBD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4C26D3-0C2F-4CC1-8DE0-C0E659688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BD9B83F-5362-4EA5-A2C6-D5828E84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8E4A30-87CB-46A1-A8B4-1007F41B5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148756-BA17-4CE1-A98C-AC7BA4F83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A834369-57ED-43C3-8E94-699280D29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B6BA37-A26A-41A8-8528-BD335C5C9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08DD30-F6CB-499A-AB0C-CE6C57A946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A9607F9-8D1F-4004-A642-C465A30332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A8E2C9-C1C2-4EBA-B4F1-BE9B588F1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E1F18D-182F-41AB-BB9F-0A191FC34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218389-598C-4DEF-8E35-7BD3671C4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2EE799-0802-4192-A785-A42182BEE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254716-803D-4BC4-B7DB-35B2BCCC8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62F53F-F26A-4F63-8354-2469496E1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A69BEF-6A8A-4051-9DBC-C4D1A1E3A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EEB3F7-295E-4CC8-98CB-91608D081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7E0AEE-FEAC-4718-99D4-E10F3616B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D1C467-A735-4D39-B96B-371505912F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5DE78A-8F11-434F-BFC5-FB67CC4D90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F5916D-4E47-48BF-9901-E0C6377C3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D32D4F-4AFC-40CC-BAF6-578B9A9A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540DC0-493F-49AB-AEA9-16016D9F9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47A2A1-0ADF-4FBE-8CA7-AE56D9D09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CA0F4D-CDBD-4004-AFE8-9F29CF09E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FDFCD2-A57B-4BD5-B424-5F8D87C1B2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643222-7324-4C51-A7BB-2FFD780FC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466240-C820-4899-9FAD-BC203D453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2EC193-A0FB-4F02-9F7B-0F169423C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656340-E05B-41C4-B1B7-C56EEF7C4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2A9AE3-B1D3-486F-B71D-2FBA6A27C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550270-1FEF-4C1D-BA4E-7772A2A2F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CDACF8-D384-4436-8562-DB422618D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40C6EA-03CB-49B1-9A2B-2C53211B6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F499FC-462A-4E19-92B7-EB33F659C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C7558B-C37A-4554-B9DD-E5A210412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9404E3-6EEF-4DB4-8055-E6D0DD88A1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0F4A51-DD9F-4EC4-A22B-E667A3C42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72194FF-D960-4901-82E1-72C93360FD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7E846E-9C87-4671-B404-3FBF14504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EC87E0-132E-4FBC-AEC0-2C1F43AB4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662335-BD1A-4600-9A22-20F664E60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27"/>
      <c r="C1" s="128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9">
        <v>0</v>
      </c>
      <c r="C2" s="130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1">
        <v>0</v>
      </c>
      <c r="C3" s="132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33">
        <v>0</v>
      </c>
      <c r="C4" s="134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5">
        <f>IF(B$2=0,0,B$4/B$2)</f>
        <v>0</v>
      </c>
      <c r="C5" s="136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43">
        <f>IF(B$2=0,0,(B$7*1+B$8*2+B$9*3)/B$2)</f>
        <v>0</v>
      </c>
      <c r="C6" s="144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0</v>
      </c>
      <c r="C13" s="136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41">
        <v>0</v>
      </c>
      <c r="C32" s="142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39">
        <v>-1000000</v>
      </c>
      <c r="C33" s="140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37">
        <v>0</v>
      </c>
      <c r="C51" s="138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7" customWidth="1"/>
    <col min="3" max="3" width="10.69921875" style="58" customWidth="1"/>
    <col min="4" max="4" width="10.69921875" style="59" customWidth="1"/>
    <col min="5" max="5" width="10.69921875" style="71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60" customWidth="1"/>
    <col min="10" max="10" width="10.69921875" style="59" customWidth="1"/>
    <col min="11" max="11" width="10.69921875" style="61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2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3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1" customWidth="1"/>
    <col min="24" max="24" width="10.69921875" style="59" customWidth="1"/>
    <col min="25" max="25" width="10.69921875" style="62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6" customWidth="1"/>
    <col min="36" max="16384" width="9" style="47"/>
  </cols>
  <sheetData>
    <row r="1" spans="1:35" x14ac:dyDescent="0.45">
      <c r="A1" s="46"/>
      <c r="B1" s="147" t="s">
        <v>6</v>
      </c>
      <c r="C1" s="148"/>
      <c r="D1" s="147" t="s">
        <v>7</v>
      </c>
      <c r="E1" s="148"/>
      <c r="F1" s="151" t="s">
        <v>206</v>
      </c>
      <c r="G1" s="152"/>
      <c r="H1" s="147" t="s">
        <v>15</v>
      </c>
      <c r="I1" s="148"/>
      <c r="J1" s="147" t="s">
        <v>14</v>
      </c>
      <c r="K1" s="148"/>
      <c r="L1" s="147" t="s">
        <v>147</v>
      </c>
      <c r="M1" s="148"/>
      <c r="N1" s="147" t="s">
        <v>137</v>
      </c>
      <c r="O1" s="148"/>
      <c r="P1" s="147" t="s">
        <v>138</v>
      </c>
      <c r="Q1" s="148"/>
      <c r="R1" s="147" t="s">
        <v>5</v>
      </c>
      <c r="S1" s="148"/>
      <c r="T1" s="147" t="s">
        <v>16</v>
      </c>
      <c r="U1" s="148"/>
      <c r="V1" s="147" t="s">
        <v>17</v>
      </c>
      <c r="W1" s="148"/>
      <c r="X1" s="147" t="s">
        <v>122</v>
      </c>
      <c r="Y1" s="148"/>
      <c r="Z1" s="147" t="s">
        <v>119</v>
      </c>
      <c r="AA1" s="148"/>
      <c r="AB1" s="147" t="s">
        <v>125</v>
      </c>
      <c r="AC1" s="148"/>
      <c r="AD1" s="147" t="s">
        <v>139</v>
      </c>
      <c r="AE1" s="148"/>
      <c r="AF1" s="147" t="s">
        <v>136</v>
      </c>
      <c r="AG1" s="148"/>
      <c r="AH1" s="147" t="s">
        <v>177</v>
      </c>
      <c r="AI1" s="148"/>
    </row>
    <row r="2" spans="1:35" x14ac:dyDescent="0.45">
      <c r="A2" s="46" t="s">
        <v>146</v>
      </c>
      <c r="B2" s="149"/>
      <c r="C2" s="150"/>
      <c r="D2" s="149"/>
      <c r="E2" s="150"/>
      <c r="F2" s="145">
        <v>0.46980180291896079</v>
      </c>
      <c r="G2" s="146"/>
      <c r="H2" s="145">
        <v>0.94250519621903406</v>
      </c>
      <c r="I2" s="146"/>
      <c r="J2" s="145">
        <v>0.85504867252254113</v>
      </c>
      <c r="K2" s="146"/>
      <c r="L2" s="145">
        <v>0.62910895988261217</v>
      </c>
      <c r="M2" s="146"/>
      <c r="N2" s="145">
        <v>0.68397842120078545</v>
      </c>
      <c r="O2" s="146"/>
      <c r="P2" s="145">
        <v>0.32860005287909816</v>
      </c>
      <c r="Q2" s="146"/>
      <c r="R2" s="145">
        <v>0.49483855439160757</v>
      </c>
      <c r="S2" s="146"/>
      <c r="T2" s="145">
        <v>-0.38304192017874128</v>
      </c>
      <c r="U2" s="146"/>
      <c r="V2" s="145">
        <v>0.28071302998990361</v>
      </c>
      <c r="W2" s="146"/>
      <c r="X2" s="145">
        <v>0.45154519238510044</v>
      </c>
      <c r="Y2" s="146"/>
      <c r="Z2" s="145">
        <v>1.2751254479936419E-2</v>
      </c>
      <c r="AA2" s="146"/>
      <c r="AB2" s="145">
        <v>0.52372669449623321</v>
      </c>
      <c r="AC2" s="146"/>
      <c r="AD2" s="145">
        <v>0.1619918849192869</v>
      </c>
      <c r="AE2" s="146"/>
      <c r="AF2" s="145">
        <v>-0.29523265254450476</v>
      </c>
      <c r="AG2" s="146"/>
      <c r="AH2" s="145">
        <v>0.51811621176366118</v>
      </c>
      <c r="AI2" s="146"/>
    </row>
    <row r="3" spans="1:35" x14ac:dyDescent="0.45">
      <c r="A3" s="48">
        <v>1</v>
      </c>
      <c r="B3" s="49" t="s">
        <v>195</v>
      </c>
      <c r="C3" s="50">
        <v>6652.2999999999993</v>
      </c>
      <c r="D3" s="51" t="s">
        <v>200</v>
      </c>
      <c r="E3" s="70">
        <v>13.3</v>
      </c>
      <c r="F3" s="51" t="s">
        <v>200</v>
      </c>
      <c r="G3" s="70">
        <v>4.4333333333333336</v>
      </c>
      <c r="H3" s="51" t="s">
        <v>196</v>
      </c>
      <c r="I3" s="52">
        <v>1.6666666666666667</v>
      </c>
      <c r="J3" s="51" t="s">
        <v>196</v>
      </c>
      <c r="K3" s="53">
        <v>0.55555555555555558</v>
      </c>
      <c r="L3" s="51" t="s">
        <v>200</v>
      </c>
      <c r="M3" s="53">
        <v>0</v>
      </c>
      <c r="N3" s="51" t="s">
        <v>196</v>
      </c>
      <c r="O3" s="54">
        <v>0.34782608695652173</v>
      </c>
      <c r="P3" s="51" t="s">
        <v>200</v>
      </c>
      <c r="Q3" s="54">
        <v>7.6923076923076927E-2</v>
      </c>
      <c r="R3" s="51" t="s">
        <v>200</v>
      </c>
      <c r="S3" s="55">
        <v>13800</v>
      </c>
      <c r="T3" s="51" t="s">
        <v>187</v>
      </c>
      <c r="U3" s="55">
        <v>-7342.0779220779223</v>
      </c>
      <c r="V3" s="51" t="s">
        <v>200</v>
      </c>
      <c r="W3" s="53">
        <v>0</v>
      </c>
      <c r="X3" s="51" t="s">
        <v>202</v>
      </c>
      <c r="Y3" s="54">
        <v>0.38461538461538464</v>
      </c>
      <c r="Z3" s="51" t="s">
        <v>198</v>
      </c>
      <c r="AA3" s="54">
        <v>0.375</v>
      </c>
      <c r="AB3" s="51" t="s">
        <v>185</v>
      </c>
      <c r="AC3" s="54">
        <v>0.75</v>
      </c>
      <c r="AD3" s="51" t="s">
        <v>189</v>
      </c>
      <c r="AE3" s="54">
        <v>0.7142857142857143</v>
      </c>
      <c r="AF3" s="51" t="s">
        <v>184</v>
      </c>
      <c r="AG3" s="54">
        <v>1</v>
      </c>
      <c r="AH3" s="51" t="s">
        <v>195</v>
      </c>
      <c r="AI3" s="65">
        <v>149100</v>
      </c>
    </row>
    <row r="4" spans="1:35" x14ac:dyDescent="0.45">
      <c r="A4" s="56">
        <v>2</v>
      </c>
      <c r="B4" s="57" t="s">
        <v>191</v>
      </c>
      <c r="C4" s="58">
        <v>374.60000000000059</v>
      </c>
      <c r="D4" s="59" t="s">
        <v>196</v>
      </c>
      <c r="E4" s="71">
        <v>12.111111111111111</v>
      </c>
      <c r="F4" s="59" t="s">
        <v>192</v>
      </c>
      <c r="G4" s="71">
        <v>3.0839682539682549</v>
      </c>
      <c r="H4" s="59" t="s">
        <v>195</v>
      </c>
      <c r="I4" s="60">
        <v>1.754360465116279</v>
      </c>
      <c r="J4" s="59" t="s">
        <v>202</v>
      </c>
      <c r="K4" s="61">
        <v>0.5</v>
      </c>
      <c r="L4" s="59" t="s">
        <v>196</v>
      </c>
      <c r="M4" s="61">
        <v>0.22222222222222221</v>
      </c>
      <c r="N4" s="59" t="s">
        <v>195</v>
      </c>
      <c r="O4" s="62">
        <v>0.34599999999999997</v>
      </c>
      <c r="P4" s="59" t="s">
        <v>196</v>
      </c>
      <c r="Q4" s="62">
        <v>8.6956521739130432E-2</v>
      </c>
      <c r="R4" s="59" t="s">
        <v>192</v>
      </c>
      <c r="S4" s="63">
        <v>11250.561797752809</v>
      </c>
      <c r="T4" s="59" t="s">
        <v>186</v>
      </c>
      <c r="U4" s="63">
        <v>-7982.2857142857147</v>
      </c>
      <c r="V4" s="59" t="s">
        <v>195</v>
      </c>
      <c r="W4" s="61">
        <v>7.7034883720930231E-2</v>
      </c>
      <c r="X4" s="59" t="s">
        <v>196</v>
      </c>
      <c r="Y4" s="62">
        <v>0.37681159420289856</v>
      </c>
      <c r="Z4" s="59" t="s">
        <v>199</v>
      </c>
      <c r="AA4" s="62">
        <v>0.33201581027667987</v>
      </c>
      <c r="AB4" s="59" t="s">
        <v>202</v>
      </c>
      <c r="AC4" s="62">
        <v>0.6333333333333333</v>
      </c>
      <c r="AD4" s="59" t="s">
        <v>196</v>
      </c>
      <c r="AE4" s="62">
        <v>0.5</v>
      </c>
      <c r="AF4" s="59" t="s">
        <v>186</v>
      </c>
      <c r="AG4" s="62">
        <v>0.52282157676348551</v>
      </c>
      <c r="AH4" s="59" t="s">
        <v>183</v>
      </c>
      <c r="AI4" s="66">
        <v>149100</v>
      </c>
    </row>
    <row r="5" spans="1:35" x14ac:dyDescent="0.45">
      <c r="A5" s="56">
        <v>3</v>
      </c>
      <c r="B5" s="57" t="s">
        <v>196</v>
      </c>
      <c r="C5" s="58">
        <v>109</v>
      </c>
      <c r="D5" s="59" t="s">
        <v>195</v>
      </c>
      <c r="E5" s="71">
        <v>9.6690406976744168</v>
      </c>
      <c r="F5" s="59" t="s">
        <v>191</v>
      </c>
      <c r="G5" s="71">
        <v>1.9542122669237922</v>
      </c>
      <c r="H5" s="59" t="s">
        <v>199</v>
      </c>
      <c r="I5" s="60">
        <v>1.9285714285714286</v>
      </c>
      <c r="J5" s="59" t="s">
        <v>195</v>
      </c>
      <c r="K5" s="61">
        <v>0.46947674418604651</v>
      </c>
      <c r="L5" s="59" t="s">
        <v>195</v>
      </c>
      <c r="M5" s="61">
        <v>0.22383720930232559</v>
      </c>
      <c r="N5" s="59" t="s">
        <v>189</v>
      </c>
      <c r="O5" s="62">
        <v>0.33519553072625696</v>
      </c>
      <c r="P5" s="59" t="s">
        <v>195</v>
      </c>
      <c r="Q5" s="62">
        <v>0.13781818181818181</v>
      </c>
      <c r="R5" s="59" t="s">
        <v>191</v>
      </c>
      <c r="S5" s="63">
        <v>10627.122381477398</v>
      </c>
      <c r="T5" s="59" t="s">
        <v>201</v>
      </c>
      <c r="U5" s="63">
        <v>-7987.5</v>
      </c>
      <c r="V5" s="59" t="s">
        <v>188</v>
      </c>
      <c r="W5" s="61">
        <v>0.10954063604240283</v>
      </c>
      <c r="X5" s="59" t="s">
        <v>201</v>
      </c>
      <c r="Y5" s="62">
        <v>0.375</v>
      </c>
      <c r="Z5" s="59" t="s">
        <v>194</v>
      </c>
      <c r="AA5" s="62">
        <v>0.27777777777777779</v>
      </c>
      <c r="AB5" s="59" t="s">
        <v>196</v>
      </c>
      <c r="AC5" s="62">
        <v>0.61538461538461542</v>
      </c>
      <c r="AD5" s="59" t="s">
        <v>195</v>
      </c>
      <c r="AE5" s="62">
        <v>0.4902135231316726</v>
      </c>
      <c r="AF5" s="59" t="s">
        <v>189</v>
      </c>
      <c r="AG5" s="62">
        <v>0.51666666666666672</v>
      </c>
      <c r="AH5" s="59" t="s">
        <v>191</v>
      </c>
      <c r="AI5" s="66">
        <v>124700</v>
      </c>
    </row>
    <row r="6" spans="1:35" x14ac:dyDescent="0.45">
      <c r="A6" s="56">
        <v>4</v>
      </c>
      <c r="B6" s="57" t="s">
        <v>192</v>
      </c>
      <c r="C6" s="58">
        <v>91.000000000000014</v>
      </c>
      <c r="D6" s="59" t="s">
        <v>192</v>
      </c>
      <c r="E6" s="71">
        <v>2.3333333333333335</v>
      </c>
      <c r="F6" s="59" t="s">
        <v>196</v>
      </c>
      <c r="G6" s="71">
        <v>1.0266666666666648</v>
      </c>
      <c r="H6" s="59" t="s">
        <v>194</v>
      </c>
      <c r="I6" s="60">
        <v>1.9890109890109891</v>
      </c>
      <c r="J6" s="59" t="s">
        <v>192</v>
      </c>
      <c r="K6" s="61">
        <v>0.35897435897435898</v>
      </c>
      <c r="L6" s="59" t="s">
        <v>199</v>
      </c>
      <c r="M6" s="61">
        <v>0.2857142857142857</v>
      </c>
      <c r="N6" s="59" t="s">
        <v>202</v>
      </c>
      <c r="O6" s="62">
        <v>0.33333333333333331</v>
      </c>
      <c r="P6" s="59" t="s">
        <v>187</v>
      </c>
      <c r="Q6" s="62">
        <v>0.15021459227467812</v>
      </c>
      <c r="R6" s="59" t="s">
        <v>202</v>
      </c>
      <c r="S6" s="63">
        <v>9534.6153846153848</v>
      </c>
      <c r="T6" s="59" t="s">
        <v>197</v>
      </c>
      <c r="U6" s="63">
        <v>-8033.088235294118</v>
      </c>
      <c r="V6" s="59" t="s">
        <v>196</v>
      </c>
      <c r="W6" s="61">
        <v>0.1111111111111111</v>
      </c>
      <c r="X6" s="59" t="s">
        <v>189</v>
      </c>
      <c r="Y6" s="62">
        <v>0.35632183908045978</v>
      </c>
      <c r="Z6" s="59" t="s">
        <v>188</v>
      </c>
      <c r="AA6" s="62">
        <v>0.27656675749318799</v>
      </c>
      <c r="AB6" s="59" t="s">
        <v>194</v>
      </c>
      <c r="AC6" s="62">
        <v>0.61386138613861385</v>
      </c>
      <c r="AD6" s="59" t="s">
        <v>194</v>
      </c>
      <c r="AE6" s="62">
        <v>0.43333333333333335</v>
      </c>
      <c r="AF6" s="59" t="s">
        <v>199</v>
      </c>
      <c r="AG6" s="62">
        <v>0.51249999999999996</v>
      </c>
      <c r="AH6" s="59" t="s">
        <v>194</v>
      </c>
      <c r="AI6" s="66">
        <v>118000</v>
      </c>
    </row>
    <row r="7" spans="1:35" x14ac:dyDescent="0.45">
      <c r="A7" s="56">
        <v>5</v>
      </c>
      <c r="B7" s="57" t="s">
        <v>200</v>
      </c>
      <c r="C7" s="58">
        <v>13.3</v>
      </c>
      <c r="D7" s="59" t="s">
        <v>191</v>
      </c>
      <c r="E7" s="71">
        <v>0.93650000000000144</v>
      </c>
      <c r="F7" s="59" t="s">
        <v>187</v>
      </c>
      <c r="G7" s="71">
        <v>0.98387590861890095</v>
      </c>
      <c r="H7" s="59" t="s">
        <v>202</v>
      </c>
      <c r="I7" s="60">
        <v>2</v>
      </c>
      <c r="J7" s="59" t="s">
        <v>199</v>
      </c>
      <c r="K7" s="61">
        <v>0.35714285714285715</v>
      </c>
      <c r="L7" s="59" t="s">
        <v>194</v>
      </c>
      <c r="M7" s="61">
        <v>0.32967032967032966</v>
      </c>
      <c r="N7" s="59" t="s">
        <v>194</v>
      </c>
      <c r="O7" s="62">
        <v>0.32835820895522388</v>
      </c>
      <c r="P7" s="59" t="s">
        <v>198</v>
      </c>
      <c r="Q7" s="62">
        <v>0.15625</v>
      </c>
      <c r="R7" s="59" t="s">
        <v>194</v>
      </c>
      <c r="S7" s="63">
        <v>9344.0909090909099</v>
      </c>
      <c r="T7" s="59" t="s">
        <v>184</v>
      </c>
      <c r="U7" s="63">
        <v>-8240</v>
      </c>
      <c r="V7" s="59" t="s">
        <v>193</v>
      </c>
      <c r="W7" s="61">
        <v>0.11934156378600823</v>
      </c>
      <c r="X7" s="59" t="s">
        <v>191</v>
      </c>
      <c r="Y7" s="62">
        <v>0.29380308273041839</v>
      </c>
      <c r="Z7" s="59" t="s">
        <v>193</v>
      </c>
      <c r="AA7" s="62">
        <v>0.24324324324324326</v>
      </c>
      <c r="AB7" s="59" t="s">
        <v>195</v>
      </c>
      <c r="AC7" s="62">
        <v>0.60643394934976047</v>
      </c>
      <c r="AD7" s="59" t="s">
        <v>183</v>
      </c>
      <c r="AE7" s="62">
        <v>0.40636042402826855</v>
      </c>
      <c r="AF7" s="59" t="s">
        <v>200</v>
      </c>
      <c r="AG7" s="62">
        <v>0.5</v>
      </c>
      <c r="AH7" s="59" t="s">
        <v>186</v>
      </c>
      <c r="AI7" s="66">
        <v>113300</v>
      </c>
    </row>
    <row r="8" spans="1:35" x14ac:dyDescent="0.45">
      <c r="A8" s="56">
        <v>6</v>
      </c>
      <c r="B8" s="57" t="s">
        <v>202</v>
      </c>
      <c r="C8" s="58">
        <v>9.2999999999999972</v>
      </c>
      <c r="D8" s="59" t="s">
        <v>202</v>
      </c>
      <c r="E8" s="71">
        <v>0.92999999999999972</v>
      </c>
      <c r="F8" s="59" t="s">
        <v>195</v>
      </c>
      <c r="G8" s="71">
        <v>0.71959201740061951</v>
      </c>
      <c r="H8" s="59" t="s">
        <v>183</v>
      </c>
      <c r="I8" s="60">
        <v>2</v>
      </c>
      <c r="J8" s="59" t="s">
        <v>194</v>
      </c>
      <c r="K8" s="61">
        <v>0.34065934065934067</v>
      </c>
      <c r="L8" s="59" t="s">
        <v>183</v>
      </c>
      <c r="M8" s="61">
        <v>0.33333333333333331</v>
      </c>
      <c r="N8" s="59" t="s">
        <v>199</v>
      </c>
      <c r="O8" s="62">
        <v>0.31620553359683795</v>
      </c>
      <c r="P8" s="59" t="s">
        <v>189</v>
      </c>
      <c r="Q8" s="62">
        <v>0.16201117318435754</v>
      </c>
      <c r="R8" s="59" t="s">
        <v>190</v>
      </c>
      <c r="S8" s="63">
        <v>9236.1111111111113</v>
      </c>
      <c r="T8" s="59" t="s">
        <v>190</v>
      </c>
      <c r="U8" s="63">
        <v>-8354.662379421221</v>
      </c>
      <c r="V8" s="59" t="s">
        <v>187</v>
      </c>
      <c r="W8" s="61">
        <v>0.12063492063492064</v>
      </c>
      <c r="X8" s="59" t="s">
        <v>195</v>
      </c>
      <c r="Y8" s="62">
        <v>0.28965107057890566</v>
      </c>
      <c r="Z8" s="59" t="s">
        <v>192</v>
      </c>
      <c r="AA8" s="62">
        <v>0.23931623931623933</v>
      </c>
      <c r="AB8" s="59" t="s">
        <v>199</v>
      </c>
      <c r="AC8" s="62">
        <v>0.58730158730158732</v>
      </c>
      <c r="AD8" s="59" t="s">
        <v>188</v>
      </c>
      <c r="AE8" s="62">
        <v>0.40065681444991791</v>
      </c>
      <c r="AF8" s="59" t="s">
        <v>192</v>
      </c>
      <c r="AG8" s="62">
        <v>0.48314606741573035</v>
      </c>
      <c r="AH8" s="59" t="s">
        <v>193</v>
      </c>
      <c r="AI8" s="66">
        <v>109300</v>
      </c>
    </row>
    <row r="9" spans="1:35" x14ac:dyDescent="0.45">
      <c r="A9" s="56">
        <v>7</v>
      </c>
      <c r="B9" s="57" t="s">
        <v>183</v>
      </c>
      <c r="C9" s="58">
        <v>1.4210854715202004E-14</v>
      </c>
      <c r="D9" s="59" t="s">
        <v>183</v>
      </c>
      <c r="E9" s="71">
        <v>4.7559754736285151E-18</v>
      </c>
      <c r="F9" s="59" t="s">
        <v>202</v>
      </c>
      <c r="G9" s="71">
        <v>0.61999999999999977</v>
      </c>
      <c r="H9" s="59" t="s">
        <v>200</v>
      </c>
      <c r="I9" s="60">
        <v>2</v>
      </c>
      <c r="J9" s="59" t="s">
        <v>193</v>
      </c>
      <c r="K9" s="61">
        <v>0.33333333333333331</v>
      </c>
      <c r="L9" s="59" t="s">
        <v>187</v>
      </c>
      <c r="M9" s="61">
        <v>0.3396825396825397</v>
      </c>
      <c r="N9" s="59" t="s">
        <v>198</v>
      </c>
      <c r="O9" s="62">
        <v>0.3125</v>
      </c>
      <c r="P9" s="59" t="s">
        <v>188</v>
      </c>
      <c r="Q9" s="62">
        <v>0.16414777497900923</v>
      </c>
      <c r="R9" s="59" t="s">
        <v>195</v>
      </c>
      <c r="S9" s="63">
        <v>9190.2785076195487</v>
      </c>
      <c r="T9" s="59" t="s">
        <v>183</v>
      </c>
      <c r="U9" s="63">
        <v>-8384.0377921432118</v>
      </c>
      <c r="V9" s="59" t="s">
        <v>183</v>
      </c>
      <c r="W9" s="61">
        <v>0.12115127175368139</v>
      </c>
      <c r="X9" s="59" t="s">
        <v>190</v>
      </c>
      <c r="Y9" s="62">
        <v>0.28821243523316065</v>
      </c>
      <c r="Z9" s="59" t="s">
        <v>197</v>
      </c>
      <c r="AA9" s="62">
        <v>0.23721590909090909</v>
      </c>
      <c r="AB9" s="59" t="s">
        <v>190</v>
      </c>
      <c r="AC9" s="62">
        <v>0.57078651685393256</v>
      </c>
      <c r="AD9" s="59" t="s">
        <v>191</v>
      </c>
      <c r="AE9" s="62">
        <v>0.39534883720930231</v>
      </c>
      <c r="AF9" s="59" t="s">
        <v>202</v>
      </c>
      <c r="AG9" s="62">
        <v>0.46153846153846156</v>
      </c>
      <c r="AH9" s="59" t="s">
        <v>192</v>
      </c>
      <c r="AI9" s="66">
        <v>109300</v>
      </c>
    </row>
    <row r="10" spans="1:35" x14ac:dyDescent="0.45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183</v>
      </c>
      <c r="G10" s="71">
        <v>0</v>
      </c>
      <c r="H10" s="59" t="s">
        <v>193</v>
      </c>
      <c r="I10" s="60">
        <v>2.0123456790123457</v>
      </c>
      <c r="J10" s="59" t="s">
        <v>183</v>
      </c>
      <c r="K10" s="61">
        <v>0.33333333333333331</v>
      </c>
      <c r="L10" s="59" t="s">
        <v>193</v>
      </c>
      <c r="M10" s="61">
        <v>0.34567901234567899</v>
      </c>
      <c r="N10" s="59" t="s">
        <v>183</v>
      </c>
      <c r="O10" s="62">
        <v>0.29710055521283157</v>
      </c>
      <c r="P10" s="59" t="s">
        <v>183</v>
      </c>
      <c r="Q10" s="62">
        <v>0.1654122969360477</v>
      </c>
      <c r="R10" s="59" t="s">
        <v>183</v>
      </c>
      <c r="S10" s="63">
        <v>8975.747508305647</v>
      </c>
      <c r="T10" s="59" t="s">
        <v>193</v>
      </c>
      <c r="U10" s="63">
        <v>-8396.312684365781</v>
      </c>
      <c r="V10" s="59" t="s">
        <v>191</v>
      </c>
      <c r="W10" s="61">
        <v>0.13250000000000001</v>
      </c>
      <c r="X10" s="59" t="s">
        <v>192</v>
      </c>
      <c r="Y10" s="62">
        <v>0.27777777777777779</v>
      </c>
      <c r="Z10" s="59" t="s">
        <v>187</v>
      </c>
      <c r="AA10" s="62">
        <v>0.22863831447522434</v>
      </c>
      <c r="AB10" s="59" t="s">
        <v>183</v>
      </c>
      <c r="AC10" s="62">
        <v>0.56736650686063816</v>
      </c>
      <c r="AD10" s="59" t="s">
        <v>199</v>
      </c>
      <c r="AE10" s="62">
        <v>0.39285714285714285</v>
      </c>
      <c r="AF10" s="59" t="s">
        <v>191</v>
      </c>
      <c r="AG10" s="62">
        <v>0.45755237045203967</v>
      </c>
      <c r="AH10" s="59" t="s">
        <v>190</v>
      </c>
      <c r="AI10" s="66">
        <v>107600</v>
      </c>
    </row>
    <row r="11" spans="1:35" x14ac:dyDescent="0.45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190</v>
      </c>
      <c r="G11" s="71">
        <v>-0.23377830279936043</v>
      </c>
      <c r="H11" s="59" t="s">
        <v>192</v>
      </c>
      <c r="I11" s="60">
        <v>2.0256410256410255</v>
      </c>
      <c r="J11" s="59" t="s">
        <v>191</v>
      </c>
      <c r="K11" s="61">
        <v>0.32500000000000001</v>
      </c>
      <c r="L11" s="59" t="s">
        <v>191</v>
      </c>
      <c r="M11" s="61">
        <v>0.35249999999999998</v>
      </c>
      <c r="N11" s="59" t="s">
        <v>193</v>
      </c>
      <c r="O11" s="62">
        <v>0.29693004529441369</v>
      </c>
      <c r="P11" s="59" t="s">
        <v>192</v>
      </c>
      <c r="Q11" s="62">
        <v>0.16772151898734178</v>
      </c>
      <c r="R11" s="59" t="s">
        <v>196</v>
      </c>
      <c r="S11" s="63">
        <v>8891.6666666666661</v>
      </c>
      <c r="T11" s="59" t="s">
        <v>196</v>
      </c>
      <c r="U11" s="63">
        <v>-8400</v>
      </c>
      <c r="V11" s="59" t="s">
        <v>189</v>
      </c>
      <c r="W11" s="61">
        <v>0.13636363636363635</v>
      </c>
      <c r="X11" s="59" t="s">
        <v>183</v>
      </c>
      <c r="Y11" s="62">
        <v>0.26416000698720465</v>
      </c>
      <c r="Z11" s="59" t="s">
        <v>195</v>
      </c>
      <c r="AA11" s="62">
        <v>0.22283901665344966</v>
      </c>
      <c r="AB11" s="59" t="s">
        <v>187</v>
      </c>
      <c r="AC11" s="62">
        <v>0.564873417721519</v>
      </c>
      <c r="AD11" s="59" t="s">
        <v>202</v>
      </c>
      <c r="AE11" s="62">
        <v>0.38461538461538464</v>
      </c>
      <c r="AF11" s="59" t="s">
        <v>190</v>
      </c>
      <c r="AG11" s="62">
        <v>0.45555555555555555</v>
      </c>
      <c r="AH11" s="59" t="s">
        <v>199</v>
      </c>
      <c r="AI11" s="66">
        <v>106300</v>
      </c>
    </row>
    <row r="12" spans="1:35" x14ac:dyDescent="0.45">
      <c r="A12" s="56">
        <v>10</v>
      </c>
      <c r="B12" s="57" t="s">
        <v>198</v>
      </c>
      <c r="C12" s="58">
        <v>-56.2</v>
      </c>
      <c r="D12" s="59" t="s">
        <v>187</v>
      </c>
      <c r="E12" s="71">
        <v>-1.4526984126984128</v>
      </c>
      <c r="F12" s="59" t="s">
        <v>188</v>
      </c>
      <c r="G12" s="71">
        <v>-0.27227587946034504</v>
      </c>
      <c r="H12" s="59" t="s">
        <v>191</v>
      </c>
      <c r="I12" s="60">
        <v>2.0274999999999999</v>
      </c>
      <c r="J12" s="59" t="s">
        <v>189</v>
      </c>
      <c r="K12" s="61">
        <v>0.31818181818181818</v>
      </c>
      <c r="L12" s="59" t="s">
        <v>189</v>
      </c>
      <c r="M12" s="61">
        <v>0.36363636363636365</v>
      </c>
      <c r="N12" s="59" t="s">
        <v>188</v>
      </c>
      <c r="O12" s="62">
        <v>0.29680940386230059</v>
      </c>
      <c r="P12" s="59" t="s">
        <v>199</v>
      </c>
      <c r="Q12" s="62">
        <v>0.16996047430830039</v>
      </c>
      <c r="R12" s="59" t="s">
        <v>187</v>
      </c>
      <c r="S12" s="63">
        <v>8703.3625730994154</v>
      </c>
      <c r="T12" s="59" t="s">
        <v>195</v>
      </c>
      <c r="U12" s="63">
        <v>-8445.2506596306066</v>
      </c>
      <c r="V12" s="59" t="s">
        <v>190</v>
      </c>
      <c r="W12" s="61">
        <v>0.13936430317848411</v>
      </c>
      <c r="X12" s="59" t="s">
        <v>185</v>
      </c>
      <c r="Y12" s="62">
        <v>0.25806451612903225</v>
      </c>
      <c r="Z12" s="59" t="s">
        <v>183</v>
      </c>
      <c r="AA12" s="62">
        <v>0.22245512904493647</v>
      </c>
      <c r="AB12" s="59" t="s">
        <v>186</v>
      </c>
      <c r="AC12" s="62">
        <v>0.56338028169014087</v>
      </c>
      <c r="AD12" s="59" t="s">
        <v>193</v>
      </c>
      <c r="AE12" s="62">
        <v>0.38354700854700857</v>
      </c>
      <c r="AF12" s="59" t="s">
        <v>197</v>
      </c>
      <c r="AG12" s="62">
        <v>0.45348837209302323</v>
      </c>
      <c r="AH12" s="59" t="s">
        <v>188</v>
      </c>
      <c r="AI12" s="66">
        <v>103200</v>
      </c>
    </row>
    <row r="13" spans="1:35" x14ac:dyDescent="0.45">
      <c r="A13" s="56">
        <v>11</v>
      </c>
      <c r="B13" s="57" t="s">
        <v>189</v>
      </c>
      <c r="C13" s="58">
        <v>-71.099999999999994</v>
      </c>
      <c r="D13" s="59" t="s">
        <v>193</v>
      </c>
      <c r="E13" s="71">
        <v>-2.1179012345679027</v>
      </c>
      <c r="F13" s="59" t="s">
        <v>194</v>
      </c>
      <c r="G13" s="71">
        <v>-0.4518996415770597</v>
      </c>
      <c r="H13" s="59" t="s">
        <v>189</v>
      </c>
      <c r="I13" s="60">
        <v>2.0454545454545454</v>
      </c>
      <c r="J13" s="59" t="s">
        <v>186</v>
      </c>
      <c r="K13" s="61">
        <v>0.2857142857142857</v>
      </c>
      <c r="L13" s="59" t="s">
        <v>190</v>
      </c>
      <c r="M13" s="61">
        <v>0.37897310513447435</v>
      </c>
      <c r="N13" s="59" t="s">
        <v>191</v>
      </c>
      <c r="O13" s="62">
        <v>0.28202736318407962</v>
      </c>
      <c r="P13" s="59" t="s">
        <v>193</v>
      </c>
      <c r="Q13" s="62">
        <v>0.17060895822848515</v>
      </c>
      <c r="R13" s="59" t="s">
        <v>193</v>
      </c>
      <c r="S13" s="63">
        <v>8527.7118644067796</v>
      </c>
      <c r="T13" s="59" t="s">
        <v>188</v>
      </c>
      <c r="U13" s="63">
        <v>-8481.0741687979535</v>
      </c>
      <c r="V13" s="59" t="s">
        <v>194</v>
      </c>
      <c r="W13" s="61">
        <v>0.15384615384615385</v>
      </c>
      <c r="X13" s="59" t="s">
        <v>199</v>
      </c>
      <c r="Y13" s="62">
        <v>0.24901185770750989</v>
      </c>
      <c r="Z13" s="59" t="s">
        <v>186</v>
      </c>
      <c r="AA13" s="62">
        <v>0.20327868852459016</v>
      </c>
      <c r="AB13" s="59" t="s">
        <v>191</v>
      </c>
      <c r="AC13" s="62">
        <v>0.56102783725910066</v>
      </c>
      <c r="AD13" s="59" t="s">
        <v>197</v>
      </c>
      <c r="AE13" s="62">
        <v>0.3772455089820359</v>
      </c>
      <c r="AF13" s="59" t="s">
        <v>187</v>
      </c>
      <c r="AG13" s="62">
        <v>0.44590643274853803</v>
      </c>
      <c r="AH13" s="59" t="s">
        <v>187</v>
      </c>
      <c r="AI13" s="66">
        <v>103000</v>
      </c>
    </row>
    <row r="14" spans="1:35" x14ac:dyDescent="0.45">
      <c r="A14" s="56">
        <v>12</v>
      </c>
      <c r="B14" s="57" t="s">
        <v>201</v>
      </c>
      <c r="C14" s="58">
        <v>-80.800000000000011</v>
      </c>
      <c r="D14" s="59" t="s">
        <v>189</v>
      </c>
      <c r="E14" s="71">
        <v>-3.2318181818181815</v>
      </c>
      <c r="F14" s="59" t="s">
        <v>197</v>
      </c>
      <c r="G14" s="71">
        <v>-1.4635563782622636</v>
      </c>
      <c r="H14" s="59" t="s">
        <v>187</v>
      </c>
      <c r="I14" s="60">
        <v>2.0603174603174601</v>
      </c>
      <c r="J14" s="59" t="s">
        <v>187</v>
      </c>
      <c r="K14" s="61">
        <v>0.27936507936507937</v>
      </c>
      <c r="L14" s="59" t="s">
        <v>192</v>
      </c>
      <c r="M14" s="61">
        <v>0.38461538461538464</v>
      </c>
      <c r="N14" s="59" t="s">
        <v>192</v>
      </c>
      <c r="O14" s="62">
        <v>0.28164556962025317</v>
      </c>
      <c r="P14" s="59" t="s">
        <v>194</v>
      </c>
      <c r="Q14" s="62">
        <v>0.17164179104477612</v>
      </c>
      <c r="R14" s="59" t="s">
        <v>201</v>
      </c>
      <c r="S14" s="63">
        <v>8512.5</v>
      </c>
      <c r="T14" s="59" t="s">
        <v>189</v>
      </c>
      <c r="U14" s="63">
        <v>-8741.3793103448279</v>
      </c>
      <c r="V14" s="59" t="s">
        <v>192</v>
      </c>
      <c r="W14" s="61">
        <v>0.15384615384615385</v>
      </c>
      <c r="X14" s="59" t="s">
        <v>193</v>
      </c>
      <c r="Y14" s="62">
        <v>0.24870062370062371</v>
      </c>
      <c r="Z14" s="59" t="s">
        <v>191</v>
      </c>
      <c r="AA14" s="62">
        <v>0.18936772569990562</v>
      </c>
      <c r="AB14" s="59" t="s">
        <v>192</v>
      </c>
      <c r="AC14" s="62">
        <v>0.53846153846153844</v>
      </c>
      <c r="AD14" s="59" t="s">
        <v>187</v>
      </c>
      <c r="AE14" s="62">
        <v>0.37542662116040953</v>
      </c>
      <c r="AF14" s="59" t="s">
        <v>194</v>
      </c>
      <c r="AG14" s="62">
        <v>0.43636363636363634</v>
      </c>
      <c r="AH14" s="59" t="s">
        <v>197</v>
      </c>
      <c r="AI14" s="66">
        <v>85100</v>
      </c>
    </row>
    <row r="15" spans="1:35" x14ac:dyDescent="0.45">
      <c r="A15" s="56">
        <v>13</v>
      </c>
      <c r="B15" s="57" t="s">
        <v>185</v>
      </c>
      <c r="C15" s="58">
        <v>-86.4</v>
      </c>
      <c r="D15" s="59" t="s">
        <v>190</v>
      </c>
      <c r="E15" s="71">
        <v>-4.4982885085574562</v>
      </c>
      <c r="F15" s="59" t="s">
        <v>193</v>
      </c>
      <c r="G15" s="71">
        <v>-1.6494234160900827</v>
      </c>
      <c r="H15" s="59" t="s">
        <v>190</v>
      </c>
      <c r="I15" s="60">
        <v>2.1173594132029341</v>
      </c>
      <c r="J15" s="59" t="s">
        <v>190</v>
      </c>
      <c r="K15" s="61">
        <v>0.26161369193154033</v>
      </c>
      <c r="L15" s="59" t="s">
        <v>188</v>
      </c>
      <c r="M15" s="61">
        <v>0.38869257950530034</v>
      </c>
      <c r="N15" s="59" t="s">
        <v>185</v>
      </c>
      <c r="O15" s="62">
        <v>0.27027027027027029</v>
      </c>
      <c r="P15" s="59" t="s">
        <v>191</v>
      </c>
      <c r="Q15" s="62">
        <v>0.18034825870646767</v>
      </c>
      <c r="R15" s="59" t="s">
        <v>197</v>
      </c>
      <c r="S15" s="63">
        <v>8329.0697674418607</v>
      </c>
      <c r="T15" s="59" t="s">
        <v>191</v>
      </c>
      <c r="U15" s="63">
        <v>-8746.0344827586214</v>
      </c>
      <c r="V15" s="59" t="s">
        <v>197</v>
      </c>
      <c r="W15" s="61">
        <v>0.16666666666666666</v>
      </c>
      <c r="X15" s="59" t="s">
        <v>187</v>
      </c>
      <c r="Y15" s="62">
        <v>0.24658603199375731</v>
      </c>
      <c r="Z15" s="59" t="s">
        <v>190</v>
      </c>
      <c r="AA15" s="62">
        <v>0.18005181347150259</v>
      </c>
      <c r="AB15" s="59" t="s">
        <v>193</v>
      </c>
      <c r="AC15" s="62">
        <v>0.53605015673981193</v>
      </c>
      <c r="AD15" s="59" t="s">
        <v>190</v>
      </c>
      <c r="AE15" s="62">
        <v>0.35971223021582732</v>
      </c>
      <c r="AF15" s="59" t="s">
        <v>183</v>
      </c>
      <c r="AG15" s="62">
        <v>0.43535437430786267</v>
      </c>
      <c r="AH15" s="59" t="s">
        <v>196</v>
      </c>
      <c r="AI15" s="66">
        <v>78000</v>
      </c>
    </row>
    <row r="16" spans="1:35" x14ac:dyDescent="0.45">
      <c r="A16" s="56">
        <v>14</v>
      </c>
      <c r="B16" s="57" t="s">
        <v>184</v>
      </c>
      <c r="C16" s="58">
        <v>-132.1</v>
      </c>
      <c r="D16" s="59" t="s">
        <v>188</v>
      </c>
      <c r="E16" s="71">
        <v>-5.3226148409893996</v>
      </c>
      <c r="F16" s="59" t="s">
        <v>189</v>
      </c>
      <c r="G16" s="71">
        <v>-1.7303571428571434</v>
      </c>
      <c r="H16" s="59" t="s">
        <v>186</v>
      </c>
      <c r="I16" s="60">
        <v>2.1333333333333333</v>
      </c>
      <c r="J16" s="59" t="s">
        <v>198</v>
      </c>
      <c r="K16" s="61">
        <v>0.25</v>
      </c>
      <c r="L16" s="59" t="s">
        <v>185</v>
      </c>
      <c r="M16" s="61">
        <v>0.4</v>
      </c>
      <c r="N16" s="59" t="s">
        <v>190</v>
      </c>
      <c r="O16" s="62">
        <v>0.26873693639892504</v>
      </c>
      <c r="P16" s="59" t="s">
        <v>190</v>
      </c>
      <c r="Q16" s="62">
        <v>0.1857270827112571</v>
      </c>
      <c r="R16" s="59" t="s">
        <v>199</v>
      </c>
      <c r="S16" s="63">
        <v>7901.25</v>
      </c>
      <c r="T16" s="59" t="s">
        <v>199</v>
      </c>
      <c r="U16" s="63">
        <v>-8765.1162790697672</v>
      </c>
      <c r="V16" s="59" t="s">
        <v>186</v>
      </c>
      <c r="W16" s="61">
        <v>0.18095238095238095</v>
      </c>
      <c r="X16" s="59" t="s">
        <v>194</v>
      </c>
      <c r="Y16" s="62">
        <v>0.23379629629629631</v>
      </c>
      <c r="Z16" s="59" t="s">
        <v>202</v>
      </c>
      <c r="AA16" s="62">
        <v>0.16666666666666666</v>
      </c>
      <c r="AB16" s="59" t="s">
        <v>197</v>
      </c>
      <c r="AC16" s="62">
        <v>0.53472222222222221</v>
      </c>
      <c r="AD16" s="59" t="s">
        <v>201</v>
      </c>
      <c r="AE16" s="62">
        <v>0.33333333333333331</v>
      </c>
      <c r="AF16" s="59" t="s">
        <v>188</v>
      </c>
      <c r="AG16" s="62">
        <v>0.42574257425742573</v>
      </c>
      <c r="AH16" s="59" t="s">
        <v>202</v>
      </c>
      <c r="AI16" s="66">
        <v>70900</v>
      </c>
    </row>
    <row r="17" spans="1:35" x14ac:dyDescent="0.45">
      <c r="A17" s="56">
        <v>15</v>
      </c>
      <c r="B17" s="57" t="s">
        <v>187</v>
      </c>
      <c r="C17" s="58">
        <v>-457.6</v>
      </c>
      <c r="D17" s="59" t="s">
        <v>186</v>
      </c>
      <c r="E17" s="71">
        <v>-7.7371428571428567</v>
      </c>
      <c r="F17" s="59" t="s">
        <v>186</v>
      </c>
      <c r="G17" s="71">
        <v>-2.5708813945910713</v>
      </c>
      <c r="H17" s="59" t="s">
        <v>188</v>
      </c>
      <c r="I17" s="60">
        <v>2.1413427561837457</v>
      </c>
      <c r="J17" s="59" t="s">
        <v>188</v>
      </c>
      <c r="K17" s="61">
        <v>0.24734982332155478</v>
      </c>
      <c r="L17" s="59" t="s">
        <v>201</v>
      </c>
      <c r="M17" s="61">
        <v>0.4</v>
      </c>
      <c r="N17" s="59" t="s">
        <v>187</v>
      </c>
      <c r="O17" s="62">
        <v>0.26687475614514239</v>
      </c>
      <c r="P17" s="59" t="s">
        <v>186</v>
      </c>
      <c r="Q17" s="62">
        <v>0.19125683060109289</v>
      </c>
      <c r="R17" s="59" t="s">
        <v>186</v>
      </c>
      <c r="S17" s="63">
        <v>7862.2406639004148</v>
      </c>
      <c r="T17" s="59" t="s">
        <v>192</v>
      </c>
      <c r="U17" s="63">
        <v>-9054.7169811320746</v>
      </c>
      <c r="V17" s="59" t="s">
        <v>202</v>
      </c>
      <c r="W17" s="61">
        <v>0.2</v>
      </c>
      <c r="X17" s="59" t="s">
        <v>186</v>
      </c>
      <c r="Y17" s="62">
        <v>0.23278688524590163</v>
      </c>
      <c r="Z17" s="59" t="s">
        <v>185</v>
      </c>
      <c r="AA17" s="62">
        <v>0.16129032258064516</v>
      </c>
      <c r="AB17" s="59" t="s">
        <v>189</v>
      </c>
      <c r="AC17" s="62">
        <v>0.532258064516129</v>
      </c>
      <c r="AD17" s="59" t="s">
        <v>186</v>
      </c>
      <c r="AE17" s="62">
        <v>0.32795698924731181</v>
      </c>
      <c r="AF17" s="59" t="s">
        <v>193</v>
      </c>
      <c r="AG17" s="62">
        <v>0.41949152542372881</v>
      </c>
      <c r="AH17" s="59" t="s">
        <v>189</v>
      </c>
      <c r="AI17" s="66">
        <v>65900</v>
      </c>
    </row>
    <row r="18" spans="1:35" x14ac:dyDescent="0.45">
      <c r="A18" s="56">
        <v>16</v>
      </c>
      <c r="B18" s="57" t="s">
        <v>186</v>
      </c>
      <c r="C18" s="58">
        <v>-812.4</v>
      </c>
      <c r="D18" s="59" t="s">
        <v>197</v>
      </c>
      <c r="E18" s="71">
        <v>-13.714285714285717</v>
      </c>
      <c r="F18" s="59" t="s">
        <v>198</v>
      </c>
      <c r="G18" s="71">
        <v>-2.9833333333333321</v>
      </c>
      <c r="H18" s="59" t="s">
        <v>185</v>
      </c>
      <c r="I18" s="60">
        <v>2.2000000000000002</v>
      </c>
      <c r="J18" s="59" t="s">
        <v>185</v>
      </c>
      <c r="K18" s="61">
        <v>0.2</v>
      </c>
      <c r="L18" s="59" t="s">
        <v>186</v>
      </c>
      <c r="M18" s="61">
        <v>0.41904761904761906</v>
      </c>
      <c r="N18" s="59" t="s">
        <v>186</v>
      </c>
      <c r="O18" s="62">
        <v>0.26338797814207648</v>
      </c>
      <c r="P18" s="59" t="s">
        <v>197</v>
      </c>
      <c r="Q18" s="62">
        <v>0.19318181818181818</v>
      </c>
      <c r="R18" s="59" t="s">
        <v>184</v>
      </c>
      <c r="S18" s="63">
        <v>7800</v>
      </c>
      <c r="T18" s="59" t="s">
        <v>194</v>
      </c>
      <c r="U18" s="63">
        <v>-9212.173913043478</v>
      </c>
      <c r="V18" s="59" t="s">
        <v>201</v>
      </c>
      <c r="W18" s="61">
        <v>0.2</v>
      </c>
      <c r="X18" s="59" t="s">
        <v>200</v>
      </c>
      <c r="Y18" s="62">
        <v>0.23076923076923078</v>
      </c>
      <c r="Z18" s="59" t="s">
        <v>201</v>
      </c>
      <c r="AA18" s="62">
        <v>0.15</v>
      </c>
      <c r="AB18" s="59" t="s">
        <v>188</v>
      </c>
      <c r="AC18" s="62">
        <v>0.52283105022831056</v>
      </c>
      <c r="AD18" s="59" t="s">
        <v>192</v>
      </c>
      <c r="AE18" s="62">
        <v>0.32142857142857145</v>
      </c>
      <c r="AF18" s="59" t="s">
        <v>195</v>
      </c>
      <c r="AG18" s="62">
        <v>0.40725170782974252</v>
      </c>
      <c r="AH18" s="59" t="s">
        <v>185</v>
      </c>
      <c r="AI18" s="66">
        <v>57800</v>
      </c>
    </row>
    <row r="19" spans="1:35" x14ac:dyDescent="0.45">
      <c r="A19" s="56">
        <v>17</v>
      </c>
      <c r="B19" s="57" t="s">
        <v>193</v>
      </c>
      <c r="C19" s="58">
        <v>-1029.3000000000006</v>
      </c>
      <c r="D19" s="59" t="s">
        <v>198</v>
      </c>
      <c r="E19" s="71">
        <v>-14.05</v>
      </c>
      <c r="F19" s="59" t="s">
        <v>199</v>
      </c>
      <c r="G19" s="71">
        <v>-4.0783333333333331</v>
      </c>
      <c r="H19" s="59" t="s">
        <v>201</v>
      </c>
      <c r="I19" s="60">
        <v>2.2000000000000002</v>
      </c>
      <c r="J19" s="59" t="s">
        <v>201</v>
      </c>
      <c r="K19" s="61">
        <v>0.2</v>
      </c>
      <c r="L19" s="59" t="s">
        <v>197</v>
      </c>
      <c r="M19" s="61">
        <v>0.4642857142857143</v>
      </c>
      <c r="N19" s="59" t="s">
        <v>197</v>
      </c>
      <c r="O19" s="62">
        <v>0.24431818181818182</v>
      </c>
      <c r="P19" s="59" t="s">
        <v>201</v>
      </c>
      <c r="Q19" s="62">
        <v>0.2</v>
      </c>
      <c r="R19" s="59" t="s">
        <v>188</v>
      </c>
      <c r="S19" s="63">
        <v>7425.6011315417254</v>
      </c>
      <c r="T19" s="59" t="s">
        <v>202</v>
      </c>
      <c r="U19" s="63">
        <v>-10010.526315789473</v>
      </c>
      <c r="V19" s="59" t="s">
        <v>199</v>
      </c>
      <c r="W19" s="61">
        <v>0.25</v>
      </c>
      <c r="X19" s="59" t="s">
        <v>198</v>
      </c>
      <c r="Y19" s="62">
        <v>0.21875</v>
      </c>
      <c r="Z19" s="59" t="s">
        <v>196</v>
      </c>
      <c r="AA19" s="62">
        <v>0.14492753623188406</v>
      </c>
      <c r="AB19" s="59" t="s">
        <v>198</v>
      </c>
      <c r="AC19" s="62">
        <v>0.42857142857142855</v>
      </c>
      <c r="AD19" s="59" t="s">
        <v>198</v>
      </c>
      <c r="AE19" s="62">
        <v>0.25</v>
      </c>
      <c r="AF19" s="59" t="s">
        <v>185</v>
      </c>
      <c r="AG19" s="62">
        <v>0.3</v>
      </c>
      <c r="AH19" s="59" t="s">
        <v>198</v>
      </c>
      <c r="AI19" s="66">
        <v>55200</v>
      </c>
    </row>
    <row r="20" spans="1:35" x14ac:dyDescent="0.45">
      <c r="A20" s="56">
        <v>18</v>
      </c>
      <c r="B20" s="57" t="s">
        <v>197</v>
      </c>
      <c r="C20" s="58">
        <v>-1152.0000000000002</v>
      </c>
      <c r="D20" s="59" t="s">
        <v>201</v>
      </c>
      <c r="E20" s="71">
        <v>-16.160000000000004</v>
      </c>
      <c r="F20" s="59" t="s">
        <v>201</v>
      </c>
      <c r="G20" s="71">
        <v>-8.9666666666666668</v>
      </c>
      <c r="H20" s="59" t="s">
        <v>198</v>
      </c>
      <c r="I20" s="60">
        <v>2.25</v>
      </c>
      <c r="J20" s="59" t="s">
        <v>197</v>
      </c>
      <c r="K20" s="61">
        <v>0.13095238095238096</v>
      </c>
      <c r="L20" s="59" t="s">
        <v>202</v>
      </c>
      <c r="M20" s="61">
        <v>0.5</v>
      </c>
      <c r="N20" s="59" t="s">
        <v>201</v>
      </c>
      <c r="O20" s="62">
        <v>0.2</v>
      </c>
      <c r="P20" s="59" t="s">
        <v>185</v>
      </c>
      <c r="Q20" s="62">
        <v>0.21621621621621623</v>
      </c>
      <c r="R20" s="59" t="s">
        <v>189</v>
      </c>
      <c r="S20" s="63">
        <v>7216.666666666667</v>
      </c>
      <c r="T20" s="59" t="s">
        <v>198</v>
      </c>
      <c r="U20" s="63">
        <v>-11280</v>
      </c>
      <c r="V20" s="59" t="s">
        <v>198</v>
      </c>
      <c r="W20" s="61">
        <v>0.25</v>
      </c>
      <c r="X20" s="59" t="s">
        <v>197</v>
      </c>
      <c r="Y20" s="62">
        <v>0.20454545454545456</v>
      </c>
      <c r="Z20" s="59" t="s">
        <v>189</v>
      </c>
      <c r="AA20" s="62">
        <v>0.1206896551724138</v>
      </c>
      <c r="AB20" s="59" t="s">
        <v>201</v>
      </c>
      <c r="AC20" s="62">
        <v>0.4</v>
      </c>
      <c r="AD20" s="59" t="s">
        <v>185</v>
      </c>
      <c r="AE20" s="62">
        <v>0.2</v>
      </c>
      <c r="AF20" s="59" t="s">
        <v>198</v>
      </c>
      <c r="AG20" s="62">
        <v>0.3</v>
      </c>
      <c r="AH20" s="59" t="s">
        <v>201</v>
      </c>
      <c r="AI20" s="66">
        <v>52000</v>
      </c>
    </row>
    <row r="21" spans="1:35" x14ac:dyDescent="0.45">
      <c r="A21" s="56">
        <v>19</v>
      </c>
      <c r="B21" s="57" t="s">
        <v>188</v>
      </c>
      <c r="C21" s="58">
        <v>-1506.3000000000002</v>
      </c>
      <c r="D21" s="59" t="s">
        <v>185</v>
      </c>
      <c r="E21" s="71">
        <v>-17.28</v>
      </c>
      <c r="F21" s="59" t="s">
        <v>185</v>
      </c>
      <c r="G21" s="71">
        <v>-10.6</v>
      </c>
      <c r="H21" s="59" t="s">
        <v>197</v>
      </c>
      <c r="I21" s="60">
        <v>2.3333333333333335</v>
      </c>
      <c r="J21" s="59" t="s">
        <v>184</v>
      </c>
      <c r="K21" s="61">
        <v>0</v>
      </c>
      <c r="L21" s="59" t="s">
        <v>198</v>
      </c>
      <c r="M21" s="61">
        <v>0.5</v>
      </c>
      <c r="N21" s="59" t="s">
        <v>200</v>
      </c>
      <c r="O21" s="62">
        <v>0.15384615384615385</v>
      </c>
      <c r="P21" s="59" t="s">
        <v>202</v>
      </c>
      <c r="Q21" s="62">
        <v>0.24358974358974358</v>
      </c>
      <c r="R21" s="59" t="s">
        <v>185</v>
      </c>
      <c r="S21" s="63">
        <v>7100</v>
      </c>
      <c r="T21" s="59" t="s">
        <v>200</v>
      </c>
      <c r="U21" s="63">
        <v>-12000</v>
      </c>
      <c r="V21" s="59" t="s">
        <v>185</v>
      </c>
      <c r="W21" s="61">
        <v>0.4</v>
      </c>
      <c r="X21" s="59" t="s">
        <v>188</v>
      </c>
      <c r="Y21" s="62">
        <v>0.1989100817438692</v>
      </c>
      <c r="Z21" s="59" t="s">
        <v>200</v>
      </c>
      <c r="AA21" s="62">
        <v>7.6923076923076927E-2</v>
      </c>
      <c r="AB21" s="59" t="s">
        <v>200</v>
      </c>
      <c r="AC21" s="62">
        <v>0.33333333333333331</v>
      </c>
      <c r="AD21" s="59" t="s">
        <v>184</v>
      </c>
      <c r="AE21" s="62">
        <v>0</v>
      </c>
      <c r="AF21" s="59" t="s">
        <v>196</v>
      </c>
      <c r="AG21" s="62">
        <v>0.29166666666666669</v>
      </c>
      <c r="AH21" s="59" t="s">
        <v>200</v>
      </c>
      <c r="AI21" s="66">
        <v>48300</v>
      </c>
    </row>
    <row r="22" spans="1:35" x14ac:dyDescent="0.45">
      <c r="A22" s="56">
        <v>20</v>
      </c>
      <c r="B22" s="57" t="s">
        <v>190</v>
      </c>
      <c r="C22" s="58">
        <v>-1839.7999999999997</v>
      </c>
      <c r="D22" s="59" t="s">
        <v>184</v>
      </c>
      <c r="E22" s="71">
        <v>-33.024999999999999</v>
      </c>
      <c r="F22" s="59" t="s">
        <v>184</v>
      </c>
      <c r="G22" s="71">
        <v>-11.008333333333333</v>
      </c>
      <c r="H22" s="59" t="s">
        <v>184</v>
      </c>
      <c r="I22" s="60">
        <v>3</v>
      </c>
      <c r="J22" s="59" t="s">
        <v>200</v>
      </c>
      <c r="K22" s="61">
        <v>0</v>
      </c>
      <c r="L22" s="59" t="s">
        <v>184</v>
      </c>
      <c r="M22" s="61">
        <v>1</v>
      </c>
      <c r="N22" s="59" t="s">
        <v>184</v>
      </c>
      <c r="O22" s="62">
        <v>0.04</v>
      </c>
      <c r="P22" s="59" t="s">
        <v>184</v>
      </c>
      <c r="Q22" s="62">
        <v>0.4</v>
      </c>
      <c r="R22" s="59" t="s">
        <v>198</v>
      </c>
      <c r="S22" s="63">
        <v>4940</v>
      </c>
      <c r="T22" s="59" t="s">
        <v>185</v>
      </c>
      <c r="U22" s="63">
        <v>-12487.5</v>
      </c>
      <c r="V22" s="59" t="s">
        <v>184</v>
      </c>
      <c r="W22" s="61">
        <v>0.5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200</v>
      </c>
      <c r="AE22" s="62">
        <v>0</v>
      </c>
      <c r="AF22" s="59" t="s">
        <v>201</v>
      </c>
      <c r="AG22" s="62">
        <v>0.25</v>
      </c>
      <c r="AH22" s="59" t="s">
        <v>184</v>
      </c>
      <c r="AI22" s="66">
        <v>13000</v>
      </c>
    </row>
  </sheetData>
  <sortState xmlns:xlrd2="http://schemas.microsoft.com/office/spreadsheetml/2017/richdata2" ref="AH3:AI59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EA835-F32A-43CD-9FCD-15C011156BBE}">
  <sheetPr codeName="Sheet3"/>
  <dimension ref="A1:Q299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183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2988</v>
      </c>
      <c r="C2" s="130"/>
      <c r="E2" s="43" t="s">
        <v>66</v>
      </c>
      <c r="F2" s="25" t="s">
        <v>22</v>
      </c>
      <c r="G2" s="13">
        <v>4980</v>
      </c>
      <c r="H2" s="106">
        <f>IF(B$51=0,0,G2/B$51)</f>
        <v>0.73343151693667152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-21.5706100438153</v>
      </c>
      <c r="P2" s="92">
        <v>2967</v>
      </c>
      <c r="Q2" s="76">
        <v>-64000</v>
      </c>
    </row>
    <row r="3" spans="1:17" x14ac:dyDescent="0.45">
      <c r="A3" s="37" t="s">
        <v>8</v>
      </c>
      <c r="B3" s="131">
        <v>24315</v>
      </c>
      <c r="C3" s="132"/>
      <c r="E3" s="44" t="s">
        <v>72</v>
      </c>
      <c r="F3" s="41" t="s">
        <v>27</v>
      </c>
      <c r="G3" s="34">
        <v>3659</v>
      </c>
      <c r="H3" s="107">
        <f>IF(B$51=0,0,G3/B$51)</f>
        <v>0.53888070692194401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-0.69084628670120896</v>
      </c>
      <c r="P3" s="93">
        <v>2895</v>
      </c>
      <c r="Q3" s="77">
        <v>-2000</v>
      </c>
    </row>
    <row r="4" spans="1:17" x14ac:dyDescent="0.45">
      <c r="A4" s="37" t="s">
        <v>6</v>
      </c>
      <c r="B4" s="133">
        <v>1.4210854715202004E-14</v>
      </c>
      <c r="C4" s="134"/>
      <c r="E4" s="44" t="s">
        <v>64</v>
      </c>
      <c r="F4" s="41" t="s">
        <v>20</v>
      </c>
      <c r="G4" s="34">
        <v>3317</v>
      </c>
      <c r="H4" s="107">
        <f>IF(B$51=0,0,G4/B$51)</f>
        <v>0.48851251840942561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7.3502388827636898</v>
      </c>
      <c r="P4" s="93">
        <v>2721</v>
      </c>
      <c r="Q4" s="77">
        <v>20000</v>
      </c>
    </row>
    <row r="5" spans="1:17" x14ac:dyDescent="0.45">
      <c r="A5" s="37" t="s">
        <v>7</v>
      </c>
      <c r="B5" s="135">
        <f>IF(B$2=0,0,B$4/B$2)</f>
        <v>4.7559754736285151E-18</v>
      </c>
      <c r="C5" s="136"/>
      <c r="E5" s="44" t="s">
        <v>68</v>
      </c>
      <c r="F5" s="41" t="s">
        <v>12</v>
      </c>
      <c r="G5" s="34">
        <v>2116</v>
      </c>
      <c r="H5" s="107">
        <f>IF(B$51=0,0,G5/B$51)</f>
        <v>0.31163475699558174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1.5987210231814548</v>
      </c>
      <c r="P5" s="93">
        <v>2502</v>
      </c>
      <c r="Q5" s="77">
        <v>4000</v>
      </c>
    </row>
    <row r="6" spans="1:17" x14ac:dyDescent="0.45">
      <c r="A6" s="37" t="s">
        <v>1</v>
      </c>
      <c r="B6" s="143">
        <f>IF(B$2=0,0,(B$7*1+B$8*2+B$9*3)/B$2)</f>
        <v>2</v>
      </c>
      <c r="C6" s="144"/>
      <c r="E6" s="44" t="s">
        <v>157</v>
      </c>
      <c r="F6" s="41" t="s">
        <v>158</v>
      </c>
      <c r="G6" s="34">
        <v>2048</v>
      </c>
      <c r="H6" s="107">
        <f>IF(B$51=0,0,G6/B$51)</f>
        <v>0.30162002945508098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3.5460992907801416</v>
      </c>
      <c r="P6" s="93">
        <v>2256</v>
      </c>
      <c r="Q6" s="77">
        <v>8000</v>
      </c>
    </row>
    <row r="7" spans="1:17" x14ac:dyDescent="0.45">
      <c r="A7" s="37" t="s">
        <v>2</v>
      </c>
      <c r="B7" s="34">
        <v>996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1975</v>
      </c>
      <c r="H7" s="107">
        <f>IF(B$51=0,0,G7/B$51)</f>
        <v>0.29086892488954347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17.488076311605724</v>
      </c>
      <c r="P7" s="94">
        <v>1887</v>
      </c>
      <c r="Q7" s="78">
        <v>33000</v>
      </c>
    </row>
    <row r="8" spans="1:17" x14ac:dyDescent="0.45">
      <c r="A8" s="37" t="s">
        <v>3</v>
      </c>
      <c r="B8" s="34">
        <v>996</v>
      </c>
      <c r="C8" s="31">
        <f t="shared" si="1"/>
        <v>0.33333333333333331</v>
      </c>
      <c r="E8" s="44" t="s">
        <v>69</v>
      </c>
      <c r="F8" s="41" t="s">
        <v>24</v>
      </c>
      <c r="G8" s="34">
        <v>1018</v>
      </c>
      <c r="H8" s="107">
        <f>IF(B$51=0,0,G8/B$51)</f>
        <v>0.14992636229749631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996</v>
      </c>
      <c r="C9" s="7">
        <f t="shared" si="1"/>
        <v>0.33333333333333331</v>
      </c>
      <c r="E9" s="44" t="s">
        <v>89</v>
      </c>
      <c r="F9" s="41" t="s">
        <v>44</v>
      </c>
      <c r="G9" s="34">
        <v>947</v>
      </c>
      <c r="H9" s="107">
        <f>IF(B$51=0,0,G9/B$51)</f>
        <v>0.13946980854197349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37.720682730923706</v>
      </c>
      <c r="C10" s="121">
        <v>37569.80000000001</v>
      </c>
      <c r="E10" s="44" t="s">
        <v>65</v>
      </c>
      <c r="F10" s="41" t="s">
        <v>21</v>
      </c>
      <c r="G10" s="34">
        <v>746</v>
      </c>
      <c r="H10" s="107">
        <f>IF(B$51=0,0,G10/B$51)</f>
        <v>0.10986745213549337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-2.8214501510574008</v>
      </c>
      <c r="P10" s="92">
        <v>993</v>
      </c>
      <c r="Q10" s="80">
        <v>-2801.6999999999989</v>
      </c>
    </row>
    <row r="11" spans="1:17" x14ac:dyDescent="0.45">
      <c r="A11" s="38" t="s">
        <v>204</v>
      </c>
      <c r="B11" s="120">
        <f>IF(B8=0,0,C11/B8)</f>
        <v>-0.79307228915662564</v>
      </c>
      <c r="C11" s="121">
        <v>-789.89999999999918</v>
      </c>
      <c r="E11" s="44" t="s">
        <v>70</v>
      </c>
      <c r="F11" s="41" t="s">
        <v>25</v>
      </c>
      <c r="G11" s="34">
        <v>663</v>
      </c>
      <c r="H11" s="107">
        <f>IF(B$51=0,0,G11/B$51)</f>
        <v>9.764359351988218E-2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0.86505538771399848</v>
      </c>
      <c r="P11" s="93">
        <v>993</v>
      </c>
      <c r="Q11" s="81">
        <v>859.00000000000045</v>
      </c>
    </row>
    <row r="12" spans="1:17" x14ac:dyDescent="0.45">
      <c r="A12" s="38" t="s">
        <v>205</v>
      </c>
      <c r="B12" s="120">
        <f>IF(B9=0,0,C12/B9)</f>
        <v>-36.927610441767079</v>
      </c>
      <c r="C12" s="121">
        <v>-36779.900000000009</v>
      </c>
      <c r="E12" s="44" t="s">
        <v>71</v>
      </c>
      <c r="F12" s="41" t="s">
        <v>26</v>
      </c>
      <c r="G12" s="34">
        <v>463</v>
      </c>
      <c r="H12" s="107">
        <f>IF(B$51=0,0,G12/B$51)</f>
        <v>6.8188512518409419E-2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1.9563947633434036</v>
      </c>
      <c r="P12" s="94">
        <v>993</v>
      </c>
      <c r="Q12" s="82">
        <v>1942.6999999999998</v>
      </c>
    </row>
    <row r="13" spans="1:17" x14ac:dyDescent="0.45">
      <c r="A13" s="38" t="s">
        <v>206</v>
      </c>
      <c r="B13" s="135">
        <f>AVERAGE(B10:B12)</f>
        <v>0</v>
      </c>
      <c r="C13" s="136"/>
      <c r="E13" s="44" t="s">
        <v>86</v>
      </c>
      <c r="F13" s="41" t="s">
        <v>41</v>
      </c>
      <c r="G13" s="34">
        <v>388</v>
      </c>
      <c r="H13" s="107">
        <f>IF(B$51=0,0,G13/B$51)</f>
        <v>5.7142857142857141E-2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362</v>
      </c>
      <c r="C14" s="32">
        <f t="shared" si="1"/>
        <v>0.12115127175368139</v>
      </c>
      <c r="E14" s="44" t="s">
        <v>83</v>
      </c>
      <c r="F14" s="41" t="s">
        <v>38</v>
      </c>
      <c r="G14" s="34">
        <v>324</v>
      </c>
      <c r="H14" s="107">
        <f>IF(B$51=0,0,G14/B$51)</f>
        <v>4.7717231222385859E-2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6049</v>
      </c>
      <c r="C15" s="11">
        <f>IF(B$50=0,0,B15/B$50)</f>
        <v>0.26416000698720465</v>
      </c>
      <c r="E15" s="44" t="s">
        <v>78</v>
      </c>
      <c r="F15" s="41" t="s">
        <v>33</v>
      </c>
      <c r="G15" s="34">
        <v>189</v>
      </c>
      <c r="H15" s="107">
        <f>IF(B$51=0,0,G15/B$51)</f>
        <v>2.7835051546391754E-2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5094</v>
      </c>
      <c r="C16" s="31">
        <f>IF(B$50=0,0,B16/B$50)</f>
        <v>0.22245512904493647</v>
      </c>
      <c r="E16" s="44" t="s">
        <v>81</v>
      </c>
      <c r="F16" s="41" t="s">
        <v>36</v>
      </c>
      <c r="G16" s="34">
        <v>173</v>
      </c>
      <c r="H16" s="107">
        <f>IF(B$51=0,0,G16/B$51)</f>
        <v>2.5478645066273932E-2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3432</v>
      </c>
      <c r="C17" s="4">
        <f>IF(B$15=0,0,B17/B$15)</f>
        <v>0.56736650686063816</v>
      </c>
      <c r="E17" s="44" t="s">
        <v>91</v>
      </c>
      <c r="F17" s="41" t="s">
        <v>46</v>
      </c>
      <c r="G17" s="34">
        <v>126</v>
      </c>
      <c r="H17" s="107">
        <f>IF(B$51=0,0,G17/B$51)</f>
        <v>1.8556701030927835E-2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2070</v>
      </c>
      <c r="C18" s="4">
        <f>IF(B$16=0,0,B18/B$16)</f>
        <v>0.40636042402826855</v>
      </c>
      <c r="E18" s="44" t="s">
        <v>79</v>
      </c>
      <c r="F18" s="41" t="s">
        <v>34</v>
      </c>
      <c r="G18" s="34">
        <v>103</v>
      </c>
      <c r="H18" s="107">
        <f>IF(B$51=0,0,G18/B$51)</f>
        <v>1.5169366715758468E-2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7224</v>
      </c>
      <c r="C19" s="4">
        <f>IF(B$3=0,0,B19/B$3)</f>
        <v>0.29710055521283157</v>
      </c>
      <c r="E19" s="44" t="s">
        <v>153</v>
      </c>
      <c r="F19" s="41" t="s">
        <v>154</v>
      </c>
      <c r="G19" s="34">
        <v>97</v>
      </c>
      <c r="H19" s="107">
        <f>IF(B$51=0,0,G19/B$51)</f>
        <v>1.4285714285714285E-2</v>
      </c>
      <c r="I19" s="68">
        <v>6</v>
      </c>
      <c r="K19" s="5">
        <v>17</v>
      </c>
      <c r="L19" s="73">
        <v>-8</v>
      </c>
      <c r="N19" s="89" t="s">
        <v>197</v>
      </c>
      <c r="O19" s="99">
        <f>IF(P19=0,0,Q19/P19)</f>
        <v>20.571428571428548</v>
      </c>
      <c r="P19" s="93">
        <v>168</v>
      </c>
      <c r="Q19" s="81">
        <v>3455.9999999999964</v>
      </c>
    </row>
    <row r="20" spans="1:17" x14ac:dyDescent="0.45">
      <c r="A20" s="37" t="s">
        <v>13</v>
      </c>
      <c r="B20" s="34">
        <v>4022</v>
      </c>
      <c r="C20" s="31">
        <f>IF(B$3=0,0,B20/B$3)</f>
        <v>0.1654122969360477</v>
      </c>
      <c r="E20" s="44" t="s">
        <v>75</v>
      </c>
      <c r="F20" s="41" t="s">
        <v>30</v>
      </c>
      <c r="G20" s="34">
        <v>44</v>
      </c>
      <c r="H20" s="107">
        <f>IF(B$51=0,0,G20/B$51)</f>
        <v>6.4801178203240063E-3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11.605714285714285</v>
      </c>
      <c r="P20" s="93">
        <v>210</v>
      </c>
      <c r="Q20" s="81">
        <v>2437.1999999999998</v>
      </c>
    </row>
    <row r="21" spans="1:17" x14ac:dyDescent="0.45">
      <c r="A21" s="37" t="s">
        <v>12</v>
      </c>
      <c r="B21" s="34">
        <v>3145</v>
      </c>
      <c r="C21" s="31">
        <f>IF(B$19=0,0,B21/B$19)</f>
        <v>0.43535437430786267</v>
      </c>
      <c r="E21" s="44" t="s">
        <v>73</v>
      </c>
      <c r="F21" s="41" t="s">
        <v>28</v>
      </c>
      <c r="G21" s="34">
        <v>38</v>
      </c>
      <c r="H21" s="107">
        <f>IF(B$51=0,0,G21/B$51)</f>
        <v>5.5964653902798233E-3</v>
      </c>
      <c r="I21" s="68">
        <v>7</v>
      </c>
      <c r="K21" s="5">
        <v>19</v>
      </c>
      <c r="L21" s="73">
        <v>-6.1</v>
      </c>
      <c r="N21" s="89" t="s">
        <v>188</v>
      </c>
      <c r="O21" s="99">
        <f>IF(P21=0,0,Q21/P21)</f>
        <v>7.6638225255972667</v>
      </c>
      <c r="P21" s="93">
        <v>586</v>
      </c>
      <c r="Q21" s="81">
        <v>4490.9999999999982</v>
      </c>
    </row>
    <row r="22" spans="1:17" x14ac:dyDescent="0.45">
      <c r="A22" s="37" t="s">
        <v>11</v>
      </c>
      <c r="B22" s="34">
        <v>4079</v>
      </c>
      <c r="C22" s="31">
        <f>IF(B$19=0,0,B22/B$19)</f>
        <v>0.56464562569213728</v>
      </c>
      <c r="E22" s="44" t="s">
        <v>92</v>
      </c>
      <c r="F22" s="41" t="s">
        <v>47</v>
      </c>
      <c r="G22" s="34">
        <v>37</v>
      </c>
      <c r="H22" s="107">
        <f>IF(B$51=0,0,G22/B$51)</f>
        <v>5.4491899852724592E-3</v>
      </c>
      <c r="I22" s="68">
        <v>6</v>
      </c>
      <c r="K22" s="5">
        <v>20</v>
      </c>
      <c r="L22" s="73">
        <v>4.9000000000000004</v>
      </c>
      <c r="N22" s="89" t="s">
        <v>190</v>
      </c>
      <c r="O22" s="99">
        <f>IF(P22=0,0,Q22/P22)</f>
        <v>6.7474327628361834</v>
      </c>
      <c r="P22" s="93">
        <v>818</v>
      </c>
      <c r="Q22" s="81">
        <v>5519.3999999999978</v>
      </c>
    </row>
    <row r="23" spans="1:17" x14ac:dyDescent="0.45">
      <c r="A23" s="37" t="s">
        <v>180</v>
      </c>
      <c r="B23" s="34">
        <v>3432</v>
      </c>
      <c r="C23" s="31">
        <f>IF(B$19=0,0,B23/B$19)</f>
        <v>0.47508305647840532</v>
      </c>
      <c r="E23" s="44" t="s">
        <v>77</v>
      </c>
      <c r="F23" s="41" t="s">
        <v>32</v>
      </c>
      <c r="G23" s="34">
        <v>36</v>
      </c>
      <c r="H23" s="107">
        <f>IF(B$51=0,0,G23/B$51)</f>
        <v>5.301914580265096E-3</v>
      </c>
      <c r="I23" s="68">
        <v>5</v>
      </c>
      <c r="K23" s="5">
        <v>21</v>
      </c>
      <c r="L23" s="73">
        <v>0</v>
      </c>
      <c r="N23" s="89" t="s">
        <v>189</v>
      </c>
      <c r="O23" s="99">
        <f>IF(P23=0,0,Q23/P23)</f>
        <v>4.84772727272727</v>
      </c>
      <c r="P23" s="93">
        <v>44</v>
      </c>
      <c r="Q23" s="81">
        <v>213.2999999999999</v>
      </c>
    </row>
    <row r="24" spans="1:17" x14ac:dyDescent="0.45">
      <c r="A24" s="37" t="s">
        <v>178</v>
      </c>
      <c r="B24" s="34">
        <v>2070</v>
      </c>
      <c r="C24" s="31">
        <f>IF(B$19=0,0,B24/B$19)</f>
        <v>0.28654485049833889</v>
      </c>
      <c r="E24" s="44" t="s">
        <v>85</v>
      </c>
      <c r="F24" s="41" t="s">
        <v>40</v>
      </c>
      <c r="G24" s="34">
        <v>34</v>
      </c>
      <c r="H24" s="107">
        <f>IF(B$51=0,0,G24/B$51)</f>
        <v>5.0073637702503686E-3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3.1768518518518598</v>
      </c>
      <c r="P24" s="93">
        <v>972</v>
      </c>
      <c r="Q24" s="81">
        <v>3087.9000000000078</v>
      </c>
    </row>
    <row r="25" spans="1:17" x14ac:dyDescent="0.45">
      <c r="A25" s="37" t="s">
        <v>179</v>
      </c>
      <c r="B25" s="34">
        <v>1722</v>
      </c>
      <c r="C25" s="31">
        <f>IF(B$19=0,0,B25/B$19)</f>
        <v>0.23837209302325582</v>
      </c>
      <c r="E25" s="44" t="s">
        <v>74</v>
      </c>
      <c r="F25" s="41" t="s">
        <v>29</v>
      </c>
      <c r="G25" s="34">
        <v>23</v>
      </c>
      <c r="H25" s="107">
        <f>IF(B$51=0,0,G25/B$51)</f>
        <v>3.3873343151693668E-3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2.1790476190476191</v>
      </c>
      <c r="P25" s="93">
        <v>630</v>
      </c>
      <c r="Q25" s="81">
        <v>1372.8000000000002</v>
      </c>
    </row>
    <row r="26" spans="1:17" x14ac:dyDescent="0.45">
      <c r="A26" s="37" t="s">
        <v>5</v>
      </c>
      <c r="B26" s="17">
        <f>IF(B$19=0,0,C26/B$19)</f>
        <v>8975.747508305647</v>
      </c>
      <c r="C26" s="8">
        <v>64840800</v>
      </c>
      <c r="E26" s="44" t="s">
        <v>84</v>
      </c>
      <c r="F26" s="41" t="s">
        <v>39</v>
      </c>
      <c r="G26" s="34">
        <v>18</v>
      </c>
      <c r="H26" s="107">
        <f>IF(B$51=0,0,G26/B$51)</f>
        <v>2.650957290132548E-3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9576.7559177337989</v>
      </c>
      <c r="C27" s="115">
        <v>49358600</v>
      </c>
      <c r="E27" s="44" t="s">
        <v>93</v>
      </c>
      <c r="F27" s="41" t="s">
        <v>48</v>
      </c>
      <c r="G27" s="34">
        <v>17</v>
      </c>
      <c r="H27" s="107">
        <f>IF(B$51=0,0,G27/B$51)</f>
        <v>2.5036818851251843E-3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7479.3236714975847</v>
      </c>
      <c r="C28" s="115">
        <v>15482200</v>
      </c>
      <c r="E28" s="44" t="s">
        <v>87</v>
      </c>
      <c r="F28" s="41" t="s">
        <v>42</v>
      </c>
      <c r="G28" s="34">
        <v>16</v>
      </c>
      <c r="H28" s="107">
        <f>IF(B$51=0,0,G28/B$51)</f>
        <v>2.3564064801178202E-3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-1.4047499999999977</v>
      </c>
      <c r="P28" s="93">
        <v>800</v>
      </c>
      <c r="Q28" s="81">
        <v>-1123.7999999999981</v>
      </c>
    </row>
    <row r="29" spans="1:17" x14ac:dyDescent="0.45">
      <c r="A29" s="38" t="s">
        <v>161</v>
      </c>
      <c r="B29" s="114">
        <f>IF(B$20=0,0,C29/B$20)</f>
        <v>-8384.0377921432118</v>
      </c>
      <c r="C29" s="115">
        <v>-33720600</v>
      </c>
      <c r="E29" s="44" t="s">
        <v>90</v>
      </c>
      <c r="F29" s="41" t="s">
        <v>45</v>
      </c>
      <c r="G29" s="34">
        <v>13</v>
      </c>
      <c r="H29" s="107">
        <f>IF(B$51=0,0,G29/B$51)</f>
        <v>1.9145802650957289E-3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1.7673048600883653E-3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-14.503561046511624</v>
      </c>
      <c r="P30" s="93">
        <v>1376</v>
      </c>
      <c r="Q30" s="81">
        <v>-19956.899999999994</v>
      </c>
    </row>
    <row r="31" spans="1:17" x14ac:dyDescent="0.45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1.1782032400589101E-3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41">
        <v>10</v>
      </c>
      <c r="C32" s="142"/>
      <c r="E32" s="44" t="s">
        <v>106</v>
      </c>
      <c r="F32" s="41" t="s">
        <v>113</v>
      </c>
      <c r="G32" s="34">
        <v>3</v>
      </c>
      <c r="H32" s="107">
        <f>IF(B$51=0,0,G32/B$51)</f>
        <v>4.4182621502209131E-4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39">
        <v>149100</v>
      </c>
      <c r="C33" s="140"/>
      <c r="E33" s="44" t="s">
        <v>97</v>
      </c>
      <c r="F33" s="41" t="s">
        <v>52</v>
      </c>
      <c r="G33" s="34">
        <v>2</v>
      </c>
      <c r="H33" s="107">
        <f>IF(B$51=0,0,G33/B$51)</f>
        <v>2.9455081001472752E-4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66</v>
      </c>
      <c r="C34" s="32">
        <f>IF(B$3=0,0,B34/B$3)</f>
        <v>2.7143738433066007E-3</v>
      </c>
      <c r="E34" s="44" t="s">
        <v>101</v>
      </c>
      <c r="F34" s="41" t="s">
        <v>56</v>
      </c>
      <c r="G34" s="34">
        <v>2</v>
      </c>
      <c r="H34" s="107">
        <f>IF(B$51=0,0,G34/B$51)</f>
        <v>2.9455081001472752E-4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1.4727540500736376E-4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3">
        <v>470</v>
      </c>
      <c r="C36" s="119">
        <f>IF(B$19=0,0,B36/B$19)</f>
        <v>6.5060908084163899E-2</v>
      </c>
      <c r="E36" s="44" t="s">
        <v>80</v>
      </c>
      <c r="F36" s="41" t="s">
        <v>35</v>
      </c>
      <c r="G36" s="34">
        <v>1</v>
      </c>
      <c r="H36" s="107">
        <f>IF(B$51=0,0,G36/B$51)</f>
        <v>1.4727540500736376E-4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1039</v>
      </c>
      <c r="C37" s="31">
        <f t="shared" ref="C37:C48" si="2">IF(B$19=0,0,B37/B$19)</f>
        <v>0.14382613510520487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6">
        <v>1278</v>
      </c>
      <c r="C38" s="31">
        <f>IF(B$19=0,0,B38/B$19)</f>
        <v>0.17691029900332225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6">
        <v>1275</v>
      </c>
      <c r="C39" s="31">
        <f t="shared" si="2"/>
        <v>0.17649501661129569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6">
        <v>1061</v>
      </c>
      <c r="C40" s="31">
        <f t="shared" si="2"/>
        <v>0.14687153931339977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6">
        <v>698</v>
      </c>
      <c r="C41" s="31">
        <f t="shared" si="2"/>
        <v>9.6622369878183831E-2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6">
        <v>410</v>
      </c>
      <c r="C42" s="31">
        <f t="shared" si="2"/>
        <v>5.6755260243632338E-2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6">
        <v>229</v>
      </c>
      <c r="C43" s="31">
        <f t="shared" si="2"/>
        <v>3.1699889258028795E-2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6">
        <v>131</v>
      </c>
      <c r="C44" s="31">
        <f t="shared" si="2"/>
        <v>1.8133997785160574E-2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6">
        <v>62</v>
      </c>
      <c r="C45" s="31">
        <f t="shared" si="2"/>
        <v>8.5825027685492803E-3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6">
        <v>35</v>
      </c>
      <c r="C46" s="31">
        <f t="shared" si="2"/>
        <v>4.8449612403100775E-3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6">
        <v>15</v>
      </c>
      <c r="C47" s="31">
        <f t="shared" si="2"/>
        <v>2.0764119601328905E-3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2">
        <v>87</v>
      </c>
      <c r="C48" s="32">
        <f t="shared" si="2"/>
        <v>1.2043189368770765E-2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29">
        <v>22899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37">
        <v>6790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B2492-1300-43F4-B587-82FCCB666F6A}">
  <sheetPr codeName="Sheet4"/>
  <dimension ref="A1:Q69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195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688</v>
      </c>
      <c r="C2" s="130"/>
      <c r="E2" s="43" t="s">
        <v>66</v>
      </c>
      <c r="F2" s="25" t="s">
        <v>22</v>
      </c>
      <c r="G2" s="13">
        <v>1275</v>
      </c>
      <c r="H2" s="106">
        <f>IF(B$51=0,0,G2/B$51)</f>
        <v>0.72982255294791065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1340.3225806451612</v>
      </c>
      <c r="P2" s="92">
        <v>682</v>
      </c>
      <c r="Q2" s="76">
        <v>914100</v>
      </c>
    </row>
    <row r="3" spans="1:17" x14ac:dyDescent="0.45">
      <c r="A3" s="37" t="s">
        <v>8</v>
      </c>
      <c r="B3" s="131">
        <v>5500</v>
      </c>
      <c r="C3" s="132"/>
      <c r="E3" s="44" t="s">
        <v>72</v>
      </c>
      <c r="F3" s="41" t="s">
        <v>27</v>
      </c>
      <c r="G3" s="34">
        <v>953</v>
      </c>
      <c r="H3" s="107">
        <f>IF(B$51=0,0,G3/B$51)</f>
        <v>0.54550658271322272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1369.4736842105262</v>
      </c>
      <c r="P3" s="93">
        <v>665</v>
      </c>
      <c r="Q3" s="77">
        <v>910700</v>
      </c>
    </row>
    <row r="4" spans="1:17" x14ac:dyDescent="0.45">
      <c r="A4" s="37" t="s">
        <v>6</v>
      </c>
      <c r="B4" s="133">
        <v>6652.2999999999993</v>
      </c>
      <c r="C4" s="134"/>
      <c r="E4" s="44" t="s">
        <v>64</v>
      </c>
      <c r="F4" s="41" t="s">
        <v>20</v>
      </c>
      <c r="G4" s="34">
        <v>842</v>
      </c>
      <c r="H4" s="107">
        <f>IF(B$51=0,0,G4/B$51)</f>
        <v>0.48196908986834575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1390.6645569620252</v>
      </c>
      <c r="P4" s="93">
        <v>632</v>
      </c>
      <c r="Q4" s="77">
        <v>878900</v>
      </c>
    </row>
    <row r="5" spans="1:17" x14ac:dyDescent="0.45">
      <c r="A5" s="37" t="s">
        <v>7</v>
      </c>
      <c r="B5" s="135">
        <f>IF(B$2=0,0,B$4/B$2)</f>
        <v>9.6690406976744168</v>
      </c>
      <c r="C5" s="136"/>
      <c r="E5" s="44" t="s">
        <v>68</v>
      </c>
      <c r="F5" s="41" t="s">
        <v>12</v>
      </c>
      <c r="G5" s="34">
        <v>499</v>
      </c>
      <c r="H5" s="107">
        <f>IF(B$51=0,0,G5/B$51)</f>
        <v>0.28563251287922153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1543.5233160621763</v>
      </c>
      <c r="P5" s="93">
        <v>579</v>
      </c>
      <c r="Q5" s="77">
        <v>893700</v>
      </c>
    </row>
    <row r="6" spans="1:17" x14ac:dyDescent="0.45">
      <c r="A6" s="37" t="s">
        <v>1</v>
      </c>
      <c r="B6" s="143">
        <f>IF(B$2=0,0,(B$7*1+B$8*2+B$9*3)/B$2)</f>
        <v>1.754360465116279</v>
      </c>
      <c r="C6" s="144"/>
      <c r="E6" s="44" t="s">
        <v>67</v>
      </c>
      <c r="F6" s="41" t="s">
        <v>23</v>
      </c>
      <c r="G6" s="34">
        <v>497</v>
      </c>
      <c r="H6" s="107">
        <f>IF(B$51=0,0,G6/B$51)</f>
        <v>0.28448769318832284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1395.1923076923076</v>
      </c>
      <c r="P6" s="93">
        <v>520</v>
      </c>
      <c r="Q6" s="77">
        <v>725500</v>
      </c>
    </row>
    <row r="7" spans="1:17" x14ac:dyDescent="0.45">
      <c r="A7" s="37" t="s">
        <v>2</v>
      </c>
      <c r="B7" s="34">
        <v>323</v>
      </c>
      <c r="C7" s="31">
        <f t="shared" ref="C7:C14" si="1">IF(B$2=0,0,B7/B$2)</f>
        <v>0.46947674418604651</v>
      </c>
      <c r="E7" s="44" t="s">
        <v>157</v>
      </c>
      <c r="F7" s="41" t="s">
        <v>158</v>
      </c>
      <c r="G7" s="34">
        <v>472</v>
      </c>
      <c r="H7" s="107">
        <f>IF(B$51=0,0,G7/B$51)</f>
        <v>0.27017744705208929</v>
      </c>
      <c r="I7" s="68">
        <v>13</v>
      </c>
      <c r="K7" s="5">
        <v>5</v>
      </c>
      <c r="L7" s="73">
        <v>145.80000000000001</v>
      </c>
      <c r="N7" s="90" t="s">
        <v>131</v>
      </c>
      <c r="O7" s="97">
        <f t="shared" si="0"/>
        <v>1642.9234338747099</v>
      </c>
      <c r="P7" s="94">
        <v>431</v>
      </c>
      <c r="Q7" s="78">
        <v>708100</v>
      </c>
    </row>
    <row r="8" spans="1:17" x14ac:dyDescent="0.45">
      <c r="A8" s="37" t="s">
        <v>3</v>
      </c>
      <c r="B8" s="34">
        <v>211</v>
      </c>
      <c r="C8" s="31">
        <f t="shared" si="1"/>
        <v>0.3066860465116279</v>
      </c>
      <c r="E8" s="44" t="s">
        <v>89</v>
      </c>
      <c r="F8" s="41" t="s">
        <v>44</v>
      </c>
      <c r="G8" s="34">
        <v>289</v>
      </c>
      <c r="H8" s="107">
        <f>IF(B$51=0,0,G8/B$51)</f>
        <v>0.16542644533485976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154</v>
      </c>
      <c r="C9" s="7">
        <f t="shared" si="1"/>
        <v>0.22383720930232559</v>
      </c>
      <c r="E9" s="44" t="s">
        <v>69</v>
      </c>
      <c r="F9" s="41" t="s">
        <v>24</v>
      </c>
      <c r="G9" s="34">
        <v>253</v>
      </c>
      <c r="H9" s="107">
        <f>IF(B$51=0,0,G9/B$51)</f>
        <v>0.14481969089868346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37.345201238390089</v>
      </c>
      <c r="C10" s="121">
        <v>12062.499999999998</v>
      </c>
      <c r="E10" s="44" t="s">
        <v>65</v>
      </c>
      <c r="F10" s="41" t="s">
        <v>21</v>
      </c>
      <c r="G10" s="34">
        <v>206</v>
      </c>
      <c r="H10" s="107">
        <f>IF(B$51=0,0,G10/B$51)</f>
        <v>0.1179164281625644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13.522702702702707</v>
      </c>
      <c r="P10" s="92">
        <v>185</v>
      </c>
      <c r="Q10" s="80">
        <v>2501.7000000000007</v>
      </c>
    </row>
    <row r="11" spans="1:17" x14ac:dyDescent="0.45">
      <c r="A11" s="38" t="s">
        <v>204</v>
      </c>
      <c r="B11" s="120">
        <f>IF(B8=0,0,C11/B8)</f>
        <v>0.14928909952606584</v>
      </c>
      <c r="C11" s="121">
        <v>31.499999999999893</v>
      </c>
      <c r="E11" s="44" t="s">
        <v>70</v>
      </c>
      <c r="F11" s="41" t="s">
        <v>25</v>
      </c>
      <c r="G11" s="34">
        <v>131</v>
      </c>
      <c r="H11" s="107">
        <f>IF(B$51=0,0,G11/B$51)</f>
        <v>7.4985689753863771E-2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7.4545871559633037</v>
      </c>
      <c r="P11" s="93">
        <v>218</v>
      </c>
      <c r="Q11" s="81">
        <v>1625.1000000000001</v>
      </c>
    </row>
    <row r="12" spans="1:17" x14ac:dyDescent="0.45">
      <c r="A12" s="38" t="s">
        <v>205</v>
      </c>
      <c r="B12" s="120">
        <f>IF(B9=0,0,C12/B9)</f>
        <v>-35.335714285714296</v>
      </c>
      <c r="C12" s="121">
        <v>-5441.7000000000016</v>
      </c>
      <c r="E12" s="44" t="s">
        <v>86</v>
      </c>
      <c r="F12" s="41" t="s">
        <v>41</v>
      </c>
      <c r="G12" s="34">
        <v>117</v>
      </c>
      <c r="H12" s="107">
        <f>IF(B$51=0,0,G12/B$51)</f>
        <v>6.6971951917572978E-2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8.8578014184397169</v>
      </c>
      <c r="P12" s="94">
        <v>282</v>
      </c>
      <c r="Q12" s="82">
        <v>2497.9</v>
      </c>
    </row>
    <row r="13" spans="1:17" x14ac:dyDescent="0.45">
      <c r="A13" s="38" t="s">
        <v>206</v>
      </c>
      <c r="B13" s="135">
        <f>AVERAGE(B10:B12)</f>
        <v>0.71959201740061951</v>
      </c>
      <c r="C13" s="136"/>
      <c r="E13" s="44" t="s">
        <v>71</v>
      </c>
      <c r="F13" s="41" t="s">
        <v>26</v>
      </c>
      <c r="G13" s="34">
        <v>115</v>
      </c>
      <c r="H13" s="107">
        <f>IF(B$51=0,0,G13/B$51)</f>
        <v>6.5827132226674301E-2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53</v>
      </c>
      <c r="C14" s="32">
        <f t="shared" si="1"/>
        <v>7.7034883720930231E-2</v>
      </c>
      <c r="E14" s="44" t="s">
        <v>83</v>
      </c>
      <c r="F14" s="41" t="s">
        <v>38</v>
      </c>
      <c r="G14" s="34">
        <v>78</v>
      </c>
      <c r="H14" s="107">
        <f>IF(B$51=0,0,G14/B$51)</f>
        <v>4.4647967945048654E-2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1461</v>
      </c>
      <c r="C15" s="11">
        <f>IF(B$50=0,0,B15/B$50)</f>
        <v>0.28965107057890566</v>
      </c>
      <c r="E15" s="44" t="s">
        <v>78</v>
      </c>
      <c r="F15" s="41" t="s">
        <v>33</v>
      </c>
      <c r="G15" s="34">
        <v>43</v>
      </c>
      <c r="H15" s="107">
        <f>IF(B$51=0,0,G15/B$51)</f>
        <v>2.4613623354321695E-2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1124</v>
      </c>
      <c r="C16" s="31">
        <f>IF(B$50=0,0,B16/B$50)</f>
        <v>0.22283901665344966</v>
      </c>
      <c r="E16" s="44" t="s">
        <v>153</v>
      </c>
      <c r="F16" s="41" t="s">
        <v>154</v>
      </c>
      <c r="G16" s="34">
        <v>40</v>
      </c>
      <c r="H16" s="107">
        <f>IF(B$51=0,0,G16/B$51)</f>
        <v>2.2896393817973669E-2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886</v>
      </c>
      <c r="C17" s="4">
        <f>IF(B$15=0,0,B17/B$15)</f>
        <v>0.60643394934976047</v>
      </c>
      <c r="E17" s="44" t="s">
        <v>81</v>
      </c>
      <c r="F17" s="41" t="s">
        <v>36</v>
      </c>
      <c r="G17" s="34">
        <v>32</v>
      </c>
      <c r="H17" s="107">
        <f>IF(B$51=0,0,G17/B$51)</f>
        <v>1.8317115054378934E-2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551</v>
      </c>
      <c r="C18" s="4">
        <f>IF(B$16=0,0,B18/B$16)</f>
        <v>0.4902135231316726</v>
      </c>
      <c r="E18" s="44" t="s">
        <v>91</v>
      </c>
      <c r="F18" s="41" t="s">
        <v>46</v>
      </c>
      <c r="G18" s="34">
        <v>28</v>
      </c>
      <c r="H18" s="107">
        <f>IF(B$51=0,0,G18/B$51)</f>
        <v>1.602747567258157E-2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37.757142857142853</v>
      </c>
      <c r="P18" s="93">
        <v>7</v>
      </c>
      <c r="Q18" s="81">
        <v>264.29999999999995</v>
      </c>
    </row>
    <row r="19" spans="1:17" x14ac:dyDescent="0.45">
      <c r="A19" s="19" t="s">
        <v>10</v>
      </c>
      <c r="B19" s="13">
        <v>1903</v>
      </c>
      <c r="C19" s="4">
        <f>IF(B$3=0,0,B19/B$3)</f>
        <v>0.34599999999999997</v>
      </c>
      <c r="E19" s="44" t="s">
        <v>79</v>
      </c>
      <c r="F19" s="41" t="s">
        <v>34</v>
      </c>
      <c r="G19" s="34">
        <v>19</v>
      </c>
      <c r="H19" s="107">
        <f>IF(B$51=0,0,G19/B$51)</f>
        <v>1.0875787063537493E-2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5">
      <c r="A20" s="37" t="s">
        <v>13</v>
      </c>
      <c r="B20" s="34">
        <v>758</v>
      </c>
      <c r="C20" s="31">
        <f>IF(B$3=0,0,B20/B$3)</f>
        <v>0.13781818181818181</v>
      </c>
      <c r="E20" s="44" t="s">
        <v>85</v>
      </c>
      <c r="F20" s="41" t="s">
        <v>40</v>
      </c>
      <c r="G20" s="34">
        <v>13</v>
      </c>
      <c r="H20" s="107">
        <f>IF(B$51=0,0,G20/B$51)</f>
        <v>7.4413279908414421E-3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28.93076923076924</v>
      </c>
      <c r="P20" s="93">
        <v>26</v>
      </c>
      <c r="Q20" s="81">
        <v>752.20000000000027</v>
      </c>
    </row>
    <row r="21" spans="1:17" x14ac:dyDescent="0.45">
      <c r="A21" s="37" t="s">
        <v>12</v>
      </c>
      <c r="B21" s="34">
        <v>775</v>
      </c>
      <c r="C21" s="31">
        <f>IF(B$19=0,0,B21/B$19)</f>
        <v>0.40725170782974252</v>
      </c>
      <c r="E21" s="44" t="s">
        <v>92</v>
      </c>
      <c r="F21" s="41" t="s">
        <v>47</v>
      </c>
      <c r="G21" s="34">
        <v>13</v>
      </c>
      <c r="H21" s="107">
        <f>IF(B$51=0,0,G21/B$51)</f>
        <v>7.4413279908414421E-3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5">
      <c r="A22" s="37" t="s">
        <v>11</v>
      </c>
      <c r="B22" s="34">
        <v>1128</v>
      </c>
      <c r="C22" s="31">
        <f>IF(B$19=0,0,B22/B$19)</f>
        <v>0.59274829217025748</v>
      </c>
      <c r="E22" s="44" t="s">
        <v>77</v>
      </c>
      <c r="F22" s="41" t="s">
        <v>32</v>
      </c>
      <c r="G22" s="34">
        <v>11</v>
      </c>
      <c r="H22" s="107">
        <f>IF(B$51=0,0,G22/B$51)</f>
        <v>6.2965082999427591E-3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20.102424242424242</v>
      </c>
      <c r="P22" s="93">
        <v>165</v>
      </c>
      <c r="Q22" s="81">
        <v>3316.9</v>
      </c>
    </row>
    <row r="23" spans="1:17" x14ac:dyDescent="0.45">
      <c r="A23" s="37" t="s">
        <v>180</v>
      </c>
      <c r="B23" s="34">
        <v>886</v>
      </c>
      <c r="C23" s="31">
        <f>IF(B$19=0,0,B23/B$19)</f>
        <v>0.46558066211245402</v>
      </c>
      <c r="E23" s="44" t="s">
        <v>75</v>
      </c>
      <c r="F23" s="41" t="s">
        <v>30</v>
      </c>
      <c r="G23" s="34">
        <v>10</v>
      </c>
      <c r="H23" s="107">
        <f>IF(B$51=0,0,G23/B$51)</f>
        <v>5.7240984544934172E-3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18.527922077922078</v>
      </c>
      <c r="P23" s="93">
        <v>154</v>
      </c>
      <c r="Q23" s="81">
        <v>2853.3</v>
      </c>
    </row>
    <row r="24" spans="1:17" x14ac:dyDescent="0.45">
      <c r="A24" s="37" t="s">
        <v>178</v>
      </c>
      <c r="B24" s="34">
        <v>551</v>
      </c>
      <c r="C24" s="31">
        <f>IF(B$19=0,0,B24/B$19)</f>
        <v>0.28954282711508145</v>
      </c>
      <c r="E24" s="44" t="s">
        <v>73</v>
      </c>
      <c r="F24" s="41" t="s">
        <v>28</v>
      </c>
      <c r="G24" s="34">
        <v>7</v>
      </c>
      <c r="H24" s="107">
        <f>IF(B$51=0,0,G24/B$51)</f>
        <v>4.0068689181453924E-3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15.169360269360267</v>
      </c>
      <c r="P24" s="93">
        <v>297</v>
      </c>
      <c r="Q24" s="81">
        <v>4505.2999999999993</v>
      </c>
    </row>
    <row r="25" spans="1:17" x14ac:dyDescent="0.45">
      <c r="A25" s="37" t="s">
        <v>179</v>
      </c>
      <c r="B25" s="34">
        <v>466</v>
      </c>
      <c r="C25" s="31">
        <f>IF(B$19=0,0,B25/B$19)</f>
        <v>0.24487651077246453</v>
      </c>
      <c r="E25" s="44" t="s">
        <v>90</v>
      </c>
      <c r="F25" s="41" t="s">
        <v>45</v>
      </c>
      <c r="G25" s="34">
        <v>5</v>
      </c>
      <c r="H25" s="107">
        <f>IF(B$51=0,0,G25/B$51)</f>
        <v>2.8620492272467086E-3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13.333836858006048</v>
      </c>
      <c r="P25" s="93">
        <v>331</v>
      </c>
      <c r="Q25" s="81">
        <v>4413.5000000000018</v>
      </c>
    </row>
    <row r="26" spans="1:17" x14ac:dyDescent="0.45">
      <c r="A26" s="37" t="s">
        <v>5</v>
      </c>
      <c r="B26" s="17">
        <f>IF(B$19=0,0,C26/B$19)</f>
        <v>9190.2785076195487</v>
      </c>
      <c r="C26" s="8">
        <v>17489100</v>
      </c>
      <c r="E26" s="44" t="s">
        <v>74</v>
      </c>
      <c r="F26" s="41" t="s">
        <v>29</v>
      </c>
      <c r="G26" s="34">
        <v>4</v>
      </c>
      <c r="H26" s="107">
        <f>IF(B$51=0,0,G26/B$51)</f>
        <v>2.2896393817973667E-3</v>
      </c>
      <c r="I26" s="68">
        <v>8</v>
      </c>
      <c r="K26" s="5">
        <v>24</v>
      </c>
      <c r="L26" s="73">
        <v>118.00000000000001</v>
      </c>
      <c r="N26" s="89" t="s">
        <v>191</v>
      </c>
      <c r="O26" s="99">
        <f>IF(P26=0,0,Q26/P26)</f>
        <v>5.9546218487394951</v>
      </c>
      <c r="P26" s="93">
        <v>238</v>
      </c>
      <c r="Q26" s="81">
        <v>1417.1999999999998</v>
      </c>
    </row>
    <row r="27" spans="1:17" x14ac:dyDescent="0.45">
      <c r="A27" s="38" t="s">
        <v>162</v>
      </c>
      <c r="B27" s="114">
        <f>IF($B$19-B$18=0,0,C27/($B$19-B$18))</f>
        <v>9589.0532544378693</v>
      </c>
      <c r="C27" s="115">
        <v>12964400</v>
      </c>
      <c r="E27" s="44" t="s">
        <v>84</v>
      </c>
      <c r="F27" s="41" t="s">
        <v>39</v>
      </c>
      <c r="G27" s="34">
        <v>4</v>
      </c>
      <c r="H27" s="107">
        <f>IF(B$51=0,0,G27/B$51)</f>
        <v>2.2896393817973667E-3</v>
      </c>
      <c r="I27" s="68">
        <v>5</v>
      </c>
      <c r="K27" s="5">
        <v>25</v>
      </c>
      <c r="L27" s="73">
        <v>84.300000000000011</v>
      </c>
      <c r="N27" s="89" t="s">
        <v>194</v>
      </c>
      <c r="O27" s="99">
        <f>IF(P27=0,0,Q27/P27)</f>
        <v>5.6242857142857137</v>
      </c>
      <c r="P27" s="93">
        <v>70</v>
      </c>
      <c r="Q27" s="81">
        <v>393.69999999999993</v>
      </c>
    </row>
    <row r="28" spans="1:17" x14ac:dyDescent="0.45">
      <c r="A28" s="38" t="s">
        <v>163</v>
      </c>
      <c r="B28" s="114">
        <f>IF(B$18=0,0,C28/B$18)</f>
        <v>8211.7967332123408</v>
      </c>
      <c r="C28" s="115">
        <v>4524700</v>
      </c>
      <c r="E28" s="44" t="s">
        <v>87</v>
      </c>
      <c r="F28" s="41" t="s">
        <v>42</v>
      </c>
      <c r="G28" s="34">
        <v>4</v>
      </c>
      <c r="H28" s="107">
        <f>IF(B$51=0,0,G28/B$51)</f>
        <v>2.2896393817973667E-3</v>
      </c>
      <c r="I28" s="68">
        <v>6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5">
      <c r="A29" s="38" t="s">
        <v>161</v>
      </c>
      <c r="B29" s="114">
        <f>IF(B$20=0,0,C29/B$20)</f>
        <v>-8445.2506596306066</v>
      </c>
      <c r="C29" s="115">
        <v>-6401500</v>
      </c>
      <c r="E29" s="44" t="s">
        <v>88</v>
      </c>
      <c r="F29" s="41" t="s">
        <v>43</v>
      </c>
      <c r="G29" s="34">
        <v>4</v>
      </c>
      <c r="H29" s="107">
        <f>IF(B$51=0,0,G29/B$51)</f>
        <v>2.2896393817973667E-3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2.2896393817973667E-3</v>
      </c>
      <c r="I30" s="68">
        <v>2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1.7172295363480253E-3</v>
      </c>
      <c r="I31" s="68">
        <v>7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41">
        <v>10</v>
      </c>
      <c r="C32" s="142"/>
      <c r="E32" s="44" t="s">
        <v>106</v>
      </c>
      <c r="F32" s="41" t="s">
        <v>113</v>
      </c>
      <c r="G32" s="34">
        <v>2</v>
      </c>
      <c r="H32" s="107">
        <f>IF(B$51=0,0,G32/B$51)</f>
        <v>1.1448196908986834E-3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39">
        <v>149100</v>
      </c>
      <c r="C33" s="140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9.0909090909090909E-4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3">
        <v>120</v>
      </c>
      <c r="C36" s="119">
        <f>IF(B$19=0,0,B36/B$19)</f>
        <v>6.3058328954282705E-2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250</v>
      </c>
      <c r="C37" s="31">
        <f t="shared" ref="C37:C48" si="2">IF(B$19=0,0,B37/B$19)</f>
        <v>0.13137151865475566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6">
        <v>330</v>
      </c>
      <c r="C38" s="31">
        <f>IF(B$19=0,0,B38/B$19)</f>
        <v>0.17341040462427745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6">
        <v>345</v>
      </c>
      <c r="C39" s="31">
        <f t="shared" si="2"/>
        <v>0.1812926957435628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6">
        <v>256</v>
      </c>
      <c r="C40" s="31">
        <f t="shared" si="2"/>
        <v>0.13452443510246978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6">
        <v>187</v>
      </c>
      <c r="C41" s="31">
        <f t="shared" si="2"/>
        <v>9.8265895953757232E-2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6">
        <v>116</v>
      </c>
      <c r="C42" s="31">
        <f t="shared" si="2"/>
        <v>6.095638465580662E-2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6">
        <v>55</v>
      </c>
      <c r="C43" s="31">
        <f t="shared" si="2"/>
        <v>2.8901734104046242E-2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6">
        <v>34</v>
      </c>
      <c r="C44" s="31">
        <f t="shared" si="2"/>
        <v>1.7866526537046769E-2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6">
        <v>15</v>
      </c>
      <c r="C45" s="31">
        <f t="shared" si="2"/>
        <v>7.8822911192853382E-3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6">
        <v>8</v>
      </c>
      <c r="C46" s="31">
        <f t="shared" si="2"/>
        <v>4.2038885969521806E-3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6">
        <v>3</v>
      </c>
      <c r="C47" s="31">
        <f t="shared" si="2"/>
        <v>1.5764582238570678E-3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2">
        <v>28</v>
      </c>
      <c r="C48" s="32">
        <f t="shared" si="2"/>
        <v>1.4713610089332634E-2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29">
        <v>5044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37">
        <v>1747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E4EC-505E-4F90-AB88-51EAAD7D6A1F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184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</v>
      </c>
      <c r="C2" s="130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1">
        <v>25</v>
      </c>
      <c r="C3" s="132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3">
        <v>-132.1</v>
      </c>
      <c r="C4" s="134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5">
        <f>IF(B$2=0,0,B$4/B$2)</f>
        <v>-33.024999999999999</v>
      </c>
      <c r="C5" s="136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43">
        <f>IF(B$2=0,0,(B$7*1+B$8*2+B$9*3)/B$2)</f>
        <v>3</v>
      </c>
      <c r="C6" s="144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5">
        <f>AVERAGE(B10:B12)</f>
        <v>-11.008333333333333</v>
      </c>
      <c r="C13" s="136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0</v>
      </c>
      <c r="C32" s="142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9">
        <v>13000</v>
      </c>
      <c r="C33" s="140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6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6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7">
        <v>0</v>
      </c>
      <c r="C51" s="13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9F3FD-E512-4652-B563-38BCD4ED1A2C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189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22</v>
      </c>
      <c r="C2" s="130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-3113.6363636363635</v>
      </c>
      <c r="P2" s="92">
        <v>22</v>
      </c>
      <c r="Q2" s="76">
        <v>-68500</v>
      </c>
    </row>
    <row r="3" spans="1:17" x14ac:dyDescent="0.45">
      <c r="A3" s="37" t="s">
        <v>8</v>
      </c>
      <c r="B3" s="131">
        <v>179</v>
      </c>
      <c r="C3" s="132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6</v>
      </c>
      <c r="K3" s="5">
        <v>1</v>
      </c>
      <c r="L3" s="73">
        <v>7</v>
      </c>
      <c r="N3" s="89" t="s">
        <v>127</v>
      </c>
      <c r="O3" s="96">
        <f t="shared" si="0"/>
        <v>-614.28571428571433</v>
      </c>
      <c r="P3" s="93">
        <v>21</v>
      </c>
      <c r="Q3" s="77">
        <v>-12900</v>
      </c>
    </row>
    <row r="4" spans="1:17" x14ac:dyDescent="0.45">
      <c r="A4" s="37" t="s">
        <v>6</v>
      </c>
      <c r="B4" s="133">
        <v>-71.099999999999994</v>
      </c>
      <c r="C4" s="134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-2495.2380952380954</v>
      </c>
      <c r="P4" s="93">
        <v>21</v>
      </c>
      <c r="Q4" s="77">
        <v>-52400</v>
      </c>
    </row>
    <row r="5" spans="1:17" x14ac:dyDescent="0.45">
      <c r="A5" s="37" t="s">
        <v>7</v>
      </c>
      <c r="B5" s="135">
        <f>IF(B$2=0,0,B$4/B$2)</f>
        <v>-3.2318181818181815</v>
      </c>
      <c r="C5" s="136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1911.1111111111111</v>
      </c>
      <c r="P5" s="93">
        <v>18</v>
      </c>
      <c r="Q5" s="77">
        <v>34400</v>
      </c>
    </row>
    <row r="6" spans="1:17" x14ac:dyDescent="0.45">
      <c r="A6" s="37" t="s">
        <v>1</v>
      </c>
      <c r="B6" s="143">
        <f>IF(B$2=0,0,(B$7*1+B$8*2+B$9*3)/B$2)</f>
        <v>2.0454545454545454</v>
      </c>
      <c r="C6" s="144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1681.25</v>
      </c>
      <c r="P6" s="93">
        <v>16</v>
      </c>
      <c r="Q6" s="77">
        <v>26900</v>
      </c>
    </row>
    <row r="7" spans="1:17" x14ac:dyDescent="0.45">
      <c r="A7" s="37" t="s">
        <v>2</v>
      </c>
      <c r="B7" s="34">
        <v>7</v>
      </c>
      <c r="C7" s="31">
        <f t="shared" ref="C7:C14" si="1">IF(B$2=0,0,B7/B$2)</f>
        <v>0.31818181818181818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978.57142857142856</v>
      </c>
      <c r="P7" s="94">
        <v>14</v>
      </c>
      <c r="Q7" s="78">
        <v>13700</v>
      </c>
    </row>
    <row r="8" spans="1:17" x14ac:dyDescent="0.45">
      <c r="A8" s="37" t="s">
        <v>3</v>
      </c>
      <c r="B8" s="34">
        <v>7</v>
      </c>
      <c r="C8" s="31">
        <f t="shared" si="1"/>
        <v>0.31818181818181818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0.36363636363636365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27.028571428571432</v>
      </c>
      <c r="C10" s="121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-13.719999999999999</v>
      </c>
      <c r="P10" s="92">
        <v>5</v>
      </c>
      <c r="Q10" s="80">
        <v>-68.599999999999994</v>
      </c>
    </row>
    <row r="11" spans="1:17" x14ac:dyDescent="0.45">
      <c r="A11" s="38" t="s">
        <v>204</v>
      </c>
      <c r="B11" s="120">
        <f>IF(B8=0,0,C11/B8)</f>
        <v>2.5428571428571423</v>
      </c>
      <c r="C11" s="121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5">
      <c r="A12" s="38" t="s">
        <v>205</v>
      </c>
      <c r="B12" s="120">
        <f>IF(B9=0,0,C12/B9)</f>
        <v>-34.762500000000003</v>
      </c>
      <c r="C12" s="121">
        <v>-278.10000000000002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-0.74285714285714322</v>
      </c>
      <c r="P12" s="94">
        <v>7</v>
      </c>
      <c r="Q12" s="82">
        <v>-5.2000000000000028</v>
      </c>
    </row>
    <row r="13" spans="1:17" x14ac:dyDescent="0.45">
      <c r="A13" s="38" t="s">
        <v>206</v>
      </c>
      <c r="B13" s="135">
        <f>AVERAGE(B10:B12)</f>
        <v>-1.7303571428571434</v>
      </c>
      <c r="C13" s="136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</v>
      </c>
      <c r="C14" s="32">
        <f t="shared" si="1"/>
        <v>0.13636363636363635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62</v>
      </c>
      <c r="C15" s="11">
        <f>IF(B$50=0,0,B15/B$50)</f>
        <v>0.35632183908045978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5">
      <c r="A16" s="37" t="s">
        <v>118</v>
      </c>
      <c r="B16" s="34">
        <v>21</v>
      </c>
      <c r="C16" s="31">
        <f>IF(B$50=0,0,B16/B$50)</f>
        <v>0.1206896551724138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5">
      <c r="A17" s="19" t="s">
        <v>123</v>
      </c>
      <c r="B17" s="13">
        <v>33</v>
      </c>
      <c r="C17" s="4">
        <f>IF(B$15=0,0,B17/B$15)</f>
        <v>0.532258064516129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197</v>
      </c>
      <c r="O17" s="99">
        <f>IF(P17=0,0,Q17/P17)</f>
        <v>12.000000000000002</v>
      </c>
      <c r="P17" s="93">
        <v>1</v>
      </c>
      <c r="Q17" s="81">
        <v>12.000000000000002</v>
      </c>
    </row>
    <row r="18" spans="1:17" x14ac:dyDescent="0.45">
      <c r="A18" s="19" t="s">
        <v>124</v>
      </c>
      <c r="B18" s="13">
        <v>15</v>
      </c>
      <c r="C18" s="4">
        <f>IF(B$16=0,0,B18/B$16)</f>
        <v>0.7142857142857143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191</v>
      </c>
      <c r="O18" s="99">
        <f>IF(P18=0,0,Q18/P18)</f>
        <v>3.1538461538461542</v>
      </c>
      <c r="P18" s="93">
        <v>13</v>
      </c>
      <c r="Q18" s="81">
        <v>41.000000000000007</v>
      </c>
    </row>
    <row r="19" spans="1:17" x14ac:dyDescent="0.45">
      <c r="A19" s="19" t="s">
        <v>10</v>
      </c>
      <c r="B19" s="13">
        <v>60</v>
      </c>
      <c r="C19" s="4">
        <f>IF(B$3=0,0,B19/B$3)</f>
        <v>0.33519553072625696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193</v>
      </c>
      <c r="O19" s="99">
        <f>IF(P19=0,0,Q19/P19)</f>
        <v>2.8600000000000012</v>
      </c>
      <c r="P19" s="93">
        <v>5</v>
      </c>
      <c r="Q19" s="81">
        <v>14.300000000000006</v>
      </c>
    </row>
    <row r="20" spans="1:17" x14ac:dyDescent="0.45">
      <c r="A20" s="37" t="s">
        <v>13</v>
      </c>
      <c r="B20" s="34">
        <v>29</v>
      </c>
      <c r="C20" s="31">
        <f>IF(B$3=0,0,B20/B$3)</f>
        <v>0.16201117318435754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3</v>
      </c>
      <c r="K20" s="5">
        <v>18</v>
      </c>
      <c r="L20" s="73">
        <v>-71</v>
      </c>
      <c r="N20" s="89" t="s">
        <v>186</v>
      </c>
      <c r="O20" s="99">
        <f>IF(P20=0,0,Q20/P20)</f>
        <v>-0.16666666666666882</v>
      </c>
      <c r="P20" s="93">
        <v>3</v>
      </c>
      <c r="Q20" s="81">
        <v>-0.50000000000000644</v>
      </c>
    </row>
    <row r="21" spans="1:17" x14ac:dyDescent="0.45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190</v>
      </c>
      <c r="O21" s="99">
        <f>IF(P21=0,0,Q21/P21)</f>
        <v>-0.34285714285714569</v>
      </c>
      <c r="P21" s="93">
        <v>7</v>
      </c>
      <c r="Q21" s="81">
        <v>-2.4000000000000199</v>
      </c>
    </row>
    <row r="22" spans="1:17" x14ac:dyDescent="0.45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-37.75714285714286</v>
      </c>
      <c r="P22" s="93">
        <v>7</v>
      </c>
      <c r="Q22" s="81">
        <v>-264.3</v>
      </c>
    </row>
    <row r="23" spans="1:17" x14ac:dyDescent="0.45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5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</row>
    <row r="26" spans="1:17" x14ac:dyDescent="0.45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-8741.3793103448279</v>
      </c>
      <c r="C29" s="115">
        <v>-253500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7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65900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1.11731843575419E-2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174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58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12BA3-3116-4AA9-86E6-4E51BEB752C5}">
  <sheetPr codeName="Sheet7"/>
  <dimension ref="A1:Q41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190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409</v>
      </c>
      <c r="C2" s="130"/>
      <c r="E2" s="43" t="s">
        <v>66</v>
      </c>
      <c r="F2" s="25" t="s">
        <v>22</v>
      </c>
      <c r="G2" s="13">
        <v>603</v>
      </c>
      <c r="H2" s="106">
        <f>IF(B$51=0,0,G2/B$51)</f>
        <v>0.71871275327771156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-243.5960591133005</v>
      </c>
      <c r="P2" s="92">
        <v>406</v>
      </c>
      <c r="Q2" s="76">
        <v>-98900</v>
      </c>
    </row>
    <row r="3" spans="1:17" x14ac:dyDescent="0.45">
      <c r="A3" s="37" t="s">
        <v>8</v>
      </c>
      <c r="B3" s="131">
        <v>3349</v>
      </c>
      <c r="C3" s="132"/>
      <c r="E3" s="44" t="s">
        <v>64</v>
      </c>
      <c r="F3" s="41" t="s">
        <v>20</v>
      </c>
      <c r="G3" s="34">
        <v>493</v>
      </c>
      <c r="H3" s="107">
        <f>IF(B$51=0,0,G3/B$51)</f>
        <v>0.58760429082240762</v>
      </c>
      <c r="I3" s="68">
        <v>5</v>
      </c>
      <c r="K3" s="5">
        <v>1</v>
      </c>
      <c r="L3" s="73">
        <v>40.9</v>
      </c>
      <c r="N3" s="89" t="s">
        <v>127</v>
      </c>
      <c r="O3" s="96">
        <f t="shared" si="0"/>
        <v>-1283.375314861461</v>
      </c>
      <c r="P3" s="93">
        <v>397</v>
      </c>
      <c r="Q3" s="77">
        <v>-509500</v>
      </c>
    </row>
    <row r="4" spans="1:17" x14ac:dyDescent="0.45">
      <c r="A4" s="37" t="s">
        <v>6</v>
      </c>
      <c r="B4" s="133">
        <v>-1839.7999999999997</v>
      </c>
      <c r="C4" s="134"/>
      <c r="E4" s="44" t="s">
        <v>72</v>
      </c>
      <c r="F4" s="41" t="s">
        <v>27</v>
      </c>
      <c r="G4" s="34">
        <v>401</v>
      </c>
      <c r="H4" s="107">
        <f>IF(B$51=0,0,G4/B$51)</f>
        <v>0.47794994040524436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394.4591029023747</v>
      </c>
      <c r="P4" s="93">
        <v>379</v>
      </c>
      <c r="Q4" s="77">
        <v>149500</v>
      </c>
    </row>
    <row r="5" spans="1:17" x14ac:dyDescent="0.45">
      <c r="A5" s="37" t="s">
        <v>7</v>
      </c>
      <c r="B5" s="135">
        <f>IF(B$2=0,0,B$4/B$2)</f>
        <v>-4.4982885085574562</v>
      </c>
      <c r="C5" s="136"/>
      <c r="E5" s="44" t="s">
        <v>68</v>
      </c>
      <c r="F5" s="41" t="s">
        <v>12</v>
      </c>
      <c r="G5" s="34">
        <v>303</v>
      </c>
      <c r="H5" s="107">
        <f>IF(B$51=0,0,G5/B$51)</f>
        <v>0.36114421930870083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-737.93103448275861</v>
      </c>
      <c r="P5" s="93">
        <v>348</v>
      </c>
      <c r="Q5" s="77">
        <v>-256800</v>
      </c>
    </row>
    <row r="6" spans="1:17" x14ac:dyDescent="0.45">
      <c r="A6" s="37" t="s">
        <v>1</v>
      </c>
      <c r="B6" s="143">
        <f>IF(B$2=0,0,(B$7*1+B$8*2+B$9*3)/B$2)</f>
        <v>2.1173594132029341</v>
      </c>
      <c r="C6" s="144"/>
      <c r="E6" s="44" t="s">
        <v>67</v>
      </c>
      <c r="F6" s="41" t="s">
        <v>23</v>
      </c>
      <c r="G6" s="34">
        <v>284</v>
      </c>
      <c r="H6" s="107">
        <f>IF(B$51=0,0,G6/B$51)</f>
        <v>0.33849821215733017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-1250.16077170418</v>
      </c>
      <c r="P6" s="93">
        <v>311</v>
      </c>
      <c r="Q6" s="77">
        <v>-388800</v>
      </c>
    </row>
    <row r="7" spans="1:17" x14ac:dyDescent="0.45">
      <c r="A7" s="37" t="s">
        <v>2</v>
      </c>
      <c r="B7" s="34">
        <v>107</v>
      </c>
      <c r="C7" s="31">
        <f t="shared" ref="C7:C14" si="1">IF(B$2=0,0,B7/B$2)</f>
        <v>0.26161369193154033</v>
      </c>
      <c r="E7" s="44" t="s">
        <v>157</v>
      </c>
      <c r="F7" s="41" t="s">
        <v>158</v>
      </c>
      <c r="G7" s="34">
        <v>257</v>
      </c>
      <c r="H7" s="107">
        <f>IF(B$51=0,0,G7/B$51)</f>
        <v>0.30631704410011917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-1064.6616541353383</v>
      </c>
      <c r="P7" s="94">
        <v>266</v>
      </c>
      <c r="Q7" s="78">
        <v>-283200</v>
      </c>
    </row>
    <row r="8" spans="1:17" x14ac:dyDescent="0.45">
      <c r="A8" s="37" t="s">
        <v>3</v>
      </c>
      <c r="B8" s="34">
        <v>147</v>
      </c>
      <c r="C8" s="31">
        <f t="shared" si="1"/>
        <v>0.35941320293398532</v>
      </c>
      <c r="E8" s="44" t="s">
        <v>69</v>
      </c>
      <c r="F8" s="41" t="s">
        <v>24</v>
      </c>
      <c r="G8" s="34">
        <v>152</v>
      </c>
      <c r="H8" s="107">
        <f>IF(B$51=0,0,G8/B$51)</f>
        <v>0.18116805721096543</v>
      </c>
      <c r="I8" s="68">
        <v>3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155</v>
      </c>
      <c r="C9" s="7">
        <f t="shared" si="1"/>
        <v>0.37897310513447435</v>
      </c>
      <c r="E9" s="44" t="s">
        <v>65</v>
      </c>
      <c r="F9" s="41" t="s">
        <v>21</v>
      </c>
      <c r="G9" s="34">
        <v>114</v>
      </c>
      <c r="H9" s="107">
        <f>IF(B$51=0,0,G9/B$51)</f>
        <v>0.13587604290822408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36.185981308411215</v>
      </c>
      <c r="C10" s="121">
        <v>3871.8999999999996</v>
      </c>
      <c r="E10" s="44" t="s">
        <v>89</v>
      </c>
      <c r="F10" s="41" t="s">
        <v>44</v>
      </c>
      <c r="G10" s="34">
        <v>111</v>
      </c>
      <c r="H10" s="107">
        <f>IF(B$51=0,0,G10/B$51)</f>
        <v>0.13230035756853398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-6.9216867469879535</v>
      </c>
      <c r="P10" s="92">
        <v>166</v>
      </c>
      <c r="Q10" s="80">
        <v>-1149.0000000000002</v>
      </c>
    </row>
    <row r="11" spans="1:17" x14ac:dyDescent="0.45">
      <c r="A11" s="38" t="s">
        <v>204</v>
      </c>
      <c r="B11" s="120">
        <f>IF(B8=0,0,C11/B8)</f>
        <v>-0.7292517006802719</v>
      </c>
      <c r="C11" s="121">
        <v>-107.19999999999997</v>
      </c>
      <c r="E11" s="44" t="s">
        <v>70</v>
      </c>
      <c r="F11" s="41" t="s">
        <v>25</v>
      </c>
      <c r="G11" s="34">
        <v>107</v>
      </c>
      <c r="H11" s="107">
        <f>IF(B$51=0,0,G11/B$51)</f>
        <v>0.12753277711561384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-4.4585937500000004</v>
      </c>
      <c r="P11" s="93">
        <v>128</v>
      </c>
      <c r="Q11" s="81">
        <v>-570.70000000000005</v>
      </c>
    </row>
    <row r="12" spans="1:17" x14ac:dyDescent="0.45">
      <c r="A12" s="38" t="s">
        <v>205</v>
      </c>
      <c r="B12" s="120">
        <f>IF(B9=0,0,C12/B9)</f>
        <v>-36.158064516129024</v>
      </c>
      <c r="C12" s="121">
        <v>-5604.4999999999991</v>
      </c>
      <c r="E12" s="44" t="s">
        <v>86</v>
      </c>
      <c r="F12" s="41" t="s">
        <v>41</v>
      </c>
      <c r="G12" s="34">
        <v>51</v>
      </c>
      <c r="H12" s="107">
        <f>IF(B$51=0,0,G12/B$51)</f>
        <v>6.0786650774731825E-2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-1.4921052631578944</v>
      </c>
      <c r="P12" s="94">
        <v>114</v>
      </c>
      <c r="Q12" s="82">
        <v>-170.09999999999997</v>
      </c>
    </row>
    <row r="13" spans="1:17" x14ac:dyDescent="0.45">
      <c r="A13" s="38" t="s">
        <v>206</v>
      </c>
      <c r="B13" s="135">
        <f>AVERAGE(B10:B12)</f>
        <v>-0.23377830279936043</v>
      </c>
      <c r="C13" s="136"/>
      <c r="E13" s="44" t="s">
        <v>83</v>
      </c>
      <c r="F13" s="41" t="s">
        <v>38</v>
      </c>
      <c r="G13" s="34">
        <v>46</v>
      </c>
      <c r="H13" s="107">
        <f>IF(B$51=0,0,G13/B$51)</f>
        <v>5.4827175208581644E-2</v>
      </c>
      <c r="I13" s="68">
        <v>5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57</v>
      </c>
      <c r="C14" s="32">
        <f t="shared" si="1"/>
        <v>0.13936430317848411</v>
      </c>
      <c r="E14" s="44" t="s">
        <v>71</v>
      </c>
      <c r="F14" s="41" t="s">
        <v>26</v>
      </c>
      <c r="G14" s="34">
        <v>35</v>
      </c>
      <c r="H14" s="107">
        <f>IF(B$51=0,0,G14/B$51)</f>
        <v>4.1716328963051254E-2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890</v>
      </c>
      <c r="C15" s="11">
        <f>IF(B$50=0,0,B15/B$50)</f>
        <v>0.28821243523316065</v>
      </c>
      <c r="E15" s="44" t="s">
        <v>81</v>
      </c>
      <c r="F15" s="41" t="s">
        <v>36</v>
      </c>
      <c r="G15" s="34">
        <v>27</v>
      </c>
      <c r="H15" s="107">
        <f>IF(B$51=0,0,G15/B$51)</f>
        <v>3.2181168057210968E-2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21.183333333333334</v>
      </c>
      <c r="P15" s="92">
        <v>6</v>
      </c>
      <c r="Q15" s="80">
        <v>127.1</v>
      </c>
    </row>
    <row r="16" spans="1:17" x14ac:dyDescent="0.45">
      <c r="A16" s="37" t="s">
        <v>118</v>
      </c>
      <c r="B16" s="34">
        <v>556</v>
      </c>
      <c r="C16" s="31">
        <f>IF(B$50=0,0,B16/B$50)</f>
        <v>0.18005181347150259</v>
      </c>
      <c r="E16" s="44" t="s">
        <v>78</v>
      </c>
      <c r="F16" s="41" t="s">
        <v>33</v>
      </c>
      <c r="G16" s="34">
        <v>21</v>
      </c>
      <c r="H16" s="107">
        <f>IF(B$51=0,0,G16/B$51)</f>
        <v>2.5029797377830752E-2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8.3615384615384603</v>
      </c>
      <c r="P16" s="93">
        <v>39</v>
      </c>
      <c r="Q16" s="81">
        <v>326.09999999999997</v>
      </c>
    </row>
    <row r="17" spans="1:17" x14ac:dyDescent="0.45">
      <c r="A17" s="19" t="s">
        <v>123</v>
      </c>
      <c r="B17" s="13">
        <v>508</v>
      </c>
      <c r="C17" s="4">
        <f>IF(B$15=0,0,B17/B$15)</f>
        <v>0.57078651685393256</v>
      </c>
      <c r="E17" s="44" t="s">
        <v>91</v>
      </c>
      <c r="F17" s="41" t="s">
        <v>46</v>
      </c>
      <c r="G17" s="34">
        <v>15</v>
      </c>
      <c r="H17" s="107">
        <f>IF(B$51=0,0,G17/B$51)</f>
        <v>1.7878426698450536E-2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6.4329113924050647</v>
      </c>
      <c r="P17" s="93">
        <v>79</v>
      </c>
      <c r="Q17" s="81">
        <v>508.2000000000001</v>
      </c>
    </row>
    <row r="18" spans="1:17" x14ac:dyDescent="0.45">
      <c r="A18" s="19" t="s">
        <v>124</v>
      </c>
      <c r="B18" s="13">
        <v>200</v>
      </c>
      <c r="C18" s="4">
        <f>IF(B$16=0,0,B18/B$16)</f>
        <v>0.35971223021582732</v>
      </c>
      <c r="E18" s="44" t="s">
        <v>79</v>
      </c>
      <c r="F18" s="41" t="s">
        <v>34</v>
      </c>
      <c r="G18" s="34">
        <v>14</v>
      </c>
      <c r="H18" s="107">
        <f>IF(B$51=0,0,G18/B$51)</f>
        <v>1.6686531585220502E-2</v>
      </c>
      <c r="I18" s="68">
        <v>8</v>
      </c>
      <c r="K18" s="5">
        <v>16</v>
      </c>
      <c r="L18" s="73">
        <v>14.600000000000001</v>
      </c>
      <c r="N18" s="89" t="s">
        <v>191</v>
      </c>
      <c r="O18" s="99">
        <f>IF(P18=0,0,Q18/P18)</f>
        <v>2.1864864864864879</v>
      </c>
      <c r="P18" s="93">
        <v>111</v>
      </c>
      <c r="Q18" s="81">
        <v>242.70000000000016</v>
      </c>
    </row>
    <row r="19" spans="1:17" x14ac:dyDescent="0.45">
      <c r="A19" s="19" t="s">
        <v>10</v>
      </c>
      <c r="B19" s="13">
        <v>900</v>
      </c>
      <c r="C19" s="4">
        <f>IF(B$3=0,0,B19/B$3)</f>
        <v>0.26873693639892504</v>
      </c>
      <c r="E19" s="44" t="s">
        <v>153</v>
      </c>
      <c r="F19" s="41" t="s">
        <v>154</v>
      </c>
      <c r="G19" s="34">
        <v>12</v>
      </c>
      <c r="H19" s="107">
        <f>IF(B$51=0,0,G19/B$51)</f>
        <v>1.4302741358760428E-2</v>
      </c>
      <c r="I19" s="68">
        <v>5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622</v>
      </c>
      <c r="C20" s="31">
        <f>IF(B$3=0,0,B20/B$3)</f>
        <v>0.1857270827112571</v>
      </c>
      <c r="E20" s="44" t="s">
        <v>75</v>
      </c>
      <c r="F20" s="41" t="s">
        <v>30</v>
      </c>
      <c r="G20" s="34">
        <v>8</v>
      </c>
      <c r="H20" s="107">
        <f>IF(B$51=0,0,G20/B$51)</f>
        <v>9.5351609058402856E-3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410</v>
      </c>
      <c r="C21" s="31">
        <f>IF(B$19=0,0,B21/B$19)</f>
        <v>0.45555555555555555</v>
      </c>
      <c r="E21" s="44" t="s">
        <v>73</v>
      </c>
      <c r="F21" s="41" t="s">
        <v>28</v>
      </c>
      <c r="G21" s="34">
        <v>4</v>
      </c>
      <c r="H21" s="107">
        <f>IF(B$51=0,0,G21/B$51)</f>
        <v>4.7675804529201428E-3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-6.8016129032258066</v>
      </c>
      <c r="P21" s="93">
        <v>62</v>
      </c>
      <c r="Q21" s="81">
        <v>-421.7</v>
      </c>
    </row>
    <row r="22" spans="1:17" x14ac:dyDescent="0.45">
      <c r="A22" s="37" t="s">
        <v>11</v>
      </c>
      <c r="B22" s="34">
        <v>490</v>
      </c>
      <c r="C22" s="31">
        <f>IF(B$19=0,0,B22/B$19)</f>
        <v>0.5444444444444444</v>
      </c>
      <c r="E22" s="44" t="s">
        <v>74</v>
      </c>
      <c r="F22" s="41" t="s">
        <v>29</v>
      </c>
      <c r="G22" s="34">
        <v>3</v>
      </c>
      <c r="H22" s="107">
        <f>IF(B$51=0,0,G22/B$51)</f>
        <v>3.5756853396901071E-3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-8.0346405228758151</v>
      </c>
      <c r="P22" s="93">
        <v>153</v>
      </c>
      <c r="Q22" s="81">
        <v>-1229.2999999999997</v>
      </c>
    </row>
    <row r="23" spans="1:17" x14ac:dyDescent="0.45">
      <c r="A23" s="37" t="s">
        <v>180</v>
      </c>
      <c r="B23" s="34">
        <v>508</v>
      </c>
      <c r="C23" s="31">
        <f>IF(B$19=0,0,B23/B$19)</f>
        <v>0.56444444444444442</v>
      </c>
      <c r="E23" s="44" t="s">
        <v>84</v>
      </c>
      <c r="F23" s="41" t="s">
        <v>39</v>
      </c>
      <c r="G23" s="34">
        <v>3</v>
      </c>
      <c r="H23" s="107">
        <f>IF(B$51=0,0,G23/B$51)</f>
        <v>3.5756853396901071E-3</v>
      </c>
      <c r="I23" s="68">
        <v>2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7" t="s">
        <v>178</v>
      </c>
      <c r="B24" s="34">
        <v>200</v>
      </c>
      <c r="C24" s="31">
        <f>IF(B$19=0,0,B24/B$19)</f>
        <v>0.22222222222222221</v>
      </c>
      <c r="E24" s="44" t="s">
        <v>85</v>
      </c>
      <c r="F24" s="41" t="s">
        <v>40</v>
      </c>
      <c r="G24" s="34">
        <v>3</v>
      </c>
      <c r="H24" s="107">
        <f>IF(B$51=0,0,G24/B$51)</f>
        <v>3.5756853396901071E-3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-15.169360269360267</v>
      </c>
      <c r="P24" s="93">
        <v>297</v>
      </c>
      <c r="Q24" s="81">
        <v>-4505.2999999999993</v>
      </c>
    </row>
    <row r="25" spans="1:17" x14ac:dyDescent="0.45">
      <c r="A25" s="37" t="s">
        <v>179</v>
      </c>
      <c r="B25" s="34">
        <v>192</v>
      </c>
      <c r="C25" s="31">
        <f>IF(B$19=0,0,B25/B$19)</f>
        <v>0.21333333333333335</v>
      </c>
      <c r="E25" s="44" t="s">
        <v>92</v>
      </c>
      <c r="F25" s="41" t="s">
        <v>47</v>
      </c>
      <c r="G25" s="34">
        <v>3</v>
      </c>
      <c r="H25" s="107">
        <f>IF(B$51=0,0,G25/B$51)</f>
        <v>3.5756853396901071E-3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9236.1111111111113</v>
      </c>
      <c r="C26" s="8">
        <v>8312500</v>
      </c>
      <c r="E26" s="44" t="s">
        <v>88</v>
      </c>
      <c r="F26" s="41" t="s">
        <v>43</v>
      </c>
      <c r="G26" s="34">
        <v>2</v>
      </c>
      <c r="H26" s="107">
        <f>IF(B$51=0,0,G26/B$51)</f>
        <v>2.3837902264600714E-3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9625.5714285714294</v>
      </c>
      <c r="C27" s="115">
        <v>6737900</v>
      </c>
      <c r="E27" s="44" t="s">
        <v>77</v>
      </c>
      <c r="F27" s="41" t="s">
        <v>32</v>
      </c>
      <c r="G27" s="34">
        <v>1</v>
      </c>
      <c r="H27" s="107">
        <f>IF(B$51=0,0,G27/B$51)</f>
        <v>1.1918951132300357E-3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7873</v>
      </c>
      <c r="C28" s="115">
        <v>1574600</v>
      </c>
      <c r="E28" s="44" t="s">
        <v>80</v>
      </c>
      <c r="F28" s="41" t="s">
        <v>35</v>
      </c>
      <c r="G28" s="34">
        <v>1</v>
      </c>
      <c r="H28" s="107">
        <f>IF(B$51=0,0,G28/B$51)</f>
        <v>1.1918951132300357E-3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-8354.662379421221</v>
      </c>
      <c r="C29" s="115">
        <v>-5196600</v>
      </c>
      <c r="E29" s="44" t="s">
        <v>87</v>
      </c>
      <c r="F29" s="41" t="s">
        <v>42</v>
      </c>
      <c r="G29" s="34">
        <v>1</v>
      </c>
      <c r="H29" s="107">
        <f>IF(B$51=0,0,G29/B$51)</f>
        <v>1.1918951132300357E-3</v>
      </c>
      <c r="I29" s="68">
        <v>9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1.1918951132300357E-3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1.1918951132300357E-3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41">
        <v>10</v>
      </c>
      <c r="C32" s="142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39">
        <v>107600</v>
      </c>
      <c r="C33" s="140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3.8817557479844732E-3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3">
        <v>47</v>
      </c>
      <c r="C36" s="119">
        <f>IF(B$19=0,0,B36/B$19)</f>
        <v>5.2222222222222225E-2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108</v>
      </c>
      <c r="C37" s="31">
        <f t="shared" ref="C37:C48" si="2">IF(B$19=0,0,B37/B$19)</f>
        <v>0.12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6">
        <v>168</v>
      </c>
      <c r="C38" s="31">
        <f>IF(B$19=0,0,B38/B$19)</f>
        <v>0.18666666666666668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6">
        <v>153</v>
      </c>
      <c r="C39" s="31">
        <f t="shared" si="2"/>
        <v>0.17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6">
        <v>139</v>
      </c>
      <c r="C40" s="31">
        <f t="shared" si="2"/>
        <v>0.15444444444444444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6">
        <v>97</v>
      </c>
      <c r="C41" s="31">
        <f t="shared" si="2"/>
        <v>0.10777777777777778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6">
        <v>60</v>
      </c>
      <c r="C42" s="31">
        <f t="shared" si="2"/>
        <v>6.6666666666666666E-2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171</v>
      </c>
      <c r="B43" s="126">
        <v>30</v>
      </c>
      <c r="C43" s="31">
        <f t="shared" si="2"/>
        <v>3.3333333333333333E-2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6">
        <v>14</v>
      </c>
      <c r="C44" s="31">
        <f t="shared" si="2"/>
        <v>1.5555555555555555E-2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6">
        <v>7</v>
      </c>
      <c r="C45" s="31">
        <f t="shared" si="2"/>
        <v>7.7777777777777776E-3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6">
        <v>3</v>
      </c>
      <c r="C46" s="31">
        <f t="shared" si="2"/>
        <v>3.3333333333333335E-3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6">
        <v>5</v>
      </c>
      <c r="C47" s="31">
        <f t="shared" si="2"/>
        <v>5.5555555555555558E-3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2">
        <v>8</v>
      </c>
      <c r="C48" s="32">
        <f t="shared" si="2"/>
        <v>8.8888888888888889E-3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29">
        <v>3088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37">
        <v>839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A0792-C3A4-457A-954C-FA02A621670A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194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91</v>
      </c>
      <c r="C2" s="130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1">
        <v>670</v>
      </c>
      <c r="C3" s="132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3">
        <v>-3.4999999999999893</v>
      </c>
      <c r="C4" s="134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5">
        <f>IF(B$2=0,0,B$4/B$2)</f>
        <v>-3.8461538461538346E-2</v>
      </c>
      <c r="C5" s="136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43">
        <f>IF(B$2=0,0,(B$7*1+B$8*2+B$9*3)/B$2)</f>
        <v>1.9890109890109891</v>
      </c>
      <c r="C6" s="144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5">
        <f>AVERAGE(B10:B12)</f>
        <v>-0.4518996415770597</v>
      </c>
      <c r="C13" s="136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39">
        <v>118000</v>
      </c>
      <c r="C33" s="140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3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6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6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6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6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6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6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6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6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2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29">
        <v>432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37">
        <v>133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1CE5B-8267-44A4-9A8B-2D4C86F3DDD5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185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1">
        <v>37</v>
      </c>
      <c r="C3" s="132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3">
        <v>-86.4</v>
      </c>
      <c r="C4" s="134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5">
        <f>IF(B$2=0,0,B$4/B$2)</f>
        <v>-17.28</v>
      </c>
      <c r="C5" s="136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43">
        <f>IF(B$2=0,0,(B$7*1+B$8*2+B$9*3)/B$2)</f>
        <v>2.2000000000000002</v>
      </c>
      <c r="C6" s="144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-10.6</v>
      </c>
      <c r="C13" s="136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3</v>
      </c>
      <c r="C32" s="142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9">
        <v>57800</v>
      </c>
      <c r="C33" s="140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6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6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31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7">
        <v>9</v>
      </c>
      <c r="C51" s="13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F4987-54D0-4FD7-8309-1CF72460B186}">
  <sheetPr codeName="Sheet10"/>
  <dimension ref="A1:Q28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188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283</v>
      </c>
      <c r="C2" s="130"/>
      <c r="E2" s="43" t="s">
        <v>66</v>
      </c>
      <c r="F2" s="25" t="s">
        <v>22</v>
      </c>
      <c r="G2" s="13">
        <v>439</v>
      </c>
      <c r="H2" s="106">
        <f>IF(B$51=0,0,G2/B$51)</f>
        <v>0.66920731707317072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328.26855123674909</v>
      </c>
      <c r="P2" s="92">
        <v>283</v>
      </c>
      <c r="Q2" s="76">
        <v>92900</v>
      </c>
    </row>
    <row r="3" spans="1:17" x14ac:dyDescent="0.45">
      <c r="A3" s="37" t="s">
        <v>8</v>
      </c>
      <c r="B3" s="131">
        <v>2382</v>
      </c>
      <c r="C3" s="132"/>
      <c r="E3" s="44" t="s">
        <v>72</v>
      </c>
      <c r="F3" s="41" t="s">
        <v>27</v>
      </c>
      <c r="G3" s="34">
        <v>371</v>
      </c>
      <c r="H3" s="107">
        <f>IF(B$51=0,0,G3/B$51)</f>
        <v>0.56554878048780488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-1844.927536231884</v>
      </c>
      <c r="P3" s="93">
        <v>276</v>
      </c>
      <c r="Q3" s="77">
        <v>-509200</v>
      </c>
    </row>
    <row r="4" spans="1:17" x14ac:dyDescent="0.45">
      <c r="A4" s="37" t="s">
        <v>6</v>
      </c>
      <c r="B4" s="133">
        <v>-1506.3000000000002</v>
      </c>
      <c r="C4" s="134"/>
      <c r="E4" s="44" t="s">
        <v>64</v>
      </c>
      <c r="F4" s="41" t="s">
        <v>20</v>
      </c>
      <c r="G4" s="34">
        <v>228</v>
      </c>
      <c r="H4" s="107">
        <f>IF(B$51=0,0,G4/B$51)</f>
        <v>0.34756097560975607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-1651.953125</v>
      </c>
      <c r="P4" s="93">
        <v>256</v>
      </c>
      <c r="Q4" s="77">
        <v>-422900</v>
      </c>
    </row>
    <row r="5" spans="1:17" x14ac:dyDescent="0.45">
      <c r="A5" s="37" t="s">
        <v>7</v>
      </c>
      <c r="B5" s="135">
        <f>IF(B$2=0,0,B$4/B$2)</f>
        <v>-5.3226148409893996</v>
      </c>
      <c r="C5" s="136"/>
      <c r="E5" s="44" t="s">
        <v>157</v>
      </c>
      <c r="F5" s="41" t="s">
        <v>158</v>
      </c>
      <c r="G5" s="34">
        <v>206</v>
      </c>
      <c r="H5" s="107">
        <f>IF(B$51=0,0,G5/B$51)</f>
        <v>0.31402439024390244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16.528925619834709</v>
      </c>
      <c r="P5" s="93">
        <v>242</v>
      </c>
      <c r="Q5" s="77">
        <v>4000</v>
      </c>
    </row>
    <row r="6" spans="1:17" x14ac:dyDescent="0.45">
      <c r="A6" s="37" t="s">
        <v>1</v>
      </c>
      <c r="B6" s="143">
        <f>IF(B$2=0,0,(B$7*1+B$8*2+B$9*3)/B$2)</f>
        <v>2.1413427561837457</v>
      </c>
      <c r="C6" s="144"/>
      <c r="E6" s="44" t="s">
        <v>68</v>
      </c>
      <c r="F6" s="41" t="s">
        <v>12</v>
      </c>
      <c r="G6" s="34">
        <v>178</v>
      </c>
      <c r="H6" s="107">
        <f>IF(B$51=0,0,G6/B$51)</f>
        <v>0.27134146341463417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-870.40358744394621</v>
      </c>
      <c r="P6" s="93">
        <v>223</v>
      </c>
      <c r="Q6" s="77">
        <v>-194100</v>
      </c>
    </row>
    <row r="7" spans="1:17" x14ac:dyDescent="0.45">
      <c r="A7" s="37" t="s">
        <v>2</v>
      </c>
      <c r="B7" s="34">
        <v>70</v>
      </c>
      <c r="C7" s="31">
        <f t="shared" ref="C7:C14" si="1">IF(B$2=0,0,B7/B$2)</f>
        <v>0.24734982332155478</v>
      </c>
      <c r="E7" s="44" t="s">
        <v>67</v>
      </c>
      <c r="F7" s="41" t="s">
        <v>23</v>
      </c>
      <c r="G7" s="34">
        <v>113</v>
      </c>
      <c r="H7" s="107">
        <f>IF(B$51=0,0,G7/B$51)</f>
        <v>0.1722560975609756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-1336.9565217391305</v>
      </c>
      <c r="P7" s="94">
        <v>184</v>
      </c>
      <c r="Q7" s="78">
        <v>-246000</v>
      </c>
    </row>
    <row r="8" spans="1:17" x14ac:dyDescent="0.45">
      <c r="A8" s="37" t="s">
        <v>3</v>
      </c>
      <c r="B8" s="34">
        <v>103</v>
      </c>
      <c r="C8" s="31">
        <f t="shared" si="1"/>
        <v>0.36395759717314485</v>
      </c>
      <c r="E8" s="44" t="s">
        <v>69</v>
      </c>
      <c r="F8" s="41" t="s">
        <v>24</v>
      </c>
      <c r="G8" s="34">
        <v>101</v>
      </c>
      <c r="H8" s="107">
        <f>IF(B$51=0,0,G8/B$51)</f>
        <v>0.15396341463414634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110</v>
      </c>
      <c r="C9" s="7">
        <f t="shared" si="1"/>
        <v>0.38869257950530034</v>
      </c>
      <c r="E9" s="44" t="s">
        <v>65</v>
      </c>
      <c r="F9" s="41" t="s">
        <v>21</v>
      </c>
      <c r="G9" s="34">
        <v>64</v>
      </c>
      <c r="H9" s="107">
        <f>IF(B$51=0,0,G9/B$51)</f>
        <v>9.7560975609756101E-2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35.725714285714282</v>
      </c>
      <c r="C10" s="121">
        <v>2500.7999999999997</v>
      </c>
      <c r="E10" s="44" t="s">
        <v>71</v>
      </c>
      <c r="F10" s="41" t="s">
        <v>26</v>
      </c>
      <c r="G10" s="34">
        <v>61</v>
      </c>
      <c r="H10" s="107">
        <f>IF(B$51=0,0,G10/B$51)</f>
        <v>9.298780487804878E-2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-8.5669811320754725</v>
      </c>
      <c r="P10" s="92">
        <v>106</v>
      </c>
      <c r="Q10" s="80">
        <v>-908.10000000000014</v>
      </c>
    </row>
    <row r="11" spans="1:17" x14ac:dyDescent="0.45">
      <c r="A11" s="38" t="s">
        <v>204</v>
      </c>
      <c r="B11" s="120">
        <f>IF(B8=0,0,C11/B8)</f>
        <v>-1.7970873786407773</v>
      </c>
      <c r="C11" s="121">
        <v>-185.10000000000005</v>
      </c>
      <c r="E11" s="44" t="s">
        <v>70</v>
      </c>
      <c r="F11" s="41" t="s">
        <v>25</v>
      </c>
      <c r="G11" s="34">
        <v>59</v>
      </c>
      <c r="H11" s="107">
        <f>IF(B$51=0,0,G11/B$51)</f>
        <v>8.9939024390243899E-2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5">
      <c r="A12" s="38" t="s">
        <v>205</v>
      </c>
      <c r="B12" s="120">
        <f>IF(B9=0,0,C12/B9)</f>
        <v>-34.745454545454542</v>
      </c>
      <c r="C12" s="121">
        <v>-3821.9999999999995</v>
      </c>
      <c r="E12" s="44" t="s">
        <v>89</v>
      </c>
      <c r="F12" s="41" t="s">
        <v>44</v>
      </c>
      <c r="G12" s="34">
        <v>50</v>
      </c>
      <c r="H12" s="107">
        <f>IF(B$51=0,0,G12/B$51)</f>
        <v>7.621951219512195E-2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-3.5589473684210531</v>
      </c>
      <c r="P12" s="94">
        <v>95</v>
      </c>
      <c r="Q12" s="82">
        <v>-338.1</v>
      </c>
    </row>
    <row r="13" spans="1:17" x14ac:dyDescent="0.45">
      <c r="A13" s="38" t="s">
        <v>206</v>
      </c>
      <c r="B13" s="135">
        <f>AVERAGE(B10:B12)</f>
        <v>-0.27227587946034504</v>
      </c>
      <c r="C13" s="136"/>
      <c r="E13" s="44" t="s">
        <v>83</v>
      </c>
      <c r="F13" s="41" t="s">
        <v>38</v>
      </c>
      <c r="G13" s="34">
        <v>43</v>
      </c>
      <c r="H13" s="107">
        <f>IF(B$51=0,0,G13/B$51)</f>
        <v>6.5548780487804881E-2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31</v>
      </c>
      <c r="C14" s="32">
        <f t="shared" si="1"/>
        <v>0.10954063604240283</v>
      </c>
      <c r="E14" s="44" t="s">
        <v>86</v>
      </c>
      <c r="F14" s="41" t="s">
        <v>41</v>
      </c>
      <c r="G14" s="34">
        <v>25</v>
      </c>
      <c r="H14" s="107">
        <f>IF(B$51=0,0,G14/B$51)</f>
        <v>3.8109756097560975E-2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438</v>
      </c>
      <c r="C15" s="11">
        <f>IF(B$50=0,0,B15/B$50)</f>
        <v>0.1989100817438692</v>
      </c>
      <c r="E15" s="44" t="s">
        <v>81</v>
      </c>
      <c r="F15" s="41" t="s">
        <v>36</v>
      </c>
      <c r="G15" s="34">
        <v>23</v>
      </c>
      <c r="H15" s="107">
        <f>IF(B$51=0,0,G15/B$51)</f>
        <v>3.5060975609756101E-2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5">
      <c r="A16" s="37" t="s">
        <v>118</v>
      </c>
      <c r="B16" s="34">
        <v>609</v>
      </c>
      <c r="C16" s="31">
        <f>IF(B$50=0,0,B16/B$50)</f>
        <v>0.27656675749318799</v>
      </c>
      <c r="E16" s="44" t="s">
        <v>78</v>
      </c>
      <c r="F16" s="41" t="s">
        <v>33</v>
      </c>
      <c r="G16" s="34">
        <v>11</v>
      </c>
      <c r="H16" s="107">
        <f>IF(B$51=0,0,G16/B$51)</f>
        <v>1.676829268292683E-2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229</v>
      </c>
      <c r="C17" s="4">
        <f>IF(B$15=0,0,B17/B$15)</f>
        <v>0.52283105022831056</v>
      </c>
      <c r="E17" s="44" t="s">
        <v>79</v>
      </c>
      <c r="F17" s="41" t="s">
        <v>34</v>
      </c>
      <c r="G17" s="34">
        <v>11</v>
      </c>
      <c r="H17" s="107">
        <f>IF(B$51=0,0,G17/B$51)</f>
        <v>1.676829268292683E-2</v>
      </c>
      <c r="I17" s="68">
        <v>7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244</v>
      </c>
      <c r="C18" s="4">
        <f>IF(B$16=0,0,B18/B$16)</f>
        <v>0.40065681444991791</v>
      </c>
      <c r="E18" s="44" t="s">
        <v>91</v>
      </c>
      <c r="F18" s="41" t="s">
        <v>46</v>
      </c>
      <c r="G18" s="34">
        <v>8</v>
      </c>
      <c r="H18" s="107">
        <f>IF(B$51=0,0,G18/B$51)</f>
        <v>1.2195121951219513E-2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4.9401785714285689</v>
      </c>
      <c r="P18" s="93">
        <v>112</v>
      </c>
      <c r="Q18" s="81">
        <v>553.29999999999973</v>
      </c>
    </row>
    <row r="19" spans="1:17" x14ac:dyDescent="0.45">
      <c r="A19" s="19" t="s">
        <v>10</v>
      </c>
      <c r="B19" s="13">
        <v>707</v>
      </c>
      <c r="C19" s="4">
        <f>IF(B$3=0,0,B19/B$3)</f>
        <v>0.29680940386230059</v>
      </c>
      <c r="E19" s="44" t="s">
        <v>74</v>
      </c>
      <c r="F19" s="41" t="s">
        <v>29</v>
      </c>
      <c r="G19" s="34">
        <v>4</v>
      </c>
      <c r="H19" s="107">
        <f>IF(B$51=0,0,G19/B$51)</f>
        <v>6.0975609756097563E-3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2.4246376811594192</v>
      </c>
      <c r="P19" s="93">
        <v>69</v>
      </c>
      <c r="Q19" s="81">
        <v>167.29999999999993</v>
      </c>
    </row>
    <row r="20" spans="1:17" x14ac:dyDescent="0.45">
      <c r="A20" s="37" t="s">
        <v>13</v>
      </c>
      <c r="B20" s="34">
        <v>391</v>
      </c>
      <c r="C20" s="31">
        <f>IF(B$3=0,0,B20/B$3)</f>
        <v>0.16414777497900923</v>
      </c>
      <c r="E20" s="44" t="s">
        <v>75</v>
      </c>
      <c r="F20" s="41" t="s">
        <v>30</v>
      </c>
      <c r="G20" s="34">
        <v>4</v>
      </c>
      <c r="H20" s="107">
        <f>IF(B$51=0,0,G20/B$51)</f>
        <v>6.0975609756097563E-3</v>
      </c>
      <c r="I20" s="68">
        <v>6</v>
      </c>
      <c r="K20" s="5">
        <v>18</v>
      </c>
      <c r="L20" s="73">
        <v>-30.300000000000008</v>
      </c>
      <c r="N20" s="89" t="s">
        <v>190</v>
      </c>
      <c r="O20" s="99">
        <f>IF(P20=0,0,Q20/P20)</f>
        <v>-6.4329113924050656</v>
      </c>
      <c r="P20" s="93">
        <v>79</v>
      </c>
      <c r="Q20" s="81">
        <v>-508.20000000000022</v>
      </c>
    </row>
    <row r="21" spans="1:17" x14ac:dyDescent="0.45">
      <c r="A21" s="37" t="s">
        <v>12</v>
      </c>
      <c r="B21" s="34">
        <v>301</v>
      </c>
      <c r="C21" s="31">
        <f>IF(B$19=0,0,B21/B$19)</f>
        <v>0.42574257425742573</v>
      </c>
      <c r="E21" s="44" t="s">
        <v>77</v>
      </c>
      <c r="F21" s="41" t="s">
        <v>32</v>
      </c>
      <c r="G21" s="34">
        <v>3</v>
      </c>
      <c r="H21" s="107">
        <f>IF(B$51=0,0,G21/B$51)</f>
        <v>4.5731707317073168E-3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-12.965277777777779</v>
      </c>
      <c r="P21" s="93">
        <v>72</v>
      </c>
      <c r="Q21" s="81">
        <v>-933.5</v>
      </c>
    </row>
    <row r="22" spans="1:17" x14ac:dyDescent="0.45">
      <c r="A22" s="37" t="s">
        <v>11</v>
      </c>
      <c r="B22" s="34">
        <v>406</v>
      </c>
      <c r="C22" s="31">
        <f>IF(B$19=0,0,B22/B$19)</f>
        <v>0.57425742574257421</v>
      </c>
      <c r="E22" s="44" t="s">
        <v>87</v>
      </c>
      <c r="F22" s="41" t="s">
        <v>42</v>
      </c>
      <c r="G22" s="34">
        <v>2</v>
      </c>
      <c r="H22" s="107">
        <f>IF(B$51=0,0,G22/B$51)</f>
        <v>3.0487804878048782E-3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5">
      <c r="A23" s="37" t="s">
        <v>180</v>
      </c>
      <c r="B23" s="34">
        <v>229</v>
      </c>
      <c r="C23" s="31">
        <f>IF(B$19=0,0,B23/B$19)</f>
        <v>0.32390381895332393</v>
      </c>
      <c r="E23" s="44" t="s">
        <v>88</v>
      </c>
      <c r="F23" s="41" t="s">
        <v>43</v>
      </c>
      <c r="G23" s="34">
        <v>2</v>
      </c>
      <c r="H23" s="107">
        <f>IF(B$51=0,0,G23/B$51)</f>
        <v>3.0487804878048782E-3</v>
      </c>
      <c r="I23" s="68">
        <v>1</v>
      </c>
      <c r="K23" s="5">
        <v>21</v>
      </c>
      <c r="L23" s="73">
        <v>-29.600000000000005</v>
      </c>
      <c r="N23" s="89" t="s">
        <v>197</v>
      </c>
      <c r="O23" s="99">
        <f>IF(P23=0,0,Q23/P23)</f>
        <v>-18.406666666666663</v>
      </c>
      <c r="P23" s="93">
        <v>15</v>
      </c>
      <c r="Q23" s="81">
        <v>-276.09999999999997</v>
      </c>
    </row>
    <row r="24" spans="1:17" x14ac:dyDescent="0.45">
      <c r="A24" s="37" t="s">
        <v>178</v>
      </c>
      <c r="B24" s="34">
        <v>244</v>
      </c>
      <c r="C24" s="31">
        <f>IF(B$19=0,0,B24/B$19)</f>
        <v>0.3451202263083451</v>
      </c>
      <c r="E24" s="44" t="s">
        <v>93</v>
      </c>
      <c r="F24" s="41" t="s">
        <v>48</v>
      </c>
      <c r="G24" s="34">
        <v>2</v>
      </c>
      <c r="H24" s="107">
        <f>IF(B$51=0,0,G24/B$51)</f>
        <v>3.0487804878048782E-3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-20.034756097560976</v>
      </c>
      <c r="P24" s="93">
        <v>164</v>
      </c>
      <c r="Q24" s="81">
        <v>-3285.7000000000003</v>
      </c>
    </row>
    <row r="25" spans="1:17" x14ac:dyDescent="0.45">
      <c r="A25" s="37" t="s">
        <v>179</v>
      </c>
      <c r="B25" s="34">
        <v>234</v>
      </c>
      <c r="C25" s="31">
        <f>IF(B$19=0,0,B25/B$19)</f>
        <v>0.33097595473833097</v>
      </c>
      <c r="E25" s="44" t="s">
        <v>73</v>
      </c>
      <c r="F25" s="41" t="s">
        <v>28</v>
      </c>
      <c r="G25" s="34">
        <v>1</v>
      </c>
      <c r="H25" s="107">
        <f>IF(B$51=0,0,G25/B$51)</f>
        <v>1.5243902439024391E-3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7425.6011315417254</v>
      </c>
      <c r="C26" s="8">
        <v>5249900</v>
      </c>
      <c r="E26" s="44" t="s">
        <v>84</v>
      </c>
      <c r="F26" s="41" t="s">
        <v>39</v>
      </c>
      <c r="G26" s="34">
        <v>1</v>
      </c>
      <c r="H26" s="107">
        <f>IF(B$51=0,0,G26/B$51)</f>
        <v>1.5243902439024391E-3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8079.6976241900647</v>
      </c>
      <c r="C27" s="115">
        <v>3740900</v>
      </c>
      <c r="E27" s="44" t="s">
        <v>90</v>
      </c>
      <c r="F27" s="41" t="s">
        <v>45</v>
      </c>
      <c r="G27" s="34">
        <v>1</v>
      </c>
      <c r="H27" s="107">
        <f>IF(B$51=0,0,G27/B$51)</f>
        <v>1.5243902439024391E-3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6184.4262295081971</v>
      </c>
      <c r="C28" s="115">
        <v>1509000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-8481.0741687979535</v>
      </c>
      <c r="C29" s="115">
        <v>-3316100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41">
        <v>7</v>
      </c>
      <c r="C32" s="142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40" t="s">
        <v>177</v>
      </c>
      <c r="B33" s="139">
        <v>103200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5</v>
      </c>
      <c r="C34" s="32">
        <f>IF(B$3=0,0,B34/B$3)</f>
        <v>2.0990764063811922E-3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3">
        <v>71</v>
      </c>
      <c r="C36" s="119">
        <f>IF(B$19=0,0,B36/B$19)</f>
        <v>0.10042432814710042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140</v>
      </c>
      <c r="C37" s="31">
        <f t="shared" ref="C37:C48" si="2">IF(B$19=0,0,B37/B$19)</f>
        <v>0.19801980198019803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6">
        <v>130</v>
      </c>
      <c r="C38" s="31">
        <f>IF(B$19=0,0,B38/B$19)</f>
        <v>0.18387553041018387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6">
        <v>130</v>
      </c>
      <c r="C39" s="31">
        <f t="shared" si="2"/>
        <v>0.18387553041018387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6">
        <v>91</v>
      </c>
      <c r="C40" s="31">
        <f t="shared" si="2"/>
        <v>0.12871287128712872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6">
        <v>44</v>
      </c>
      <c r="C41" s="31">
        <f t="shared" si="2"/>
        <v>6.2234794908062233E-2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6">
        <v>24</v>
      </c>
      <c r="C42" s="31">
        <f t="shared" si="2"/>
        <v>3.3946251768033946E-2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6">
        <v>17</v>
      </c>
      <c r="C43" s="31">
        <f t="shared" si="2"/>
        <v>2.4045261669024046E-2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6">
        <v>5</v>
      </c>
      <c r="C44" s="31">
        <f t="shared" si="2"/>
        <v>7.0721357850070717E-3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6">
        <v>1</v>
      </c>
      <c r="C45" s="31">
        <f t="shared" si="2"/>
        <v>1.4144271570014145E-3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6">
        <v>1</v>
      </c>
      <c r="C46" s="31">
        <f t="shared" si="2"/>
        <v>1.4144271570014145E-3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2">
        <v>2</v>
      </c>
      <c r="C48" s="32">
        <f t="shared" si="2"/>
        <v>2.828854314002829E-3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29">
        <v>2202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37">
        <v>656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C0F1-6461-406B-ABDF-209019A8A037}">
  <sheetPr codeName="Sheet11"/>
  <dimension ref="A1:Q48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193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486</v>
      </c>
      <c r="C2" s="130"/>
      <c r="E2" s="43" t="s">
        <v>66</v>
      </c>
      <c r="F2" s="25" t="s">
        <v>22</v>
      </c>
      <c r="G2" s="13">
        <v>875</v>
      </c>
      <c r="H2" s="106">
        <f>IF(B$51=0,0,G2/B$51)</f>
        <v>0.76552930883639547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-764.24116424116426</v>
      </c>
      <c r="P2" s="92">
        <v>481</v>
      </c>
      <c r="Q2" s="76">
        <v>-367600</v>
      </c>
    </row>
    <row r="3" spans="1:17" x14ac:dyDescent="0.45">
      <c r="A3" s="37" t="s">
        <v>8</v>
      </c>
      <c r="B3" s="131">
        <v>3974</v>
      </c>
      <c r="C3" s="132"/>
      <c r="E3" s="44" t="s">
        <v>72</v>
      </c>
      <c r="F3" s="41" t="s">
        <v>27</v>
      </c>
      <c r="G3" s="34">
        <v>606</v>
      </c>
      <c r="H3" s="107">
        <f>IF(B$51=0,0,G3/B$51)</f>
        <v>0.53018372703412076</v>
      </c>
      <c r="I3" s="68">
        <v>11</v>
      </c>
      <c r="K3" s="5">
        <v>1</v>
      </c>
      <c r="L3" s="73">
        <v>-36.700000000000003</v>
      </c>
      <c r="N3" s="89" t="s">
        <v>127</v>
      </c>
      <c r="O3" s="96">
        <f t="shared" si="0"/>
        <v>-66.595289079229119</v>
      </c>
      <c r="P3" s="93">
        <v>467</v>
      </c>
      <c r="Q3" s="77">
        <v>-31100</v>
      </c>
    </row>
    <row r="4" spans="1:17" x14ac:dyDescent="0.45">
      <c r="A4" s="37" t="s">
        <v>6</v>
      </c>
      <c r="B4" s="133">
        <v>-1029.3000000000006</v>
      </c>
      <c r="C4" s="134"/>
      <c r="E4" s="44" t="s">
        <v>64</v>
      </c>
      <c r="F4" s="41" t="s">
        <v>20</v>
      </c>
      <c r="G4" s="34">
        <v>503</v>
      </c>
      <c r="H4" s="107">
        <f>IF(B$51=0,0,G4/B$51)</f>
        <v>0.44006999125109364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264.0091116173121</v>
      </c>
      <c r="P4" s="93">
        <v>439</v>
      </c>
      <c r="Q4" s="77">
        <v>115900</v>
      </c>
    </row>
    <row r="5" spans="1:17" x14ac:dyDescent="0.45">
      <c r="A5" s="37" t="s">
        <v>7</v>
      </c>
      <c r="B5" s="135">
        <f>IF(B$2=0,0,B$4/B$2)</f>
        <v>-2.1179012345679027</v>
      </c>
      <c r="C5" s="136"/>
      <c r="E5" s="44" t="s">
        <v>157</v>
      </c>
      <c r="F5" s="41" t="s">
        <v>158</v>
      </c>
      <c r="G5" s="34">
        <v>357</v>
      </c>
      <c r="H5" s="107">
        <f>IF(B$51=0,0,G5/B$51)</f>
        <v>0.31233595800524933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-1116.1369193154035</v>
      </c>
      <c r="P5" s="93">
        <v>409</v>
      </c>
      <c r="Q5" s="77">
        <v>-456500</v>
      </c>
    </row>
    <row r="6" spans="1:17" x14ac:dyDescent="0.45">
      <c r="A6" s="37" t="s">
        <v>1</v>
      </c>
      <c r="B6" s="143">
        <f>IF(B$2=0,0,(B$7*1+B$8*2+B$9*3)/B$2)</f>
        <v>2.0123456790123457</v>
      </c>
      <c r="C6" s="144"/>
      <c r="E6" s="44" t="s">
        <v>68</v>
      </c>
      <c r="F6" s="41" t="s">
        <v>12</v>
      </c>
      <c r="G6" s="34">
        <v>343</v>
      </c>
      <c r="H6" s="107">
        <f>IF(B$51=0,0,G6/B$51)</f>
        <v>0.30008748906386701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-103.80434782608695</v>
      </c>
      <c r="P6" s="93">
        <v>368</v>
      </c>
      <c r="Q6" s="77">
        <v>-38200</v>
      </c>
    </row>
    <row r="7" spans="1:17" x14ac:dyDescent="0.45">
      <c r="A7" s="37" t="s">
        <v>2</v>
      </c>
      <c r="B7" s="34">
        <v>162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286</v>
      </c>
      <c r="H7" s="107">
        <f>IF(B$51=0,0,G7/B$51)</f>
        <v>0.25021872265966755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163.49206349206349</v>
      </c>
      <c r="P7" s="94">
        <v>315</v>
      </c>
      <c r="Q7" s="78">
        <v>51500</v>
      </c>
    </row>
    <row r="8" spans="1:17" x14ac:dyDescent="0.45">
      <c r="A8" s="37" t="s">
        <v>3</v>
      </c>
      <c r="B8" s="34">
        <v>156</v>
      </c>
      <c r="C8" s="31">
        <f t="shared" si="1"/>
        <v>0.32098765432098764</v>
      </c>
      <c r="E8" s="44" t="s">
        <v>69</v>
      </c>
      <c r="F8" s="41" t="s">
        <v>24</v>
      </c>
      <c r="G8" s="34">
        <v>156</v>
      </c>
      <c r="H8" s="107">
        <f>IF(B$51=0,0,G8/B$51)</f>
        <v>0.13648293963254593</v>
      </c>
      <c r="I8" s="68">
        <v>11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168</v>
      </c>
      <c r="C9" s="7">
        <f t="shared" si="1"/>
        <v>0.34567901234567899</v>
      </c>
      <c r="E9" s="44" t="s">
        <v>89</v>
      </c>
      <c r="F9" s="41" t="s">
        <v>44</v>
      </c>
      <c r="G9" s="34">
        <v>136</v>
      </c>
      <c r="H9" s="107">
        <f>IF(B$51=0,0,G9/B$51)</f>
        <v>0.1189851268591426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35.840740740740742</v>
      </c>
      <c r="C10" s="121">
        <v>5806.2000000000007</v>
      </c>
      <c r="E10" s="44" t="s">
        <v>70</v>
      </c>
      <c r="F10" s="41" t="s">
        <v>25</v>
      </c>
      <c r="G10" s="34">
        <v>127</v>
      </c>
      <c r="H10" s="107">
        <f>IF(B$51=0,0,G10/B$51)</f>
        <v>0.1111111111111111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-2.5969135802469121</v>
      </c>
      <c r="P10" s="92">
        <v>162</v>
      </c>
      <c r="Q10" s="80">
        <v>-420.69999999999976</v>
      </c>
    </row>
    <row r="11" spans="1:17" x14ac:dyDescent="0.45">
      <c r="A11" s="38" t="s">
        <v>204</v>
      </c>
      <c r="B11" s="120">
        <f>IF(B8=0,0,C11/B8)</f>
        <v>-1.421153846153846</v>
      </c>
      <c r="C11" s="121">
        <v>-221.7</v>
      </c>
      <c r="E11" s="44" t="s">
        <v>65</v>
      </c>
      <c r="F11" s="41" t="s">
        <v>21</v>
      </c>
      <c r="G11" s="34">
        <v>102</v>
      </c>
      <c r="H11" s="107">
        <f>IF(B$51=0,0,G11/B$51)</f>
        <v>8.9238845144356954E-2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-1.6594936708860761</v>
      </c>
      <c r="P11" s="93">
        <v>158</v>
      </c>
      <c r="Q11" s="81">
        <v>-262.20000000000005</v>
      </c>
    </row>
    <row r="12" spans="1:17" x14ac:dyDescent="0.45">
      <c r="A12" s="38" t="s">
        <v>205</v>
      </c>
      <c r="B12" s="120">
        <f>IF(B9=0,0,C12/B9)</f>
        <v>-39.367857142857147</v>
      </c>
      <c r="C12" s="121">
        <v>-6613.8000000000011</v>
      </c>
      <c r="E12" s="44" t="s">
        <v>71</v>
      </c>
      <c r="F12" s="41" t="s">
        <v>26</v>
      </c>
      <c r="G12" s="34">
        <v>100</v>
      </c>
      <c r="H12" s="107">
        <f>IF(B$51=0,0,G12/B$51)</f>
        <v>8.7489063867016617E-2</v>
      </c>
      <c r="I12" s="68">
        <v>4</v>
      </c>
      <c r="K12" s="5">
        <v>10</v>
      </c>
      <c r="L12" s="73">
        <v>-72.800000000000026</v>
      </c>
      <c r="N12" s="90" t="s">
        <v>151</v>
      </c>
      <c r="O12" s="100">
        <f>IF(P12=0,0,Q12/P12)</f>
        <v>-2.3237804878048767</v>
      </c>
      <c r="P12" s="94">
        <v>164</v>
      </c>
      <c r="Q12" s="82">
        <v>-381.0999999999998</v>
      </c>
    </row>
    <row r="13" spans="1:17" x14ac:dyDescent="0.45">
      <c r="A13" s="38" t="s">
        <v>206</v>
      </c>
      <c r="B13" s="135">
        <f>AVERAGE(B10:B12)</f>
        <v>-1.6494234160900827</v>
      </c>
      <c r="C13" s="136"/>
      <c r="E13" s="44" t="s">
        <v>86</v>
      </c>
      <c r="F13" s="41" t="s">
        <v>41</v>
      </c>
      <c r="G13" s="34">
        <v>58</v>
      </c>
      <c r="H13" s="107">
        <f>IF(B$51=0,0,G13/B$51)</f>
        <v>5.0743657042869643E-2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58</v>
      </c>
      <c r="C14" s="32">
        <f t="shared" si="1"/>
        <v>0.11934156378600823</v>
      </c>
      <c r="E14" s="44" t="s">
        <v>83</v>
      </c>
      <c r="F14" s="41" t="s">
        <v>38</v>
      </c>
      <c r="G14" s="34">
        <v>46</v>
      </c>
      <c r="H14" s="107">
        <f>IF(B$51=0,0,G14/B$51)</f>
        <v>4.0244969378827648E-2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957</v>
      </c>
      <c r="C15" s="11">
        <f>IF(B$50=0,0,B15/B$50)</f>
        <v>0.24870062370062371</v>
      </c>
      <c r="E15" s="44" t="s">
        <v>78</v>
      </c>
      <c r="F15" s="41" t="s">
        <v>33</v>
      </c>
      <c r="G15" s="34">
        <v>45</v>
      </c>
      <c r="H15" s="107">
        <f>IF(B$51=0,0,G15/B$51)</f>
        <v>3.937007874015748E-2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936</v>
      </c>
      <c r="C16" s="31">
        <f>IF(B$50=0,0,B16/B$50)</f>
        <v>0.24324324324324326</v>
      </c>
      <c r="E16" s="44" t="s">
        <v>81</v>
      </c>
      <c r="F16" s="41" t="s">
        <v>36</v>
      </c>
      <c r="G16" s="34">
        <v>33</v>
      </c>
      <c r="H16" s="107">
        <f>IF(B$51=0,0,G16/B$51)</f>
        <v>2.8871391076115485E-2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513</v>
      </c>
      <c r="C17" s="4">
        <f>IF(B$15=0,0,B17/B$15)</f>
        <v>0.53605015673981193</v>
      </c>
      <c r="E17" s="44" t="s">
        <v>91</v>
      </c>
      <c r="F17" s="41" t="s">
        <v>46</v>
      </c>
      <c r="G17" s="34">
        <v>25</v>
      </c>
      <c r="H17" s="107">
        <f>IF(B$51=0,0,G17/B$51)</f>
        <v>2.1872265966754154E-2</v>
      </c>
      <c r="I17" s="68">
        <v>5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359</v>
      </c>
      <c r="C18" s="4">
        <f>IF(B$16=0,0,B18/B$16)</f>
        <v>0.38354700854700857</v>
      </c>
      <c r="E18" s="44" t="s">
        <v>79</v>
      </c>
      <c r="F18" s="41" t="s">
        <v>34</v>
      </c>
      <c r="G18" s="34">
        <v>16</v>
      </c>
      <c r="H18" s="107">
        <f>IF(B$51=0,0,G18/B$51)</f>
        <v>1.399825021872266E-2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8.0346405228758151</v>
      </c>
      <c r="P18" s="93">
        <v>153</v>
      </c>
      <c r="Q18" s="81">
        <v>1229.2999999999997</v>
      </c>
    </row>
    <row r="19" spans="1:17" x14ac:dyDescent="0.45">
      <c r="A19" s="19" t="s">
        <v>10</v>
      </c>
      <c r="B19" s="13">
        <v>1180</v>
      </c>
      <c r="C19" s="4">
        <f>IF(B$3=0,0,B19/B$3)</f>
        <v>0.29693004529441369</v>
      </c>
      <c r="E19" s="44" t="s">
        <v>77</v>
      </c>
      <c r="F19" s="41" t="s">
        <v>32</v>
      </c>
      <c r="G19" s="34">
        <v>9</v>
      </c>
      <c r="H19" s="107">
        <f>IF(B$51=0,0,G19/B$51)</f>
        <v>7.874015748031496E-3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678</v>
      </c>
      <c r="C20" s="31">
        <f>IF(B$3=0,0,B20/B$3)</f>
        <v>0.17060895822848515</v>
      </c>
      <c r="E20" s="44" t="s">
        <v>153</v>
      </c>
      <c r="F20" s="41" t="s">
        <v>154</v>
      </c>
      <c r="G20" s="34">
        <v>7</v>
      </c>
      <c r="H20" s="107">
        <f>IF(B$51=0,0,G20/B$51)</f>
        <v>6.1242344706911632E-3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495</v>
      </c>
      <c r="C21" s="31">
        <f>IF(B$19=0,0,B21/B$19)</f>
        <v>0.41949152542372881</v>
      </c>
      <c r="E21" s="44" t="s">
        <v>73</v>
      </c>
      <c r="F21" s="41" t="s">
        <v>28</v>
      </c>
      <c r="G21" s="34">
        <v>6</v>
      </c>
      <c r="H21" s="107">
        <f>IF(B$51=0,0,G21/B$51)</f>
        <v>5.2493438320209973E-3</v>
      </c>
      <c r="I21" s="68">
        <v>8</v>
      </c>
      <c r="K21" s="5">
        <v>19</v>
      </c>
      <c r="L21" s="73">
        <v>125.69999999999996</v>
      </c>
      <c r="N21" s="89" t="s">
        <v>187</v>
      </c>
      <c r="O21" s="99">
        <f>IF(P21=0,0,Q21/P21)</f>
        <v>-6.2962962962961694E-2</v>
      </c>
      <c r="P21" s="93">
        <v>135</v>
      </c>
      <c r="Q21" s="81">
        <v>-8.4999999999998295</v>
      </c>
    </row>
    <row r="22" spans="1:17" x14ac:dyDescent="0.45">
      <c r="A22" s="37" t="s">
        <v>11</v>
      </c>
      <c r="B22" s="34">
        <v>685</v>
      </c>
      <c r="C22" s="31">
        <f>IF(B$19=0,0,B22/B$19)</f>
        <v>0.58050847457627119</v>
      </c>
      <c r="E22" s="44" t="s">
        <v>74</v>
      </c>
      <c r="F22" s="41" t="s">
        <v>29</v>
      </c>
      <c r="G22" s="34">
        <v>6</v>
      </c>
      <c r="H22" s="107">
        <f>IF(B$51=0,0,G22/B$51)</f>
        <v>5.2493438320209973E-3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-2.2877551020408142</v>
      </c>
      <c r="P22" s="93">
        <v>147</v>
      </c>
      <c r="Q22" s="81">
        <v>-336.29999999999967</v>
      </c>
    </row>
    <row r="23" spans="1:17" x14ac:dyDescent="0.45">
      <c r="A23" s="37" t="s">
        <v>180</v>
      </c>
      <c r="B23" s="34">
        <v>513</v>
      </c>
      <c r="C23" s="31">
        <f>IF(B$19=0,0,B23/B$19)</f>
        <v>0.43474576271186438</v>
      </c>
      <c r="E23" s="44" t="s">
        <v>75</v>
      </c>
      <c r="F23" s="41" t="s">
        <v>30</v>
      </c>
      <c r="G23" s="34">
        <v>6</v>
      </c>
      <c r="H23" s="107">
        <f>IF(B$51=0,0,G23/B$51)</f>
        <v>5.2493438320209973E-3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5">
      <c r="A24" s="37" t="s">
        <v>178</v>
      </c>
      <c r="B24" s="34">
        <v>359</v>
      </c>
      <c r="C24" s="31">
        <f>IF(B$19=0,0,B24/B$19)</f>
        <v>0.3042372881355932</v>
      </c>
      <c r="E24" s="44" t="s">
        <v>84</v>
      </c>
      <c r="F24" s="41" t="s">
        <v>39</v>
      </c>
      <c r="G24" s="34">
        <v>4</v>
      </c>
      <c r="H24" s="107">
        <f>IF(B$51=0,0,G24/B$51)</f>
        <v>3.499562554680665E-3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-4.9401785714285706</v>
      </c>
      <c r="P24" s="93">
        <v>112</v>
      </c>
      <c r="Q24" s="81">
        <v>-553.29999999999995</v>
      </c>
    </row>
    <row r="25" spans="1:17" x14ac:dyDescent="0.45">
      <c r="A25" s="37" t="s">
        <v>179</v>
      </c>
      <c r="B25" s="34">
        <v>308</v>
      </c>
      <c r="C25" s="31">
        <f>IF(B$19=0,0,B25/B$19)</f>
        <v>0.26101694915254237</v>
      </c>
      <c r="E25" s="44" t="s">
        <v>92</v>
      </c>
      <c r="F25" s="41" t="s">
        <v>47</v>
      </c>
      <c r="G25" s="34">
        <v>4</v>
      </c>
      <c r="H25" s="107">
        <f>IF(B$51=0,0,G25/B$51)</f>
        <v>3.499562554680665E-3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5</v>
      </c>
      <c r="B26" s="17">
        <f>IF(B$19=0,0,C26/B$19)</f>
        <v>8527.7118644067796</v>
      </c>
      <c r="C26" s="8">
        <v>10062700</v>
      </c>
      <c r="E26" s="44" t="s">
        <v>93</v>
      </c>
      <c r="F26" s="41" t="s">
        <v>48</v>
      </c>
      <c r="G26" s="34">
        <v>4</v>
      </c>
      <c r="H26" s="107">
        <f>IF(B$51=0,0,G26/B$51)</f>
        <v>3.499562554680665E-3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-13.333836858006048</v>
      </c>
      <c r="P26" s="93">
        <v>331</v>
      </c>
      <c r="Q26" s="81">
        <v>-4413.5000000000018</v>
      </c>
    </row>
    <row r="27" spans="1:17" x14ac:dyDescent="0.45">
      <c r="A27" s="38" t="s">
        <v>162</v>
      </c>
      <c r="B27" s="114">
        <f>IF($B$19-B$18=0,0,C27/($B$19-B$18))</f>
        <v>9233.9829476248469</v>
      </c>
      <c r="C27" s="115">
        <v>7581100</v>
      </c>
      <c r="E27" s="44" t="s">
        <v>87</v>
      </c>
      <c r="F27" s="41" t="s">
        <v>42</v>
      </c>
      <c r="G27" s="34">
        <v>3</v>
      </c>
      <c r="H27" s="107">
        <f>IF(B$51=0,0,G27/B$51)</f>
        <v>2.6246719160104987E-3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6912.5348189415045</v>
      </c>
      <c r="C28" s="115">
        <v>2481600</v>
      </c>
      <c r="E28" s="44" t="s">
        <v>90</v>
      </c>
      <c r="F28" s="41" t="s">
        <v>45</v>
      </c>
      <c r="G28" s="34">
        <v>2</v>
      </c>
      <c r="H28" s="107">
        <f>IF(B$51=0,0,G28/B$51)</f>
        <v>1.7497812773403325E-3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-8396.312684365781</v>
      </c>
      <c r="C29" s="115">
        <v>-5692700</v>
      </c>
      <c r="E29" s="44" t="s">
        <v>76</v>
      </c>
      <c r="F29" s="41" t="s">
        <v>31</v>
      </c>
      <c r="G29" s="34">
        <v>1</v>
      </c>
      <c r="H29" s="107">
        <f>IF(B$51=0,0,G29/B$51)</f>
        <v>8.7489063867016625E-4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8.7489063867016625E-4</v>
      </c>
      <c r="I30" s="68">
        <v>8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8.7489063867016625E-4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41">
        <v>9</v>
      </c>
      <c r="C32" s="142"/>
      <c r="E32" s="44" t="s">
        <v>95</v>
      </c>
      <c r="F32" s="41" t="s">
        <v>50</v>
      </c>
      <c r="G32" s="34">
        <v>1</v>
      </c>
      <c r="H32" s="107">
        <f>IF(B$51=0,0,G32/B$51)</f>
        <v>8.7489063867016625E-4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39">
        <v>109300</v>
      </c>
      <c r="C33" s="140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12</v>
      </c>
      <c r="C34" s="32">
        <f>IF(B$3=0,0,B34/B$3)</f>
        <v>3.0196275792652239E-3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3">
        <v>73</v>
      </c>
      <c r="C36" s="119">
        <f>IF(B$19=0,0,B36/B$19)</f>
        <v>6.186440677966102E-2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200</v>
      </c>
      <c r="C37" s="31">
        <f t="shared" ref="C37:C48" si="2">IF(B$19=0,0,B37/B$19)</f>
        <v>0.16949152542372881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6">
        <v>244</v>
      </c>
      <c r="C38" s="31">
        <f>IF(B$19=0,0,B38/B$19)</f>
        <v>0.20677966101694914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6">
        <v>224</v>
      </c>
      <c r="C39" s="31">
        <f t="shared" si="2"/>
        <v>0.18983050847457628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6">
        <v>158</v>
      </c>
      <c r="C40" s="31">
        <f t="shared" si="2"/>
        <v>0.13389830508474576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6">
        <v>104</v>
      </c>
      <c r="C41" s="31">
        <f t="shared" si="2"/>
        <v>8.8135593220338981E-2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6">
        <v>51</v>
      </c>
      <c r="C42" s="31">
        <f t="shared" si="2"/>
        <v>4.3220338983050846E-2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6">
        <v>36</v>
      </c>
      <c r="C43" s="31">
        <f t="shared" si="2"/>
        <v>3.0508474576271188E-2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6">
        <v>18</v>
      </c>
      <c r="C44" s="31">
        <f t="shared" si="2"/>
        <v>1.5254237288135594E-2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6">
        <v>12</v>
      </c>
      <c r="C45" s="31">
        <f t="shared" si="2"/>
        <v>1.0169491525423728E-2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6">
        <v>9</v>
      </c>
      <c r="C46" s="31">
        <f t="shared" si="2"/>
        <v>7.6271186440677969E-3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6">
        <v>2</v>
      </c>
      <c r="C47" s="31">
        <f t="shared" si="2"/>
        <v>1.6949152542372881E-3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2">
        <v>12</v>
      </c>
      <c r="C48" s="32">
        <f t="shared" si="2"/>
        <v>1.0169491525423728E-2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29">
        <v>3848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37">
        <v>1143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407BC-992D-4582-BB7C-2164DCB05524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192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39</v>
      </c>
      <c r="C2" s="130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1">
        <v>316</v>
      </c>
      <c r="C3" s="132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3">
        <v>91.000000000000014</v>
      </c>
      <c r="C4" s="134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5">
        <f>IF(B$2=0,0,B$4/B$2)</f>
        <v>2.3333333333333335</v>
      </c>
      <c r="C5" s="136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43">
        <f>IF(B$2=0,0,(B$7*1+B$8*2+B$9*3)/B$2)</f>
        <v>2.0256410256410255</v>
      </c>
      <c r="C6" s="144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5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5">
        <f>AVERAGE(B10:B12)</f>
        <v>3.0839682539682549</v>
      </c>
      <c r="C13" s="136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39">
        <v>109300</v>
      </c>
      <c r="C33" s="140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3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6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6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6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6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6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6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6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6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6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2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234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61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9E8FE-EBAE-49F0-9317-38EBAEC29BE2}">
  <sheetPr codeName="Sheet13"/>
  <dimension ref="A1:Q40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191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400</v>
      </c>
      <c r="C2" s="130"/>
      <c r="E2" s="43" t="s">
        <v>66</v>
      </c>
      <c r="F2" s="25" t="s">
        <v>22</v>
      </c>
      <c r="G2" s="13">
        <v>750</v>
      </c>
      <c r="H2" s="106">
        <f>IF(B$51=0,0,G2/B$51)</f>
        <v>0.83612040133779264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568.10126582278485</v>
      </c>
      <c r="P2" s="92">
        <v>395</v>
      </c>
      <c r="Q2" s="76">
        <v>224400</v>
      </c>
    </row>
    <row r="3" spans="1:17" x14ac:dyDescent="0.45">
      <c r="A3" s="37" t="s">
        <v>8</v>
      </c>
      <c r="B3" s="131">
        <v>3216</v>
      </c>
      <c r="C3" s="132"/>
      <c r="E3" s="44" t="s">
        <v>72</v>
      </c>
      <c r="F3" s="41" t="s">
        <v>27</v>
      </c>
      <c r="G3" s="34">
        <v>511</v>
      </c>
      <c r="H3" s="107">
        <f>IF(B$51=0,0,G3/B$51)</f>
        <v>0.56967670011148275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-558.03108808290153</v>
      </c>
      <c r="P3" s="93">
        <v>386</v>
      </c>
      <c r="Q3" s="77">
        <v>-215400</v>
      </c>
    </row>
    <row r="4" spans="1:17" x14ac:dyDescent="0.45">
      <c r="A4" s="37" t="s">
        <v>6</v>
      </c>
      <c r="B4" s="133">
        <v>374.60000000000059</v>
      </c>
      <c r="C4" s="134"/>
      <c r="E4" s="44" t="s">
        <v>64</v>
      </c>
      <c r="F4" s="41" t="s">
        <v>20</v>
      </c>
      <c r="G4" s="34">
        <v>493</v>
      </c>
      <c r="H4" s="107">
        <f>IF(B$51=0,0,G4/B$51)</f>
        <v>0.54960981047937574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375.63025210084032</v>
      </c>
      <c r="P4" s="93">
        <v>357</v>
      </c>
      <c r="Q4" s="77">
        <v>134100</v>
      </c>
    </row>
    <row r="5" spans="1:17" x14ac:dyDescent="0.45">
      <c r="A5" s="37" t="s">
        <v>7</v>
      </c>
      <c r="B5" s="135">
        <f>IF(B$2=0,0,B$4/B$2)</f>
        <v>0.93650000000000144</v>
      </c>
      <c r="C5" s="136"/>
      <c r="E5" s="44" t="s">
        <v>67</v>
      </c>
      <c r="F5" s="41" t="s">
        <v>23</v>
      </c>
      <c r="G5" s="34">
        <v>323</v>
      </c>
      <c r="H5" s="107">
        <f>IF(B$51=0,0,G5/B$51)</f>
        <v>0.36008918617614272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860.68111455108362</v>
      </c>
      <c r="P5" s="93">
        <v>323</v>
      </c>
      <c r="Q5" s="77">
        <v>278000</v>
      </c>
    </row>
    <row r="6" spans="1:17" x14ac:dyDescent="0.45">
      <c r="A6" s="37" t="s">
        <v>1</v>
      </c>
      <c r="B6" s="143">
        <f>IF(B$2=0,0,(B$7*1+B$8*2+B$9*3)/B$2)</f>
        <v>2.0274999999999999</v>
      </c>
      <c r="C6" s="144"/>
      <c r="E6" s="44" t="s">
        <v>68</v>
      </c>
      <c r="F6" s="41" t="s">
        <v>12</v>
      </c>
      <c r="G6" s="34">
        <v>303</v>
      </c>
      <c r="H6" s="107">
        <f>IF(B$51=0,0,G6/B$51)</f>
        <v>0.33779264214046822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-794.55782312925169</v>
      </c>
      <c r="P6" s="93">
        <v>294</v>
      </c>
      <c r="Q6" s="77">
        <v>-233600</v>
      </c>
    </row>
    <row r="7" spans="1:17" x14ac:dyDescent="0.45">
      <c r="A7" s="37" t="s">
        <v>2</v>
      </c>
      <c r="B7" s="34">
        <v>130</v>
      </c>
      <c r="C7" s="31">
        <f t="shared" ref="C7:C14" si="1">IF(B$2=0,0,B7/B$2)</f>
        <v>0.32500000000000001</v>
      </c>
      <c r="E7" s="44" t="s">
        <v>157</v>
      </c>
      <c r="F7" s="41" t="s">
        <v>158</v>
      </c>
      <c r="G7" s="34">
        <v>246</v>
      </c>
      <c r="H7" s="107">
        <f>IF(B$51=0,0,G7/B$51)</f>
        <v>0.27424749163879597</v>
      </c>
      <c r="I7" s="68">
        <v>12</v>
      </c>
      <c r="K7" s="5">
        <v>5</v>
      </c>
      <c r="L7" s="73">
        <v>-80.099999999999994</v>
      </c>
      <c r="N7" s="90" t="s">
        <v>131</v>
      </c>
      <c r="O7" s="97">
        <f t="shared" si="0"/>
        <v>229.46058091286307</v>
      </c>
      <c r="P7" s="94">
        <v>241</v>
      </c>
      <c r="Q7" s="78">
        <v>55300</v>
      </c>
    </row>
    <row r="8" spans="1:17" x14ac:dyDescent="0.45">
      <c r="A8" s="37" t="s">
        <v>3</v>
      </c>
      <c r="B8" s="34">
        <v>129</v>
      </c>
      <c r="C8" s="31">
        <f t="shared" si="1"/>
        <v>0.32250000000000001</v>
      </c>
      <c r="E8" s="44" t="s">
        <v>89</v>
      </c>
      <c r="F8" s="41" t="s">
        <v>44</v>
      </c>
      <c r="G8" s="34">
        <v>167</v>
      </c>
      <c r="H8" s="107">
        <f>IF(B$51=0,0,G8/B$51)</f>
        <v>0.18617614269788182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141</v>
      </c>
      <c r="C9" s="7">
        <f t="shared" si="1"/>
        <v>0.35249999999999998</v>
      </c>
      <c r="E9" s="44" t="s">
        <v>69</v>
      </c>
      <c r="F9" s="41" t="s">
        <v>24</v>
      </c>
      <c r="G9" s="34">
        <v>162</v>
      </c>
      <c r="H9" s="107">
        <f>IF(B$51=0,0,G9/B$51)</f>
        <v>0.1806020066889632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42.34538461538461</v>
      </c>
      <c r="C10" s="121">
        <v>5504.9</v>
      </c>
      <c r="E10" s="44" t="s">
        <v>65</v>
      </c>
      <c r="F10" s="41" t="s">
        <v>21</v>
      </c>
      <c r="G10" s="34">
        <v>110</v>
      </c>
      <c r="H10" s="107">
        <f>IF(B$51=0,0,G10/B$51)</f>
        <v>0.12263099219620958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-5.4708333333333341</v>
      </c>
      <c r="P10" s="92">
        <v>120</v>
      </c>
      <c r="Q10" s="80">
        <v>-656.50000000000011</v>
      </c>
    </row>
    <row r="11" spans="1:17" x14ac:dyDescent="0.45">
      <c r="A11" s="38" t="s">
        <v>204</v>
      </c>
      <c r="B11" s="120">
        <f>IF(B8=0,0,C11/B8)</f>
        <v>-1.1472868217054268</v>
      </c>
      <c r="C11" s="121">
        <v>-148.00000000000006</v>
      </c>
      <c r="E11" s="44" t="s">
        <v>70</v>
      </c>
      <c r="F11" s="41" t="s">
        <v>25</v>
      </c>
      <c r="G11" s="34">
        <v>105</v>
      </c>
      <c r="H11" s="107">
        <f>IF(B$51=0,0,G11/B$51)</f>
        <v>0.11705685618729098</v>
      </c>
      <c r="I11" s="68">
        <v>4</v>
      </c>
      <c r="K11" s="5">
        <v>9</v>
      </c>
      <c r="L11" s="73">
        <v>-173</v>
      </c>
      <c r="N11" s="89" t="s">
        <v>150</v>
      </c>
      <c r="O11" s="99">
        <f>IF(P11=0,0,Q11/P11)</f>
        <v>3.1445945945945946</v>
      </c>
      <c r="P11" s="93">
        <v>148</v>
      </c>
      <c r="Q11" s="81">
        <v>465.4</v>
      </c>
    </row>
    <row r="12" spans="1:17" x14ac:dyDescent="0.45">
      <c r="A12" s="38" t="s">
        <v>205</v>
      </c>
      <c r="B12" s="120">
        <f>IF(B9=0,0,C12/B9)</f>
        <v>-35.335460992907805</v>
      </c>
      <c r="C12" s="121">
        <v>-4982.3</v>
      </c>
      <c r="E12" s="44" t="s">
        <v>86</v>
      </c>
      <c r="F12" s="41" t="s">
        <v>41</v>
      </c>
      <c r="G12" s="34">
        <v>56</v>
      </c>
      <c r="H12" s="107">
        <f>IF(B$51=0,0,G12/B$51)</f>
        <v>6.243032329988852E-2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5.2558139534883717</v>
      </c>
      <c r="P12" s="94">
        <v>129</v>
      </c>
      <c r="Q12" s="82">
        <v>678</v>
      </c>
    </row>
    <row r="13" spans="1:17" x14ac:dyDescent="0.45">
      <c r="A13" s="38" t="s">
        <v>206</v>
      </c>
      <c r="B13" s="135">
        <f>AVERAGE(B10:B12)</f>
        <v>1.9542122669237922</v>
      </c>
      <c r="C13" s="136"/>
      <c r="E13" s="44" t="s">
        <v>71</v>
      </c>
      <c r="F13" s="41" t="s">
        <v>26</v>
      </c>
      <c r="G13" s="34">
        <v>47</v>
      </c>
      <c r="H13" s="107">
        <f>IF(B$51=0,0,G13/B$51)</f>
        <v>5.2396878483835008E-2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53</v>
      </c>
      <c r="C14" s="32">
        <f t="shared" si="1"/>
        <v>0.13250000000000001</v>
      </c>
      <c r="E14" s="44" t="s">
        <v>83</v>
      </c>
      <c r="F14" s="41" t="s">
        <v>38</v>
      </c>
      <c r="G14" s="34">
        <v>31</v>
      </c>
      <c r="H14" s="107">
        <f>IF(B$51=0,0,G14/B$51)</f>
        <v>3.4559643255295432E-2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934</v>
      </c>
      <c r="C15" s="11">
        <f>IF(B$50=0,0,B15/B$50)</f>
        <v>0.29380308273041839</v>
      </c>
      <c r="E15" s="44" t="s">
        <v>78</v>
      </c>
      <c r="F15" s="41" t="s">
        <v>33</v>
      </c>
      <c r="G15" s="34">
        <v>27</v>
      </c>
      <c r="H15" s="107">
        <f>IF(B$51=0,0,G15/B$51)</f>
        <v>3.0100334448160536E-2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602</v>
      </c>
      <c r="C16" s="31">
        <f>IF(B$50=0,0,B16/B$50)</f>
        <v>0.18936772569990562</v>
      </c>
      <c r="E16" s="44" t="s">
        <v>153</v>
      </c>
      <c r="F16" s="41" t="s">
        <v>154</v>
      </c>
      <c r="G16" s="34">
        <v>25</v>
      </c>
      <c r="H16" s="107">
        <f>IF(B$51=0,0,G16/B$51)</f>
        <v>2.7870680044593088E-2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19" t="s">
        <v>123</v>
      </c>
      <c r="B17" s="13">
        <v>524</v>
      </c>
      <c r="C17" s="4">
        <f>IF(B$15=0,0,B17/B$15)</f>
        <v>0.56102783725910066</v>
      </c>
      <c r="E17" s="44" t="s">
        <v>91</v>
      </c>
      <c r="F17" s="41" t="s">
        <v>46</v>
      </c>
      <c r="G17" s="34">
        <v>24</v>
      </c>
      <c r="H17" s="107">
        <f>IF(B$51=0,0,G17/B$51)</f>
        <v>2.6755852842809364E-2</v>
      </c>
      <c r="I17" s="68">
        <v>4</v>
      </c>
      <c r="K17" s="5">
        <v>15</v>
      </c>
      <c r="L17" s="73">
        <v>-212.5</v>
      </c>
      <c r="N17" s="89" t="s">
        <v>197</v>
      </c>
      <c r="O17" s="99">
        <f>IF(P17=0,0,Q17/P17)</f>
        <v>19.176470588235297</v>
      </c>
      <c r="P17" s="93">
        <v>34</v>
      </c>
      <c r="Q17" s="81">
        <v>652.00000000000011</v>
      </c>
    </row>
    <row r="18" spans="1:17" x14ac:dyDescent="0.45">
      <c r="A18" s="19" t="s">
        <v>124</v>
      </c>
      <c r="B18" s="13">
        <v>238</v>
      </c>
      <c r="C18" s="4">
        <f>IF(B$16=0,0,B18/B$16)</f>
        <v>0.39534883720930231</v>
      </c>
      <c r="E18" s="44" t="s">
        <v>81</v>
      </c>
      <c r="F18" s="41" t="s">
        <v>36</v>
      </c>
      <c r="G18" s="34">
        <v>20</v>
      </c>
      <c r="H18" s="107">
        <f>IF(B$51=0,0,G18/B$51)</f>
        <v>2.2296544035674472E-2</v>
      </c>
      <c r="I18" s="68">
        <v>10</v>
      </c>
      <c r="K18" s="5">
        <v>16</v>
      </c>
      <c r="L18" s="73">
        <v>-233.2</v>
      </c>
      <c r="N18" s="89" t="s">
        <v>188</v>
      </c>
      <c r="O18" s="99">
        <f>IF(P18=0,0,Q18/P18)</f>
        <v>15.059459459459461</v>
      </c>
      <c r="P18" s="93">
        <v>74</v>
      </c>
      <c r="Q18" s="81">
        <v>1114.4000000000001</v>
      </c>
    </row>
    <row r="19" spans="1:17" x14ac:dyDescent="0.45">
      <c r="A19" s="19" t="s">
        <v>10</v>
      </c>
      <c r="B19" s="13">
        <v>907</v>
      </c>
      <c r="C19" s="4">
        <f>IF(B$3=0,0,B19/B$3)</f>
        <v>0.28202736318407962</v>
      </c>
      <c r="E19" s="44" t="s">
        <v>79</v>
      </c>
      <c r="F19" s="41" t="s">
        <v>34</v>
      </c>
      <c r="G19" s="34">
        <v>14</v>
      </c>
      <c r="H19" s="107">
        <f>IF(B$51=0,0,G19/B$51)</f>
        <v>1.560758082497213E-2</v>
      </c>
      <c r="I19" s="68">
        <v>10</v>
      </c>
      <c r="K19" s="5">
        <v>17</v>
      </c>
      <c r="L19" s="73">
        <v>-268.7</v>
      </c>
      <c r="N19" s="89" t="s">
        <v>186</v>
      </c>
      <c r="O19" s="99">
        <f>IF(P19=0,0,Q19/P19)</f>
        <v>13.45</v>
      </c>
      <c r="P19" s="93">
        <v>34</v>
      </c>
      <c r="Q19" s="81">
        <v>457.29999999999995</v>
      </c>
    </row>
    <row r="20" spans="1:17" x14ac:dyDescent="0.45">
      <c r="A20" s="37" t="s">
        <v>13</v>
      </c>
      <c r="B20" s="34">
        <v>580</v>
      </c>
      <c r="C20" s="31">
        <f>IF(B$3=0,0,B20/B$3)</f>
        <v>0.18034825870646767</v>
      </c>
      <c r="E20" s="44" t="s">
        <v>92</v>
      </c>
      <c r="F20" s="41" t="s">
        <v>47</v>
      </c>
      <c r="G20" s="34">
        <v>10</v>
      </c>
      <c r="H20" s="107">
        <f>IF(B$51=0,0,G20/B$51)</f>
        <v>1.1148272017837236E-2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415</v>
      </c>
      <c r="C21" s="31">
        <f>IF(B$19=0,0,B21/B$19)</f>
        <v>0.45755237045203967</v>
      </c>
      <c r="E21" s="44" t="s">
        <v>73</v>
      </c>
      <c r="F21" s="41" t="s">
        <v>28</v>
      </c>
      <c r="G21" s="34">
        <v>9</v>
      </c>
      <c r="H21" s="107">
        <f>IF(B$51=0,0,G21/B$51)</f>
        <v>1.0033444816053512E-2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492</v>
      </c>
      <c r="C22" s="31">
        <f>IF(B$19=0,0,B22/B$19)</f>
        <v>0.54244762954796033</v>
      </c>
      <c r="E22" s="44" t="s">
        <v>75</v>
      </c>
      <c r="F22" s="41" t="s">
        <v>30</v>
      </c>
      <c r="G22" s="34">
        <v>8</v>
      </c>
      <c r="H22" s="107">
        <f>IF(B$51=0,0,G22/B$51)</f>
        <v>8.918617614269788E-3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2.2877551020408138</v>
      </c>
      <c r="P22" s="93">
        <v>147</v>
      </c>
      <c r="Q22" s="81">
        <v>336.29999999999961</v>
      </c>
    </row>
    <row r="23" spans="1:17" x14ac:dyDescent="0.45">
      <c r="A23" s="37" t="s">
        <v>180</v>
      </c>
      <c r="B23" s="34">
        <v>524</v>
      </c>
      <c r="C23" s="31">
        <f>IF(B$19=0,0,B23/B$19)</f>
        <v>0.577728776185226</v>
      </c>
      <c r="E23" s="44" t="s">
        <v>77</v>
      </c>
      <c r="F23" s="41" t="s">
        <v>32</v>
      </c>
      <c r="G23" s="34">
        <v>6</v>
      </c>
      <c r="H23" s="107">
        <f>IF(B$51=0,0,G23/B$51)</f>
        <v>6.688963210702341E-3</v>
      </c>
      <c r="I23" s="68">
        <v>3</v>
      </c>
      <c r="K23" s="5">
        <v>21</v>
      </c>
      <c r="L23" s="73">
        <v>-242</v>
      </c>
      <c r="N23" s="89" t="s">
        <v>187</v>
      </c>
      <c r="O23" s="99">
        <f>IF(P23=0,0,Q23/P23)</f>
        <v>0.12155172413793074</v>
      </c>
      <c r="P23" s="93">
        <v>116</v>
      </c>
      <c r="Q23" s="81">
        <v>14.099999999999966</v>
      </c>
    </row>
    <row r="24" spans="1:17" x14ac:dyDescent="0.45">
      <c r="A24" s="37" t="s">
        <v>178</v>
      </c>
      <c r="B24" s="34">
        <v>238</v>
      </c>
      <c r="C24" s="31">
        <f>IF(B$19=0,0,B24/B$19)</f>
        <v>0.26240352811466372</v>
      </c>
      <c r="E24" s="44" t="s">
        <v>84</v>
      </c>
      <c r="F24" s="41" t="s">
        <v>39</v>
      </c>
      <c r="G24" s="34">
        <v>6</v>
      </c>
      <c r="H24" s="107">
        <f>IF(B$51=0,0,G24/B$51)</f>
        <v>6.688963210702341E-3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-2.186486486486487</v>
      </c>
      <c r="P24" s="93">
        <v>111</v>
      </c>
      <c r="Q24" s="81">
        <v>-242.70000000000005</v>
      </c>
    </row>
    <row r="25" spans="1:17" x14ac:dyDescent="0.45">
      <c r="A25" s="37" t="s">
        <v>179</v>
      </c>
      <c r="B25" s="34">
        <v>145</v>
      </c>
      <c r="C25" s="31">
        <f>IF(B$19=0,0,B25/B$19)</f>
        <v>0.15986769570011025</v>
      </c>
      <c r="E25" s="44" t="s">
        <v>85</v>
      </c>
      <c r="F25" s="41" t="s">
        <v>40</v>
      </c>
      <c r="G25" s="34">
        <v>5</v>
      </c>
      <c r="H25" s="107">
        <f>IF(B$51=0,0,G25/B$51)</f>
        <v>5.5741360089186179E-3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5">
      <c r="A26" s="37" t="s">
        <v>5</v>
      </c>
      <c r="B26" s="17">
        <f>IF(B$19=0,0,C26/B$19)</f>
        <v>10627.122381477398</v>
      </c>
      <c r="C26" s="8">
        <v>9638800</v>
      </c>
      <c r="E26" s="44" t="s">
        <v>93</v>
      </c>
      <c r="F26" s="41" t="s">
        <v>48</v>
      </c>
      <c r="G26" s="34">
        <v>4</v>
      </c>
      <c r="H26" s="107">
        <f>IF(B$51=0,0,G26/B$51)</f>
        <v>4.459308807134894E-3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-5.9546218487394951</v>
      </c>
      <c r="P26" s="93">
        <v>238</v>
      </c>
      <c r="Q26" s="81">
        <v>-1417.1999999999998</v>
      </c>
    </row>
    <row r="27" spans="1:17" x14ac:dyDescent="0.45">
      <c r="A27" s="38" t="s">
        <v>162</v>
      </c>
      <c r="B27" s="114">
        <f>IF($B$19-B$18=0,0,C27/($B$19-B$18))</f>
        <v>11347.533632286995</v>
      </c>
      <c r="C27" s="115">
        <v>7591500</v>
      </c>
      <c r="E27" s="44" t="s">
        <v>90</v>
      </c>
      <c r="F27" s="41" t="s">
        <v>45</v>
      </c>
      <c r="G27" s="34">
        <v>3</v>
      </c>
      <c r="H27" s="107">
        <f>IF(B$51=0,0,G27/B$51)</f>
        <v>3.3444816053511705E-3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8602.1008403361338</v>
      </c>
      <c r="C28" s="115">
        <v>2047300</v>
      </c>
      <c r="E28" s="44" t="s">
        <v>87</v>
      </c>
      <c r="F28" s="41" t="s">
        <v>42</v>
      </c>
      <c r="G28" s="34">
        <v>2</v>
      </c>
      <c r="H28" s="107">
        <f>IF(B$51=0,0,G28/B$51)</f>
        <v>2.229654403567447E-3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-8746.0344827586214</v>
      </c>
      <c r="C29" s="115">
        <v>-5072700</v>
      </c>
      <c r="E29" s="44" t="s">
        <v>74</v>
      </c>
      <c r="F29" s="41" t="s">
        <v>29</v>
      </c>
      <c r="G29" s="34">
        <v>1</v>
      </c>
      <c r="H29" s="107">
        <f>IF(B$51=0,0,G29/B$51)</f>
        <v>1.1148272017837235E-3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1.1148272017837235E-3</v>
      </c>
      <c r="I30" s="68">
        <v>6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1.1148272017837235E-3</v>
      </c>
      <c r="I31" s="68">
        <v>5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41">
        <v>8</v>
      </c>
      <c r="C32" s="142"/>
      <c r="E32" s="44" t="s">
        <v>97</v>
      </c>
      <c r="F32" s="41" t="s">
        <v>52</v>
      </c>
      <c r="G32" s="34">
        <v>1</v>
      </c>
      <c r="H32" s="107">
        <f>IF(B$51=0,0,G32/B$51)</f>
        <v>1.1148272017837235E-3</v>
      </c>
      <c r="I32" s="68">
        <v>2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39">
        <v>124700</v>
      </c>
      <c r="C33" s="140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11</v>
      </c>
      <c r="C34" s="32">
        <f>IF(B$3=0,0,B34/B$3)</f>
        <v>3.4203980099502488E-3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3">
        <v>30</v>
      </c>
      <c r="C36" s="119">
        <f>IF(B$19=0,0,B36/B$19)</f>
        <v>3.3076074972436607E-2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89</v>
      </c>
      <c r="C37" s="31">
        <f t="shared" ref="C37:C48" si="2">IF(B$19=0,0,B37/B$19)</f>
        <v>9.812568908489526E-2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6">
        <v>131</v>
      </c>
      <c r="C38" s="31">
        <f>IF(B$19=0,0,B38/B$19)</f>
        <v>0.1444321940463065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6">
        <v>175</v>
      </c>
      <c r="C39" s="31">
        <f t="shared" si="2"/>
        <v>0.19294377067254687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6">
        <v>170</v>
      </c>
      <c r="C40" s="31">
        <f t="shared" si="2"/>
        <v>0.1874310915104741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6">
        <v>112</v>
      </c>
      <c r="C41" s="31">
        <f t="shared" si="2"/>
        <v>0.12348401323042998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6">
        <v>70</v>
      </c>
      <c r="C42" s="31">
        <f t="shared" si="2"/>
        <v>7.7177508269018744E-2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6">
        <v>46</v>
      </c>
      <c r="C43" s="31">
        <f t="shared" si="2"/>
        <v>5.0716648291069456E-2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6">
        <v>31</v>
      </c>
      <c r="C44" s="31">
        <f t="shared" si="2"/>
        <v>3.4178610804851156E-2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6">
        <v>12</v>
      </c>
      <c r="C45" s="31">
        <f t="shared" si="2"/>
        <v>1.3230429988974642E-2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6">
        <v>8</v>
      </c>
      <c r="C46" s="31">
        <f t="shared" si="2"/>
        <v>8.8202866593164279E-3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6">
        <v>3</v>
      </c>
      <c r="C47" s="31">
        <f t="shared" si="2"/>
        <v>3.3076074972436605E-3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2">
        <v>20</v>
      </c>
      <c r="C48" s="32">
        <f t="shared" si="2"/>
        <v>2.2050716648291068E-2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29">
        <v>3179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37">
        <v>897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EA57-6CD9-4289-B12D-A70E2B769846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196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9</v>
      </c>
      <c r="C2" s="130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1">
        <v>69</v>
      </c>
      <c r="C3" s="132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3">
        <v>109</v>
      </c>
      <c r="C4" s="134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5">
        <f>IF(B$2=0,0,B$4/B$2)</f>
        <v>12.111111111111111</v>
      </c>
      <c r="C5" s="136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43">
        <f>IF(B$2=0,0,(B$7*1+B$8*2+B$9*3)/B$2)</f>
        <v>1.6666666666666667</v>
      </c>
      <c r="C6" s="144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5">
        <f>AVERAGE(B10:B12)</f>
        <v>1.0266666666666648</v>
      </c>
      <c r="C13" s="136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78000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69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24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505F6-E24B-47DC-8BA7-A38D813E2990}">
  <sheetPr codeName="Sheet15"/>
  <dimension ref="A1:Q31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187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315</v>
      </c>
      <c r="C2" s="130"/>
      <c r="E2" s="43" t="s">
        <v>66</v>
      </c>
      <c r="F2" s="25" t="s">
        <v>22</v>
      </c>
      <c r="G2" s="13">
        <v>467</v>
      </c>
      <c r="H2" s="106">
        <f>IF(B$51=0,0,G2/B$51)</f>
        <v>0.68274853801169588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-298.73015873015873</v>
      </c>
      <c r="P2" s="92">
        <v>315</v>
      </c>
      <c r="Q2" s="76">
        <v>-94100</v>
      </c>
    </row>
    <row r="3" spans="1:17" x14ac:dyDescent="0.45">
      <c r="A3" s="37" t="s">
        <v>8</v>
      </c>
      <c r="B3" s="131">
        <v>2563</v>
      </c>
      <c r="C3" s="132"/>
      <c r="E3" s="44" t="s">
        <v>72</v>
      </c>
      <c r="F3" s="41" t="s">
        <v>27</v>
      </c>
      <c r="G3" s="34">
        <v>362</v>
      </c>
      <c r="H3" s="107">
        <f>IF(B$51=0,0,G3/B$51)</f>
        <v>0.5292397660818714</v>
      </c>
      <c r="I3" s="68">
        <v>12</v>
      </c>
      <c r="K3" s="5">
        <v>1</v>
      </c>
      <c r="L3" s="73">
        <v>15</v>
      </c>
      <c r="N3" s="89" t="s">
        <v>127</v>
      </c>
      <c r="O3" s="96">
        <f t="shared" si="0"/>
        <v>673.0519480519481</v>
      </c>
      <c r="P3" s="93">
        <v>308</v>
      </c>
      <c r="Q3" s="77">
        <v>207300</v>
      </c>
    </row>
    <row r="4" spans="1:17" x14ac:dyDescent="0.45">
      <c r="A4" s="37" t="s">
        <v>6</v>
      </c>
      <c r="B4" s="133">
        <v>-457.6</v>
      </c>
      <c r="C4" s="134"/>
      <c r="E4" s="44" t="s">
        <v>64</v>
      </c>
      <c r="F4" s="41" t="s">
        <v>20</v>
      </c>
      <c r="G4" s="34">
        <v>351</v>
      </c>
      <c r="H4" s="107">
        <f>IF(B$51=0,0,G4/B$51)</f>
        <v>0.51315789473684215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-559.375</v>
      </c>
      <c r="P4" s="93">
        <v>288</v>
      </c>
      <c r="Q4" s="77">
        <v>-161100</v>
      </c>
    </row>
    <row r="5" spans="1:17" x14ac:dyDescent="0.45">
      <c r="A5" s="37" t="s">
        <v>7</v>
      </c>
      <c r="B5" s="135">
        <f>IF(B$2=0,0,B$4/B$2)</f>
        <v>-1.4526984126984128</v>
      </c>
      <c r="C5" s="136"/>
      <c r="E5" s="44" t="s">
        <v>157</v>
      </c>
      <c r="F5" s="41" t="s">
        <v>158</v>
      </c>
      <c r="G5" s="34">
        <v>277</v>
      </c>
      <c r="H5" s="107">
        <f>IF(B$51=0,0,G5/B$51)</f>
        <v>0.40497076023391815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-69.811320754716988</v>
      </c>
      <c r="P5" s="93">
        <v>265</v>
      </c>
      <c r="Q5" s="77">
        <v>-18500</v>
      </c>
    </row>
    <row r="6" spans="1:17" x14ac:dyDescent="0.45">
      <c r="A6" s="37" t="s">
        <v>1</v>
      </c>
      <c r="B6" s="143">
        <f>IF(B$2=0,0,(B$7*1+B$8*2+B$9*3)/B$2)</f>
        <v>2.0603174603174601</v>
      </c>
      <c r="C6" s="144"/>
      <c r="E6" s="44" t="s">
        <v>67</v>
      </c>
      <c r="F6" s="41" t="s">
        <v>23</v>
      </c>
      <c r="G6" s="34">
        <v>232</v>
      </c>
      <c r="H6" s="107">
        <f>IF(B$51=0,0,G6/B$51)</f>
        <v>0.33918128654970758</v>
      </c>
      <c r="I6" s="68">
        <v>7</v>
      </c>
      <c r="K6" s="5">
        <v>4</v>
      </c>
      <c r="L6" s="73">
        <v>5.1000000000000014</v>
      </c>
      <c r="N6" s="89" t="s">
        <v>130</v>
      </c>
      <c r="O6" s="96">
        <f t="shared" si="0"/>
        <v>-1064.4628099173553</v>
      </c>
      <c r="P6" s="93">
        <v>242</v>
      </c>
      <c r="Q6" s="77">
        <v>-257600</v>
      </c>
    </row>
    <row r="7" spans="1:17" x14ac:dyDescent="0.45">
      <c r="A7" s="37" t="s">
        <v>2</v>
      </c>
      <c r="B7" s="34">
        <v>88</v>
      </c>
      <c r="C7" s="31">
        <f t="shared" ref="C7:C14" si="1">IF(B$2=0,0,B7/B$2)</f>
        <v>0.27936507936507937</v>
      </c>
      <c r="E7" s="44" t="s">
        <v>68</v>
      </c>
      <c r="F7" s="41" t="s">
        <v>12</v>
      </c>
      <c r="G7" s="34">
        <v>217</v>
      </c>
      <c r="H7" s="107">
        <f>IF(B$51=0,0,G7/B$51)</f>
        <v>0.31725146198830412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-252.23880597014926</v>
      </c>
      <c r="P7" s="94">
        <v>201</v>
      </c>
      <c r="Q7" s="78">
        <v>-50700</v>
      </c>
    </row>
    <row r="8" spans="1:17" x14ac:dyDescent="0.45">
      <c r="A8" s="37" t="s">
        <v>3</v>
      </c>
      <c r="B8" s="34">
        <v>120</v>
      </c>
      <c r="C8" s="31">
        <f t="shared" si="1"/>
        <v>0.38095238095238093</v>
      </c>
      <c r="E8" s="44" t="s">
        <v>69</v>
      </c>
      <c r="F8" s="41" t="s">
        <v>24</v>
      </c>
      <c r="G8" s="34">
        <v>91</v>
      </c>
      <c r="H8" s="107">
        <f>IF(B$51=0,0,G8/B$51)</f>
        <v>0.13304093567251463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107</v>
      </c>
      <c r="C9" s="7">
        <f t="shared" si="1"/>
        <v>0.3396825396825397</v>
      </c>
      <c r="E9" s="44" t="s">
        <v>89</v>
      </c>
      <c r="F9" s="41" t="s">
        <v>44</v>
      </c>
      <c r="G9" s="34">
        <v>90</v>
      </c>
      <c r="H9" s="107">
        <f>IF(B$51=0,0,G9/B$51)</f>
        <v>0.13157894736842105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40.787500000000001</v>
      </c>
      <c r="C10" s="121">
        <v>3589.3</v>
      </c>
      <c r="E10" s="44" t="s">
        <v>65</v>
      </c>
      <c r="F10" s="41" t="s">
        <v>21</v>
      </c>
      <c r="G10" s="34">
        <v>65</v>
      </c>
      <c r="H10" s="107">
        <f>IF(B$51=0,0,G10/B$51)</f>
        <v>9.5029239766081866E-2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-4.4627118644067805</v>
      </c>
      <c r="P10" s="92">
        <v>118</v>
      </c>
      <c r="Q10" s="80">
        <v>-526.60000000000014</v>
      </c>
    </row>
    <row r="11" spans="1:17" x14ac:dyDescent="0.45">
      <c r="A11" s="38" t="s">
        <v>204</v>
      </c>
      <c r="B11" s="120">
        <f>IF(B8=0,0,C11/B8)</f>
        <v>0.11833333333333337</v>
      </c>
      <c r="C11" s="121">
        <v>14.200000000000005</v>
      </c>
      <c r="E11" s="44" t="s">
        <v>71</v>
      </c>
      <c r="F11" s="41" t="s">
        <v>26</v>
      </c>
      <c r="G11" s="34">
        <v>60</v>
      </c>
      <c r="H11" s="107">
        <f>IF(B$51=0,0,G11/B$51)</f>
        <v>8.771929824561403E-2</v>
      </c>
      <c r="I11" s="68">
        <v>3</v>
      </c>
      <c r="K11" s="5">
        <v>9</v>
      </c>
      <c r="L11" s="73">
        <v>-9.3999999999999968</v>
      </c>
      <c r="N11" s="89" t="s">
        <v>150</v>
      </c>
      <c r="O11" s="99">
        <f>IF(P11=0,0,Q11/P11)</f>
        <v>0.69899999999999995</v>
      </c>
      <c r="P11" s="93">
        <v>100</v>
      </c>
      <c r="Q11" s="81">
        <v>69.899999999999991</v>
      </c>
    </row>
    <row r="12" spans="1:17" x14ac:dyDescent="0.45">
      <c r="A12" s="38" t="s">
        <v>205</v>
      </c>
      <c r="B12" s="120">
        <f>IF(B9=0,0,C12/B9)</f>
        <v>-37.954205607476631</v>
      </c>
      <c r="C12" s="121">
        <v>-4061.0999999999995</v>
      </c>
      <c r="E12" s="44" t="s">
        <v>70</v>
      </c>
      <c r="F12" s="41" t="s">
        <v>25</v>
      </c>
      <c r="G12" s="34">
        <v>55</v>
      </c>
      <c r="H12" s="107">
        <f>IF(B$51=0,0,G12/B$51)</f>
        <v>8.0409356725146194E-2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-9.2783505154642697E-3</v>
      </c>
      <c r="P12" s="94">
        <v>97</v>
      </c>
      <c r="Q12" s="82">
        <v>-0.90000000000003411</v>
      </c>
    </row>
    <row r="13" spans="1:17" x14ac:dyDescent="0.45">
      <c r="A13" s="38" t="s">
        <v>206</v>
      </c>
      <c r="B13" s="135">
        <f>AVERAGE(B10:B12)</f>
        <v>0.98387590861890095</v>
      </c>
      <c r="C13" s="136"/>
      <c r="E13" s="44" t="s">
        <v>83</v>
      </c>
      <c r="F13" s="41" t="s">
        <v>38</v>
      </c>
      <c r="G13" s="34">
        <v>38</v>
      </c>
      <c r="H13" s="107">
        <f>IF(B$51=0,0,G13/B$51)</f>
        <v>5.5555555555555552E-2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38</v>
      </c>
      <c r="C14" s="32">
        <f t="shared" si="1"/>
        <v>0.12063492063492064</v>
      </c>
      <c r="E14" s="44" t="s">
        <v>86</v>
      </c>
      <c r="F14" s="41" t="s">
        <v>41</v>
      </c>
      <c r="G14" s="34">
        <v>37</v>
      </c>
      <c r="H14" s="107">
        <f>IF(B$51=0,0,G14/B$51)</f>
        <v>5.4093567251461985E-2</v>
      </c>
      <c r="I14" s="68">
        <v>10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632</v>
      </c>
      <c r="C15" s="11">
        <f>IF(B$50=0,0,B15/B$50)</f>
        <v>0.24658603199375731</v>
      </c>
      <c r="E15" s="44" t="s">
        <v>78</v>
      </c>
      <c r="F15" s="41" t="s">
        <v>33</v>
      </c>
      <c r="G15" s="34">
        <v>18</v>
      </c>
      <c r="H15" s="107">
        <f>IF(B$51=0,0,G15/B$51)</f>
        <v>2.6315789473684209E-2</v>
      </c>
      <c r="I15" s="68">
        <v>8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586</v>
      </c>
      <c r="C16" s="31">
        <f>IF(B$50=0,0,B16/B$50)</f>
        <v>0.22863831447522434</v>
      </c>
      <c r="E16" s="44" t="s">
        <v>81</v>
      </c>
      <c r="F16" s="41" t="s">
        <v>36</v>
      </c>
      <c r="G16" s="34">
        <v>15</v>
      </c>
      <c r="H16" s="107">
        <f>IF(B$51=0,0,G16/B$51)</f>
        <v>2.1929824561403508E-2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24.106060606060606</v>
      </c>
      <c r="P16" s="93">
        <v>33</v>
      </c>
      <c r="Q16" s="81">
        <v>795.5</v>
      </c>
    </row>
    <row r="17" spans="1:17" x14ac:dyDescent="0.45">
      <c r="A17" s="19" t="s">
        <v>123</v>
      </c>
      <c r="B17" s="13">
        <v>357</v>
      </c>
      <c r="C17" s="4">
        <f>IF(B$15=0,0,B17/B$15)</f>
        <v>0.564873417721519</v>
      </c>
      <c r="E17" s="44" t="s">
        <v>91</v>
      </c>
      <c r="F17" s="41" t="s">
        <v>46</v>
      </c>
      <c r="G17" s="34">
        <v>14</v>
      </c>
      <c r="H17" s="107">
        <f>IF(B$51=0,0,G17/B$51)</f>
        <v>2.046783625730994E-2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19" t="s">
        <v>124</v>
      </c>
      <c r="B18" s="13">
        <v>220</v>
      </c>
      <c r="C18" s="4">
        <f>IF(B$16=0,0,B18/B$16)</f>
        <v>0.37542662116040953</v>
      </c>
      <c r="E18" s="44" t="s">
        <v>79</v>
      </c>
      <c r="F18" s="41" t="s">
        <v>34</v>
      </c>
      <c r="G18" s="34">
        <v>13</v>
      </c>
      <c r="H18" s="107">
        <f>IF(B$51=0,0,G18/B$51)</f>
        <v>1.9005847953216373E-2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684</v>
      </c>
      <c r="C19" s="4">
        <f>IF(B$3=0,0,B19/B$3)</f>
        <v>0.26687475614514239</v>
      </c>
      <c r="E19" s="44" t="s">
        <v>85</v>
      </c>
      <c r="F19" s="41" t="s">
        <v>40</v>
      </c>
      <c r="G19" s="34">
        <v>9</v>
      </c>
      <c r="H19" s="107">
        <f>IF(B$51=0,0,G19/B$51)</f>
        <v>1.3157894736842105E-2</v>
      </c>
      <c r="I19" s="68">
        <v>2</v>
      </c>
      <c r="K19" s="5">
        <v>17</v>
      </c>
      <c r="L19" s="73">
        <v>-39.799999999999997</v>
      </c>
      <c r="N19" s="89" t="s">
        <v>190</v>
      </c>
      <c r="O19" s="99">
        <f>IF(P19=0,0,Q19/P19)</f>
        <v>6.8016129032258075</v>
      </c>
      <c r="P19" s="93">
        <v>62</v>
      </c>
      <c r="Q19" s="81">
        <v>421.70000000000005</v>
      </c>
    </row>
    <row r="20" spans="1:17" x14ac:dyDescent="0.45">
      <c r="A20" s="37" t="s">
        <v>13</v>
      </c>
      <c r="B20" s="34">
        <v>385</v>
      </c>
      <c r="C20" s="31">
        <f>IF(B$3=0,0,B20/B$3)</f>
        <v>0.15021459227467812</v>
      </c>
      <c r="E20" s="44" t="s">
        <v>153</v>
      </c>
      <c r="F20" s="41" t="s">
        <v>154</v>
      </c>
      <c r="G20" s="34">
        <v>6</v>
      </c>
      <c r="H20" s="107">
        <f>IF(B$51=0,0,G20/B$51)</f>
        <v>8.771929824561403E-3</v>
      </c>
      <c r="I20" s="68">
        <v>7</v>
      </c>
      <c r="K20" s="5">
        <v>18</v>
      </c>
      <c r="L20" s="73">
        <v>-60.4</v>
      </c>
      <c r="N20" s="89" t="s">
        <v>186</v>
      </c>
      <c r="O20" s="99">
        <f>IF(P20=0,0,Q20/P20)</f>
        <v>6.2222222222222241</v>
      </c>
      <c r="P20" s="93">
        <v>18</v>
      </c>
      <c r="Q20" s="81">
        <v>112.00000000000003</v>
      </c>
    </row>
    <row r="21" spans="1:17" x14ac:dyDescent="0.45">
      <c r="A21" s="37" t="s">
        <v>12</v>
      </c>
      <c r="B21" s="34">
        <v>305</v>
      </c>
      <c r="C21" s="31">
        <f>IF(B$19=0,0,B21/B$19)</f>
        <v>0.44590643274853803</v>
      </c>
      <c r="E21" s="44" t="s">
        <v>73</v>
      </c>
      <c r="F21" s="41" t="s">
        <v>28</v>
      </c>
      <c r="G21" s="34">
        <v>5</v>
      </c>
      <c r="H21" s="107">
        <f>IF(B$51=0,0,G21/B$51)</f>
        <v>7.3099415204678359E-3</v>
      </c>
      <c r="I21" s="68">
        <v>5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5">
      <c r="A22" s="37" t="s">
        <v>11</v>
      </c>
      <c r="B22" s="34">
        <v>379</v>
      </c>
      <c r="C22" s="31">
        <f>IF(B$19=0,0,B22/B$19)</f>
        <v>0.55409356725146197</v>
      </c>
      <c r="E22" s="44" t="s">
        <v>92</v>
      </c>
      <c r="F22" s="41" t="s">
        <v>47</v>
      </c>
      <c r="G22" s="34">
        <v>5</v>
      </c>
      <c r="H22" s="107">
        <f>IF(B$51=0,0,G22/B$51)</f>
        <v>7.3099415204678359E-3</v>
      </c>
      <c r="I22" s="68">
        <v>4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7" t="s">
        <v>180</v>
      </c>
      <c r="B23" s="34">
        <v>357</v>
      </c>
      <c r="C23" s="31">
        <f>IF(B$19=0,0,B23/B$19)</f>
        <v>0.52192982456140347</v>
      </c>
      <c r="E23" s="44" t="s">
        <v>75</v>
      </c>
      <c r="F23" s="41" t="s">
        <v>30</v>
      </c>
      <c r="G23" s="34">
        <v>4</v>
      </c>
      <c r="H23" s="107">
        <f>IF(B$51=0,0,G23/B$51)</f>
        <v>5.8479532163742687E-3</v>
      </c>
      <c r="I23" s="68">
        <v>7</v>
      </c>
      <c r="K23" s="5">
        <v>21</v>
      </c>
      <c r="L23" s="73">
        <v>-125.80000000000001</v>
      </c>
      <c r="N23" s="89" t="s">
        <v>193</v>
      </c>
      <c r="O23" s="99">
        <f>IF(P23=0,0,Q23/P23)</f>
        <v>6.2962962962962332E-2</v>
      </c>
      <c r="P23" s="93">
        <v>135</v>
      </c>
      <c r="Q23" s="81">
        <v>8.4999999999999147</v>
      </c>
    </row>
    <row r="24" spans="1:17" x14ac:dyDescent="0.45">
      <c r="A24" s="37" t="s">
        <v>178</v>
      </c>
      <c r="B24" s="34">
        <v>220</v>
      </c>
      <c r="C24" s="31">
        <f>IF(B$19=0,0,B24/B$19)</f>
        <v>0.32163742690058478</v>
      </c>
      <c r="E24" s="44" t="s">
        <v>74</v>
      </c>
      <c r="F24" s="41" t="s">
        <v>29</v>
      </c>
      <c r="G24" s="34">
        <v>3</v>
      </c>
      <c r="H24" s="107">
        <f>IF(B$51=0,0,G24/B$51)</f>
        <v>4.3859649122807015E-3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-0.12155172413792976</v>
      </c>
      <c r="P24" s="93">
        <v>116</v>
      </c>
      <c r="Q24" s="81">
        <v>-14.099999999999852</v>
      </c>
    </row>
    <row r="25" spans="1:17" x14ac:dyDescent="0.45">
      <c r="A25" s="37" t="s">
        <v>179</v>
      </c>
      <c r="B25" s="34">
        <v>107</v>
      </c>
      <c r="C25" s="31">
        <f>IF(B$19=0,0,B25/B$19)</f>
        <v>0.1564327485380117</v>
      </c>
      <c r="E25" s="44" t="s">
        <v>77</v>
      </c>
      <c r="F25" s="41" t="s">
        <v>32</v>
      </c>
      <c r="G25" s="34">
        <v>3</v>
      </c>
      <c r="H25" s="107">
        <f>IF(B$51=0,0,G25/B$51)</f>
        <v>4.3859649122807015E-3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-1.865277777777778</v>
      </c>
      <c r="P25" s="93">
        <v>72</v>
      </c>
      <c r="Q25" s="81">
        <v>-134.30000000000001</v>
      </c>
    </row>
    <row r="26" spans="1:17" x14ac:dyDescent="0.45">
      <c r="A26" s="37" t="s">
        <v>5</v>
      </c>
      <c r="B26" s="17">
        <f>IF(B$19=0,0,C26/B$19)</f>
        <v>8703.3625730994154</v>
      </c>
      <c r="C26" s="8">
        <v>5953100</v>
      </c>
      <c r="E26" s="44" t="s">
        <v>88</v>
      </c>
      <c r="F26" s="41" t="s">
        <v>43</v>
      </c>
      <c r="G26" s="34">
        <v>2</v>
      </c>
      <c r="H26" s="107">
        <f>IF(B$51=0,0,G26/B$51)</f>
        <v>2.9239766081871343E-3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-18.527922077922078</v>
      </c>
      <c r="P26" s="93">
        <v>154</v>
      </c>
      <c r="Q26" s="81">
        <v>-2853.3</v>
      </c>
    </row>
    <row r="27" spans="1:17" x14ac:dyDescent="0.45">
      <c r="A27" s="38" t="s">
        <v>162</v>
      </c>
      <c r="B27" s="114">
        <f>IF($B$19-B$18=0,0,C27/($B$19-B$18))</f>
        <v>9533.4051724137935</v>
      </c>
      <c r="C27" s="115">
        <v>4423500</v>
      </c>
      <c r="E27" s="44" t="s">
        <v>90</v>
      </c>
      <c r="F27" s="41" t="s">
        <v>45</v>
      </c>
      <c r="G27" s="34">
        <v>2</v>
      </c>
      <c r="H27" s="107">
        <f>IF(B$51=0,0,G27/B$51)</f>
        <v>2.9239766081871343E-3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5">
      <c r="A28" s="38" t="s">
        <v>163</v>
      </c>
      <c r="B28" s="114">
        <f>IF(B$18=0,0,C28/B$18)</f>
        <v>6952.727272727273</v>
      </c>
      <c r="C28" s="115">
        <v>1529600</v>
      </c>
      <c r="E28" s="44" t="s">
        <v>93</v>
      </c>
      <c r="F28" s="41" t="s">
        <v>48</v>
      </c>
      <c r="G28" s="34">
        <v>2</v>
      </c>
      <c r="H28" s="107">
        <f>IF(B$51=0,0,G28/B$51)</f>
        <v>2.9239766081871343E-3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-7342.0779220779223</v>
      </c>
      <c r="C29" s="115">
        <v>-2826700</v>
      </c>
      <c r="E29" s="44" t="s">
        <v>101</v>
      </c>
      <c r="F29" s="41" t="s">
        <v>56</v>
      </c>
      <c r="G29" s="34">
        <v>2</v>
      </c>
      <c r="H29" s="107">
        <f>IF(B$51=0,0,G29/B$51)</f>
        <v>2.9239766081871343E-3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1.4619883040935672E-3</v>
      </c>
      <c r="I30" s="68">
        <v>8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41">
        <v>8</v>
      </c>
      <c r="C32" s="142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39">
        <v>103000</v>
      </c>
      <c r="C33" s="140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2.7311744049941474E-3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3">
        <v>47</v>
      </c>
      <c r="C36" s="119">
        <f>IF(B$19=0,0,B36/B$19)</f>
        <v>6.8713450292397657E-2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109</v>
      </c>
      <c r="C37" s="31">
        <f t="shared" ref="C37:C48" si="2">IF(B$19=0,0,B37/B$19)</f>
        <v>0.15935672514619884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6">
        <v>127</v>
      </c>
      <c r="C38" s="31">
        <f>IF(B$19=0,0,B38/B$19)</f>
        <v>0.18567251461988304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6">
        <v>123</v>
      </c>
      <c r="C39" s="31">
        <f t="shared" si="2"/>
        <v>0.17982456140350878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6">
        <v>111</v>
      </c>
      <c r="C40" s="31">
        <f t="shared" si="2"/>
        <v>0.16228070175438597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6">
        <v>73</v>
      </c>
      <c r="C41" s="31">
        <f t="shared" si="2"/>
        <v>0.1067251461988304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6">
        <v>41</v>
      </c>
      <c r="C42" s="31">
        <f t="shared" si="2"/>
        <v>5.9941520467836254E-2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6">
        <v>18</v>
      </c>
      <c r="C43" s="31">
        <f t="shared" si="2"/>
        <v>2.6315789473684209E-2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6">
        <v>14</v>
      </c>
      <c r="C44" s="31">
        <f t="shared" si="2"/>
        <v>2.046783625730994E-2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6">
        <v>8</v>
      </c>
      <c r="C45" s="31">
        <f t="shared" si="2"/>
        <v>1.1695906432748537E-2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6">
        <v>2</v>
      </c>
      <c r="C46" s="31">
        <f t="shared" si="2"/>
        <v>2.9239766081871343E-3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6">
        <v>2</v>
      </c>
      <c r="C47" s="31">
        <f t="shared" si="2"/>
        <v>2.9239766081871343E-3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2">
        <v>9</v>
      </c>
      <c r="C48" s="32">
        <f t="shared" si="2"/>
        <v>1.3157894736842105E-2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29">
        <v>2563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37">
        <v>684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1868-63A3-414D-A86B-9728B67DE197}">
  <sheetPr codeName="Sheet16"/>
  <dimension ref="A1:Q10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186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105</v>
      </c>
      <c r="C2" s="130"/>
      <c r="E2" s="43" t="s">
        <v>66</v>
      </c>
      <c r="F2" s="25" t="s">
        <v>22</v>
      </c>
      <c r="G2" s="13">
        <v>174</v>
      </c>
      <c r="H2" s="106">
        <f>IF(B$51=0,0,G2/B$51)</f>
        <v>0.72199170124481327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-2735.9223300970875</v>
      </c>
      <c r="P2" s="92">
        <v>103</v>
      </c>
      <c r="Q2" s="76">
        <v>-281800</v>
      </c>
    </row>
    <row r="3" spans="1:17" x14ac:dyDescent="0.45">
      <c r="A3" s="37" t="s">
        <v>8</v>
      </c>
      <c r="B3" s="131">
        <v>915</v>
      </c>
      <c r="C3" s="132"/>
      <c r="E3" s="44" t="s">
        <v>64</v>
      </c>
      <c r="F3" s="41" t="s">
        <v>20</v>
      </c>
      <c r="G3" s="34">
        <v>117</v>
      </c>
      <c r="H3" s="107">
        <f>IF(B$51=0,0,G3/B$51)</f>
        <v>0.48547717842323651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114.70588235294117</v>
      </c>
      <c r="P3" s="93">
        <v>102</v>
      </c>
      <c r="Q3" s="77">
        <v>11700</v>
      </c>
    </row>
    <row r="4" spans="1:17" x14ac:dyDescent="0.45">
      <c r="A4" s="37" t="s">
        <v>6</v>
      </c>
      <c r="B4" s="133">
        <v>-812.4</v>
      </c>
      <c r="C4" s="134"/>
      <c r="E4" s="44" t="s">
        <v>72</v>
      </c>
      <c r="F4" s="41" t="s">
        <v>27</v>
      </c>
      <c r="G4" s="34">
        <v>113</v>
      </c>
      <c r="H4" s="107">
        <f>IF(B$51=0,0,G4/B$51)</f>
        <v>0.46887966804979253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-1292.8571428571429</v>
      </c>
      <c r="P4" s="93">
        <v>98</v>
      </c>
      <c r="Q4" s="77">
        <v>-126700</v>
      </c>
    </row>
    <row r="5" spans="1:17" x14ac:dyDescent="0.45">
      <c r="A5" s="37" t="s">
        <v>7</v>
      </c>
      <c r="B5" s="135">
        <f>IF(B$2=0,0,B$4/B$2)</f>
        <v>-7.7371428571428567</v>
      </c>
      <c r="C5" s="136"/>
      <c r="E5" s="44" t="s">
        <v>68</v>
      </c>
      <c r="F5" s="41" t="s">
        <v>12</v>
      </c>
      <c r="G5" s="34">
        <v>97</v>
      </c>
      <c r="H5" s="107">
        <f>IF(B$51=0,0,G5/B$51)</f>
        <v>0.40248962655601661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-3208.8888888888887</v>
      </c>
      <c r="P5" s="93">
        <v>90</v>
      </c>
      <c r="Q5" s="77">
        <v>-288800</v>
      </c>
    </row>
    <row r="6" spans="1:17" x14ac:dyDescent="0.45">
      <c r="A6" s="37" t="s">
        <v>1</v>
      </c>
      <c r="B6" s="143">
        <f>IF(B$2=0,0,(B$7*1+B$8*2+B$9*3)/B$2)</f>
        <v>2.1333333333333333</v>
      </c>
      <c r="C6" s="144"/>
      <c r="E6" s="44" t="s">
        <v>157</v>
      </c>
      <c r="F6" s="41" t="s">
        <v>158</v>
      </c>
      <c r="G6" s="34">
        <v>86</v>
      </c>
      <c r="H6" s="107">
        <f>IF(B$51=0,0,G6/B$51)</f>
        <v>0.35684647302904565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1030</v>
      </c>
      <c r="P6" s="93">
        <v>80</v>
      </c>
      <c r="Q6" s="77">
        <v>82400</v>
      </c>
    </row>
    <row r="7" spans="1:17" x14ac:dyDescent="0.45">
      <c r="A7" s="37" t="s">
        <v>2</v>
      </c>
      <c r="B7" s="34">
        <v>30</v>
      </c>
      <c r="C7" s="31">
        <f t="shared" ref="C7:C14" si="1">IF(B$2=0,0,B7/B$2)</f>
        <v>0.2857142857142857</v>
      </c>
      <c r="E7" s="44" t="s">
        <v>67</v>
      </c>
      <c r="F7" s="41" t="s">
        <v>23</v>
      </c>
      <c r="G7" s="34">
        <v>51</v>
      </c>
      <c r="H7" s="107">
        <f>IF(B$51=0,0,G7/B$51)</f>
        <v>0.21161825726141079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25.35211267605634</v>
      </c>
      <c r="P7" s="94">
        <v>71</v>
      </c>
      <c r="Q7" s="78">
        <v>1800</v>
      </c>
    </row>
    <row r="8" spans="1:17" x14ac:dyDescent="0.45">
      <c r="A8" s="37" t="s">
        <v>3</v>
      </c>
      <c r="B8" s="34">
        <v>31</v>
      </c>
      <c r="C8" s="31">
        <f t="shared" si="1"/>
        <v>0.29523809523809524</v>
      </c>
      <c r="E8" s="44" t="s">
        <v>69</v>
      </c>
      <c r="F8" s="41" t="s">
        <v>24</v>
      </c>
      <c r="G8" s="34">
        <v>35</v>
      </c>
      <c r="H8" s="107">
        <f>IF(B$51=0,0,G8/B$51)</f>
        <v>0.14522821576763487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44</v>
      </c>
      <c r="C9" s="7">
        <f t="shared" si="1"/>
        <v>0.41904761904761906</v>
      </c>
      <c r="E9" s="44" t="s">
        <v>70</v>
      </c>
      <c r="F9" s="41" t="s">
        <v>25</v>
      </c>
      <c r="G9" s="34">
        <v>28</v>
      </c>
      <c r="H9" s="107">
        <f>IF(B$51=0,0,G9/B$51)</f>
        <v>0.11618257261410789</v>
      </c>
      <c r="I9" s="68">
        <v>5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36.49666666666667</v>
      </c>
      <c r="C10" s="121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0.11618257261410789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-11.365714285714285</v>
      </c>
      <c r="P10" s="92">
        <v>35</v>
      </c>
      <c r="Q10" s="80">
        <v>-397.79999999999995</v>
      </c>
    </row>
    <row r="11" spans="1:17" x14ac:dyDescent="0.45">
      <c r="A11" s="38" t="s">
        <v>204</v>
      </c>
      <c r="B11" s="120">
        <f>IF(B8=0,0,C11/B8)</f>
        <v>-2.9161290322580649</v>
      </c>
      <c r="C11" s="121">
        <v>-90.4</v>
      </c>
      <c r="E11" s="44" t="s">
        <v>65</v>
      </c>
      <c r="F11" s="41" t="s">
        <v>21</v>
      </c>
      <c r="G11" s="34">
        <v>20</v>
      </c>
      <c r="H11" s="107">
        <f>IF(B$51=0,0,G11/B$51)</f>
        <v>8.2987551867219914E-2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5">
      <c r="A12" s="38" t="s">
        <v>205</v>
      </c>
      <c r="B12" s="120">
        <f>IF(B9=0,0,C12/B9)</f>
        <v>-41.293181818181822</v>
      </c>
      <c r="C12" s="121">
        <v>-1816.9</v>
      </c>
      <c r="E12" s="44" t="s">
        <v>71</v>
      </c>
      <c r="F12" s="41" t="s">
        <v>26</v>
      </c>
      <c r="G12" s="34">
        <v>13</v>
      </c>
      <c r="H12" s="107">
        <f>IF(B$51=0,0,G12/B$51)</f>
        <v>5.3941908713692949E-2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-3.6666666666666665</v>
      </c>
      <c r="P12" s="94">
        <v>27</v>
      </c>
      <c r="Q12" s="82">
        <v>-99</v>
      </c>
    </row>
    <row r="13" spans="1:17" x14ac:dyDescent="0.45">
      <c r="A13" s="38" t="s">
        <v>206</v>
      </c>
      <c r="B13" s="135">
        <f>AVERAGE(B10:B12)</f>
        <v>-2.5708813945910713</v>
      </c>
      <c r="C13" s="136"/>
      <c r="E13" s="44" t="s">
        <v>86</v>
      </c>
      <c r="F13" s="41" t="s">
        <v>41</v>
      </c>
      <c r="G13" s="34">
        <v>13</v>
      </c>
      <c r="H13" s="107">
        <f>IF(B$51=0,0,G13/B$51)</f>
        <v>5.3941908713692949E-2</v>
      </c>
      <c r="I13" s="68">
        <v>11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19</v>
      </c>
      <c r="C14" s="32">
        <f t="shared" si="1"/>
        <v>0.18095238095238095</v>
      </c>
      <c r="E14" s="44" t="s">
        <v>78</v>
      </c>
      <c r="F14" s="41" t="s">
        <v>33</v>
      </c>
      <c r="G14" s="34">
        <v>9</v>
      </c>
      <c r="H14" s="107">
        <f>IF(B$51=0,0,G14/B$51)</f>
        <v>3.7344398340248962E-2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213</v>
      </c>
      <c r="C15" s="11">
        <f>IF(B$50=0,0,B15/B$50)</f>
        <v>0.23278688524590163</v>
      </c>
      <c r="E15" s="44" t="s">
        <v>83</v>
      </c>
      <c r="F15" s="41" t="s">
        <v>38</v>
      </c>
      <c r="G15" s="34">
        <v>7</v>
      </c>
      <c r="H15" s="107">
        <f>IF(B$51=0,0,G15/B$51)</f>
        <v>2.9045643153526972E-2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62.577777777777783</v>
      </c>
      <c r="P15" s="92">
        <v>9</v>
      </c>
      <c r="Q15" s="80">
        <v>563.20000000000005</v>
      </c>
    </row>
    <row r="16" spans="1:17" x14ac:dyDescent="0.45">
      <c r="A16" s="37" t="s">
        <v>118</v>
      </c>
      <c r="B16" s="34">
        <v>186</v>
      </c>
      <c r="C16" s="31">
        <f>IF(B$50=0,0,B16/B$50)</f>
        <v>0.20327868852459016</v>
      </c>
      <c r="E16" s="44" t="s">
        <v>79</v>
      </c>
      <c r="F16" s="41" t="s">
        <v>34</v>
      </c>
      <c r="G16" s="34">
        <v>4</v>
      </c>
      <c r="H16" s="107">
        <f>IF(B$51=0,0,G16/B$51)</f>
        <v>1.6597510373443983E-2</v>
      </c>
      <c r="I16" s="68">
        <v>9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120</v>
      </c>
      <c r="C17" s="4">
        <f>IF(B$15=0,0,B17/B$15)</f>
        <v>0.56338028169014087</v>
      </c>
      <c r="E17" s="44" t="s">
        <v>153</v>
      </c>
      <c r="F17" s="41" t="s">
        <v>154</v>
      </c>
      <c r="G17" s="34">
        <v>4</v>
      </c>
      <c r="H17" s="107">
        <f>IF(B$51=0,0,G17/B$51)</f>
        <v>1.6597510373443983E-2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61</v>
      </c>
      <c r="C18" s="4">
        <f>IF(B$16=0,0,B18/B$16)</f>
        <v>0.32795698924731181</v>
      </c>
      <c r="E18" s="44" t="s">
        <v>73</v>
      </c>
      <c r="F18" s="41" t="s">
        <v>28</v>
      </c>
      <c r="G18" s="34">
        <v>3</v>
      </c>
      <c r="H18" s="107">
        <f>IF(B$51=0,0,G18/B$51)</f>
        <v>1.2448132780082987E-2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241</v>
      </c>
      <c r="C19" s="4">
        <f>IF(B$3=0,0,B19/B$3)</f>
        <v>0.26338797814207648</v>
      </c>
      <c r="E19" s="44" t="s">
        <v>81</v>
      </c>
      <c r="F19" s="41" t="s">
        <v>36</v>
      </c>
      <c r="G19" s="34">
        <v>3</v>
      </c>
      <c r="H19" s="107">
        <f>IF(B$51=0,0,G19/B$51)</f>
        <v>1.2448132780082987E-2</v>
      </c>
      <c r="I19" s="68">
        <v>14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5">
      <c r="A20" s="37" t="s">
        <v>13</v>
      </c>
      <c r="B20" s="34">
        <v>175</v>
      </c>
      <c r="C20" s="31">
        <f>IF(B$3=0,0,B20/B$3)</f>
        <v>0.19125683060109289</v>
      </c>
      <c r="E20" s="44" t="s">
        <v>87</v>
      </c>
      <c r="F20" s="41" t="s">
        <v>42</v>
      </c>
      <c r="G20" s="34">
        <v>2</v>
      </c>
      <c r="H20" s="107">
        <f>IF(B$51=0,0,G20/B$51)</f>
        <v>8.2987551867219917E-3</v>
      </c>
      <c r="I20" s="68">
        <v>2</v>
      </c>
      <c r="K20" s="5">
        <v>18</v>
      </c>
      <c r="L20" s="73">
        <v>-342.69999999999993</v>
      </c>
      <c r="N20" s="89" t="s">
        <v>193</v>
      </c>
      <c r="O20" s="99">
        <f>IF(P20=0,0,Q20/P20)</f>
        <v>-7.2846153846153836</v>
      </c>
      <c r="P20" s="93">
        <v>26</v>
      </c>
      <c r="Q20" s="81">
        <v>-189.39999999999998</v>
      </c>
    </row>
    <row r="21" spans="1:17" x14ac:dyDescent="0.45">
      <c r="A21" s="37" t="s">
        <v>12</v>
      </c>
      <c r="B21" s="34">
        <v>126</v>
      </c>
      <c r="C21" s="31">
        <f>IF(B$19=0,0,B21/B$19)</f>
        <v>0.52282157676348551</v>
      </c>
      <c r="E21" s="44" t="s">
        <v>91</v>
      </c>
      <c r="F21" s="41" t="s">
        <v>46</v>
      </c>
      <c r="G21" s="34">
        <v>2</v>
      </c>
      <c r="H21" s="107">
        <f>IF(B$51=0,0,G21/B$51)</f>
        <v>8.2987551867219917E-3</v>
      </c>
      <c r="I21" s="68">
        <v>13</v>
      </c>
      <c r="K21" s="5">
        <v>19</v>
      </c>
      <c r="L21" s="73">
        <v>-371.19999999999993</v>
      </c>
      <c r="N21" s="89" t="s">
        <v>190</v>
      </c>
      <c r="O21" s="99">
        <f>IF(P21=0,0,Q21/P21)</f>
        <v>-8.3615384615384585</v>
      </c>
      <c r="P21" s="93">
        <v>39</v>
      </c>
      <c r="Q21" s="81">
        <v>-326.09999999999991</v>
      </c>
    </row>
    <row r="22" spans="1:17" x14ac:dyDescent="0.45">
      <c r="A22" s="37" t="s">
        <v>11</v>
      </c>
      <c r="B22" s="34">
        <v>115</v>
      </c>
      <c r="C22" s="31">
        <f>IF(B$19=0,0,B22/B$19)</f>
        <v>0.47717842323651455</v>
      </c>
      <c r="E22" s="44" t="s">
        <v>75</v>
      </c>
      <c r="F22" s="41" t="s">
        <v>30</v>
      </c>
      <c r="G22" s="34">
        <v>1</v>
      </c>
      <c r="H22" s="107">
        <f>IF(B$51=0,0,G22/B$51)</f>
        <v>4.1493775933609959E-3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-13.45</v>
      </c>
      <c r="P22" s="93">
        <v>34</v>
      </c>
      <c r="Q22" s="81">
        <v>-457.29999999999995</v>
      </c>
    </row>
    <row r="23" spans="1:17" x14ac:dyDescent="0.45">
      <c r="A23" s="37" t="s">
        <v>180</v>
      </c>
      <c r="B23" s="34">
        <v>120</v>
      </c>
      <c r="C23" s="31">
        <f>IF(B$19=0,0,B23/B$19)</f>
        <v>0.49792531120331951</v>
      </c>
      <c r="E23" s="44" t="s">
        <v>85</v>
      </c>
      <c r="F23" s="41" t="s">
        <v>40</v>
      </c>
      <c r="G23" s="34">
        <v>1</v>
      </c>
      <c r="H23" s="107">
        <f>IF(B$51=0,0,G23/B$51)</f>
        <v>4.1493775933609959E-3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5">
      <c r="A24" s="37" t="s">
        <v>178</v>
      </c>
      <c r="B24" s="34">
        <v>61</v>
      </c>
      <c r="C24" s="31">
        <f>IF(B$19=0,0,B24/B$19)</f>
        <v>0.25311203319502074</v>
      </c>
      <c r="E24" s="44" t="s">
        <v>106</v>
      </c>
      <c r="F24" s="41" t="s">
        <v>113</v>
      </c>
      <c r="G24" s="34">
        <v>1</v>
      </c>
      <c r="H24" s="107">
        <f>IF(B$51=0,0,G24/B$51)</f>
        <v>4.1493775933609959E-3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60</v>
      </c>
      <c r="C25" s="31">
        <f>IF(B$19=0,0,B25/B$19)</f>
        <v>0.24896265560165975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7862.2406639004148</v>
      </c>
      <c r="C26" s="8">
        <v>1894800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8601.6666666666661</v>
      </c>
      <c r="C27" s="115">
        <v>1548300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-7982.2857142857147</v>
      </c>
      <c r="C29" s="115">
        <v>-1396900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41">
        <v>7</v>
      </c>
      <c r="C32" s="142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39">
        <v>113300</v>
      </c>
      <c r="C33" s="140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3</v>
      </c>
      <c r="C34" s="32">
        <f>IF(B$3=0,0,B34/B$3)</f>
        <v>3.2786885245901639E-3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3">
        <v>28</v>
      </c>
      <c r="C36" s="119">
        <f>IF(B$19=0,0,B36/B$19)</f>
        <v>0.11618257261410789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46</v>
      </c>
      <c r="C37" s="31">
        <f t="shared" ref="C37:C48" si="2">IF(B$19=0,0,B37/B$19)</f>
        <v>0.1908713692946058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6">
        <v>43</v>
      </c>
      <c r="C38" s="31">
        <f>IF(B$19=0,0,B38/B$19)</f>
        <v>0.17842323651452283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6">
        <v>39</v>
      </c>
      <c r="C39" s="31">
        <f t="shared" si="2"/>
        <v>0.16182572614107885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6">
        <v>37</v>
      </c>
      <c r="C40" s="31">
        <f t="shared" si="2"/>
        <v>0.15352697095435686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6">
        <v>24</v>
      </c>
      <c r="C41" s="31">
        <f t="shared" si="2"/>
        <v>9.9585062240663894E-2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6">
        <v>10</v>
      </c>
      <c r="C42" s="31">
        <f t="shared" si="2"/>
        <v>4.1493775933609957E-2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6">
        <v>7</v>
      </c>
      <c r="C43" s="31">
        <f t="shared" si="2"/>
        <v>2.9045643153526972E-2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7" t="s">
        <v>172</v>
      </c>
      <c r="B44" s="126">
        <v>3</v>
      </c>
      <c r="C44" s="31">
        <f t="shared" si="2"/>
        <v>1.2448132780082987E-2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6">
        <v>2</v>
      </c>
      <c r="C45" s="31">
        <f t="shared" si="2"/>
        <v>8.2987551867219917E-3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6">
        <v>1</v>
      </c>
      <c r="C46" s="31">
        <f t="shared" si="2"/>
        <v>4.1493775933609959E-3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2">
        <v>1</v>
      </c>
      <c r="C48" s="32">
        <f t="shared" si="2"/>
        <v>4.1493775933609959E-3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29">
        <v>915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37">
        <v>241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DDEA-2F48-4825-B518-C75013C2F788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199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28</v>
      </c>
      <c r="C2" s="130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1">
        <v>253</v>
      </c>
      <c r="C3" s="132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3">
        <v>-22.000000000000028</v>
      </c>
      <c r="C4" s="134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5">
        <f>IF(B$2=0,0,B$4/B$2)</f>
        <v>-0.7857142857142867</v>
      </c>
      <c r="C5" s="136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9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43">
        <f>IF(B$2=0,0,(B$7*1+B$8*2+B$9*3)/B$2)</f>
        <v>1.9285714285714286</v>
      </c>
      <c r="C6" s="144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7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5">
        <f>AVERAGE(B10:B12)</f>
        <v>-4.0783333333333331</v>
      </c>
      <c r="C13" s="136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4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106300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253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80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78E6-B1F6-4978-8EA2-DB7FF6629F29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200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</v>
      </c>
      <c r="C2" s="130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1">
        <v>13</v>
      </c>
      <c r="C3" s="132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3">
        <v>13.3</v>
      </c>
      <c r="C4" s="134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5">
        <f>IF(B$2=0,0,B$4/B$2)</f>
        <v>13.3</v>
      </c>
      <c r="C5" s="136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43">
        <f>IF(B$2=0,0,(B$7*1+B$8*2+B$9*3)/B$2)</f>
        <v>2</v>
      </c>
      <c r="C6" s="144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4.4333333333333336</v>
      </c>
      <c r="C13" s="136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48300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13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2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AD5AE-CDDF-4F5C-84F5-0D2E503C5EDA}">
  <sheetPr codeName="Sheet19"/>
  <dimension ref="A1:Q8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197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84</v>
      </c>
      <c r="C2" s="130"/>
      <c r="E2" s="43" t="s">
        <v>66</v>
      </c>
      <c r="F2" s="25" t="s">
        <v>22</v>
      </c>
      <c r="G2" s="13">
        <v>114</v>
      </c>
      <c r="H2" s="106">
        <f>IF(B$51=0,0,G2/B$51)</f>
        <v>0.66279069767441856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-3746.4285714285716</v>
      </c>
      <c r="P2" s="92">
        <v>84</v>
      </c>
      <c r="Q2" s="76">
        <v>-314700</v>
      </c>
    </row>
    <row r="3" spans="1:17" x14ac:dyDescent="0.45">
      <c r="A3" s="37" t="s">
        <v>8</v>
      </c>
      <c r="B3" s="131">
        <v>704</v>
      </c>
      <c r="C3" s="132"/>
      <c r="E3" s="44" t="s">
        <v>72</v>
      </c>
      <c r="F3" s="41" t="s">
        <v>27</v>
      </c>
      <c r="G3" s="34">
        <v>109</v>
      </c>
      <c r="H3" s="107">
        <f>IF(B$51=0,0,G3/B$51)</f>
        <v>0.63372093023255816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810.84337349397595</v>
      </c>
      <c r="P3" s="93">
        <v>83</v>
      </c>
      <c r="Q3" s="77">
        <v>67300</v>
      </c>
    </row>
    <row r="4" spans="1:17" x14ac:dyDescent="0.45">
      <c r="A4" s="37" t="s">
        <v>6</v>
      </c>
      <c r="B4" s="133">
        <v>-1152.0000000000002</v>
      </c>
      <c r="C4" s="134"/>
      <c r="E4" s="44" t="s">
        <v>64</v>
      </c>
      <c r="F4" s="41" t="s">
        <v>20</v>
      </c>
      <c r="G4" s="34">
        <v>74</v>
      </c>
      <c r="H4" s="107">
        <f>IF(B$51=0,0,G4/B$51)</f>
        <v>0.43023255813953487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-1216.6666666666667</v>
      </c>
      <c r="P4" s="93">
        <v>78</v>
      </c>
      <c r="Q4" s="77">
        <v>-94900</v>
      </c>
    </row>
    <row r="5" spans="1:17" x14ac:dyDescent="0.45">
      <c r="A5" s="37" t="s">
        <v>7</v>
      </c>
      <c r="B5" s="135">
        <f>IF(B$2=0,0,B$4/B$2)</f>
        <v>-13.714285714285717</v>
      </c>
      <c r="C5" s="136"/>
      <c r="E5" s="44" t="s">
        <v>157</v>
      </c>
      <c r="F5" s="41" t="s">
        <v>158</v>
      </c>
      <c r="G5" s="34">
        <v>63</v>
      </c>
      <c r="H5" s="107">
        <f>IF(B$51=0,0,G5/B$51)</f>
        <v>0.36627906976744184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-1249.2957746478874</v>
      </c>
      <c r="P5" s="93">
        <v>71</v>
      </c>
      <c r="Q5" s="77">
        <v>-88700</v>
      </c>
    </row>
    <row r="6" spans="1:17" x14ac:dyDescent="0.45">
      <c r="A6" s="37" t="s">
        <v>1</v>
      </c>
      <c r="B6" s="143">
        <f>IF(B$2=0,0,(B$7*1+B$8*2+B$9*3)/B$2)</f>
        <v>2.3333333333333335</v>
      </c>
      <c r="C6" s="144"/>
      <c r="E6" s="44" t="s">
        <v>68</v>
      </c>
      <c r="F6" s="41" t="s">
        <v>12</v>
      </c>
      <c r="G6" s="34">
        <v>48</v>
      </c>
      <c r="H6" s="107">
        <f>IF(B$51=0,0,G6/B$51)</f>
        <v>0.27906976744186046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-1692.4242424242425</v>
      </c>
      <c r="P6" s="93">
        <v>66</v>
      </c>
      <c r="Q6" s="77">
        <v>-111700</v>
      </c>
    </row>
    <row r="7" spans="1:17" x14ac:dyDescent="0.45">
      <c r="A7" s="37" t="s">
        <v>2</v>
      </c>
      <c r="B7" s="34">
        <v>11</v>
      </c>
      <c r="C7" s="31">
        <f t="shared" ref="C7:C14" si="1">IF(B$2=0,0,B7/B$2)</f>
        <v>0.13095238095238096</v>
      </c>
      <c r="E7" s="44" t="s">
        <v>67</v>
      </c>
      <c r="F7" s="41" t="s">
        <v>23</v>
      </c>
      <c r="G7" s="34">
        <v>41</v>
      </c>
      <c r="H7" s="107">
        <f>IF(B$51=0,0,G7/B$51)</f>
        <v>0.23837209302325582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-2650.9433962264152</v>
      </c>
      <c r="P7" s="94">
        <v>53</v>
      </c>
      <c r="Q7" s="78">
        <v>-140500</v>
      </c>
    </row>
    <row r="8" spans="1:17" x14ac:dyDescent="0.45">
      <c r="A8" s="37" t="s">
        <v>3</v>
      </c>
      <c r="B8" s="34">
        <v>34</v>
      </c>
      <c r="C8" s="31">
        <f t="shared" si="1"/>
        <v>0.40476190476190477</v>
      </c>
      <c r="E8" s="44" t="s">
        <v>89</v>
      </c>
      <c r="F8" s="41" t="s">
        <v>44</v>
      </c>
      <c r="G8" s="34">
        <v>26</v>
      </c>
      <c r="H8" s="107">
        <f>IF(B$51=0,0,G8/B$51)</f>
        <v>0.15116279069767441</v>
      </c>
      <c r="I8" s="68">
        <v>6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39</v>
      </c>
      <c r="C9" s="7">
        <f t="shared" si="1"/>
        <v>0.4642857142857143</v>
      </c>
      <c r="E9" s="44" t="s">
        <v>65</v>
      </c>
      <c r="F9" s="41" t="s">
        <v>21</v>
      </c>
      <c r="G9" s="34">
        <v>18</v>
      </c>
      <c r="H9" s="107">
        <f>IF(B$51=0,0,G9/B$51)</f>
        <v>0.10465116279069768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35.145454545454541</v>
      </c>
      <c r="C10" s="121">
        <v>386.59999999999997</v>
      </c>
      <c r="E10" s="44" t="s">
        <v>69</v>
      </c>
      <c r="F10" s="41" t="s">
        <v>24</v>
      </c>
      <c r="G10" s="34">
        <v>15</v>
      </c>
      <c r="H10" s="107">
        <f>IF(B$51=0,0,G10/B$51)</f>
        <v>8.7209302325581398E-2</v>
      </c>
      <c r="I10" s="68">
        <v>18</v>
      </c>
      <c r="K10" s="5">
        <v>8</v>
      </c>
      <c r="L10" s="73">
        <v>-289.8</v>
      </c>
      <c r="N10" s="88" t="s">
        <v>149</v>
      </c>
      <c r="O10" s="98">
        <f>IF(P10=0,0,Q10/P10)</f>
        <v>-22.697222222222223</v>
      </c>
      <c r="P10" s="92">
        <v>36</v>
      </c>
      <c r="Q10" s="80">
        <v>-817.1</v>
      </c>
    </row>
    <row r="11" spans="1:17" x14ac:dyDescent="0.45">
      <c r="A11" s="38" t="s">
        <v>204</v>
      </c>
      <c r="B11" s="120">
        <f>IF(B8=0,0,C11/B8)</f>
        <v>-0.6617647058823527</v>
      </c>
      <c r="C11" s="121">
        <v>-22.499999999999993</v>
      </c>
      <c r="E11" s="44" t="s">
        <v>70</v>
      </c>
      <c r="F11" s="41" t="s">
        <v>25</v>
      </c>
      <c r="G11" s="34">
        <v>14</v>
      </c>
      <c r="H11" s="107">
        <f>IF(B$51=0,0,G11/B$51)</f>
        <v>8.1395348837209308E-2</v>
      </c>
      <c r="I11" s="68">
        <v>12</v>
      </c>
      <c r="K11" s="5">
        <v>9</v>
      </c>
      <c r="L11" s="73">
        <v>-292.60000000000002</v>
      </c>
      <c r="N11" s="89" t="s">
        <v>150</v>
      </c>
      <c r="O11" s="99">
        <f>IF(P11=0,0,Q11/P11)</f>
        <v>-4.0479999999999992</v>
      </c>
      <c r="P11" s="93">
        <v>25</v>
      </c>
      <c r="Q11" s="81">
        <v>-101.19999999999997</v>
      </c>
    </row>
    <row r="12" spans="1:17" x14ac:dyDescent="0.45">
      <c r="A12" s="38" t="s">
        <v>205</v>
      </c>
      <c r="B12" s="120">
        <f>IF(B9=0,0,C12/B9)</f>
        <v>-38.874358974358977</v>
      </c>
      <c r="C12" s="121">
        <v>-1516.1000000000001</v>
      </c>
      <c r="E12" s="44" t="s">
        <v>71</v>
      </c>
      <c r="F12" s="41" t="s">
        <v>26</v>
      </c>
      <c r="G12" s="34">
        <v>13</v>
      </c>
      <c r="H12" s="107">
        <f>IF(B$51=0,0,G12/B$51)</f>
        <v>7.5581395348837205E-2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-10.160869565217393</v>
      </c>
      <c r="P12" s="94">
        <v>23</v>
      </c>
      <c r="Q12" s="82">
        <v>-233.70000000000002</v>
      </c>
    </row>
    <row r="13" spans="1:17" x14ac:dyDescent="0.45">
      <c r="A13" s="38" t="s">
        <v>206</v>
      </c>
      <c r="B13" s="135">
        <f>AVERAGE(B10:B12)</f>
        <v>-1.4635563782622636</v>
      </c>
      <c r="C13" s="136"/>
      <c r="E13" s="44" t="s">
        <v>86</v>
      </c>
      <c r="F13" s="41" t="s">
        <v>41</v>
      </c>
      <c r="G13" s="34">
        <v>11</v>
      </c>
      <c r="H13" s="107">
        <f>IF(B$51=0,0,G13/B$51)</f>
        <v>6.3953488372093026E-2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0.16666666666666666</v>
      </c>
      <c r="E14" s="44" t="s">
        <v>81</v>
      </c>
      <c r="F14" s="41" t="s">
        <v>36</v>
      </c>
      <c r="G14" s="34">
        <v>10</v>
      </c>
      <c r="H14" s="107">
        <f>IF(B$51=0,0,G14/B$51)</f>
        <v>5.8139534883720929E-2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144</v>
      </c>
      <c r="C15" s="11">
        <f>IF(B$50=0,0,B15/B$50)</f>
        <v>0.20454545454545456</v>
      </c>
      <c r="E15" s="44" t="s">
        <v>83</v>
      </c>
      <c r="F15" s="41" t="s">
        <v>38</v>
      </c>
      <c r="G15" s="34">
        <v>9</v>
      </c>
      <c r="H15" s="107">
        <f>IF(B$51=0,0,G15/B$51)</f>
        <v>5.232558139534884E-2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11.63478260869565</v>
      </c>
      <c r="P15" s="92">
        <v>23</v>
      </c>
      <c r="Q15" s="80">
        <v>267.59999999999997</v>
      </c>
    </row>
    <row r="16" spans="1:17" x14ac:dyDescent="0.45">
      <c r="A16" s="37" t="s">
        <v>118</v>
      </c>
      <c r="B16" s="34">
        <v>167</v>
      </c>
      <c r="C16" s="31">
        <f>IF(B$50=0,0,B16/B$50)</f>
        <v>0.23721590909090909</v>
      </c>
      <c r="E16" s="44" t="s">
        <v>91</v>
      </c>
      <c r="F16" s="41" t="s">
        <v>46</v>
      </c>
      <c r="G16" s="34">
        <v>5</v>
      </c>
      <c r="H16" s="107">
        <f>IF(B$51=0,0,G16/B$51)</f>
        <v>2.9069767441860465E-2</v>
      </c>
      <c r="I16" s="68">
        <v>3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5">
      <c r="A17" s="19" t="s">
        <v>123</v>
      </c>
      <c r="B17" s="13">
        <v>77</v>
      </c>
      <c r="C17" s="4">
        <f>IF(B$15=0,0,B17/B$15)</f>
        <v>0.53472222222222221</v>
      </c>
      <c r="E17" s="44" t="s">
        <v>78</v>
      </c>
      <c r="F17" s="41" t="s">
        <v>33</v>
      </c>
      <c r="G17" s="34">
        <v>4</v>
      </c>
      <c r="H17" s="107">
        <f>IF(B$51=0,0,G17/B$51)</f>
        <v>2.3255813953488372E-2</v>
      </c>
      <c r="I17" s="68">
        <v>11</v>
      </c>
      <c r="K17" s="5">
        <v>15</v>
      </c>
      <c r="L17" s="73">
        <v>-452.20000000000005</v>
      </c>
      <c r="N17" s="89" t="s">
        <v>189</v>
      </c>
      <c r="O17" s="99">
        <f>IF(P17=0,0,Q17/P17)</f>
        <v>-12.000000000000002</v>
      </c>
      <c r="P17" s="93">
        <v>1</v>
      </c>
      <c r="Q17" s="81">
        <v>-12.000000000000002</v>
      </c>
    </row>
    <row r="18" spans="1:17" x14ac:dyDescent="0.45">
      <c r="A18" s="19" t="s">
        <v>124</v>
      </c>
      <c r="B18" s="13">
        <v>63</v>
      </c>
      <c r="C18" s="4">
        <f>IF(B$16=0,0,B18/B$16)</f>
        <v>0.3772455089820359</v>
      </c>
      <c r="E18" s="44" t="s">
        <v>73</v>
      </c>
      <c r="F18" s="41" t="s">
        <v>28</v>
      </c>
      <c r="G18" s="34">
        <v>1</v>
      </c>
      <c r="H18" s="107">
        <f>IF(B$51=0,0,G18/B$51)</f>
        <v>5.8139534883720929E-3</v>
      </c>
      <c r="I18" s="68">
        <v>6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5">
      <c r="A19" s="19" t="s">
        <v>10</v>
      </c>
      <c r="B19" s="13">
        <v>172</v>
      </c>
      <c r="C19" s="4">
        <f>IF(B$3=0,0,B19/B$3)</f>
        <v>0.24431818181818182</v>
      </c>
      <c r="E19" s="44" t="s">
        <v>74</v>
      </c>
      <c r="F19" s="41" t="s">
        <v>29</v>
      </c>
      <c r="G19" s="34">
        <v>1</v>
      </c>
      <c r="H19" s="107">
        <f>IF(B$51=0,0,G19/B$51)</f>
        <v>5.8139534883720929E-3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5">
      <c r="A20" s="37" t="s">
        <v>13</v>
      </c>
      <c r="B20" s="34">
        <v>136</v>
      </c>
      <c r="C20" s="31">
        <f>IF(B$3=0,0,B20/B$3)</f>
        <v>0.19318181818181818</v>
      </c>
      <c r="E20" s="44" t="s">
        <v>79</v>
      </c>
      <c r="F20" s="41" t="s">
        <v>34</v>
      </c>
      <c r="G20" s="34">
        <v>1</v>
      </c>
      <c r="H20" s="107">
        <f>IF(B$51=0,0,G20/B$51)</f>
        <v>5.8139534883720929E-3</v>
      </c>
      <c r="I20" s="68">
        <v>14</v>
      </c>
      <c r="K20" s="5">
        <v>18</v>
      </c>
      <c r="L20" s="73">
        <v>-443.20000000000005</v>
      </c>
      <c r="N20" s="89" t="s">
        <v>193</v>
      </c>
      <c r="O20" s="99">
        <f>IF(P20=0,0,Q20/P20)</f>
        <v>-20.954166666666666</v>
      </c>
      <c r="P20" s="93">
        <v>24</v>
      </c>
      <c r="Q20" s="81">
        <v>-502.9</v>
      </c>
    </row>
    <row r="21" spans="1:17" x14ac:dyDescent="0.45">
      <c r="A21" s="37" t="s">
        <v>12</v>
      </c>
      <c r="B21" s="34">
        <v>78</v>
      </c>
      <c r="C21" s="31">
        <f>IF(B$19=0,0,B21/B$19)</f>
        <v>0.45348837209302323</v>
      </c>
      <c r="E21" s="44" t="s">
        <v>92</v>
      </c>
      <c r="F21" s="41" t="s">
        <v>47</v>
      </c>
      <c r="G21" s="34">
        <v>1</v>
      </c>
      <c r="H21" s="107">
        <f>IF(B$51=0,0,G21/B$51)</f>
        <v>5.8139534883720929E-3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-21.183333333333334</v>
      </c>
      <c r="P21" s="93">
        <v>6</v>
      </c>
      <c r="Q21" s="81">
        <v>-127.1</v>
      </c>
    </row>
    <row r="22" spans="1:17" x14ac:dyDescent="0.45">
      <c r="A22" s="37" t="s">
        <v>11</v>
      </c>
      <c r="B22" s="34">
        <v>94</v>
      </c>
      <c r="C22" s="31">
        <f>IF(B$19=0,0,B22/B$19)</f>
        <v>0.54651162790697672</v>
      </c>
      <c r="E22" s="44" t="s">
        <v>95</v>
      </c>
      <c r="F22" s="41" t="s">
        <v>50</v>
      </c>
      <c r="G22" s="34">
        <v>1</v>
      </c>
      <c r="H22" s="107">
        <f>IF(B$51=0,0,G22/B$51)</f>
        <v>5.8139534883720929E-3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-24.106060606060606</v>
      </c>
      <c r="P22" s="93">
        <v>33</v>
      </c>
      <c r="Q22" s="81">
        <v>-795.5</v>
      </c>
    </row>
    <row r="23" spans="1:17" x14ac:dyDescent="0.45">
      <c r="A23" s="37" t="s">
        <v>180</v>
      </c>
      <c r="B23" s="34">
        <v>77</v>
      </c>
      <c r="C23" s="31">
        <f>IF(B$19=0,0,B23/B$19)</f>
        <v>0.44767441860465118</v>
      </c>
      <c r="E23" s="44" t="s">
        <v>153</v>
      </c>
      <c r="F23" s="41" t="s">
        <v>154</v>
      </c>
      <c r="G23" s="34">
        <v>1</v>
      </c>
      <c r="H23" s="107">
        <f>IF(B$51=0,0,G23/B$51)</f>
        <v>5.8139534883720929E-3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-28.930769230769247</v>
      </c>
      <c r="P23" s="93">
        <v>26</v>
      </c>
      <c r="Q23" s="81">
        <v>-752.20000000000039</v>
      </c>
    </row>
    <row r="24" spans="1:17" x14ac:dyDescent="0.45">
      <c r="A24" s="37" t="s">
        <v>178</v>
      </c>
      <c r="B24" s="34">
        <v>63</v>
      </c>
      <c r="C24" s="31">
        <f>IF(B$19=0,0,B24/B$19)</f>
        <v>0.36627906976744184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32</v>
      </c>
      <c r="C25" s="31">
        <f>IF(B$19=0,0,B25/B$19)</f>
        <v>0.18604651162790697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-62.577777777777783</v>
      </c>
      <c r="P25" s="93">
        <v>9</v>
      </c>
      <c r="Q25" s="81">
        <v>-563.20000000000005</v>
      </c>
    </row>
    <row r="26" spans="1:17" x14ac:dyDescent="0.45">
      <c r="A26" s="37" t="s">
        <v>5</v>
      </c>
      <c r="B26" s="17">
        <f>IF(B$19=0,0,C26/B$19)</f>
        <v>8329.0697674418607</v>
      </c>
      <c r="C26" s="8">
        <v>1432600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8998.1651376146783</v>
      </c>
      <c r="C27" s="115">
        <v>980800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7171.4285714285716</v>
      </c>
      <c r="C28" s="115">
        <v>451800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-8033.088235294118</v>
      </c>
      <c r="C29" s="115">
        <v>-1092500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41">
        <v>6</v>
      </c>
      <c r="C32" s="142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39">
        <v>85100</v>
      </c>
      <c r="C33" s="140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5.681818181818182E-3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3">
        <v>15</v>
      </c>
      <c r="C36" s="119">
        <f>IF(B$19=0,0,B36/B$19)</f>
        <v>8.7209302325581398E-2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31</v>
      </c>
      <c r="C37" s="31">
        <f t="shared" ref="C37:C48" si="2">IF(B$19=0,0,B37/B$19)</f>
        <v>0.18023255813953487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6">
        <v>34</v>
      </c>
      <c r="C38" s="31">
        <f>IF(B$19=0,0,B38/B$19)</f>
        <v>0.19767441860465115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6">
        <v>30</v>
      </c>
      <c r="C39" s="31">
        <f t="shared" si="2"/>
        <v>0.1744186046511628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6">
        <v>25</v>
      </c>
      <c r="C40" s="31">
        <f t="shared" si="2"/>
        <v>0.14534883720930233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6">
        <v>15</v>
      </c>
      <c r="C41" s="31">
        <f t="shared" si="2"/>
        <v>8.7209302325581398E-2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6">
        <v>10</v>
      </c>
      <c r="C42" s="31">
        <f t="shared" si="2"/>
        <v>5.8139534883720929E-2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6">
        <v>7</v>
      </c>
      <c r="C43" s="31">
        <f t="shared" si="2"/>
        <v>4.0697674418604654E-2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6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6">
        <v>1</v>
      </c>
      <c r="C45" s="31">
        <f t="shared" si="2"/>
        <v>5.8139534883720929E-3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6">
        <v>2</v>
      </c>
      <c r="C46" s="31">
        <f t="shared" si="2"/>
        <v>1.1627906976744186E-2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6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2">
        <v>2</v>
      </c>
      <c r="C48" s="32">
        <f t="shared" si="2"/>
        <v>1.1627906976744186E-2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29">
        <v>704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37">
        <v>172</v>
      </c>
      <c r="C51" s="13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9D77C-BEE8-4390-9F5C-61DBFED12D1D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198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</v>
      </c>
      <c r="C2" s="130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1">
        <v>32</v>
      </c>
      <c r="C3" s="132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3">
        <v>-56.2</v>
      </c>
      <c r="C4" s="134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5">
        <f>IF(B$2=0,0,B$4/B$2)</f>
        <v>-14.05</v>
      </c>
      <c r="C5" s="136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43">
        <f>IF(B$2=0,0,(B$7*1+B$8*2+B$9*3)/B$2)</f>
        <v>2.25</v>
      </c>
      <c r="C6" s="144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5">
        <f>AVERAGE(B10:B12)</f>
        <v>-2.9833333333333321</v>
      </c>
      <c r="C13" s="136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1">
        <v>2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55200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10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08E1-4E33-493C-B757-5716FFFC8A3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202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10</v>
      </c>
      <c r="C2" s="130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31">
        <v>78</v>
      </c>
      <c r="C3" s="132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33">
        <v>9.2999999999999972</v>
      </c>
      <c r="C4" s="134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5">
        <f>IF(B$2=0,0,B$4/B$2)</f>
        <v>0.92999999999999972</v>
      </c>
      <c r="C5" s="136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43">
        <f>IF(B$2=0,0,(B$7*1+B$8*2+B$9*3)/B$2)</f>
        <v>2</v>
      </c>
      <c r="C6" s="144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5">
        <f>AVERAGE(B10:B12)</f>
        <v>0.61999999999999977</v>
      </c>
      <c r="C13" s="136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5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70900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78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26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61D1-789B-4507-828B-965098872292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7" t="s">
        <v>201</v>
      </c>
      <c r="C1" s="128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31">
        <v>40</v>
      </c>
      <c r="C3" s="132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3">
        <v>-80.800000000000011</v>
      </c>
      <c r="C4" s="134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5">
        <f>IF(B$2=0,0,B$4/B$2)</f>
        <v>-16.160000000000004</v>
      </c>
      <c r="C5" s="136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43">
        <f>IF(B$2=0,0,(B$7*1+B$8*2+B$9*3)/B$2)</f>
        <v>2.2000000000000002</v>
      </c>
      <c r="C6" s="144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5">
        <f>AVERAGE(B10:B12)</f>
        <v>-8.9666666666666668</v>
      </c>
      <c r="C13" s="136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1">
        <v>4</v>
      </c>
      <c r="C32" s="142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9">
        <v>52000</v>
      </c>
      <c r="C33" s="140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3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6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6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6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6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6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6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6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6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6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6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2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40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7">
        <v>8</v>
      </c>
      <c r="C51" s="13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2020-02-14T15:39:30Z</dcterms:modified>
</cp:coreProperties>
</file>