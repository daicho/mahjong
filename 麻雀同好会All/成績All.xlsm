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018B6F97-D9AD-47A7-8065-5E31EC97984C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473" r:id="rId4"/>
    <sheet name="だいち" sheetId="3474" r:id="rId5"/>
    <sheet name="かこたろう" sheetId="3475" r:id="rId6"/>
    <sheet name="ともき" sheetId="3476" r:id="rId7"/>
    <sheet name="りくと" sheetId="3477" r:id="rId8"/>
    <sheet name="いっしー" sheetId="3478" r:id="rId9"/>
    <sheet name="がくと" sheetId="3479" r:id="rId10"/>
    <sheet name="たかの" sheetId="3480" r:id="rId11"/>
    <sheet name="ただ" sheetId="3481" r:id="rId12"/>
    <sheet name="やがさき" sheetId="3482" r:id="rId13"/>
    <sheet name="れんたろう" sheetId="3483" r:id="rId14"/>
    <sheet name="あさひ" sheetId="3484" r:id="rId15"/>
    <sheet name="まっつん" sheetId="3485" r:id="rId16"/>
    <sheet name="ぱぱ" sheetId="3486" r:id="rId17"/>
    <sheet name="ほたに" sheetId="3487" r:id="rId18"/>
    <sheet name="かわたつ" sheetId="3488" r:id="rId19"/>
    <sheet name="のり" sheetId="3489" r:id="rId20"/>
    <sheet name="ちさと" sheetId="3490" r:id="rId21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3478" l="1"/>
  <c r="O19" i="3489"/>
  <c r="O18" i="3489"/>
  <c r="O17" i="3489"/>
  <c r="O16" i="3489"/>
  <c r="O15" i="3489"/>
  <c r="O19" i="3483"/>
  <c r="O18" i="3477"/>
  <c r="O20" i="3474"/>
  <c r="O24" i="3480"/>
  <c r="O16" i="3490" l="1"/>
  <c r="O15" i="3490"/>
  <c r="H52" i="3490"/>
  <c r="H5" i="3490"/>
  <c r="H51" i="3490"/>
  <c r="H50" i="3490"/>
  <c r="H49" i="3490"/>
  <c r="H48" i="3490"/>
  <c r="H47" i="3490"/>
  <c r="H46" i="3490"/>
  <c r="H45" i="3490"/>
  <c r="C44" i="3490"/>
  <c r="H44" i="3490"/>
  <c r="C43" i="3490"/>
  <c r="H43" i="3490"/>
  <c r="C42" i="3490"/>
  <c r="H42" i="3490"/>
  <c r="C41" i="3490"/>
  <c r="H41" i="3490"/>
  <c r="C40" i="3490"/>
  <c r="H40" i="3490"/>
  <c r="C39" i="3490"/>
  <c r="H39" i="3490"/>
  <c r="C38" i="3490"/>
  <c r="H38" i="3490"/>
  <c r="C37" i="3490"/>
  <c r="H37" i="3490"/>
  <c r="C36" i="3490"/>
  <c r="H36" i="3490"/>
  <c r="C35" i="3490"/>
  <c r="H35" i="3490"/>
  <c r="C34" i="3490"/>
  <c r="H34" i="3490"/>
  <c r="C33" i="3490"/>
  <c r="H33" i="3490"/>
  <c r="C32" i="3490"/>
  <c r="H32" i="3490"/>
  <c r="H31" i="3490"/>
  <c r="C30" i="3490"/>
  <c r="H30" i="3490"/>
  <c r="H29" i="3490"/>
  <c r="H13" i="3490"/>
  <c r="H28" i="3490"/>
  <c r="H27" i="3490"/>
  <c r="B25" i="3490"/>
  <c r="H12" i="3490"/>
  <c r="B24" i="3490"/>
  <c r="H26" i="3490"/>
  <c r="B23" i="3490"/>
  <c r="H25" i="3490"/>
  <c r="B22" i="3490"/>
  <c r="H11" i="3490"/>
  <c r="C21" i="3490"/>
  <c r="H24" i="3490"/>
  <c r="C20" i="3490"/>
  <c r="H10" i="3490"/>
  <c r="C19" i="3490"/>
  <c r="H23" i="3490"/>
  <c r="C18" i="3490"/>
  <c r="H22" i="3490"/>
  <c r="C17" i="3490"/>
  <c r="H21" i="3490"/>
  <c r="C16" i="3490"/>
  <c r="H20" i="3490"/>
  <c r="C15" i="3490"/>
  <c r="H19" i="3490"/>
  <c r="C14" i="3490"/>
  <c r="H18" i="3490"/>
  <c r="C13" i="3490"/>
  <c r="O12" i="3490"/>
  <c r="H17" i="3490"/>
  <c r="C12" i="3490"/>
  <c r="O11" i="3490"/>
  <c r="H16" i="3490"/>
  <c r="C11" i="3490"/>
  <c r="O10" i="3490"/>
  <c r="H2" i="3490"/>
  <c r="C10" i="3490"/>
  <c r="H15" i="3490"/>
  <c r="C9" i="3490"/>
  <c r="H14" i="3490"/>
  <c r="C8" i="3490"/>
  <c r="O7" i="3490"/>
  <c r="H9" i="3490"/>
  <c r="C7" i="3490"/>
  <c r="O6" i="3490"/>
  <c r="H8" i="3490"/>
  <c r="B6" i="3490"/>
  <c r="O5" i="3490"/>
  <c r="H7" i="3490"/>
  <c r="B5" i="3490"/>
  <c r="O4" i="3490"/>
  <c r="H4" i="3490"/>
  <c r="O3" i="3490"/>
  <c r="H6" i="3490"/>
  <c r="O2" i="3490"/>
  <c r="H3" i="3490"/>
  <c r="O23" i="3489"/>
  <c r="O21" i="3489"/>
  <c r="O20" i="3489"/>
  <c r="O22" i="3489"/>
  <c r="H52" i="3489"/>
  <c r="H5" i="3489"/>
  <c r="H51" i="3489"/>
  <c r="H50" i="3489"/>
  <c r="H49" i="3489"/>
  <c r="H48" i="3489"/>
  <c r="H47" i="3489"/>
  <c r="H46" i="3489"/>
  <c r="H45" i="3489"/>
  <c r="C44" i="3489"/>
  <c r="H44" i="3489"/>
  <c r="C43" i="3489"/>
  <c r="H43" i="3489"/>
  <c r="C42" i="3489"/>
  <c r="H42" i="3489"/>
  <c r="C41" i="3489"/>
  <c r="H41" i="3489"/>
  <c r="C40" i="3489"/>
  <c r="H40" i="3489"/>
  <c r="C39" i="3489"/>
  <c r="H39" i="3489"/>
  <c r="C38" i="3489"/>
  <c r="H38" i="3489"/>
  <c r="C37" i="3489"/>
  <c r="H37" i="3489"/>
  <c r="C36" i="3489"/>
  <c r="H36" i="3489"/>
  <c r="C35" i="3489"/>
  <c r="H35" i="3489"/>
  <c r="C34" i="3489"/>
  <c r="H20" i="3489"/>
  <c r="C33" i="3489"/>
  <c r="H34" i="3489"/>
  <c r="C32" i="3489"/>
  <c r="H33" i="3489"/>
  <c r="H19" i="3489"/>
  <c r="C30" i="3489"/>
  <c r="H16" i="3489"/>
  <c r="H32" i="3489"/>
  <c r="H8" i="3489"/>
  <c r="H31" i="3489"/>
  <c r="H30" i="3489"/>
  <c r="B25" i="3489"/>
  <c r="H11" i="3489"/>
  <c r="B24" i="3489"/>
  <c r="H29" i="3489"/>
  <c r="B23" i="3489"/>
  <c r="H28" i="3489"/>
  <c r="B22" i="3489"/>
  <c r="H14" i="3489"/>
  <c r="C21" i="3489"/>
  <c r="H27" i="3489"/>
  <c r="C20" i="3489"/>
  <c r="H17" i="3489"/>
  <c r="C19" i="3489"/>
  <c r="H26" i="3489"/>
  <c r="C18" i="3489"/>
  <c r="H25" i="3489"/>
  <c r="C17" i="3489"/>
  <c r="H15" i="3489"/>
  <c r="C16" i="3489"/>
  <c r="H24" i="3489"/>
  <c r="C15" i="3489"/>
  <c r="H23" i="3489"/>
  <c r="C14" i="3489"/>
  <c r="H22" i="3489"/>
  <c r="C13" i="3489"/>
  <c r="O12" i="3489"/>
  <c r="H18" i="3489"/>
  <c r="C12" i="3489"/>
  <c r="O11" i="3489"/>
  <c r="H21" i="3489"/>
  <c r="C11" i="3489"/>
  <c r="O10" i="3489"/>
  <c r="H3" i="3489"/>
  <c r="C10" i="3489"/>
  <c r="H12" i="3489"/>
  <c r="C9" i="3489"/>
  <c r="H10" i="3489"/>
  <c r="C8" i="3489"/>
  <c r="O7" i="3489"/>
  <c r="H13" i="3489"/>
  <c r="C7" i="3489"/>
  <c r="O6" i="3489"/>
  <c r="H6" i="3489"/>
  <c r="B6" i="3489"/>
  <c r="O5" i="3489"/>
  <c r="H7" i="3489"/>
  <c r="B5" i="3489"/>
  <c r="O4" i="3489"/>
  <c r="H2" i="3489"/>
  <c r="O3" i="3489"/>
  <c r="H9" i="3489"/>
  <c r="O2" i="3489"/>
  <c r="H4" i="3489"/>
  <c r="O16" i="3488"/>
  <c r="O15" i="3488"/>
  <c r="H52" i="3488"/>
  <c r="H7" i="3488"/>
  <c r="H51" i="3488"/>
  <c r="H50" i="3488"/>
  <c r="H49" i="3488"/>
  <c r="H48" i="3488"/>
  <c r="H47" i="3488"/>
  <c r="H46" i="3488"/>
  <c r="H45" i="3488"/>
  <c r="C44" i="3488"/>
  <c r="H44" i="3488"/>
  <c r="C43" i="3488"/>
  <c r="H43" i="3488"/>
  <c r="C42" i="3488"/>
  <c r="H42" i="3488"/>
  <c r="C41" i="3488"/>
  <c r="H41" i="3488"/>
  <c r="C40" i="3488"/>
  <c r="H40" i="3488"/>
  <c r="C39" i="3488"/>
  <c r="H39" i="3488"/>
  <c r="C38" i="3488"/>
  <c r="H38" i="3488"/>
  <c r="C37" i="3488"/>
  <c r="H37" i="3488"/>
  <c r="C36" i="3488"/>
  <c r="H36" i="3488"/>
  <c r="C35" i="3488"/>
  <c r="H35" i="3488"/>
  <c r="C34" i="3488"/>
  <c r="H34" i="3488"/>
  <c r="C33" i="3488"/>
  <c r="H33" i="3488"/>
  <c r="C32" i="3488"/>
  <c r="H32" i="3488"/>
  <c r="H31" i="3488"/>
  <c r="C30" i="3488"/>
  <c r="H30" i="3488"/>
  <c r="H29" i="3488"/>
  <c r="H28" i="3488"/>
  <c r="H27" i="3488"/>
  <c r="H26" i="3488"/>
  <c r="B25" i="3488"/>
  <c r="H25" i="3488"/>
  <c r="B24" i="3488"/>
  <c r="H24" i="3488"/>
  <c r="B23" i="3488"/>
  <c r="H23" i="3488"/>
  <c r="B22" i="3488"/>
  <c r="H22" i="3488"/>
  <c r="C21" i="3488"/>
  <c r="H21" i="3488"/>
  <c r="C20" i="3488"/>
  <c r="H6" i="3488"/>
  <c r="C19" i="3488"/>
  <c r="H20" i="3488"/>
  <c r="C18" i="3488"/>
  <c r="H19" i="3488"/>
  <c r="C17" i="3488"/>
  <c r="H18" i="3488"/>
  <c r="C16" i="3488"/>
  <c r="H17" i="3488"/>
  <c r="C15" i="3488"/>
  <c r="H16" i="3488"/>
  <c r="C14" i="3488"/>
  <c r="H15" i="3488"/>
  <c r="C13" i="3488"/>
  <c r="O12" i="3488"/>
  <c r="H14" i="3488"/>
  <c r="C12" i="3488"/>
  <c r="O11" i="3488"/>
  <c r="H13" i="3488"/>
  <c r="C11" i="3488"/>
  <c r="O10" i="3488"/>
  <c r="H12" i="3488"/>
  <c r="C10" i="3488"/>
  <c r="H11" i="3488"/>
  <c r="C9" i="3488"/>
  <c r="H10" i="3488"/>
  <c r="C8" i="3488"/>
  <c r="O7" i="3488"/>
  <c r="H9" i="3488"/>
  <c r="C7" i="3488"/>
  <c r="O6" i="3488"/>
  <c r="H5" i="3488"/>
  <c r="B6" i="3488"/>
  <c r="O5" i="3488"/>
  <c r="H4" i="3488"/>
  <c r="B5" i="3488"/>
  <c r="O4" i="3488"/>
  <c r="H2" i="3488"/>
  <c r="O3" i="3488"/>
  <c r="H8" i="3488"/>
  <c r="O2" i="3488"/>
  <c r="H3" i="3488"/>
  <c r="O22" i="3487"/>
  <c r="O21" i="3487"/>
  <c r="O17" i="3487"/>
  <c r="O20" i="3487"/>
  <c r="O19" i="3487"/>
  <c r="O18" i="3487"/>
  <c r="O16" i="3487"/>
  <c r="O15" i="3487"/>
  <c r="H52" i="3487"/>
  <c r="H7" i="3487"/>
  <c r="H51" i="3487"/>
  <c r="H50" i="3487"/>
  <c r="H49" i="3487"/>
  <c r="H48" i="3487"/>
  <c r="H47" i="3487"/>
  <c r="H46" i="3487"/>
  <c r="H45" i="3487"/>
  <c r="C44" i="3487"/>
  <c r="H44" i="3487"/>
  <c r="C43" i="3487"/>
  <c r="H43" i="3487"/>
  <c r="C42" i="3487"/>
  <c r="H42" i="3487"/>
  <c r="C41" i="3487"/>
  <c r="H41" i="3487"/>
  <c r="C40" i="3487"/>
  <c r="H40" i="3487"/>
  <c r="C39" i="3487"/>
  <c r="H39" i="3487"/>
  <c r="C38" i="3487"/>
  <c r="H38" i="3487"/>
  <c r="C37" i="3487"/>
  <c r="H37" i="3487"/>
  <c r="C36" i="3487"/>
  <c r="H36" i="3487"/>
  <c r="C35" i="3487"/>
  <c r="H35" i="3487"/>
  <c r="C34" i="3487"/>
  <c r="H34" i="3487"/>
  <c r="C33" i="3487"/>
  <c r="H33" i="3487"/>
  <c r="C32" i="3487"/>
  <c r="H32" i="3487"/>
  <c r="H31" i="3487"/>
  <c r="C30" i="3487"/>
  <c r="H30" i="3487"/>
  <c r="H29" i="3487"/>
  <c r="H8" i="3487"/>
  <c r="H28" i="3487"/>
  <c r="H27" i="3487"/>
  <c r="B25" i="3487"/>
  <c r="H11" i="3487"/>
  <c r="B24" i="3487"/>
  <c r="H26" i="3487"/>
  <c r="B23" i="3487"/>
  <c r="H25" i="3487"/>
  <c r="B22" i="3487"/>
  <c r="H14" i="3487"/>
  <c r="C21" i="3487"/>
  <c r="H24" i="3487"/>
  <c r="C20" i="3487"/>
  <c r="H18" i="3487"/>
  <c r="C19" i="3487"/>
  <c r="H23" i="3487"/>
  <c r="C18" i="3487"/>
  <c r="H17" i="3487"/>
  <c r="C17" i="3487"/>
  <c r="H13" i="3487"/>
  <c r="C16" i="3487"/>
  <c r="H15" i="3487"/>
  <c r="C15" i="3487"/>
  <c r="H22" i="3487"/>
  <c r="C14" i="3487"/>
  <c r="H21" i="3487"/>
  <c r="C13" i="3487"/>
  <c r="O12" i="3487"/>
  <c r="H20" i="3487"/>
  <c r="C12" i="3487"/>
  <c r="O11" i="3487"/>
  <c r="H19" i="3487"/>
  <c r="C11" i="3487"/>
  <c r="O10" i="3487"/>
  <c r="H2" i="3487"/>
  <c r="C10" i="3487"/>
  <c r="H16" i="3487"/>
  <c r="C9" i="3487"/>
  <c r="H12" i="3487"/>
  <c r="C8" i="3487"/>
  <c r="O7" i="3487"/>
  <c r="H9" i="3487"/>
  <c r="C7" i="3487"/>
  <c r="O6" i="3487"/>
  <c r="H6" i="3487"/>
  <c r="B6" i="3487"/>
  <c r="O5" i="3487"/>
  <c r="H5" i="3487"/>
  <c r="B5" i="3487"/>
  <c r="O4" i="3487"/>
  <c r="H3" i="3487"/>
  <c r="O3" i="3487"/>
  <c r="H10" i="3487"/>
  <c r="O2" i="3487"/>
  <c r="H4" i="3487"/>
  <c r="O22" i="3484"/>
  <c r="O16" i="3484"/>
  <c r="O15" i="3484"/>
  <c r="O26" i="3485"/>
  <c r="O17" i="3485"/>
  <c r="O15" i="3485"/>
  <c r="O16" i="3485"/>
  <c r="O23" i="3486"/>
  <c r="O24" i="3486"/>
  <c r="O18" i="3486"/>
  <c r="O15" i="3486"/>
  <c r="O21" i="3480"/>
  <c r="O17" i="3480"/>
  <c r="O28" i="3483"/>
  <c r="O21" i="3483"/>
  <c r="O19" i="3481"/>
  <c r="O15" i="3481"/>
  <c r="O16" i="3481"/>
  <c r="O25" i="3477"/>
  <c r="O29" i="3474"/>
  <c r="O19" i="3474"/>
  <c r="O17" i="3474"/>
  <c r="O31" i="3473"/>
  <c r="O25" i="3473"/>
  <c r="O18" i="3473"/>
  <c r="O17" i="3473"/>
  <c r="O21" i="3486" l="1"/>
  <c r="O17" i="3486"/>
  <c r="O20" i="3486"/>
  <c r="O22" i="3486"/>
  <c r="O25" i="3486"/>
  <c r="O16" i="3486"/>
  <c r="O19" i="3486"/>
  <c r="H52" i="3486"/>
  <c r="H6" i="3486"/>
  <c r="H17" i="3486"/>
  <c r="H51" i="3486"/>
  <c r="H50" i="3486"/>
  <c r="H49" i="3486"/>
  <c r="H48" i="3486"/>
  <c r="H47" i="3486"/>
  <c r="H24" i="3486"/>
  <c r="C44" i="3486"/>
  <c r="H46" i="3486"/>
  <c r="C43" i="3486"/>
  <c r="H45" i="3486"/>
  <c r="C42" i="3486"/>
  <c r="H44" i="3486"/>
  <c r="C41" i="3486"/>
  <c r="H43" i="3486"/>
  <c r="C40" i="3486"/>
  <c r="H42" i="3486"/>
  <c r="C39" i="3486"/>
  <c r="H41" i="3486"/>
  <c r="C38" i="3486"/>
  <c r="H40" i="3486"/>
  <c r="C37" i="3486"/>
  <c r="H39" i="3486"/>
  <c r="C36" i="3486"/>
  <c r="H38" i="3486"/>
  <c r="C35" i="3486"/>
  <c r="H37" i="3486"/>
  <c r="C34" i="3486"/>
  <c r="H36" i="3486"/>
  <c r="C33" i="3486"/>
  <c r="H35" i="3486"/>
  <c r="C32" i="3486"/>
  <c r="H34" i="3486"/>
  <c r="H33" i="3486"/>
  <c r="C30" i="3486"/>
  <c r="H21" i="3486"/>
  <c r="H32" i="3486"/>
  <c r="H10" i="3486"/>
  <c r="H31" i="3486"/>
  <c r="H20" i="3486"/>
  <c r="B25" i="3486"/>
  <c r="H13" i="3486"/>
  <c r="B24" i="3486"/>
  <c r="H23" i="3486"/>
  <c r="B23" i="3486"/>
  <c r="H30" i="3486"/>
  <c r="B22" i="3486"/>
  <c r="H15" i="3486"/>
  <c r="C21" i="3486"/>
  <c r="H29" i="3486"/>
  <c r="C20" i="3486"/>
  <c r="H19" i="3486"/>
  <c r="C19" i="3486"/>
  <c r="H28" i="3486"/>
  <c r="C18" i="3486"/>
  <c r="H16" i="3486"/>
  <c r="C17" i="3486"/>
  <c r="H14" i="3486"/>
  <c r="C16" i="3486"/>
  <c r="H27" i="3486"/>
  <c r="C15" i="3486"/>
  <c r="H26" i="3486"/>
  <c r="C14" i="3486"/>
  <c r="H22" i="3486"/>
  <c r="C13" i="3486"/>
  <c r="O12" i="3486"/>
  <c r="H25" i="3486"/>
  <c r="C12" i="3486"/>
  <c r="O11" i="3486"/>
  <c r="H18" i="3486"/>
  <c r="C11" i="3486"/>
  <c r="O10" i="3486"/>
  <c r="H4" i="3486"/>
  <c r="C10" i="3486"/>
  <c r="H12" i="3486"/>
  <c r="C9" i="3486"/>
  <c r="H9" i="3486"/>
  <c r="C8" i="3486"/>
  <c r="O7" i="3486"/>
  <c r="H8" i="3486"/>
  <c r="C7" i="3486"/>
  <c r="O6" i="3486"/>
  <c r="H5" i="3486"/>
  <c r="B6" i="3486"/>
  <c r="O5" i="3486"/>
  <c r="H7" i="3486"/>
  <c r="B5" i="3486"/>
  <c r="O4" i="3486"/>
  <c r="H2" i="3486"/>
  <c r="O3" i="3486"/>
  <c r="H11" i="3486"/>
  <c r="O2" i="3486"/>
  <c r="H3" i="3486"/>
  <c r="O25" i="3485"/>
  <c r="O24" i="3485"/>
  <c r="O22" i="3485"/>
  <c r="O19" i="3485"/>
  <c r="O23" i="3485"/>
  <c r="O21" i="3485"/>
  <c r="O20" i="3485"/>
  <c r="O18" i="3485"/>
  <c r="H52" i="3485"/>
  <c r="H5" i="3485"/>
  <c r="H20" i="3485"/>
  <c r="H51" i="3485"/>
  <c r="H50" i="3485"/>
  <c r="H49" i="3485"/>
  <c r="H48" i="3485"/>
  <c r="H47" i="3485"/>
  <c r="H46" i="3485"/>
  <c r="C44" i="3485"/>
  <c r="H45" i="3485"/>
  <c r="C43" i="3485"/>
  <c r="H44" i="3485"/>
  <c r="C42" i="3485"/>
  <c r="H43" i="3485"/>
  <c r="C41" i="3485"/>
  <c r="H42" i="3485"/>
  <c r="C40" i="3485"/>
  <c r="H28" i="3485"/>
  <c r="C39" i="3485"/>
  <c r="H41" i="3485"/>
  <c r="C38" i="3485"/>
  <c r="H40" i="3485"/>
  <c r="C37" i="3485"/>
  <c r="H39" i="3485"/>
  <c r="C36" i="3485"/>
  <c r="H38" i="3485"/>
  <c r="C35" i="3485"/>
  <c r="H37" i="3485"/>
  <c r="C34" i="3485"/>
  <c r="H36" i="3485"/>
  <c r="C33" i="3485"/>
  <c r="H35" i="3485"/>
  <c r="C32" i="3485"/>
  <c r="H27" i="3485"/>
  <c r="H26" i="3485"/>
  <c r="C30" i="3485"/>
  <c r="H18" i="3485"/>
  <c r="H25" i="3485"/>
  <c r="H9" i="3485"/>
  <c r="H30" i="3485"/>
  <c r="H29" i="3485"/>
  <c r="B25" i="3485"/>
  <c r="H14" i="3485"/>
  <c r="B24" i="3485"/>
  <c r="H19" i="3485"/>
  <c r="B23" i="3485"/>
  <c r="H34" i="3485"/>
  <c r="B22" i="3485"/>
  <c r="H13" i="3485"/>
  <c r="C21" i="3485"/>
  <c r="H33" i="3485"/>
  <c r="C20" i="3485"/>
  <c r="H16" i="3485"/>
  <c r="C19" i="3485"/>
  <c r="H32" i="3485"/>
  <c r="C18" i="3485"/>
  <c r="H17" i="3485"/>
  <c r="C17" i="3485"/>
  <c r="H15" i="3485"/>
  <c r="C16" i="3485"/>
  <c r="H24" i="3485"/>
  <c r="C15" i="3485"/>
  <c r="H31" i="3485"/>
  <c r="C14" i="3485"/>
  <c r="H23" i="3485"/>
  <c r="C13" i="3485"/>
  <c r="O12" i="3485"/>
  <c r="H22" i="3485"/>
  <c r="C12" i="3485"/>
  <c r="O11" i="3485"/>
  <c r="H21" i="3485"/>
  <c r="C11" i="3485"/>
  <c r="O10" i="3485"/>
  <c r="H4" i="3485"/>
  <c r="C10" i="3485"/>
  <c r="H12" i="3485"/>
  <c r="C9" i="3485"/>
  <c r="H11" i="3485"/>
  <c r="C8" i="3485"/>
  <c r="O7" i="3485"/>
  <c r="H8" i="3485"/>
  <c r="C7" i="3485"/>
  <c r="O6" i="3485"/>
  <c r="H7" i="3485"/>
  <c r="B6" i="3485"/>
  <c r="O5" i="3485"/>
  <c r="H6" i="3485"/>
  <c r="B5" i="3485"/>
  <c r="O4" i="3485"/>
  <c r="H2" i="3485"/>
  <c r="O3" i="3485"/>
  <c r="H10" i="3485"/>
  <c r="O2" i="3485"/>
  <c r="H3" i="3485"/>
  <c r="O21" i="3484"/>
  <c r="O19" i="3484"/>
  <c r="O20" i="3484"/>
  <c r="O18" i="3484"/>
  <c r="O17" i="3484"/>
  <c r="H52" i="3484"/>
  <c r="H13" i="3484"/>
  <c r="H51" i="3484"/>
  <c r="H50" i="3484"/>
  <c r="H49" i="3484"/>
  <c r="H48" i="3484"/>
  <c r="H47" i="3484"/>
  <c r="H46" i="3484"/>
  <c r="H45" i="3484"/>
  <c r="C44" i="3484"/>
  <c r="H44" i="3484"/>
  <c r="C43" i="3484"/>
  <c r="H43" i="3484"/>
  <c r="C42" i="3484"/>
  <c r="H42" i="3484"/>
  <c r="C41" i="3484"/>
  <c r="H41" i="3484"/>
  <c r="C40" i="3484"/>
  <c r="H40" i="3484"/>
  <c r="C39" i="3484"/>
  <c r="H39" i="3484"/>
  <c r="C38" i="3484"/>
  <c r="H38" i="3484"/>
  <c r="C37" i="3484"/>
  <c r="H37" i="3484"/>
  <c r="C36" i="3484"/>
  <c r="H36" i="3484"/>
  <c r="C35" i="3484"/>
  <c r="H35" i="3484"/>
  <c r="C34" i="3484"/>
  <c r="H34" i="3484"/>
  <c r="C33" i="3484"/>
  <c r="H33" i="3484"/>
  <c r="C32" i="3484"/>
  <c r="H32" i="3484"/>
  <c r="H31" i="3484"/>
  <c r="C30" i="3484"/>
  <c r="H14" i="3484"/>
  <c r="H30" i="3484"/>
  <c r="H7" i="3484"/>
  <c r="H29" i="3484"/>
  <c r="H28" i="3484"/>
  <c r="B25" i="3484"/>
  <c r="H10" i="3484"/>
  <c r="B24" i="3484"/>
  <c r="H27" i="3484"/>
  <c r="B23" i="3484"/>
  <c r="H26" i="3484"/>
  <c r="B22" i="3484"/>
  <c r="H25" i="3484"/>
  <c r="C21" i="3484"/>
  <c r="H24" i="3484"/>
  <c r="C20" i="3484"/>
  <c r="H23" i="3484"/>
  <c r="C19" i="3484"/>
  <c r="H22" i="3484"/>
  <c r="C18" i="3484"/>
  <c r="H21" i="3484"/>
  <c r="C17" i="3484"/>
  <c r="H20" i="3484"/>
  <c r="C16" i="3484"/>
  <c r="H19" i="3484"/>
  <c r="C15" i="3484"/>
  <c r="H18" i="3484"/>
  <c r="C14" i="3484"/>
  <c r="H17" i="3484"/>
  <c r="C13" i="3484"/>
  <c r="O12" i="3484"/>
  <c r="H16" i="3484"/>
  <c r="C12" i="3484"/>
  <c r="O11" i="3484"/>
  <c r="H15" i="3484"/>
  <c r="C11" i="3484"/>
  <c r="O10" i="3484"/>
  <c r="H4" i="3484"/>
  <c r="C10" i="3484"/>
  <c r="H12" i="3484"/>
  <c r="C9" i="3484"/>
  <c r="H9" i="3484"/>
  <c r="C8" i="3484"/>
  <c r="O7" i="3484"/>
  <c r="H8" i="3484"/>
  <c r="C7" i="3484"/>
  <c r="O6" i="3484"/>
  <c r="H6" i="3484"/>
  <c r="B6" i="3484"/>
  <c r="O5" i="3484"/>
  <c r="H5" i="3484"/>
  <c r="B5" i="3484"/>
  <c r="O4" i="3484"/>
  <c r="H3" i="3484"/>
  <c r="O3" i="3484"/>
  <c r="H11" i="3484"/>
  <c r="O2" i="3484"/>
  <c r="H2" i="3484"/>
  <c r="O27" i="3483"/>
  <c r="O22" i="3483"/>
  <c r="O26" i="3483"/>
  <c r="O25" i="3483"/>
  <c r="O23" i="3483"/>
  <c r="O17" i="3483"/>
  <c r="O18" i="3483"/>
  <c r="O24" i="3483"/>
  <c r="O16" i="3483"/>
  <c r="O15" i="3483"/>
  <c r="O20" i="3483"/>
  <c r="H52" i="3483"/>
  <c r="H7" i="3483"/>
  <c r="H16" i="3483"/>
  <c r="H51" i="3483"/>
  <c r="H50" i="3483"/>
  <c r="H49" i="3483"/>
  <c r="H48" i="3483"/>
  <c r="H47" i="3483"/>
  <c r="H46" i="3483"/>
  <c r="C44" i="3483"/>
  <c r="H45" i="3483"/>
  <c r="C43" i="3483"/>
  <c r="H44" i="3483"/>
  <c r="C42" i="3483"/>
  <c r="H43" i="3483"/>
  <c r="C41" i="3483"/>
  <c r="H42" i="3483"/>
  <c r="C40" i="3483"/>
  <c r="H41" i="3483"/>
  <c r="C39" i="3483"/>
  <c r="H40" i="3483"/>
  <c r="C38" i="3483"/>
  <c r="H39" i="3483"/>
  <c r="C37" i="3483"/>
  <c r="H38" i="3483"/>
  <c r="C36" i="3483"/>
  <c r="H30" i="3483"/>
  <c r="C35" i="3483"/>
  <c r="H37" i="3483"/>
  <c r="C34" i="3483"/>
  <c r="H36" i="3483"/>
  <c r="C33" i="3483"/>
  <c r="H35" i="3483"/>
  <c r="C32" i="3483"/>
  <c r="H25" i="3483"/>
  <c r="H21" i="3483"/>
  <c r="C30" i="3483"/>
  <c r="H17" i="3483"/>
  <c r="H28" i="3483"/>
  <c r="H9" i="3483"/>
  <c r="H34" i="3483"/>
  <c r="H27" i="3483"/>
  <c r="B25" i="3483"/>
  <c r="H12" i="3483"/>
  <c r="B24" i="3483"/>
  <c r="H26" i="3483"/>
  <c r="B23" i="3483"/>
  <c r="H24" i="3483"/>
  <c r="B22" i="3483"/>
  <c r="H14" i="3483"/>
  <c r="C21" i="3483"/>
  <c r="H33" i="3483"/>
  <c r="C20" i="3483"/>
  <c r="H18" i="3483"/>
  <c r="C19" i="3483"/>
  <c r="H32" i="3483"/>
  <c r="C18" i="3483"/>
  <c r="H19" i="3483"/>
  <c r="C17" i="3483"/>
  <c r="H15" i="3483"/>
  <c r="C16" i="3483"/>
  <c r="H23" i="3483"/>
  <c r="C15" i="3483"/>
  <c r="H31" i="3483"/>
  <c r="C14" i="3483"/>
  <c r="H22" i="3483"/>
  <c r="C13" i="3483"/>
  <c r="O12" i="3483"/>
  <c r="H29" i="3483"/>
  <c r="C12" i="3483"/>
  <c r="O11" i="3483"/>
  <c r="H20" i="3483"/>
  <c r="C11" i="3483"/>
  <c r="O10" i="3483"/>
  <c r="H3" i="3483"/>
  <c r="C10" i="3483"/>
  <c r="H13" i="3483"/>
  <c r="C9" i="3483"/>
  <c r="H11" i="3483"/>
  <c r="C8" i="3483"/>
  <c r="O7" i="3483"/>
  <c r="H8" i="3483"/>
  <c r="C7" i="3483"/>
  <c r="O6" i="3483"/>
  <c r="H6" i="3483"/>
  <c r="B6" i="3483"/>
  <c r="O5" i="3483"/>
  <c r="H5" i="3483"/>
  <c r="B5" i="3483"/>
  <c r="O4" i="3483"/>
  <c r="H2" i="3483"/>
  <c r="O3" i="3483"/>
  <c r="H10" i="3483"/>
  <c r="O2" i="3483"/>
  <c r="H4" i="3483"/>
  <c r="O15" i="3482"/>
  <c r="O21" i="3482"/>
  <c r="O19" i="3482"/>
  <c r="O20" i="3482"/>
  <c r="O18" i="3482"/>
  <c r="O17" i="3482"/>
  <c r="O16" i="3482"/>
  <c r="H52" i="3482"/>
  <c r="H10" i="3482"/>
  <c r="H16" i="3482"/>
  <c r="H51" i="3482"/>
  <c r="H50" i="3482"/>
  <c r="H49" i="3482"/>
  <c r="H48" i="3482"/>
  <c r="H47" i="3482"/>
  <c r="H46" i="3482"/>
  <c r="C44" i="3482"/>
  <c r="H45" i="3482"/>
  <c r="C43" i="3482"/>
  <c r="H44" i="3482"/>
  <c r="C42" i="3482"/>
  <c r="H43" i="3482"/>
  <c r="C41" i="3482"/>
  <c r="H42" i="3482"/>
  <c r="C40" i="3482"/>
  <c r="H41" i="3482"/>
  <c r="C39" i="3482"/>
  <c r="H40" i="3482"/>
  <c r="C38" i="3482"/>
  <c r="H39" i="3482"/>
  <c r="C37" i="3482"/>
  <c r="H38" i="3482"/>
  <c r="C36" i="3482"/>
  <c r="H37" i="3482"/>
  <c r="C35" i="3482"/>
  <c r="H36" i="3482"/>
  <c r="C34" i="3482"/>
  <c r="H35" i="3482"/>
  <c r="C33" i="3482"/>
  <c r="H34" i="3482"/>
  <c r="C32" i="3482"/>
  <c r="H33" i="3482"/>
  <c r="H20" i="3482"/>
  <c r="C30" i="3482"/>
  <c r="H19" i="3482"/>
  <c r="H32" i="3482"/>
  <c r="H7" i="3482"/>
  <c r="H31" i="3482"/>
  <c r="H30" i="3482"/>
  <c r="B25" i="3482"/>
  <c r="H18" i="3482"/>
  <c r="B24" i="3482"/>
  <c r="H29" i="3482"/>
  <c r="B23" i="3482"/>
  <c r="H28" i="3482"/>
  <c r="B22" i="3482"/>
  <c r="H15" i="3482"/>
  <c r="C21" i="3482"/>
  <c r="H27" i="3482"/>
  <c r="C20" i="3482"/>
  <c r="H26" i="3482"/>
  <c r="C19" i="3482"/>
  <c r="H25" i="3482"/>
  <c r="C18" i="3482"/>
  <c r="H14" i="3482"/>
  <c r="C17" i="3482"/>
  <c r="H13" i="3482"/>
  <c r="C16" i="3482"/>
  <c r="H24" i="3482"/>
  <c r="C15" i="3482"/>
  <c r="H23" i="3482"/>
  <c r="C14" i="3482"/>
  <c r="H22" i="3482"/>
  <c r="C13" i="3482"/>
  <c r="O12" i="3482"/>
  <c r="H21" i="3482"/>
  <c r="C12" i="3482"/>
  <c r="O11" i="3482"/>
  <c r="H17" i="3482"/>
  <c r="C11" i="3482"/>
  <c r="O10" i="3482"/>
  <c r="H3" i="3482"/>
  <c r="C10" i="3482"/>
  <c r="H12" i="3482"/>
  <c r="C9" i="3482"/>
  <c r="H11" i="3482"/>
  <c r="C8" i="3482"/>
  <c r="O7" i="3482"/>
  <c r="H9" i="3482"/>
  <c r="C7" i="3482"/>
  <c r="O6" i="3482"/>
  <c r="H6" i="3482"/>
  <c r="B6" i="3482"/>
  <c r="O5" i="3482"/>
  <c r="H5" i="3482"/>
  <c r="B5" i="3482"/>
  <c r="O4" i="3482"/>
  <c r="H2" i="3482"/>
  <c r="O3" i="3482"/>
  <c r="H8" i="3482"/>
  <c r="O2" i="3482"/>
  <c r="H4" i="3482"/>
  <c r="O26" i="3481"/>
  <c r="O24" i="3481"/>
  <c r="O23" i="3481"/>
  <c r="O25" i="3481"/>
  <c r="O17" i="3481"/>
  <c r="O18" i="3481"/>
  <c r="O22" i="3481"/>
  <c r="O21" i="3481"/>
  <c r="O20" i="3481"/>
  <c r="H52" i="3481"/>
  <c r="H6" i="3481"/>
  <c r="H23" i="3481"/>
  <c r="H51" i="3481"/>
  <c r="H50" i="3481"/>
  <c r="H49" i="3481"/>
  <c r="H48" i="3481"/>
  <c r="H47" i="3481"/>
  <c r="H46" i="3481"/>
  <c r="C44" i="3481"/>
  <c r="H45" i="3481"/>
  <c r="C43" i="3481"/>
  <c r="H44" i="3481"/>
  <c r="C42" i="3481"/>
  <c r="H43" i="3481"/>
  <c r="C41" i="3481"/>
  <c r="H42" i="3481"/>
  <c r="C40" i="3481"/>
  <c r="H41" i="3481"/>
  <c r="C39" i="3481"/>
  <c r="H40" i="3481"/>
  <c r="C38" i="3481"/>
  <c r="H39" i="3481"/>
  <c r="C37" i="3481"/>
  <c r="H38" i="3481"/>
  <c r="C36" i="3481"/>
  <c r="H37" i="3481"/>
  <c r="C35" i="3481"/>
  <c r="H36" i="3481"/>
  <c r="C34" i="3481"/>
  <c r="H31" i="3481"/>
  <c r="C33" i="3481"/>
  <c r="H35" i="3481"/>
  <c r="C32" i="3481"/>
  <c r="H26" i="3481"/>
  <c r="H25" i="3481"/>
  <c r="C30" i="3481"/>
  <c r="H17" i="3481"/>
  <c r="H30" i="3481"/>
  <c r="H9" i="3481"/>
  <c r="H29" i="3481"/>
  <c r="H27" i="3481"/>
  <c r="B25" i="3481"/>
  <c r="H13" i="3481"/>
  <c r="B24" i="3481"/>
  <c r="H28" i="3481"/>
  <c r="B23" i="3481"/>
  <c r="H24" i="3481"/>
  <c r="B22" i="3481"/>
  <c r="H14" i="3481"/>
  <c r="C21" i="3481"/>
  <c r="H34" i="3481"/>
  <c r="C20" i="3481"/>
  <c r="H16" i="3481"/>
  <c r="C19" i="3481"/>
  <c r="H33" i="3481"/>
  <c r="C18" i="3481"/>
  <c r="H18" i="3481"/>
  <c r="C17" i="3481"/>
  <c r="H15" i="3481"/>
  <c r="C16" i="3481"/>
  <c r="H19" i="3481"/>
  <c r="C15" i="3481"/>
  <c r="H32" i="3481"/>
  <c r="C14" i="3481"/>
  <c r="H22" i="3481"/>
  <c r="C13" i="3481"/>
  <c r="O12" i="3481"/>
  <c r="H21" i="3481"/>
  <c r="C12" i="3481"/>
  <c r="O11" i="3481"/>
  <c r="H20" i="3481"/>
  <c r="C11" i="3481"/>
  <c r="O10" i="3481"/>
  <c r="H3" i="3481"/>
  <c r="C10" i="3481"/>
  <c r="H12" i="3481"/>
  <c r="C9" i="3481"/>
  <c r="H10" i="3481"/>
  <c r="C8" i="3481"/>
  <c r="O7" i="3481"/>
  <c r="H8" i="3481"/>
  <c r="C7" i="3481"/>
  <c r="O6" i="3481"/>
  <c r="H5" i="3481"/>
  <c r="B6" i="3481"/>
  <c r="O5" i="3481"/>
  <c r="H7" i="3481"/>
  <c r="B5" i="3481"/>
  <c r="O4" i="3481"/>
  <c r="H2" i="3481"/>
  <c r="O3" i="3481"/>
  <c r="H11" i="3481"/>
  <c r="O2" i="3481"/>
  <c r="H4" i="3481"/>
  <c r="O23" i="3480"/>
  <c r="O19" i="3480"/>
  <c r="O22" i="3480"/>
  <c r="O15" i="3480"/>
  <c r="O20" i="3480"/>
  <c r="O16" i="3480"/>
  <c r="O18" i="3480"/>
  <c r="H52" i="3480"/>
  <c r="H5" i="3480"/>
  <c r="H51" i="3480"/>
  <c r="H50" i="3480"/>
  <c r="H49" i="3480"/>
  <c r="H48" i="3480"/>
  <c r="H47" i="3480"/>
  <c r="H46" i="3480"/>
  <c r="H45" i="3480"/>
  <c r="C44" i="3480"/>
  <c r="H44" i="3480"/>
  <c r="C43" i="3480"/>
  <c r="H43" i="3480"/>
  <c r="C42" i="3480"/>
  <c r="H42" i="3480"/>
  <c r="C41" i="3480"/>
  <c r="H41" i="3480"/>
  <c r="C40" i="3480"/>
  <c r="H40" i="3480"/>
  <c r="C39" i="3480"/>
  <c r="H39" i="3480"/>
  <c r="C38" i="3480"/>
  <c r="H38" i="3480"/>
  <c r="C37" i="3480"/>
  <c r="H37" i="3480"/>
  <c r="C36" i="3480"/>
  <c r="H36" i="3480"/>
  <c r="C35" i="3480"/>
  <c r="H35" i="3480"/>
  <c r="C34" i="3480"/>
  <c r="H34" i="3480"/>
  <c r="C33" i="3480"/>
  <c r="H33" i="3480"/>
  <c r="C32" i="3480"/>
  <c r="H27" i="3480"/>
  <c r="H32" i="3480"/>
  <c r="C30" i="3480"/>
  <c r="H18" i="3480"/>
  <c r="H26" i="3480"/>
  <c r="H12" i="3480"/>
  <c r="H22" i="3480"/>
  <c r="H25" i="3480"/>
  <c r="B25" i="3480"/>
  <c r="H14" i="3480"/>
  <c r="B24" i="3480"/>
  <c r="H31" i="3480"/>
  <c r="B23" i="3480"/>
  <c r="H24" i="3480"/>
  <c r="B22" i="3480"/>
  <c r="H13" i="3480"/>
  <c r="C21" i="3480"/>
  <c r="H30" i="3480"/>
  <c r="C20" i="3480"/>
  <c r="H15" i="3480"/>
  <c r="C19" i="3480"/>
  <c r="H29" i="3480"/>
  <c r="C18" i="3480"/>
  <c r="H17" i="3480"/>
  <c r="C17" i="3480"/>
  <c r="H16" i="3480"/>
  <c r="C16" i="3480"/>
  <c r="H21" i="3480"/>
  <c r="C15" i="3480"/>
  <c r="H28" i="3480"/>
  <c r="C14" i="3480"/>
  <c r="H20" i="3480"/>
  <c r="C13" i="3480"/>
  <c r="O12" i="3480"/>
  <c r="H19" i="3480"/>
  <c r="C12" i="3480"/>
  <c r="O11" i="3480"/>
  <c r="H23" i="3480"/>
  <c r="C11" i="3480"/>
  <c r="O10" i="3480"/>
  <c r="H3" i="3480"/>
  <c r="C10" i="3480"/>
  <c r="H11" i="3480"/>
  <c r="C9" i="3480"/>
  <c r="H10" i="3480"/>
  <c r="C8" i="3480"/>
  <c r="O7" i="3480"/>
  <c r="H8" i="3480"/>
  <c r="C7" i="3480"/>
  <c r="O6" i="3480"/>
  <c r="H6" i="3480"/>
  <c r="B6" i="3480"/>
  <c r="O5" i="3480"/>
  <c r="H7" i="3480"/>
  <c r="B5" i="3480"/>
  <c r="O4" i="3480"/>
  <c r="H2" i="3480"/>
  <c r="O3" i="3480"/>
  <c r="H9" i="3480"/>
  <c r="O2" i="3480"/>
  <c r="H4" i="3480"/>
  <c r="O19" i="3479"/>
  <c r="O18" i="3479"/>
  <c r="O17" i="3479"/>
  <c r="O16" i="3479"/>
  <c r="O15" i="3479"/>
  <c r="H52" i="3479"/>
  <c r="H51" i="3479"/>
  <c r="H50" i="3479"/>
  <c r="H49" i="3479"/>
  <c r="H48" i="3479"/>
  <c r="H47" i="3479"/>
  <c r="H46" i="3479"/>
  <c r="H45" i="3479"/>
  <c r="H44" i="3479"/>
  <c r="C44" i="3479"/>
  <c r="H43" i="3479"/>
  <c r="C43" i="3479"/>
  <c r="H42" i="3479"/>
  <c r="C42" i="3479"/>
  <c r="H41" i="3479"/>
  <c r="C41" i="3479"/>
  <c r="H40" i="3479"/>
  <c r="C40" i="3479"/>
  <c r="H39" i="3479"/>
  <c r="C39" i="3479"/>
  <c r="H38" i="3479"/>
  <c r="C38" i="3479"/>
  <c r="H37" i="3479"/>
  <c r="C37" i="3479"/>
  <c r="H36" i="3479"/>
  <c r="C36" i="3479"/>
  <c r="H35" i="3479"/>
  <c r="C35" i="3479"/>
  <c r="H34" i="3479"/>
  <c r="C34" i="3479"/>
  <c r="H33" i="3479"/>
  <c r="C33" i="3479"/>
  <c r="H32" i="3479"/>
  <c r="C32" i="3479"/>
  <c r="H31" i="3479"/>
  <c r="H30" i="3479"/>
  <c r="C30" i="3479"/>
  <c r="H29" i="3479"/>
  <c r="H28" i="3479"/>
  <c r="H27" i="3479"/>
  <c r="H26" i="3479"/>
  <c r="H25" i="3479"/>
  <c r="B25" i="3479"/>
  <c r="H10" i="3479"/>
  <c r="B24" i="3479"/>
  <c r="H24" i="3479"/>
  <c r="B23" i="3479"/>
  <c r="H23" i="3479"/>
  <c r="B22" i="3479"/>
  <c r="H22" i="3479"/>
  <c r="C21" i="3479"/>
  <c r="H21" i="3479"/>
  <c r="C20" i="3479"/>
  <c r="H20" i="3479"/>
  <c r="C19" i="3479"/>
  <c r="H19" i="3479"/>
  <c r="C18" i="3479"/>
  <c r="H7" i="3479"/>
  <c r="C17" i="3479"/>
  <c r="H18" i="3479"/>
  <c r="C16" i="3479"/>
  <c r="H17" i="3479"/>
  <c r="C15" i="3479"/>
  <c r="H16" i="3479"/>
  <c r="C14" i="3479"/>
  <c r="H15" i="3479"/>
  <c r="C13" i="3479"/>
  <c r="O12" i="3479"/>
  <c r="H14" i="3479"/>
  <c r="C12" i="3479"/>
  <c r="O11" i="3479"/>
  <c r="H13" i="3479"/>
  <c r="C11" i="3479"/>
  <c r="O10" i="3479"/>
  <c r="H4" i="3479"/>
  <c r="C10" i="3479"/>
  <c r="H12" i="3479"/>
  <c r="C9" i="3479"/>
  <c r="H11" i="3479"/>
  <c r="C8" i="3479"/>
  <c r="O7" i="3479"/>
  <c r="H9" i="3479"/>
  <c r="C7" i="3479"/>
  <c r="O6" i="3479"/>
  <c r="H5" i="3479"/>
  <c r="B6" i="3479"/>
  <c r="O5" i="3479"/>
  <c r="H6" i="3479"/>
  <c r="B5" i="3479"/>
  <c r="O4" i="3479"/>
  <c r="H8" i="3479"/>
  <c r="O3" i="3479"/>
  <c r="H3" i="3479"/>
  <c r="O2" i="3479"/>
  <c r="H2" i="3479"/>
  <c r="O23" i="3478"/>
  <c r="O25" i="3478"/>
  <c r="O22" i="3478"/>
  <c r="O18" i="3478"/>
  <c r="O15" i="3478"/>
  <c r="O20" i="3478"/>
  <c r="O24" i="3478"/>
  <c r="O17" i="3478"/>
  <c r="O21" i="3478"/>
  <c r="O16" i="3478"/>
  <c r="O26" i="3478"/>
  <c r="H52" i="3478"/>
  <c r="H7" i="3478"/>
  <c r="H51" i="3478"/>
  <c r="H50" i="3478"/>
  <c r="H49" i="3478"/>
  <c r="H48" i="3478"/>
  <c r="H47" i="3478"/>
  <c r="H46" i="3478"/>
  <c r="H45" i="3478"/>
  <c r="C44" i="3478"/>
  <c r="H44" i="3478"/>
  <c r="C43" i="3478"/>
  <c r="H43" i="3478"/>
  <c r="C42" i="3478"/>
  <c r="H42" i="3478"/>
  <c r="C41" i="3478"/>
  <c r="H41" i="3478"/>
  <c r="C40" i="3478"/>
  <c r="H40" i="3478"/>
  <c r="C39" i="3478"/>
  <c r="H39" i="3478"/>
  <c r="C38" i="3478"/>
  <c r="H38" i="3478"/>
  <c r="C37" i="3478"/>
  <c r="H37" i="3478"/>
  <c r="C36" i="3478"/>
  <c r="H23" i="3478"/>
  <c r="C35" i="3478"/>
  <c r="H36" i="3478"/>
  <c r="C34" i="3478"/>
  <c r="H35" i="3478"/>
  <c r="C33" i="3478"/>
  <c r="H34" i="3478"/>
  <c r="C32" i="3478"/>
  <c r="H22" i="3478"/>
  <c r="H33" i="3478"/>
  <c r="C30" i="3478"/>
  <c r="H17" i="3478"/>
  <c r="H32" i="3478"/>
  <c r="H11" i="3478"/>
  <c r="H31" i="3478"/>
  <c r="H30" i="3478"/>
  <c r="B25" i="3478"/>
  <c r="H16" i="3478"/>
  <c r="B24" i="3478"/>
  <c r="H29" i="3478"/>
  <c r="B23" i="3478"/>
  <c r="H28" i="3478"/>
  <c r="B22" i="3478"/>
  <c r="H9" i="3478"/>
  <c r="C21" i="3478"/>
  <c r="H27" i="3478"/>
  <c r="C20" i="3478"/>
  <c r="H14" i="3478"/>
  <c r="C19" i="3478"/>
  <c r="H26" i="3478"/>
  <c r="C18" i="3478"/>
  <c r="H15" i="3478"/>
  <c r="C17" i="3478"/>
  <c r="H21" i="3478"/>
  <c r="C16" i="3478"/>
  <c r="H25" i="3478"/>
  <c r="C15" i="3478"/>
  <c r="H24" i="3478"/>
  <c r="C14" i="3478"/>
  <c r="H20" i="3478"/>
  <c r="C13" i="3478"/>
  <c r="O12" i="3478"/>
  <c r="H19" i="3478"/>
  <c r="C12" i="3478"/>
  <c r="O11" i="3478"/>
  <c r="H18" i="3478"/>
  <c r="C11" i="3478"/>
  <c r="O10" i="3478"/>
  <c r="H3" i="3478"/>
  <c r="C10" i="3478"/>
  <c r="H13" i="3478"/>
  <c r="C9" i="3478"/>
  <c r="H10" i="3478"/>
  <c r="C8" i="3478"/>
  <c r="O7" i="3478"/>
  <c r="H8" i="3478"/>
  <c r="C7" i="3478"/>
  <c r="O6" i="3478"/>
  <c r="H5" i="3478"/>
  <c r="B6" i="3478"/>
  <c r="O5" i="3478"/>
  <c r="H6" i="3478"/>
  <c r="B5" i="3478"/>
  <c r="O4" i="3478"/>
  <c r="H2" i="3478"/>
  <c r="O3" i="3478"/>
  <c r="H12" i="3478"/>
  <c r="O2" i="3478"/>
  <c r="H4" i="3478"/>
  <c r="O26" i="3477"/>
  <c r="O23" i="3477"/>
  <c r="O22" i="3477"/>
  <c r="O21" i="3477"/>
  <c r="O24" i="3477"/>
  <c r="O20" i="3477"/>
  <c r="O19" i="3477"/>
  <c r="O17" i="3477"/>
  <c r="O15" i="3477"/>
  <c r="O16" i="3477"/>
  <c r="H52" i="3477"/>
  <c r="H7" i="3477"/>
  <c r="H19" i="3477"/>
  <c r="H51" i="3477"/>
  <c r="H50" i="3477"/>
  <c r="H49" i="3477"/>
  <c r="H48" i="3477"/>
  <c r="H47" i="3477"/>
  <c r="H46" i="3477"/>
  <c r="C44" i="3477"/>
  <c r="H45" i="3477"/>
  <c r="C43" i="3477"/>
  <c r="H44" i="3477"/>
  <c r="C42" i="3477"/>
  <c r="H43" i="3477"/>
  <c r="C41" i="3477"/>
  <c r="H42" i="3477"/>
  <c r="C40" i="3477"/>
  <c r="H41" i="3477"/>
  <c r="C39" i="3477"/>
  <c r="H40" i="3477"/>
  <c r="C38" i="3477"/>
  <c r="H39" i="3477"/>
  <c r="C37" i="3477"/>
  <c r="H38" i="3477"/>
  <c r="C36" i="3477"/>
  <c r="H37" i="3477"/>
  <c r="C35" i="3477"/>
  <c r="H36" i="3477"/>
  <c r="C34" i="3477"/>
  <c r="H31" i="3477"/>
  <c r="C33" i="3477"/>
  <c r="H35" i="3477"/>
  <c r="C32" i="3477"/>
  <c r="H30" i="3477"/>
  <c r="H24" i="3477"/>
  <c r="C30" i="3477"/>
  <c r="H17" i="3477"/>
  <c r="H34" i="3477"/>
  <c r="H10" i="3477"/>
  <c r="H26" i="3477"/>
  <c r="H29" i="3477"/>
  <c r="B25" i="3477"/>
  <c r="H12" i="3477"/>
  <c r="B24" i="3477"/>
  <c r="H25" i="3477"/>
  <c r="B23" i="3477"/>
  <c r="H23" i="3477"/>
  <c r="B22" i="3477"/>
  <c r="H13" i="3477"/>
  <c r="C21" i="3477"/>
  <c r="H33" i="3477"/>
  <c r="C20" i="3477"/>
  <c r="H15" i="3477"/>
  <c r="C19" i="3477"/>
  <c r="H28" i="3477"/>
  <c r="C18" i="3477"/>
  <c r="H18" i="3477"/>
  <c r="C17" i="3477"/>
  <c r="H16" i="3477"/>
  <c r="C16" i="3477"/>
  <c r="H27" i="3477"/>
  <c r="C15" i="3477"/>
  <c r="H32" i="3477"/>
  <c r="C14" i="3477"/>
  <c r="H20" i="3477"/>
  <c r="C13" i="3477"/>
  <c r="O12" i="3477"/>
  <c r="H22" i="3477"/>
  <c r="C12" i="3477"/>
  <c r="O11" i="3477"/>
  <c r="H21" i="3477"/>
  <c r="C11" i="3477"/>
  <c r="O10" i="3477"/>
  <c r="H4" i="3477"/>
  <c r="C10" i="3477"/>
  <c r="H14" i="3477"/>
  <c r="C9" i="3477"/>
  <c r="H11" i="3477"/>
  <c r="C8" i="3477"/>
  <c r="O7" i="3477"/>
  <c r="H8" i="3477"/>
  <c r="C7" i="3477"/>
  <c r="O6" i="3477"/>
  <c r="H5" i="3477"/>
  <c r="B6" i="3477"/>
  <c r="O5" i="3477"/>
  <c r="H6" i="3477"/>
  <c r="B5" i="3477"/>
  <c r="O4" i="3477"/>
  <c r="H2" i="3477"/>
  <c r="O3" i="3477"/>
  <c r="H9" i="3477"/>
  <c r="O2" i="3477"/>
  <c r="H3" i="3477"/>
  <c r="O18" i="3476"/>
  <c r="O17" i="3476"/>
  <c r="O16" i="3476"/>
  <c r="O15" i="3476"/>
  <c r="H52" i="3476"/>
  <c r="H51" i="3476"/>
  <c r="H50" i="3476"/>
  <c r="H49" i="3476"/>
  <c r="H48" i="3476"/>
  <c r="H47" i="3476"/>
  <c r="H46" i="3476"/>
  <c r="H45" i="3476"/>
  <c r="H44" i="3476"/>
  <c r="C44" i="3476"/>
  <c r="H43" i="3476"/>
  <c r="C43" i="3476"/>
  <c r="H42" i="3476"/>
  <c r="C42" i="3476"/>
  <c r="H41" i="3476"/>
  <c r="C41" i="3476"/>
  <c r="H40" i="3476"/>
  <c r="C40" i="3476"/>
  <c r="H39" i="3476"/>
  <c r="C39" i="3476"/>
  <c r="H38" i="3476"/>
  <c r="C38" i="3476"/>
  <c r="H37" i="3476"/>
  <c r="C37" i="3476"/>
  <c r="H36" i="3476"/>
  <c r="C36" i="3476"/>
  <c r="H35" i="3476"/>
  <c r="C35" i="3476"/>
  <c r="H34" i="3476"/>
  <c r="C34" i="3476"/>
  <c r="H33" i="3476"/>
  <c r="C33" i="3476"/>
  <c r="H32" i="3476"/>
  <c r="C32" i="3476"/>
  <c r="H31" i="3476"/>
  <c r="H30" i="3476"/>
  <c r="C30" i="3476"/>
  <c r="H29" i="3476"/>
  <c r="H28" i="3476"/>
  <c r="H6" i="3476"/>
  <c r="H27" i="3476"/>
  <c r="H26" i="3476"/>
  <c r="B25" i="3476"/>
  <c r="H11" i="3476"/>
  <c r="B24" i="3476"/>
  <c r="H25" i="3476"/>
  <c r="B23" i="3476"/>
  <c r="H24" i="3476"/>
  <c r="B22" i="3476"/>
  <c r="H10" i="3476"/>
  <c r="C21" i="3476"/>
  <c r="H23" i="3476"/>
  <c r="C20" i="3476"/>
  <c r="H22" i="3476"/>
  <c r="C19" i="3476"/>
  <c r="H21" i="3476"/>
  <c r="C18" i="3476"/>
  <c r="H20" i="3476"/>
  <c r="C17" i="3476"/>
  <c r="H19" i="3476"/>
  <c r="C16" i="3476"/>
  <c r="H18" i="3476"/>
  <c r="C15" i="3476"/>
  <c r="H17" i="3476"/>
  <c r="C14" i="3476"/>
  <c r="H16" i="3476"/>
  <c r="C13" i="3476"/>
  <c r="O12" i="3476"/>
  <c r="H15" i="3476"/>
  <c r="C12" i="3476"/>
  <c r="O11" i="3476"/>
  <c r="H14" i="3476"/>
  <c r="C11" i="3476"/>
  <c r="O10" i="3476"/>
  <c r="H3" i="3476"/>
  <c r="C10" i="3476"/>
  <c r="H9" i="3476"/>
  <c r="C9" i="3476"/>
  <c r="H13" i="3476"/>
  <c r="C8" i="3476"/>
  <c r="O7" i="3476"/>
  <c r="H8" i="3476"/>
  <c r="C7" i="3476"/>
  <c r="O6" i="3476"/>
  <c r="H7" i="3476"/>
  <c r="B6" i="3476"/>
  <c r="O5" i="3476"/>
  <c r="H5" i="3476"/>
  <c r="B5" i="3476"/>
  <c r="O4" i="3476"/>
  <c r="H2" i="3476"/>
  <c r="O3" i="3476"/>
  <c r="H12" i="3476"/>
  <c r="O2" i="3476"/>
  <c r="H4" i="3476"/>
  <c r="O17" i="3475"/>
  <c r="O16" i="3475"/>
  <c r="O15" i="3475"/>
  <c r="H52" i="3475"/>
  <c r="H51" i="3475"/>
  <c r="H50" i="3475"/>
  <c r="H49" i="3475"/>
  <c r="H48" i="3475"/>
  <c r="H47" i="3475"/>
  <c r="H46" i="3475"/>
  <c r="H45" i="3475"/>
  <c r="H44" i="3475"/>
  <c r="C44" i="3475"/>
  <c r="H43" i="3475"/>
  <c r="C43" i="3475"/>
  <c r="H42" i="3475"/>
  <c r="C42" i="3475"/>
  <c r="H41" i="3475"/>
  <c r="C41" i="3475"/>
  <c r="H40" i="3475"/>
  <c r="C40" i="3475"/>
  <c r="H39" i="3475"/>
  <c r="C39" i="3475"/>
  <c r="H38" i="3475"/>
  <c r="C38" i="3475"/>
  <c r="H37" i="3475"/>
  <c r="C37" i="3475"/>
  <c r="H36" i="3475"/>
  <c r="C36" i="3475"/>
  <c r="H35" i="3475"/>
  <c r="C35" i="3475"/>
  <c r="H34" i="3475"/>
  <c r="C34" i="3475"/>
  <c r="H33" i="3475"/>
  <c r="C33" i="3475"/>
  <c r="H32" i="3475"/>
  <c r="C32" i="3475"/>
  <c r="H31" i="3475"/>
  <c r="H30" i="3475"/>
  <c r="C30" i="3475"/>
  <c r="H29" i="3475"/>
  <c r="H28" i="3475"/>
  <c r="H27" i="3475"/>
  <c r="H26" i="3475"/>
  <c r="H25" i="3475"/>
  <c r="B25" i="3475"/>
  <c r="H24" i="3475"/>
  <c r="B24" i="3475"/>
  <c r="H23" i="3475"/>
  <c r="B23" i="3475"/>
  <c r="H22" i="3475"/>
  <c r="B22" i="3475"/>
  <c r="H21" i="3475"/>
  <c r="C21" i="3475"/>
  <c r="H20" i="3475"/>
  <c r="C20" i="3475"/>
  <c r="H19" i="3475"/>
  <c r="C19" i="3475"/>
  <c r="H18" i="3475"/>
  <c r="C18" i="3475"/>
  <c r="H17" i="3475"/>
  <c r="C17" i="3475"/>
  <c r="H16" i="3475"/>
  <c r="C16" i="3475"/>
  <c r="H15" i="3475"/>
  <c r="C15" i="3475"/>
  <c r="H14" i="3475"/>
  <c r="C14" i="3475"/>
  <c r="H13" i="3475"/>
  <c r="C13" i="3475"/>
  <c r="O12" i="3475"/>
  <c r="H12" i="3475"/>
  <c r="C12" i="3475"/>
  <c r="O11" i="3475"/>
  <c r="H11" i="3475"/>
  <c r="C11" i="3475"/>
  <c r="O10" i="3475"/>
  <c r="H10" i="3475"/>
  <c r="C10" i="3475"/>
  <c r="H9" i="3475"/>
  <c r="C9" i="3475"/>
  <c r="H8" i="3475"/>
  <c r="C8" i="3475"/>
  <c r="O7" i="3475"/>
  <c r="H7" i="3475"/>
  <c r="C7" i="3475"/>
  <c r="O6" i="3475"/>
  <c r="H6" i="3475"/>
  <c r="B6" i="3475"/>
  <c r="O5" i="3475"/>
  <c r="H5" i="3475"/>
  <c r="B5" i="3475"/>
  <c r="O4" i="3475"/>
  <c r="H4" i="3475"/>
  <c r="O3" i="3475"/>
  <c r="H3" i="3475"/>
  <c r="O2" i="3475"/>
  <c r="H2" i="3475"/>
  <c r="O27" i="3474"/>
  <c r="O24" i="3474"/>
  <c r="O25" i="3474"/>
  <c r="O28" i="3474"/>
  <c r="O23" i="3474"/>
  <c r="O26" i="3474"/>
  <c r="O22" i="3474"/>
  <c r="O18" i="3474"/>
  <c r="O21" i="3474"/>
  <c r="O16" i="3474"/>
  <c r="O15" i="3474"/>
  <c r="H52" i="3474"/>
  <c r="H7" i="3474"/>
  <c r="H15" i="3474"/>
  <c r="H51" i="3474"/>
  <c r="H50" i="3474"/>
  <c r="H49" i="3474"/>
  <c r="H48" i="3474"/>
  <c r="H47" i="3474"/>
  <c r="H32" i="3474"/>
  <c r="C44" i="3474"/>
  <c r="H46" i="3474"/>
  <c r="C43" i="3474"/>
  <c r="H45" i="3474"/>
  <c r="C42" i="3474"/>
  <c r="H44" i="3474"/>
  <c r="C41" i="3474"/>
  <c r="H43" i="3474"/>
  <c r="C40" i="3474"/>
  <c r="H42" i="3474"/>
  <c r="C39" i="3474"/>
  <c r="H41" i="3474"/>
  <c r="C38" i="3474"/>
  <c r="H40" i="3474"/>
  <c r="C37" i="3474"/>
  <c r="H39" i="3474"/>
  <c r="C36" i="3474"/>
  <c r="H38" i="3474"/>
  <c r="C35" i="3474"/>
  <c r="H37" i="3474"/>
  <c r="C34" i="3474"/>
  <c r="H28" i="3474"/>
  <c r="C33" i="3474"/>
  <c r="H36" i="3474"/>
  <c r="C32" i="3474"/>
  <c r="H31" i="3474"/>
  <c r="H22" i="3474"/>
  <c r="C30" i="3474"/>
  <c r="H18" i="3474"/>
  <c r="H25" i="3474"/>
  <c r="H8" i="3474"/>
  <c r="H27" i="3474"/>
  <c r="H30" i="3474"/>
  <c r="B25" i="3474"/>
  <c r="H12" i="3474"/>
  <c r="B24" i="3474"/>
  <c r="H21" i="3474"/>
  <c r="B23" i="3474"/>
  <c r="H26" i="3474"/>
  <c r="B22" i="3474"/>
  <c r="H14" i="3474"/>
  <c r="C21" i="3474"/>
  <c r="H35" i="3474"/>
  <c r="C20" i="3474"/>
  <c r="H17" i="3474"/>
  <c r="C19" i="3474"/>
  <c r="H34" i="3474"/>
  <c r="C18" i="3474"/>
  <c r="H19" i="3474"/>
  <c r="C17" i="3474"/>
  <c r="H16" i="3474"/>
  <c r="C16" i="3474"/>
  <c r="H20" i="3474"/>
  <c r="C15" i="3474"/>
  <c r="H33" i="3474"/>
  <c r="C14" i="3474"/>
  <c r="H23" i="3474"/>
  <c r="C13" i="3474"/>
  <c r="O12" i="3474"/>
  <c r="H29" i="3474"/>
  <c r="C12" i="3474"/>
  <c r="O11" i="3474"/>
  <c r="H24" i="3474"/>
  <c r="C11" i="3474"/>
  <c r="O10" i="3474"/>
  <c r="H3" i="3474"/>
  <c r="C10" i="3474"/>
  <c r="H13" i="3474"/>
  <c r="C9" i="3474"/>
  <c r="H11" i="3474"/>
  <c r="C8" i="3474"/>
  <c r="O7" i="3474"/>
  <c r="H9" i="3474"/>
  <c r="C7" i="3474"/>
  <c r="O6" i="3474"/>
  <c r="H6" i="3474"/>
  <c r="B6" i="3474"/>
  <c r="O5" i="3474"/>
  <c r="H5" i="3474"/>
  <c r="B5" i="3474"/>
  <c r="O4" i="3474"/>
  <c r="H2" i="3474"/>
  <c r="O3" i="3474"/>
  <c r="H10" i="3474"/>
  <c r="O2" i="3474"/>
  <c r="H4" i="3474"/>
  <c r="O30" i="3473"/>
  <c r="O29" i="3473"/>
  <c r="O27" i="3473"/>
  <c r="O23" i="3473"/>
  <c r="O28" i="3473"/>
  <c r="O26" i="3473"/>
  <c r="O21" i="3473"/>
  <c r="O22" i="3473"/>
  <c r="O20" i="3473"/>
  <c r="O24" i="3473"/>
  <c r="O19" i="3473"/>
  <c r="O16" i="3473"/>
  <c r="O15" i="3473"/>
  <c r="H52" i="3473"/>
  <c r="H7" i="3473"/>
  <c r="H19" i="3473"/>
  <c r="H51" i="3473"/>
  <c r="H50" i="3473"/>
  <c r="H49" i="3473"/>
  <c r="H48" i="3473"/>
  <c r="H47" i="3473"/>
  <c r="H32" i="3473"/>
  <c r="C44" i="3473"/>
  <c r="H46" i="3473"/>
  <c r="C43" i="3473"/>
  <c r="H45" i="3473"/>
  <c r="C42" i="3473"/>
  <c r="H44" i="3473"/>
  <c r="C41" i="3473"/>
  <c r="H43" i="3473"/>
  <c r="C40" i="3473"/>
  <c r="H34" i="3473"/>
  <c r="C39" i="3473"/>
  <c r="H42" i="3473"/>
  <c r="C38" i="3473"/>
  <c r="H41" i="3473"/>
  <c r="C37" i="3473"/>
  <c r="H40" i="3473"/>
  <c r="C36" i="3473"/>
  <c r="H33" i="3473"/>
  <c r="C35" i="3473"/>
  <c r="H39" i="3473"/>
  <c r="C34" i="3473"/>
  <c r="H31" i="3473"/>
  <c r="C33" i="3473"/>
  <c r="H38" i="3473"/>
  <c r="C32" i="3473"/>
  <c r="H27" i="3473"/>
  <c r="H23" i="3473"/>
  <c r="C30" i="3473"/>
  <c r="H17" i="3473"/>
  <c r="H29" i="3473"/>
  <c r="H9" i="3473"/>
  <c r="H30" i="3473"/>
  <c r="H28" i="3473"/>
  <c r="B25" i="3473"/>
  <c r="H13" i="3473"/>
  <c r="B24" i="3473"/>
  <c r="H24" i="3473"/>
  <c r="B23" i="3473"/>
  <c r="H26" i="3473"/>
  <c r="B22" i="3473"/>
  <c r="H14" i="3473"/>
  <c r="C21" i="3473"/>
  <c r="H37" i="3473"/>
  <c r="C20" i="3473"/>
  <c r="H16" i="3473"/>
  <c r="C19" i="3473"/>
  <c r="H35" i="3473"/>
  <c r="C18" i="3473"/>
  <c r="H18" i="3473"/>
  <c r="C17" i="3473"/>
  <c r="H15" i="3473"/>
  <c r="C16" i="3473"/>
  <c r="H22" i="3473"/>
  <c r="C15" i="3473"/>
  <c r="H36" i="3473"/>
  <c r="C14" i="3473"/>
  <c r="H20" i="3473"/>
  <c r="C13" i="3473"/>
  <c r="O12" i="3473"/>
  <c r="H25" i="3473"/>
  <c r="C12" i="3473"/>
  <c r="O11" i="3473"/>
  <c r="H21" i="3473"/>
  <c r="C11" i="3473"/>
  <c r="O10" i="3473"/>
  <c r="H3" i="3473"/>
  <c r="C10" i="3473"/>
  <c r="H12" i="3473"/>
  <c r="C9" i="3473"/>
  <c r="H11" i="3473"/>
  <c r="C8" i="3473"/>
  <c r="O7" i="3473"/>
  <c r="H8" i="3473"/>
  <c r="C7" i="3473"/>
  <c r="O6" i="3473"/>
  <c r="H5" i="3473"/>
  <c r="B6" i="3473"/>
  <c r="O5" i="3473"/>
  <c r="H6" i="3473"/>
  <c r="B5" i="3473"/>
  <c r="O4" i="3473"/>
  <c r="H2" i="3473"/>
  <c r="O3" i="3473"/>
  <c r="H10" i="3473"/>
  <c r="O2" i="3473"/>
  <c r="H4" i="3473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<sst xmlns="http://schemas.openxmlformats.org/spreadsheetml/2006/main" count="3829" uniqueCount="201">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</sst>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全体!$K$2:$K$2612</c:f>
              <c:numCache>
                <c:formatCode>General</c:formatCode>
                <c:ptCount val="26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</c:numCache>
            </c:numRef>
          </c:xVal>
          <c:yVal>
            <c:numRef>
              <c:f>全体!$L$2:$L$2612</c:f>
              <c:numCache>
                <c:formatCode>\+0.0;\-0.0;\±0</c:formatCode>
                <c:ptCount val="261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C-4A49-8C4E-B1D56B8E4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-19.290123456790123</c:v>
                </c:pt>
                <c:pt idx="1">
                  <c:v>-1.1876484560570071</c:v>
                </c:pt>
                <c:pt idx="2">
                  <c:v>5.0568900126422252</c:v>
                </c:pt>
                <c:pt idx="3">
                  <c:v>5.0505050505050502</c:v>
                </c:pt>
                <c:pt idx="4">
                  <c:v>2.0481310803891448</c:v>
                </c:pt>
                <c:pt idx="5">
                  <c:v>15.206812652068127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F18-9BE9-529B9C7C3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392</c:v>
                </c:pt>
                <c:pt idx="1">
                  <c:v>875</c:v>
                </c:pt>
                <c:pt idx="2">
                  <c:v>1117</c:v>
                </c:pt>
                <c:pt idx="3">
                  <c:v>1100</c:v>
                </c:pt>
                <c:pt idx="4">
                  <c:v>925</c:v>
                </c:pt>
                <c:pt idx="5">
                  <c:v>599</c:v>
                </c:pt>
                <c:pt idx="6">
                  <c:v>367</c:v>
                </c:pt>
                <c:pt idx="7">
                  <c:v>203</c:v>
                </c:pt>
                <c:pt idx="8">
                  <c:v>115</c:v>
                </c:pt>
                <c:pt idx="9">
                  <c:v>56</c:v>
                </c:pt>
                <c:pt idx="10">
                  <c:v>31</c:v>
                </c:pt>
                <c:pt idx="11">
                  <c:v>15</c:v>
                </c:pt>
                <c:pt idx="12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0-49CB-A4D3-F228098CF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だいち!$K$2:$K$619</c:f>
              <c:numCache>
                <c:formatCode>General</c:formatCode>
                <c:ptCount val="6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</c:numCache>
            </c:numRef>
          </c:xVal>
          <c:yVal>
            <c:numRef>
              <c:f>だいち!$L$2:$L$619</c:f>
              <c:numCache>
                <c:formatCode>\+0.0;\-0.0;\±0</c:formatCode>
                <c:ptCount val="61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F5-4AC5-9A39-E3D97D29C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1270.0490998363339</c:v>
                </c:pt>
                <c:pt idx="1">
                  <c:v>1176.936026936027</c:v>
                </c:pt>
                <c:pt idx="2">
                  <c:v>1361.2788632326822</c:v>
                </c:pt>
                <c:pt idx="3">
                  <c:v>1740.7407407407406</c:v>
                </c:pt>
                <c:pt idx="4">
                  <c:v>1508.7336244541484</c:v>
                </c:pt>
                <c:pt idx="5">
                  <c:v>1695.8005249343832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0-4C79-969E-58757CF3A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100</c:v>
                </c:pt>
                <c:pt idx="1">
                  <c:v>206</c:v>
                </c:pt>
                <c:pt idx="2">
                  <c:v>299</c:v>
                </c:pt>
                <c:pt idx="3">
                  <c:v>309</c:v>
                </c:pt>
                <c:pt idx="4">
                  <c:v>228</c:v>
                </c:pt>
                <c:pt idx="5">
                  <c:v>167</c:v>
                </c:pt>
                <c:pt idx="6">
                  <c:v>107</c:v>
                </c:pt>
                <c:pt idx="7">
                  <c:v>48</c:v>
                </c:pt>
                <c:pt idx="8">
                  <c:v>31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9-4F38-A054-86DF83E04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8-4455-AA66-84F0BA3A3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DC-465A-9A08-8DAB586F5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4C-45E8-BB4E-0250DD264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0C-458A-B576-B60B49892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A-4968-A251-9DB0B5035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6-4212-8C04-67E4A0AC7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りくと!$K$2:$K$386</c:f>
              <c:numCache>
                <c:formatCode>General</c:formatCode>
                <c:ptCount val="3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</c:numCache>
            </c:numRef>
          </c:xVal>
          <c:yVal>
            <c:numRef>
              <c:f>りくと!$L$2:$L$386</c:f>
              <c:numCache>
                <c:formatCode>\+0.0;\-0.0;\±0</c:formatCode>
                <c:ptCount val="385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46-43F9-9B4F-A3C96A5C2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-159.05511811023621</c:v>
                </c:pt>
                <c:pt idx="1">
                  <c:v>-1359.6774193548388</c:v>
                </c:pt>
                <c:pt idx="2">
                  <c:v>457.06214689265539</c:v>
                </c:pt>
                <c:pt idx="3">
                  <c:v>-561.72839506172841</c:v>
                </c:pt>
                <c:pt idx="4">
                  <c:v>-1234.0277777777778</c:v>
                </c:pt>
                <c:pt idx="5">
                  <c:v>-1030.204081632653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27-423E-980F-C9666F136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43</c:v>
                </c:pt>
                <c:pt idx="1">
                  <c:v>103</c:v>
                </c:pt>
                <c:pt idx="2">
                  <c:v>155</c:v>
                </c:pt>
                <c:pt idx="3">
                  <c:v>144</c:v>
                </c:pt>
                <c:pt idx="4">
                  <c:v>130</c:v>
                </c:pt>
                <c:pt idx="5">
                  <c:v>93</c:v>
                </c:pt>
                <c:pt idx="6">
                  <c:v>57</c:v>
                </c:pt>
                <c:pt idx="7">
                  <c:v>27</c:v>
                </c:pt>
                <c:pt idx="8">
                  <c:v>13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0-4A29-AA2E-B91ADC36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9B-4C12-812D-09644D6F1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3-4027-9D4B-C87706279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F-45DB-BBFA-FA9E7C503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6-44A0-8895-5D15D4503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A-4A3B-AA9D-425A28705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0-4F66-8169-E87BF30AC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たかの!$K$2:$K$254</c:f>
              <c:numCache>
                <c:formatCode>General</c:formatCode>
                <c:ptCount val="2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</c:numCache>
            </c:numRef>
          </c:xVal>
          <c:yVal>
            <c:numRef>
              <c:f>たかの!$L$2:$L$254</c:f>
              <c:numCache>
                <c:formatCode>\+0.0;\-0.0;\±0</c:formatCode>
                <c:ptCount val="2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2D-4E67-AB46-C2C71C30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54.761904761904759</c:v>
                </c:pt>
                <c:pt idx="1">
                  <c:v>-1871.1382113821139</c:v>
                </c:pt>
                <c:pt idx="2">
                  <c:v>-1254.8672566371681</c:v>
                </c:pt>
                <c:pt idx="3">
                  <c:v>-23.364485981308412</c:v>
                </c:pt>
                <c:pt idx="4">
                  <c:v>-608.67346938775506</c:v>
                </c:pt>
                <c:pt idx="5">
                  <c:v>-1147.2727272727273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A-4CBD-BD7B-952E828A7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60</c:v>
                </c:pt>
                <c:pt idx="1">
                  <c:v>123</c:v>
                </c:pt>
                <c:pt idx="2">
                  <c:v>113</c:v>
                </c:pt>
                <c:pt idx="3">
                  <c:v>111</c:v>
                </c:pt>
                <c:pt idx="4">
                  <c:v>85</c:v>
                </c:pt>
                <c:pt idx="5">
                  <c:v>38</c:v>
                </c:pt>
                <c:pt idx="6">
                  <c:v>22</c:v>
                </c:pt>
                <c:pt idx="7">
                  <c:v>16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4-42D3-A271-34C4FCC16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ただ!$K$2:$K$431</c:f>
              <c:numCache>
                <c:formatCode>General</c:formatCode>
                <c:ptCount val="4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</c:numCache>
            </c:numRef>
          </c:xVal>
          <c:yVal>
            <c:numRef>
              <c:f>ただ!$L$2:$L$431</c:f>
              <c:numCache>
                <c:formatCode>\+0.0;\-0.0;\±0</c:formatCode>
                <c:ptCount val="43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28-4199-A786-05A1D136A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-806.58823529411768</c:v>
                </c:pt>
                <c:pt idx="1">
                  <c:v>-51.699029126213595</c:v>
                </c:pt>
                <c:pt idx="2">
                  <c:v>361.13989637305701</c:v>
                </c:pt>
                <c:pt idx="3">
                  <c:v>-1182.4022346368715</c:v>
                </c:pt>
                <c:pt idx="4">
                  <c:v>50.778816199376948</c:v>
                </c:pt>
                <c:pt idx="5">
                  <c:v>98.555956678700355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8-4E5F-A911-D078B5585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157</c:v>
                </c:pt>
                <c:pt idx="2">
                  <c:v>211</c:v>
                </c:pt>
                <c:pt idx="3">
                  <c:v>194</c:v>
                </c:pt>
                <c:pt idx="4">
                  <c:v>139</c:v>
                </c:pt>
                <c:pt idx="5">
                  <c:v>96</c:v>
                </c:pt>
                <c:pt idx="6">
                  <c:v>46</c:v>
                </c:pt>
                <c:pt idx="7">
                  <c:v>35</c:v>
                </c:pt>
                <c:pt idx="8">
                  <c:v>17</c:v>
                </c:pt>
                <c:pt idx="9">
                  <c:v>12</c:v>
                </c:pt>
                <c:pt idx="10">
                  <c:v>8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B-4064-94EC-C4548CA0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E-440D-A118-0AB4D8FFB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29-4814-B207-AA0E3B57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5-4263-8264-300FE071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れんたろう!$K$2:$K$331</c:f>
              <c:numCache>
                <c:formatCode>General</c:formatCode>
                <c:ptCount val="3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</c:numCache>
            </c:numRef>
          </c:xVal>
          <c:yVal>
            <c:numRef>
              <c:f>れんたろう!$L$2:$L$331</c:f>
              <c:numCache>
                <c:formatCode>\+0.0;\-0.0;\±0</c:formatCode>
                <c:ptCount val="33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A-4954-93F6-6A0002984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120.30769230769231</c:v>
                </c:pt>
                <c:pt idx="1">
                  <c:v>-25.157232704402517</c:v>
                </c:pt>
                <c:pt idx="2">
                  <c:v>185.42372881355934</c:v>
                </c:pt>
                <c:pt idx="3">
                  <c:v>602.61194029850742</c:v>
                </c:pt>
                <c:pt idx="4">
                  <c:v>-1652.6748971193415</c:v>
                </c:pt>
                <c:pt idx="5">
                  <c:v>201.47058823529412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4-4EC1-BD29-86DEFEEB3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25</c:v>
                </c:pt>
                <c:pt idx="1">
                  <c:v>78</c:v>
                </c:pt>
                <c:pt idx="2">
                  <c:v>110</c:v>
                </c:pt>
                <c:pt idx="3">
                  <c:v>146</c:v>
                </c:pt>
                <c:pt idx="4">
                  <c:v>142</c:v>
                </c:pt>
                <c:pt idx="5">
                  <c:v>82</c:v>
                </c:pt>
                <c:pt idx="6">
                  <c:v>62</c:v>
                </c:pt>
                <c:pt idx="7">
                  <c:v>36</c:v>
                </c:pt>
                <c:pt idx="8">
                  <c:v>23</c:v>
                </c:pt>
                <c:pt idx="9">
                  <c:v>11</c:v>
                </c:pt>
                <c:pt idx="10">
                  <c:v>7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29-4FF0-937F-8A956432D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6-4128-BA58-8A700F18C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1-4548-B638-0C6B5DB87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8-48AB-8FB4-4700CCBEC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まっつん!$L$2:$L$264</c:f>
              <c:numCache>
                <c:formatCode>\+0.0;\-0.0;\±0</c:formatCode>
                <c:ptCount val="263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FC-42FF-A563-7685BEC1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82.061068702290072</c:v>
                </c:pt>
                <c:pt idx="1">
                  <c:v>685.0980392156863</c:v>
                </c:pt>
                <c:pt idx="2">
                  <c:v>-727.31092436974791</c:v>
                </c:pt>
                <c:pt idx="3">
                  <c:v>-71.818181818181813</c:v>
                </c:pt>
                <c:pt idx="4">
                  <c:v>-1462.8140703517588</c:v>
                </c:pt>
                <c:pt idx="5">
                  <c:v>-189.69696969696969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FF-443A-BE5D-915CB8D30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41</c:v>
                </c:pt>
                <c:pt idx="1">
                  <c:v>91</c:v>
                </c:pt>
                <c:pt idx="2">
                  <c:v>108</c:v>
                </c:pt>
                <c:pt idx="3">
                  <c:v>96</c:v>
                </c:pt>
                <c:pt idx="4">
                  <c:v>98</c:v>
                </c:pt>
                <c:pt idx="5">
                  <c:v>61</c:v>
                </c:pt>
                <c:pt idx="6">
                  <c:v>34</c:v>
                </c:pt>
                <c:pt idx="7">
                  <c:v>16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6-4300-863D-769FC6DE8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ぱぱ!$L$2:$L$99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04-4A0B-AB2C-D0396A373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-2812.5</c:v>
                </c:pt>
                <c:pt idx="1">
                  <c:v>389.58333333333331</c:v>
                </c:pt>
                <c:pt idx="2">
                  <c:v>-1573.9130434782608</c:v>
                </c:pt>
                <c:pt idx="3">
                  <c:v>-3184.5238095238096</c:v>
                </c:pt>
                <c:pt idx="4">
                  <c:v>1229.3333333333333</c:v>
                </c:pt>
                <c:pt idx="5">
                  <c:v>84.848484848484844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E0-479D-9F4F-DBAC66B8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26</c:v>
                </c:pt>
                <c:pt idx="1">
                  <c:v>44</c:v>
                </c:pt>
                <c:pt idx="2">
                  <c:v>39</c:v>
                </c:pt>
                <c:pt idx="3">
                  <c:v>38</c:v>
                </c:pt>
                <c:pt idx="4">
                  <c:v>34</c:v>
                </c:pt>
                <c:pt idx="5">
                  <c:v>22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E-4096-B0B7-F6B5F4834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B1-483B-A9A6-6E7C7C6D1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18A-89D6-F3BD8E4FA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2-41E7-BD18-CF88FCC6F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C4-4BC3-8F7B-3BFC1401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8E-43B7-A00B-001BA0A2D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B-492B-8DEE-CE05A3B18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のり!$L$2:$L$57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5-4EF9-BF08-609E6B395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-2541.818181818182</c:v>
                </c:pt>
                <c:pt idx="1">
                  <c:v>-696.36363636363637</c:v>
                </c:pt>
                <c:pt idx="2">
                  <c:v>-1200</c:v>
                </c:pt>
                <c:pt idx="3">
                  <c:v>-2126.5306122448978</c:v>
                </c:pt>
                <c:pt idx="4">
                  <c:v>-1652.1739130434783</c:v>
                </c:pt>
                <c:pt idx="5">
                  <c:v>-2817.9487179487178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7-4DC5-A74B-DF01BBF70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11</c:v>
                </c:pt>
                <c:pt idx="1">
                  <c:v>26</c:v>
                </c:pt>
                <c:pt idx="2">
                  <c:v>25</c:v>
                </c:pt>
                <c:pt idx="3">
                  <c:v>16</c:v>
                </c:pt>
                <c:pt idx="4">
                  <c:v>16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7-4B97-BCC7-53DFB7B42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4-41FB-A369-67A7A5571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3-4DE8-91EF-31B81B2CC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2-4662-B308-8B6E7E2C0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EB1F02-53A9-4A5D-9533-7200C56499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BE32DD-5D72-4B70-9BE7-C019743237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38C8E0E-ABD5-42B6-BA90-5055194A7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8082C3-273B-42D5-A89D-4724ABEF01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B0C446-487A-4F8E-81DF-41F23E2C8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50F0EBF-2289-4E79-8C47-A63BB40BC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8C8FCE-A590-4AAA-8D5A-9DD1CCEE9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FF3C75-6636-4D93-8DBC-2804B38BB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B0E040-9315-450A-B8C8-21538AD7A5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AC1EA6-23AC-41B5-AB86-5F991CD1F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79A353-1091-43AA-8525-115687912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B5B800-B19D-4F39-B25B-A1EA92794E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AB0F3A-9A19-4629-A6E5-A5482B931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226A65-6803-4421-B048-650890A5E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28E723-3EE4-44D4-B75A-DDF818987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09E992-E12B-4985-AB41-F65962FB1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E94EDF-6EAA-4A45-A3CF-39D305AC52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C9E67F-4764-4CB4-AC53-201BE8DE9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183C52-609D-4881-BECA-6637FC0A5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814557-AFFB-4D49-BB8C-1B05FFEFD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3BB130-AA8E-4A15-98C1-9C139FAC6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723A76-4588-47CC-AEB0-07D2453C4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5CD163-70E2-48BB-B518-927ED44954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047E8B-55ED-4527-916F-E8ACE6712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91E9D5-FA72-4E65-BEBF-7D435F5B0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64ED1D-1F50-4E81-A2B8-19A5A4EC7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8BA9F0-8B69-47DB-ADB7-F8F7EF840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8AFD0B-A3EC-4FDF-915B-7E6036222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C09F30-CEEE-4126-8A86-50A64852E2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D428805-1F22-49E2-896F-C0747AFB3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E2913F-3299-4DEF-978E-06F4FDAEE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FCD040-7BF4-4232-96BE-99FFD3F6B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2B25DD-9158-4DD2-AB55-4F1463A37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5EBEE2-542E-4CD6-8B76-4228447A9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4AE88C-F850-4901-B284-B9FA814B5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F478FAC-719C-45A7-BC59-44E9906A6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464A17-09BB-4633-8484-F5CB80EBCB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D79CB6-566A-4C4D-A49C-4EF45AFAD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BE031D-D35A-432D-83AF-E69622F91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BE3A3C-7286-4B7F-A891-174D591D3F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4D182F-2AFD-417E-928C-F19BAC2AE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5B5E56-22E4-4235-919D-DF6EB7DE5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5109D8-9508-48C6-80A1-C90279CDC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493C86-32C9-4454-B4C7-B4D98ABE6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80AB75-AD13-43A5-B9BC-6EF5C762E6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876A33-9167-4343-AD47-80B8B1E81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B14D28-EC9D-4C2F-BEC4-06F83BA62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BD0709-875B-4B9A-9E6F-DFC7AE601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D01EAC-EF3B-47A7-9A3A-A6A3D8768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A91F6C-CAE7-4500-BC23-36CE7E3CF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6CDEE5-8A77-49A3-93AD-38FC1C50E0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280BE4-09C3-4143-AEB3-9436D678A8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0C54DE-9EB8-4AF8-B4A7-8AFDF89D76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4983E6-407C-4DDA-8C9F-5B0F85649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25"/>
      <c r="C1" s="12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29">
        <v>0</v>
      </c>
      <c r="C3" s="130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5">
      <c r="A4" s="20" t="s">
        <v>6</v>
      </c>
      <c r="B4" s="131">
        <v>0</v>
      </c>
      <c r="C4" s="132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5">
      <c r="A5" s="20" t="s">
        <v>7</v>
      </c>
      <c r="B5" s="133">
        <f>IF(B$2=0,0,B$4/B$2)</f>
        <v>0</v>
      </c>
      <c r="C5" s="134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5">
      <c r="A6" s="20" t="s">
        <v>1</v>
      </c>
      <c r="B6" s="141">
        <f>IF(B$2=0,0,(B$7*1+B$8*2+B$9*3)/B$2)</f>
        <v>0</v>
      </c>
      <c r="C6" s="142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5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5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5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5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5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5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5">
      <c r="A28" s="64" t="s">
        <v>134</v>
      </c>
      <c r="B28" s="139">
        <v>0</v>
      </c>
      <c r="C28" s="140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5">
      <c r="A29" s="40" t="s">
        <v>177</v>
      </c>
      <c r="B29" s="137">
        <v>-1000000</v>
      </c>
      <c r="C29" s="138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5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5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5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5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5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5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5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5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5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5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5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5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5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5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5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5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5">
      <c r="A47" s="39" t="s">
        <v>182</v>
      </c>
      <c r="B47" s="135">
        <v>0</v>
      </c>
      <c r="C47" s="13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5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5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5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5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47:C47"/>
    <mergeCell ref="B46:C46"/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0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7" customWidth="1"/>
    <col min="3" max="3" width="10.69921875" style="58" customWidth="1"/>
    <col min="4" max="4" width="10.69921875" style="59" customWidth="1"/>
    <col min="5" max="5" width="10.69921875" style="71" customWidth="1"/>
    <col min="6" max="6" width="10.69921875" style="59" customWidth="1"/>
    <col min="7" max="7" width="10.69921875" style="60" customWidth="1"/>
    <col min="8" max="8" width="10.69921875" style="59" customWidth="1"/>
    <col min="9" max="9" width="10.69921875" style="61" customWidth="1"/>
    <col min="10" max="10" width="10.69921875" style="59" customWidth="1"/>
    <col min="11" max="11" width="10.69921875" style="61" customWidth="1"/>
    <col min="12" max="12" width="10.69921875" style="59" customWidth="1"/>
    <col min="13" max="13" width="10.69921875" style="62" customWidth="1"/>
    <col min="14" max="14" width="10.69921875" style="59" customWidth="1"/>
    <col min="15" max="15" width="10.69921875" style="62" customWidth="1"/>
    <col min="16" max="16" width="10.69921875" style="59" customWidth="1"/>
    <col min="17" max="17" width="10.69921875" style="63" customWidth="1"/>
    <col min="18" max="18" width="10.69921875" style="59" customWidth="1"/>
    <col min="19" max="19" width="10.69921875" style="63" customWidth="1"/>
    <col min="20" max="20" width="10.69921875" style="59" customWidth="1"/>
    <col min="21" max="21" width="10.69921875" style="61" customWidth="1"/>
    <col min="22" max="22" width="10.69921875" style="59" customWidth="1"/>
    <col min="23" max="23" width="10.69921875" style="62" customWidth="1"/>
    <col min="24" max="24" width="10.69921875" style="59" customWidth="1"/>
    <col min="25" max="25" width="10.69921875" style="62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6" customWidth="1"/>
    <col min="34" max="16384" width="9" style="47"/>
  </cols>
  <sheetData>
    <row r="1" spans="1:33" x14ac:dyDescent="0.45">
      <c r="A1" s="46"/>
      <c r="B1" s="145" t="s">
        <v>6</v>
      </c>
      <c r="C1" s="146"/>
      <c r="D1" s="145" t="s">
        <v>7</v>
      </c>
      <c r="E1" s="146"/>
      <c r="F1" s="145" t="s">
        <v>15</v>
      </c>
      <c r="G1" s="146"/>
      <c r="H1" s="145" t="s">
        <v>14</v>
      </c>
      <c r="I1" s="146"/>
      <c r="J1" s="145" t="s">
        <v>147</v>
      </c>
      <c r="K1" s="146"/>
      <c r="L1" s="145" t="s">
        <v>137</v>
      </c>
      <c r="M1" s="146"/>
      <c r="N1" s="145" t="s">
        <v>138</v>
      </c>
      <c r="O1" s="146"/>
      <c r="P1" s="145" t="s">
        <v>5</v>
      </c>
      <c r="Q1" s="146"/>
      <c r="R1" s="145" t="s">
        <v>16</v>
      </c>
      <c r="S1" s="146"/>
      <c r="T1" s="145" t="s">
        <v>17</v>
      </c>
      <c r="U1" s="146"/>
      <c r="V1" s="145" t="s">
        <v>122</v>
      </c>
      <c r="W1" s="146"/>
      <c r="X1" s="145" t="s">
        <v>119</v>
      </c>
      <c r="Y1" s="146"/>
      <c r="Z1" s="145" t="s">
        <v>125</v>
      </c>
      <c r="AA1" s="146"/>
      <c r="AB1" s="145" t="s">
        <v>139</v>
      </c>
      <c r="AC1" s="146"/>
      <c r="AD1" s="145" t="s">
        <v>136</v>
      </c>
      <c r="AE1" s="146"/>
      <c r="AF1" s="145" t="s">
        <v>177</v>
      </c>
      <c r="AG1" s="146"/>
    </row>
    <row r="2" spans="1:33" x14ac:dyDescent="0.45">
      <c r="A2" s="46" t="s">
        <v>146</v>
      </c>
      <c r="B2" s="147"/>
      <c r="C2" s="148"/>
      <c r="D2" s="147"/>
      <c r="E2" s="148"/>
      <c r="F2" s="143">
        <v>0.95096460728989407</v>
      </c>
      <c r="G2" s="144"/>
      <c r="H2" s="143">
        <v>0.94558988208492101</v>
      </c>
      <c r="I2" s="144"/>
      <c r="J2" s="143">
        <v>0.90615315580193445</v>
      </c>
      <c r="K2" s="144"/>
      <c r="L2" s="143">
        <v>0.75704795546965242</v>
      </c>
      <c r="M2" s="144"/>
      <c r="N2" s="143">
        <v>0.75356898031264163</v>
      </c>
      <c r="O2" s="144"/>
      <c r="P2" s="143">
        <v>0.56330697442437883</v>
      </c>
      <c r="Q2" s="144"/>
      <c r="R2" s="143">
        <v>-0.46428247871059314</v>
      </c>
      <c r="S2" s="144"/>
      <c r="T2" s="143">
        <v>0.39567371195101003</v>
      </c>
      <c r="U2" s="144"/>
      <c r="V2" s="143">
        <v>0.72690990584817783</v>
      </c>
      <c r="W2" s="144"/>
      <c r="X2" s="143">
        <v>5.0845272041973963E-2</v>
      </c>
      <c r="Y2" s="144"/>
      <c r="Z2" s="143">
        <v>0.31545324087460375</v>
      </c>
      <c r="AA2" s="144"/>
      <c r="AB2" s="143">
        <v>0.42110786281486534</v>
      </c>
      <c r="AC2" s="144"/>
      <c r="AD2" s="143">
        <v>-0.23430966595638766</v>
      </c>
      <c r="AE2" s="144"/>
      <c r="AF2" s="143">
        <v>0.83849610138931341</v>
      </c>
      <c r="AG2" s="144"/>
    </row>
    <row r="3" spans="1:33" x14ac:dyDescent="0.45">
      <c r="A3" s="48">
        <v>1</v>
      </c>
      <c r="B3" s="49" t="s">
        <v>195</v>
      </c>
      <c r="C3" s="50">
        <v>5899.7</v>
      </c>
      <c r="D3" s="51" t="s">
        <v>200</v>
      </c>
      <c r="E3" s="70">
        <v>13.3</v>
      </c>
      <c r="F3" s="51" t="s">
        <v>196</v>
      </c>
      <c r="G3" s="52">
        <v>1.6666666666666667</v>
      </c>
      <c r="H3" s="51" t="s">
        <v>196</v>
      </c>
      <c r="I3" s="53">
        <v>0.55555555555555558</v>
      </c>
      <c r="J3" s="51" t="s">
        <v>200</v>
      </c>
      <c r="K3" s="53">
        <v>0</v>
      </c>
      <c r="L3" s="51" t="s">
        <v>196</v>
      </c>
      <c r="M3" s="54">
        <v>0.34782608695652173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-7542.6332288401254</v>
      </c>
      <c r="T3" s="51" t="s">
        <v>189</v>
      </c>
      <c r="U3" s="53">
        <v>0</v>
      </c>
      <c r="V3" s="51" t="s">
        <v>189</v>
      </c>
      <c r="W3" s="54">
        <v>0.42105263157894735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1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5">
      <c r="A4" s="56">
        <v>2</v>
      </c>
      <c r="B4" s="57" t="s">
        <v>196</v>
      </c>
      <c r="C4" s="58">
        <v>109</v>
      </c>
      <c r="D4" s="59" t="s">
        <v>196</v>
      </c>
      <c r="E4" s="71">
        <v>12.111111111111111</v>
      </c>
      <c r="F4" s="59" t="s">
        <v>195</v>
      </c>
      <c r="G4" s="60">
        <v>1.7585089141004862</v>
      </c>
      <c r="H4" s="59" t="s">
        <v>195</v>
      </c>
      <c r="I4" s="61">
        <v>0.46677471636953</v>
      </c>
      <c r="J4" s="59" t="s">
        <v>196</v>
      </c>
      <c r="K4" s="61">
        <v>0.22222222222222221</v>
      </c>
      <c r="L4" s="59" t="s">
        <v>195</v>
      </c>
      <c r="M4" s="62">
        <v>0.34688457609805923</v>
      </c>
      <c r="N4" s="59" t="s">
        <v>196</v>
      </c>
      <c r="O4" s="62">
        <v>8.6956521739130432E-2</v>
      </c>
      <c r="P4" s="59" t="s">
        <v>189</v>
      </c>
      <c r="Q4" s="63">
        <v>12333.333333333334</v>
      </c>
      <c r="R4" s="59" t="s">
        <v>197</v>
      </c>
      <c r="S4" s="63">
        <v>-7925.8426966292136</v>
      </c>
      <c r="T4" s="59" t="s">
        <v>200</v>
      </c>
      <c r="U4" s="61">
        <v>0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196</v>
      </c>
      <c r="AA4" s="62">
        <v>0.61538461538461542</v>
      </c>
      <c r="AB4" s="59" t="s">
        <v>196</v>
      </c>
      <c r="AC4" s="62">
        <v>0.5</v>
      </c>
      <c r="AD4" s="59" t="s">
        <v>186</v>
      </c>
      <c r="AE4" s="62">
        <v>0.51327433628318586</v>
      </c>
      <c r="AF4" s="59" t="s">
        <v>183</v>
      </c>
      <c r="AG4" s="66">
        <v>149100</v>
      </c>
    </row>
    <row r="5" spans="1:33" x14ac:dyDescent="0.45">
      <c r="A5" s="56">
        <v>3</v>
      </c>
      <c r="B5" s="57" t="s">
        <v>192</v>
      </c>
      <c r="C5" s="58">
        <v>91.000000000000014</v>
      </c>
      <c r="D5" s="59" t="s">
        <v>195</v>
      </c>
      <c r="E5" s="71">
        <v>9.5619124797406805</v>
      </c>
      <c r="F5" s="59" t="s">
        <v>199</v>
      </c>
      <c r="G5" s="60">
        <v>1.9285714285714286</v>
      </c>
      <c r="H5" s="59" t="s">
        <v>192</v>
      </c>
      <c r="I5" s="61">
        <v>0.35897435897435898</v>
      </c>
      <c r="J5" s="59" t="s">
        <v>195</v>
      </c>
      <c r="K5" s="61">
        <v>0.22528363047001621</v>
      </c>
      <c r="L5" s="59" t="s">
        <v>194</v>
      </c>
      <c r="M5" s="62">
        <v>0.32835820895522388</v>
      </c>
      <c r="N5" s="59" t="s">
        <v>195</v>
      </c>
      <c r="O5" s="62">
        <v>0.14157303370786517</v>
      </c>
      <c r="P5" s="59" t="s">
        <v>192</v>
      </c>
      <c r="Q5" s="63">
        <v>11250.561797752809</v>
      </c>
      <c r="R5" s="59" t="s">
        <v>186</v>
      </c>
      <c r="S5" s="63">
        <v>-7985.2760736196315</v>
      </c>
      <c r="T5" s="59" t="s">
        <v>195</v>
      </c>
      <c r="U5" s="61">
        <v>7.9416531604538085E-2</v>
      </c>
      <c r="V5" s="59" t="s">
        <v>191</v>
      </c>
      <c r="W5" s="62">
        <v>0.29804372842347526</v>
      </c>
      <c r="X5" s="59" t="s">
        <v>194</v>
      </c>
      <c r="Y5" s="62">
        <v>0.27777777777777779</v>
      </c>
      <c r="Z5" s="59" t="s">
        <v>194</v>
      </c>
      <c r="AA5" s="62">
        <v>0.61386138613861385</v>
      </c>
      <c r="AB5" s="59" t="s">
        <v>195</v>
      </c>
      <c r="AC5" s="62">
        <v>0.49325025960539981</v>
      </c>
      <c r="AD5" s="59" t="s">
        <v>199</v>
      </c>
      <c r="AE5" s="62">
        <v>0.51249999999999996</v>
      </c>
      <c r="AF5" s="59" t="s">
        <v>191</v>
      </c>
      <c r="AG5" s="66">
        <v>124700</v>
      </c>
    </row>
    <row r="6" spans="1:33" x14ac:dyDescent="0.45">
      <c r="A6" s="56">
        <v>4</v>
      </c>
      <c r="B6" s="57" t="s">
        <v>200</v>
      </c>
      <c r="C6" s="58">
        <v>13.3</v>
      </c>
      <c r="D6" s="59" t="s">
        <v>192</v>
      </c>
      <c r="E6" s="71">
        <v>2.3333333333333335</v>
      </c>
      <c r="F6" s="59" t="s">
        <v>194</v>
      </c>
      <c r="G6" s="60">
        <v>1.9890109890109891</v>
      </c>
      <c r="H6" s="59" t="s">
        <v>199</v>
      </c>
      <c r="I6" s="61">
        <v>0.35714285714285715</v>
      </c>
      <c r="J6" s="59" t="s">
        <v>189</v>
      </c>
      <c r="K6" s="61">
        <v>0.25</v>
      </c>
      <c r="L6" s="59" t="s">
        <v>199</v>
      </c>
      <c r="M6" s="62">
        <v>0.31620553359683795</v>
      </c>
      <c r="N6" s="59" t="s">
        <v>187</v>
      </c>
      <c r="O6" s="62">
        <v>0.14962476547842402</v>
      </c>
      <c r="P6" s="59" t="s">
        <v>191</v>
      </c>
      <c r="Q6" s="63">
        <v>10464.799999999999</v>
      </c>
      <c r="R6" s="59" t="s">
        <v>184</v>
      </c>
      <c r="S6" s="63">
        <v>-8240</v>
      </c>
      <c r="T6" s="59" t="s">
        <v>188</v>
      </c>
      <c r="U6" s="61">
        <v>0.10714285714285714</v>
      </c>
      <c r="V6" s="59" t="s">
        <v>195</v>
      </c>
      <c r="W6" s="62">
        <v>0.29443568371254786</v>
      </c>
      <c r="X6" s="59" t="s">
        <v>188</v>
      </c>
      <c r="Y6" s="62">
        <v>0.27225403435710566</v>
      </c>
      <c r="Z6" s="59" t="s">
        <v>195</v>
      </c>
      <c r="AA6" s="62">
        <v>0.61361897475133897</v>
      </c>
      <c r="AB6" s="59" t="s">
        <v>194</v>
      </c>
      <c r="AC6" s="62">
        <v>0.43333333333333335</v>
      </c>
      <c r="AD6" s="59" t="s">
        <v>200</v>
      </c>
      <c r="AE6" s="62">
        <v>0.5</v>
      </c>
      <c r="AF6" s="59" t="s">
        <v>194</v>
      </c>
      <c r="AG6" s="66">
        <v>118000</v>
      </c>
    </row>
    <row r="7" spans="1:33" x14ac:dyDescent="0.45">
      <c r="A7" s="56">
        <v>5</v>
      </c>
      <c r="B7" s="57" t="s">
        <v>183</v>
      </c>
      <c r="C7" s="58">
        <v>5.8619775700208265E-14</v>
      </c>
      <c r="D7" s="59" t="s">
        <v>183</v>
      </c>
      <c r="E7" s="71">
        <v>2.2459684176325006E-17</v>
      </c>
      <c r="F7" s="59" t="s">
        <v>183</v>
      </c>
      <c r="G7" s="60">
        <v>2</v>
      </c>
      <c r="H7" s="59" t="s">
        <v>194</v>
      </c>
      <c r="I7" s="61">
        <v>0.34065934065934067</v>
      </c>
      <c r="J7" s="59" t="s">
        <v>199</v>
      </c>
      <c r="K7" s="61">
        <v>0.2857142857142857</v>
      </c>
      <c r="L7" s="59" t="s">
        <v>198</v>
      </c>
      <c r="M7" s="62">
        <v>0.3125</v>
      </c>
      <c r="N7" s="59" t="s">
        <v>198</v>
      </c>
      <c r="O7" s="62">
        <v>0.15625</v>
      </c>
      <c r="P7" s="59" t="s">
        <v>194</v>
      </c>
      <c r="Q7" s="63">
        <v>9344.0909090909099</v>
      </c>
      <c r="R7" s="59" t="s">
        <v>190</v>
      </c>
      <c r="S7" s="63">
        <v>-8337.0940170940175</v>
      </c>
      <c r="T7" s="59" t="s">
        <v>196</v>
      </c>
      <c r="U7" s="61">
        <v>0.1111111111111111</v>
      </c>
      <c r="V7" s="59" t="s">
        <v>190</v>
      </c>
      <c r="W7" s="62">
        <v>0.2903677758318739</v>
      </c>
      <c r="X7" s="59" t="s">
        <v>193</v>
      </c>
      <c r="Y7" s="62">
        <v>0.24054373522458627</v>
      </c>
      <c r="Z7" s="59" t="s">
        <v>199</v>
      </c>
      <c r="AA7" s="62">
        <v>0.58730158730158732</v>
      </c>
      <c r="AB7" s="59" t="s">
        <v>183</v>
      </c>
      <c r="AC7" s="62">
        <v>0.40450989415554534</v>
      </c>
      <c r="AD7" s="59" t="s">
        <v>192</v>
      </c>
      <c r="AE7" s="62">
        <v>0.48314606741573035</v>
      </c>
      <c r="AF7" s="59" t="s">
        <v>186</v>
      </c>
      <c r="AG7" s="66">
        <v>113300</v>
      </c>
    </row>
    <row r="8" spans="1:33" x14ac:dyDescent="0.45">
      <c r="A8" s="56">
        <v>6</v>
      </c>
      <c r="B8" s="57" t="s">
        <v>194</v>
      </c>
      <c r="C8" s="58">
        <v>-3.4999999999999893</v>
      </c>
      <c r="D8" s="59" t="s">
        <v>194</v>
      </c>
      <c r="E8" s="71">
        <v>-3.8461538461538346E-2</v>
      </c>
      <c r="F8" s="59" t="s">
        <v>189</v>
      </c>
      <c r="G8" s="60">
        <v>2</v>
      </c>
      <c r="H8" s="59" t="s">
        <v>193</v>
      </c>
      <c r="I8" s="61">
        <v>0.33566433566433568</v>
      </c>
      <c r="J8" s="59" t="s">
        <v>194</v>
      </c>
      <c r="K8" s="61">
        <v>0.32967032967032966</v>
      </c>
      <c r="L8" s="59" t="s">
        <v>183</v>
      </c>
      <c r="M8" s="62">
        <v>0.29814105293032495</v>
      </c>
      <c r="N8" s="59" t="s">
        <v>188</v>
      </c>
      <c r="O8" s="62">
        <v>0.16373155640171347</v>
      </c>
      <c r="P8" s="59" t="s">
        <v>190</v>
      </c>
      <c r="Q8" s="63">
        <v>9312.7358490566039</v>
      </c>
      <c r="R8" s="59" t="s">
        <v>196</v>
      </c>
      <c r="S8" s="63">
        <v>-8400</v>
      </c>
      <c r="T8" s="59" t="s">
        <v>183</v>
      </c>
      <c r="U8" s="61">
        <v>0.12413793103448276</v>
      </c>
      <c r="V8" s="59" t="s">
        <v>192</v>
      </c>
      <c r="W8" s="62">
        <v>0.27777777777777779</v>
      </c>
      <c r="X8" s="59" t="s">
        <v>192</v>
      </c>
      <c r="Y8" s="62">
        <v>0.23931623931623933</v>
      </c>
      <c r="Z8" s="59" t="s">
        <v>187</v>
      </c>
      <c r="AA8" s="62">
        <v>0.58504672897196264</v>
      </c>
      <c r="AB8" s="59" t="s">
        <v>191</v>
      </c>
      <c r="AC8" s="62">
        <v>0.40082644628099173</v>
      </c>
      <c r="AD8" s="59" t="s">
        <v>190</v>
      </c>
      <c r="AE8" s="62">
        <v>0.45047169811320753</v>
      </c>
      <c r="AF8" s="59" t="s">
        <v>193</v>
      </c>
      <c r="AG8" s="66">
        <v>109300</v>
      </c>
    </row>
    <row r="9" spans="1:33" x14ac:dyDescent="0.45">
      <c r="A9" s="56">
        <v>7</v>
      </c>
      <c r="B9" s="57" t="s">
        <v>189</v>
      </c>
      <c r="C9" s="58">
        <v>-15.5</v>
      </c>
      <c r="D9" s="59" t="s">
        <v>191</v>
      </c>
      <c r="E9" s="71">
        <v>-0.49057750759878344</v>
      </c>
      <c r="F9" s="59" t="s">
        <v>200</v>
      </c>
      <c r="G9" s="60">
        <v>2</v>
      </c>
      <c r="H9" s="59" t="s">
        <v>183</v>
      </c>
      <c r="I9" s="61">
        <v>0.33333333333333331</v>
      </c>
      <c r="J9" s="59" t="s">
        <v>183</v>
      </c>
      <c r="K9" s="61">
        <v>0.33333333333333331</v>
      </c>
      <c r="L9" s="59" t="s">
        <v>188</v>
      </c>
      <c r="M9" s="62">
        <v>0.29795335554497859</v>
      </c>
      <c r="N9" s="59" t="s">
        <v>189</v>
      </c>
      <c r="O9" s="62">
        <v>0.16666666666666666</v>
      </c>
      <c r="P9" s="59" t="s">
        <v>195</v>
      </c>
      <c r="Q9" s="63">
        <v>9281.2720848056542</v>
      </c>
      <c r="R9" s="59" t="s">
        <v>183</v>
      </c>
      <c r="S9" s="63">
        <v>-8446.8891402714926</v>
      </c>
      <c r="T9" s="59" t="s">
        <v>187</v>
      </c>
      <c r="U9" s="61">
        <v>0.12595419847328243</v>
      </c>
      <c r="V9" s="59" t="s">
        <v>183</v>
      </c>
      <c r="W9" s="62">
        <v>0.26697084917617236</v>
      </c>
      <c r="X9" s="59" t="s">
        <v>197</v>
      </c>
      <c r="Y9" s="62">
        <v>0.23144104803493451</v>
      </c>
      <c r="Z9" s="59" t="s">
        <v>190</v>
      </c>
      <c r="AA9" s="62">
        <v>0.58021712907117007</v>
      </c>
      <c r="AB9" s="59" t="s">
        <v>188</v>
      </c>
      <c r="AC9" s="62">
        <v>0.39961759082217974</v>
      </c>
      <c r="AD9" s="59" t="s">
        <v>197</v>
      </c>
      <c r="AE9" s="62">
        <v>0.44827586206896552</v>
      </c>
      <c r="AF9" s="59" t="s">
        <v>192</v>
      </c>
      <c r="AG9" s="66">
        <v>109300</v>
      </c>
    </row>
    <row r="10" spans="1:33" x14ac:dyDescent="0.45">
      <c r="A10" s="56">
        <v>8</v>
      </c>
      <c r="B10" s="57" t="s">
        <v>199</v>
      </c>
      <c r="C10" s="58">
        <v>-22.000000000000028</v>
      </c>
      <c r="D10" s="59" t="s">
        <v>199</v>
      </c>
      <c r="E10" s="71">
        <v>-0.7857142857142867</v>
      </c>
      <c r="F10" s="59" t="s">
        <v>193</v>
      </c>
      <c r="G10" s="60">
        <v>2.0069930069930071</v>
      </c>
      <c r="H10" s="59" t="s">
        <v>191</v>
      </c>
      <c r="I10" s="61">
        <v>0.30091185410334348</v>
      </c>
      <c r="J10" s="59" t="s">
        <v>187</v>
      </c>
      <c r="K10" s="61">
        <v>0.33587786259541985</v>
      </c>
      <c r="L10" s="59" t="s">
        <v>193</v>
      </c>
      <c r="M10" s="62">
        <v>0.29088319088319087</v>
      </c>
      <c r="N10" s="59" t="s">
        <v>183</v>
      </c>
      <c r="O10" s="62">
        <v>0.16725793481859894</v>
      </c>
      <c r="P10" s="59" t="s">
        <v>183</v>
      </c>
      <c r="Q10" s="63">
        <v>9053.6411232746304</v>
      </c>
      <c r="R10" s="59" t="s">
        <v>193</v>
      </c>
      <c r="S10" s="63">
        <v>-8460.2627257799668</v>
      </c>
      <c r="T10" s="59" t="s">
        <v>193</v>
      </c>
      <c r="U10" s="61">
        <v>0.13053613053613053</v>
      </c>
      <c r="V10" s="59" t="s">
        <v>185</v>
      </c>
      <c r="W10" s="62">
        <v>0.25806451612903225</v>
      </c>
      <c r="X10" s="59" t="s">
        <v>187</v>
      </c>
      <c r="Y10" s="62">
        <v>0.22326454033771106</v>
      </c>
      <c r="Z10" s="59" t="s">
        <v>183</v>
      </c>
      <c r="AA10" s="62">
        <v>0.57349031522977589</v>
      </c>
      <c r="AB10" s="59" t="s">
        <v>197</v>
      </c>
      <c r="AC10" s="62">
        <v>0.39622641509433965</v>
      </c>
      <c r="AD10" s="59" t="s">
        <v>191</v>
      </c>
      <c r="AE10" s="62">
        <v>0.44666666666666666</v>
      </c>
      <c r="AF10" s="59" t="s">
        <v>190</v>
      </c>
      <c r="AG10" s="66">
        <v>107600</v>
      </c>
    </row>
    <row r="11" spans="1:33" x14ac:dyDescent="0.45">
      <c r="A11" s="56">
        <v>9</v>
      </c>
      <c r="B11" s="57" t="s">
        <v>198</v>
      </c>
      <c r="C11" s="58">
        <v>-56.2</v>
      </c>
      <c r="D11" s="59" t="s">
        <v>187</v>
      </c>
      <c r="E11" s="71">
        <v>-1.1877862595419848</v>
      </c>
      <c r="F11" s="59" t="s">
        <v>192</v>
      </c>
      <c r="G11" s="60">
        <v>2.0256410256410255</v>
      </c>
      <c r="H11" s="59" t="s">
        <v>187</v>
      </c>
      <c r="I11" s="61">
        <v>0.28244274809160308</v>
      </c>
      <c r="J11" s="59" t="s">
        <v>193</v>
      </c>
      <c r="K11" s="61">
        <v>0.34265734265734266</v>
      </c>
      <c r="L11" s="59" t="s">
        <v>191</v>
      </c>
      <c r="M11" s="62">
        <v>0.28366111951588502</v>
      </c>
      <c r="N11" s="59" t="s">
        <v>192</v>
      </c>
      <c r="O11" s="62">
        <v>0.16772151898734178</v>
      </c>
      <c r="P11" s="59" t="s">
        <v>196</v>
      </c>
      <c r="Q11" s="63">
        <v>8891.6666666666661</v>
      </c>
      <c r="R11" s="59" t="s">
        <v>195</v>
      </c>
      <c r="S11" s="63">
        <v>-8504.4733044733039</v>
      </c>
      <c r="T11" s="59" t="s">
        <v>191</v>
      </c>
      <c r="U11" s="61">
        <v>0.13677811550151975</v>
      </c>
      <c r="V11" s="59" t="s">
        <v>193</v>
      </c>
      <c r="W11" s="62">
        <v>0.25236406619385343</v>
      </c>
      <c r="X11" s="59" t="s">
        <v>183</v>
      </c>
      <c r="Y11" s="62">
        <v>0.22032953105196451</v>
      </c>
      <c r="Z11" s="59" t="s">
        <v>197</v>
      </c>
      <c r="AA11" s="62">
        <v>0.5714285714285714</v>
      </c>
      <c r="AB11" s="59" t="s">
        <v>199</v>
      </c>
      <c r="AC11" s="62">
        <v>0.39285714285714285</v>
      </c>
      <c r="AD11" s="59" t="s">
        <v>187</v>
      </c>
      <c r="AE11" s="62">
        <v>0.4375</v>
      </c>
      <c r="AF11" s="59" t="s">
        <v>199</v>
      </c>
      <c r="AG11" s="66">
        <v>106300</v>
      </c>
    </row>
    <row r="12" spans="1:33" x14ac:dyDescent="0.45">
      <c r="A12" s="56">
        <v>10</v>
      </c>
      <c r="B12" s="57" t="s">
        <v>185</v>
      </c>
      <c r="C12" s="58">
        <v>-86.4</v>
      </c>
      <c r="D12" s="59" t="s">
        <v>193</v>
      </c>
      <c r="E12" s="71">
        <v>-2.1419580419580431</v>
      </c>
      <c r="F12" s="59" t="s">
        <v>187</v>
      </c>
      <c r="G12" s="60">
        <v>2.053435114503817</v>
      </c>
      <c r="H12" s="59" t="s">
        <v>186</v>
      </c>
      <c r="I12" s="61">
        <v>0.27835051546391754</v>
      </c>
      <c r="J12" s="59" t="s">
        <v>191</v>
      </c>
      <c r="K12" s="61">
        <v>0.36474164133738601</v>
      </c>
      <c r="L12" s="59" t="s">
        <v>192</v>
      </c>
      <c r="M12" s="62">
        <v>0.28164556962025317</v>
      </c>
      <c r="N12" s="59" t="s">
        <v>199</v>
      </c>
      <c r="O12" s="62">
        <v>0.16996047430830039</v>
      </c>
      <c r="P12" s="59" t="s">
        <v>193</v>
      </c>
      <c r="Q12" s="63">
        <v>8829.1870714985307</v>
      </c>
      <c r="R12" s="59" t="s">
        <v>188</v>
      </c>
      <c r="S12" s="63">
        <v>-8557.2674418604656</v>
      </c>
      <c r="T12" s="59" t="s">
        <v>190</v>
      </c>
      <c r="U12" s="61">
        <v>0.14322916666666666</v>
      </c>
      <c r="V12" s="59" t="s">
        <v>187</v>
      </c>
      <c r="W12" s="62">
        <v>0.25093808630393999</v>
      </c>
      <c r="X12" s="59" t="s">
        <v>195</v>
      </c>
      <c r="Y12" s="62">
        <v>0.21694075242171659</v>
      </c>
      <c r="Z12" s="59" t="s">
        <v>186</v>
      </c>
      <c r="AA12" s="62">
        <v>0.5706806282722513</v>
      </c>
      <c r="AB12" s="59" t="s">
        <v>193</v>
      </c>
      <c r="AC12" s="62">
        <v>0.37223587223587223</v>
      </c>
      <c r="AD12" s="59" t="s">
        <v>194</v>
      </c>
      <c r="AE12" s="62">
        <v>0.43636363636363634</v>
      </c>
      <c r="AF12" s="59" t="s">
        <v>188</v>
      </c>
      <c r="AG12" s="66">
        <v>103200</v>
      </c>
    </row>
    <row r="13" spans="1:33" x14ac:dyDescent="0.45">
      <c r="A13" s="56">
        <v>11</v>
      </c>
      <c r="B13" s="57" t="s">
        <v>184</v>
      </c>
      <c r="C13" s="58">
        <v>-132.1</v>
      </c>
      <c r="D13" s="59" t="s">
        <v>189</v>
      </c>
      <c r="E13" s="71">
        <v>-3.875</v>
      </c>
      <c r="F13" s="59" t="s">
        <v>191</v>
      </c>
      <c r="G13" s="60">
        <v>2.0638297872340425</v>
      </c>
      <c r="H13" s="59" t="s">
        <v>190</v>
      </c>
      <c r="I13" s="61">
        <v>0.265625</v>
      </c>
      <c r="J13" s="59" t="s">
        <v>190</v>
      </c>
      <c r="K13" s="61">
        <v>0.37239583333333331</v>
      </c>
      <c r="L13" s="59" t="s">
        <v>190</v>
      </c>
      <c r="M13" s="62">
        <v>0.27214377406931967</v>
      </c>
      <c r="N13" s="59" t="s">
        <v>194</v>
      </c>
      <c r="O13" s="62">
        <v>0.17164179104477612</v>
      </c>
      <c r="P13" s="59" t="s">
        <v>187</v>
      </c>
      <c r="Q13" s="63">
        <v>8726.5625</v>
      </c>
      <c r="R13" s="59" t="s">
        <v>199</v>
      </c>
      <c r="S13" s="63">
        <v>-8765.1162790697672</v>
      </c>
      <c r="T13" s="59" t="s">
        <v>194</v>
      </c>
      <c r="U13" s="61">
        <v>0.15384615384615385</v>
      </c>
      <c r="V13" s="59" t="s">
        <v>199</v>
      </c>
      <c r="W13" s="62">
        <v>0.24901185770750989</v>
      </c>
      <c r="X13" s="59" t="s">
        <v>186</v>
      </c>
      <c r="Y13" s="62">
        <v>0.2044917257683215</v>
      </c>
      <c r="Z13" s="59" t="s">
        <v>191</v>
      </c>
      <c r="AA13" s="62">
        <v>0.56628056628056633</v>
      </c>
      <c r="AB13" s="59" t="s">
        <v>187</v>
      </c>
      <c r="AC13" s="62">
        <v>0.36974789915966388</v>
      </c>
      <c r="AD13" s="59" t="s">
        <v>183</v>
      </c>
      <c r="AE13" s="62">
        <v>0.43090591781691256</v>
      </c>
      <c r="AF13" s="59" t="s">
        <v>187</v>
      </c>
      <c r="AG13" s="66">
        <v>103000</v>
      </c>
    </row>
    <row r="14" spans="1:33" x14ac:dyDescent="0.45">
      <c r="A14" s="56">
        <v>12</v>
      </c>
      <c r="B14" s="57" t="s">
        <v>191</v>
      </c>
      <c r="C14" s="58">
        <v>-161.39999999999975</v>
      </c>
      <c r="D14" s="59" t="s">
        <v>190</v>
      </c>
      <c r="E14" s="71">
        <v>-4.0606770833333323</v>
      </c>
      <c r="F14" s="59" t="s">
        <v>190</v>
      </c>
      <c r="G14" s="60">
        <v>2.1067708333333335</v>
      </c>
      <c r="H14" s="59" t="s">
        <v>188</v>
      </c>
      <c r="I14" s="61">
        <v>0.25396825396825395</v>
      </c>
      <c r="J14" s="59" t="s">
        <v>192</v>
      </c>
      <c r="K14" s="61">
        <v>0.38461538461538464</v>
      </c>
      <c r="L14" s="59" t="s">
        <v>185</v>
      </c>
      <c r="M14" s="62">
        <v>0.27027027027027029</v>
      </c>
      <c r="N14" s="59" t="s">
        <v>193</v>
      </c>
      <c r="O14" s="62">
        <v>0.1735042735042735</v>
      </c>
      <c r="P14" s="59" t="s">
        <v>186</v>
      </c>
      <c r="Q14" s="63">
        <v>7922.1238938053093</v>
      </c>
      <c r="R14" s="59" t="s">
        <v>191</v>
      </c>
      <c r="S14" s="63">
        <v>-8840.4907975460119</v>
      </c>
      <c r="T14" s="59" t="s">
        <v>192</v>
      </c>
      <c r="U14" s="61">
        <v>0.15384615384615385</v>
      </c>
      <c r="V14" s="59" t="s">
        <v>194</v>
      </c>
      <c r="W14" s="62">
        <v>0.23379629629629631</v>
      </c>
      <c r="X14" s="59" t="s">
        <v>191</v>
      </c>
      <c r="Y14" s="62">
        <v>0.18565400843881857</v>
      </c>
      <c r="Z14" s="59" t="s">
        <v>192</v>
      </c>
      <c r="AA14" s="62">
        <v>0.53846153846153844</v>
      </c>
      <c r="AB14" s="59" t="s">
        <v>190</v>
      </c>
      <c r="AC14" s="62">
        <v>0.36170212765957449</v>
      </c>
      <c r="AD14" s="59" t="s">
        <v>193</v>
      </c>
      <c r="AE14" s="62">
        <v>0.42115572967678744</v>
      </c>
      <c r="AF14" s="59" t="s">
        <v>197</v>
      </c>
      <c r="AG14" s="66">
        <v>85100</v>
      </c>
    </row>
    <row r="15" spans="1:33" x14ac:dyDescent="0.45">
      <c r="A15" s="56">
        <v>13</v>
      </c>
      <c r="B15" s="57" t="s">
        <v>187</v>
      </c>
      <c r="C15" s="58">
        <v>-311.20000000000005</v>
      </c>
      <c r="D15" s="59" t="s">
        <v>188</v>
      </c>
      <c r="E15" s="71">
        <v>-5.0972222222222223</v>
      </c>
      <c r="F15" s="59" t="s">
        <v>188</v>
      </c>
      <c r="G15" s="60">
        <v>2.1388888888888888</v>
      </c>
      <c r="H15" s="59" t="s">
        <v>189</v>
      </c>
      <c r="I15" s="61">
        <v>0.25</v>
      </c>
      <c r="J15" s="59" t="s">
        <v>188</v>
      </c>
      <c r="K15" s="61">
        <v>0.39285714285714285</v>
      </c>
      <c r="L15" s="59" t="s">
        <v>187</v>
      </c>
      <c r="M15" s="62">
        <v>0.27016885553470921</v>
      </c>
      <c r="N15" s="59" t="s">
        <v>191</v>
      </c>
      <c r="O15" s="62">
        <v>0.18494704992435704</v>
      </c>
      <c r="P15" s="59" t="s">
        <v>199</v>
      </c>
      <c r="Q15" s="63">
        <v>7901.25</v>
      </c>
      <c r="R15" s="59" t="s">
        <v>192</v>
      </c>
      <c r="S15" s="63">
        <v>-9054.7169811320746</v>
      </c>
      <c r="T15" s="59" t="s">
        <v>186</v>
      </c>
      <c r="U15" s="61">
        <v>0.16494845360824742</v>
      </c>
      <c r="V15" s="59" t="s">
        <v>200</v>
      </c>
      <c r="W15" s="62">
        <v>0.23076923076923078</v>
      </c>
      <c r="X15" s="59" t="s">
        <v>190</v>
      </c>
      <c r="Y15" s="62">
        <v>0.18108581436077059</v>
      </c>
      <c r="Z15" s="59" t="s">
        <v>193</v>
      </c>
      <c r="AA15" s="62">
        <v>0.53278688524590168</v>
      </c>
      <c r="AB15" s="59" t="s">
        <v>186</v>
      </c>
      <c r="AC15" s="62">
        <v>0.33526011560693642</v>
      </c>
      <c r="AD15" s="59" t="s">
        <v>188</v>
      </c>
      <c r="AE15" s="62">
        <v>0.41693290734824279</v>
      </c>
      <c r="AF15" s="59" t="s">
        <v>196</v>
      </c>
      <c r="AG15" s="66">
        <v>78000</v>
      </c>
    </row>
    <row r="16" spans="1:33" x14ac:dyDescent="0.45">
      <c r="A16" s="56">
        <v>14</v>
      </c>
      <c r="B16" s="57" t="s">
        <v>186</v>
      </c>
      <c r="C16" s="58">
        <v>-713.5</v>
      </c>
      <c r="D16" s="59" t="s">
        <v>186</v>
      </c>
      <c r="E16" s="71">
        <v>-7.3556701030927831</v>
      </c>
      <c r="F16" s="59" t="s">
        <v>186</v>
      </c>
      <c r="G16" s="60">
        <v>2.1443298969072164</v>
      </c>
      <c r="H16" s="59" t="s">
        <v>198</v>
      </c>
      <c r="I16" s="61">
        <v>0.25</v>
      </c>
      <c r="J16" s="59" t="s">
        <v>185</v>
      </c>
      <c r="K16" s="61">
        <v>0.4</v>
      </c>
      <c r="L16" s="59" t="s">
        <v>186</v>
      </c>
      <c r="M16" s="62">
        <v>0.26713947990543735</v>
      </c>
      <c r="N16" s="59" t="s">
        <v>190</v>
      </c>
      <c r="O16" s="62">
        <v>0.18774069319640566</v>
      </c>
      <c r="P16" s="59" t="s">
        <v>184</v>
      </c>
      <c r="Q16" s="63">
        <v>7800</v>
      </c>
      <c r="R16" s="59" t="s">
        <v>194</v>
      </c>
      <c r="S16" s="63">
        <v>-9212.173913043478</v>
      </c>
      <c r="T16" s="59" t="s">
        <v>197</v>
      </c>
      <c r="U16" s="61">
        <v>0.18181818181818182</v>
      </c>
      <c r="V16" s="59" t="s">
        <v>186</v>
      </c>
      <c r="W16" s="62">
        <v>0.22576832151300236</v>
      </c>
      <c r="X16" s="59" t="s">
        <v>185</v>
      </c>
      <c r="Y16" s="62">
        <v>0.16129032258064516</v>
      </c>
      <c r="Z16" s="59" t="s">
        <v>188</v>
      </c>
      <c r="AA16" s="62">
        <v>0.513715710723192</v>
      </c>
      <c r="AB16" s="59" t="s">
        <v>192</v>
      </c>
      <c r="AC16" s="62">
        <v>0.32142857142857145</v>
      </c>
      <c r="AD16" s="59" t="s">
        <v>195</v>
      </c>
      <c r="AE16" s="62">
        <v>0.40694935217903416</v>
      </c>
      <c r="AF16" s="59" t="s">
        <v>185</v>
      </c>
      <c r="AG16" s="66">
        <v>57800</v>
      </c>
    </row>
    <row r="17" spans="1:33" x14ac:dyDescent="0.45">
      <c r="A17" s="56">
        <v>15</v>
      </c>
      <c r="B17" s="57" t="s">
        <v>197</v>
      </c>
      <c r="C17" s="58">
        <v>-848.50000000000011</v>
      </c>
      <c r="D17" s="59" t="s">
        <v>198</v>
      </c>
      <c r="E17" s="71">
        <v>-14.05</v>
      </c>
      <c r="F17" s="59" t="s">
        <v>185</v>
      </c>
      <c r="G17" s="60">
        <v>2.2000000000000002</v>
      </c>
      <c r="H17" s="59" t="s">
        <v>185</v>
      </c>
      <c r="I17" s="61">
        <v>0.2</v>
      </c>
      <c r="J17" s="59" t="s">
        <v>186</v>
      </c>
      <c r="K17" s="61">
        <v>0.42268041237113402</v>
      </c>
      <c r="L17" s="59" t="s">
        <v>197</v>
      </c>
      <c r="M17" s="62">
        <v>0.25327510917030566</v>
      </c>
      <c r="N17" s="59" t="s">
        <v>186</v>
      </c>
      <c r="O17" s="62">
        <v>0.19267139479905437</v>
      </c>
      <c r="P17" s="59" t="s">
        <v>197</v>
      </c>
      <c r="Q17" s="63">
        <v>7737.9310344827591</v>
      </c>
      <c r="R17" s="59" t="s">
        <v>198</v>
      </c>
      <c r="S17" s="63">
        <v>-11280</v>
      </c>
      <c r="T17" s="59" t="s">
        <v>199</v>
      </c>
      <c r="U17" s="61">
        <v>0.25</v>
      </c>
      <c r="V17" s="59" t="s">
        <v>198</v>
      </c>
      <c r="W17" s="62">
        <v>0.21875</v>
      </c>
      <c r="X17" s="59" t="s">
        <v>196</v>
      </c>
      <c r="Y17" s="62">
        <v>0.14492753623188406</v>
      </c>
      <c r="Z17" s="59" t="s">
        <v>198</v>
      </c>
      <c r="AA17" s="62">
        <v>0.42857142857142855</v>
      </c>
      <c r="AB17" s="59" t="s">
        <v>198</v>
      </c>
      <c r="AC17" s="62">
        <v>0.25</v>
      </c>
      <c r="AD17" s="59" t="s">
        <v>189</v>
      </c>
      <c r="AE17" s="62">
        <v>0.33333333333333331</v>
      </c>
      <c r="AF17" s="59" t="s">
        <v>198</v>
      </c>
      <c r="AG17" s="66">
        <v>55200</v>
      </c>
    </row>
    <row r="18" spans="1:33" x14ac:dyDescent="0.45">
      <c r="A18" s="56">
        <v>16</v>
      </c>
      <c r="B18" s="57" t="s">
        <v>193</v>
      </c>
      <c r="C18" s="58">
        <v>-918.90000000000055</v>
      </c>
      <c r="D18" s="59" t="s">
        <v>197</v>
      </c>
      <c r="E18" s="71">
        <v>-15.427272727272729</v>
      </c>
      <c r="F18" s="59" t="s">
        <v>198</v>
      </c>
      <c r="G18" s="60">
        <v>2.25</v>
      </c>
      <c r="H18" s="59" t="s">
        <v>197</v>
      </c>
      <c r="I18" s="61">
        <v>0.16363636363636364</v>
      </c>
      <c r="J18" s="59" t="s">
        <v>198</v>
      </c>
      <c r="K18" s="61">
        <v>0.5</v>
      </c>
      <c r="L18" s="59" t="s">
        <v>189</v>
      </c>
      <c r="M18" s="62">
        <v>0.25</v>
      </c>
      <c r="N18" s="59" t="s">
        <v>197</v>
      </c>
      <c r="O18" s="62">
        <v>0.1943231441048035</v>
      </c>
      <c r="P18" s="59" t="s">
        <v>188</v>
      </c>
      <c r="Q18" s="63">
        <v>7505.2715654952081</v>
      </c>
      <c r="R18" s="59" t="s">
        <v>189</v>
      </c>
      <c r="S18" s="63">
        <v>-12000</v>
      </c>
      <c r="T18" s="59" t="s">
        <v>198</v>
      </c>
      <c r="U18" s="61">
        <v>0.25</v>
      </c>
      <c r="V18" s="59" t="s">
        <v>188</v>
      </c>
      <c r="W18" s="62">
        <v>0.20874544508068715</v>
      </c>
      <c r="X18" s="59" t="s">
        <v>189</v>
      </c>
      <c r="Y18" s="62">
        <v>0.10526315789473684</v>
      </c>
      <c r="Z18" s="59" t="s">
        <v>200</v>
      </c>
      <c r="AA18" s="62">
        <v>0.33333333333333331</v>
      </c>
      <c r="AB18" s="59" t="s">
        <v>185</v>
      </c>
      <c r="AC18" s="62">
        <v>0.2</v>
      </c>
      <c r="AD18" s="59" t="s">
        <v>185</v>
      </c>
      <c r="AE18" s="62">
        <v>0.3</v>
      </c>
      <c r="AF18" s="59" t="s">
        <v>200</v>
      </c>
      <c r="AG18" s="66">
        <v>48300</v>
      </c>
    </row>
    <row r="19" spans="1:33" x14ac:dyDescent="0.45">
      <c r="A19" s="56">
        <v>17</v>
      </c>
      <c r="B19" s="57" t="s">
        <v>188</v>
      </c>
      <c r="C19" s="58">
        <v>-1284.5</v>
      </c>
      <c r="D19" s="59" t="s">
        <v>185</v>
      </c>
      <c r="E19" s="71">
        <v>-17.28</v>
      </c>
      <c r="F19" s="59" t="s">
        <v>197</v>
      </c>
      <c r="G19" s="60">
        <v>2.3636363636363638</v>
      </c>
      <c r="H19" s="59" t="s">
        <v>184</v>
      </c>
      <c r="I19" s="61">
        <v>0</v>
      </c>
      <c r="J19" s="59" t="s">
        <v>197</v>
      </c>
      <c r="K19" s="61">
        <v>0.52727272727272723</v>
      </c>
      <c r="L19" s="59" t="s">
        <v>200</v>
      </c>
      <c r="M19" s="62">
        <v>0.15384615384615385</v>
      </c>
      <c r="N19" s="59" t="s">
        <v>185</v>
      </c>
      <c r="O19" s="62">
        <v>0.21621621621621623</v>
      </c>
      <c r="P19" s="59" t="s">
        <v>185</v>
      </c>
      <c r="Q19" s="63">
        <v>7100</v>
      </c>
      <c r="R19" s="59" t="s">
        <v>200</v>
      </c>
      <c r="S19" s="63">
        <v>-12000</v>
      </c>
      <c r="T19" s="59" t="s">
        <v>185</v>
      </c>
      <c r="U19" s="61">
        <v>0.4</v>
      </c>
      <c r="V19" s="59" t="s">
        <v>197</v>
      </c>
      <c r="W19" s="62">
        <v>0.19868995633187772</v>
      </c>
      <c r="X19" s="59" t="s">
        <v>200</v>
      </c>
      <c r="Y19" s="62">
        <v>7.6923076923076927E-2</v>
      </c>
      <c r="Z19" s="59" t="s">
        <v>189</v>
      </c>
      <c r="AA19" s="62">
        <v>0.25</v>
      </c>
      <c r="AB19" s="59" t="s">
        <v>184</v>
      </c>
      <c r="AC19" s="62">
        <v>0</v>
      </c>
      <c r="AD19" s="59" t="s">
        <v>198</v>
      </c>
      <c r="AE19" s="62">
        <v>0.3</v>
      </c>
      <c r="AF19" s="59" t="s">
        <v>189</v>
      </c>
      <c r="AG19" s="66">
        <v>46000</v>
      </c>
    </row>
    <row r="20" spans="1:33" x14ac:dyDescent="0.45">
      <c r="A20" s="56">
        <v>18</v>
      </c>
      <c r="B20" s="57" t="s">
        <v>190</v>
      </c>
      <c r="C20" s="58">
        <v>-1559.2999999999997</v>
      </c>
      <c r="D20" s="59" t="s">
        <v>184</v>
      </c>
      <c r="E20" s="71">
        <v>-33.024999999999999</v>
      </c>
      <c r="F20" s="59" t="s">
        <v>184</v>
      </c>
      <c r="G20" s="60">
        <v>3</v>
      </c>
      <c r="H20" s="59" t="s">
        <v>200</v>
      </c>
      <c r="I20" s="61">
        <v>0</v>
      </c>
      <c r="J20" s="59" t="s">
        <v>184</v>
      </c>
      <c r="K20" s="61">
        <v>1</v>
      </c>
      <c r="L20" s="59" t="s">
        <v>184</v>
      </c>
      <c r="M20" s="62">
        <v>0.04</v>
      </c>
      <c r="N20" s="59" t="s">
        <v>184</v>
      </c>
      <c r="O20" s="62">
        <v>0.4</v>
      </c>
      <c r="P20" s="59" t="s">
        <v>198</v>
      </c>
      <c r="Q20" s="63">
        <v>4940</v>
      </c>
      <c r="R20" s="59" t="s">
        <v>185</v>
      </c>
      <c r="S20" s="63">
        <v>-12487.5</v>
      </c>
      <c r="T20" s="59" t="s">
        <v>184</v>
      </c>
      <c r="U20" s="61">
        <v>0.5</v>
      </c>
      <c r="V20" s="59" t="s">
        <v>184</v>
      </c>
      <c r="W20" s="62">
        <v>0</v>
      </c>
      <c r="X20" s="59" t="s">
        <v>184</v>
      </c>
      <c r="Y20" s="62">
        <v>0</v>
      </c>
      <c r="Z20" s="59" t="s">
        <v>184</v>
      </c>
      <c r="AA20" s="62">
        <v>0</v>
      </c>
      <c r="AB20" s="59" t="s">
        <v>200</v>
      </c>
      <c r="AC20" s="62">
        <v>0</v>
      </c>
      <c r="AD20" s="59" t="s">
        <v>196</v>
      </c>
      <c r="AE20" s="62">
        <v>0.29166666666666669</v>
      </c>
      <c r="AF20" s="59" t="s">
        <v>184</v>
      </c>
      <c r="AG20" s="66">
        <v>13000</v>
      </c>
    </row>
  </sheetData>
  <sortState xmlns:xlrd2="http://schemas.microsoft.com/office/spreadsheetml/2017/richdata2" ref="AF3:AG54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98337-56F5-4C3C-A96A-D6A096E27B96}">
  <sheetPr codeName="Sheet3"/>
  <dimension ref="A1:Q261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2610</v>
      </c>
      <c r="C2" s="128"/>
      <c r="E2" s="43" t="s">
        <v>66</v>
      </c>
      <c r="F2" s="25" t="s">
        <v>22</v>
      </c>
      <c r="G2" s="13">
        <v>4310</v>
      </c>
      <c r="H2" s="106">
        <f>IF(B$47=0,0,G2/B$47)</f>
        <v>0.73436701311978192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-19.290123456790123</v>
      </c>
      <c r="P2" s="92">
        <v>2592</v>
      </c>
      <c r="Q2" s="76">
        <v>-50000</v>
      </c>
    </row>
    <row r="3" spans="1:17" x14ac:dyDescent="0.45">
      <c r="A3" s="37" t="s">
        <v>8</v>
      </c>
      <c r="B3" s="129">
        <v>21141</v>
      </c>
      <c r="C3" s="130"/>
      <c r="E3" s="44" t="s">
        <v>72</v>
      </c>
      <c r="F3" s="41" t="s">
        <v>27</v>
      </c>
      <c r="G3" s="34">
        <v>3154</v>
      </c>
      <c r="H3" s="107">
        <f>IF(B$47=0,0,G3/B$47)</f>
        <v>0.53739989776793318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-1.1876484560570071</v>
      </c>
      <c r="P3" s="93">
        <v>2526</v>
      </c>
      <c r="Q3" s="77">
        <v>-3000</v>
      </c>
    </row>
    <row r="4" spans="1:17" x14ac:dyDescent="0.45">
      <c r="A4" s="37" t="s">
        <v>6</v>
      </c>
      <c r="B4" s="131">
        <v>5.8619775700208265E-14</v>
      </c>
      <c r="C4" s="132"/>
      <c r="E4" s="44" t="s">
        <v>64</v>
      </c>
      <c r="F4" s="41" t="s">
        <v>20</v>
      </c>
      <c r="G4" s="34">
        <v>2911</v>
      </c>
      <c r="H4" s="107">
        <f>IF(B$47=0,0,G4/B$47)</f>
        <v>0.49599591071732835</v>
      </c>
      <c r="I4" s="68">
        <v>9</v>
      </c>
      <c r="K4" s="5">
        <v>2</v>
      </c>
      <c r="L4" s="73">
        <v>-7</v>
      </c>
      <c r="N4" s="89" t="s">
        <v>128</v>
      </c>
      <c r="O4" s="96">
        <f t="shared" si="0"/>
        <v>5.0568900126422252</v>
      </c>
      <c r="P4" s="93">
        <v>2373</v>
      </c>
      <c r="Q4" s="77">
        <v>12000</v>
      </c>
    </row>
    <row r="5" spans="1:17" x14ac:dyDescent="0.45">
      <c r="A5" s="37" t="s">
        <v>7</v>
      </c>
      <c r="B5" s="133">
        <f>IF(B$2=0,0,B$4/B$2)</f>
        <v>2.2459684176325006E-17</v>
      </c>
      <c r="C5" s="134"/>
      <c r="E5" s="44" t="s">
        <v>68</v>
      </c>
      <c r="F5" s="41" t="s">
        <v>12</v>
      </c>
      <c r="G5" s="34">
        <v>1824</v>
      </c>
      <c r="H5" s="107">
        <f>IF(B$47=0,0,G5/B$47)</f>
        <v>0.3107854830465156</v>
      </c>
      <c r="I5" s="68">
        <v>9</v>
      </c>
      <c r="K5" s="5">
        <v>3</v>
      </c>
      <c r="L5" s="73">
        <v>0</v>
      </c>
      <c r="N5" s="89" t="s">
        <v>129</v>
      </c>
      <c r="O5" s="96">
        <f t="shared" si="0"/>
        <v>5.0505050505050502</v>
      </c>
      <c r="P5" s="93">
        <v>2178</v>
      </c>
      <c r="Q5" s="77">
        <v>11000</v>
      </c>
    </row>
    <row r="6" spans="1:17" x14ac:dyDescent="0.45">
      <c r="A6" s="37" t="s">
        <v>1</v>
      </c>
      <c r="B6" s="141">
        <f>IF(B$2=0,0,(B$7*1+B$8*2+B$9*3)/B$2)</f>
        <v>2</v>
      </c>
      <c r="C6" s="142"/>
      <c r="E6" s="44" t="s">
        <v>67</v>
      </c>
      <c r="F6" s="41" t="s">
        <v>23</v>
      </c>
      <c r="G6" s="34">
        <v>1735</v>
      </c>
      <c r="H6" s="107">
        <f>IF(B$47=0,0,G6/B$47)</f>
        <v>0.29562105980575909</v>
      </c>
      <c r="I6" s="68">
        <v>9</v>
      </c>
      <c r="K6" s="5">
        <v>4</v>
      </c>
      <c r="L6" s="73">
        <v>-1</v>
      </c>
      <c r="N6" s="89" t="s">
        <v>130</v>
      </c>
      <c r="O6" s="96">
        <f t="shared" si="0"/>
        <v>2.0481310803891448</v>
      </c>
      <c r="P6" s="93">
        <v>1953</v>
      </c>
      <c r="Q6" s="77">
        <v>4000</v>
      </c>
    </row>
    <row r="7" spans="1:17" x14ac:dyDescent="0.45">
      <c r="A7" s="37" t="s">
        <v>2</v>
      </c>
      <c r="B7" s="34">
        <v>870</v>
      </c>
      <c r="C7" s="31">
        <f t="shared" ref="C7:C10" si="1">IF(B$2=0,0,B7/B$2)</f>
        <v>0.33333333333333331</v>
      </c>
      <c r="E7" s="44" t="s">
        <v>157</v>
      </c>
      <c r="F7" s="41" t="s">
        <v>158</v>
      </c>
      <c r="G7" s="34">
        <v>1701</v>
      </c>
      <c r="H7" s="107">
        <f>IF(B$47=0,0,G7/B$47)</f>
        <v>0.28982790935423414</v>
      </c>
      <c r="I7" s="68">
        <v>9</v>
      </c>
      <c r="K7" s="5">
        <v>5</v>
      </c>
      <c r="L7" s="73">
        <v>39.9</v>
      </c>
      <c r="N7" s="90" t="s">
        <v>131</v>
      </c>
      <c r="O7" s="97">
        <f t="shared" si="0"/>
        <v>15.206812652068127</v>
      </c>
      <c r="P7" s="94">
        <v>1644</v>
      </c>
      <c r="Q7" s="78">
        <v>25000</v>
      </c>
    </row>
    <row r="8" spans="1:17" x14ac:dyDescent="0.45">
      <c r="A8" s="37" t="s">
        <v>3</v>
      </c>
      <c r="B8" s="34">
        <v>870</v>
      </c>
      <c r="C8" s="31">
        <f t="shared" si="1"/>
        <v>0.33333333333333331</v>
      </c>
      <c r="E8" s="44" t="s">
        <v>69</v>
      </c>
      <c r="F8" s="41" t="s">
        <v>24</v>
      </c>
      <c r="G8" s="34">
        <v>902</v>
      </c>
      <c r="H8" s="107">
        <f>IF(B$47=0,0,G8/B$47)</f>
        <v>0.15368887374339751</v>
      </c>
      <c r="I8" s="68">
        <v>6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870</v>
      </c>
      <c r="C9" s="7">
        <f t="shared" si="1"/>
        <v>0.33333333333333331</v>
      </c>
      <c r="E9" s="44" t="s">
        <v>89</v>
      </c>
      <c r="F9" s="41" t="s">
        <v>44</v>
      </c>
      <c r="G9" s="34">
        <v>802</v>
      </c>
      <c r="H9" s="107">
        <f>IF(B$47=0,0,G9/B$47)</f>
        <v>0.13665019594479469</v>
      </c>
      <c r="I9" s="68">
        <v>7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324</v>
      </c>
      <c r="C10" s="32">
        <f t="shared" si="1"/>
        <v>0.12413793103448276</v>
      </c>
      <c r="E10" s="44" t="s">
        <v>65</v>
      </c>
      <c r="F10" s="41" t="s">
        <v>21</v>
      </c>
      <c r="G10" s="34">
        <v>657</v>
      </c>
      <c r="H10" s="107">
        <f>IF(B$47=0,0,G10/B$47)</f>
        <v>0.11194411313682058</v>
      </c>
      <c r="I10" s="68">
        <v>7</v>
      </c>
      <c r="K10" s="5">
        <v>8</v>
      </c>
      <c r="L10" s="73">
        <v>-26.699999999999996</v>
      </c>
      <c r="N10" s="88" t="s">
        <v>149</v>
      </c>
      <c r="O10" s="98">
        <f>IF(P10=0,0,Q10/P10)</f>
        <v>-2.0845444059976921</v>
      </c>
      <c r="P10" s="92">
        <v>867</v>
      </c>
      <c r="Q10" s="80">
        <v>-1807.299999999999</v>
      </c>
    </row>
    <row r="11" spans="1:17" x14ac:dyDescent="0.45">
      <c r="A11" s="40" t="s">
        <v>121</v>
      </c>
      <c r="B11" s="16">
        <v>5266</v>
      </c>
      <c r="C11" s="11">
        <f>IF(B$46=0,0,B11/B$46)</f>
        <v>0.26697084917617236</v>
      </c>
      <c r="E11" s="44" t="s">
        <v>70</v>
      </c>
      <c r="F11" s="41" t="s">
        <v>25</v>
      </c>
      <c r="G11" s="34">
        <v>569</v>
      </c>
      <c r="H11" s="107">
        <f>IF(B$47=0,0,G11/B$47)</f>
        <v>9.695007667405009E-2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0.72133794694348363</v>
      </c>
      <c r="P11" s="93">
        <v>867</v>
      </c>
      <c r="Q11" s="81">
        <v>625.40000000000032</v>
      </c>
    </row>
    <row r="12" spans="1:17" x14ac:dyDescent="0.45">
      <c r="A12" s="37" t="s">
        <v>118</v>
      </c>
      <c r="B12" s="34">
        <v>4346</v>
      </c>
      <c r="C12" s="31">
        <f>IF(B$46=0,0,B12/B$46)</f>
        <v>0.22032953105196451</v>
      </c>
      <c r="E12" s="44" t="s">
        <v>71</v>
      </c>
      <c r="F12" s="41" t="s">
        <v>26</v>
      </c>
      <c r="G12" s="34">
        <v>380</v>
      </c>
      <c r="H12" s="107">
        <f>IF(B$47=0,0,G12/B$47)</f>
        <v>6.4746975634690743E-2</v>
      </c>
      <c r="I12" s="68">
        <v>8</v>
      </c>
      <c r="K12" s="5">
        <v>10</v>
      </c>
      <c r="L12" s="73">
        <v>85.2</v>
      </c>
      <c r="N12" s="90" t="s">
        <v>151</v>
      </c>
      <c r="O12" s="100">
        <f>IF(P12=0,0,Q12/P12)</f>
        <v>1.3632064590542103</v>
      </c>
      <c r="P12" s="94">
        <v>867</v>
      </c>
      <c r="Q12" s="82">
        <v>1181.9000000000003</v>
      </c>
    </row>
    <row r="13" spans="1:17" x14ac:dyDescent="0.45">
      <c r="A13" s="19" t="s">
        <v>123</v>
      </c>
      <c r="B13" s="13">
        <v>3020</v>
      </c>
      <c r="C13" s="4">
        <f>IF(B$11=0,0,B13/B$11)</f>
        <v>0.57349031522977589</v>
      </c>
      <c r="E13" s="44" t="s">
        <v>86</v>
      </c>
      <c r="F13" s="41" t="s">
        <v>41</v>
      </c>
      <c r="G13" s="34">
        <v>349</v>
      </c>
      <c r="H13" s="107">
        <f>IF(B$47=0,0,G13/B$47)</f>
        <v>5.9464985517123869E-2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1758</v>
      </c>
      <c r="C14" s="4">
        <f>IF(B$12=0,0,B14/B$12)</f>
        <v>0.40450989415554534</v>
      </c>
      <c r="E14" s="44" t="s">
        <v>83</v>
      </c>
      <c r="F14" s="41" t="s">
        <v>38</v>
      </c>
      <c r="G14" s="34">
        <v>282</v>
      </c>
      <c r="H14" s="107">
        <f>IF(B$47=0,0,G14/B$47)</f>
        <v>4.8049071392059974E-2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6303</v>
      </c>
      <c r="C15" s="4">
        <f>IF(B$3=0,0,B15/B$3)</f>
        <v>0.29814105293032495</v>
      </c>
      <c r="E15" s="44" t="s">
        <v>78</v>
      </c>
      <c r="F15" s="41" t="s">
        <v>33</v>
      </c>
      <c r="G15" s="34">
        <v>158</v>
      </c>
      <c r="H15" s="107">
        <f>IF(B$47=0,0,G15/B$47)</f>
        <v>2.692111092179247E-2</v>
      </c>
      <c r="I15" s="68">
        <v>6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13</v>
      </c>
      <c r="B16" s="34">
        <v>3536</v>
      </c>
      <c r="C16" s="31">
        <f>IF(B$3=0,0,B16/B$3)</f>
        <v>0.16725793481859894</v>
      </c>
      <c r="E16" s="44" t="s">
        <v>81</v>
      </c>
      <c r="F16" s="41" t="s">
        <v>36</v>
      </c>
      <c r="G16" s="34">
        <v>143</v>
      </c>
      <c r="H16" s="107">
        <f>IF(B$47=0,0,G16/B$47)</f>
        <v>2.4365309252002046E-2</v>
      </c>
      <c r="I16" s="68">
        <v>7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37" t="s">
        <v>12</v>
      </c>
      <c r="B17" s="34">
        <v>2716</v>
      </c>
      <c r="C17" s="31">
        <f>IF(B$15=0,0,B17/B$15)</f>
        <v>0.43090591781691256</v>
      </c>
      <c r="E17" s="44" t="s">
        <v>91</v>
      </c>
      <c r="F17" s="41" t="s">
        <v>46</v>
      </c>
      <c r="G17" s="34">
        <v>108</v>
      </c>
      <c r="H17" s="107">
        <f>IF(B$47=0,0,G17/B$47)</f>
        <v>1.8401772022491054E-2</v>
      </c>
      <c r="I17" s="68">
        <v>7</v>
      </c>
      <c r="K17" s="5">
        <v>15</v>
      </c>
      <c r="L17" s="73">
        <v>0</v>
      </c>
      <c r="N17" s="89" t="s">
        <v>197</v>
      </c>
      <c r="O17" s="99">
        <f>IF(P17=0,0,Q17/P17)</f>
        <v>23.140909090909073</v>
      </c>
      <c r="P17" s="93">
        <v>110</v>
      </c>
      <c r="Q17" s="81">
        <v>2545.4999999999982</v>
      </c>
    </row>
    <row r="18" spans="1:17" x14ac:dyDescent="0.45">
      <c r="A18" s="37" t="s">
        <v>11</v>
      </c>
      <c r="B18" s="34">
        <v>3587</v>
      </c>
      <c r="C18" s="31">
        <f>IF(B$15=0,0,B18/B$15)</f>
        <v>0.56909408218308744</v>
      </c>
      <c r="E18" s="44" t="s">
        <v>79</v>
      </c>
      <c r="F18" s="41" t="s">
        <v>34</v>
      </c>
      <c r="G18" s="34">
        <v>87</v>
      </c>
      <c r="H18" s="107">
        <f>IF(B$47=0,0,G18/B$47)</f>
        <v>1.4823649684784461E-2</v>
      </c>
      <c r="I18" s="68">
        <v>9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37" t="s">
        <v>180</v>
      </c>
      <c r="B19" s="34">
        <v>3020</v>
      </c>
      <c r="C19" s="31">
        <f>IF(B$15=0,0,B19/B$15)</f>
        <v>0.47913691892749483</v>
      </c>
      <c r="E19" s="44" t="s">
        <v>153</v>
      </c>
      <c r="F19" s="41" t="s">
        <v>154</v>
      </c>
      <c r="G19" s="34">
        <v>87</v>
      </c>
      <c r="H19" s="107">
        <f>IF(B$47=0,0,G19/B$47)</f>
        <v>1.4823649684784461E-2</v>
      </c>
      <c r="I19" s="68">
        <v>5</v>
      </c>
      <c r="K19" s="5">
        <v>17</v>
      </c>
      <c r="L19" s="73">
        <v>-8</v>
      </c>
      <c r="N19" s="89" t="s">
        <v>186</v>
      </c>
      <c r="O19" s="99">
        <f>IF(P19=0,0,Q19/P19)</f>
        <v>11.033505154639172</v>
      </c>
      <c r="P19" s="93">
        <v>194</v>
      </c>
      <c r="Q19" s="81">
        <v>2140.4999999999995</v>
      </c>
    </row>
    <row r="20" spans="1:17" x14ac:dyDescent="0.45">
      <c r="A20" s="37" t="s">
        <v>178</v>
      </c>
      <c r="B20" s="34">
        <v>1758</v>
      </c>
      <c r="C20" s="31">
        <f>IF(B$15=0,0,B20/B$15)</f>
        <v>0.27891480247501188</v>
      </c>
      <c r="E20" s="44" t="s">
        <v>75</v>
      </c>
      <c r="F20" s="41" t="s">
        <v>30</v>
      </c>
      <c r="G20" s="34">
        <v>38</v>
      </c>
      <c r="H20" s="107">
        <f>IF(B$47=0,0,G20/B$47)</f>
        <v>6.474697563469075E-3</v>
      </c>
      <c r="I20" s="68">
        <v>4</v>
      </c>
      <c r="K20" s="5">
        <v>18</v>
      </c>
      <c r="L20" s="73">
        <v>0</v>
      </c>
      <c r="N20" s="89" t="s">
        <v>188</v>
      </c>
      <c r="O20" s="99">
        <f>IF(P20=0,0,Q20/P20)</f>
        <v>7.6458333333333313</v>
      </c>
      <c r="P20" s="93">
        <v>504</v>
      </c>
      <c r="Q20" s="81">
        <v>3853.4999999999991</v>
      </c>
    </row>
    <row r="21" spans="1:17" x14ac:dyDescent="0.45">
      <c r="A21" s="37" t="s">
        <v>179</v>
      </c>
      <c r="B21" s="34">
        <v>1525</v>
      </c>
      <c r="C21" s="31">
        <f>IF(B$15=0,0,B21/B$15)</f>
        <v>0.24194827859749327</v>
      </c>
      <c r="E21" s="44" t="s">
        <v>73</v>
      </c>
      <c r="F21" s="41" t="s">
        <v>28</v>
      </c>
      <c r="G21" s="34">
        <v>36</v>
      </c>
      <c r="H21" s="107">
        <f>IF(B$47=0,0,G21/B$47)</f>
        <v>6.1339240074970184E-3</v>
      </c>
      <c r="I21" s="68">
        <v>6</v>
      </c>
      <c r="K21" s="5">
        <v>19</v>
      </c>
      <c r="L21" s="73">
        <v>-6.1</v>
      </c>
      <c r="N21" s="89" t="s">
        <v>190</v>
      </c>
      <c r="O21" s="99">
        <f>IF(P21=0,0,Q21/P21)</f>
        <v>6.0910156249999998</v>
      </c>
      <c r="P21" s="93">
        <v>768</v>
      </c>
      <c r="Q21" s="81">
        <v>4677.8999999999996</v>
      </c>
    </row>
    <row r="22" spans="1:17" x14ac:dyDescent="0.45">
      <c r="A22" s="37" t="s">
        <v>5</v>
      </c>
      <c r="B22" s="17">
        <f>IF(B$15=0,0,C22/B$15)</f>
        <v>9053.6411232746304</v>
      </c>
      <c r="C22" s="8">
        <v>57065100</v>
      </c>
      <c r="E22" s="44" t="s">
        <v>77</v>
      </c>
      <c r="F22" s="41" t="s">
        <v>32</v>
      </c>
      <c r="G22" s="34">
        <v>34</v>
      </c>
      <c r="H22" s="107">
        <f>IF(B$47=0,0,G22/B$47)</f>
        <v>5.7931504515249619E-3</v>
      </c>
      <c r="I22" s="68">
        <v>4</v>
      </c>
      <c r="K22" s="5">
        <v>20</v>
      </c>
      <c r="L22" s="73">
        <v>4.9000000000000004</v>
      </c>
      <c r="N22" s="89" t="s">
        <v>189</v>
      </c>
      <c r="O22" s="99">
        <f>IF(P22=0,0,Q22/P22)</f>
        <v>5.8125</v>
      </c>
      <c r="P22" s="93">
        <v>8</v>
      </c>
      <c r="Q22" s="81">
        <v>46.5</v>
      </c>
    </row>
    <row r="23" spans="1:17" x14ac:dyDescent="0.45">
      <c r="A23" s="38" t="s">
        <v>162</v>
      </c>
      <c r="B23" s="114">
        <f>IF($B$15-B$14=0,0,C23/($B$15-B$14))</f>
        <v>9616.2156215621562</v>
      </c>
      <c r="C23" s="115">
        <v>43705700</v>
      </c>
      <c r="E23" s="44" t="s">
        <v>92</v>
      </c>
      <c r="F23" s="41" t="s">
        <v>47</v>
      </c>
      <c r="G23" s="34">
        <v>29</v>
      </c>
      <c r="H23" s="107">
        <f>IF(B$47=0,0,G23/B$47)</f>
        <v>4.9412165615948201E-3</v>
      </c>
      <c r="I23" s="68">
        <v>5</v>
      </c>
      <c r="K23" s="5">
        <v>21</v>
      </c>
      <c r="L23" s="73">
        <v>0</v>
      </c>
      <c r="N23" s="89" t="s">
        <v>193</v>
      </c>
      <c r="O23" s="99">
        <f>IF(P23=0,0,Q23/P23)</f>
        <v>3.2129370629370717</v>
      </c>
      <c r="P23" s="93">
        <v>858</v>
      </c>
      <c r="Q23" s="81">
        <v>2756.7000000000075</v>
      </c>
    </row>
    <row r="24" spans="1:17" x14ac:dyDescent="0.45">
      <c r="A24" s="38" t="s">
        <v>163</v>
      </c>
      <c r="B24" s="114">
        <f>IF(B$14=0,0,C24/B$14)</f>
        <v>7599.2036405005692</v>
      </c>
      <c r="C24" s="115">
        <v>13359400</v>
      </c>
      <c r="E24" s="44" t="s">
        <v>85</v>
      </c>
      <c r="F24" s="41" t="s">
        <v>40</v>
      </c>
      <c r="G24" s="34">
        <v>25</v>
      </c>
      <c r="H24" s="107">
        <f>IF(B$47=0,0,G24/B$47)</f>
        <v>4.2596694496507071E-3</v>
      </c>
      <c r="I24" s="68">
        <v>4</v>
      </c>
      <c r="K24" s="5">
        <v>22</v>
      </c>
      <c r="L24" s="73">
        <v>-36</v>
      </c>
      <c r="N24" s="89" t="s">
        <v>187</v>
      </c>
      <c r="O24" s="99">
        <f>IF(P24=0,0,Q24/P24)</f>
        <v>1.781679389312977</v>
      </c>
      <c r="P24" s="93">
        <v>524</v>
      </c>
      <c r="Q24" s="81">
        <v>933.59999999999991</v>
      </c>
    </row>
    <row r="25" spans="1:17" x14ac:dyDescent="0.45">
      <c r="A25" s="38" t="s">
        <v>161</v>
      </c>
      <c r="B25" s="114">
        <f>IF(B$16=0,0,C25/B$16)</f>
        <v>-8446.8891402714926</v>
      </c>
      <c r="C25" s="115">
        <v>-29868200</v>
      </c>
      <c r="E25" s="44" t="s">
        <v>74</v>
      </c>
      <c r="F25" s="41" t="s">
        <v>29</v>
      </c>
      <c r="G25" s="34">
        <v>21</v>
      </c>
      <c r="H25" s="107">
        <f>IF(B$47=0,0,G25/B$47)</f>
        <v>3.578122337706594E-3</v>
      </c>
      <c r="I25" s="68">
        <v>7</v>
      </c>
      <c r="K25" s="5">
        <v>23</v>
      </c>
      <c r="L25" s="73">
        <v>-3</v>
      </c>
      <c r="N25" s="89" t="s">
        <v>199</v>
      </c>
      <c r="O25" s="99">
        <f>IF(P25=0,0,Q25/P25)</f>
        <v>1.1785714285714317</v>
      </c>
      <c r="P25" s="93">
        <v>56</v>
      </c>
      <c r="Q25" s="81">
        <v>66.000000000000171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16</v>
      </c>
      <c r="H26" s="107">
        <f>IF(B$47=0,0,G26/B$47)</f>
        <v>2.7261884477764527E-3</v>
      </c>
      <c r="I26" s="68">
        <v>4</v>
      </c>
      <c r="K26" s="5">
        <v>24</v>
      </c>
      <c r="L26" s="73">
        <v>0</v>
      </c>
      <c r="N26" s="89" t="s">
        <v>191</v>
      </c>
      <c r="O26" s="99">
        <f>IF(P26=0,0,Q26/P26)</f>
        <v>0.73586626139817712</v>
      </c>
      <c r="P26" s="93">
        <v>658</v>
      </c>
      <c r="Q26" s="81">
        <v>484.20000000000056</v>
      </c>
    </row>
    <row r="27" spans="1:17" x14ac:dyDescent="0.45">
      <c r="A27" s="37" t="s">
        <v>156</v>
      </c>
      <c r="B27" s="34">
        <v>35</v>
      </c>
      <c r="C27" s="109">
        <v>0</v>
      </c>
      <c r="E27" s="44" t="s">
        <v>93</v>
      </c>
      <c r="F27" s="41" t="s">
        <v>48</v>
      </c>
      <c r="G27" s="34">
        <v>16</v>
      </c>
      <c r="H27" s="107">
        <f>IF(B$47=0,0,G27/B$47)</f>
        <v>2.7261884477764527E-3</v>
      </c>
      <c r="I27" s="68">
        <v>5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64" t="s">
        <v>134</v>
      </c>
      <c r="B28" s="139">
        <v>10</v>
      </c>
      <c r="C28" s="140"/>
      <c r="E28" s="44" t="s">
        <v>87</v>
      </c>
      <c r="F28" s="41" t="s">
        <v>42</v>
      </c>
      <c r="G28" s="34">
        <v>13</v>
      </c>
      <c r="H28" s="107">
        <f>IF(B$47=0,0,G28/B$47)</f>
        <v>2.2150281138183679E-3</v>
      </c>
      <c r="I28" s="68">
        <v>4</v>
      </c>
      <c r="K28" s="5">
        <v>26</v>
      </c>
      <c r="L28" s="73">
        <v>11.5</v>
      </c>
      <c r="N28" s="89" t="s">
        <v>192</v>
      </c>
      <c r="O28" s="99">
        <f>IF(P28=0,0,Q28/P28)</f>
        <v>-3.4999999999999987</v>
      </c>
      <c r="P28" s="93">
        <v>78</v>
      </c>
      <c r="Q28" s="81">
        <v>-272.99999999999989</v>
      </c>
    </row>
    <row r="29" spans="1:17" x14ac:dyDescent="0.45">
      <c r="A29" s="40" t="s">
        <v>177</v>
      </c>
      <c r="B29" s="137">
        <v>149100</v>
      </c>
      <c r="C29" s="138"/>
      <c r="E29" s="44" t="s">
        <v>90</v>
      </c>
      <c r="F29" s="41" t="s">
        <v>45</v>
      </c>
      <c r="G29" s="34">
        <v>11</v>
      </c>
      <c r="H29" s="107">
        <f>IF(B$47=0,0,G29/B$47)</f>
        <v>1.8742545578463111E-3</v>
      </c>
      <c r="I29" s="68">
        <v>4</v>
      </c>
      <c r="K29" s="5">
        <v>27</v>
      </c>
      <c r="L29" s="73">
        <v>0</v>
      </c>
      <c r="N29" s="89" t="s">
        <v>195</v>
      </c>
      <c r="O29" s="99">
        <f>IF(P29=0,0,Q29/P29)</f>
        <v>-14.342868719611017</v>
      </c>
      <c r="P29" s="93">
        <v>1234</v>
      </c>
      <c r="Q29" s="81">
        <v>-17699.099999999995</v>
      </c>
    </row>
    <row r="30" spans="1:17" x14ac:dyDescent="0.45">
      <c r="A30" s="39" t="s">
        <v>135</v>
      </c>
      <c r="B30" s="27">
        <v>57</v>
      </c>
      <c r="C30" s="32">
        <f>IF(B$3=0,0,B30/B$3)</f>
        <v>2.6961827728111255E-3</v>
      </c>
      <c r="E30" s="44" t="s">
        <v>88</v>
      </c>
      <c r="F30" s="41" t="s">
        <v>43</v>
      </c>
      <c r="G30" s="34">
        <v>10</v>
      </c>
      <c r="H30" s="107">
        <f>IF(B$47=0,0,G30/B$47)</f>
        <v>1.7038677798602829E-3</v>
      </c>
      <c r="I30" s="68">
        <v>5</v>
      </c>
      <c r="K30" s="5">
        <v>28</v>
      </c>
      <c r="L30" s="73">
        <v>-31.5</v>
      </c>
      <c r="N30" s="89" t="s">
        <v>196</v>
      </c>
      <c r="O30" s="99">
        <f>IF(P30=0,0,Q30/P30)</f>
        <v>-18.166666666666668</v>
      </c>
      <c r="P30" s="93">
        <v>18</v>
      </c>
      <c r="Q30" s="81">
        <v>-327</v>
      </c>
    </row>
    <row r="31" spans="1:17" x14ac:dyDescent="0.45">
      <c r="E31" s="44" t="s">
        <v>95</v>
      </c>
      <c r="F31" s="41" t="s">
        <v>50</v>
      </c>
      <c r="G31" s="34">
        <v>7</v>
      </c>
      <c r="H31" s="107">
        <f>IF(B$47=0,0,G31/B$47)</f>
        <v>1.1927074459021981E-3</v>
      </c>
      <c r="I31" s="68">
        <v>4</v>
      </c>
      <c r="K31" s="5">
        <v>29</v>
      </c>
      <c r="L31" s="73">
        <v>36.700000000000003</v>
      </c>
      <c r="N31" s="89" t="s">
        <v>200</v>
      </c>
      <c r="O31" s="99">
        <f>IF(P31=0,0,Q31/P31)</f>
        <v>-19.950000000000003</v>
      </c>
      <c r="P31" s="93">
        <v>2</v>
      </c>
      <c r="Q31" s="81">
        <v>-39.900000000000006</v>
      </c>
    </row>
    <row r="32" spans="1:17" x14ac:dyDescent="0.45">
      <c r="A32" s="64" t="s">
        <v>168</v>
      </c>
      <c r="B32" s="121">
        <v>392</v>
      </c>
      <c r="C32" s="119">
        <f>IF(B$15=0,0,B32/B$15)</f>
        <v>6.2192606695224494E-2</v>
      </c>
      <c r="E32" s="44" t="s">
        <v>106</v>
      </c>
      <c r="F32" s="41" t="s">
        <v>113</v>
      </c>
      <c r="G32" s="34">
        <v>3</v>
      </c>
      <c r="H32" s="107">
        <f>IF(B$47=0,0,G32/B$47)</f>
        <v>5.1116033395808491E-4</v>
      </c>
      <c r="I32" s="68">
        <v>3</v>
      </c>
      <c r="K32" s="5">
        <v>30</v>
      </c>
      <c r="L32" s="73">
        <v>0</v>
      </c>
    </row>
    <row r="33" spans="1:12" x14ac:dyDescent="0.45">
      <c r="A33" s="37" t="s">
        <v>164</v>
      </c>
      <c r="B33" s="34">
        <v>875</v>
      </c>
      <c r="C33" s="31">
        <f t="shared" ref="C33:C44" si="2">IF(B$15=0,0,B33/B$15)</f>
        <v>0.13882278280184041</v>
      </c>
      <c r="E33" s="44" t="s">
        <v>97</v>
      </c>
      <c r="F33" s="41" t="s">
        <v>52</v>
      </c>
      <c r="G33" s="34">
        <v>2</v>
      </c>
      <c r="H33" s="107">
        <f>IF(B$47=0,0,G33/B$47)</f>
        <v>3.4077355597205659E-4</v>
      </c>
      <c r="I33" s="68">
        <v>3</v>
      </c>
      <c r="K33" s="5">
        <v>31</v>
      </c>
      <c r="L33" s="73">
        <v>18.3</v>
      </c>
    </row>
    <row r="34" spans="1:12" x14ac:dyDescent="0.45">
      <c r="A34" s="37" t="s">
        <v>165</v>
      </c>
      <c r="B34" s="124">
        <v>1117</v>
      </c>
      <c r="C34" s="31">
        <f>IF(B$15=0,0,B34/B$15)</f>
        <v>0.17721719815960654</v>
      </c>
      <c r="E34" s="44" t="s">
        <v>101</v>
      </c>
      <c r="F34" s="41" t="s">
        <v>56</v>
      </c>
      <c r="G34" s="34">
        <v>2</v>
      </c>
      <c r="H34" s="107">
        <f>IF(B$47=0,0,G34/B$47)</f>
        <v>3.4077355597205659E-4</v>
      </c>
      <c r="I34" s="68">
        <v>2</v>
      </c>
      <c r="K34" s="5">
        <v>32</v>
      </c>
      <c r="L34" s="73">
        <v>8.6000000000000014</v>
      </c>
    </row>
    <row r="35" spans="1:12" x14ac:dyDescent="0.45">
      <c r="A35" s="37" t="s">
        <v>166</v>
      </c>
      <c r="B35" s="124">
        <v>1100</v>
      </c>
      <c r="C35" s="31">
        <f t="shared" si="2"/>
        <v>0.17452006980802792</v>
      </c>
      <c r="E35" s="44" t="s">
        <v>80</v>
      </c>
      <c r="F35" s="41" t="s">
        <v>35</v>
      </c>
      <c r="G35" s="34">
        <v>1</v>
      </c>
      <c r="H35" s="107">
        <f>IF(B$47=0,0,G35/B$47)</f>
        <v>1.7038677798602829E-4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37" t="s">
        <v>167</v>
      </c>
      <c r="B36" s="124">
        <v>925</v>
      </c>
      <c r="C36" s="31">
        <f t="shared" si="2"/>
        <v>0.14675551324765984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5">
      <c r="A37" s="37" t="s">
        <v>169</v>
      </c>
      <c r="B37" s="124">
        <v>599</v>
      </c>
      <c r="C37" s="31">
        <f t="shared" si="2"/>
        <v>9.5034110740917027E-2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170</v>
      </c>
      <c r="B38" s="124">
        <v>367</v>
      </c>
      <c r="C38" s="31">
        <f t="shared" si="2"/>
        <v>5.8226241472314769E-2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171</v>
      </c>
      <c r="B39" s="124">
        <v>203</v>
      </c>
      <c r="C39" s="31">
        <f t="shared" si="2"/>
        <v>3.2206885610026971E-2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172</v>
      </c>
      <c r="B40" s="124">
        <v>115</v>
      </c>
      <c r="C40" s="31">
        <f t="shared" si="2"/>
        <v>1.8245280025384739E-2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173</v>
      </c>
      <c r="B41" s="124">
        <v>56</v>
      </c>
      <c r="C41" s="31">
        <f t="shared" si="2"/>
        <v>8.884658099317785E-3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174</v>
      </c>
      <c r="B42" s="124">
        <v>31</v>
      </c>
      <c r="C42" s="31">
        <f t="shared" si="2"/>
        <v>4.9182928764080593E-3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175</v>
      </c>
      <c r="B43" s="124">
        <v>15</v>
      </c>
      <c r="C43" s="31">
        <f t="shared" si="2"/>
        <v>2.3798191337458352E-3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9" t="s">
        <v>176</v>
      </c>
      <c r="B44" s="120">
        <v>74</v>
      </c>
      <c r="C44" s="32">
        <f t="shared" si="2"/>
        <v>1.1740441059812787E-2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64" t="s">
        <v>181</v>
      </c>
      <c r="B46" s="127">
        <v>19725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9" t="s">
        <v>182</v>
      </c>
      <c r="B47" s="135">
        <v>5869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5">
      <c r="K53" s="5">
        <v>51</v>
      </c>
      <c r="L53" s="73">
        <v>7.1054273576010019E-15</v>
      </c>
    </row>
    <row r="54" spans="5:12" x14ac:dyDescent="0.45">
      <c r="K54" s="5">
        <v>52</v>
      </c>
      <c r="L54" s="73">
        <v>14.900000000000007</v>
      </c>
    </row>
    <row r="55" spans="5:12" x14ac:dyDescent="0.45">
      <c r="K55" s="5">
        <v>53</v>
      </c>
      <c r="L55" s="73">
        <v>1.2000000000000082</v>
      </c>
    </row>
    <row r="56" spans="5:12" x14ac:dyDescent="0.45">
      <c r="K56" s="5">
        <v>54</v>
      </c>
      <c r="L56" s="73">
        <v>8.2156503822261584E-15</v>
      </c>
    </row>
    <row r="57" spans="5:12" x14ac:dyDescent="0.45">
      <c r="K57" s="5">
        <v>55</v>
      </c>
      <c r="L57" s="73">
        <v>57.20000000000001</v>
      </c>
    </row>
    <row r="58" spans="5:12" x14ac:dyDescent="0.45">
      <c r="K58" s="5">
        <v>56</v>
      </c>
      <c r="L58" s="73">
        <v>18.800000000000011</v>
      </c>
    </row>
    <row r="59" spans="5:12" x14ac:dyDescent="0.45">
      <c r="K59" s="5">
        <v>57</v>
      </c>
      <c r="L59" s="73">
        <v>1.0658141036401503E-14</v>
      </c>
    </row>
    <row r="60" spans="5:12" x14ac:dyDescent="0.45">
      <c r="K60" s="5">
        <v>58</v>
      </c>
      <c r="L60" s="73">
        <v>26.20000000000001</v>
      </c>
    </row>
    <row r="61" spans="5:12" x14ac:dyDescent="0.45">
      <c r="K61" s="5">
        <v>59</v>
      </c>
      <c r="L61" s="73">
        <v>1.0000000000000107</v>
      </c>
    </row>
    <row r="62" spans="5:12" x14ac:dyDescent="0.45">
      <c r="K62" s="5">
        <v>60</v>
      </c>
      <c r="L62" s="73">
        <v>1.0658141036401503E-14</v>
      </c>
    </row>
    <row r="63" spans="5:12" x14ac:dyDescent="0.45">
      <c r="K63" s="5">
        <v>61</v>
      </c>
      <c r="L63" s="73">
        <v>56.500000000000014</v>
      </c>
    </row>
    <row r="64" spans="5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</sheetData>
  <sortState xmlns:xlrd2="http://schemas.microsoft.com/office/spreadsheetml/2017/richdata2" ref="N15:Q3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56DD7-3BCB-4E9D-A4E4-1B52EB3BD6EA}">
  <sheetPr codeName="Sheet4"/>
  <dimension ref="A1:Q61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617</v>
      </c>
      <c r="C2" s="128"/>
      <c r="E2" s="43" t="s">
        <v>66</v>
      </c>
      <c r="F2" s="25" t="s">
        <v>22</v>
      </c>
      <c r="G2" s="13">
        <v>1120</v>
      </c>
      <c r="H2" s="106">
        <f>IF(B$47=0,0,G2/B$47)</f>
        <v>0.72632944228274965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1270.0490998363339</v>
      </c>
      <c r="P2" s="92">
        <v>611</v>
      </c>
      <c r="Q2" s="76">
        <v>776000</v>
      </c>
    </row>
    <row r="3" spans="1:17" x14ac:dyDescent="0.45">
      <c r="A3" s="37" t="s">
        <v>8</v>
      </c>
      <c r="B3" s="129">
        <v>4895</v>
      </c>
      <c r="C3" s="130"/>
      <c r="E3" s="44" t="s">
        <v>72</v>
      </c>
      <c r="F3" s="41" t="s">
        <v>27</v>
      </c>
      <c r="G3" s="34">
        <v>828</v>
      </c>
      <c r="H3" s="107">
        <f>IF(B$47=0,0,G3/B$47)</f>
        <v>0.53696498054474706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1176.936026936027</v>
      </c>
      <c r="P3" s="93">
        <v>594</v>
      </c>
      <c r="Q3" s="77">
        <v>699100</v>
      </c>
    </row>
    <row r="4" spans="1:17" x14ac:dyDescent="0.45">
      <c r="A4" s="37" t="s">
        <v>6</v>
      </c>
      <c r="B4" s="131">
        <v>5899.7</v>
      </c>
      <c r="C4" s="132"/>
      <c r="E4" s="44" t="s">
        <v>64</v>
      </c>
      <c r="F4" s="41" t="s">
        <v>20</v>
      </c>
      <c r="G4" s="34">
        <v>760</v>
      </c>
      <c r="H4" s="107">
        <f>IF(B$47=0,0,G4/B$47)</f>
        <v>0.49286640726329445</v>
      </c>
      <c r="I4" s="68">
        <v>10</v>
      </c>
      <c r="K4" s="5">
        <v>2</v>
      </c>
      <c r="L4" s="73">
        <v>14</v>
      </c>
      <c r="N4" s="89" t="s">
        <v>128</v>
      </c>
      <c r="O4" s="96">
        <f t="shared" si="0"/>
        <v>1361.2788632326822</v>
      </c>
      <c r="P4" s="93">
        <v>563</v>
      </c>
      <c r="Q4" s="77">
        <v>766400</v>
      </c>
    </row>
    <row r="5" spans="1:17" x14ac:dyDescent="0.45">
      <c r="A5" s="37" t="s">
        <v>7</v>
      </c>
      <c r="B5" s="133">
        <f>IF(B$2=0,0,B$4/B$2)</f>
        <v>9.5619124797406805</v>
      </c>
      <c r="C5" s="134"/>
      <c r="E5" s="44" t="s">
        <v>67</v>
      </c>
      <c r="F5" s="41" t="s">
        <v>23</v>
      </c>
      <c r="G5" s="34">
        <v>454</v>
      </c>
      <c r="H5" s="107">
        <f>IF(B$47=0,0,G5/B$47)</f>
        <v>0.29442282749675747</v>
      </c>
      <c r="I5" s="68">
        <v>10</v>
      </c>
      <c r="K5" s="5">
        <v>3</v>
      </c>
      <c r="L5" s="73">
        <v>29.1</v>
      </c>
      <c r="N5" s="89" t="s">
        <v>129</v>
      </c>
      <c r="O5" s="96">
        <f t="shared" si="0"/>
        <v>1740.7407407407406</v>
      </c>
      <c r="P5" s="93">
        <v>513</v>
      </c>
      <c r="Q5" s="77">
        <v>893000</v>
      </c>
    </row>
    <row r="6" spans="1:17" x14ac:dyDescent="0.45">
      <c r="A6" s="37" t="s">
        <v>1</v>
      </c>
      <c r="B6" s="141">
        <f>IF(B$2=0,0,(B$7*1+B$8*2+B$9*3)/B$2)</f>
        <v>1.7585089141004862</v>
      </c>
      <c r="C6" s="142"/>
      <c r="E6" s="44" t="s">
        <v>68</v>
      </c>
      <c r="F6" s="41" t="s">
        <v>12</v>
      </c>
      <c r="G6" s="34">
        <v>446</v>
      </c>
      <c r="H6" s="107">
        <f>IF(B$47=0,0,G6/B$47)</f>
        <v>0.2892347600518807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1508.7336244541484</v>
      </c>
      <c r="P6" s="93">
        <v>458</v>
      </c>
      <c r="Q6" s="77">
        <v>691000</v>
      </c>
    </row>
    <row r="7" spans="1:17" x14ac:dyDescent="0.45">
      <c r="A7" s="37" t="s">
        <v>2</v>
      </c>
      <c r="B7" s="34">
        <v>288</v>
      </c>
      <c r="C7" s="31">
        <f t="shared" ref="C7:C10" si="1">IF(B$2=0,0,B7/B$2)</f>
        <v>0.46677471636953</v>
      </c>
      <c r="E7" s="44" t="s">
        <v>157</v>
      </c>
      <c r="F7" s="41" t="s">
        <v>158</v>
      </c>
      <c r="G7" s="34">
        <v>394</v>
      </c>
      <c r="H7" s="107">
        <f>IF(B$47=0,0,G7/B$47)</f>
        <v>0.25551232166018156</v>
      </c>
      <c r="I7" s="68">
        <v>10</v>
      </c>
      <c r="K7" s="5">
        <v>5</v>
      </c>
      <c r="L7" s="73">
        <v>145.80000000000001</v>
      </c>
      <c r="N7" s="90" t="s">
        <v>131</v>
      </c>
      <c r="O7" s="97">
        <f t="shared" si="0"/>
        <v>1695.8005249343832</v>
      </c>
      <c r="P7" s="94">
        <v>381</v>
      </c>
      <c r="Q7" s="78">
        <v>646100</v>
      </c>
    </row>
    <row r="8" spans="1:17" x14ac:dyDescent="0.45">
      <c r="A8" s="37" t="s">
        <v>3</v>
      </c>
      <c r="B8" s="34">
        <v>190</v>
      </c>
      <c r="C8" s="31">
        <f t="shared" si="1"/>
        <v>0.3079416531604538</v>
      </c>
      <c r="E8" s="44" t="s">
        <v>89</v>
      </c>
      <c r="F8" s="41" t="s">
        <v>44</v>
      </c>
      <c r="G8" s="34">
        <v>256</v>
      </c>
      <c r="H8" s="107">
        <f>IF(B$47=0,0,G8/B$47)</f>
        <v>0.16601815823605706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139</v>
      </c>
      <c r="C9" s="7">
        <f t="shared" si="1"/>
        <v>0.22528363047001621</v>
      </c>
      <c r="E9" s="44" t="s">
        <v>69</v>
      </c>
      <c r="F9" s="41" t="s">
        <v>24</v>
      </c>
      <c r="G9" s="34">
        <v>234</v>
      </c>
      <c r="H9" s="107">
        <f>IF(B$47=0,0,G9/B$47)</f>
        <v>0.1517509727626459</v>
      </c>
      <c r="I9" s="68">
        <v>7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49</v>
      </c>
      <c r="C10" s="32">
        <f t="shared" si="1"/>
        <v>7.9416531604538085E-2</v>
      </c>
      <c r="E10" s="44" t="s">
        <v>65</v>
      </c>
      <c r="F10" s="41" t="s">
        <v>21</v>
      </c>
      <c r="G10" s="34">
        <v>185</v>
      </c>
      <c r="H10" s="107">
        <f>IF(B$47=0,0,G10/B$47)</f>
        <v>0.11997405966277562</v>
      </c>
      <c r="I10" s="68">
        <v>6</v>
      </c>
      <c r="K10" s="5">
        <v>8</v>
      </c>
      <c r="L10" s="73">
        <v>55.700000000000017</v>
      </c>
      <c r="N10" s="88" t="s">
        <v>149</v>
      </c>
      <c r="O10" s="98">
        <f>IF(P10=0,0,Q10/P10)</f>
        <v>13.571165644171781</v>
      </c>
      <c r="P10" s="92">
        <v>163</v>
      </c>
      <c r="Q10" s="80">
        <v>2212.1000000000004</v>
      </c>
    </row>
    <row r="11" spans="1:17" x14ac:dyDescent="0.45">
      <c r="A11" s="40" t="s">
        <v>121</v>
      </c>
      <c r="B11" s="16">
        <v>1307</v>
      </c>
      <c r="C11" s="11">
        <f>IF(B$46=0,0,B11/B$46)</f>
        <v>0.29443568371254786</v>
      </c>
      <c r="E11" s="44" t="s">
        <v>70</v>
      </c>
      <c r="F11" s="41" t="s">
        <v>25</v>
      </c>
      <c r="G11" s="34">
        <v>111</v>
      </c>
      <c r="H11" s="107">
        <f>IF(B$47=0,0,G11/B$47)</f>
        <v>7.1984435797665364E-2</v>
      </c>
      <c r="I11" s="68">
        <v>12</v>
      </c>
      <c r="K11" s="5">
        <v>9</v>
      </c>
      <c r="L11" s="73">
        <v>14.700000000000017</v>
      </c>
      <c r="N11" s="89" t="s">
        <v>150</v>
      </c>
      <c r="O11" s="99">
        <f>IF(P11=0,0,Q11/P11)</f>
        <v>6.8860824742268045</v>
      </c>
      <c r="P11" s="93">
        <v>194</v>
      </c>
      <c r="Q11" s="81">
        <v>1335.9</v>
      </c>
    </row>
    <row r="12" spans="1:17" x14ac:dyDescent="0.45">
      <c r="A12" s="37" t="s">
        <v>118</v>
      </c>
      <c r="B12" s="34">
        <v>963</v>
      </c>
      <c r="C12" s="31">
        <f>IF(B$46=0,0,B12/B$46)</f>
        <v>0.21694075242171659</v>
      </c>
      <c r="E12" s="44" t="s">
        <v>86</v>
      </c>
      <c r="F12" s="41" t="s">
        <v>41</v>
      </c>
      <c r="G12" s="34">
        <v>106</v>
      </c>
      <c r="H12" s="107">
        <f>IF(B$47=0,0,G12/B$47)</f>
        <v>6.8741893644617386E-2</v>
      </c>
      <c r="I12" s="68">
        <v>7</v>
      </c>
      <c r="K12" s="5">
        <v>10</v>
      </c>
      <c r="L12" s="73">
        <v>-16.799999999999983</v>
      </c>
      <c r="N12" s="90" t="s">
        <v>151</v>
      </c>
      <c r="O12" s="100">
        <f>IF(P12=0,0,Q12/P12)</f>
        <v>9.0431906614786008</v>
      </c>
      <c r="P12" s="94">
        <v>257</v>
      </c>
      <c r="Q12" s="82">
        <v>2324.1000000000004</v>
      </c>
    </row>
    <row r="13" spans="1:17" x14ac:dyDescent="0.45">
      <c r="A13" s="19" t="s">
        <v>123</v>
      </c>
      <c r="B13" s="13">
        <v>802</v>
      </c>
      <c r="C13" s="4">
        <f>IF(B$11=0,0,B13/B$11)</f>
        <v>0.61361897475133897</v>
      </c>
      <c r="E13" s="44" t="s">
        <v>71</v>
      </c>
      <c r="F13" s="41" t="s">
        <v>26</v>
      </c>
      <c r="G13" s="34">
        <v>97</v>
      </c>
      <c r="H13" s="107">
        <f>IF(B$47=0,0,G13/B$47)</f>
        <v>6.2905317769130997E-2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475</v>
      </c>
      <c r="C14" s="4">
        <f>IF(B$12=0,0,B14/B$12)</f>
        <v>0.49325025960539981</v>
      </c>
      <c r="E14" s="44" t="s">
        <v>83</v>
      </c>
      <c r="F14" s="41" t="s">
        <v>38</v>
      </c>
      <c r="G14" s="34">
        <v>65</v>
      </c>
      <c r="H14" s="107">
        <f>IF(B$47=0,0,G14/B$47)</f>
        <v>4.2153047989623868E-2</v>
      </c>
      <c r="I14" s="68">
        <v>11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1698</v>
      </c>
      <c r="C15" s="4">
        <f>IF(B$3=0,0,B15/B$3)</f>
        <v>0.34688457609805923</v>
      </c>
      <c r="E15" s="44" t="s">
        <v>153</v>
      </c>
      <c r="F15" s="41" t="s">
        <v>154</v>
      </c>
      <c r="G15" s="34">
        <v>38</v>
      </c>
      <c r="H15" s="107">
        <f>IF(B$47=0,0,G15/B$47)</f>
        <v>2.464332036316472E-2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13</v>
      </c>
      <c r="B16" s="34">
        <v>693</v>
      </c>
      <c r="C16" s="31">
        <f>IF(B$3=0,0,B16/B$3)</f>
        <v>0.14157303370786517</v>
      </c>
      <c r="E16" s="44" t="s">
        <v>78</v>
      </c>
      <c r="F16" s="41" t="s">
        <v>33</v>
      </c>
      <c r="G16" s="34">
        <v>37</v>
      </c>
      <c r="H16" s="107">
        <f>IF(B$47=0,0,G16/B$47)</f>
        <v>2.3994811932555125E-2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37" t="s">
        <v>12</v>
      </c>
      <c r="B17" s="34">
        <v>691</v>
      </c>
      <c r="C17" s="31">
        <f>IF(B$15=0,0,B17/B$15)</f>
        <v>0.40694935217903416</v>
      </c>
      <c r="E17" s="44" t="s">
        <v>81</v>
      </c>
      <c r="F17" s="41" t="s">
        <v>36</v>
      </c>
      <c r="G17" s="34">
        <v>27</v>
      </c>
      <c r="H17" s="107">
        <f>IF(B$47=0,0,G17/B$47)</f>
        <v>1.7509727626459144E-2</v>
      </c>
      <c r="I17" s="68">
        <v>10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37" t="s">
        <v>11</v>
      </c>
      <c r="B18" s="34">
        <v>1007</v>
      </c>
      <c r="C18" s="31">
        <f>IF(B$15=0,0,B18/B$15)</f>
        <v>0.59305064782096584</v>
      </c>
      <c r="E18" s="44" t="s">
        <v>91</v>
      </c>
      <c r="F18" s="41" t="s">
        <v>46</v>
      </c>
      <c r="G18" s="34">
        <v>25</v>
      </c>
      <c r="H18" s="107">
        <f>IF(B$47=0,0,G18/B$47)</f>
        <v>1.621271076523995E-2</v>
      </c>
      <c r="I18" s="68">
        <v>9</v>
      </c>
      <c r="K18" s="5">
        <v>16</v>
      </c>
      <c r="L18" s="73">
        <v>-8.099999999999989</v>
      </c>
      <c r="N18" s="89" t="s">
        <v>186</v>
      </c>
      <c r="O18" s="99">
        <f>IF(P18=0,0,Q18/P18)</f>
        <v>29.822222222222223</v>
      </c>
      <c r="P18" s="93">
        <v>45</v>
      </c>
      <c r="Q18" s="81">
        <v>1342</v>
      </c>
    </row>
    <row r="19" spans="1:17" x14ac:dyDescent="0.45">
      <c r="A19" s="37" t="s">
        <v>180</v>
      </c>
      <c r="B19" s="34">
        <v>802</v>
      </c>
      <c r="C19" s="31">
        <f>IF(B$15=0,0,B19/B$15)</f>
        <v>0.47232037691401652</v>
      </c>
      <c r="E19" s="44" t="s">
        <v>79</v>
      </c>
      <c r="F19" s="41" t="s">
        <v>34</v>
      </c>
      <c r="G19" s="34">
        <v>16</v>
      </c>
      <c r="H19" s="107">
        <f>IF(B$47=0,0,G19/B$47)</f>
        <v>1.0376134889753566E-2</v>
      </c>
      <c r="I19" s="68">
        <v>12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5">
      <c r="A20" s="37" t="s">
        <v>178</v>
      </c>
      <c r="B20" s="34">
        <v>475</v>
      </c>
      <c r="C20" s="31">
        <f>IF(B$15=0,0,B20/B$15)</f>
        <v>0.27974087161366312</v>
      </c>
      <c r="E20" s="44" t="s">
        <v>77</v>
      </c>
      <c r="F20" s="41" t="s">
        <v>32</v>
      </c>
      <c r="G20" s="34">
        <v>11</v>
      </c>
      <c r="H20" s="107">
        <f>IF(B$47=0,0,G20/B$47)</f>
        <v>7.133592736705577E-3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26.026666666666664</v>
      </c>
      <c r="P20" s="93">
        <v>15</v>
      </c>
      <c r="Q20" s="81">
        <v>390.4</v>
      </c>
    </row>
    <row r="21" spans="1:17" x14ac:dyDescent="0.45">
      <c r="A21" s="37" t="s">
        <v>179</v>
      </c>
      <c r="B21" s="34">
        <v>421</v>
      </c>
      <c r="C21" s="31">
        <f>IF(B$15=0,0,B21/B$15)</f>
        <v>0.24793875147232039</v>
      </c>
      <c r="E21" s="44" t="s">
        <v>85</v>
      </c>
      <c r="F21" s="41" t="s">
        <v>40</v>
      </c>
      <c r="G21" s="34">
        <v>11</v>
      </c>
      <c r="H21" s="107">
        <f>IF(B$47=0,0,G21/B$47)</f>
        <v>7.133592736705577E-3</v>
      </c>
      <c r="I21" s="68">
        <v>2</v>
      </c>
      <c r="K21" s="5">
        <v>19</v>
      </c>
      <c r="L21" s="73">
        <v>42.600000000000016</v>
      </c>
      <c r="N21" s="89" t="s">
        <v>187</v>
      </c>
      <c r="O21" s="99">
        <f>IF(P21=0,0,Q21/P21)</f>
        <v>20.581889763779529</v>
      </c>
      <c r="P21" s="93">
        <v>127</v>
      </c>
      <c r="Q21" s="81">
        <v>2613.9</v>
      </c>
    </row>
    <row r="22" spans="1:17" x14ac:dyDescent="0.45">
      <c r="A22" s="37" t="s">
        <v>5</v>
      </c>
      <c r="B22" s="17">
        <f>IF(B$15=0,0,C22/B$15)</f>
        <v>9281.2720848056542</v>
      </c>
      <c r="C22" s="8">
        <v>15759600</v>
      </c>
      <c r="E22" s="44" t="s">
        <v>92</v>
      </c>
      <c r="F22" s="41" t="s">
        <v>47</v>
      </c>
      <c r="G22" s="34">
        <v>10</v>
      </c>
      <c r="H22" s="107">
        <f>IF(B$47=0,0,G22/B$47)</f>
        <v>6.4850843060959796E-3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19.135064935064936</v>
      </c>
      <c r="P22" s="93">
        <v>154</v>
      </c>
      <c r="Q22" s="81">
        <v>2946.8</v>
      </c>
    </row>
    <row r="23" spans="1:17" x14ac:dyDescent="0.45">
      <c r="A23" s="38" t="s">
        <v>162</v>
      </c>
      <c r="B23" s="114">
        <f>IF($B$15-B$14=0,0,C23/($B$15-B$14))</f>
        <v>9598.4464431725264</v>
      </c>
      <c r="C23" s="115">
        <v>11738900</v>
      </c>
      <c r="E23" s="44" t="s">
        <v>75</v>
      </c>
      <c r="F23" s="41" t="s">
        <v>30</v>
      </c>
      <c r="G23" s="34">
        <v>9</v>
      </c>
      <c r="H23" s="107">
        <f>IF(B$47=0,0,G23/B$47)</f>
        <v>5.8365758754863814E-3</v>
      </c>
      <c r="I23" s="68">
        <v>6</v>
      </c>
      <c r="K23" s="5">
        <v>21</v>
      </c>
      <c r="L23" s="73">
        <v>125.30000000000001</v>
      </c>
      <c r="N23" s="89" t="s">
        <v>190</v>
      </c>
      <c r="O23" s="99">
        <f>IF(P23=0,0,Q23/P23)</f>
        <v>14.847163120567375</v>
      </c>
      <c r="P23" s="93">
        <v>282</v>
      </c>
      <c r="Q23" s="81">
        <v>4186.8999999999996</v>
      </c>
    </row>
    <row r="24" spans="1:17" x14ac:dyDescent="0.45">
      <c r="A24" s="38" t="s">
        <v>163</v>
      </c>
      <c r="B24" s="114">
        <f>IF(B$14=0,0,C24/B$14)</f>
        <v>8464.6315789473683</v>
      </c>
      <c r="C24" s="115">
        <v>4020700</v>
      </c>
      <c r="E24" s="44" t="s">
        <v>73</v>
      </c>
      <c r="F24" s="41" t="s">
        <v>28</v>
      </c>
      <c r="G24" s="34">
        <v>7</v>
      </c>
      <c r="H24" s="107">
        <f>IF(B$47=0,0,G24/B$47)</f>
        <v>4.5395590142671858E-3</v>
      </c>
      <c r="I24" s="68">
        <v>9</v>
      </c>
      <c r="K24" s="5">
        <v>22</v>
      </c>
      <c r="L24" s="73">
        <v>99.800000000000011</v>
      </c>
      <c r="N24" s="89" t="s">
        <v>193</v>
      </c>
      <c r="O24" s="99">
        <f>IF(P24=0,0,Q24/P24)</f>
        <v>13.520805369127523</v>
      </c>
      <c r="P24" s="93">
        <v>298</v>
      </c>
      <c r="Q24" s="81">
        <v>4029.2000000000016</v>
      </c>
    </row>
    <row r="25" spans="1:17" x14ac:dyDescent="0.45">
      <c r="A25" s="38" t="s">
        <v>161</v>
      </c>
      <c r="B25" s="114">
        <f>IF(B$16=0,0,C25/B$16)</f>
        <v>-8504.4733044733039</v>
      </c>
      <c r="C25" s="115">
        <v>-5893600</v>
      </c>
      <c r="E25" s="44" t="s">
        <v>90</v>
      </c>
      <c r="F25" s="41" t="s">
        <v>45</v>
      </c>
      <c r="G25" s="34">
        <v>5</v>
      </c>
      <c r="H25" s="107">
        <f>IF(B$47=0,0,G25/B$47)</f>
        <v>3.2425421530479898E-3</v>
      </c>
      <c r="I25" s="68">
        <v>2</v>
      </c>
      <c r="K25" s="5">
        <v>23</v>
      </c>
      <c r="L25" s="73">
        <v>124.50000000000001</v>
      </c>
      <c r="N25" s="89" t="s">
        <v>189</v>
      </c>
      <c r="O25" s="99">
        <f>IF(P25=0,0,Q25/P25)</f>
        <v>8</v>
      </c>
      <c r="P25" s="93">
        <v>1</v>
      </c>
      <c r="Q25" s="81">
        <v>8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4</v>
      </c>
      <c r="H26" s="107">
        <f>IF(B$47=0,0,G26/B$47)</f>
        <v>2.5940337224383916E-3</v>
      </c>
      <c r="I26" s="68">
        <v>5</v>
      </c>
      <c r="K26" s="5">
        <v>24</v>
      </c>
      <c r="L26" s="73">
        <v>118.00000000000001</v>
      </c>
      <c r="N26" s="89" t="s">
        <v>191</v>
      </c>
      <c r="O26" s="99">
        <f>IF(P26=0,0,Q26/P26)</f>
        <v>5.6399014778325114</v>
      </c>
      <c r="P26" s="93">
        <v>203</v>
      </c>
      <c r="Q26" s="81">
        <v>1144.8999999999999</v>
      </c>
    </row>
    <row r="27" spans="1:17" x14ac:dyDescent="0.45">
      <c r="A27" s="37" t="s">
        <v>156</v>
      </c>
      <c r="B27" s="34">
        <v>43</v>
      </c>
      <c r="C27" s="109">
        <v>0</v>
      </c>
      <c r="E27" s="44" t="s">
        <v>88</v>
      </c>
      <c r="F27" s="41" t="s">
        <v>43</v>
      </c>
      <c r="G27" s="34">
        <v>4</v>
      </c>
      <c r="H27" s="107">
        <f>IF(B$47=0,0,G27/B$47)</f>
        <v>2.5940337224383916E-3</v>
      </c>
      <c r="I27" s="68">
        <v>2</v>
      </c>
      <c r="K27" s="5">
        <v>25</v>
      </c>
      <c r="L27" s="73">
        <v>84.300000000000011</v>
      </c>
      <c r="N27" s="89" t="s">
        <v>194</v>
      </c>
      <c r="O27" s="99">
        <f>IF(P27=0,0,Q27/P27)</f>
        <v>5.6242857142857137</v>
      </c>
      <c r="P27" s="93">
        <v>70</v>
      </c>
      <c r="Q27" s="81">
        <v>393.69999999999993</v>
      </c>
    </row>
    <row r="28" spans="1:17" x14ac:dyDescent="0.45">
      <c r="A28" s="64" t="s">
        <v>134</v>
      </c>
      <c r="B28" s="139">
        <v>10</v>
      </c>
      <c r="C28" s="140"/>
      <c r="E28" s="44" t="s">
        <v>95</v>
      </c>
      <c r="F28" s="41" t="s">
        <v>50</v>
      </c>
      <c r="G28" s="34">
        <v>4</v>
      </c>
      <c r="H28" s="107">
        <f>IF(B$47=0,0,G28/B$47)</f>
        <v>2.5940337224383916E-3</v>
      </c>
      <c r="I28" s="68">
        <v>2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5">
      <c r="A29" s="40" t="s">
        <v>177</v>
      </c>
      <c r="B29" s="137">
        <v>149100</v>
      </c>
      <c r="C29" s="138"/>
      <c r="E29" s="44" t="s">
        <v>74</v>
      </c>
      <c r="F29" s="41" t="s">
        <v>29</v>
      </c>
      <c r="G29" s="34">
        <v>3</v>
      </c>
      <c r="H29" s="107">
        <f>IF(B$47=0,0,G29/B$47)</f>
        <v>1.9455252918287938E-3</v>
      </c>
      <c r="I29" s="68">
        <v>8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9" t="s">
        <v>135</v>
      </c>
      <c r="B30" s="27">
        <v>4</v>
      </c>
      <c r="C30" s="32">
        <f>IF(B$3=0,0,B30/B$3)</f>
        <v>8.1716036772216548E-4</v>
      </c>
      <c r="E30" s="44" t="s">
        <v>87</v>
      </c>
      <c r="F30" s="41" t="s">
        <v>42</v>
      </c>
      <c r="G30" s="34">
        <v>3</v>
      </c>
      <c r="H30" s="107">
        <f>IF(B$47=0,0,G30/B$47)</f>
        <v>1.9455252918287938E-3</v>
      </c>
      <c r="I30" s="68">
        <v>5</v>
      </c>
      <c r="K30" s="5">
        <v>28</v>
      </c>
      <c r="L30" s="73">
        <v>129.20000000000002</v>
      </c>
    </row>
    <row r="31" spans="1:17" x14ac:dyDescent="0.45">
      <c r="E31" s="44" t="s">
        <v>93</v>
      </c>
      <c r="F31" s="41" t="s">
        <v>48</v>
      </c>
      <c r="G31" s="34">
        <v>3</v>
      </c>
      <c r="H31" s="107">
        <f>IF(B$47=0,0,G31/B$47)</f>
        <v>1.9455252918287938E-3</v>
      </c>
      <c r="I31" s="68">
        <v>6</v>
      </c>
      <c r="K31" s="5">
        <v>29</v>
      </c>
      <c r="L31" s="73">
        <v>120.80000000000001</v>
      </c>
    </row>
    <row r="32" spans="1:17" x14ac:dyDescent="0.45">
      <c r="A32" s="64" t="s">
        <v>168</v>
      </c>
      <c r="B32" s="121">
        <v>100</v>
      </c>
      <c r="C32" s="119">
        <f>IF(B$15=0,0,B32/B$15)</f>
        <v>5.8892815076560662E-2</v>
      </c>
      <c r="E32" s="44" t="s">
        <v>106</v>
      </c>
      <c r="F32" s="41" t="s">
        <v>113</v>
      </c>
      <c r="G32" s="34">
        <v>2</v>
      </c>
      <c r="H32" s="107">
        <f>IF(B$47=0,0,G32/B$47)</f>
        <v>1.2970168612191958E-3</v>
      </c>
      <c r="I32" s="68">
        <v>2</v>
      </c>
      <c r="K32" s="5">
        <v>30</v>
      </c>
      <c r="L32" s="73">
        <v>174.10000000000002</v>
      </c>
    </row>
    <row r="33" spans="1:12" x14ac:dyDescent="0.45">
      <c r="A33" s="37" t="s">
        <v>164</v>
      </c>
      <c r="B33" s="34">
        <v>206</v>
      </c>
      <c r="C33" s="31">
        <f t="shared" ref="C33:C44" si="2">IF(B$15=0,0,B33/B$15)</f>
        <v>0.12131919905771496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5">
      <c r="A34" s="37" t="s">
        <v>165</v>
      </c>
      <c r="B34" s="124">
        <v>299</v>
      </c>
      <c r="C34" s="31">
        <f>IF(B$15=0,0,B34/B$15)</f>
        <v>0.17608951707891637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5">
      <c r="A35" s="37" t="s">
        <v>166</v>
      </c>
      <c r="B35" s="124">
        <v>309</v>
      </c>
      <c r="C35" s="31">
        <f t="shared" si="2"/>
        <v>0.18197879858657243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37" t="s">
        <v>167</v>
      </c>
      <c r="B36" s="124">
        <v>228</v>
      </c>
      <c r="C36" s="31">
        <f t="shared" si="2"/>
        <v>0.13427561837455831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169</v>
      </c>
      <c r="B37" s="124">
        <v>167</v>
      </c>
      <c r="C37" s="31">
        <f t="shared" si="2"/>
        <v>9.8351001177856306E-2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170</v>
      </c>
      <c r="B38" s="124">
        <v>107</v>
      </c>
      <c r="C38" s="31">
        <f t="shared" si="2"/>
        <v>6.3015312131919909E-2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171</v>
      </c>
      <c r="B39" s="124">
        <v>48</v>
      </c>
      <c r="C39" s="31">
        <f t="shared" si="2"/>
        <v>2.8268551236749116E-2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172</v>
      </c>
      <c r="B40" s="124">
        <v>31</v>
      </c>
      <c r="C40" s="31">
        <f t="shared" si="2"/>
        <v>1.8256772673733806E-2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173</v>
      </c>
      <c r="B41" s="124">
        <v>12</v>
      </c>
      <c r="C41" s="31">
        <f t="shared" si="2"/>
        <v>7.0671378091872791E-3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174</v>
      </c>
      <c r="B42" s="124">
        <v>8</v>
      </c>
      <c r="C42" s="31">
        <f t="shared" si="2"/>
        <v>4.7114252061248524E-3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175</v>
      </c>
      <c r="B43" s="124">
        <v>3</v>
      </c>
      <c r="C43" s="31">
        <f t="shared" si="2"/>
        <v>1.7667844522968198E-3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9" t="s">
        <v>176</v>
      </c>
      <c r="B44" s="120">
        <v>24</v>
      </c>
      <c r="C44" s="32">
        <f t="shared" si="2"/>
        <v>1.4134275618374558E-2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64" t="s">
        <v>181</v>
      </c>
      <c r="B46" s="127">
        <v>4439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9" t="s">
        <v>182</v>
      </c>
      <c r="B47" s="135">
        <v>1542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5">
      <c r="K53" s="5">
        <v>51</v>
      </c>
      <c r="L53" s="73">
        <v>145.80000000000004</v>
      </c>
    </row>
    <row r="54" spans="5:12" x14ac:dyDescent="0.45">
      <c r="K54" s="5">
        <v>52</v>
      </c>
      <c r="L54" s="73">
        <v>139.10000000000005</v>
      </c>
    </row>
    <row r="55" spans="5:12" x14ac:dyDescent="0.45">
      <c r="K55" s="5">
        <v>53</v>
      </c>
      <c r="L55" s="73">
        <v>111.10000000000005</v>
      </c>
    </row>
    <row r="56" spans="5:12" x14ac:dyDescent="0.45">
      <c r="K56" s="5">
        <v>54</v>
      </c>
      <c r="L56" s="73">
        <v>127.80000000000005</v>
      </c>
    </row>
    <row r="57" spans="5:12" x14ac:dyDescent="0.45">
      <c r="K57" s="5">
        <v>55</v>
      </c>
      <c r="L57" s="73">
        <v>120.80000000000005</v>
      </c>
    </row>
    <row r="58" spans="5:12" x14ac:dyDescent="0.45">
      <c r="K58" s="5">
        <v>56</v>
      </c>
      <c r="L58" s="73">
        <v>152.40000000000006</v>
      </c>
    </row>
    <row r="59" spans="5:12" x14ac:dyDescent="0.45">
      <c r="K59" s="5">
        <v>57</v>
      </c>
      <c r="L59" s="73">
        <v>168.20000000000007</v>
      </c>
    </row>
    <row r="60" spans="5:12" x14ac:dyDescent="0.45">
      <c r="K60" s="5">
        <v>58</v>
      </c>
      <c r="L60" s="73">
        <v>225.20000000000007</v>
      </c>
    </row>
    <row r="61" spans="5:12" x14ac:dyDescent="0.45">
      <c r="K61" s="5">
        <v>59</v>
      </c>
      <c r="L61" s="73">
        <v>230.50000000000009</v>
      </c>
    </row>
    <row r="62" spans="5:12" x14ac:dyDescent="0.45">
      <c r="K62" s="5">
        <v>60</v>
      </c>
      <c r="L62" s="73">
        <v>184.40000000000009</v>
      </c>
    </row>
    <row r="63" spans="5:12" x14ac:dyDescent="0.45">
      <c r="K63" s="5">
        <v>61</v>
      </c>
      <c r="L63" s="73">
        <v>205.50000000000009</v>
      </c>
    </row>
    <row r="64" spans="5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661D8-0CC9-4AE8-A2C9-3BE6545B8E8C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18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29">
        <v>25</v>
      </c>
      <c r="C3" s="130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16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1">
        <v>-132.1</v>
      </c>
      <c r="C4" s="132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18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3">
        <f>IF(B$2=0,0,B$4/B$2)</f>
        <v>-33.024999999999999</v>
      </c>
      <c r="C5" s="134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18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41">
        <f>IF(B$2=0,0,(B$7*1+B$8*2+B$9*3)/B$2)</f>
        <v>3</v>
      </c>
      <c r="C6" s="142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18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17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14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17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11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10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13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13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14</v>
      </c>
    </row>
    <row r="20" spans="1:17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5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5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7</v>
      </c>
    </row>
    <row r="23" spans="1:17" x14ac:dyDescent="0.45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8</v>
      </c>
    </row>
    <row r="24" spans="1:17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5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5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5">
      <c r="A28" s="64" t="s">
        <v>134</v>
      </c>
      <c r="B28" s="139">
        <v>0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37">
        <v>13000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4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4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4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0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C655C-1EA4-4A0A-92CB-782D13908953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66</v>
      </c>
      <c r="F2" s="25" t="s">
        <v>22</v>
      </c>
      <c r="G2" s="13">
        <v>5</v>
      </c>
      <c r="H2" s="106">
        <f>IF(B$47=0,0,G2/B$47)</f>
        <v>1.25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-7250</v>
      </c>
      <c r="P2" s="92">
        <v>4</v>
      </c>
      <c r="Q2" s="76">
        <v>-29000</v>
      </c>
    </row>
    <row r="3" spans="1:17" x14ac:dyDescent="0.45">
      <c r="A3" s="37" t="s">
        <v>8</v>
      </c>
      <c r="B3" s="129">
        <v>24</v>
      </c>
      <c r="C3" s="130"/>
      <c r="E3" s="44" t="s">
        <v>72</v>
      </c>
      <c r="F3" s="41" t="s">
        <v>27</v>
      </c>
      <c r="G3" s="34">
        <v>3</v>
      </c>
      <c r="H3" s="107">
        <f>IF(B$47=0,0,G3/B$47)</f>
        <v>0.75</v>
      </c>
      <c r="I3" s="68">
        <v>1</v>
      </c>
      <c r="K3" s="5">
        <v>1</v>
      </c>
      <c r="L3" s="73">
        <v>7</v>
      </c>
      <c r="N3" s="89" t="s">
        <v>127</v>
      </c>
      <c r="O3" s="96">
        <f t="shared" si="0"/>
        <v>-3166.6666666666665</v>
      </c>
      <c r="P3" s="93">
        <v>3</v>
      </c>
      <c r="Q3" s="77">
        <v>-9500</v>
      </c>
    </row>
    <row r="4" spans="1:17" x14ac:dyDescent="0.45">
      <c r="A4" s="37" t="s">
        <v>6</v>
      </c>
      <c r="B4" s="131">
        <v>-15.5</v>
      </c>
      <c r="C4" s="132"/>
      <c r="E4" s="44" t="s">
        <v>64</v>
      </c>
      <c r="F4" s="41" t="s">
        <v>20</v>
      </c>
      <c r="G4" s="34">
        <v>2</v>
      </c>
      <c r="H4" s="107">
        <f>IF(B$47=0,0,G4/B$47)</f>
        <v>0.5</v>
      </c>
      <c r="I4" s="68">
        <v>7</v>
      </c>
      <c r="K4" s="5">
        <v>2</v>
      </c>
      <c r="L4" s="73">
        <v>-24.5</v>
      </c>
      <c r="N4" s="89" t="s">
        <v>128</v>
      </c>
      <c r="O4" s="96">
        <f t="shared" si="0"/>
        <v>-3666.6666666666665</v>
      </c>
      <c r="P4" s="93">
        <v>3</v>
      </c>
      <c r="Q4" s="77">
        <v>-11000</v>
      </c>
    </row>
    <row r="5" spans="1:17" x14ac:dyDescent="0.45">
      <c r="A5" s="37" t="s">
        <v>7</v>
      </c>
      <c r="B5" s="133">
        <f>IF(B$2=0,0,B$4/B$2)</f>
        <v>-3.875</v>
      </c>
      <c r="C5" s="134"/>
      <c r="E5" s="44" t="s">
        <v>67</v>
      </c>
      <c r="F5" s="41" t="s">
        <v>23</v>
      </c>
      <c r="G5" s="34">
        <v>2</v>
      </c>
      <c r="H5" s="107">
        <f>IF(B$47=0,0,G5/B$47)</f>
        <v>0.5</v>
      </c>
      <c r="I5" s="68">
        <v>1</v>
      </c>
      <c r="K5" s="5">
        <v>3</v>
      </c>
      <c r="L5" s="73">
        <v>-26.5</v>
      </c>
      <c r="N5" s="89" t="s">
        <v>129</v>
      </c>
      <c r="O5" s="96">
        <f t="shared" si="0"/>
        <v>4000</v>
      </c>
      <c r="P5" s="93">
        <v>2</v>
      </c>
      <c r="Q5" s="77">
        <v>8000</v>
      </c>
    </row>
    <row r="6" spans="1:17" x14ac:dyDescent="0.45">
      <c r="A6" s="37" t="s">
        <v>1</v>
      </c>
      <c r="B6" s="141">
        <f>IF(B$2=0,0,(B$7*1+B$8*2+B$9*3)/B$2)</f>
        <v>2</v>
      </c>
      <c r="C6" s="142"/>
      <c r="E6" s="44" t="s">
        <v>89</v>
      </c>
      <c r="F6" s="41" t="s">
        <v>44</v>
      </c>
      <c r="G6" s="34">
        <v>2</v>
      </c>
      <c r="H6" s="107">
        <f>IF(B$47=0,0,G6/B$47)</f>
        <v>0.5</v>
      </c>
      <c r="I6" s="68">
        <v>1</v>
      </c>
      <c r="K6" s="5">
        <v>4</v>
      </c>
      <c r="L6" s="73">
        <v>-15.5</v>
      </c>
      <c r="N6" s="89" t="s">
        <v>130</v>
      </c>
      <c r="O6" s="96">
        <f t="shared" si="0"/>
        <v>21500</v>
      </c>
      <c r="P6" s="93">
        <v>2</v>
      </c>
      <c r="Q6" s="77">
        <v>43000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0.25</v>
      </c>
      <c r="E7" s="44" t="s">
        <v>68</v>
      </c>
      <c r="F7" s="41" t="s">
        <v>12</v>
      </c>
      <c r="G7" s="34">
        <v>1</v>
      </c>
      <c r="H7" s="107">
        <f>IF(B$47=0,0,G7/B$47)</f>
        <v>0.25</v>
      </c>
      <c r="I7" s="68">
        <v>15</v>
      </c>
      <c r="N7" s="90" t="s">
        <v>131</v>
      </c>
      <c r="O7" s="97">
        <f t="shared" si="0"/>
        <v>-8500</v>
      </c>
      <c r="P7" s="94">
        <v>2</v>
      </c>
      <c r="Q7" s="78">
        <v>-17000</v>
      </c>
    </row>
    <row r="8" spans="1:17" x14ac:dyDescent="0.45">
      <c r="A8" s="37" t="s">
        <v>3</v>
      </c>
      <c r="B8" s="34">
        <v>2</v>
      </c>
      <c r="C8" s="31">
        <f t="shared" si="1"/>
        <v>0.5</v>
      </c>
      <c r="E8" s="44" t="s">
        <v>69</v>
      </c>
      <c r="F8" s="41" t="s">
        <v>24</v>
      </c>
      <c r="G8" s="34">
        <v>1</v>
      </c>
      <c r="H8" s="107">
        <f>IF(B$47=0,0,G8/B$47)</f>
        <v>0.25</v>
      </c>
      <c r="I8" s="68">
        <v>1</v>
      </c>
      <c r="N8" s="33"/>
      <c r="O8" s="101"/>
      <c r="P8" s="85"/>
      <c r="Q8" s="83"/>
    </row>
    <row r="9" spans="1:17" x14ac:dyDescent="0.45">
      <c r="A9" s="38" t="s">
        <v>4</v>
      </c>
      <c r="B9" s="35">
        <v>1</v>
      </c>
      <c r="C9" s="7">
        <f t="shared" si="1"/>
        <v>0.25</v>
      </c>
      <c r="E9" s="44" t="s">
        <v>71</v>
      </c>
      <c r="F9" s="41" t="s">
        <v>26</v>
      </c>
      <c r="G9" s="34">
        <v>1</v>
      </c>
      <c r="H9" s="107">
        <f>IF(B$47=0,0,G9/B$47)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83</v>
      </c>
      <c r="F10" s="41" t="s">
        <v>38</v>
      </c>
      <c r="G10" s="34">
        <v>1</v>
      </c>
      <c r="H10" s="107">
        <f>IF(B$47=0,0,G10/B$47)</f>
        <v>0.25</v>
      </c>
      <c r="I10" s="68">
        <v>1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40" t="s">
        <v>121</v>
      </c>
      <c r="B11" s="16">
        <v>8</v>
      </c>
      <c r="C11" s="11">
        <f>IF(B$46=0,0,B11/B$46)</f>
        <v>0.42105263157894735</v>
      </c>
      <c r="E11" s="44" t="s">
        <v>86</v>
      </c>
      <c r="F11" s="41" t="s">
        <v>41</v>
      </c>
      <c r="G11" s="34">
        <v>1</v>
      </c>
      <c r="H11" s="107">
        <f>IF(B$47=0,0,G11/B$47)</f>
        <v>0.25</v>
      </c>
      <c r="I11" s="68">
        <v>1</v>
      </c>
      <c r="N11" s="89" t="s">
        <v>150</v>
      </c>
      <c r="O11" s="99">
        <f>IF(P11=0,0,Q11/P11)</f>
        <v>9</v>
      </c>
      <c r="P11" s="93">
        <v>2</v>
      </c>
      <c r="Q11" s="81">
        <v>18</v>
      </c>
    </row>
    <row r="12" spans="1:17" x14ac:dyDescent="0.45">
      <c r="A12" s="37" t="s">
        <v>118</v>
      </c>
      <c r="B12" s="34">
        <v>2</v>
      </c>
      <c r="C12" s="31">
        <f>IF(B$46=0,0,B12/B$46)</f>
        <v>0.10526315789473684</v>
      </c>
      <c r="E12" s="44" t="s">
        <v>65</v>
      </c>
      <c r="F12" s="41" t="s">
        <v>21</v>
      </c>
      <c r="G12" s="34">
        <v>0</v>
      </c>
      <c r="H12" s="107">
        <f>IF(B$47=0,0,G12/B$47)</f>
        <v>0</v>
      </c>
      <c r="I12" s="68">
        <v>16</v>
      </c>
      <c r="N12" s="90" t="s">
        <v>151</v>
      </c>
      <c r="O12" s="100">
        <f>IF(P12=0,0,Q12/P12)</f>
        <v>-16.75</v>
      </c>
      <c r="P12" s="94">
        <v>2</v>
      </c>
      <c r="Q12" s="82">
        <v>-33.5</v>
      </c>
    </row>
    <row r="13" spans="1:17" x14ac:dyDescent="0.45">
      <c r="A13" s="19" t="s">
        <v>123</v>
      </c>
      <c r="B13" s="13">
        <v>2</v>
      </c>
      <c r="C13" s="4">
        <f>IF(B$11=0,0,B13/B$11)</f>
        <v>0.25</v>
      </c>
      <c r="E13" s="44" t="s">
        <v>70</v>
      </c>
      <c r="F13" s="41" t="s">
        <v>25</v>
      </c>
      <c r="G13" s="34">
        <v>0</v>
      </c>
      <c r="H13" s="107">
        <f>IF(B$47=0,0,G13/B$47)</f>
        <v>0</v>
      </c>
      <c r="I13" s="68">
        <v>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</v>
      </c>
      <c r="C14" s="4">
        <f>IF(B$12=0,0,B14/B$12)</f>
        <v>1</v>
      </c>
      <c r="E14" s="44" t="s">
        <v>73</v>
      </c>
      <c r="F14" s="41" t="s">
        <v>28</v>
      </c>
      <c r="G14" s="34">
        <v>0</v>
      </c>
      <c r="H14" s="107">
        <f>IF(B$47=0,0,G14/B$47)</f>
        <v>0</v>
      </c>
      <c r="I14" s="68">
        <v>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</v>
      </c>
      <c r="C15" s="4">
        <f>IF(B$3=0,0,B15/B$3)</f>
        <v>0.25</v>
      </c>
      <c r="E15" s="44" t="s">
        <v>74</v>
      </c>
      <c r="F15" s="41" t="s">
        <v>29</v>
      </c>
      <c r="G15" s="34">
        <v>0</v>
      </c>
      <c r="H15" s="107">
        <f>IF(B$47=0,0,G15/B$47)</f>
        <v>0</v>
      </c>
      <c r="I15" s="68">
        <v>10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5">
      <c r="A16" s="37" t="s">
        <v>13</v>
      </c>
      <c r="B16" s="34">
        <v>4</v>
      </c>
      <c r="C16" s="31">
        <f>IF(B$3=0,0,B16/B$3)</f>
        <v>0.16666666666666666</v>
      </c>
      <c r="E16" s="44" t="s">
        <v>75</v>
      </c>
      <c r="F16" s="41" t="s">
        <v>30</v>
      </c>
      <c r="G16" s="34">
        <v>0</v>
      </c>
      <c r="H16" s="107">
        <f>IF(B$47=0,0,G16/B$47)</f>
        <v>0</v>
      </c>
      <c r="I16" s="68">
        <v>10</v>
      </c>
      <c r="N16" s="89" t="s">
        <v>191</v>
      </c>
      <c r="O16" s="99">
        <f>IF(P16=0,0,Q16/P16)</f>
        <v>3.9666666666666663</v>
      </c>
      <c r="P16" s="93">
        <v>3</v>
      </c>
      <c r="Q16" s="81">
        <v>11.899999999999999</v>
      </c>
    </row>
    <row r="17" spans="1:17" x14ac:dyDescent="0.45">
      <c r="A17" s="37" t="s">
        <v>12</v>
      </c>
      <c r="B17" s="34">
        <v>2</v>
      </c>
      <c r="C17" s="31">
        <f>IF(B$15=0,0,B17/B$15)</f>
        <v>0.33333333333333331</v>
      </c>
      <c r="E17" s="44" t="s">
        <v>76</v>
      </c>
      <c r="F17" s="41" t="s">
        <v>31</v>
      </c>
      <c r="G17" s="34">
        <v>0</v>
      </c>
      <c r="H17" s="107">
        <f>IF(B$47=0,0,G17/B$47)</f>
        <v>0</v>
      </c>
      <c r="I17" s="68">
        <v>1</v>
      </c>
      <c r="N17" s="89" t="s">
        <v>195</v>
      </c>
      <c r="O17" s="99">
        <f>IF(P17=0,0,Q17/P17)</f>
        <v>-8</v>
      </c>
      <c r="P17" s="93">
        <v>1</v>
      </c>
      <c r="Q17" s="81">
        <v>-8</v>
      </c>
    </row>
    <row r="18" spans="1:17" x14ac:dyDescent="0.45">
      <c r="A18" s="37" t="s">
        <v>11</v>
      </c>
      <c r="B18" s="34">
        <v>4</v>
      </c>
      <c r="C18" s="31">
        <f>IF(B$15=0,0,B18/B$15)</f>
        <v>0.66666666666666663</v>
      </c>
      <c r="E18" s="44" t="s">
        <v>77</v>
      </c>
      <c r="F18" s="41" t="s">
        <v>32</v>
      </c>
      <c r="G18" s="34">
        <v>0</v>
      </c>
      <c r="H18" s="107">
        <f>IF(B$47=0,0,G18/B$47)</f>
        <v>0</v>
      </c>
      <c r="I18" s="68">
        <v>9</v>
      </c>
      <c r="N18" s="89" t="s">
        <v>190</v>
      </c>
      <c r="O18" s="99">
        <f>IF(P18=0,0,Q18/P18)</f>
        <v>-26.466666666666669</v>
      </c>
      <c r="P18" s="93">
        <v>3</v>
      </c>
      <c r="Q18" s="81">
        <v>-79.400000000000006</v>
      </c>
    </row>
    <row r="19" spans="1:17" x14ac:dyDescent="0.45">
      <c r="A19" s="37" t="s">
        <v>180</v>
      </c>
      <c r="B19" s="34">
        <v>2</v>
      </c>
      <c r="C19" s="31">
        <f>IF(B$15=0,0,B19/B$15)</f>
        <v>0.33333333333333331</v>
      </c>
      <c r="E19" s="44" t="s">
        <v>78</v>
      </c>
      <c r="F19" s="41" t="s">
        <v>33</v>
      </c>
      <c r="G19" s="34">
        <v>0</v>
      </c>
      <c r="H19" s="107">
        <f>IF(B$47=0,0,G19/B$47)</f>
        <v>0</v>
      </c>
      <c r="I19" s="68">
        <v>13</v>
      </c>
    </row>
    <row r="20" spans="1:17" x14ac:dyDescent="0.45">
      <c r="A20" s="37" t="s">
        <v>178</v>
      </c>
      <c r="B20" s="34">
        <v>2</v>
      </c>
      <c r="C20" s="31">
        <f>IF(B$15=0,0,B20/B$15)</f>
        <v>0.33333333333333331</v>
      </c>
      <c r="E20" s="44" t="s">
        <v>79</v>
      </c>
      <c r="F20" s="41" t="s">
        <v>34</v>
      </c>
      <c r="G20" s="34">
        <v>0</v>
      </c>
      <c r="H20" s="107">
        <f>IF(B$47=0,0,G20/B$47)</f>
        <v>0</v>
      </c>
      <c r="I20" s="68">
        <v>13</v>
      </c>
    </row>
    <row r="21" spans="1:17" x14ac:dyDescent="0.45">
      <c r="A21" s="37" t="s">
        <v>179</v>
      </c>
      <c r="B21" s="34">
        <v>2</v>
      </c>
      <c r="C21" s="31">
        <f>IF(B$15=0,0,B21/B$15)</f>
        <v>0.33333333333333331</v>
      </c>
      <c r="E21" s="44" t="s">
        <v>80</v>
      </c>
      <c r="F21" s="41" t="s">
        <v>35</v>
      </c>
      <c r="G21" s="34">
        <v>0</v>
      </c>
      <c r="H21" s="107">
        <f>IF(B$47=0,0,G21/B$47)</f>
        <v>0</v>
      </c>
      <c r="I21" s="68">
        <v>3</v>
      </c>
    </row>
    <row r="22" spans="1:17" x14ac:dyDescent="0.45">
      <c r="A22" s="37" t="s">
        <v>5</v>
      </c>
      <c r="B22" s="17">
        <f>IF(B$15=0,0,C22/B$15)</f>
        <v>12333.333333333334</v>
      </c>
      <c r="C22" s="8">
        <v>74000</v>
      </c>
      <c r="E22" s="44" t="s">
        <v>81</v>
      </c>
      <c r="F22" s="41" t="s">
        <v>36</v>
      </c>
      <c r="G22" s="34">
        <v>0</v>
      </c>
      <c r="H22" s="107">
        <f>IF(B$47=0,0,G22/B$47)</f>
        <v>0</v>
      </c>
      <c r="I22" s="68">
        <v>14</v>
      </c>
    </row>
    <row r="23" spans="1:17" x14ac:dyDescent="0.45">
      <c r="A23" s="38" t="s">
        <v>162</v>
      </c>
      <c r="B23" s="114">
        <f>IF($B$15-B$14=0,0,C23/($B$15-B$14))</f>
        <v>12000</v>
      </c>
      <c r="C23" s="115">
        <v>48000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5">
      <c r="A24" s="38" t="s">
        <v>163</v>
      </c>
      <c r="B24" s="114">
        <f>IF(B$14=0,0,C24/B$14)</f>
        <v>13000</v>
      </c>
      <c r="C24" s="115">
        <v>26000</v>
      </c>
      <c r="E24" s="44" t="s">
        <v>84</v>
      </c>
      <c r="F24" s="41" t="s">
        <v>39</v>
      </c>
      <c r="G24" s="34">
        <v>0</v>
      </c>
      <c r="H24" s="107">
        <f>IF(B$47=0,0,G24/B$47)</f>
        <v>0</v>
      </c>
      <c r="I24" s="68">
        <v>7</v>
      </c>
    </row>
    <row r="25" spans="1:17" x14ac:dyDescent="0.45">
      <c r="A25" s="38" t="s">
        <v>161</v>
      </c>
      <c r="B25" s="114">
        <f>IF(B$16=0,0,C25/B$16)</f>
        <v>-12000</v>
      </c>
      <c r="C25" s="115">
        <v>-48000</v>
      </c>
      <c r="E25" s="44" t="s">
        <v>85</v>
      </c>
      <c r="F25" s="41" t="s">
        <v>40</v>
      </c>
      <c r="G25" s="34">
        <v>0</v>
      </c>
      <c r="H25" s="107">
        <f>IF(B$47=0,0,G25/B$47)</f>
        <v>0</v>
      </c>
      <c r="I25" s="68">
        <v>8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17" x14ac:dyDescent="0.45">
      <c r="A27" s="37" t="s">
        <v>156</v>
      </c>
      <c r="B27" s="34">
        <v>11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17" x14ac:dyDescent="0.45">
      <c r="A28" s="64" t="s">
        <v>134</v>
      </c>
      <c r="B28" s="139">
        <v>3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37">
        <v>46000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4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4">
        <v>2</v>
      </c>
      <c r="C36" s="31">
        <f t="shared" si="2"/>
        <v>0.33333333333333331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4">
        <v>1</v>
      </c>
      <c r="C37" s="31">
        <f t="shared" si="2"/>
        <v>0.16666666666666666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4">
        <v>1</v>
      </c>
      <c r="C41" s="31">
        <f t="shared" si="2"/>
        <v>0.16666666666666666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19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4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3D236-DB05-4200-B512-7926DDA8AC67}">
  <sheetPr codeName="Sheet7"/>
  <dimension ref="A1:Q38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384</v>
      </c>
      <c r="C2" s="128"/>
      <c r="E2" s="43" t="s">
        <v>66</v>
      </c>
      <c r="F2" s="25" t="s">
        <v>22</v>
      </c>
      <c r="G2" s="13">
        <v>564</v>
      </c>
      <c r="H2" s="106">
        <f>IF(B$47=0,0,G2/B$47)</f>
        <v>0.71664548919949178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-159.05511811023621</v>
      </c>
      <c r="P2" s="92">
        <v>381</v>
      </c>
      <c r="Q2" s="76">
        <v>-60600</v>
      </c>
    </row>
    <row r="3" spans="1:17" x14ac:dyDescent="0.45">
      <c r="A3" s="37" t="s">
        <v>8</v>
      </c>
      <c r="B3" s="129">
        <v>3116</v>
      </c>
      <c r="C3" s="130"/>
      <c r="E3" s="44" t="s">
        <v>64</v>
      </c>
      <c r="F3" s="41" t="s">
        <v>20</v>
      </c>
      <c r="G3" s="34">
        <v>466</v>
      </c>
      <c r="H3" s="107">
        <f>IF(B$47=0,0,G3/B$47)</f>
        <v>0.5921219822109276</v>
      </c>
      <c r="I3" s="68">
        <v>3</v>
      </c>
      <c r="K3" s="5">
        <v>1</v>
      </c>
      <c r="L3" s="73">
        <v>40.9</v>
      </c>
      <c r="N3" s="89" t="s">
        <v>127</v>
      </c>
      <c r="O3" s="96">
        <f t="shared" si="0"/>
        <v>-1359.6774193548388</v>
      </c>
      <c r="P3" s="93">
        <v>372</v>
      </c>
      <c r="Q3" s="77">
        <v>-505800</v>
      </c>
    </row>
    <row r="4" spans="1:17" x14ac:dyDescent="0.45">
      <c r="A4" s="37" t="s">
        <v>6</v>
      </c>
      <c r="B4" s="131">
        <v>-1559.2999999999997</v>
      </c>
      <c r="C4" s="132"/>
      <c r="E4" s="44" t="s">
        <v>72</v>
      </c>
      <c r="F4" s="41" t="s">
        <v>27</v>
      </c>
      <c r="G4" s="34">
        <v>376</v>
      </c>
      <c r="H4" s="107">
        <f>IF(B$47=0,0,G4/B$47)</f>
        <v>0.47776365946632782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457.06214689265539</v>
      </c>
      <c r="P4" s="93">
        <v>354</v>
      </c>
      <c r="Q4" s="77">
        <v>161800</v>
      </c>
    </row>
    <row r="5" spans="1:17" x14ac:dyDescent="0.45">
      <c r="A5" s="37" t="s">
        <v>7</v>
      </c>
      <c r="B5" s="133">
        <f>IF(B$2=0,0,B$4/B$2)</f>
        <v>-4.0606770833333323</v>
      </c>
      <c r="C5" s="134"/>
      <c r="E5" s="44" t="s">
        <v>68</v>
      </c>
      <c r="F5" s="41" t="s">
        <v>12</v>
      </c>
      <c r="G5" s="34">
        <v>282</v>
      </c>
      <c r="H5" s="107">
        <f>IF(B$47=0,0,G5/B$47)</f>
        <v>0.35832274459974589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-561.72839506172841</v>
      </c>
      <c r="P5" s="93">
        <v>324</v>
      </c>
      <c r="Q5" s="77">
        <v>-182000</v>
      </c>
    </row>
    <row r="6" spans="1:17" x14ac:dyDescent="0.45">
      <c r="A6" s="37" t="s">
        <v>1</v>
      </c>
      <c r="B6" s="141">
        <f>IF(B$2=0,0,(B$7*1+B$8*2+B$9*3)/B$2)</f>
        <v>2.1067708333333335</v>
      </c>
      <c r="C6" s="142"/>
      <c r="E6" s="44" t="s">
        <v>67</v>
      </c>
      <c r="F6" s="41" t="s">
        <v>23</v>
      </c>
      <c r="G6" s="34">
        <v>264</v>
      </c>
      <c r="H6" s="107">
        <f>IF(B$47=0,0,G6/B$47)</f>
        <v>0.33545108005082591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-1234.0277777777778</v>
      </c>
      <c r="P6" s="93">
        <v>288</v>
      </c>
      <c r="Q6" s="77">
        <v>-355400</v>
      </c>
    </row>
    <row r="7" spans="1:17" x14ac:dyDescent="0.45">
      <c r="A7" s="37" t="s">
        <v>2</v>
      </c>
      <c r="B7" s="34">
        <v>102</v>
      </c>
      <c r="C7" s="31">
        <f t="shared" ref="C7:C10" si="1">IF(B$2=0,0,B7/B$2)</f>
        <v>0.265625</v>
      </c>
      <c r="E7" s="44" t="s">
        <v>157</v>
      </c>
      <c r="F7" s="41" t="s">
        <v>158</v>
      </c>
      <c r="G7" s="34">
        <v>237</v>
      </c>
      <c r="H7" s="107">
        <f>IF(B$47=0,0,G7/B$47)</f>
        <v>0.301143583227446</v>
      </c>
      <c r="I7" s="68">
        <v>7</v>
      </c>
      <c r="K7" s="5">
        <v>5</v>
      </c>
      <c r="L7" s="73">
        <v>14.600000000000001</v>
      </c>
      <c r="N7" s="90" t="s">
        <v>131</v>
      </c>
      <c r="O7" s="97">
        <f t="shared" si="0"/>
        <v>-1030.204081632653</v>
      </c>
      <c r="P7" s="94">
        <v>245</v>
      </c>
      <c r="Q7" s="78">
        <v>-252400</v>
      </c>
    </row>
    <row r="8" spans="1:17" x14ac:dyDescent="0.45">
      <c r="A8" s="37" t="s">
        <v>3</v>
      </c>
      <c r="B8" s="34">
        <v>139</v>
      </c>
      <c r="C8" s="31">
        <f t="shared" si="1"/>
        <v>0.36197916666666669</v>
      </c>
      <c r="E8" s="44" t="s">
        <v>69</v>
      </c>
      <c r="F8" s="41" t="s">
        <v>24</v>
      </c>
      <c r="G8" s="34">
        <v>142</v>
      </c>
      <c r="H8" s="107">
        <f>IF(B$47=0,0,G8/B$47)</f>
        <v>0.18043202033036848</v>
      </c>
      <c r="I8" s="68">
        <v>2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143</v>
      </c>
      <c r="C9" s="7">
        <f t="shared" si="1"/>
        <v>0.37239583333333331</v>
      </c>
      <c r="E9" s="44" t="s">
        <v>65</v>
      </c>
      <c r="F9" s="41" t="s">
        <v>21</v>
      </c>
      <c r="G9" s="34">
        <v>109</v>
      </c>
      <c r="H9" s="107">
        <f>IF(B$47=0,0,G9/B$47)</f>
        <v>0.13850063532401524</v>
      </c>
      <c r="I9" s="68">
        <v>2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55</v>
      </c>
      <c r="C10" s="32">
        <f t="shared" si="1"/>
        <v>0.14322916666666666</v>
      </c>
      <c r="E10" s="44" t="s">
        <v>89</v>
      </c>
      <c r="F10" s="41" t="s">
        <v>44</v>
      </c>
      <c r="G10" s="34">
        <v>105</v>
      </c>
      <c r="H10" s="107">
        <f>IF(B$47=0,0,G10/B$47)</f>
        <v>0.13341804320203304</v>
      </c>
      <c r="I10" s="68">
        <v>8</v>
      </c>
      <c r="K10" s="5">
        <v>8</v>
      </c>
      <c r="L10" s="73">
        <v>60.199999999999996</v>
      </c>
      <c r="N10" s="88" t="s">
        <v>149</v>
      </c>
      <c r="O10" s="98">
        <f>IF(P10=0,0,Q10/P10)</f>
        <v>-6.2363636363636381</v>
      </c>
      <c r="P10" s="92">
        <v>154</v>
      </c>
      <c r="Q10" s="80">
        <v>-960.4000000000002</v>
      </c>
    </row>
    <row r="11" spans="1:17" x14ac:dyDescent="0.45">
      <c r="A11" s="40" t="s">
        <v>121</v>
      </c>
      <c r="B11" s="16">
        <v>829</v>
      </c>
      <c r="C11" s="11">
        <f>IF(B$46=0,0,B11/B$46)</f>
        <v>0.2903677758318739</v>
      </c>
      <c r="E11" s="44" t="s">
        <v>70</v>
      </c>
      <c r="F11" s="41" t="s">
        <v>25</v>
      </c>
      <c r="G11" s="34">
        <v>103</v>
      </c>
      <c r="H11" s="107">
        <f>IF(B$47=0,0,G11/B$47)</f>
        <v>0.13087674714104194</v>
      </c>
      <c r="I11" s="68">
        <v>2</v>
      </c>
      <c r="K11" s="5">
        <v>9</v>
      </c>
      <c r="L11" s="73">
        <v>24.4</v>
      </c>
      <c r="N11" s="89" t="s">
        <v>150</v>
      </c>
      <c r="O11" s="99">
        <f>IF(P11=0,0,Q11/P11)</f>
        <v>-4.9083333333333332</v>
      </c>
      <c r="P11" s="93">
        <v>120</v>
      </c>
      <c r="Q11" s="81">
        <v>-589</v>
      </c>
    </row>
    <row r="12" spans="1:17" x14ac:dyDescent="0.45">
      <c r="A12" s="37" t="s">
        <v>118</v>
      </c>
      <c r="B12" s="34">
        <v>517</v>
      </c>
      <c r="C12" s="31">
        <f>IF(B$46=0,0,B12/B$46)</f>
        <v>0.18108581436077059</v>
      </c>
      <c r="E12" s="44" t="s">
        <v>86</v>
      </c>
      <c r="F12" s="41" t="s">
        <v>41</v>
      </c>
      <c r="G12" s="34">
        <v>45</v>
      </c>
      <c r="H12" s="107">
        <f>IF(B$47=0,0,G12/B$47)</f>
        <v>5.7179161372299871E-2</v>
      </c>
      <c r="I12" s="68">
        <v>10</v>
      </c>
      <c r="K12" s="5">
        <v>10</v>
      </c>
      <c r="L12" s="73">
        <v>-20.100000000000001</v>
      </c>
      <c r="N12" s="90" t="s">
        <v>151</v>
      </c>
      <c r="O12" s="100">
        <f>IF(P12=0,0,Q12/P12)</f>
        <v>-0.54954128440366934</v>
      </c>
      <c r="P12" s="94">
        <v>109</v>
      </c>
      <c r="Q12" s="82">
        <v>-59.899999999999963</v>
      </c>
    </row>
    <row r="13" spans="1:17" x14ac:dyDescent="0.45">
      <c r="A13" s="19" t="s">
        <v>123</v>
      </c>
      <c r="B13" s="13">
        <v>481</v>
      </c>
      <c r="C13" s="4">
        <f>IF(B$11=0,0,B13/B$11)</f>
        <v>0.58021712907117007</v>
      </c>
      <c r="E13" s="44" t="s">
        <v>83</v>
      </c>
      <c r="F13" s="41" t="s">
        <v>38</v>
      </c>
      <c r="G13" s="34">
        <v>41</v>
      </c>
      <c r="H13" s="107">
        <f>IF(B$47=0,0,G13/B$47)</f>
        <v>5.2096569250317665E-2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187</v>
      </c>
      <c r="C14" s="4">
        <f>IF(B$12=0,0,B14/B$12)</f>
        <v>0.36170212765957449</v>
      </c>
      <c r="E14" s="44" t="s">
        <v>71</v>
      </c>
      <c r="F14" s="41" t="s">
        <v>26</v>
      </c>
      <c r="G14" s="34">
        <v>33</v>
      </c>
      <c r="H14" s="107">
        <f>IF(B$47=0,0,G14/B$47)</f>
        <v>4.1931385006353239E-2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848</v>
      </c>
      <c r="C15" s="4">
        <f>IF(B$3=0,0,B15/B$3)</f>
        <v>0.27214377406931967</v>
      </c>
      <c r="E15" s="44" t="s">
        <v>81</v>
      </c>
      <c r="F15" s="41" t="s">
        <v>36</v>
      </c>
      <c r="G15" s="34">
        <v>24</v>
      </c>
      <c r="H15" s="107">
        <f>IF(B$47=0,0,G15/B$47)</f>
        <v>3.0495552731893267E-2</v>
      </c>
      <c r="I15" s="68">
        <v>5</v>
      </c>
      <c r="K15" s="5">
        <v>13</v>
      </c>
      <c r="L15" s="73">
        <v>49.5</v>
      </c>
      <c r="N15" s="88" t="s">
        <v>189</v>
      </c>
      <c r="O15" s="98">
        <f>IF(P15=0,0,Q15/P15)</f>
        <v>26.466666666666669</v>
      </c>
      <c r="P15" s="92">
        <v>3</v>
      </c>
      <c r="Q15" s="80">
        <v>79.400000000000006</v>
      </c>
    </row>
    <row r="16" spans="1:17" x14ac:dyDescent="0.45">
      <c r="A16" s="37" t="s">
        <v>13</v>
      </c>
      <c r="B16" s="34">
        <v>585</v>
      </c>
      <c r="C16" s="31">
        <f>IF(B$3=0,0,B16/B$3)</f>
        <v>0.18774069319640566</v>
      </c>
      <c r="E16" s="44" t="s">
        <v>78</v>
      </c>
      <c r="F16" s="41" t="s">
        <v>33</v>
      </c>
      <c r="G16" s="34">
        <v>20</v>
      </c>
      <c r="H16" s="107">
        <f>IF(B$47=0,0,G16/B$47)</f>
        <v>2.5412960609911054E-2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9.1657894736842103</v>
      </c>
      <c r="P16" s="93">
        <v>38</v>
      </c>
      <c r="Q16" s="81">
        <v>348.3</v>
      </c>
    </row>
    <row r="17" spans="1:17" x14ac:dyDescent="0.45">
      <c r="A17" s="37" t="s">
        <v>12</v>
      </c>
      <c r="B17" s="34">
        <v>382</v>
      </c>
      <c r="C17" s="31">
        <f>IF(B$15=0,0,B17/B$15)</f>
        <v>0.45047169811320753</v>
      </c>
      <c r="E17" s="44" t="s">
        <v>91</v>
      </c>
      <c r="F17" s="41" t="s">
        <v>46</v>
      </c>
      <c r="G17" s="34">
        <v>15</v>
      </c>
      <c r="H17" s="107">
        <f>IF(B$47=0,0,G17/B$47)</f>
        <v>1.9059720457433291E-2</v>
      </c>
      <c r="I17" s="68">
        <v>6</v>
      </c>
      <c r="K17" s="5">
        <v>15</v>
      </c>
      <c r="L17" s="73">
        <v>38.5</v>
      </c>
      <c r="N17" s="89" t="s">
        <v>188</v>
      </c>
      <c r="O17" s="99">
        <f>IF(P17=0,0,Q17/P17)</f>
        <v>8.8780821917808233</v>
      </c>
      <c r="P17" s="93">
        <v>73</v>
      </c>
      <c r="Q17" s="81">
        <v>648.10000000000014</v>
      </c>
    </row>
    <row r="18" spans="1:17" x14ac:dyDescent="0.45">
      <c r="A18" s="37" t="s">
        <v>11</v>
      </c>
      <c r="B18" s="34">
        <v>466</v>
      </c>
      <c r="C18" s="31">
        <f>IF(B$15=0,0,B18/B$15)</f>
        <v>0.54952830188679247</v>
      </c>
      <c r="E18" s="44" t="s">
        <v>79</v>
      </c>
      <c r="F18" s="41" t="s">
        <v>34</v>
      </c>
      <c r="G18" s="34">
        <v>12</v>
      </c>
      <c r="H18" s="107">
        <f>IF(B$47=0,0,G18/B$47)</f>
        <v>1.5247776365946633E-2</v>
      </c>
      <c r="I18" s="68">
        <v>8</v>
      </c>
      <c r="K18" s="5">
        <v>16</v>
      </c>
      <c r="L18" s="73">
        <v>14.600000000000001</v>
      </c>
      <c r="N18" s="89" t="s">
        <v>197</v>
      </c>
      <c r="O18" s="99">
        <f>IF(P18=0,0,Q18/P18)</f>
        <v>3.1666666666666656</v>
      </c>
      <c r="P18" s="93">
        <v>3</v>
      </c>
      <c r="Q18" s="81">
        <v>9.4999999999999964</v>
      </c>
    </row>
    <row r="19" spans="1:17" x14ac:dyDescent="0.45">
      <c r="A19" s="37" t="s">
        <v>180</v>
      </c>
      <c r="B19" s="34">
        <v>481</v>
      </c>
      <c r="C19" s="31">
        <f>IF(B$15=0,0,B19/B$15)</f>
        <v>0.56721698113207553</v>
      </c>
      <c r="E19" s="44" t="s">
        <v>153</v>
      </c>
      <c r="F19" s="41" t="s">
        <v>154</v>
      </c>
      <c r="G19" s="34">
        <v>11</v>
      </c>
      <c r="H19" s="107">
        <f>IF(B$47=0,0,G19/B$47)</f>
        <v>1.397712833545108E-2</v>
      </c>
      <c r="I19" s="68">
        <v>6</v>
      </c>
      <c r="K19" s="5">
        <v>17</v>
      </c>
      <c r="L19" s="73">
        <v>13.900000000000002</v>
      </c>
      <c r="N19" s="89" t="s">
        <v>191</v>
      </c>
      <c r="O19" s="99">
        <f>IF(P19=0,0,Q19/P19)</f>
        <v>2.5029411764705896</v>
      </c>
      <c r="P19" s="93">
        <v>102</v>
      </c>
      <c r="Q19" s="81">
        <v>255.30000000000013</v>
      </c>
    </row>
    <row r="20" spans="1:17" x14ac:dyDescent="0.45">
      <c r="A20" s="37" t="s">
        <v>178</v>
      </c>
      <c r="B20" s="34">
        <v>187</v>
      </c>
      <c r="C20" s="31">
        <f>IF(B$15=0,0,B20/B$15)</f>
        <v>0.22051886792452829</v>
      </c>
      <c r="E20" s="44" t="s">
        <v>75</v>
      </c>
      <c r="F20" s="41" t="s">
        <v>30</v>
      </c>
      <c r="G20" s="34">
        <v>8</v>
      </c>
      <c r="H20" s="107">
        <f>IF(B$47=0,0,G20/B$47)</f>
        <v>1.0165184243964422E-2</v>
      </c>
      <c r="I20" s="68">
        <v>1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179</v>
      </c>
      <c r="B21" s="34">
        <v>180</v>
      </c>
      <c r="C21" s="31">
        <f>IF(B$15=0,0,B21/B$15)</f>
        <v>0.21226415094339623</v>
      </c>
      <c r="E21" s="44" t="s">
        <v>73</v>
      </c>
      <c r="F21" s="41" t="s">
        <v>28</v>
      </c>
      <c r="G21" s="34">
        <v>4</v>
      </c>
      <c r="H21" s="107">
        <f>IF(B$47=0,0,G21/B$47)</f>
        <v>5.0825921219822112E-3</v>
      </c>
      <c r="I21" s="68">
        <v>8</v>
      </c>
      <c r="K21" s="5">
        <v>19</v>
      </c>
      <c r="L21" s="73">
        <v>-26.699999999999996</v>
      </c>
      <c r="N21" s="89" t="s">
        <v>187</v>
      </c>
      <c r="O21" s="99">
        <f>IF(P21=0,0,Q21/P21)</f>
        <v>-5.2428571428571429</v>
      </c>
      <c r="P21" s="93">
        <v>56</v>
      </c>
      <c r="Q21" s="81">
        <v>-293.60000000000002</v>
      </c>
    </row>
    <row r="22" spans="1:17" x14ac:dyDescent="0.45">
      <c r="A22" s="37" t="s">
        <v>5</v>
      </c>
      <c r="B22" s="17">
        <f>IF(B$15=0,0,C22/B$15)</f>
        <v>9312.7358490566039</v>
      </c>
      <c r="C22" s="8">
        <v>7897200</v>
      </c>
      <c r="E22" s="44" t="s">
        <v>74</v>
      </c>
      <c r="F22" s="41" t="s">
        <v>29</v>
      </c>
      <c r="G22" s="34">
        <v>3</v>
      </c>
      <c r="H22" s="107">
        <f>IF(B$47=0,0,G22/B$47)</f>
        <v>3.8119440914866584E-3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-6.5877551020408145</v>
      </c>
      <c r="P22" s="93">
        <v>147</v>
      </c>
      <c r="Q22" s="81">
        <v>-968.39999999999975</v>
      </c>
    </row>
    <row r="23" spans="1:17" x14ac:dyDescent="0.45">
      <c r="A23" s="38" t="s">
        <v>162</v>
      </c>
      <c r="B23" s="114">
        <f>IF($B$15-B$14=0,0,C23/($B$15-B$14))</f>
        <v>9683.9636913767026</v>
      </c>
      <c r="C23" s="115">
        <v>6401100</v>
      </c>
      <c r="E23" s="44" t="s">
        <v>84</v>
      </c>
      <c r="F23" s="41" t="s">
        <v>39</v>
      </c>
      <c r="G23" s="34">
        <v>3</v>
      </c>
      <c r="H23" s="107">
        <f>IF(B$47=0,0,G23/B$47)</f>
        <v>3.8119440914866584E-3</v>
      </c>
      <c r="I23" s="68">
        <v>3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8" t="s">
        <v>163</v>
      </c>
      <c r="B24" s="114">
        <f>IF(B$14=0,0,C24/B$14)</f>
        <v>8000.5347593582892</v>
      </c>
      <c r="C24" s="115">
        <v>1496100</v>
      </c>
      <c r="E24" s="44" t="s">
        <v>92</v>
      </c>
      <c r="F24" s="41" t="s">
        <v>47</v>
      </c>
      <c r="G24" s="34">
        <v>3</v>
      </c>
      <c r="H24" s="107">
        <f>IF(B$47=0,0,G24/B$47)</f>
        <v>3.8119440914866584E-3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-14.847163120567375</v>
      </c>
      <c r="P24" s="93">
        <v>282</v>
      </c>
      <c r="Q24" s="81">
        <v>-4186.8999999999996</v>
      </c>
    </row>
    <row r="25" spans="1:17" x14ac:dyDescent="0.45">
      <c r="A25" s="38" t="s">
        <v>161</v>
      </c>
      <c r="B25" s="114">
        <f>IF(B$16=0,0,C25/B$16)</f>
        <v>-8337.0940170940175</v>
      </c>
      <c r="C25" s="115">
        <v>-4877200</v>
      </c>
      <c r="E25" s="44" t="s">
        <v>85</v>
      </c>
      <c r="F25" s="41" t="s">
        <v>40</v>
      </c>
      <c r="G25" s="34">
        <v>2</v>
      </c>
      <c r="H25" s="107">
        <f>IF(B$47=0,0,G25/B$47)</f>
        <v>2.5412960609911056E-3</v>
      </c>
      <c r="I25" s="68">
        <v>6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2.5412960609911056E-3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1.2706480304955528E-3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64" t="s">
        <v>134</v>
      </c>
      <c r="B28" s="139">
        <v>10</v>
      </c>
      <c r="C28" s="140"/>
      <c r="E28" s="44" t="s">
        <v>80</v>
      </c>
      <c r="F28" s="41" t="s">
        <v>35</v>
      </c>
      <c r="G28" s="34">
        <v>1</v>
      </c>
      <c r="H28" s="107">
        <f>IF(B$47=0,0,G28/B$47)</f>
        <v>1.2706480304955528E-3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40" t="s">
        <v>177</v>
      </c>
      <c r="B29" s="137">
        <v>107600</v>
      </c>
      <c r="C29" s="138"/>
      <c r="E29" s="44" t="s">
        <v>87</v>
      </c>
      <c r="F29" s="41" t="s">
        <v>42</v>
      </c>
      <c r="G29" s="34">
        <v>1</v>
      </c>
      <c r="H29" s="107">
        <f>IF(B$47=0,0,G29/B$47)</f>
        <v>1.2706480304955528E-3</v>
      </c>
      <c r="I29" s="68">
        <v>8</v>
      </c>
      <c r="K29" s="5">
        <v>27</v>
      </c>
      <c r="L29" s="73">
        <v>-163.6</v>
      </c>
    </row>
    <row r="30" spans="1:17" x14ac:dyDescent="0.45">
      <c r="A30" s="39" t="s">
        <v>135</v>
      </c>
      <c r="B30" s="27">
        <v>13</v>
      </c>
      <c r="C30" s="32">
        <f>IF(B$3=0,0,B30/B$3)</f>
        <v>4.1720154043645699E-3</v>
      </c>
      <c r="E30" s="44" t="s">
        <v>93</v>
      </c>
      <c r="F30" s="41" t="s">
        <v>48</v>
      </c>
      <c r="G30" s="34">
        <v>1</v>
      </c>
      <c r="H30" s="107">
        <f>IF(B$47=0,0,G30/B$47)</f>
        <v>1.2706480304955528E-3</v>
      </c>
      <c r="I30" s="68">
        <v>8</v>
      </c>
      <c r="K30" s="5">
        <v>28</v>
      </c>
      <c r="L30" s="73">
        <v>-169.5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1.2706480304955528E-3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168</v>
      </c>
      <c r="B32" s="121">
        <v>43</v>
      </c>
      <c r="C32" s="119">
        <f>IF(B$15=0,0,B32/B$15)</f>
        <v>5.0707547169811323E-2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5">
      <c r="A33" s="37" t="s">
        <v>164</v>
      </c>
      <c r="B33" s="34">
        <v>103</v>
      </c>
      <c r="C33" s="31">
        <f t="shared" ref="C33:C44" si="2">IF(B$15=0,0,B33/B$15)</f>
        <v>0.1214622641509434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7" t="s">
        <v>165</v>
      </c>
      <c r="B34" s="124">
        <v>155</v>
      </c>
      <c r="C34" s="31">
        <f>IF(B$15=0,0,B34/B$15)</f>
        <v>0.18278301886792453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A35" s="37" t="s">
        <v>166</v>
      </c>
      <c r="B35" s="124">
        <v>144</v>
      </c>
      <c r="C35" s="31">
        <f t="shared" si="2"/>
        <v>0.16981132075471697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37" t="s">
        <v>167</v>
      </c>
      <c r="B36" s="124">
        <v>130</v>
      </c>
      <c r="C36" s="31">
        <f t="shared" si="2"/>
        <v>0.15330188679245282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169</v>
      </c>
      <c r="B37" s="124">
        <v>93</v>
      </c>
      <c r="C37" s="31">
        <f t="shared" si="2"/>
        <v>0.10966981132075472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170</v>
      </c>
      <c r="B38" s="124">
        <v>57</v>
      </c>
      <c r="C38" s="31">
        <f t="shared" si="2"/>
        <v>6.7216981132075471E-2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171</v>
      </c>
      <c r="B39" s="124">
        <v>27</v>
      </c>
      <c r="C39" s="31">
        <f t="shared" si="2"/>
        <v>3.1839622641509434E-2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172</v>
      </c>
      <c r="B40" s="124">
        <v>13</v>
      </c>
      <c r="C40" s="31">
        <f t="shared" si="2"/>
        <v>1.5330188679245283E-2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173</v>
      </c>
      <c r="B41" s="124">
        <v>6</v>
      </c>
      <c r="C41" s="31">
        <f t="shared" si="2"/>
        <v>7.0754716981132077E-3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174</v>
      </c>
      <c r="B42" s="124">
        <v>3</v>
      </c>
      <c r="C42" s="31">
        <f t="shared" si="2"/>
        <v>3.5377358490566039E-3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175</v>
      </c>
      <c r="B43" s="124">
        <v>5</v>
      </c>
      <c r="C43" s="31">
        <f t="shared" si="2"/>
        <v>5.89622641509434E-3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9" t="s">
        <v>176</v>
      </c>
      <c r="B44" s="120">
        <v>8</v>
      </c>
      <c r="C44" s="32">
        <f t="shared" si="2"/>
        <v>9.433962264150943E-3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64" t="s">
        <v>181</v>
      </c>
      <c r="B46" s="127">
        <v>2855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9" t="s">
        <v>182</v>
      </c>
      <c r="B47" s="135">
        <v>787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5">
      <c r="K53" s="5">
        <v>51</v>
      </c>
      <c r="L53" s="73">
        <v>-269.59999999999997</v>
      </c>
    </row>
    <row r="54" spans="5:12" x14ac:dyDescent="0.45">
      <c r="K54" s="5">
        <v>52</v>
      </c>
      <c r="L54" s="73">
        <v>-308.09999999999997</v>
      </c>
    </row>
    <row r="55" spans="5:12" x14ac:dyDescent="0.45">
      <c r="K55" s="5">
        <v>53</v>
      </c>
      <c r="L55" s="73">
        <v>-336.49999999999994</v>
      </c>
    </row>
    <row r="56" spans="5:12" x14ac:dyDescent="0.45">
      <c r="K56" s="5">
        <v>54</v>
      </c>
      <c r="L56" s="73">
        <v>-378.89999999999992</v>
      </c>
    </row>
    <row r="57" spans="5:12" x14ac:dyDescent="0.45">
      <c r="K57" s="5">
        <v>55</v>
      </c>
      <c r="L57" s="73">
        <v>-364.2999999999999</v>
      </c>
    </row>
    <row r="58" spans="5:12" x14ac:dyDescent="0.45">
      <c r="K58" s="5">
        <v>56</v>
      </c>
      <c r="L58" s="73">
        <v>-316.2999999999999</v>
      </c>
    </row>
    <row r="59" spans="5:12" x14ac:dyDescent="0.45">
      <c r="K59" s="5">
        <v>57</v>
      </c>
      <c r="L59" s="73">
        <v>-312.49999999999989</v>
      </c>
    </row>
    <row r="60" spans="5:12" x14ac:dyDescent="0.45">
      <c r="K60" s="5">
        <v>58</v>
      </c>
      <c r="L60" s="73">
        <v>-254.59999999999988</v>
      </c>
    </row>
    <row r="61" spans="5:12" x14ac:dyDescent="0.45">
      <c r="K61" s="5">
        <v>59</v>
      </c>
      <c r="L61" s="73">
        <v>-205.09999999999988</v>
      </c>
    </row>
    <row r="62" spans="5:12" x14ac:dyDescent="0.45">
      <c r="K62" s="5">
        <v>60</v>
      </c>
      <c r="L62" s="73">
        <v>-214.59999999999988</v>
      </c>
    </row>
    <row r="63" spans="5:12" x14ac:dyDescent="0.45">
      <c r="K63" s="5">
        <v>61</v>
      </c>
      <c r="L63" s="73">
        <v>-211.89999999999989</v>
      </c>
    </row>
    <row r="64" spans="5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B2A42-987F-4E51-A5EE-E4028738C0AF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194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29">
        <v>670</v>
      </c>
      <c r="C3" s="130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4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1">
        <v>-3.4999999999999893</v>
      </c>
      <c r="C4" s="132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14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3">
        <f>IF(B$2=0,0,B$4/B$2)</f>
        <v>-3.8461538461538346E-2</v>
      </c>
      <c r="C5" s="134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12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41">
        <f>IF(B$2=0,0,(B$7*1+B$8*2+B$9*3)/B$2)</f>
        <v>1.9890109890109891</v>
      </c>
      <c r="C6" s="142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13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12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2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6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15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3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4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10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2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3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12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64" t="s">
        <v>134</v>
      </c>
      <c r="B28" s="139">
        <v>7</v>
      </c>
      <c r="C28" s="140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40" t="s">
        <v>177</v>
      </c>
      <c r="B29" s="137">
        <v>118000</v>
      </c>
      <c r="C29" s="138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164.79999999999998</v>
      </c>
    </row>
    <row r="30" spans="1:17" x14ac:dyDescent="0.45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177.7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208</v>
      </c>
    </row>
    <row r="32" spans="1:17" x14ac:dyDescent="0.45">
      <c r="A32" s="64" t="s">
        <v>168</v>
      </c>
      <c r="B32" s="121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7" t="s">
        <v>165</v>
      </c>
      <c r="B34" s="124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5">
      <c r="A35" s="37" t="s">
        <v>166</v>
      </c>
      <c r="B35" s="124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248.4</v>
      </c>
    </row>
    <row r="36" spans="1:12" x14ac:dyDescent="0.45">
      <c r="A36" s="37" t="s">
        <v>167</v>
      </c>
      <c r="B36" s="124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169</v>
      </c>
      <c r="B37" s="124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170</v>
      </c>
      <c r="B38" s="124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171</v>
      </c>
      <c r="B39" s="124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172</v>
      </c>
      <c r="B40" s="124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173</v>
      </c>
      <c r="B41" s="124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9" t="s">
        <v>176</v>
      </c>
      <c r="B44" s="120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9" t="s">
        <v>182</v>
      </c>
      <c r="B47" s="135">
        <v>133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213.90000000000003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5">
      <c r="K53" s="5">
        <v>51</v>
      </c>
      <c r="L53" s="73">
        <v>292.60000000000002</v>
      </c>
    </row>
    <row r="54" spans="5:12" x14ac:dyDescent="0.45">
      <c r="K54" s="5">
        <v>52</v>
      </c>
      <c r="L54" s="73">
        <v>319.10000000000002</v>
      </c>
    </row>
    <row r="55" spans="5:12" x14ac:dyDescent="0.45">
      <c r="K55" s="5">
        <v>53</v>
      </c>
      <c r="L55" s="73">
        <v>268.60000000000002</v>
      </c>
    </row>
    <row r="56" spans="5:12" x14ac:dyDescent="0.45">
      <c r="K56" s="5">
        <v>54</v>
      </c>
      <c r="L56" s="73">
        <v>253.50000000000003</v>
      </c>
    </row>
    <row r="57" spans="5:12" x14ac:dyDescent="0.45">
      <c r="K57" s="5">
        <v>55</v>
      </c>
      <c r="L57" s="73">
        <v>269.40000000000003</v>
      </c>
    </row>
    <row r="58" spans="5:12" x14ac:dyDescent="0.45">
      <c r="K58" s="5">
        <v>56</v>
      </c>
      <c r="L58" s="73">
        <v>273.8</v>
      </c>
    </row>
    <row r="59" spans="5:12" x14ac:dyDescent="0.45">
      <c r="K59" s="5">
        <v>57</v>
      </c>
      <c r="L59" s="73">
        <v>260.3</v>
      </c>
    </row>
    <row r="60" spans="5:12" x14ac:dyDescent="0.45">
      <c r="K60" s="5">
        <v>58</v>
      </c>
      <c r="L60" s="73">
        <v>293.3</v>
      </c>
    </row>
    <row r="61" spans="5:12" x14ac:dyDescent="0.45">
      <c r="K61" s="5">
        <v>59</v>
      </c>
      <c r="L61" s="73">
        <v>283.3</v>
      </c>
    </row>
    <row r="62" spans="5:12" x14ac:dyDescent="0.45">
      <c r="K62" s="5">
        <v>60</v>
      </c>
      <c r="L62" s="73">
        <v>272.60000000000002</v>
      </c>
    </row>
    <row r="63" spans="5:12" x14ac:dyDescent="0.45">
      <c r="K63" s="5">
        <v>61</v>
      </c>
      <c r="L63" s="73">
        <v>259.20000000000005</v>
      </c>
    </row>
    <row r="64" spans="5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12A65-C5C1-44D9-A556-7054E18AAE4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185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29">
        <v>37</v>
      </c>
      <c r="C3" s="130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1">
        <v>-86.4</v>
      </c>
      <c r="C4" s="132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3">
        <f>IF(B$2=0,0,B$4/B$2)</f>
        <v>-17.28</v>
      </c>
      <c r="C5" s="134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5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41">
        <f>IF(B$2=0,0,(B$7*1+B$8*2+B$9*3)/B$2)</f>
        <v>2.2000000000000002</v>
      </c>
      <c r="C6" s="142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14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3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14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15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14</v>
      </c>
    </row>
    <row r="21" spans="1:17" x14ac:dyDescent="0.45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5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17" x14ac:dyDescent="0.45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17" x14ac:dyDescent="0.45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5">
      <c r="A28" s="64" t="s">
        <v>134</v>
      </c>
      <c r="B28" s="139">
        <v>3</v>
      </c>
      <c r="C28" s="140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37">
        <v>57800</v>
      </c>
      <c r="C29" s="138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4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4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4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9</v>
      </c>
      <c r="C47" s="13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6C72F-8E15-463B-AF3F-862436E98C22}">
  <sheetPr codeName="Sheet10"/>
  <dimension ref="A1:Q25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252</v>
      </c>
      <c r="C2" s="128"/>
      <c r="E2" s="43" t="s">
        <v>66</v>
      </c>
      <c r="F2" s="25" t="s">
        <v>22</v>
      </c>
      <c r="G2" s="13">
        <v>396</v>
      </c>
      <c r="H2" s="106">
        <f>IF(B$47=0,0,G2/B$47)</f>
        <v>0.68869565217391304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54.761904761904759</v>
      </c>
      <c r="P2" s="92">
        <v>252</v>
      </c>
      <c r="Q2" s="76">
        <v>13800</v>
      </c>
    </row>
    <row r="3" spans="1:17" x14ac:dyDescent="0.45">
      <c r="A3" s="37" t="s">
        <v>8</v>
      </c>
      <c r="B3" s="129">
        <v>2101</v>
      </c>
      <c r="C3" s="130"/>
      <c r="E3" s="44" t="s">
        <v>72</v>
      </c>
      <c r="F3" s="41" t="s">
        <v>27</v>
      </c>
      <c r="G3" s="34">
        <v>328</v>
      </c>
      <c r="H3" s="107">
        <f>IF(B$47=0,0,G3/B$47)</f>
        <v>0.57043478260869562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-1871.1382113821139</v>
      </c>
      <c r="P3" s="93">
        <v>246</v>
      </c>
      <c r="Q3" s="77">
        <v>-460300</v>
      </c>
    </row>
    <row r="4" spans="1:17" x14ac:dyDescent="0.45">
      <c r="A4" s="37" t="s">
        <v>6</v>
      </c>
      <c r="B4" s="131">
        <v>-1284.5</v>
      </c>
      <c r="C4" s="132"/>
      <c r="E4" s="44" t="s">
        <v>64</v>
      </c>
      <c r="F4" s="41" t="s">
        <v>20</v>
      </c>
      <c r="G4" s="34">
        <v>205</v>
      </c>
      <c r="H4" s="107">
        <f>IF(B$47=0,0,G4/B$47)</f>
        <v>0.35652173913043478</v>
      </c>
      <c r="I4" s="68">
        <v>17</v>
      </c>
      <c r="K4" s="5">
        <v>2</v>
      </c>
      <c r="L4" s="73">
        <v>58.5</v>
      </c>
      <c r="N4" s="89" t="s">
        <v>128</v>
      </c>
      <c r="O4" s="96">
        <f t="shared" si="0"/>
        <v>-1254.8672566371681</v>
      </c>
      <c r="P4" s="93">
        <v>226</v>
      </c>
      <c r="Q4" s="77">
        <v>-283600</v>
      </c>
    </row>
    <row r="5" spans="1:17" x14ac:dyDescent="0.45">
      <c r="A5" s="37" t="s">
        <v>7</v>
      </c>
      <c r="B5" s="133">
        <f>IF(B$2=0,0,B$4/B$2)</f>
        <v>-5.0972222222222223</v>
      </c>
      <c r="C5" s="134"/>
      <c r="E5" s="44" t="s">
        <v>157</v>
      </c>
      <c r="F5" s="41" t="s">
        <v>158</v>
      </c>
      <c r="G5" s="34">
        <v>186</v>
      </c>
      <c r="H5" s="107">
        <f>IF(B$47=0,0,G5/B$47)</f>
        <v>0.32347826086956522</v>
      </c>
      <c r="I5" s="68">
        <v>6</v>
      </c>
      <c r="K5" s="5">
        <v>3</v>
      </c>
      <c r="L5" s="73">
        <v>82.1</v>
      </c>
      <c r="N5" s="89" t="s">
        <v>129</v>
      </c>
      <c r="O5" s="96">
        <f t="shared" si="0"/>
        <v>-23.364485981308412</v>
      </c>
      <c r="P5" s="93">
        <v>214</v>
      </c>
      <c r="Q5" s="77">
        <v>-5000</v>
      </c>
    </row>
    <row r="6" spans="1:17" x14ac:dyDescent="0.45">
      <c r="A6" s="37" t="s">
        <v>1</v>
      </c>
      <c r="B6" s="141">
        <f>IF(B$2=0,0,(B$7*1+B$8*2+B$9*3)/B$2)</f>
        <v>2.1388888888888888</v>
      </c>
      <c r="C6" s="142"/>
      <c r="E6" s="44" t="s">
        <v>68</v>
      </c>
      <c r="F6" s="41" t="s">
        <v>12</v>
      </c>
      <c r="G6" s="34">
        <v>154</v>
      </c>
      <c r="H6" s="107">
        <f>IF(B$47=0,0,G6/B$47)</f>
        <v>0.26782608695652171</v>
      </c>
      <c r="I6" s="68">
        <v>13</v>
      </c>
      <c r="K6" s="5">
        <v>4</v>
      </c>
      <c r="L6" s="73">
        <v>57.699999999999996</v>
      </c>
      <c r="N6" s="89" t="s">
        <v>130</v>
      </c>
      <c r="O6" s="96">
        <f t="shared" si="0"/>
        <v>-608.67346938775506</v>
      </c>
      <c r="P6" s="93">
        <v>196</v>
      </c>
      <c r="Q6" s="77">
        <v>-119300</v>
      </c>
    </row>
    <row r="7" spans="1:17" x14ac:dyDescent="0.45">
      <c r="A7" s="37" t="s">
        <v>2</v>
      </c>
      <c r="B7" s="34">
        <v>64</v>
      </c>
      <c r="C7" s="31">
        <f t="shared" ref="C7:C10" si="1">IF(B$2=0,0,B7/B$2)</f>
        <v>0.25396825396825395</v>
      </c>
      <c r="E7" s="44" t="s">
        <v>67</v>
      </c>
      <c r="F7" s="41" t="s">
        <v>23</v>
      </c>
      <c r="G7" s="34">
        <v>93</v>
      </c>
      <c r="H7" s="107">
        <f>IF(B$47=0,0,G7/B$47)</f>
        <v>0.16173913043478261</v>
      </c>
      <c r="I7" s="68">
        <v>16</v>
      </c>
      <c r="K7" s="5">
        <v>5</v>
      </c>
      <c r="L7" s="73">
        <v>123.69999999999999</v>
      </c>
      <c r="N7" s="90" t="s">
        <v>131</v>
      </c>
      <c r="O7" s="97">
        <f t="shared" si="0"/>
        <v>-1147.2727272727273</v>
      </c>
      <c r="P7" s="94">
        <v>165</v>
      </c>
      <c r="Q7" s="78">
        <v>-189300</v>
      </c>
    </row>
    <row r="8" spans="1:17" x14ac:dyDescent="0.45">
      <c r="A8" s="37" t="s">
        <v>3</v>
      </c>
      <c r="B8" s="34">
        <v>89</v>
      </c>
      <c r="C8" s="31">
        <f t="shared" si="1"/>
        <v>0.3531746031746032</v>
      </c>
      <c r="E8" s="44" t="s">
        <v>69</v>
      </c>
      <c r="F8" s="41" t="s">
        <v>24</v>
      </c>
      <c r="G8" s="34">
        <v>92</v>
      </c>
      <c r="H8" s="107">
        <f>IF(B$47=0,0,G8/B$47)</f>
        <v>0.16</v>
      </c>
      <c r="I8" s="68">
        <v>5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99</v>
      </c>
      <c r="C9" s="7">
        <f t="shared" si="1"/>
        <v>0.39285714285714285</v>
      </c>
      <c r="E9" s="44" t="s">
        <v>65</v>
      </c>
      <c r="F9" s="41" t="s">
        <v>21</v>
      </c>
      <c r="G9" s="34">
        <v>60</v>
      </c>
      <c r="H9" s="107">
        <f>IF(B$47=0,0,G9/B$47)</f>
        <v>0.10434782608695652</v>
      </c>
      <c r="I9" s="68">
        <v>8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27</v>
      </c>
      <c r="C10" s="32">
        <f t="shared" si="1"/>
        <v>0.10714285714285714</v>
      </c>
      <c r="E10" s="44" t="s">
        <v>70</v>
      </c>
      <c r="F10" s="41" t="s">
        <v>25</v>
      </c>
      <c r="G10" s="34">
        <v>50</v>
      </c>
      <c r="H10" s="107">
        <f>IF(B$47=0,0,G10/B$47)</f>
        <v>8.6956521739130432E-2</v>
      </c>
      <c r="I10" s="68">
        <v>9</v>
      </c>
      <c r="K10" s="5">
        <v>8</v>
      </c>
      <c r="L10" s="73">
        <v>96.5</v>
      </c>
      <c r="N10" s="88" t="s">
        <v>149</v>
      </c>
      <c r="O10" s="98">
        <f>IF(P10=0,0,Q10/P10)</f>
        <v>-8.4958333333333353</v>
      </c>
      <c r="P10" s="92">
        <v>96</v>
      </c>
      <c r="Q10" s="80">
        <v>-815.60000000000014</v>
      </c>
    </row>
    <row r="11" spans="1:17" x14ac:dyDescent="0.45">
      <c r="A11" s="40" t="s">
        <v>121</v>
      </c>
      <c r="B11" s="16">
        <v>401</v>
      </c>
      <c r="C11" s="11">
        <f>IF(B$46=0,0,B11/B$46)</f>
        <v>0.20874544508068715</v>
      </c>
      <c r="E11" s="44" t="s">
        <v>71</v>
      </c>
      <c r="F11" s="41" t="s">
        <v>26</v>
      </c>
      <c r="G11" s="34">
        <v>46</v>
      </c>
      <c r="H11" s="107">
        <f>IF(B$47=0,0,G11/B$47)</f>
        <v>0.08</v>
      </c>
      <c r="I11" s="68">
        <v>4</v>
      </c>
      <c r="K11" s="5">
        <v>9</v>
      </c>
      <c r="L11" s="73">
        <v>82.8</v>
      </c>
      <c r="N11" s="89" t="s">
        <v>150</v>
      </c>
      <c r="O11" s="99">
        <f>IF(P11=0,0,Q11/P11)</f>
        <v>-2.2140845070422523</v>
      </c>
      <c r="P11" s="93">
        <v>71</v>
      </c>
      <c r="Q11" s="81">
        <v>-157.19999999999993</v>
      </c>
    </row>
    <row r="12" spans="1:17" x14ac:dyDescent="0.45">
      <c r="A12" s="37" t="s">
        <v>118</v>
      </c>
      <c r="B12" s="34">
        <v>523</v>
      </c>
      <c r="C12" s="31">
        <f>IF(B$46=0,0,B12/B$46)</f>
        <v>0.27225403435710566</v>
      </c>
      <c r="E12" s="44" t="s">
        <v>89</v>
      </c>
      <c r="F12" s="41" t="s">
        <v>44</v>
      </c>
      <c r="G12" s="34">
        <v>44</v>
      </c>
      <c r="H12" s="107">
        <f>IF(B$47=0,0,G12/B$47)</f>
        <v>7.6521739130434779E-2</v>
      </c>
      <c r="I12" s="68">
        <v>15</v>
      </c>
      <c r="K12" s="5">
        <v>10</v>
      </c>
      <c r="L12" s="73">
        <v>110.5</v>
      </c>
      <c r="N12" s="90" t="s">
        <v>151</v>
      </c>
      <c r="O12" s="100">
        <f>IF(P12=0,0,Q12/P12)</f>
        <v>-3.6670588235294117</v>
      </c>
      <c r="P12" s="94">
        <v>85</v>
      </c>
      <c r="Q12" s="82">
        <v>-311.7</v>
      </c>
    </row>
    <row r="13" spans="1:17" x14ac:dyDescent="0.45">
      <c r="A13" s="19" t="s">
        <v>123</v>
      </c>
      <c r="B13" s="13">
        <v>206</v>
      </c>
      <c r="C13" s="4">
        <f>IF(B$11=0,0,B13/B$11)</f>
        <v>0.513715710723192</v>
      </c>
      <c r="E13" s="44" t="s">
        <v>83</v>
      </c>
      <c r="F13" s="41" t="s">
        <v>38</v>
      </c>
      <c r="G13" s="34">
        <v>36</v>
      </c>
      <c r="H13" s="107">
        <f>IF(B$47=0,0,G13/B$47)</f>
        <v>6.2608695652173918E-2</v>
      </c>
      <c r="I13" s="68">
        <v>4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209</v>
      </c>
      <c r="C14" s="4">
        <f>IF(B$12=0,0,B14/B$12)</f>
        <v>0.39961759082217974</v>
      </c>
      <c r="E14" s="44" t="s">
        <v>86</v>
      </c>
      <c r="F14" s="41" t="s">
        <v>41</v>
      </c>
      <c r="G14" s="34">
        <v>23</v>
      </c>
      <c r="H14" s="107">
        <f>IF(B$47=0,0,G14/B$47)</f>
        <v>0.04</v>
      </c>
      <c r="I14" s="68">
        <v>14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626</v>
      </c>
      <c r="C15" s="4">
        <f>IF(B$3=0,0,B15/B$3)</f>
        <v>0.29795335554497859</v>
      </c>
      <c r="E15" s="44" t="s">
        <v>81</v>
      </c>
      <c r="F15" s="41" t="s">
        <v>36</v>
      </c>
      <c r="G15" s="34">
        <v>18</v>
      </c>
      <c r="H15" s="107">
        <f>IF(B$47=0,0,G15/B$47)</f>
        <v>3.1304347826086959E-2</v>
      </c>
      <c r="I15" s="68">
        <v>4</v>
      </c>
      <c r="K15" s="5">
        <v>13</v>
      </c>
      <c r="L15" s="73">
        <v>13.299999999999994</v>
      </c>
      <c r="N15" s="88" t="s">
        <v>194</v>
      </c>
      <c r="O15" s="98">
        <f>IF(P15=0,0,Q15/P15)</f>
        <v>18.385714285714283</v>
      </c>
      <c r="P15" s="92">
        <v>7</v>
      </c>
      <c r="Q15" s="80">
        <v>128.69999999999999</v>
      </c>
    </row>
    <row r="16" spans="1:17" x14ac:dyDescent="0.45">
      <c r="A16" s="37" t="s">
        <v>13</v>
      </c>
      <c r="B16" s="34">
        <v>344</v>
      </c>
      <c r="C16" s="31">
        <f>IF(B$3=0,0,B16/B$3)</f>
        <v>0.16373155640171347</v>
      </c>
      <c r="E16" s="44" t="s">
        <v>78</v>
      </c>
      <c r="F16" s="41" t="s">
        <v>33</v>
      </c>
      <c r="G16" s="34">
        <v>9</v>
      </c>
      <c r="H16" s="107">
        <f>IF(B$47=0,0,G16/B$47)</f>
        <v>1.5652173913043479E-2</v>
      </c>
      <c r="I16" s="68">
        <v>11</v>
      </c>
      <c r="K16" s="5">
        <v>14</v>
      </c>
      <c r="L16" s="73">
        <v>4.7999999999999936</v>
      </c>
      <c r="N16" s="89" t="s">
        <v>193</v>
      </c>
      <c r="O16" s="99">
        <f>IF(P16=0,0,Q16/P16)</f>
        <v>9.6534653465346505</v>
      </c>
      <c r="P16" s="93">
        <v>101</v>
      </c>
      <c r="Q16" s="81">
        <v>974.99999999999966</v>
      </c>
    </row>
    <row r="17" spans="1:17" x14ac:dyDescent="0.45">
      <c r="A17" s="37" t="s">
        <v>12</v>
      </c>
      <c r="B17" s="34">
        <v>261</v>
      </c>
      <c r="C17" s="31">
        <f>IF(B$15=0,0,B17/B$15)</f>
        <v>0.41693290734824279</v>
      </c>
      <c r="E17" s="44" t="s">
        <v>79</v>
      </c>
      <c r="F17" s="41" t="s">
        <v>34</v>
      </c>
      <c r="G17" s="34">
        <v>8</v>
      </c>
      <c r="H17" s="107">
        <f>IF(B$47=0,0,G17/B$47)</f>
        <v>1.391304347826087E-2</v>
      </c>
      <c r="I17" s="68">
        <v>11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37" t="s">
        <v>11</v>
      </c>
      <c r="B18" s="34">
        <v>365</v>
      </c>
      <c r="C18" s="31">
        <f>IF(B$15=0,0,B18/B$15)</f>
        <v>0.58306709265175716</v>
      </c>
      <c r="E18" s="44" t="s">
        <v>91</v>
      </c>
      <c r="F18" s="41" t="s">
        <v>46</v>
      </c>
      <c r="G18" s="34">
        <v>7</v>
      </c>
      <c r="H18" s="107">
        <f>IF(B$47=0,0,G18/B$47)</f>
        <v>1.2173913043478261E-2</v>
      </c>
      <c r="I18" s="68">
        <v>11</v>
      </c>
      <c r="K18" s="5">
        <v>16</v>
      </c>
      <c r="L18" s="73">
        <v>-45.300000000000004</v>
      </c>
      <c r="N18" s="89" t="s">
        <v>187</v>
      </c>
      <c r="O18" s="99">
        <f>IF(P18=0,0,Q18/P18)</f>
        <v>1.6183333333333323</v>
      </c>
      <c r="P18" s="93">
        <v>60</v>
      </c>
      <c r="Q18" s="81">
        <v>97.099999999999937</v>
      </c>
    </row>
    <row r="19" spans="1:17" x14ac:dyDescent="0.45">
      <c r="A19" s="37" t="s">
        <v>180</v>
      </c>
      <c r="B19" s="34">
        <v>206</v>
      </c>
      <c r="C19" s="31">
        <f>IF(B$15=0,0,B19/B$15)</f>
        <v>0.32907348242811502</v>
      </c>
      <c r="E19" s="44" t="s">
        <v>74</v>
      </c>
      <c r="F19" s="41" t="s">
        <v>29</v>
      </c>
      <c r="G19" s="34">
        <v>3</v>
      </c>
      <c r="H19" s="107">
        <f>IF(B$47=0,0,G19/B$47)</f>
        <v>5.2173913043478265E-3</v>
      </c>
      <c r="I19" s="68">
        <v>4</v>
      </c>
      <c r="K19" s="5">
        <v>17</v>
      </c>
      <c r="L19" s="73">
        <v>-45.000000000000007</v>
      </c>
      <c r="N19" s="89" t="s">
        <v>190</v>
      </c>
      <c r="O19" s="99">
        <f>IF(P19=0,0,Q19/P19)</f>
        <v>-8.8780821917808233</v>
      </c>
      <c r="P19" s="93">
        <v>73</v>
      </c>
      <c r="Q19" s="81">
        <v>-648.10000000000014</v>
      </c>
    </row>
    <row r="20" spans="1:17" x14ac:dyDescent="0.45">
      <c r="A20" s="37" t="s">
        <v>178</v>
      </c>
      <c r="B20" s="34">
        <v>209</v>
      </c>
      <c r="C20" s="31">
        <f>IF(B$15=0,0,B20/B$15)</f>
        <v>0.33386581469648563</v>
      </c>
      <c r="E20" s="44" t="s">
        <v>75</v>
      </c>
      <c r="F20" s="41" t="s">
        <v>30</v>
      </c>
      <c r="G20" s="34">
        <v>3</v>
      </c>
      <c r="H20" s="107">
        <f>IF(B$47=0,0,G20/B$47)</f>
        <v>5.2173913043478265E-3</v>
      </c>
      <c r="I20" s="68">
        <v>7</v>
      </c>
      <c r="K20" s="5">
        <v>18</v>
      </c>
      <c r="L20" s="73">
        <v>-30.300000000000008</v>
      </c>
      <c r="N20" s="89" t="s">
        <v>191</v>
      </c>
      <c r="O20" s="99">
        <f>IF(P20=0,0,Q20/P20)</f>
        <v>-12.068421052631578</v>
      </c>
      <c r="P20" s="93">
        <v>57</v>
      </c>
      <c r="Q20" s="81">
        <v>-687.9</v>
      </c>
    </row>
    <row r="21" spans="1:17" x14ac:dyDescent="0.45">
      <c r="A21" s="37" t="s">
        <v>179</v>
      </c>
      <c r="B21" s="34">
        <v>211</v>
      </c>
      <c r="C21" s="31">
        <f>IF(B$15=0,0,B21/B$15)</f>
        <v>0.33706070287539935</v>
      </c>
      <c r="E21" s="44" t="s">
        <v>77</v>
      </c>
      <c r="F21" s="41" t="s">
        <v>32</v>
      </c>
      <c r="G21" s="34">
        <v>3</v>
      </c>
      <c r="H21" s="107">
        <f>IF(B$47=0,0,G21/B$47)</f>
        <v>5.2173913043478265E-3</v>
      </c>
      <c r="I21" s="68">
        <v>6</v>
      </c>
      <c r="K21" s="5">
        <v>19</v>
      </c>
      <c r="L21" s="73">
        <v>17.699999999999992</v>
      </c>
      <c r="N21" s="89" t="s">
        <v>199</v>
      </c>
      <c r="O21" s="99">
        <f>IF(P21=0,0,Q21/P21)</f>
        <v>-16.62857142857143</v>
      </c>
      <c r="P21" s="93">
        <v>7</v>
      </c>
      <c r="Q21" s="81">
        <v>-116.40000000000002</v>
      </c>
    </row>
    <row r="22" spans="1:17" x14ac:dyDescent="0.45">
      <c r="A22" s="37" t="s">
        <v>5</v>
      </c>
      <c r="B22" s="17">
        <f>IF(B$15=0,0,C22/B$15)</f>
        <v>7505.2715654952081</v>
      </c>
      <c r="C22" s="8">
        <v>4698300</v>
      </c>
      <c r="E22" s="44" t="s">
        <v>88</v>
      </c>
      <c r="F22" s="41" t="s">
        <v>43</v>
      </c>
      <c r="G22" s="34">
        <v>2</v>
      </c>
      <c r="H22" s="107">
        <f>IF(B$47=0,0,G22/B$47)</f>
        <v>3.4782608695652175E-3</v>
      </c>
      <c r="I22" s="68">
        <v>1</v>
      </c>
      <c r="K22" s="5">
        <v>20</v>
      </c>
      <c r="L22" s="73">
        <v>-24.100000000000005</v>
      </c>
      <c r="N22" s="89" t="s">
        <v>195</v>
      </c>
      <c r="O22" s="99">
        <f>IF(P22=0,0,Q22/P22)</f>
        <v>-19.135064935064936</v>
      </c>
      <c r="P22" s="93">
        <v>154</v>
      </c>
      <c r="Q22" s="81">
        <v>-2946.8</v>
      </c>
    </row>
    <row r="23" spans="1:17" x14ac:dyDescent="0.45">
      <c r="A23" s="38" t="s">
        <v>162</v>
      </c>
      <c r="B23" s="114">
        <f>IF($B$15-B$14=0,0,C23/($B$15-B$14))</f>
        <v>8110.0719424460431</v>
      </c>
      <c r="C23" s="115">
        <v>3381900</v>
      </c>
      <c r="E23" s="44" t="s">
        <v>73</v>
      </c>
      <c r="F23" s="41" t="s">
        <v>28</v>
      </c>
      <c r="G23" s="34">
        <v>1</v>
      </c>
      <c r="H23" s="107">
        <f>IF(B$47=0,0,G23/B$47)</f>
        <v>1.7391304347826088E-3</v>
      </c>
      <c r="I23" s="68">
        <v>10</v>
      </c>
      <c r="K23" s="5">
        <v>21</v>
      </c>
      <c r="L23" s="73">
        <v>-29.600000000000005</v>
      </c>
      <c r="N23" s="89" t="s">
        <v>192</v>
      </c>
      <c r="O23" s="99">
        <f>IF(P23=0,0,Q23/P23)</f>
        <v>-26.638888888888889</v>
      </c>
      <c r="P23" s="93">
        <v>18</v>
      </c>
      <c r="Q23" s="81">
        <v>-479.5</v>
      </c>
    </row>
    <row r="24" spans="1:17" x14ac:dyDescent="0.45">
      <c r="A24" s="38" t="s">
        <v>163</v>
      </c>
      <c r="B24" s="114">
        <f>IF(B$14=0,0,C24/B$14)</f>
        <v>6298.5645933014357</v>
      </c>
      <c r="C24" s="115">
        <v>1316400</v>
      </c>
      <c r="E24" s="44" t="s">
        <v>84</v>
      </c>
      <c r="F24" s="41" t="s">
        <v>39</v>
      </c>
      <c r="G24" s="34">
        <v>1</v>
      </c>
      <c r="H24" s="107">
        <f>IF(B$47=0,0,G24/B$47)</f>
        <v>1.7391304347826088E-3</v>
      </c>
      <c r="I24" s="68">
        <v>6</v>
      </c>
      <c r="K24" s="5">
        <v>22</v>
      </c>
      <c r="L24" s="73">
        <v>-4.7000000000000064</v>
      </c>
      <c r="N24" s="89" t="s">
        <v>197</v>
      </c>
      <c r="O24" s="99">
        <f>IF(P24=0,0,Q24/P24)</f>
        <v>-34.137499999999996</v>
      </c>
      <c r="P24" s="93">
        <v>8</v>
      </c>
      <c r="Q24" s="81">
        <v>-273.09999999999997</v>
      </c>
    </row>
    <row r="25" spans="1:17" x14ac:dyDescent="0.45">
      <c r="A25" s="38" t="s">
        <v>161</v>
      </c>
      <c r="B25" s="114">
        <f>IF(B$16=0,0,C25/B$16)</f>
        <v>-8557.2674418604656</v>
      </c>
      <c r="C25" s="115">
        <v>-2943700</v>
      </c>
      <c r="E25" s="44" t="s">
        <v>87</v>
      </c>
      <c r="F25" s="41" t="s">
        <v>42</v>
      </c>
      <c r="G25" s="34">
        <v>1</v>
      </c>
      <c r="H25" s="107">
        <f>IF(B$47=0,0,G25/B$47)</f>
        <v>1.7391304347826088E-3</v>
      </c>
      <c r="I25" s="68">
        <v>6</v>
      </c>
      <c r="K25" s="5">
        <v>23</v>
      </c>
      <c r="L25" s="73">
        <v>-18.600000000000009</v>
      </c>
    </row>
    <row r="26" spans="1:17" x14ac:dyDescent="0.45">
      <c r="A26" s="37" t="s">
        <v>155</v>
      </c>
      <c r="B26" s="34">
        <v>10</v>
      </c>
      <c r="C26" s="109">
        <v>0</v>
      </c>
      <c r="E26" s="44" t="s">
        <v>90</v>
      </c>
      <c r="F26" s="41" t="s">
        <v>45</v>
      </c>
      <c r="G26" s="34">
        <v>1</v>
      </c>
      <c r="H26" s="107">
        <f>IF(B$47=0,0,G26/B$47)</f>
        <v>1.7391304347826088E-3</v>
      </c>
      <c r="I26" s="68">
        <v>5</v>
      </c>
      <c r="K26" s="5">
        <v>24</v>
      </c>
      <c r="L26" s="73">
        <v>-26.900000000000009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93</v>
      </c>
      <c r="F27" s="41" t="s">
        <v>48</v>
      </c>
      <c r="G27" s="34">
        <v>1</v>
      </c>
      <c r="H27" s="107">
        <f>IF(B$47=0,0,G27/B$47)</f>
        <v>1.7391304347826088E-3</v>
      </c>
      <c r="I27" s="68">
        <v>7</v>
      </c>
      <c r="K27" s="5">
        <v>25</v>
      </c>
      <c r="L27" s="73">
        <v>-37.900000000000006</v>
      </c>
    </row>
    <row r="28" spans="1:17" x14ac:dyDescent="0.45">
      <c r="A28" s="64" t="s">
        <v>134</v>
      </c>
      <c r="B28" s="139">
        <v>7</v>
      </c>
      <c r="C28" s="140"/>
      <c r="E28" s="44" t="s">
        <v>76</v>
      </c>
      <c r="F28" s="41" t="s">
        <v>31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-59.800000000000004</v>
      </c>
    </row>
    <row r="29" spans="1:17" x14ac:dyDescent="0.45">
      <c r="A29" s="40" t="s">
        <v>177</v>
      </c>
      <c r="B29" s="137">
        <v>103200</v>
      </c>
      <c r="C29" s="138"/>
      <c r="E29" s="44" t="s">
        <v>80</v>
      </c>
      <c r="F29" s="41" t="s">
        <v>35</v>
      </c>
      <c r="G29" s="34">
        <v>0</v>
      </c>
      <c r="H29" s="107">
        <f>IF(B$47=0,0,G29/B$47)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9" t="s">
        <v>135</v>
      </c>
      <c r="B30" s="27">
        <v>5</v>
      </c>
      <c r="C30" s="32">
        <f>IF(B$3=0,0,B30/B$3)</f>
        <v>2.3798191337458352E-3</v>
      </c>
      <c r="E30" s="44" t="s">
        <v>82</v>
      </c>
      <c r="F30" s="41" t="s">
        <v>37</v>
      </c>
      <c r="G30" s="34">
        <v>0</v>
      </c>
      <c r="H30" s="107">
        <f>IF(B$47=0,0,G30/B$47)</f>
        <v>0</v>
      </c>
      <c r="I30" s="68">
        <v>1</v>
      </c>
      <c r="K30" s="5">
        <v>28</v>
      </c>
      <c r="L30" s="73">
        <v>-53.1</v>
      </c>
    </row>
    <row r="31" spans="1:17" x14ac:dyDescent="0.45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-12.899999999999999</v>
      </c>
    </row>
    <row r="32" spans="1:17" x14ac:dyDescent="0.45">
      <c r="A32" s="64" t="s">
        <v>168</v>
      </c>
      <c r="B32" s="121">
        <v>60</v>
      </c>
      <c r="C32" s="119">
        <f>IF(B$15=0,0,B32/B$15)</f>
        <v>9.5846645367412137E-2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37" t="s">
        <v>164</v>
      </c>
      <c r="B33" s="34">
        <v>123</v>
      </c>
      <c r="C33" s="31">
        <f t="shared" ref="C33:C44" si="2">IF(B$15=0,0,B33/B$15)</f>
        <v>0.19648562300319489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7" t="s">
        <v>165</v>
      </c>
      <c r="B34" s="124">
        <v>113</v>
      </c>
      <c r="C34" s="31">
        <f>IF(B$15=0,0,B34/B$15)</f>
        <v>0.18051118210862621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-70.399999999999991</v>
      </c>
    </row>
    <row r="35" spans="1:12" x14ac:dyDescent="0.45">
      <c r="A35" s="37" t="s">
        <v>166</v>
      </c>
      <c r="B35" s="124">
        <v>111</v>
      </c>
      <c r="C35" s="31">
        <f t="shared" si="2"/>
        <v>0.17731629392971246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37" t="s">
        <v>167</v>
      </c>
      <c r="B36" s="124">
        <v>85</v>
      </c>
      <c r="C36" s="31">
        <f t="shared" si="2"/>
        <v>0.13578274760383385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169</v>
      </c>
      <c r="B37" s="124">
        <v>38</v>
      </c>
      <c r="C37" s="31">
        <f t="shared" si="2"/>
        <v>6.070287539936102E-2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170</v>
      </c>
      <c r="B38" s="124">
        <v>22</v>
      </c>
      <c r="C38" s="31">
        <f t="shared" si="2"/>
        <v>3.5143769968051117E-2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171</v>
      </c>
      <c r="B39" s="124">
        <v>16</v>
      </c>
      <c r="C39" s="31">
        <f t="shared" si="2"/>
        <v>2.5559105431309903E-2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172</v>
      </c>
      <c r="B40" s="124">
        <v>4</v>
      </c>
      <c r="C40" s="31">
        <f t="shared" si="2"/>
        <v>6.3897763578274758E-3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173</v>
      </c>
      <c r="B41" s="124">
        <v>1</v>
      </c>
      <c r="C41" s="31">
        <f t="shared" si="2"/>
        <v>1.5974440894568689E-3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174</v>
      </c>
      <c r="B42" s="124">
        <v>1</v>
      </c>
      <c r="C42" s="31">
        <f t="shared" si="2"/>
        <v>1.5974440894568689E-3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9" t="s">
        <v>176</v>
      </c>
      <c r="B44" s="120">
        <v>1</v>
      </c>
      <c r="C44" s="32">
        <f t="shared" si="2"/>
        <v>1.5974440894568689E-3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64" t="s">
        <v>181</v>
      </c>
      <c r="B46" s="127">
        <v>1921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9" t="s">
        <v>182</v>
      </c>
      <c r="B47" s="135">
        <v>575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-402.29999999999995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5">
      <c r="K53" s="5">
        <v>51</v>
      </c>
      <c r="L53" s="73">
        <v>-417.29999999999995</v>
      </c>
    </row>
    <row r="54" spans="5:12" x14ac:dyDescent="0.45">
      <c r="K54" s="5">
        <v>52</v>
      </c>
      <c r="L54" s="73">
        <v>-421.29999999999995</v>
      </c>
    </row>
    <row r="55" spans="5:12" x14ac:dyDescent="0.45">
      <c r="K55" s="5">
        <v>53</v>
      </c>
      <c r="L55" s="73">
        <v>-451.69999999999993</v>
      </c>
    </row>
    <row r="56" spans="5:12" x14ac:dyDescent="0.45">
      <c r="K56" s="5">
        <v>54</v>
      </c>
      <c r="L56" s="73">
        <v>-445.09999999999991</v>
      </c>
    </row>
    <row r="57" spans="5:12" x14ac:dyDescent="0.45">
      <c r="K57" s="5">
        <v>55</v>
      </c>
      <c r="L57" s="73">
        <v>-465.59999999999991</v>
      </c>
    </row>
    <row r="58" spans="5:12" x14ac:dyDescent="0.45">
      <c r="K58" s="5">
        <v>56</v>
      </c>
      <c r="L58" s="73">
        <v>-502.59999999999991</v>
      </c>
    </row>
    <row r="59" spans="5:12" x14ac:dyDescent="0.45">
      <c r="K59" s="5">
        <v>57</v>
      </c>
      <c r="L59" s="73">
        <v>-533.29999999999995</v>
      </c>
    </row>
    <row r="60" spans="5:12" x14ac:dyDescent="0.45">
      <c r="K60" s="5">
        <v>58</v>
      </c>
      <c r="L60" s="73">
        <v>-573.29999999999995</v>
      </c>
    </row>
    <row r="61" spans="5:12" x14ac:dyDescent="0.45">
      <c r="K61" s="5">
        <v>59</v>
      </c>
      <c r="L61" s="73">
        <v>-550.79999999999995</v>
      </c>
    </row>
    <row r="62" spans="5:12" x14ac:dyDescent="0.45">
      <c r="K62" s="5">
        <v>60</v>
      </c>
      <c r="L62" s="73">
        <v>-535.29999999999995</v>
      </c>
    </row>
    <row r="63" spans="5:12" x14ac:dyDescent="0.45">
      <c r="K63" s="5">
        <v>61</v>
      </c>
      <c r="L63" s="73">
        <v>-492.29999999999995</v>
      </c>
    </row>
    <row r="64" spans="5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9C11-157B-4A2F-BFEC-6B5ED9E2E622}">
  <sheetPr codeName="Sheet11"/>
  <dimension ref="A1:Q43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193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429</v>
      </c>
      <c r="C2" s="128"/>
      <c r="E2" s="43" t="s">
        <v>66</v>
      </c>
      <c r="F2" s="25" t="s">
        <v>22</v>
      </c>
      <c r="G2" s="13">
        <v>789</v>
      </c>
      <c r="H2" s="106">
        <f>IF(B$47=0,0,G2/B$47)</f>
        <v>0.80182926829268297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-806.58823529411768</v>
      </c>
      <c r="P2" s="92">
        <v>425</v>
      </c>
      <c r="Q2" s="76">
        <v>-342800</v>
      </c>
    </row>
    <row r="3" spans="1:17" x14ac:dyDescent="0.45">
      <c r="A3" s="37" t="s">
        <v>8</v>
      </c>
      <c r="B3" s="129">
        <v>3510</v>
      </c>
      <c r="C3" s="130"/>
      <c r="E3" s="44" t="s">
        <v>72</v>
      </c>
      <c r="F3" s="41" t="s">
        <v>27</v>
      </c>
      <c r="G3" s="34">
        <v>519</v>
      </c>
      <c r="H3" s="107">
        <f>IF(B$47=0,0,G3/B$47)</f>
        <v>0.52743902439024393</v>
      </c>
      <c r="I3" s="68">
        <v>13</v>
      </c>
      <c r="K3" s="5">
        <v>1</v>
      </c>
      <c r="L3" s="73">
        <v>-36.700000000000003</v>
      </c>
      <c r="N3" s="89" t="s">
        <v>127</v>
      </c>
      <c r="O3" s="96">
        <f t="shared" si="0"/>
        <v>-51.699029126213595</v>
      </c>
      <c r="P3" s="93">
        <v>412</v>
      </c>
      <c r="Q3" s="77">
        <v>-21300</v>
      </c>
    </row>
    <row r="4" spans="1:17" x14ac:dyDescent="0.45">
      <c r="A4" s="37" t="s">
        <v>6</v>
      </c>
      <c r="B4" s="131">
        <v>-918.90000000000055</v>
      </c>
      <c r="C4" s="132"/>
      <c r="E4" s="44" t="s">
        <v>64</v>
      </c>
      <c r="F4" s="41" t="s">
        <v>20</v>
      </c>
      <c r="G4" s="34">
        <v>445</v>
      </c>
      <c r="H4" s="107">
        <f>IF(B$47=0,0,G4/B$47)</f>
        <v>0.45223577235772355</v>
      </c>
      <c r="I4" s="68">
        <v>13</v>
      </c>
      <c r="K4" s="5">
        <v>2</v>
      </c>
      <c r="L4" s="73">
        <v>-45.300000000000004</v>
      </c>
      <c r="N4" s="89" t="s">
        <v>128</v>
      </c>
      <c r="O4" s="96">
        <f t="shared" si="0"/>
        <v>361.13989637305701</v>
      </c>
      <c r="P4" s="93">
        <v>386</v>
      </c>
      <c r="Q4" s="77">
        <v>139400</v>
      </c>
    </row>
    <row r="5" spans="1:17" x14ac:dyDescent="0.45">
      <c r="A5" s="37" t="s">
        <v>7</v>
      </c>
      <c r="B5" s="133">
        <f>IF(B$2=0,0,B$4/B$2)</f>
        <v>-2.1419580419580431</v>
      </c>
      <c r="C5" s="134"/>
      <c r="E5" s="44" t="s">
        <v>68</v>
      </c>
      <c r="F5" s="41" t="s">
        <v>12</v>
      </c>
      <c r="G5" s="34">
        <v>300</v>
      </c>
      <c r="H5" s="107">
        <f>IF(B$47=0,0,G5/B$47)</f>
        <v>0.3048780487804878</v>
      </c>
      <c r="I5" s="68">
        <v>10</v>
      </c>
      <c r="K5" s="5">
        <v>3</v>
      </c>
      <c r="L5" s="73">
        <v>-81.7</v>
      </c>
      <c r="N5" s="89" t="s">
        <v>129</v>
      </c>
      <c r="O5" s="96">
        <f t="shared" si="0"/>
        <v>-1182.4022346368715</v>
      </c>
      <c r="P5" s="93">
        <v>358</v>
      </c>
      <c r="Q5" s="77">
        <v>-423300</v>
      </c>
    </row>
    <row r="6" spans="1:17" x14ac:dyDescent="0.45">
      <c r="A6" s="37" t="s">
        <v>1</v>
      </c>
      <c r="B6" s="141">
        <f>IF(B$2=0,0,(B$7*1+B$8*2+B$9*3)/B$2)</f>
        <v>2.0069930069930071</v>
      </c>
      <c r="C6" s="142"/>
      <c r="E6" s="44" t="s">
        <v>157</v>
      </c>
      <c r="F6" s="41" t="s">
        <v>158</v>
      </c>
      <c r="G6" s="34">
        <v>289</v>
      </c>
      <c r="H6" s="107">
        <f>IF(B$47=0,0,G6/B$47)</f>
        <v>0.29369918699186992</v>
      </c>
      <c r="I6" s="68">
        <v>8</v>
      </c>
      <c r="K6" s="5">
        <v>4</v>
      </c>
      <c r="L6" s="73">
        <v>-114.30000000000001</v>
      </c>
      <c r="N6" s="89" t="s">
        <v>130</v>
      </c>
      <c r="O6" s="96">
        <f t="shared" si="0"/>
        <v>50.778816199376948</v>
      </c>
      <c r="P6" s="93">
        <v>321</v>
      </c>
      <c r="Q6" s="77">
        <v>16300</v>
      </c>
    </row>
    <row r="7" spans="1:17" x14ac:dyDescent="0.45">
      <c r="A7" s="37" t="s">
        <v>2</v>
      </c>
      <c r="B7" s="34">
        <v>144</v>
      </c>
      <c r="C7" s="31">
        <f t="shared" ref="C7:C10" si="1">IF(B$2=0,0,B7/B$2)</f>
        <v>0.33566433566433568</v>
      </c>
      <c r="E7" s="44" t="s">
        <v>67</v>
      </c>
      <c r="F7" s="41" t="s">
        <v>23</v>
      </c>
      <c r="G7" s="34">
        <v>258</v>
      </c>
      <c r="H7" s="107">
        <f>IF(B$47=0,0,G7/B$47)</f>
        <v>0.26219512195121952</v>
      </c>
      <c r="I7" s="68">
        <v>11</v>
      </c>
      <c r="K7" s="5">
        <v>5</v>
      </c>
      <c r="L7" s="73">
        <v>-136.30000000000001</v>
      </c>
      <c r="N7" s="90" t="s">
        <v>131</v>
      </c>
      <c r="O7" s="97">
        <f t="shared" si="0"/>
        <v>98.555956678700355</v>
      </c>
      <c r="P7" s="94">
        <v>277</v>
      </c>
      <c r="Q7" s="78">
        <v>27300</v>
      </c>
    </row>
    <row r="8" spans="1:17" x14ac:dyDescent="0.45">
      <c r="A8" s="37" t="s">
        <v>3</v>
      </c>
      <c r="B8" s="34">
        <v>138</v>
      </c>
      <c r="C8" s="31">
        <f t="shared" si="1"/>
        <v>0.32167832167832167</v>
      </c>
      <c r="E8" s="44" t="s">
        <v>69</v>
      </c>
      <c r="F8" s="41" t="s">
        <v>24</v>
      </c>
      <c r="G8" s="34">
        <v>142</v>
      </c>
      <c r="H8" s="107">
        <f>IF(B$47=0,0,G8/B$47)</f>
        <v>0.1443089430894309</v>
      </c>
      <c r="I8" s="68">
        <v>8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147</v>
      </c>
      <c r="C9" s="7">
        <f t="shared" si="1"/>
        <v>0.34265734265734266</v>
      </c>
      <c r="E9" s="44" t="s">
        <v>89</v>
      </c>
      <c r="F9" s="41" t="s">
        <v>44</v>
      </c>
      <c r="G9" s="34">
        <v>125</v>
      </c>
      <c r="H9" s="107">
        <f>IF(B$47=0,0,G9/B$47)</f>
        <v>0.12703252032520326</v>
      </c>
      <c r="I9" s="68">
        <v>9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56</v>
      </c>
      <c r="C10" s="32">
        <f t="shared" si="1"/>
        <v>0.13053613053613053</v>
      </c>
      <c r="E10" s="44" t="s">
        <v>70</v>
      </c>
      <c r="F10" s="41" t="s">
        <v>25</v>
      </c>
      <c r="G10" s="34">
        <v>110</v>
      </c>
      <c r="H10" s="107">
        <f>IF(B$47=0,0,G10/B$47)</f>
        <v>0.11178861788617886</v>
      </c>
      <c r="I10" s="68">
        <v>5</v>
      </c>
      <c r="K10" s="5">
        <v>8</v>
      </c>
      <c r="L10" s="73">
        <v>-52.300000000000018</v>
      </c>
      <c r="N10" s="88" t="s">
        <v>149</v>
      </c>
      <c r="O10" s="98">
        <f>IF(P10=0,0,Q10/P10)</f>
        <v>-2.3492753623188389</v>
      </c>
      <c r="P10" s="92">
        <v>138</v>
      </c>
      <c r="Q10" s="80">
        <v>-324.19999999999976</v>
      </c>
    </row>
    <row r="11" spans="1:17" x14ac:dyDescent="0.45">
      <c r="A11" s="40" t="s">
        <v>121</v>
      </c>
      <c r="B11" s="16">
        <v>854</v>
      </c>
      <c r="C11" s="11">
        <f>IF(B$46=0,0,B11/B$46)</f>
        <v>0.25236406619385343</v>
      </c>
      <c r="E11" s="44" t="s">
        <v>65</v>
      </c>
      <c r="F11" s="41" t="s">
        <v>21</v>
      </c>
      <c r="G11" s="34">
        <v>92</v>
      </c>
      <c r="H11" s="107">
        <f>IF(B$47=0,0,G11/B$47)</f>
        <v>9.3495934959349589E-2</v>
      </c>
      <c r="I11" s="68">
        <v>13</v>
      </c>
      <c r="K11" s="5">
        <v>9</v>
      </c>
      <c r="L11" s="73">
        <v>-53.500000000000021</v>
      </c>
      <c r="N11" s="89" t="s">
        <v>150</v>
      </c>
      <c r="O11" s="99">
        <f>IF(P11=0,0,Q11/P11)</f>
        <v>-1.7262411347517737</v>
      </c>
      <c r="P11" s="93">
        <v>141</v>
      </c>
      <c r="Q11" s="81">
        <v>-243.40000000000009</v>
      </c>
    </row>
    <row r="12" spans="1:17" x14ac:dyDescent="0.45">
      <c r="A12" s="37" t="s">
        <v>118</v>
      </c>
      <c r="B12" s="34">
        <v>814</v>
      </c>
      <c r="C12" s="31">
        <f>IF(B$46=0,0,B12/B$46)</f>
        <v>0.24054373522458627</v>
      </c>
      <c r="E12" s="44" t="s">
        <v>71</v>
      </c>
      <c r="F12" s="41" t="s">
        <v>26</v>
      </c>
      <c r="G12" s="34">
        <v>88</v>
      </c>
      <c r="H12" s="107">
        <f>IF(B$47=0,0,G12/B$47)</f>
        <v>8.943089430894309E-2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-2.608108108108107</v>
      </c>
      <c r="P12" s="94">
        <v>148</v>
      </c>
      <c r="Q12" s="82">
        <v>-385.99999999999983</v>
      </c>
    </row>
    <row r="13" spans="1:17" x14ac:dyDescent="0.45">
      <c r="A13" s="19" t="s">
        <v>123</v>
      </c>
      <c r="B13" s="13">
        <v>455</v>
      </c>
      <c r="C13" s="4">
        <f>IF(B$11=0,0,B13/B$11)</f>
        <v>0.53278688524590168</v>
      </c>
      <c r="E13" s="44" t="s">
        <v>86</v>
      </c>
      <c r="F13" s="41" t="s">
        <v>41</v>
      </c>
      <c r="G13" s="34">
        <v>53</v>
      </c>
      <c r="H13" s="107">
        <f>IF(B$47=0,0,G13/B$47)</f>
        <v>5.386178861788618E-2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303</v>
      </c>
      <c r="C14" s="4">
        <f>IF(B$12=0,0,B14/B$12)</f>
        <v>0.37223587223587223</v>
      </c>
      <c r="E14" s="44" t="s">
        <v>83</v>
      </c>
      <c r="F14" s="41" t="s">
        <v>38</v>
      </c>
      <c r="G14" s="34">
        <v>43</v>
      </c>
      <c r="H14" s="107">
        <f>IF(B$47=0,0,G14/B$47)</f>
        <v>4.3699186991869921E-2</v>
      </c>
      <c r="I14" s="68">
        <v>10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1021</v>
      </c>
      <c r="C15" s="4">
        <f>IF(B$3=0,0,B15/B$3)</f>
        <v>0.29088319088319087</v>
      </c>
      <c r="E15" s="44" t="s">
        <v>78</v>
      </c>
      <c r="F15" s="41" t="s">
        <v>33</v>
      </c>
      <c r="G15" s="34">
        <v>35</v>
      </c>
      <c r="H15" s="107">
        <f>IF(B$47=0,0,G15/B$47)</f>
        <v>3.556910569105691E-2</v>
      </c>
      <c r="I15" s="68">
        <v>3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13</v>
      </c>
      <c r="B16" s="34">
        <v>609</v>
      </c>
      <c r="C16" s="31">
        <f>IF(B$3=0,0,B16/B$3)</f>
        <v>0.1735042735042735</v>
      </c>
      <c r="E16" s="44" t="s">
        <v>81</v>
      </c>
      <c r="F16" s="41" t="s">
        <v>36</v>
      </c>
      <c r="G16" s="34">
        <v>29</v>
      </c>
      <c r="H16" s="107">
        <f>IF(B$47=0,0,G16/B$47)</f>
        <v>2.9471544715447155E-2</v>
      </c>
      <c r="I16" s="68">
        <v>6</v>
      </c>
      <c r="K16" s="5">
        <v>14</v>
      </c>
      <c r="L16" s="73">
        <v>-50.400000000000027</v>
      </c>
      <c r="N16" s="89" t="s">
        <v>197</v>
      </c>
      <c r="O16" s="99">
        <f>IF(P16=0,0,Q16/P16)</f>
        <v>27.289473684210527</v>
      </c>
      <c r="P16" s="93">
        <v>19</v>
      </c>
      <c r="Q16" s="81">
        <v>518.5</v>
      </c>
    </row>
    <row r="17" spans="1:17" x14ac:dyDescent="0.45">
      <c r="A17" s="37" t="s">
        <v>12</v>
      </c>
      <c r="B17" s="34">
        <v>430</v>
      </c>
      <c r="C17" s="31">
        <f>IF(B$15=0,0,B17/B$15)</f>
        <v>0.42115572967678744</v>
      </c>
      <c r="E17" s="44" t="s">
        <v>91</v>
      </c>
      <c r="F17" s="41" t="s">
        <v>46</v>
      </c>
      <c r="G17" s="34">
        <v>20</v>
      </c>
      <c r="H17" s="107">
        <f>IF(B$47=0,0,G17/B$47)</f>
        <v>2.032520325203252E-2</v>
      </c>
      <c r="I17" s="68">
        <v>5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37" t="s">
        <v>11</v>
      </c>
      <c r="B18" s="34">
        <v>591</v>
      </c>
      <c r="C18" s="31">
        <f>IF(B$15=0,0,B18/B$15)</f>
        <v>0.57884427032321251</v>
      </c>
      <c r="E18" s="44" t="s">
        <v>79</v>
      </c>
      <c r="F18" s="41" t="s">
        <v>34</v>
      </c>
      <c r="G18" s="34">
        <v>14</v>
      </c>
      <c r="H18" s="107">
        <f>IF(B$47=0,0,G18/B$47)</f>
        <v>1.4227642276422764E-2</v>
      </c>
      <c r="I18" s="68">
        <v>10</v>
      </c>
      <c r="K18" s="5">
        <v>16</v>
      </c>
      <c r="L18" s="73">
        <v>58.89999999999997</v>
      </c>
      <c r="N18" s="89" t="s">
        <v>190</v>
      </c>
      <c r="O18" s="99">
        <f>IF(P18=0,0,Q18/P18)</f>
        <v>6.5877551020408145</v>
      </c>
      <c r="P18" s="93">
        <v>147</v>
      </c>
      <c r="Q18" s="81">
        <v>968.39999999999975</v>
      </c>
    </row>
    <row r="19" spans="1:17" x14ac:dyDescent="0.45">
      <c r="A19" s="37" t="s">
        <v>180</v>
      </c>
      <c r="B19" s="34">
        <v>455</v>
      </c>
      <c r="C19" s="31">
        <f>IF(B$15=0,0,B19/B$15)</f>
        <v>0.44564152791381001</v>
      </c>
      <c r="E19" s="44" t="s">
        <v>77</v>
      </c>
      <c r="F19" s="41" t="s">
        <v>32</v>
      </c>
      <c r="G19" s="34">
        <v>9</v>
      </c>
      <c r="H19" s="107">
        <f>IF(B$47=0,0,G19/B$47)</f>
        <v>9.1463414634146336E-3</v>
      </c>
      <c r="I19" s="68">
        <v>2</v>
      </c>
      <c r="K19" s="5">
        <v>17</v>
      </c>
      <c r="L19" s="73">
        <v>58.599999999999973</v>
      </c>
      <c r="N19" s="89" t="s">
        <v>198</v>
      </c>
      <c r="O19" s="99">
        <f>IF(P19=0,0,Q19/P19)</f>
        <v>5.75</v>
      </c>
      <c r="P19" s="93">
        <v>4</v>
      </c>
      <c r="Q19" s="81">
        <v>23</v>
      </c>
    </row>
    <row r="20" spans="1:17" x14ac:dyDescent="0.45">
      <c r="A20" s="37" t="s">
        <v>178</v>
      </c>
      <c r="B20" s="34">
        <v>303</v>
      </c>
      <c r="C20" s="31">
        <f>IF(B$15=0,0,B20/B$15)</f>
        <v>0.29676787463271304</v>
      </c>
      <c r="E20" s="44" t="s">
        <v>73</v>
      </c>
      <c r="F20" s="41" t="s">
        <v>28</v>
      </c>
      <c r="G20" s="34">
        <v>6</v>
      </c>
      <c r="H20" s="107">
        <f>IF(B$47=0,0,G20/B$47)</f>
        <v>6.0975609756097563E-3</v>
      </c>
      <c r="I20" s="68">
        <v>7</v>
      </c>
      <c r="K20" s="5">
        <v>18</v>
      </c>
      <c r="L20" s="73">
        <v>122.59999999999997</v>
      </c>
      <c r="N20" s="89" t="s">
        <v>186</v>
      </c>
      <c r="O20" s="99">
        <f>IF(P20=0,0,Q20/P20)</f>
        <v>3.5652173913043526</v>
      </c>
      <c r="P20" s="93">
        <v>23</v>
      </c>
      <c r="Q20" s="81">
        <v>82.000000000000114</v>
      </c>
    </row>
    <row r="21" spans="1:17" x14ac:dyDescent="0.45">
      <c r="A21" s="37" t="s">
        <v>179</v>
      </c>
      <c r="B21" s="34">
        <v>263</v>
      </c>
      <c r="C21" s="31">
        <f>IF(B$15=0,0,B21/B$15)</f>
        <v>0.25759059745347701</v>
      </c>
      <c r="E21" s="44" t="s">
        <v>74</v>
      </c>
      <c r="F21" s="41" t="s">
        <v>29</v>
      </c>
      <c r="G21" s="34">
        <v>6</v>
      </c>
      <c r="H21" s="107">
        <f>IF(B$47=0,0,G21/B$47)</f>
        <v>6.0975609756097563E-3</v>
      </c>
      <c r="I21" s="68">
        <v>3</v>
      </c>
      <c r="K21" s="5">
        <v>19</v>
      </c>
      <c r="L21" s="73">
        <v>125.69999999999996</v>
      </c>
      <c r="N21" s="89" t="s">
        <v>187</v>
      </c>
      <c r="O21" s="99">
        <f>IF(P21=0,0,Q21/P21)</f>
        <v>1.5705357142857159</v>
      </c>
      <c r="P21" s="93">
        <v>112</v>
      </c>
      <c r="Q21" s="81">
        <v>175.90000000000018</v>
      </c>
    </row>
    <row r="22" spans="1:17" x14ac:dyDescent="0.45">
      <c r="A22" s="37" t="s">
        <v>5</v>
      </c>
      <c r="B22" s="17">
        <f>IF(B$15=0,0,C22/B$15)</f>
        <v>8829.1870714985307</v>
      </c>
      <c r="C22" s="8">
        <v>9014600</v>
      </c>
      <c r="E22" s="44" t="s">
        <v>75</v>
      </c>
      <c r="F22" s="41" t="s">
        <v>30</v>
      </c>
      <c r="G22" s="34">
        <v>6</v>
      </c>
      <c r="H22" s="107">
        <f>IF(B$47=0,0,G22/B$47)</f>
        <v>6.0975609756097563E-3</v>
      </c>
      <c r="I22" s="68">
        <v>5</v>
      </c>
      <c r="K22" s="5">
        <v>20</v>
      </c>
      <c r="L22" s="73">
        <v>126.89999999999996</v>
      </c>
      <c r="N22" s="89" t="s">
        <v>191</v>
      </c>
      <c r="O22" s="99">
        <f>IF(P22=0,0,Q22/P22)</f>
        <v>1.5655462184873978</v>
      </c>
      <c r="P22" s="93">
        <v>119</v>
      </c>
      <c r="Q22" s="81">
        <v>186.30000000000035</v>
      </c>
    </row>
    <row r="23" spans="1:17" x14ac:dyDescent="0.45">
      <c r="A23" s="38" t="s">
        <v>162</v>
      </c>
      <c r="B23" s="114">
        <f>IF($B$15-B$14=0,0,C23/($B$15-B$14))</f>
        <v>9515.5988857938719</v>
      </c>
      <c r="C23" s="115">
        <v>6832200</v>
      </c>
      <c r="E23" s="44" t="s">
        <v>153</v>
      </c>
      <c r="F23" s="41" t="s">
        <v>154</v>
      </c>
      <c r="G23" s="34">
        <v>5</v>
      </c>
      <c r="H23" s="107">
        <f>IF(B$47=0,0,G23/B$47)</f>
        <v>5.08130081300813E-3</v>
      </c>
      <c r="I23" s="68">
        <v>8</v>
      </c>
      <c r="K23" s="5">
        <v>21</v>
      </c>
      <c r="L23" s="73">
        <v>129.69999999999996</v>
      </c>
      <c r="N23" s="89" t="s">
        <v>196</v>
      </c>
      <c r="O23" s="99">
        <f>IF(P23=0,0,Q23/P23)</f>
        <v>-6.2</v>
      </c>
      <c r="P23" s="93">
        <v>3</v>
      </c>
      <c r="Q23" s="81">
        <v>-18.600000000000001</v>
      </c>
    </row>
    <row r="24" spans="1:17" x14ac:dyDescent="0.45">
      <c r="A24" s="38" t="s">
        <v>163</v>
      </c>
      <c r="B24" s="114">
        <f>IF(B$14=0,0,C24/B$14)</f>
        <v>7202.6402640264023</v>
      </c>
      <c r="C24" s="115">
        <v>2182400</v>
      </c>
      <c r="E24" s="44" t="s">
        <v>84</v>
      </c>
      <c r="F24" s="41" t="s">
        <v>39</v>
      </c>
      <c r="G24" s="34">
        <v>4</v>
      </c>
      <c r="H24" s="107">
        <f>IF(B$47=0,0,G24/B$47)</f>
        <v>4.0650406504065045E-3</v>
      </c>
      <c r="I24" s="68">
        <v>2</v>
      </c>
      <c r="K24" s="5">
        <v>22</v>
      </c>
      <c r="L24" s="73">
        <v>174.29999999999995</v>
      </c>
      <c r="N24" s="89" t="s">
        <v>188</v>
      </c>
      <c r="O24" s="99">
        <f>IF(P24=0,0,Q24/P24)</f>
        <v>-9.653465346534654</v>
      </c>
      <c r="P24" s="93">
        <v>101</v>
      </c>
      <c r="Q24" s="81">
        <v>-975</v>
      </c>
    </row>
    <row r="25" spans="1:17" x14ac:dyDescent="0.45">
      <c r="A25" s="38" t="s">
        <v>161</v>
      </c>
      <c r="B25" s="114">
        <f>IF(B$16=0,0,C25/B$16)</f>
        <v>-8460.2627257799668</v>
      </c>
      <c r="C25" s="115">
        <v>-5152300</v>
      </c>
      <c r="E25" s="44" t="s">
        <v>92</v>
      </c>
      <c r="F25" s="41" t="s">
        <v>47</v>
      </c>
      <c r="G25" s="34">
        <v>4</v>
      </c>
      <c r="H25" s="107">
        <f>IF(B$47=0,0,G25/B$47)</f>
        <v>4.0650406504065045E-3</v>
      </c>
      <c r="I25" s="68">
        <v>6</v>
      </c>
      <c r="K25" s="5">
        <v>23</v>
      </c>
      <c r="L25" s="73">
        <v>172.89999999999995</v>
      </c>
      <c r="N25" s="89" t="s">
        <v>195</v>
      </c>
      <c r="O25" s="99">
        <f>IF(P25=0,0,Q25/P25)</f>
        <v>-13.520805369127523</v>
      </c>
      <c r="P25" s="93">
        <v>298</v>
      </c>
      <c r="Q25" s="81">
        <v>-4029.2000000000016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4.0650406504065045E-3</v>
      </c>
      <c r="I26" s="68">
        <v>3</v>
      </c>
      <c r="K26" s="5">
        <v>24</v>
      </c>
      <c r="L26" s="73">
        <v>133.19999999999993</v>
      </c>
      <c r="N26" s="89" t="s">
        <v>194</v>
      </c>
      <c r="O26" s="99">
        <f>IF(P26=0,0,Q26/P26)</f>
        <v>-18.00714285714286</v>
      </c>
      <c r="P26" s="93">
        <v>14</v>
      </c>
      <c r="Q26" s="81">
        <v>-252.10000000000002</v>
      </c>
    </row>
    <row r="27" spans="1:17" x14ac:dyDescent="0.45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3.0487804878048782E-3</v>
      </c>
      <c r="I27" s="68">
        <v>2</v>
      </c>
      <c r="K27" s="5">
        <v>25</v>
      </c>
      <c r="L27" s="73">
        <v>117.39999999999993</v>
      </c>
    </row>
    <row r="28" spans="1:17" x14ac:dyDescent="0.45">
      <c r="A28" s="64" t="s">
        <v>134</v>
      </c>
      <c r="B28" s="139">
        <v>9</v>
      </c>
      <c r="C28" s="140"/>
      <c r="E28" s="44" t="s">
        <v>85</v>
      </c>
      <c r="F28" s="41" t="s">
        <v>40</v>
      </c>
      <c r="G28" s="34">
        <v>1</v>
      </c>
      <c r="H28" s="107">
        <f>IF(B$47=0,0,G28/B$47)</f>
        <v>1.0162601626016261E-3</v>
      </c>
      <c r="I28" s="68">
        <v>7</v>
      </c>
      <c r="K28" s="5">
        <v>26</v>
      </c>
      <c r="L28" s="73">
        <v>128.69999999999993</v>
      </c>
    </row>
    <row r="29" spans="1:17" x14ac:dyDescent="0.45">
      <c r="A29" s="40" t="s">
        <v>177</v>
      </c>
      <c r="B29" s="137">
        <v>109300</v>
      </c>
      <c r="C29" s="138"/>
      <c r="E29" s="44" t="s">
        <v>88</v>
      </c>
      <c r="F29" s="41" t="s">
        <v>43</v>
      </c>
      <c r="G29" s="34">
        <v>1</v>
      </c>
      <c r="H29" s="107">
        <f>IF(B$47=0,0,G29/B$47)</f>
        <v>1.0162601626016261E-3</v>
      </c>
      <c r="I29" s="68">
        <v>6</v>
      </c>
      <c r="K29" s="5">
        <v>27</v>
      </c>
      <c r="L29" s="73">
        <v>84.699999999999932</v>
      </c>
    </row>
    <row r="30" spans="1:17" x14ac:dyDescent="0.45">
      <c r="A30" s="39" t="s">
        <v>135</v>
      </c>
      <c r="B30" s="27">
        <v>10</v>
      </c>
      <c r="C30" s="32">
        <f>IF(B$3=0,0,B30/B$3)</f>
        <v>2.8490028490028491E-3</v>
      </c>
      <c r="E30" s="44" t="s">
        <v>90</v>
      </c>
      <c r="F30" s="41" t="s">
        <v>45</v>
      </c>
      <c r="G30" s="34">
        <v>1</v>
      </c>
      <c r="H30" s="107">
        <f>IF(B$47=0,0,G30/B$47)</f>
        <v>1.0162601626016261E-3</v>
      </c>
      <c r="I30" s="68">
        <v>6</v>
      </c>
      <c r="K30" s="5">
        <v>28</v>
      </c>
      <c r="L30" s="73">
        <v>43.699999999999932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1.0162601626016261E-3</v>
      </c>
      <c r="I31" s="68">
        <v>5</v>
      </c>
      <c r="K31" s="5">
        <v>29</v>
      </c>
      <c r="L31" s="73">
        <v>32.899999999999935</v>
      </c>
    </row>
    <row r="32" spans="1:17" x14ac:dyDescent="0.45">
      <c r="A32" s="64" t="s">
        <v>168</v>
      </c>
      <c r="B32" s="121">
        <v>55</v>
      </c>
      <c r="C32" s="119">
        <f>IF(B$15=0,0,B32/B$15)</f>
        <v>5.3868756121449562E-2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48.499999999999936</v>
      </c>
    </row>
    <row r="33" spans="1:12" x14ac:dyDescent="0.45">
      <c r="A33" s="37" t="s">
        <v>164</v>
      </c>
      <c r="B33" s="34">
        <v>157</v>
      </c>
      <c r="C33" s="31">
        <f t="shared" ref="C33:C44" si="2">IF(B$15=0,0,B33/B$15)</f>
        <v>0.15377081292850148</v>
      </c>
      <c r="E33" s="44" t="s">
        <v>80</v>
      </c>
      <c r="F33" s="41" t="s">
        <v>35</v>
      </c>
      <c r="G33" s="34">
        <v>0</v>
      </c>
      <c r="H33" s="107">
        <f>IF(B$47=0,0,G33/B$47)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7" t="s">
        <v>165</v>
      </c>
      <c r="B34" s="124">
        <v>211</v>
      </c>
      <c r="C34" s="31">
        <f>IF(B$15=0,0,B34/B$15)</f>
        <v>0.20666013712047013</v>
      </c>
      <c r="E34" s="44" t="s">
        <v>82</v>
      </c>
      <c r="F34" s="41" t="s">
        <v>37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A35" s="37" t="s">
        <v>166</v>
      </c>
      <c r="B35" s="124">
        <v>194</v>
      </c>
      <c r="C35" s="31">
        <f t="shared" si="2"/>
        <v>0.19000979431929482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37" t="s">
        <v>167</v>
      </c>
      <c r="B36" s="124">
        <v>139</v>
      </c>
      <c r="C36" s="31">
        <f t="shared" si="2"/>
        <v>0.13614103819784526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169</v>
      </c>
      <c r="B37" s="124">
        <v>96</v>
      </c>
      <c r="C37" s="31">
        <f t="shared" si="2"/>
        <v>9.4025465230166499E-2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170</v>
      </c>
      <c r="B38" s="124">
        <v>46</v>
      </c>
      <c r="C38" s="31">
        <f t="shared" si="2"/>
        <v>4.5053868756121447E-2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171</v>
      </c>
      <c r="B39" s="124">
        <v>35</v>
      </c>
      <c r="C39" s="31">
        <f t="shared" si="2"/>
        <v>3.4280117531831536E-2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172</v>
      </c>
      <c r="B40" s="124">
        <v>17</v>
      </c>
      <c r="C40" s="31">
        <f t="shared" si="2"/>
        <v>1.6650342801175319E-2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173</v>
      </c>
      <c r="B41" s="124">
        <v>12</v>
      </c>
      <c r="C41" s="31">
        <f t="shared" si="2"/>
        <v>1.1753183153770812E-2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174</v>
      </c>
      <c r="B42" s="124">
        <v>8</v>
      </c>
      <c r="C42" s="31">
        <f t="shared" si="2"/>
        <v>7.8354554358472089E-3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175</v>
      </c>
      <c r="B43" s="124">
        <v>2</v>
      </c>
      <c r="C43" s="31">
        <f t="shared" si="2"/>
        <v>1.9588638589618022E-3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9" t="s">
        <v>176</v>
      </c>
      <c r="B44" s="120">
        <v>12</v>
      </c>
      <c r="C44" s="32">
        <f t="shared" si="2"/>
        <v>1.1753183153770812E-2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64" t="s">
        <v>181</v>
      </c>
      <c r="B46" s="127">
        <v>3384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9" t="s">
        <v>182</v>
      </c>
      <c r="B47" s="135">
        <v>984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5">
      <c r="K53" s="5">
        <v>51</v>
      </c>
      <c r="L53" s="73">
        <v>196.99999999999994</v>
      </c>
    </row>
    <row r="54" spans="5:12" x14ac:dyDescent="0.45">
      <c r="K54" s="5">
        <v>52</v>
      </c>
      <c r="L54" s="73">
        <v>196.59999999999994</v>
      </c>
    </row>
    <row r="55" spans="5:12" x14ac:dyDescent="0.45">
      <c r="K55" s="5">
        <v>53</v>
      </c>
      <c r="L55" s="73">
        <v>214.69999999999993</v>
      </c>
    </row>
    <row r="56" spans="5:12" x14ac:dyDescent="0.45">
      <c r="K56" s="5">
        <v>54</v>
      </c>
      <c r="L56" s="73">
        <v>237.49999999999994</v>
      </c>
    </row>
    <row r="57" spans="5:12" x14ac:dyDescent="0.45">
      <c r="K57" s="5">
        <v>55</v>
      </c>
      <c r="L57" s="73">
        <v>224.69999999999993</v>
      </c>
    </row>
    <row r="58" spans="5:12" x14ac:dyDescent="0.45">
      <c r="K58" s="5">
        <v>56</v>
      </c>
      <c r="L58" s="73">
        <v>260.69999999999993</v>
      </c>
    </row>
    <row r="59" spans="5:12" x14ac:dyDescent="0.45">
      <c r="K59" s="5">
        <v>57</v>
      </c>
      <c r="L59" s="73">
        <v>211.59999999999994</v>
      </c>
    </row>
    <row r="60" spans="5:12" x14ac:dyDescent="0.45">
      <c r="K60" s="5">
        <v>58</v>
      </c>
      <c r="L60" s="73">
        <v>208.99999999999994</v>
      </c>
    </row>
    <row r="61" spans="5:12" x14ac:dyDescent="0.45">
      <c r="K61" s="5">
        <v>59</v>
      </c>
      <c r="L61" s="73">
        <v>221.49999999999994</v>
      </c>
    </row>
    <row r="62" spans="5:12" x14ac:dyDescent="0.45">
      <c r="K62" s="5">
        <v>60</v>
      </c>
      <c r="L62" s="73">
        <v>233.79999999999995</v>
      </c>
    </row>
    <row r="63" spans="5:12" x14ac:dyDescent="0.45">
      <c r="K63" s="5">
        <v>61</v>
      </c>
      <c r="L63" s="73">
        <v>234.69999999999996</v>
      </c>
    </row>
    <row r="64" spans="5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D0155-F84D-4443-BC46-AD7ECEB36C8D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192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14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29">
        <v>316</v>
      </c>
      <c r="C3" s="130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1">
        <v>91.000000000000014</v>
      </c>
      <c r="C4" s="132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5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3">
        <f>IF(B$2=0,0,B$4/B$2)</f>
        <v>2.3333333333333335</v>
      </c>
      <c r="C5" s="134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41">
        <f>IF(B$2=0,0,(B$7*1+B$8*2+B$9*3)/B$2)</f>
        <v>2.0256410256410255</v>
      </c>
      <c r="C6" s="142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3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3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13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14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10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7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2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8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10</v>
      </c>
      <c r="K22" s="5">
        <v>20</v>
      </c>
      <c r="L22" s="73">
        <v>152.50000000000003</v>
      </c>
    </row>
    <row r="23" spans="1:17" x14ac:dyDescent="0.45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5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14</v>
      </c>
      <c r="K26" s="5">
        <v>24</v>
      </c>
      <c r="L26" s="73">
        <v>81.500000000000028</v>
      </c>
    </row>
    <row r="27" spans="1:17" x14ac:dyDescent="0.45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64" t="s">
        <v>134</v>
      </c>
      <c r="B28" s="139">
        <v>7</v>
      </c>
      <c r="C28" s="140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40" t="s">
        <v>177</v>
      </c>
      <c r="B29" s="137">
        <v>109300</v>
      </c>
      <c r="C29" s="138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64.700000000000031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49.60000000000003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15.400000000000027</v>
      </c>
    </row>
    <row r="32" spans="1:17" x14ac:dyDescent="0.45">
      <c r="A32" s="64" t="s">
        <v>168</v>
      </c>
      <c r="B32" s="121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7" t="s">
        <v>165</v>
      </c>
      <c r="B34" s="124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A35" s="37" t="s">
        <v>166</v>
      </c>
      <c r="B35" s="124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-9.3999999999999773</v>
      </c>
    </row>
    <row r="36" spans="1:12" x14ac:dyDescent="0.45">
      <c r="A36" s="37" t="s">
        <v>167</v>
      </c>
      <c r="B36" s="124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169</v>
      </c>
      <c r="B37" s="124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170</v>
      </c>
      <c r="B38" s="124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171</v>
      </c>
      <c r="B39" s="124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172</v>
      </c>
      <c r="B40" s="124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173</v>
      </c>
      <c r="B41" s="124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174</v>
      </c>
      <c r="B42" s="124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5">
      <c r="A44" s="39" t="s">
        <v>176</v>
      </c>
      <c r="B44" s="120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5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5">
      <c r="A47" s="39" t="s">
        <v>182</v>
      </c>
      <c r="B47" s="135">
        <v>61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9D29-CC4B-450C-816D-ACA3A6D7DC2C}">
  <sheetPr codeName="Sheet13"/>
  <dimension ref="A1:Q331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191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329</v>
      </c>
      <c r="C2" s="128"/>
      <c r="E2" s="43" t="s">
        <v>66</v>
      </c>
      <c r="F2" s="25" t="s">
        <v>22</v>
      </c>
      <c r="G2" s="13">
        <v>585</v>
      </c>
      <c r="H2" s="106">
        <f>IF(B$47=0,0,G2/B$47)</f>
        <v>0.79054054054054057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120.30769230769231</v>
      </c>
      <c r="P2" s="92">
        <v>325</v>
      </c>
      <c r="Q2" s="76">
        <v>39100</v>
      </c>
    </row>
    <row r="3" spans="1:17" x14ac:dyDescent="0.45">
      <c r="A3" s="37" t="s">
        <v>8</v>
      </c>
      <c r="B3" s="129">
        <v>2644</v>
      </c>
      <c r="C3" s="130"/>
      <c r="E3" s="44" t="s">
        <v>72</v>
      </c>
      <c r="F3" s="41" t="s">
        <v>27</v>
      </c>
      <c r="G3" s="34">
        <v>424</v>
      </c>
      <c r="H3" s="107">
        <f>IF(B$47=0,0,G3/B$47)</f>
        <v>0.572972972972973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-25.157232704402517</v>
      </c>
      <c r="P3" s="93">
        <v>318</v>
      </c>
      <c r="Q3" s="77">
        <v>-8000</v>
      </c>
    </row>
    <row r="4" spans="1:17" x14ac:dyDescent="0.45">
      <c r="A4" s="37" t="s">
        <v>6</v>
      </c>
      <c r="B4" s="131">
        <v>-161.39999999999975</v>
      </c>
      <c r="C4" s="132"/>
      <c r="E4" s="44" t="s">
        <v>64</v>
      </c>
      <c r="F4" s="41" t="s">
        <v>20</v>
      </c>
      <c r="G4" s="34">
        <v>413</v>
      </c>
      <c r="H4" s="107">
        <f>IF(B$47=0,0,G4/B$47)</f>
        <v>0.55810810810810807</v>
      </c>
      <c r="I4" s="68">
        <v>4</v>
      </c>
      <c r="K4" s="5">
        <v>2</v>
      </c>
      <c r="L4" s="73">
        <v>-33.9</v>
      </c>
      <c r="N4" s="89" t="s">
        <v>128</v>
      </c>
      <c r="O4" s="96">
        <f t="shared" si="0"/>
        <v>185.42372881355934</v>
      </c>
      <c r="P4" s="93">
        <v>295</v>
      </c>
      <c r="Q4" s="77">
        <v>54700</v>
      </c>
    </row>
    <row r="5" spans="1:17" x14ac:dyDescent="0.45">
      <c r="A5" s="37" t="s">
        <v>7</v>
      </c>
      <c r="B5" s="133">
        <f>IF(B$2=0,0,B$4/B$2)</f>
        <v>-0.49057750759878344</v>
      </c>
      <c r="C5" s="134"/>
      <c r="E5" s="44" t="s">
        <v>67</v>
      </c>
      <c r="F5" s="41" t="s">
        <v>23</v>
      </c>
      <c r="G5" s="34">
        <v>274</v>
      </c>
      <c r="H5" s="107">
        <f>IF(B$47=0,0,G5/B$47)</f>
        <v>0.37027027027027026</v>
      </c>
      <c r="I5" s="68">
        <v>5</v>
      </c>
      <c r="K5" s="5">
        <v>3</v>
      </c>
      <c r="L5" s="73">
        <v>-70.099999999999994</v>
      </c>
      <c r="N5" s="89" t="s">
        <v>129</v>
      </c>
      <c r="O5" s="96">
        <f t="shared" si="0"/>
        <v>602.61194029850742</v>
      </c>
      <c r="P5" s="93">
        <v>268</v>
      </c>
      <c r="Q5" s="77">
        <v>161500</v>
      </c>
    </row>
    <row r="6" spans="1:17" x14ac:dyDescent="0.45">
      <c r="A6" s="37" t="s">
        <v>1</v>
      </c>
      <c r="B6" s="141">
        <f>IF(B$2=0,0,(B$7*1+B$8*2+B$9*3)/B$2)</f>
        <v>2.0638297872340425</v>
      </c>
      <c r="C6" s="142"/>
      <c r="E6" s="44" t="s">
        <v>68</v>
      </c>
      <c r="F6" s="41" t="s">
        <v>12</v>
      </c>
      <c r="G6" s="34">
        <v>243</v>
      </c>
      <c r="H6" s="107">
        <f>IF(B$47=0,0,G6/B$47)</f>
        <v>0.32837837837837835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-1652.6748971193415</v>
      </c>
      <c r="P6" s="93">
        <v>243</v>
      </c>
      <c r="Q6" s="77">
        <v>-401600</v>
      </c>
    </row>
    <row r="7" spans="1:17" x14ac:dyDescent="0.45">
      <c r="A7" s="37" t="s">
        <v>2</v>
      </c>
      <c r="B7" s="34">
        <v>99</v>
      </c>
      <c r="C7" s="31">
        <f t="shared" ref="C7:C10" si="1">IF(B$2=0,0,B7/B$2)</f>
        <v>0.30091185410334348</v>
      </c>
      <c r="E7" s="44" t="s">
        <v>157</v>
      </c>
      <c r="F7" s="41" t="s">
        <v>158</v>
      </c>
      <c r="G7" s="34">
        <v>185</v>
      </c>
      <c r="H7" s="107">
        <f>IF(B$47=0,0,G7/B$47)</f>
        <v>0.25</v>
      </c>
      <c r="I7" s="68">
        <v>11</v>
      </c>
      <c r="K7" s="5">
        <v>5</v>
      </c>
      <c r="L7" s="73">
        <v>-80.099999999999994</v>
      </c>
      <c r="N7" s="90" t="s">
        <v>131</v>
      </c>
      <c r="O7" s="97">
        <f t="shared" si="0"/>
        <v>201.47058823529412</v>
      </c>
      <c r="P7" s="94">
        <v>204</v>
      </c>
      <c r="Q7" s="78">
        <v>41100</v>
      </c>
    </row>
    <row r="8" spans="1:17" x14ac:dyDescent="0.45">
      <c r="A8" s="37" t="s">
        <v>3</v>
      </c>
      <c r="B8" s="34">
        <v>110</v>
      </c>
      <c r="C8" s="31">
        <f t="shared" si="1"/>
        <v>0.33434650455927051</v>
      </c>
      <c r="E8" s="44" t="s">
        <v>69</v>
      </c>
      <c r="F8" s="41" t="s">
        <v>24</v>
      </c>
      <c r="G8" s="34">
        <v>133</v>
      </c>
      <c r="H8" s="107">
        <f>IF(B$47=0,0,G8/B$47)</f>
        <v>0.17972972972972973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120</v>
      </c>
      <c r="C9" s="7">
        <f t="shared" si="1"/>
        <v>0.36474164133738601</v>
      </c>
      <c r="E9" s="44" t="s">
        <v>89</v>
      </c>
      <c r="F9" s="41" t="s">
        <v>44</v>
      </c>
      <c r="G9" s="34">
        <v>123</v>
      </c>
      <c r="H9" s="107">
        <f>IF(B$47=0,0,G9/B$47)</f>
        <v>0.16621621621621621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45</v>
      </c>
      <c r="C10" s="32">
        <f t="shared" si="1"/>
        <v>0.13677811550151975</v>
      </c>
      <c r="E10" s="44" t="s">
        <v>65</v>
      </c>
      <c r="F10" s="41" t="s">
        <v>21</v>
      </c>
      <c r="G10" s="34">
        <v>91</v>
      </c>
      <c r="H10" s="107">
        <f>IF(B$47=0,0,G10/B$47)</f>
        <v>0.12297297297297298</v>
      </c>
      <c r="I10" s="68">
        <v>5</v>
      </c>
      <c r="K10" s="5">
        <v>8</v>
      </c>
      <c r="L10" s="73">
        <v>-146</v>
      </c>
      <c r="N10" s="88" t="s">
        <v>149</v>
      </c>
      <c r="O10" s="98">
        <f>IF(P10=0,0,Q10/P10)</f>
        <v>-3.4564356435643577</v>
      </c>
      <c r="P10" s="92">
        <v>101</v>
      </c>
      <c r="Q10" s="80">
        <v>-349.10000000000014</v>
      </c>
    </row>
    <row r="11" spans="1:17" x14ac:dyDescent="0.45">
      <c r="A11" s="40" t="s">
        <v>121</v>
      </c>
      <c r="B11" s="16">
        <v>777</v>
      </c>
      <c r="C11" s="11">
        <f>IF(B$46=0,0,B11/B$46)</f>
        <v>0.29804372842347526</v>
      </c>
      <c r="E11" s="44" t="s">
        <v>70</v>
      </c>
      <c r="F11" s="41" t="s">
        <v>25</v>
      </c>
      <c r="G11" s="34">
        <v>83</v>
      </c>
      <c r="H11" s="107">
        <f>IF(B$47=0,0,G11/B$47)</f>
        <v>0.11216216216216217</v>
      </c>
      <c r="I11" s="68">
        <v>4</v>
      </c>
      <c r="K11" s="5">
        <v>9</v>
      </c>
      <c r="L11" s="73">
        <v>-173</v>
      </c>
      <c r="N11" s="89" t="s">
        <v>150</v>
      </c>
      <c r="O11" s="99">
        <f>IF(P11=0,0,Q11/P11)</f>
        <v>2.0448818897637797</v>
      </c>
      <c r="P11" s="93">
        <v>127</v>
      </c>
      <c r="Q11" s="81">
        <v>259.70000000000005</v>
      </c>
    </row>
    <row r="12" spans="1:17" x14ac:dyDescent="0.45">
      <c r="A12" s="37" t="s">
        <v>118</v>
      </c>
      <c r="B12" s="34">
        <v>484</v>
      </c>
      <c r="C12" s="31">
        <f>IF(B$46=0,0,B12/B$46)</f>
        <v>0.18565400843881857</v>
      </c>
      <c r="E12" s="44" t="s">
        <v>86</v>
      </c>
      <c r="F12" s="41" t="s">
        <v>41</v>
      </c>
      <c r="G12" s="34">
        <v>49</v>
      </c>
      <c r="H12" s="107">
        <f>IF(B$47=0,0,G12/B$47)</f>
        <v>6.621621621621622E-2</v>
      </c>
      <c r="I12" s="68">
        <v>8</v>
      </c>
      <c r="K12" s="5">
        <v>10</v>
      </c>
      <c r="L12" s="73">
        <v>-206.1</v>
      </c>
      <c r="N12" s="90" t="s">
        <v>151</v>
      </c>
      <c r="O12" s="100">
        <f>IF(P12=0,0,Q12/P12)</f>
        <v>0.41122448979591864</v>
      </c>
      <c r="P12" s="94">
        <v>98</v>
      </c>
      <c r="Q12" s="82">
        <v>40.300000000000026</v>
      </c>
    </row>
    <row r="13" spans="1:17" x14ac:dyDescent="0.45">
      <c r="A13" s="19" t="s">
        <v>123</v>
      </c>
      <c r="B13" s="13">
        <v>440</v>
      </c>
      <c r="C13" s="4">
        <f>IF(B$11=0,0,B13/B$11)</f>
        <v>0.56628056628056633</v>
      </c>
      <c r="E13" s="44" t="s">
        <v>71</v>
      </c>
      <c r="F13" s="41" t="s">
        <v>26</v>
      </c>
      <c r="G13" s="34">
        <v>34</v>
      </c>
      <c r="H13" s="107">
        <f>IF(B$47=0,0,G13/B$47)</f>
        <v>4.5945945945945948E-2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194</v>
      </c>
      <c r="C14" s="4">
        <f>IF(B$12=0,0,B14/B$12)</f>
        <v>0.40082644628099173</v>
      </c>
      <c r="E14" s="44" t="s">
        <v>83</v>
      </c>
      <c r="F14" s="41" t="s">
        <v>38</v>
      </c>
      <c r="G14" s="34">
        <v>26</v>
      </c>
      <c r="H14" s="107">
        <f>IF(B$47=0,0,G14/B$47)</f>
        <v>3.5135135135135137E-2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750</v>
      </c>
      <c r="C15" s="4">
        <f>IF(B$3=0,0,B15/B$3)</f>
        <v>0.28366111951588502</v>
      </c>
      <c r="E15" s="44" t="s">
        <v>78</v>
      </c>
      <c r="F15" s="41" t="s">
        <v>33</v>
      </c>
      <c r="G15" s="34">
        <v>24</v>
      </c>
      <c r="H15" s="107">
        <f>IF(B$47=0,0,G15/B$47)</f>
        <v>3.2432432432432434E-2</v>
      </c>
      <c r="I15" s="68">
        <v>4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13</v>
      </c>
      <c r="B16" s="34">
        <v>489</v>
      </c>
      <c r="C16" s="31">
        <f>IF(B$3=0,0,B16/B$3)</f>
        <v>0.18494704992435704</v>
      </c>
      <c r="E16" s="44" t="s">
        <v>153</v>
      </c>
      <c r="F16" s="41" t="s">
        <v>154</v>
      </c>
      <c r="G16" s="34">
        <v>21</v>
      </c>
      <c r="H16" s="107">
        <f>IF(B$47=0,0,G16/B$47)</f>
        <v>2.837837837837838E-2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37" t="s">
        <v>12</v>
      </c>
      <c r="B17" s="34">
        <v>335</v>
      </c>
      <c r="C17" s="31">
        <f>IF(B$15=0,0,B17/B$15)</f>
        <v>0.44666666666666666</v>
      </c>
      <c r="E17" s="44" t="s">
        <v>91</v>
      </c>
      <c r="F17" s="41" t="s">
        <v>46</v>
      </c>
      <c r="G17" s="34">
        <v>20</v>
      </c>
      <c r="H17" s="107">
        <f>IF(B$47=0,0,G17/B$47)</f>
        <v>2.7027027027027029E-2</v>
      </c>
      <c r="I17" s="68">
        <v>2</v>
      </c>
      <c r="K17" s="5">
        <v>15</v>
      </c>
      <c r="L17" s="73">
        <v>-212.5</v>
      </c>
      <c r="N17" s="89" t="s">
        <v>188</v>
      </c>
      <c r="O17" s="99">
        <f>IF(P17=0,0,Q17/P17)</f>
        <v>12.068421052631576</v>
      </c>
      <c r="P17" s="93">
        <v>57</v>
      </c>
      <c r="Q17" s="81">
        <v>687.89999999999986</v>
      </c>
    </row>
    <row r="18" spans="1:17" x14ac:dyDescent="0.45">
      <c r="A18" s="37" t="s">
        <v>11</v>
      </c>
      <c r="B18" s="34">
        <v>415</v>
      </c>
      <c r="C18" s="31">
        <f>IF(B$15=0,0,B18/B$15)</f>
        <v>0.55333333333333334</v>
      </c>
      <c r="E18" s="44" t="s">
        <v>81</v>
      </c>
      <c r="F18" s="41" t="s">
        <v>36</v>
      </c>
      <c r="G18" s="34">
        <v>18</v>
      </c>
      <c r="H18" s="107">
        <f>IF(B$47=0,0,G18/B$47)</f>
        <v>2.4324324324324326E-2</v>
      </c>
      <c r="I18" s="68">
        <v>8</v>
      </c>
      <c r="K18" s="5">
        <v>16</v>
      </c>
      <c r="L18" s="73">
        <v>-233.2</v>
      </c>
      <c r="N18" s="89" t="s">
        <v>194</v>
      </c>
      <c r="O18" s="99">
        <f>IF(P18=0,0,Q18/P18)</f>
        <v>11.2125</v>
      </c>
      <c r="P18" s="93">
        <v>16</v>
      </c>
      <c r="Q18" s="81">
        <v>179.4</v>
      </c>
    </row>
    <row r="19" spans="1:17" x14ac:dyDescent="0.45">
      <c r="A19" s="37" t="s">
        <v>180</v>
      </c>
      <c r="B19" s="34">
        <v>440</v>
      </c>
      <c r="C19" s="31">
        <f>IF(B$15=0,0,B19/B$15)</f>
        <v>0.58666666666666667</v>
      </c>
      <c r="E19" s="44" t="s">
        <v>79</v>
      </c>
      <c r="F19" s="41" t="s">
        <v>34</v>
      </c>
      <c r="G19" s="34">
        <v>12</v>
      </c>
      <c r="H19" s="107">
        <f>IF(B$47=0,0,G19/B$47)</f>
        <v>1.6216216216216217E-2</v>
      </c>
      <c r="I19" s="68">
        <v>7</v>
      </c>
      <c r="K19" s="5">
        <v>17</v>
      </c>
      <c r="L19" s="73">
        <v>-268.7</v>
      </c>
      <c r="N19" s="89" t="s">
        <v>197</v>
      </c>
      <c r="O19" s="99">
        <f>IF(P19=0,0,Q19/P19)</f>
        <v>9.7285714285714313</v>
      </c>
      <c r="P19" s="93">
        <v>21</v>
      </c>
      <c r="Q19" s="81">
        <v>204.30000000000004</v>
      </c>
    </row>
    <row r="20" spans="1:17" x14ac:dyDescent="0.45">
      <c r="A20" s="37" t="s">
        <v>178</v>
      </c>
      <c r="B20" s="34">
        <v>194</v>
      </c>
      <c r="C20" s="31">
        <f>IF(B$15=0,0,B20/B$15)</f>
        <v>0.25866666666666666</v>
      </c>
      <c r="E20" s="44" t="s">
        <v>73</v>
      </c>
      <c r="F20" s="41" t="s">
        <v>28</v>
      </c>
      <c r="G20" s="34">
        <v>9</v>
      </c>
      <c r="H20" s="107">
        <f>IF(B$47=0,0,G20/B$47)</f>
        <v>1.2162162162162163E-2</v>
      </c>
      <c r="I20" s="68">
        <v>3</v>
      </c>
      <c r="K20" s="5">
        <v>18</v>
      </c>
      <c r="L20" s="73">
        <v>-295.8</v>
      </c>
      <c r="N20" s="89" t="s">
        <v>186</v>
      </c>
      <c r="O20" s="99">
        <f>IF(P20=0,0,Q20/P20)</f>
        <v>6.6903225806451596</v>
      </c>
      <c r="P20" s="93">
        <v>31</v>
      </c>
      <c r="Q20" s="81">
        <v>207.39999999999995</v>
      </c>
    </row>
    <row r="21" spans="1:17" x14ac:dyDescent="0.45">
      <c r="A21" s="37" t="s">
        <v>179</v>
      </c>
      <c r="B21" s="34">
        <v>116</v>
      </c>
      <c r="C21" s="31">
        <f>IF(B$15=0,0,B21/B$15)</f>
        <v>0.15466666666666667</v>
      </c>
      <c r="E21" s="44" t="s">
        <v>92</v>
      </c>
      <c r="F21" s="41" t="s">
        <v>47</v>
      </c>
      <c r="G21" s="34">
        <v>8</v>
      </c>
      <c r="H21" s="107">
        <f>IF(B$47=0,0,G21/B$47)</f>
        <v>1.0810810810810811E-2</v>
      </c>
      <c r="I21" s="68">
        <v>2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5</v>
      </c>
      <c r="B22" s="17">
        <f>IF(B$15=0,0,C22/B$15)</f>
        <v>10464.799999999999</v>
      </c>
      <c r="C22" s="8">
        <v>7848600</v>
      </c>
      <c r="E22" s="44" t="s">
        <v>75</v>
      </c>
      <c r="F22" s="41" t="s">
        <v>30</v>
      </c>
      <c r="G22" s="34">
        <v>7</v>
      </c>
      <c r="H22" s="107">
        <f>IF(B$47=0,0,G22/B$47)</f>
        <v>9.45945945945946E-3</v>
      </c>
      <c r="I22" s="68">
        <v>2</v>
      </c>
      <c r="K22" s="5">
        <v>20</v>
      </c>
      <c r="L22" s="73">
        <v>-270</v>
      </c>
      <c r="N22" s="89" t="s">
        <v>193</v>
      </c>
      <c r="O22" s="99">
        <f>IF(P22=0,0,Q22/P22)</f>
        <v>-1.5655462184873989</v>
      </c>
      <c r="P22" s="93">
        <v>119</v>
      </c>
      <c r="Q22" s="81">
        <v>-186.30000000000047</v>
      </c>
    </row>
    <row r="23" spans="1:17" x14ac:dyDescent="0.45">
      <c r="A23" s="38" t="s">
        <v>162</v>
      </c>
      <c r="B23" s="114">
        <f>IF($B$15-B$14=0,0,C23/($B$15-B$14))</f>
        <v>11246.942446043166</v>
      </c>
      <c r="C23" s="115">
        <v>6253300</v>
      </c>
      <c r="E23" s="44" t="s">
        <v>77</v>
      </c>
      <c r="F23" s="41" t="s">
        <v>32</v>
      </c>
      <c r="G23" s="34">
        <v>4</v>
      </c>
      <c r="H23" s="107">
        <f>IF(B$47=0,0,G23/B$47)</f>
        <v>5.4054054054054057E-3</v>
      </c>
      <c r="I23" s="68">
        <v>5</v>
      </c>
      <c r="K23" s="5">
        <v>21</v>
      </c>
      <c r="L23" s="73">
        <v>-242</v>
      </c>
      <c r="N23" s="89" t="s">
        <v>190</v>
      </c>
      <c r="O23" s="99">
        <f>IF(P23=0,0,Q23/P23)</f>
        <v>-2.5029411764705887</v>
      </c>
      <c r="P23" s="93">
        <v>102</v>
      </c>
      <c r="Q23" s="81">
        <v>-255.30000000000004</v>
      </c>
    </row>
    <row r="24" spans="1:17" x14ac:dyDescent="0.45">
      <c r="A24" s="38" t="s">
        <v>163</v>
      </c>
      <c r="B24" s="114">
        <f>IF(B$14=0,0,C24/B$14)</f>
        <v>8223.1958762886607</v>
      </c>
      <c r="C24" s="115">
        <v>1595300</v>
      </c>
      <c r="E24" s="44" t="s">
        <v>84</v>
      </c>
      <c r="F24" s="41" t="s">
        <v>39</v>
      </c>
      <c r="G24" s="34">
        <v>4</v>
      </c>
      <c r="H24" s="107">
        <f>IF(B$47=0,0,G24/B$47)</f>
        <v>5.4054054054054057E-3</v>
      </c>
      <c r="I24" s="68">
        <v>1</v>
      </c>
      <c r="K24" s="5">
        <v>22</v>
      </c>
      <c r="L24" s="73">
        <v>-202.9</v>
      </c>
      <c r="N24" s="89" t="s">
        <v>187</v>
      </c>
      <c r="O24" s="99">
        <f>IF(P24=0,0,Q24/P24)</f>
        <v>-2.6516853932584281</v>
      </c>
      <c r="P24" s="93">
        <v>89</v>
      </c>
      <c r="Q24" s="81">
        <v>-236.00000000000011</v>
      </c>
    </row>
    <row r="25" spans="1:17" x14ac:dyDescent="0.45">
      <c r="A25" s="38" t="s">
        <v>161</v>
      </c>
      <c r="B25" s="114">
        <f>IF(B$16=0,0,C25/B$16)</f>
        <v>-8840.4907975460119</v>
      </c>
      <c r="C25" s="115">
        <v>-4323000</v>
      </c>
      <c r="E25" s="44" t="s">
        <v>93</v>
      </c>
      <c r="F25" s="41" t="s">
        <v>48</v>
      </c>
      <c r="G25" s="34">
        <v>4</v>
      </c>
      <c r="H25" s="107">
        <f>IF(B$47=0,0,G25/B$47)</f>
        <v>5.4054054054054057E-3</v>
      </c>
      <c r="I25" s="68">
        <v>2</v>
      </c>
      <c r="K25" s="5">
        <v>23</v>
      </c>
      <c r="L25" s="73">
        <v>-200.9</v>
      </c>
      <c r="N25" s="89" t="s">
        <v>189</v>
      </c>
      <c r="O25" s="99">
        <f>IF(P25=0,0,Q25/P25)</f>
        <v>-3.9666666666666663</v>
      </c>
      <c r="P25" s="93">
        <v>3</v>
      </c>
      <c r="Q25" s="81">
        <v>-11.899999999999999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2</v>
      </c>
      <c r="H26" s="107">
        <f>IF(B$47=0,0,G26/B$47)</f>
        <v>2.7027027027027029E-3</v>
      </c>
      <c r="I26" s="68">
        <v>5</v>
      </c>
      <c r="K26" s="5">
        <v>24</v>
      </c>
      <c r="L26" s="73">
        <v>-168.2</v>
      </c>
      <c r="N26" s="89" t="s">
        <v>195</v>
      </c>
      <c r="O26" s="99">
        <f>IF(P26=0,0,Q26/P26)</f>
        <v>-5.6399014778325114</v>
      </c>
      <c r="P26" s="93">
        <v>203</v>
      </c>
      <c r="Q26" s="81">
        <v>-1144.8999999999999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87</v>
      </c>
      <c r="F27" s="41" t="s">
        <v>42</v>
      </c>
      <c r="G27" s="34">
        <v>2</v>
      </c>
      <c r="H27" s="107">
        <f>IF(B$47=0,0,G27/B$47)</f>
        <v>2.7027027027027029E-3</v>
      </c>
      <c r="I27" s="68">
        <v>3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64" t="s">
        <v>134</v>
      </c>
      <c r="B28" s="139">
        <v>8</v>
      </c>
      <c r="C28" s="140"/>
      <c r="E28" s="44" t="s">
        <v>90</v>
      </c>
      <c r="F28" s="41" t="s">
        <v>45</v>
      </c>
      <c r="G28" s="34">
        <v>2</v>
      </c>
      <c r="H28" s="107">
        <f>IF(B$47=0,0,G28/B$47)</f>
        <v>2.7027027027027029E-3</v>
      </c>
      <c r="I28" s="68">
        <v>3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40" t="s">
        <v>177</v>
      </c>
      <c r="B29" s="137">
        <v>124700</v>
      </c>
      <c r="C29" s="138"/>
      <c r="E29" s="44" t="s">
        <v>74</v>
      </c>
      <c r="F29" s="41" t="s">
        <v>29</v>
      </c>
      <c r="G29" s="34">
        <v>1</v>
      </c>
      <c r="H29" s="107">
        <f>IF(B$47=0,0,G29/B$47)</f>
        <v>1.3513513513513514E-3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9" t="s">
        <v>135</v>
      </c>
      <c r="B30" s="27">
        <v>9</v>
      </c>
      <c r="C30" s="32">
        <f>IF(B$3=0,0,B30/B$3)</f>
        <v>3.4039334341906201E-3</v>
      </c>
      <c r="E30" s="44" t="s">
        <v>97</v>
      </c>
      <c r="F30" s="41" t="s">
        <v>52</v>
      </c>
      <c r="G30" s="34">
        <v>1</v>
      </c>
      <c r="H30" s="107">
        <f>IF(B$47=0,0,G30/B$47)</f>
        <v>1.3513513513513514E-3</v>
      </c>
      <c r="I30" s="68">
        <v>2</v>
      </c>
      <c r="K30" s="5">
        <v>28</v>
      </c>
      <c r="L30" s="73">
        <v>-290.19999999999993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-239.19999999999993</v>
      </c>
    </row>
    <row r="32" spans="1:17" x14ac:dyDescent="0.45">
      <c r="A32" s="64" t="s">
        <v>168</v>
      </c>
      <c r="B32" s="121">
        <v>25</v>
      </c>
      <c r="C32" s="119">
        <f>IF(B$15=0,0,B32/B$15)</f>
        <v>3.3333333333333333E-2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-257.29999999999995</v>
      </c>
    </row>
    <row r="33" spans="1:12" x14ac:dyDescent="0.45">
      <c r="A33" s="37" t="s">
        <v>164</v>
      </c>
      <c r="B33" s="34">
        <v>78</v>
      </c>
      <c r="C33" s="31">
        <f t="shared" ref="C33:C44" si="2">IF(B$15=0,0,B33/B$15)</f>
        <v>0.104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5">
      <c r="A34" s="37" t="s">
        <v>165</v>
      </c>
      <c r="B34" s="124">
        <v>110</v>
      </c>
      <c r="C34" s="31">
        <f>IF(B$15=0,0,B34/B$15)</f>
        <v>0.14666666666666667</v>
      </c>
      <c r="E34" s="44" t="s">
        <v>88</v>
      </c>
      <c r="F34" s="41" t="s">
        <v>43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-283.89999999999998</v>
      </c>
    </row>
    <row r="35" spans="1:12" x14ac:dyDescent="0.45">
      <c r="A35" s="37" t="s">
        <v>166</v>
      </c>
      <c r="B35" s="124">
        <v>146</v>
      </c>
      <c r="C35" s="31">
        <f t="shared" si="2"/>
        <v>0.19466666666666665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37" t="s">
        <v>167</v>
      </c>
      <c r="B36" s="124">
        <v>142</v>
      </c>
      <c r="C36" s="31">
        <f t="shared" si="2"/>
        <v>0.18933333333333333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-301.69999999999993</v>
      </c>
    </row>
    <row r="37" spans="1:12" x14ac:dyDescent="0.45">
      <c r="A37" s="37" t="s">
        <v>169</v>
      </c>
      <c r="B37" s="124">
        <v>82</v>
      </c>
      <c r="C37" s="31">
        <f t="shared" si="2"/>
        <v>0.10933333333333334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170</v>
      </c>
      <c r="B38" s="124">
        <v>62</v>
      </c>
      <c r="C38" s="31">
        <f t="shared" si="2"/>
        <v>8.2666666666666666E-2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171</v>
      </c>
      <c r="B39" s="124">
        <v>36</v>
      </c>
      <c r="C39" s="31">
        <f t="shared" si="2"/>
        <v>4.8000000000000001E-2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172</v>
      </c>
      <c r="B40" s="124">
        <v>23</v>
      </c>
      <c r="C40" s="31">
        <f t="shared" si="2"/>
        <v>3.0666666666666665E-2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173</v>
      </c>
      <c r="B41" s="124">
        <v>11</v>
      </c>
      <c r="C41" s="31">
        <f t="shared" si="2"/>
        <v>1.4666666666666666E-2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174</v>
      </c>
      <c r="B42" s="124">
        <v>7</v>
      </c>
      <c r="C42" s="31">
        <f t="shared" si="2"/>
        <v>9.3333333333333341E-3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175</v>
      </c>
      <c r="B43" s="124">
        <v>3</v>
      </c>
      <c r="C43" s="31">
        <f t="shared" si="2"/>
        <v>4.0000000000000001E-3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9" t="s">
        <v>176</v>
      </c>
      <c r="B44" s="120">
        <v>15</v>
      </c>
      <c r="C44" s="32">
        <f t="shared" si="2"/>
        <v>0.02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64" t="s">
        <v>181</v>
      </c>
      <c r="B46" s="127">
        <v>2607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9" t="s">
        <v>182</v>
      </c>
      <c r="B47" s="135">
        <v>740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5">
      <c r="K53" s="5">
        <v>51</v>
      </c>
      <c r="L53" s="73">
        <v>-409.99999999999994</v>
      </c>
    </row>
    <row r="54" spans="5:12" x14ac:dyDescent="0.45">
      <c r="K54" s="5">
        <v>52</v>
      </c>
      <c r="L54" s="73">
        <v>-426.39999999999992</v>
      </c>
    </row>
    <row r="55" spans="5:12" x14ac:dyDescent="0.45">
      <c r="K55" s="5">
        <v>53</v>
      </c>
      <c r="L55" s="73">
        <v>-399.89999999999992</v>
      </c>
    </row>
    <row r="56" spans="5:12" x14ac:dyDescent="0.45">
      <c r="K56" s="5">
        <v>54</v>
      </c>
      <c r="L56" s="73">
        <v>-411.19999999999993</v>
      </c>
    </row>
    <row r="57" spans="5:12" x14ac:dyDescent="0.45">
      <c r="K57" s="5">
        <v>55</v>
      </c>
      <c r="L57" s="73">
        <v>-420.49999999999994</v>
      </c>
    </row>
    <row r="58" spans="5:12" x14ac:dyDescent="0.45">
      <c r="K58" s="5">
        <v>56</v>
      </c>
      <c r="L58" s="73">
        <v>-395.39999999999992</v>
      </c>
    </row>
    <row r="59" spans="5:12" x14ac:dyDescent="0.45">
      <c r="K59" s="5">
        <v>57</v>
      </c>
      <c r="L59" s="73">
        <v>-428.89999999999992</v>
      </c>
    </row>
    <row r="60" spans="5:12" x14ac:dyDescent="0.45">
      <c r="K60" s="5">
        <v>58</v>
      </c>
      <c r="L60" s="73">
        <v>-466.39999999999992</v>
      </c>
    </row>
    <row r="61" spans="5:12" x14ac:dyDescent="0.45">
      <c r="K61" s="5">
        <v>59</v>
      </c>
      <c r="L61" s="73">
        <v>-475.7999999999999</v>
      </c>
    </row>
    <row r="62" spans="5:12" x14ac:dyDescent="0.45">
      <c r="K62" s="5">
        <v>60</v>
      </c>
      <c r="L62" s="73">
        <v>-475.2999999999999</v>
      </c>
    </row>
    <row r="63" spans="5:12" x14ac:dyDescent="0.45">
      <c r="K63" s="5">
        <v>61</v>
      </c>
      <c r="L63" s="73">
        <v>-487.39999999999992</v>
      </c>
    </row>
    <row r="64" spans="5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E525F-61CC-426C-8F79-8BD5555E2671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29">
        <v>69</v>
      </c>
      <c r="C3" s="130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13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1">
        <v>109</v>
      </c>
      <c r="C4" s="132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3">
        <f>IF(B$2=0,0,B$4/B$2)</f>
        <v>12.111111111111111</v>
      </c>
      <c r="C5" s="134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4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41">
        <f>IF(B$2=0,0,(B$7*1+B$8*2+B$9*3)/B$2)</f>
        <v>1.6666666666666667</v>
      </c>
      <c r="C6" s="142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16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4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2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4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3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10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13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13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14</v>
      </c>
    </row>
    <row r="24" spans="1:17" x14ac:dyDescent="0.45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5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8</v>
      </c>
    </row>
    <row r="28" spans="1:17" x14ac:dyDescent="0.45">
      <c r="A28" s="64" t="s">
        <v>134</v>
      </c>
      <c r="B28" s="139">
        <v>5</v>
      </c>
      <c r="C28" s="140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9</v>
      </c>
    </row>
    <row r="29" spans="1:17" x14ac:dyDescent="0.45">
      <c r="A29" s="40" t="s">
        <v>177</v>
      </c>
      <c r="B29" s="137">
        <v>78000</v>
      </c>
      <c r="C29" s="138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24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EA15F-54CC-400D-9DFF-BC6CDD1013ED}">
  <sheetPr codeName="Sheet15"/>
  <dimension ref="A1:Q26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262</v>
      </c>
      <c r="C2" s="128"/>
      <c r="E2" s="43" t="s">
        <v>66</v>
      </c>
      <c r="F2" s="25" t="s">
        <v>22</v>
      </c>
      <c r="G2" s="13">
        <v>393</v>
      </c>
      <c r="H2" s="106">
        <f>IF(B$47=0,0,G2/B$47)</f>
        <v>0.68229166666666663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82.061068702290072</v>
      </c>
      <c r="P2" s="92">
        <v>262</v>
      </c>
      <c r="Q2" s="76">
        <v>21500</v>
      </c>
    </row>
    <row r="3" spans="1:17" x14ac:dyDescent="0.45">
      <c r="A3" s="37" t="s">
        <v>8</v>
      </c>
      <c r="B3" s="129">
        <v>2132</v>
      </c>
      <c r="C3" s="130"/>
      <c r="E3" s="44" t="s">
        <v>64</v>
      </c>
      <c r="F3" s="41" t="s">
        <v>20</v>
      </c>
      <c r="G3" s="34">
        <v>306</v>
      </c>
      <c r="H3" s="107">
        <f>IF(B$47=0,0,G3/B$47)</f>
        <v>0.53125</v>
      </c>
      <c r="I3" s="68">
        <v>6</v>
      </c>
      <c r="K3" s="5">
        <v>1</v>
      </c>
      <c r="L3" s="73">
        <v>15</v>
      </c>
      <c r="N3" s="89" t="s">
        <v>127</v>
      </c>
      <c r="O3" s="96">
        <f t="shared" si="0"/>
        <v>685.0980392156863</v>
      </c>
      <c r="P3" s="93">
        <v>255</v>
      </c>
      <c r="Q3" s="77">
        <v>174700</v>
      </c>
    </row>
    <row r="4" spans="1:17" x14ac:dyDescent="0.45">
      <c r="A4" s="37" t="s">
        <v>6</v>
      </c>
      <c r="B4" s="131">
        <v>-311.20000000000005</v>
      </c>
      <c r="C4" s="132"/>
      <c r="E4" s="44" t="s">
        <v>72</v>
      </c>
      <c r="F4" s="41" t="s">
        <v>27</v>
      </c>
      <c r="G4" s="34">
        <v>306</v>
      </c>
      <c r="H4" s="107">
        <f>IF(B$47=0,0,G4/B$47)</f>
        <v>0.53125</v>
      </c>
      <c r="I4" s="68">
        <v>12</v>
      </c>
      <c r="K4" s="5">
        <v>2</v>
      </c>
      <c r="L4" s="73">
        <v>-24.299999999999997</v>
      </c>
      <c r="N4" s="89" t="s">
        <v>128</v>
      </c>
      <c r="O4" s="96">
        <f t="shared" si="0"/>
        <v>-727.31092436974791</v>
      </c>
      <c r="P4" s="93">
        <v>238</v>
      </c>
      <c r="Q4" s="77">
        <v>-173100</v>
      </c>
    </row>
    <row r="5" spans="1:17" x14ac:dyDescent="0.45">
      <c r="A5" s="37" t="s">
        <v>7</v>
      </c>
      <c r="B5" s="133">
        <f>IF(B$2=0,0,B$4/B$2)</f>
        <v>-1.1877862595419848</v>
      </c>
      <c r="C5" s="134"/>
      <c r="E5" s="44" t="s">
        <v>157</v>
      </c>
      <c r="F5" s="41" t="s">
        <v>158</v>
      </c>
      <c r="G5" s="34">
        <v>233</v>
      </c>
      <c r="H5" s="107">
        <f>IF(B$47=0,0,G5/B$47)</f>
        <v>0.4045138888888889</v>
      </c>
      <c r="I5" s="68">
        <v>2</v>
      </c>
      <c r="K5" s="5">
        <v>3</v>
      </c>
      <c r="L5" s="73">
        <v>-15.599999999999998</v>
      </c>
      <c r="N5" s="89" t="s">
        <v>129</v>
      </c>
      <c r="O5" s="96">
        <f t="shared" si="0"/>
        <v>-71.818181818181813</v>
      </c>
      <c r="P5" s="93">
        <v>220</v>
      </c>
      <c r="Q5" s="77">
        <v>-15800</v>
      </c>
    </row>
    <row r="6" spans="1:17" x14ac:dyDescent="0.45">
      <c r="A6" s="37" t="s">
        <v>1</v>
      </c>
      <c r="B6" s="141">
        <f>IF(B$2=0,0,(B$7*1+B$8*2+B$9*3)/B$2)</f>
        <v>2.053435114503817</v>
      </c>
      <c r="C6" s="142"/>
      <c r="E6" s="44" t="s">
        <v>67</v>
      </c>
      <c r="F6" s="41" t="s">
        <v>23</v>
      </c>
      <c r="G6" s="34">
        <v>212</v>
      </c>
      <c r="H6" s="107">
        <f>IF(B$47=0,0,G6/B$47)</f>
        <v>0.36805555555555558</v>
      </c>
      <c r="I6" s="68">
        <v>6</v>
      </c>
      <c r="K6" s="5">
        <v>4</v>
      </c>
      <c r="L6" s="73">
        <v>5.1000000000000014</v>
      </c>
      <c r="N6" s="89" t="s">
        <v>130</v>
      </c>
      <c r="O6" s="96">
        <f t="shared" si="0"/>
        <v>-1462.8140703517588</v>
      </c>
      <c r="P6" s="93">
        <v>199</v>
      </c>
      <c r="Q6" s="77">
        <v>-291100</v>
      </c>
    </row>
    <row r="7" spans="1:17" x14ac:dyDescent="0.45">
      <c r="A7" s="37" t="s">
        <v>2</v>
      </c>
      <c r="B7" s="34">
        <v>74</v>
      </c>
      <c r="C7" s="31">
        <f t="shared" ref="C7:C10" si="1">IF(B$2=0,0,B7/B$2)</f>
        <v>0.28244274809160308</v>
      </c>
      <c r="E7" s="44" t="s">
        <v>68</v>
      </c>
      <c r="F7" s="41" t="s">
        <v>12</v>
      </c>
      <c r="G7" s="34">
        <v>185</v>
      </c>
      <c r="H7" s="107">
        <f>IF(B$47=0,0,G7/B$47)</f>
        <v>0.32118055555555558</v>
      </c>
      <c r="I7" s="68">
        <v>8</v>
      </c>
      <c r="K7" s="5">
        <v>5</v>
      </c>
      <c r="L7" s="73">
        <v>9.6000000000000014</v>
      </c>
      <c r="N7" s="90" t="s">
        <v>131</v>
      </c>
      <c r="O7" s="97">
        <f t="shared" si="0"/>
        <v>-189.69696969696969</v>
      </c>
      <c r="P7" s="94">
        <v>165</v>
      </c>
      <c r="Q7" s="78">
        <v>-31300</v>
      </c>
    </row>
    <row r="8" spans="1:17" x14ac:dyDescent="0.45">
      <c r="A8" s="37" t="s">
        <v>3</v>
      </c>
      <c r="B8" s="34">
        <v>100</v>
      </c>
      <c r="C8" s="31">
        <f t="shared" si="1"/>
        <v>0.38167938931297712</v>
      </c>
      <c r="E8" s="44" t="s">
        <v>69</v>
      </c>
      <c r="F8" s="41" t="s">
        <v>24</v>
      </c>
      <c r="G8" s="34">
        <v>78</v>
      </c>
      <c r="H8" s="107">
        <f>IF(B$47=0,0,G8/B$47)</f>
        <v>0.13541666666666666</v>
      </c>
      <c r="I8" s="68">
        <v>11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88</v>
      </c>
      <c r="C9" s="7">
        <f t="shared" si="1"/>
        <v>0.33587786259541985</v>
      </c>
      <c r="E9" s="44" t="s">
        <v>89</v>
      </c>
      <c r="F9" s="41" t="s">
        <v>44</v>
      </c>
      <c r="G9" s="34">
        <v>66</v>
      </c>
      <c r="H9" s="107">
        <f>IF(B$47=0,0,G9/B$47)</f>
        <v>0.11458333333333333</v>
      </c>
      <c r="I9" s="68">
        <v>11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33</v>
      </c>
      <c r="C10" s="32">
        <f t="shared" si="1"/>
        <v>0.12595419847328243</v>
      </c>
      <c r="E10" s="44" t="s">
        <v>65</v>
      </c>
      <c r="F10" s="41" t="s">
        <v>21</v>
      </c>
      <c r="G10" s="34">
        <v>55</v>
      </c>
      <c r="H10" s="107">
        <f>IF(B$47=0,0,G10/B$47)</f>
        <v>9.5486111111111105E-2</v>
      </c>
      <c r="I10" s="68">
        <v>12</v>
      </c>
      <c r="K10" s="5">
        <v>8</v>
      </c>
      <c r="L10" s="73">
        <v>-4.4999999999999964</v>
      </c>
      <c r="N10" s="88" t="s">
        <v>149</v>
      </c>
      <c r="O10" s="98">
        <f>IF(P10=0,0,Q10/P10)</f>
        <v>-3.3881188118811885</v>
      </c>
      <c r="P10" s="92">
        <v>101</v>
      </c>
      <c r="Q10" s="80">
        <v>-342.20000000000005</v>
      </c>
    </row>
    <row r="11" spans="1:17" x14ac:dyDescent="0.45">
      <c r="A11" s="40" t="s">
        <v>121</v>
      </c>
      <c r="B11" s="16">
        <v>535</v>
      </c>
      <c r="C11" s="11">
        <f>IF(B$46=0,0,B11/B$46)</f>
        <v>0.25093808630393999</v>
      </c>
      <c r="E11" s="44" t="s">
        <v>70</v>
      </c>
      <c r="F11" s="41" t="s">
        <v>25</v>
      </c>
      <c r="G11" s="34">
        <v>47</v>
      </c>
      <c r="H11" s="107">
        <f>IF(B$47=0,0,G11/B$47)</f>
        <v>8.1597222222222224E-2</v>
      </c>
      <c r="I11" s="68">
        <v>11</v>
      </c>
      <c r="K11" s="5">
        <v>9</v>
      </c>
      <c r="L11" s="73">
        <v>-9.3999999999999968</v>
      </c>
      <c r="N11" s="89" t="s">
        <v>150</v>
      </c>
      <c r="O11" s="99">
        <f>IF(P11=0,0,Q11/P11)</f>
        <v>0.6024096385542167</v>
      </c>
      <c r="P11" s="93">
        <v>83</v>
      </c>
      <c r="Q11" s="81">
        <v>49.999999999999986</v>
      </c>
    </row>
    <row r="12" spans="1:17" x14ac:dyDescent="0.45">
      <c r="A12" s="37" t="s">
        <v>118</v>
      </c>
      <c r="B12" s="34">
        <v>476</v>
      </c>
      <c r="C12" s="31">
        <f>IF(B$46=0,0,B12/B$46)</f>
        <v>0.22326454033771106</v>
      </c>
      <c r="E12" s="44" t="s">
        <v>71</v>
      </c>
      <c r="F12" s="41" t="s">
        <v>26</v>
      </c>
      <c r="G12" s="34">
        <v>45</v>
      </c>
      <c r="H12" s="107">
        <f>IF(B$47=0,0,G12/B$47)</f>
        <v>7.8125E-2</v>
      </c>
      <c r="I12" s="68">
        <v>5</v>
      </c>
      <c r="K12" s="5">
        <v>10</v>
      </c>
      <c r="L12" s="73">
        <v>-24.299999999999997</v>
      </c>
      <c r="N12" s="90" t="s">
        <v>151</v>
      </c>
      <c r="O12" s="100">
        <f>IF(P12=0,0,Q12/P12)</f>
        <v>-0.24358974358974395</v>
      </c>
      <c r="P12" s="94">
        <v>78</v>
      </c>
      <c r="Q12" s="82">
        <v>-19.000000000000028</v>
      </c>
    </row>
    <row r="13" spans="1:17" x14ac:dyDescent="0.45">
      <c r="A13" s="19" t="s">
        <v>123</v>
      </c>
      <c r="B13" s="13">
        <v>313</v>
      </c>
      <c r="C13" s="4">
        <f>IF(B$11=0,0,B13/B$11)</f>
        <v>0.58504672897196264</v>
      </c>
      <c r="E13" s="44" t="s">
        <v>83</v>
      </c>
      <c r="F13" s="41" t="s">
        <v>38</v>
      </c>
      <c r="G13" s="34">
        <v>33</v>
      </c>
      <c r="H13" s="107">
        <f>IF(B$47=0,0,G13/B$47)</f>
        <v>5.7291666666666664E-2</v>
      </c>
      <c r="I13" s="68">
        <v>6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176</v>
      </c>
      <c r="C14" s="4">
        <f>IF(B$12=0,0,B14/B$12)</f>
        <v>0.36974789915966388</v>
      </c>
      <c r="E14" s="44" t="s">
        <v>86</v>
      </c>
      <c r="F14" s="41" t="s">
        <v>41</v>
      </c>
      <c r="G14" s="34">
        <v>32</v>
      </c>
      <c r="H14" s="107">
        <f>IF(B$47=0,0,G14/B$47)</f>
        <v>5.5555555555555552E-2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576</v>
      </c>
      <c r="C15" s="4">
        <f>IF(B$3=0,0,B15/B$3)</f>
        <v>0.27016885553470921</v>
      </c>
      <c r="E15" s="44" t="s">
        <v>78</v>
      </c>
      <c r="F15" s="41" t="s">
        <v>33</v>
      </c>
      <c r="G15" s="34">
        <v>15</v>
      </c>
      <c r="H15" s="107">
        <f>IF(B$47=0,0,G15/B$47)</f>
        <v>2.6041666666666668E-2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13</v>
      </c>
      <c r="B16" s="34">
        <v>319</v>
      </c>
      <c r="C16" s="31">
        <f>IF(B$3=0,0,B16/B$3)</f>
        <v>0.14962476547842402</v>
      </c>
      <c r="E16" s="44" t="s">
        <v>81</v>
      </c>
      <c r="F16" s="41" t="s">
        <v>36</v>
      </c>
      <c r="G16" s="34">
        <v>14</v>
      </c>
      <c r="H16" s="107">
        <f>IF(B$47=0,0,G16/B$47)</f>
        <v>2.4305555555555556E-2</v>
      </c>
      <c r="I16" s="68">
        <v>9</v>
      </c>
      <c r="K16" s="5">
        <v>14</v>
      </c>
      <c r="L16" s="73">
        <v>-5.7999999999999945</v>
      </c>
      <c r="N16" s="89" t="s">
        <v>197</v>
      </c>
      <c r="O16" s="99">
        <f>IF(P16=0,0,Q16/P16)</f>
        <v>32.171428571428571</v>
      </c>
      <c r="P16" s="93">
        <v>28</v>
      </c>
      <c r="Q16" s="81">
        <v>900.8</v>
      </c>
    </row>
    <row r="17" spans="1:17" x14ac:dyDescent="0.45">
      <c r="A17" s="37" t="s">
        <v>12</v>
      </c>
      <c r="B17" s="34">
        <v>252</v>
      </c>
      <c r="C17" s="31">
        <f>IF(B$15=0,0,B17/B$15)</f>
        <v>0.4375</v>
      </c>
      <c r="E17" s="44" t="s">
        <v>79</v>
      </c>
      <c r="F17" s="41" t="s">
        <v>34</v>
      </c>
      <c r="G17" s="34">
        <v>12</v>
      </c>
      <c r="H17" s="107">
        <f>IF(B$47=0,0,G17/B$47)</f>
        <v>2.0833333333333332E-2</v>
      </c>
      <c r="I17" s="68">
        <v>5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37" t="s">
        <v>11</v>
      </c>
      <c r="B18" s="34">
        <v>324</v>
      </c>
      <c r="C18" s="31">
        <f>IF(B$15=0,0,B18/B$15)</f>
        <v>0.5625</v>
      </c>
      <c r="E18" s="44" t="s">
        <v>91</v>
      </c>
      <c r="F18" s="41" t="s">
        <v>46</v>
      </c>
      <c r="G18" s="34">
        <v>12</v>
      </c>
      <c r="H18" s="107">
        <f>IF(B$47=0,0,G18/B$47)</f>
        <v>2.0833333333333332E-2</v>
      </c>
      <c r="I18" s="68">
        <v>4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37" t="s">
        <v>180</v>
      </c>
      <c r="B19" s="34">
        <v>313</v>
      </c>
      <c r="C19" s="31">
        <f>IF(B$15=0,0,B19/B$15)</f>
        <v>0.54340277777777779</v>
      </c>
      <c r="E19" s="44" t="s">
        <v>85</v>
      </c>
      <c r="F19" s="41" t="s">
        <v>40</v>
      </c>
      <c r="G19" s="34">
        <v>8</v>
      </c>
      <c r="H19" s="107">
        <f>IF(B$47=0,0,G19/B$47)</f>
        <v>1.3888888888888888E-2</v>
      </c>
      <c r="I19" s="68">
        <v>1</v>
      </c>
      <c r="K19" s="5">
        <v>17</v>
      </c>
      <c r="L19" s="73">
        <v>-39.799999999999997</v>
      </c>
      <c r="N19" s="89" t="s">
        <v>186</v>
      </c>
      <c r="O19" s="99">
        <f>IF(P19=0,0,Q19/P19)</f>
        <v>6.2222222222222241</v>
      </c>
      <c r="P19" s="93">
        <v>18</v>
      </c>
      <c r="Q19" s="81">
        <v>112.00000000000003</v>
      </c>
    </row>
    <row r="20" spans="1:17" x14ac:dyDescent="0.45">
      <c r="A20" s="37" t="s">
        <v>178</v>
      </c>
      <c r="B20" s="34">
        <v>176</v>
      </c>
      <c r="C20" s="31">
        <f>IF(B$15=0,0,B20/B$15)</f>
        <v>0.30555555555555558</v>
      </c>
      <c r="E20" s="44" t="s">
        <v>153</v>
      </c>
      <c r="F20" s="41" t="s">
        <v>154</v>
      </c>
      <c r="G20" s="34">
        <v>6</v>
      </c>
      <c r="H20" s="107">
        <f>IF(B$47=0,0,G20/B$47)</f>
        <v>1.0416666666666666E-2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5.2428571428571447</v>
      </c>
      <c r="P20" s="93">
        <v>56</v>
      </c>
      <c r="Q20" s="81">
        <v>293.60000000000008</v>
      </c>
    </row>
    <row r="21" spans="1:17" x14ac:dyDescent="0.45">
      <c r="A21" s="37" t="s">
        <v>179</v>
      </c>
      <c r="B21" s="34">
        <v>87</v>
      </c>
      <c r="C21" s="31">
        <f>IF(B$15=0,0,B21/B$15)</f>
        <v>0.15104166666666666</v>
      </c>
      <c r="E21" s="44" t="s">
        <v>73</v>
      </c>
      <c r="F21" s="41" t="s">
        <v>28</v>
      </c>
      <c r="G21" s="34">
        <v>4</v>
      </c>
      <c r="H21" s="107">
        <f>IF(B$47=0,0,G21/B$47)</f>
        <v>6.9444444444444441E-3</v>
      </c>
      <c r="I21" s="68">
        <v>5</v>
      </c>
      <c r="K21" s="5">
        <v>19</v>
      </c>
      <c r="L21" s="73">
        <v>-60</v>
      </c>
      <c r="N21" s="89" t="s">
        <v>191</v>
      </c>
      <c r="O21" s="99">
        <f>IF(P21=0,0,Q21/P21)</f>
        <v>2.6516853932584281</v>
      </c>
      <c r="P21" s="93">
        <v>89</v>
      </c>
      <c r="Q21" s="81">
        <v>236.00000000000011</v>
      </c>
    </row>
    <row r="22" spans="1:17" x14ac:dyDescent="0.45">
      <c r="A22" s="37" t="s">
        <v>5</v>
      </c>
      <c r="B22" s="17">
        <f>IF(B$15=0,0,C22/B$15)</f>
        <v>8726.5625</v>
      </c>
      <c r="C22" s="8">
        <v>5026500</v>
      </c>
      <c r="E22" s="44" t="s">
        <v>74</v>
      </c>
      <c r="F22" s="41" t="s">
        <v>29</v>
      </c>
      <c r="G22" s="34">
        <v>3</v>
      </c>
      <c r="H22" s="107">
        <f>IF(B$47=0,0,G22/B$47)</f>
        <v>5.208333333333333E-3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8" t="s">
        <v>162</v>
      </c>
      <c r="B23" s="114">
        <f>IF($B$15-B$14=0,0,C23/($B$15-B$14))</f>
        <v>9475.5</v>
      </c>
      <c r="C23" s="115">
        <v>3790200</v>
      </c>
      <c r="E23" s="44" t="s">
        <v>75</v>
      </c>
      <c r="F23" s="41" t="s">
        <v>30</v>
      </c>
      <c r="G23" s="34">
        <v>3</v>
      </c>
      <c r="H23" s="107">
        <f>IF(B$47=0,0,G23/B$47)</f>
        <v>5.208333333333333E-3</v>
      </c>
      <c r="I23" s="68">
        <v>8</v>
      </c>
      <c r="K23" s="5">
        <v>21</v>
      </c>
      <c r="L23" s="73">
        <v>-125.80000000000001</v>
      </c>
      <c r="N23" s="89" t="s">
        <v>193</v>
      </c>
      <c r="O23" s="99">
        <f>IF(P23=0,0,Q23/P23)</f>
        <v>-1.5705357142857146</v>
      </c>
      <c r="P23" s="93">
        <v>112</v>
      </c>
      <c r="Q23" s="81">
        <v>-175.90000000000003</v>
      </c>
    </row>
    <row r="24" spans="1:17" x14ac:dyDescent="0.45">
      <c r="A24" s="38" t="s">
        <v>163</v>
      </c>
      <c r="B24" s="114">
        <f>IF(B$14=0,0,C24/B$14)</f>
        <v>7024.431818181818</v>
      </c>
      <c r="C24" s="115">
        <v>1236300</v>
      </c>
      <c r="E24" s="44" t="s">
        <v>77</v>
      </c>
      <c r="F24" s="41" t="s">
        <v>32</v>
      </c>
      <c r="G24" s="34">
        <v>3</v>
      </c>
      <c r="H24" s="107">
        <f>IF(B$47=0,0,G24/B$47)</f>
        <v>5.208333333333333E-3</v>
      </c>
      <c r="I24" s="68">
        <v>7</v>
      </c>
      <c r="K24" s="5">
        <v>22</v>
      </c>
      <c r="L24" s="73">
        <v>-149.30000000000001</v>
      </c>
      <c r="N24" s="89" t="s">
        <v>188</v>
      </c>
      <c r="O24" s="99">
        <f>IF(P24=0,0,Q24/P24)</f>
        <v>-1.6183333333333334</v>
      </c>
      <c r="P24" s="93">
        <v>60</v>
      </c>
      <c r="Q24" s="81">
        <v>-97.100000000000009</v>
      </c>
    </row>
    <row r="25" spans="1:17" x14ac:dyDescent="0.45">
      <c r="A25" s="38" t="s">
        <v>161</v>
      </c>
      <c r="B25" s="114">
        <f>IF(B$16=0,0,C25/B$16)</f>
        <v>-7542.6332288401254</v>
      </c>
      <c r="C25" s="115">
        <v>-2406100</v>
      </c>
      <c r="E25" s="44" t="s">
        <v>90</v>
      </c>
      <c r="F25" s="41" t="s">
        <v>45</v>
      </c>
      <c r="G25" s="34">
        <v>2</v>
      </c>
      <c r="H25" s="107">
        <f>IF(B$47=0,0,G25/B$47)</f>
        <v>3.472222222222222E-3</v>
      </c>
      <c r="I25" s="68">
        <v>1</v>
      </c>
      <c r="K25" s="5">
        <v>23</v>
      </c>
      <c r="L25" s="73">
        <v>-150.30000000000001</v>
      </c>
      <c r="N25" s="89" t="s">
        <v>195</v>
      </c>
      <c r="O25" s="99">
        <f>IF(P25=0,0,Q25/P25)</f>
        <v>-20.581889763779529</v>
      </c>
      <c r="P25" s="93">
        <v>127</v>
      </c>
      <c r="Q25" s="81">
        <v>-2613.9</v>
      </c>
    </row>
    <row r="26" spans="1:17" x14ac:dyDescent="0.45">
      <c r="A26" s="37" t="s">
        <v>155</v>
      </c>
      <c r="B26" s="34">
        <v>6</v>
      </c>
      <c r="C26" s="109">
        <v>0</v>
      </c>
      <c r="E26" s="44" t="s">
        <v>92</v>
      </c>
      <c r="F26" s="41" t="s">
        <v>47</v>
      </c>
      <c r="G26" s="34">
        <v>2</v>
      </c>
      <c r="H26" s="107">
        <f>IF(B$47=0,0,G26/B$47)</f>
        <v>3.472222222222222E-3</v>
      </c>
      <c r="I26" s="68">
        <v>8</v>
      </c>
      <c r="K26" s="5">
        <v>24</v>
      </c>
      <c r="L26" s="73">
        <v>-196.10000000000002</v>
      </c>
      <c r="N26" s="89" t="s">
        <v>196</v>
      </c>
      <c r="O26" s="99">
        <f>IF(P26=0,0,Q26/P26)</f>
        <v>-45.699999999999996</v>
      </c>
      <c r="P26" s="93">
        <v>3</v>
      </c>
      <c r="Q26" s="81">
        <v>-137.1</v>
      </c>
    </row>
    <row r="27" spans="1:17" x14ac:dyDescent="0.45">
      <c r="A27" s="37" t="s">
        <v>156</v>
      </c>
      <c r="B27" s="34">
        <v>45</v>
      </c>
      <c r="C27" s="109">
        <v>0</v>
      </c>
      <c r="E27" s="44" t="s">
        <v>93</v>
      </c>
      <c r="F27" s="41" t="s">
        <v>48</v>
      </c>
      <c r="G27" s="34">
        <v>2</v>
      </c>
      <c r="H27" s="107">
        <f>IF(B$47=0,0,G27/B$47)</f>
        <v>3.472222222222222E-3</v>
      </c>
      <c r="I27" s="68">
        <v>4</v>
      </c>
      <c r="K27" s="5">
        <v>25</v>
      </c>
      <c r="L27" s="73">
        <v>-240.00000000000003</v>
      </c>
    </row>
    <row r="28" spans="1:17" x14ac:dyDescent="0.45">
      <c r="A28" s="64" t="s">
        <v>134</v>
      </c>
      <c r="B28" s="139">
        <v>8</v>
      </c>
      <c r="C28" s="140"/>
      <c r="E28" s="44" t="s">
        <v>101</v>
      </c>
      <c r="F28" s="41" t="s">
        <v>56</v>
      </c>
      <c r="G28" s="34">
        <v>2</v>
      </c>
      <c r="H28" s="107">
        <f>IF(B$47=0,0,G28/B$47)</f>
        <v>3.472222222222222E-3</v>
      </c>
      <c r="I28" s="68">
        <v>1</v>
      </c>
      <c r="K28" s="5">
        <v>26</v>
      </c>
      <c r="L28" s="73">
        <v>-277</v>
      </c>
    </row>
    <row r="29" spans="1:17" x14ac:dyDescent="0.45">
      <c r="A29" s="40" t="s">
        <v>177</v>
      </c>
      <c r="B29" s="137">
        <v>103000</v>
      </c>
      <c r="C29" s="138"/>
      <c r="E29" s="44" t="s">
        <v>87</v>
      </c>
      <c r="F29" s="41" t="s">
        <v>42</v>
      </c>
      <c r="G29" s="34">
        <v>1</v>
      </c>
      <c r="H29" s="107">
        <f>IF(B$47=0,0,G29/B$47)</f>
        <v>1.736111111111111E-3</v>
      </c>
      <c r="I29" s="68">
        <v>7</v>
      </c>
      <c r="K29" s="5">
        <v>27</v>
      </c>
      <c r="L29" s="73">
        <v>-266.7</v>
      </c>
    </row>
    <row r="30" spans="1:17" x14ac:dyDescent="0.45">
      <c r="A30" s="39" t="s">
        <v>135</v>
      </c>
      <c r="B30" s="27">
        <v>7</v>
      </c>
      <c r="C30" s="32">
        <f>IF(B$3=0,0,B30/B$3)</f>
        <v>3.2833020637898689E-3</v>
      </c>
      <c r="E30" s="44" t="s">
        <v>88</v>
      </c>
      <c r="F30" s="41" t="s">
        <v>43</v>
      </c>
      <c r="G30" s="34">
        <v>1</v>
      </c>
      <c r="H30" s="107">
        <f>IF(B$47=0,0,G30/B$47)</f>
        <v>1.736111111111111E-3</v>
      </c>
      <c r="I30" s="68">
        <v>4</v>
      </c>
      <c r="K30" s="5">
        <v>28</v>
      </c>
      <c r="L30" s="73">
        <v>-283.7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5">
      <c r="A32" s="64" t="s">
        <v>168</v>
      </c>
      <c r="B32" s="121">
        <v>41</v>
      </c>
      <c r="C32" s="119">
        <f>IF(B$15=0,0,B32/B$15)</f>
        <v>7.1180555555555552E-2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37" t="s">
        <v>164</v>
      </c>
      <c r="B33" s="34">
        <v>91</v>
      </c>
      <c r="C33" s="31">
        <f t="shared" ref="C33:C44" si="2">IF(B$15=0,0,B33/B$15)</f>
        <v>0.1579861111111111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7" t="s">
        <v>165</v>
      </c>
      <c r="B34" s="124">
        <v>108</v>
      </c>
      <c r="C34" s="31">
        <f>IF(B$15=0,0,B34/B$15)</f>
        <v>0.1875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A35" s="37" t="s">
        <v>166</v>
      </c>
      <c r="B35" s="124">
        <v>96</v>
      </c>
      <c r="C35" s="31">
        <f t="shared" si="2"/>
        <v>0.16666666666666666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37" t="s">
        <v>167</v>
      </c>
      <c r="B36" s="124">
        <v>98</v>
      </c>
      <c r="C36" s="31">
        <f t="shared" si="2"/>
        <v>0.1701388888888889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-412.99999999999994</v>
      </c>
    </row>
    <row r="37" spans="1:12" x14ac:dyDescent="0.45">
      <c r="A37" s="37" t="s">
        <v>169</v>
      </c>
      <c r="B37" s="124">
        <v>61</v>
      </c>
      <c r="C37" s="31">
        <f t="shared" si="2"/>
        <v>0.10590277777777778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170</v>
      </c>
      <c r="B38" s="124">
        <v>34</v>
      </c>
      <c r="C38" s="31">
        <f t="shared" si="2"/>
        <v>5.9027777777777776E-2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171</v>
      </c>
      <c r="B39" s="124">
        <v>16</v>
      </c>
      <c r="C39" s="31">
        <f t="shared" si="2"/>
        <v>2.7777777777777776E-2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172</v>
      </c>
      <c r="B40" s="124">
        <v>13</v>
      </c>
      <c r="C40" s="31">
        <f t="shared" si="2"/>
        <v>2.2569444444444444E-2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173</v>
      </c>
      <c r="B41" s="124">
        <v>8</v>
      </c>
      <c r="C41" s="31">
        <f t="shared" si="2"/>
        <v>1.3888888888888888E-2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174</v>
      </c>
      <c r="B42" s="124">
        <v>2</v>
      </c>
      <c r="C42" s="31">
        <f t="shared" si="2"/>
        <v>3.472222222222222E-3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175</v>
      </c>
      <c r="B43" s="124">
        <v>2</v>
      </c>
      <c r="C43" s="31">
        <f t="shared" si="2"/>
        <v>3.472222222222222E-3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9" t="s">
        <v>176</v>
      </c>
      <c r="B44" s="120">
        <v>6</v>
      </c>
      <c r="C44" s="32">
        <f t="shared" si="2"/>
        <v>1.0416666666666666E-2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64" t="s">
        <v>181</v>
      </c>
      <c r="B46" s="127">
        <v>2132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9" t="s">
        <v>182</v>
      </c>
      <c r="B47" s="135">
        <v>576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5">
      <c r="K53" s="5">
        <v>51</v>
      </c>
      <c r="L53" s="73">
        <v>-601.09999999999991</v>
      </c>
    </row>
    <row r="54" spans="5:12" x14ac:dyDescent="0.45">
      <c r="K54" s="5">
        <v>52</v>
      </c>
      <c r="L54" s="73">
        <v>-608.19999999999993</v>
      </c>
    </row>
    <row r="55" spans="5:12" x14ac:dyDescent="0.45">
      <c r="K55" s="5">
        <v>53</v>
      </c>
      <c r="L55" s="73">
        <v>-616.09999999999991</v>
      </c>
    </row>
    <row r="56" spans="5:12" x14ac:dyDescent="0.45">
      <c r="K56" s="5">
        <v>54</v>
      </c>
      <c r="L56" s="73">
        <v>-613.89999999999986</v>
      </c>
    </row>
    <row r="57" spans="5:12" x14ac:dyDescent="0.45">
      <c r="K57" s="5">
        <v>55</v>
      </c>
      <c r="L57" s="73">
        <v>-690.49999999999989</v>
      </c>
    </row>
    <row r="58" spans="5:12" x14ac:dyDescent="0.45">
      <c r="K58" s="5">
        <v>56</v>
      </c>
      <c r="L58" s="73">
        <v>-655.69999999999993</v>
      </c>
    </row>
    <row r="59" spans="5:12" x14ac:dyDescent="0.45">
      <c r="K59" s="5">
        <v>57</v>
      </c>
      <c r="L59" s="73">
        <v>-643.5</v>
      </c>
    </row>
    <row r="60" spans="5:12" x14ac:dyDescent="0.45">
      <c r="K60" s="5">
        <v>58</v>
      </c>
      <c r="L60" s="73">
        <v>-597.5</v>
      </c>
    </row>
    <row r="61" spans="5:12" x14ac:dyDescent="0.45">
      <c r="K61" s="5">
        <v>59</v>
      </c>
      <c r="L61" s="73">
        <v>-600.69999999999993</v>
      </c>
    </row>
    <row r="62" spans="5:12" x14ac:dyDescent="0.45">
      <c r="K62" s="5">
        <v>60</v>
      </c>
      <c r="L62" s="73">
        <v>-658.89999999999986</v>
      </c>
    </row>
    <row r="63" spans="5:12" x14ac:dyDescent="0.45">
      <c r="K63" s="5">
        <v>61</v>
      </c>
      <c r="L63" s="73">
        <v>-606.39999999999986</v>
      </c>
    </row>
    <row r="64" spans="5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BE6E-8E27-4411-85E0-0AD3CC829943}">
  <sheetPr codeName="Sheet16"/>
  <dimension ref="A1:Q9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186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97</v>
      </c>
      <c r="C2" s="128"/>
      <c r="E2" s="43" t="s">
        <v>66</v>
      </c>
      <c r="F2" s="25" t="s">
        <v>22</v>
      </c>
      <c r="G2" s="13">
        <v>170</v>
      </c>
      <c r="H2" s="106">
        <f>IF(B$47=0,0,G2/B$47)</f>
        <v>0.75221238938053092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-2812.5</v>
      </c>
      <c r="P2" s="92">
        <v>96</v>
      </c>
      <c r="Q2" s="76">
        <v>-270000</v>
      </c>
    </row>
    <row r="3" spans="1:17" x14ac:dyDescent="0.45">
      <c r="A3" s="37" t="s">
        <v>8</v>
      </c>
      <c r="B3" s="129">
        <v>846</v>
      </c>
      <c r="C3" s="130"/>
      <c r="E3" s="44" t="s">
        <v>64</v>
      </c>
      <c r="F3" s="41" t="s">
        <v>20</v>
      </c>
      <c r="G3" s="34">
        <v>106</v>
      </c>
      <c r="H3" s="107">
        <f>IF(B$47=0,0,G3/B$47)</f>
        <v>0.46902654867256638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389.58333333333331</v>
      </c>
      <c r="P3" s="93">
        <v>96</v>
      </c>
      <c r="Q3" s="77">
        <v>37400</v>
      </c>
    </row>
    <row r="4" spans="1:17" x14ac:dyDescent="0.45">
      <c r="A4" s="37" t="s">
        <v>6</v>
      </c>
      <c r="B4" s="131">
        <v>-713.5</v>
      </c>
      <c r="C4" s="132"/>
      <c r="E4" s="44" t="s">
        <v>72</v>
      </c>
      <c r="F4" s="41" t="s">
        <v>27</v>
      </c>
      <c r="G4" s="34">
        <v>105</v>
      </c>
      <c r="H4" s="107">
        <f>IF(B$47=0,0,G4/B$47)</f>
        <v>0.46460176991150443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-1573.9130434782608</v>
      </c>
      <c r="P4" s="93">
        <v>92</v>
      </c>
      <c r="Q4" s="77">
        <v>-144800</v>
      </c>
    </row>
    <row r="5" spans="1:17" x14ac:dyDescent="0.45">
      <c r="A5" s="37" t="s">
        <v>7</v>
      </c>
      <c r="B5" s="133">
        <f>IF(B$2=0,0,B$4/B$2)</f>
        <v>-7.3556701030927831</v>
      </c>
      <c r="C5" s="134"/>
      <c r="E5" s="44" t="s">
        <v>68</v>
      </c>
      <c r="F5" s="41" t="s">
        <v>12</v>
      </c>
      <c r="G5" s="34">
        <v>88</v>
      </c>
      <c r="H5" s="107">
        <f>IF(B$47=0,0,G5/B$47)</f>
        <v>0.38938053097345132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-3184.5238095238096</v>
      </c>
      <c r="P5" s="93">
        <v>84</v>
      </c>
      <c r="Q5" s="77">
        <v>-267500</v>
      </c>
    </row>
    <row r="6" spans="1:17" x14ac:dyDescent="0.45">
      <c r="A6" s="37" t="s">
        <v>1</v>
      </c>
      <c r="B6" s="141">
        <f>IF(B$2=0,0,(B$7*1+B$8*2+B$9*3)/B$2)</f>
        <v>2.1443298969072164</v>
      </c>
      <c r="C6" s="142"/>
      <c r="E6" s="44" t="s">
        <v>157</v>
      </c>
      <c r="F6" s="41" t="s">
        <v>158</v>
      </c>
      <c r="G6" s="34">
        <v>79</v>
      </c>
      <c r="H6" s="107">
        <f>IF(B$47=0,0,G6/B$47)</f>
        <v>0.34955752212389379</v>
      </c>
      <c r="I6" s="68">
        <v>4</v>
      </c>
      <c r="K6" s="5">
        <v>4</v>
      </c>
      <c r="L6" s="73">
        <v>52.3</v>
      </c>
      <c r="N6" s="89" t="s">
        <v>130</v>
      </c>
      <c r="O6" s="96">
        <f t="shared" si="0"/>
        <v>1229.3333333333333</v>
      </c>
      <c r="P6" s="93">
        <v>75</v>
      </c>
      <c r="Q6" s="77">
        <v>92200</v>
      </c>
    </row>
    <row r="7" spans="1:17" x14ac:dyDescent="0.45">
      <c r="A7" s="37" t="s">
        <v>2</v>
      </c>
      <c r="B7" s="34">
        <v>27</v>
      </c>
      <c r="C7" s="31">
        <f t="shared" ref="C7:C10" si="1">IF(B$2=0,0,B7/B$2)</f>
        <v>0.27835051546391754</v>
      </c>
      <c r="E7" s="44" t="s">
        <v>67</v>
      </c>
      <c r="F7" s="41" t="s">
        <v>23</v>
      </c>
      <c r="G7" s="34">
        <v>50</v>
      </c>
      <c r="H7" s="107">
        <f>IF(B$47=0,0,G7/B$47)</f>
        <v>0.22123893805309736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84.848484848484844</v>
      </c>
      <c r="P7" s="94">
        <v>66</v>
      </c>
      <c r="Q7" s="78">
        <v>5600</v>
      </c>
    </row>
    <row r="8" spans="1:17" x14ac:dyDescent="0.45">
      <c r="A8" s="37" t="s">
        <v>3</v>
      </c>
      <c r="B8" s="34">
        <v>29</v>
      </c>
      <c r="C8" s="31">
        <f t="shared" si="1"/>
        <v>0.29896907216494845</v>
      </c>
      <c r="E8" s="44" t="s">
        <v>69</v>
      </c>
      <c r="F8" s="41" t="s">
        <v>24</v>
      </c>
      <c r="G8" s="34">
        <v>32</v>
      </c>
      <c r="H8" s="107">
        <f>IF(B$47=0,0,G8/B$47)</f>
        <v>0.1415929203539823</v>
      </c>
      <c r="I8" s="68">
        <v>9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41</v>
      </c>
      <c r="C9" s="7">
        <f t="shared" si="1"/>
        <v>0.42268041237113402</v>
      </c>
      <c r="E9" s="44" t="s">
        <v>70</v>
      </c>
      <c r="F9" s="41" t="s">
        <v>25</v>
      </c>
      <c r="G9" s="34">
        <v>26</v>
      </c>
      <c r="H9" s="107">
        <f>IF(B$47=0,0,G9/B$47)</f>
        <v>0.11504424778761062</v>
      </c>
      <c r="I9" s="68">
        <v>3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16</v>
      </c>
      <c r="C10" s="32">
        <f t="shared" si="1"/>
        <v>0.16494845360824742</v>
      </c>
      <c r="E10" s="44" t="s">
        <v>89</v>
      </c>
      <c r="F10" s="41" t="s">
        <v>44</v>
      </c>
      <c r="G10" s="34">
        <v>26</v>
      </c>
      <c r="H10" s="107">
        <f>IF(B$47=0,0,G10/B$47)</f>
        <v>0.11504424778761062</v>
      </c>
      <c r="I10" s="68">
        <v>10</v>
      </c>
      <c r="K10" s="5">
        <v>8</v>
      </c>
      <c r="L10" s="73">
        <v>-31.1</v>
      </c>
      <c r="N10" s="88" t="s">
        <v>149</v>
      </c>
      <c r="O10" s="98">
        <f>IF(P10=0,0,Q10/P10)</f>
        <v>-12.358823529411765</v>
      </c>
      <c r="P10" s="92">
        <v>34</v>
      </c>
      <c r="Q10" s="80">
        <v>-420.2</v>
      </c>
    </row>
    <row r="11" spans="1:17" x14ac:dyDescent="0.45">
      <c r="A11" s="40" t="s">
        <v>121</v>
      </c>
      <c r="B11" s="16">
        <v>191</v>
      </c>
      <c r="C11" s="11">
        <f>IF(B$46=0,0,B11/B$46)</f>
        <v>0.22576832151300236</v>
      </c>
      <c r="E11" s="44" t="s">
        <v>65</v>
      </c>
      <c r="F11" s="41" t="s">
        <v>21</v>
      </c>
      <c r="G11" s="34">
        <v>20</v>
      </c>
      <c r="H11" s="107">
        <f>IF(B$47=0,0,G11/B$47)</f>
        <v>8.8495575221238937E-2</v>
      </c>
      <c r="I11" s="68">
        <v>14</v>
      </c>
      <c r="K11" s="5">
        <v>9</v>
      </c>
      <c r="L11" s="73">
        <v>-70.599999999999994</v>
      </c>
      <c r="N11" s="89" t="s">
        <v>150</v>
      </c>
      <c r="O11" s="99">
        <f>IF(P11=0,0,Q11/P11)</f>
        <v>-5.2052631578947368</v>
      </c>
      <c r="P11" s="93">
        <v>38</v>
      </c>
      <c r="Q11" s="81">
        <v>-197.8</v>
      </c>
    </row>
    <row r="12" spans="1:17" x14ac:dyDescent="0.45">
      <c r="A12" s="37" t="s">
        <v>118</v>
      </c>
      <c r="B12" s="34">
        <v>173</v>
      </c>
      <c r="C12" s="31">
        <f>IF(B$46=0,0,B12/B$46)</f>
        <v>0.2044917257683215</v>
      </c>
      <c r="E12" s="44" t="s">
        <v>71</v>
      </c>
      <c r="F12" s="41" t="s">
        <v>26</v>
      </c>
      <c r="G12" s="34">
        <v>13</v>
      </c>
      <c r="H12" s="107">
        <f>IF(B$47=0,0,G12/B$47)</f>
        <v>5.7522123893805309E-2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-3.82</v>
      </c>
      <c r="P12" s="94">
        <v>25</v>
      </c>
      <c r="Q12" s="82">
        <v>-95.5</v>
      </c>
    </row>
    <row r="13" spans="1:17" x14ac:dyDescent="0.45">
      <c r="A13" s="19" t="s">
        <v>123</v>
      </c>
      <c r="B13" s="13">
        <v>109</v>
      </c>
      <c r="C13" s="4">
        <f>IF(B$11=0,0,B13/B$11)</f>
        <v>0.5706806282722513</v>
      </c>
      <c r="E13" s="44" t="s">
        <v>86</v>
      </c>
      <c r="F13" s="41" t="s">
        <v>41</v>
      </c>
      <c r="G13" s="34">
        <v>12</v>
      </c>
      <c r="H13" s="107">
        <f>IF(B$47=0,0,G13/B$47)</f>
        <v>5.3097345132743362E-2</v>
      </c>
      <c r="I13" s="68">
        <v>13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58</v>
      </c>
      <c r="C14" s="4">
        <f>IF(B$12=0,0,B14/B$12)</f>
        <v>0.33526011560693642</v>
      </c>
      <c r="E14" s="44" t="s">
        <v>78</v>
      </c>
      <c r="F14" s="41" t="s">
        <v>33</v>
      </c>
      <c r="G14" s="34">
        <v>7</v>
      </c>
      <c r="H14" s="107">
        <f>IF(B$47=0,0,G14/B$47)</f>
        <v>3.0973451327433628E-2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226</v>
      </c>
      <c r="C15" s="4">
        <f>IF(B$3=0,0,B15/B$3)</f>
        <v>0.26713947990543735</v>
      </c>
      <c r="E15" s="44" t="s">
        <v>83</v>
      </c>
      <c r="F15" s="41" t="s">
        <v>38</v>
      </c>
      <c r="G15" s="34">
        <v>7</v>
      </c>
      <c r="H15" s="107">
        <f>IF(B$47=0,0,G15/B$47)</f>
        <v>3.0973451327433628E-2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5">
      <c r="A16" s="37" t="s">
        <v>13</v>
      </c>
      <c r="B16" s="34">
        <v>163</v>
      </c>
      <c r="C16" s="31">
        <f>IF(B$3=0,0,B16/B$3)</f>
        <v>0.19267139479905437</v>
      </c>
      <c r="E16" s="44" t="s">
        <v>79</v>
      </c>
      <c r="F16" s="41" t="s">
        <v>34</v>
      </c>
      <c r="G16" s="34">
        <v>4</v>
      </c>
      <c r="H16" s="107">
        <f>IF(B$47=0,0,G16/B$47)</f>
        <v>1.7699115044247787E-2</v>
      </c>
      <c r="I16" s="68">
        <v>6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37" t="s">
        <v>12</v>
      </c>
      <c r="B17" s="34">
        <v>116</v>
      </c>
      <c r="C17" s="31">
        <f>IF(B$15=0,0,B17/B$15)</f>
        <v>0.51327433628318586</v>
      </c>
      <c r="E17" s="44" t="s">
        <v>153</v>
      </c>
      <c r="F17" s="41" t="s">
        <v>154</v>
      </c>
      <c r="G17" s="34">
        <v>4</v>
      </c>
      <c r="H17" s="107">
        <f>IF(B$47=0,0,G17/B$47)</f>
        <v>1.7699115044247787E-2</v>
      </c>
      <c r="I17" s="68">
        <v>4</v>
      </c>
      <c r="K17" s="5">
        <v>15</v>
      </c>
      <c r="L17" s="73">
        <v>-304.10000000000002</v>
      </c>
      <c r="N17" s="89" t="s">
        <v>193</v>
      </c>
      <c r="O17" s="99">
        <f>IF(P17=0,0,Q17/P17)</f>
        <v>-3.5652173913043477</v>
      </c>
      <c r="P17" s="93">
        <v>23</v>
      </c>
      <c r="Q17" s="81">
        <v>-82</v>
      </c>
    </row>
    <row r="18" spans="1:17" x14ac:dyDescent="0.45">
      <c r="A18" s="37" t="s">
        <v>11</v>
      </c>
      <c r="B18" s="34">
        <v>110</v>
      </c>
      <c r="C18" s="31">
        <f>IF(B$15=0,0,B18/B$15)</f>
        <v>0.48672566371681414</v>
      </c>
      <c r="E18" s="44" t="s">
        <v>73</v>
      </c>
      <c r="F18" s="41" t="s">
        <v>28</v>
      </c>
      <c r="G18" s="34">
        <v>3</v>
      </c>
      <c r="H18" s="107">
        <f>IF(B$47=0,0,G18/B$47)</f>
        <v>1.3274336283185841E-2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37" t="s">
        <v>180</v>
      </c>
      <c r="B19" s="34">
        <v>109</v>
      </c>
      <c r="C19" s="31">
        <f>IF(B$15=0,0,B19/B$15)</f>
        <v>0.48230088495575218</v>
      </c>
      <c r="E19" s="44" t="s">
        <v>81</v>
      </c>
      <c r="F19" s="41" t="s">
        <v>36</v>
      </c>
      <c r="G19" s="34">
        <v>3</v>
      </c>
      <c r="H19" s="107">
        <f>IF(B$47=0,0,G19/B$47)</f>
        <v>1.3274336283185841E-2</v>
      </c>
      <c r="I19" s="68">
        <v>12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5">
      <c r="A20" s="37" t="s">
        <v>178</v>
      </c>
      <c r="B20" s="34">
        <v>58</v>
      </c>
      <c r="C20" s="31">
        <f>IF(B$15=0,0,B20/B$15)</f>
        <v>0.25663716814159293</v>
      </c>
      <c r="E20" s="44" t="s">
        <v>87</v>
      </c>
      <c r="F20" s="41" t="s">
        <v>42</v>
      </c>
      <c r="G20" s="34">
        <v>2</v>
      </c>
      <c r="H20" s="107">
        <f>IF(B$47=0,0,G20/B$47)</f>
        <v>8.8495575221238937E-3</v>
      </c>
      <c r="I20" s="68">
        <v>1</v>
      </c>
      <c r="K20" s="5">
        <v>18</v>
      </c>
      <c r="L20" s="73">
        <v>-342.69999999999993</v>
      </c>
      <c r="N20" s="89" t="s">
        <v>191</v>
      </c>
      <c r="O20" s="99">
        <f>IF(P20=0,0,Q20/P20)</f>
        <v>-6.6903225806451596</v>
      </c>
      <c r="P20" s="93">
        <v>31</v>
      </c>
      <c r="Q20" s="81">
        <v>-207.39999999999995</v>
      </c>
    </row>
    <row r="21" spans="1:17" x14ac:dyDescent="0.45">
      <c r="A21" s="37" t="s">
        <v>179</v>
      </c>
      <c r="B21" s="34">
        <v>59</v>
      </c>
      <c r="C21" s="31">
        <f>IF(B$15=0,0,B21/B$15)</f>
        <v>0.26106194690265488</v>
      </c>
      <c r="E21" s="44" t="s">
        <v>91</v>
      </c>
      <c r="F21" s="41" t="s">
        <v>46</v>
      </c>
      <c r="G21" s="34">
        <v>2</v>
      </c>
      <c r="H21" s="107">
        <f>IF(B$47=0,0,G21/B$47)</f>
        <v>8.8495575221238937E-3</v>
      </c>
      <c r="I21" s="68">
        <v>12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5">
      <c r="A22" s="37" t="s">
        <v>5</v>
      </c>
      <c r="B22" s="17">
        <f>IF(B$15=0,0,C22/B$15)</f>
        <v>7922.1238938053093</v>
      </c>
      <c r="C22" s="8">
        <v>1790400</v>
      </c>
      <c r="E22" s="44" t="s">
        <v>75</v>
      </c>
      <c r="F22" s="41" t="s">
        <v>30</v>
      </c>
      <c r="G22" s="34">
        <v>1</v>
      </c>
      <c r="H22" s="107">
        <f>IF(B$47=0,0,G22/B$47)</f>
        <v>4.4247787610619468E-3</v>
      </c>
      <c r="I22" s="68">
        <v>9</v>
      </c>
      <c r="K22" s="5">
        <v>20</v>
      </c>
      <c r="L22" s="73">
        <v>-374.69999999999993</v>
      </c>
      <c r="N22" s="89" t="s">
        <v>195</v>
      </c>
      <c r="O22" s="99">
        <f>IF(P22=0,0,Q22/P22)</f>
        <v>-29.822222222222223</v>
      </c>
      <c r="P22" s="93">
        <v>45</v>
      </c>
      <c r="Q22" s="81">
        <v>-1342</v>
      </c>
    </row>
    <row r="23" spans="1:17" x14ac:dyDescent="0.45">
      <c r="A23" s="38" t="s">
        <v>162</v>
      </c>
      <c r="B23" s="114">
        <f>IF($B$15-B$14=0,0,C23/($B$15-B$14))</f>
        <v>8687.5</v>
      </c>
      <c r="C23" s="115">
        <v>1459500</v>
      </c>
      <c r="E23" s="44" t="s">
        <v>85</v>
      </c>
      <c r="F23" s="41" t="s">
        <v>40</v>
      </c>
      <c r="G23" s="34">
        <v>1</v>
      </c>
      <c r="H23" s="107">
        <f>IF(B$47=0,0,G23/B$47)</f>
        <v>4.4247787610619468E-3</v>
      </c>
      <c r="I23" s="68">
        <v>3</v>
      </c>
      <c r="K23" s="5">
        <v>21</v>
      </c>
      <c r="L23" s="73">
        <v>-415.69999999999993</v>
      </c>
      <c r="N23" s="89" t="s">
        <v>199</v>
      </c>
      <c r="O23" s="99">
        <f>IF(P23=0,0,Q23/P23)</f>
        <v>-42.96</v>
      </c>
      <c r="P23" s="93">
        <v>5</v>
      </c>
      <c r="Q23" s="81">
        <v>-214.8</v>
      </c>
    </row>
    <row r="24" spans="1:17" x14ac:dyDescent="0.45">
      <c r="A24" s="38" t="s">
        <v>163</v>
      </c>
      <c r="B24" s="114">
        <f>IF(B$14=0,0,C24/B$14)</f>
        <v>5705.1724137931033</v>
      </c>
      <c r="C24" s="115">
        <v>330900</v>
      </c>
      <c r="E24" s="44" t="s">
        <v>106</v>
      </c>
      <c r="F24" s="41" t="s">
        <v>113</v>
      </c>
      <c r="G24" s="34">
        <v>1</v>
      </c>
      <c r="H24" s="107">
        <f>IF(B$47=0,0,G24/B$47)</f>
        <v>4.4247787610619468E-3</v>
      </c>
      <c r="I24" s="68">
        <v>1</v>
      </c>
      <c r="K24" s="5">
        <v>22</v>
      </c>
      <c r="L24" s="73">
        <v>-473.5</v>
      </c>
      <c r="N24" s="89" t="s">
        <v>196</v>
      </c>
      <c r="O24" s="99">
        <f>IF(P24=0,0,Q24/P24)</f>
        <v>-45.5</v>
      </c>
      <c r="P24" s="93">
        <v>1</v>
      </c>
      <c r="Q24" s="81">
        <v>-45.5</v>
      </c>
    </row>
    <row r="25" spans="1:17" x14ac:dyDescent="0.45">
      <c r="A25" s="38" t="s">
        <v>161</v>
      </c>
      <c r="B25" s="114">
        <f>IF(B$16=0,0,C25/B$16)</f>
        <v>-7985.2760736196315</v>
      </c>
      <c r="C25" s="115">
        <v>-1301600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194</v>
      </c>
      <c r="O25" s="99">
        <f>IF(P25=0,0,Q25/P25)</f>
        <v>-59.433333333333337</v>
      </c>
      <c r="P25" s="93">
        <v>3</v>
      </c>
      <c r="Q25" s="81">
        <v>-178.3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</row>
    <row r="27" spans="1:17" x14ac:dyDescent="0.45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64" t="s">
        <v>134</v>
      </c>
      <c r="B28" s="139">
        <v>7</v>
      </c>
      <c r="C28" s="140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40" t="s">
        <v>177</v>
      </c>
      <c r="B29" s="137">
        <v>113300</v>
      </c>
      <c r="C29" s="138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9" t="s">
        <v>135</v>
      </c>
      <c r="B30" s="27">
        <v>3</v>
      </c>
      <c r="C30" s="32">
        <f>IF(B$3=0,0,B30/B$3)</f>
        <v>3.5460992907801418E-3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-447.9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-403.99999999999994</v>
      </c>
    </row>
    <row r="32" spans="1:17" x14ac:dyDescent="0.45">
      <c r="A32" s="64" t="s">
        <v>168</v>
      </c>
      <c r="B32" s="121">
        <v>26</v>
      </c>
      <c r="C32" s="119">
        <f>IF(B$15=0,0,B32/B$15)</f>
        <v>0.11504424778761062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37" t="s">
        <v>164</v>
      </c>
      <c r="B33" s="34">
        <v>44</v>
      </c>
      <c r="C33" s="31">
        <f t="shared" ref="C33:C44" si="2">IF(B$15=0,0,B33/B$15)</f>
        <v>0.19469026548672566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7" t="s">
        <v>165</v>
      </c>
      <c r="B34" s="124">
        <v>39</v>
      </c>
      <c r="C34" s="31">
        <f>IF(B$15=0,0,B34/B$15)</f>
        <v>0.17256637168141592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A35" s="37" t="s">
        <v>166</v>
      </c>
      <c r="B35" s="124">
        <v>38</v>
      </c>
      <c r="C35" s="31">
        <f t="shared" si="2"/>
        <v>0.16814159292035399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37" t="s">
        <v>167</v>
      </c>
      <c r="B36" s="124">
        <v>34</v>
      </c>
      <c r="C36" s="31">
        <f t="shared" si="2"/>
        <v>0.15044247787610621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-417.59999999999991</v>
      </c>
    </row>
    <row r="37" spans="1:12" x14ac:dyDescent="0.45">
      <c r="A37" s="37" t="s">
        <v>169</v>
      </c>
      <c r="B37" s="124">
        <v>22</v>
      </c>
      <c r="C37" s="31">
        <f t="shared" si="2"/>
        <v>9.7345132743362831E-2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170</v>
      </c>
      <c r="B38" s="124">
        <v>9</v>
      </c>
      <c r="C38" s="31">
        <f t="shared" si="2"/>
        <v>3.9823008849557522E-2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171</v>
      </c>
      <c r="B39" s="124">
        <v>7</v>
      </c>
      <c r="C39" s="31">
        <f t="shared" si="2"/>
        <v>3.0973451327433628E-2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172</v>
      </c>
      <c r="B40" s="124">
        <v>3</v>
      </c>
      <c r="C40" s="31">
        <f t="shared" si="2"/>
        <v>1.3274336283185841E-2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173</v>
      </c>
      <c r="B41" s="124">
        <v>2</v>
      </c>
      <c r="C41" s="31">
        <f t="shared" si="2"/>
        <v>8.8495575221238937E-3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174</v>
      </c>
      <c r="B42" s="124">
        <v>1</v>
      </c>
      <c r="C42" s="31">
        <f t="shared" si="2"/>
        <v>4.4247787610619468E-3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9" t="s">
        <v>176</v>
      </c>
      <c r="B44" s="120">
        <v>1</v>
      </c>
      <c r="C44" s="32">
        <f t="shared" si="2"/>
        <v>4.4247787610619468E-3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64" t="s">
        <v>181</v>
      </c>
      <c r="B46" s="127">
        <v>846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9" t="s">
        <v>182</v>
      </c>
      <c r="B47" s="135">
        <v>226</v>
      </c>
      <c r="C47" s="13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5">
      <c r="K53" s="5">
        <v>51</v>
      </c>
      <c r="L53" s="73">
        <v>-379</v>
      </c>
    </row>
    <row r="54" spans="5:12" x14ac:dyDescent="0.45">
      <c r="K54" s="5">
        <v>52</v>
      </c>
      <c r="L54" s="73">
        <v>-435</v>
      </c>
    </row>
    <row r="55" spans="5:12" x14ac:dyDescent="0.45">
      <c r="K55" s="5">
        <v>53</v>
      </c>
      <c r="L55" s="73">
        <v>-458.69999999999993</v>
      </c>
    </row>
    <row r="56" spans="5:12" x14ac:dyDescent="0.45">
      <c r="K56" s="5">
        <v>54</v>
      </c>
      <c r="L56" s="73">
        <v>-493.79999999999995</v>
      </c>
    </row>
    <row r="57" spans="5:12" x14ac:dyDescent="0.45">
      <c r="K57" s="5">
        <v>55</v>
      </c>
      <c r="L57" s="73">
        <v>-444.79999999999995</v>
      </c>
    </row>
    <row r="58" spans="5:12" x14ac:dyDescent="0.45">
      <c r="K58" s="5">
        <v>56</v>
      </c>
      <c r="L58" s="73">
        <v>-417.69999999999993</v>
      </c>
    </row>
    <row r="59" spans="5:12" x14ac:dyDescent="0.45">
      <c r="K59" s="5">
        <v>57</v>
      </c>
      <c r="L59" s="73">
        <v>-450.5</v>
      </c>
    </row>
    <row r="60" spans="5:12" x14ac:dyDescent="0.45">
      <c r="K60" s="5">
        <v>58</v>
      </c>
      <c r="L60" s="73">
        <v>-532.5</v>
      </c>
    </row>
    <row r="61" spans="5:12" x14ac:dyDescent="0.45">
      <c r="K61" s="5">
        <v>59</v>
      </c>
      <c r="L61" s="73">
        <v>-594.79999999999995</v>
      </c>
    </row>
    <row r="62" spans="5:12" x14ac:dyDescent="0.45">
      <c r="K62" s="5">
        <v>60</v>
      </c>
      <c r="L62" s="73">
        <v>-542.79999999999995</v>
      </c>
    </row>
    <row r="63" spans="5:12" x14ac:dyDescent="0.45">
      <c r="K63" s="5">
        <v>61</v>
      </c>
      <c r="L63" s="73">
        <v>-588.1</v>
      </c>
    </row>
    <row r="64" spans="5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7ECD-2C9A-491A-988E-4E859E835BBF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199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29">
        <v>253</v>
      </c>
      <c r="C3" s="130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15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1">
        <v>-22.000000000000028</v>
      </c>
      <c r="C4" s="132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12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3">
        <f>IF(B$2=0,0,B$4/B$2)</f>
        <v>-0.7857142857142867</v>
      </c>
      <c r="C5" s="134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41">
        <f>IF(B$2=0,0,(B$7*1+B$8*2+B$9*3)/B$2)</f>
        <v>1.9285714285714286</v>
      </c>
      <c r="C6" s="142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7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5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10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4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13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1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14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3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11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  <c r="K26" s="5">
        <v>24</v>
      </c>
      <c r="L26" s="73">
        <v>10.899999999999977</v>
      </c>
    </row>
    <row r="27" spans="1:17" x14ac:dyDescent="0.45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45.399999999999977</v>
      </c>
    </row>
    <row r="28" spans="1:17" x14ac:dyDescent="0.45">
      <c r="A28" s="64" t="s">
        <v>134</v>
      </c>
      <c r="B28" s="139">
        <v>4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70.699999999999974</v>
      </c>
    </row>
    <row r="29" spans="1:17" x14ac:dyDescent="0.45">
      <c r="A29" s="40" t="s">
        <v>177</v>
      </c>
      <c r="B29" s="137">
        <v>106300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  <c r="K30" s="5">
        <v>28</v>
      </c>
      <c r="L30" s="73">
        <v>-22.000000000000028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1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80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4B0AF-3074-4275-910A-7B0FC998605C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200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29">
        <v>13</v>
      </c>
      <c r="C3" s="130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7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1">
        <v>13.3</v>
      </c>
      <c r="C4" s="132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1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3">
        <f>IF(B$2=0,0,B$4/B$2)</f>
        <v>13.3</v>
      </c>
      <c r="C5" s="134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41">
        <f>IF(B$2=0,0,(B$7*1+B$8*2+B$9*3)/B$2)</f>
        <v>2</v>
      </c>
      <c r="C6" s="142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14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15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17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5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</row>
    <row r="19" spans="1:9" x14ac:dyDescent="0.45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13</v>
      </c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5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5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5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9" x14ac:dyDescent="0.45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5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9" x14ac:dyDescent="0.45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9" x14ac:dyDescent="0.45">
      <c r="A28" s="64" t="s">
        <v>134</v>
      </c>
      <c r="B28" s="139">
        <v>5</v>
      </c>
      <c r="C28" s="140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16</v>
      </c>
    </row>
    <row r="29" spans="1:9" x14ac:dyDescent="0.45">
      <c r="A29" s="40" t="s">
        <v>177</v>
      </c>
      <c r="B29" s="137">
        <v>48300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1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2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DD169-2103-4634-B7FC-2D10D57520E6}">
  <sheetPr codeName="Sheet19"/>
  <dimension ref="A1:Q5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197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55</v>
      </c>
      <c r="C2" s="128"/>
      <c r="E2" s="43" t="s">
        <v>66</v>
      </c>
      <c r="F2" s="25" t="s">
        <v>22</v>
      </c>
      <c r="G2" s="13">
        <v>73</v>
      </c>
      <c r="H2" s="106">
        <f>IF(B$47=0,0,G2/B$47)</f>
        <v>0.62931034482758619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-2541.818181818182</v>
      </c>
      <c r="P2" s="92">
        <v>55</v>
      </c>
      <c r="Q2" s="76">
        <v>-139800</v>
      </c>
    </row>
    <row r="3" spans="1:17" x14ac:dyDescent="0.45">
      <c r="A3" s="37" t="s">
        <v>8</v>
      </c>
      <c r="B3" s="129">
        <v>458</v>
      </c>
      <c r="C3" s="130"/>
      <c r="E3" s="44" t="s">
        <v>72</v>
      </c>
      <c r="F3" s="41" t="s">
        <v>27</v>
      </c>
      <c r="G3" s="34">
        <v>65</v>
      </c>
      <c r="H3" s="107">
        <f>IF(B$47=0,0,G3/B$47)</f>
        <v>0.56034482758620685</v>
      </c>
      <c r="I3" s="68">
        <v>8</v>
      </c>
      <c r="K3" s="5">
        <v>1</v>
      </c>
      <c r="L3" s="73">
        <v>-43.2</v>
      </c>
      <c r="N3" s="89" t="s">
        <v>127</v>
      </c>
      <c r="O3" s="96">
        <f t="shared" si="0"/>
        <v>-696.36363636363637</v>
      </c>
      <c r="P3" s="93">
        <v>55</v>
      </c>
      <c r="Q3" s="77">
        <v>-38300</v>
      </c>
    </row>
    <row r="4" spans="1:17" x14ac:dyDescent="0.45">
      <c r="A4" s="37" t="s">
        <v>6</v>
      </c>
      <c r="B4" s="131">
        <v>-848.50000000000011</v>
      </c>
      <c r="C4" s="132"/>
      <c r="E4" s="44" t="s">
        <v>64</v>
      </c>
      <c r="F4" s="41" t="s">
        <v>20</v>
      </c>
      <c r="G4" s="34">
        <v>51</v>
      </c>
      <c r="H4" s="107">
        <f>IF(B$47=0,0,G4/B$47)</f>
        <v>0.43965517241379309</v>
      </c>
      <c r="I4" s="68">
        <v>15</v>
      </c>
      <c r="K4" s="5">
        <v>2</v>
      </c>
      <c r="L4" s="73">
        <v>-96.5</v>
      </c>
      <c r="N4" s="89" t="s">
        <v>128</v>
      </c>
      <c r="O4" s="96">
        <f t="shared" si="0"/>
        <v>-1200</v>
      </c>
      <c r="P4" s="93">
        <v>54</v>
      </c>
      <c r="Q4" s="77">
        <v>-64800</v>
      </c>
    </row>
    <row r="5" spans="1:17" x14ac:dyDescent="0.45">
      <c r="A5" s="37" t="s">
        <v>7</v>
      </c>
      <c r="B5" s="133">
        <f>IF(B$2=0,0,B$4/B$2)</f>
        <v>-15.427272727272729</v>
      </c>
      <c r="C5" s="134"/>
      <c r="E5" s="44" t="s">
        <v>157</v>
      </c>
      <c r="F5" s="41" t="s">
        <v>158</v>
      </c>
      <c r="G5" s="34">
        <v>44</v>
      </c>
      <c r="H5" s="107">
        <f>IF(B$47=0,0,G5/B$47)</f>
        <v>0.37931034482758619</v>
      </c>
      <c r="I5" s="68">
        <v>3</v>
      </c>
      <c r="K5" s="5">
        <v>3</v>
      </c>
      <c r="L5" s="73">
        <v>-151.9</v>
      </c>
      <c r="N5" s="89" t="s">
        <v>129</v>
      </c>
      <c r="O5" s="96">
        <f t="shared" si="0"/>
        <v>-2126.5306122448978</v>
      </c>
      <c r="P5" s="93">
        <v>49</v>
      </c>
      <c r="Q5" s="77">
        <v>-104200</v>
      </c>
    </row>
    <row r="6" spans="1:17" x14ac:dyDescent="0.45">
      <c r="A6" s="37" t="s">
        <v>1</v>
      </c>
      <c r="B6" s="141">
        <f>IF(B$2=0,0,(B$7*1+B$8*2+B$9*3)/B$2)</f>
        <v>2.3636363636363638</v>
      </c>
      <c r="C6" s="142"/>
      <c r="E6" s="44" t="s">
        <v>68</v>
      </c>
      <c r="F6" s="41" t="s">
        <v>12</v>
      </c>
      <c r="G6" s="34">
        <v>30</v>
      </c>
      <c r="H6" s="107">
        <f>IF(B$47=0,0,G6/B$47)</f>
        <v>0.25862068965517243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-1652.1739130434783</v>
      </c>
      <c r="P6" s="93">
        <v>46</v>
      </c>
      <c r="Q6" s="77">
        <v>-76000</v>
      </c>
    </row>
    <row r="7" spans="1:17" x14ac:dyDescent="0.45">
      <c r="A7" s="37" t="s">
        <v>2</v>
      </c>
      <c r="B7" s="34">
        <v>9</v>
      </c>
      <c r="C7" s="31">
        <f t="shared" ref="C7:C10" si="1">IF(B$2=0,0,B7/B$2)</f>
        <v>0.16363636363636364</v>
      </c>
      <c r="E7" s="44" t="s">
        <v>67</v>
      </c>
      <c r="F7" s="41" t="s">
        <v>23</v>
      </c>
      <c r="G7" s="34">
        <v>26</v>
      </c>
      <c r="H7" s="107">
        <f>IF(B$47=0,0,G7/B$47)</f>
        <v>0.22413793103448276</v>
      </c>
      <c r="I7" s="68">
        <v>13</v>
      </c>
      <c r="K7" s="5">
        <v>5</v>
      </c>
      <c r="L7" s="73">
        <v>-152</v>
      </c>
      <c r="N7" s="90" t="s">
        <v>131</v>
      </c>
      <c r="O7" s="97">
        <f t="shared" si="0"/>
        <v>-2817.9487179487178</v>
      </c>
      <c r="P7" s="94">
        <v>39</v>
      </c>
      <c r="Q7" s="78">
        <v>-109900</v>
      </c>
    </row>
    <row r="8" spans="1:17" x14ac:dyDescent="0.45">
      <c r="A8" s="37" t="s">
        <v>3</v>
      </c>
      <c r="B8" s="34">
        <v>17</v>
      </c>
      <c r="C8" s="31">
        <f t="shared" si="1"/>
        <v>0.30909090909090908</v>
      </c>
      <c r="E8" s="44" t="s">
        <v>89</v>
      </c>
      <c r="F8" s="41" t="s">
        <v>44</v>
      </c>
      <c r="G8" s="34">
        <v>13</v>
      </c>
      <c r="H8" s="107">
        <f>IF(B$47=0,0,G8/B$47)</f>
        <v>0.11206896551724138</v>
      </c>
      <c r="I8" s="68">
        <v>12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29</v>
      </c>
      <c r="C9" s="7">
        <f t="shared" si="1"/>
        <v>0.52727272727272723</v>
      </c>
      <c r="E9" s="44" t="s">
        <v>65</v>
      </c>
      <c r="F9" s="41" t="s">
        <v>21</v>
      </c>
      <c r="G9" s="34">
        <v>12</v>
      </c>
      <c r="H9" s="107">
        <f>IF(B$47=0,0,G9/B$47)</f>
        <v>0.10344827586206896</v>
      </c>
      <c r="I9" s="68">
        <v>9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10</v>
      </c>
      <c r="C10" s="32">
        <f t="shared" si="1"/>
        <v>0.18181818181818182</v>
      </c>
      <c r="E10" s="44" t="s">
        <v>70</v>
      </c>
      <c r="F10" s="41" t="s">
        <v>25</v>
      </c>
      <c r="G10" s="34">
        <v>12</v>
      </c>
      <c r="H10" s="107">
        <f>IF(B$47=0,0,G10/B$47)</f>
        <v>0.10344827586206896</v>
      </c>
      <c r="I10" s="68">
        <v>7</v>
      </c>
      <c r="K10" s="5">
        <v>8</v>
      </c>
      <c r="L10" s="73">
        <v>-289.8</v>
      </c>
      <c r="N10" s="88" t="s">
        <v>149</v>
      </c>
      <c r="O10" s="98">
        <f>IF(P10=0,0,Q10/P10)</f>
        <v>-25.162499999999998</v>
      </c>
      <c r="P10" s="92">
        <v>24</v>
      </c>
      <c r="Q10" s="80">
        <v>-603.9</v>
      </c>
    </row>
    <row r="11" spans="1:17" x14ac:dyDescent="0.45">
      <c r="A11" s="40" t="s">
        <v>121</v>
      </c>
      <c r="B11" s="16">
        <v>91</v>
      </c>
      <c r="C11" s="11">
        <f>IF(B$46=0,0,B11/B$46)</f>
        <v>0.19868995633187772</v>
      </c>
      <c r="E11" s="44" t="s">
        <v>86</v>
      </c>
      <c r="F11" s="41" t="s">
        <v>41</v>
      </c>
      <c r="G11" s="34">
        <v>10</v>
      </c>
      <c r="H11" s="107">
        <f>IF(B$47=0,0,G11/B$47)</f>
        <v>8.6206896551724144E-2</v>
      </c>
      <c r="I11" s="68">
        <v>6</v>
      </c>
      <c r="K11" s="5">
        <v>9</v>
      </c>
      <c r="L11" s="73">
        <v>-292.60000000000002</v>
      </c>
      <c r="N11" s="89" t="s">
        <v>150</v>
      </c>
      <c r="O11" s="99">
        <f>IF(P11=0,0,Q11/P11)</f>
        <v>-10.668749999999999</v>
      </c>
      <c r="P11" s="93">
        <v>16</v>
      </c>
      <c r="Q11" s="81">
        <v>-170.7</v>
      </c>
    </row>
    <row r="12" spans="1:17" x14ac:dyDescent="0.45">
      <c r="A12" s="37" t="s">
        <v>118</v>
      </c>
      <c r="B12" s="34">
        <v>106</v>
      </c>
      <c r="C12" s="31">
        <f>IF(B$46=0,0,B12/B$46)</f>
        <v>0.23144104803493451</v>
      </c>
      <c r="E12" s="44" t="s">
        <v>71</v>
      </c>
      <c r="F12" s="41" t="s">
        <v>26</v>
      </c>
      <c r="G12" s="34">
        <v>9</v>
      </c>
      <c r="H12" s="107">
        <f>IF(B$47=0,0,G12/B$47)</f>
        <v>7.7586206896551727E-2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-4.9266666666666659</v>
      </c>
      <c r="P12" s="94">
        <v>15</v>
      </c>
      <c r="Q12" s="82">
        <v>-73.899999999999991</v>
      </c>
    </row>
    <row r="13" spans="1:17" x14ac:dyDescent="0.45">
      <c r="A13" s="19" t="s">
        <v>123</v>
      </c>
      <c r="B13" s="13">
        <v>52</v>
      </c>
      <c r="C13" s="4">
        <f>IF(B$11=0,0,B13/B$11)</f>
        <v>0.5714285714285714</v>
      </c>
      <c r="E13" s="44" t="s">
        <v>69</v>
      </c>
      <c r="F13" s="41" t="s">
        <v>24</v>
      </c>
      <c r="G13" s="34">
        <v>8</v>
      </c>
      <c r="H13" s="107">
        <f>IF(B$47=0,0,G13/B$47)</f>
        <v>6.8965517241379309E-2</v>
      </c>
      <c r="I13" s="68">
        <v>16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42</v>
      </c>
      <c r="C14" s="4">
        <f>IF(B$12=0,0,B14/B$12)</f>
        <v>0.39622641509433965</v>
      </c>
      <c r="E14" s="44" t="s">
        <v>83</v>
      </c>
      <c r="F14" s="41" t="s">
        <v>38</v>
      </c>
      <c r="G14" s="34">
        <v>7</v>
      </c>
      <c r="H14" s="107">
        <f>IF(B$47=0,0,G14/B$47)</f>
        <v>6.0344827586206899E-2</v>
      </c>
      <c r="I14" s="68">
        <v>5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116</v>
      </c>
      <c r="C15" s="4">
        <f>IF(B$3=0,0,B15/B$3)</f>
        <v>0.25327510917030566</v>
      </c>
      <c r="E15" s="44" t="s">
        <v>78</v>
      </c>
      <c r="F15" s="41" t="s">
        <v>33</v>
      </c>
      <c r="G15" s="34">
        <v>3</v>
      </c>
      <c r="H15" s="107">
        <f>IF(B$47=0,0,G15/B$47)</f>
        <v>2.5862068965517241E-2</v>
      </c>
      <c r="I15" s="68">
        <v>8</v>
      </c>
      <c r="K15" s="5">
        <v>13</v>
      </c>
      <c r="L15" s="73">
        <v>-373.1</v>
      </c>
      <c r="N15" s="88" t="s">
        <v>188</v>
      </c>
      <c r="O15" s="98">
        <f>IF(P15=0,0,Q15/P15)</f>
        <v>34.137499999999996</v>
      </c>
      <c r="P15" s="92">
        <v>8</v>
      </c>
      <c r="Q15" s="80">
        <v>273.09999999999997</v>
      </c>
    </row>
    <row r="16" spans="1:17" x14ac:dyDescent="0.45">
      <c r="A16" s="37" t="s">
        <v>13</v>
      </c>
      <c r="B16" s="34">
        <v>89</v>
      </c>
      <c r="C16" s="31">
        <f>IF(B$3=0,0,B16/B$3)</f>
        <v>0.1943231441048035</v>
      </c>
      <c r="E16" s="44" t="s">
        <v>91</v>
      </c>
      <c r="F16" s="41" t="s">
        <v>46</v>
      </c>
      <c r="G16" s="34">
        <v>3</v>
      </c>
      <c r="H16" s="107">
        <f>IF(B$47=0,0,G16/B$47)</f>
        <v>2.5862068965517241E-2</v>
      </c>
      <c r="I16" s="68">
        <v>3</v>
      </c>
      <c r="K16" s="5">
        <v>14</v>
      </c>
      <c r="L16" s="73">
        <v>-416.90000000000003</v>
      </c>
      <c r="N16" s="89" t="s">
        <v>190</v>
      </c>
      <c r="O16" s="99">
        <f>IF(P16=0,0,Q16/P16)</f>
        <v>-3.1666666666666656</v>
      </c>
      <c r="P16" s="93">
        <v>3</v>
      </c>
      <c r="Q16" s="81">
        <v>-9.4999999999999964</v>
      </c>
    </row>
    <row r="17" spans="1:17" x14ac:dyDescent="0.45">
      <c r="A17" s="37" t="s">
        <v>12</v>
      </c>
      <c r="B17" s="34">
        <v>52</v>
      </c>
      <c r="C17" s="31">
        <f>IF(B$15=0,0,B17/B$15)</f>
        <v>0.44827586206896552</v>
      </c>
      <c r="E17" s="44" t="s">
        <v>81</v>
      </c>
      <c r="F17" s="41" t="s">
        <v>36</v>
      </c>
      <c r="G17" s="34">
        <v>2</v>
      </c>
      <c r="H17" s="107">
        <f>IF(B$47=0,0,G17/B$47)</f>
        <v>1.7241379310344827E-2</v>
      </c>
      <c r="I17" s="68">
        <v>11</v>
      </c>
      <c r="K17" s="5">
        <v>15</v>
      </c>
      <c r="L17" s="73">
        <v>-452.20000000000005</v>
      </c>
      <c r="N17" s="89" t="s">
        <v>191</v>
      </c>
      <c r="O17" s="99">
        <f>IF(P17=0,0,Q17/P17)</f>
        <v>-9.7285714285714295</v>
      </c>
      <c r="P17" s="93">
        <v>21</v>
      </c>
      <c r="Q17" s="81">
        <v>-204.3</v>
      </c>
    </row>
    <row r="18" spans="1:17" x14ac:dyDescent="0.45">
      <c r="A18" s="37" t="s">
        <v>11</v>
      </c>
      <c r="B18" s="34">
        <v>64</v>
      </c>
      <c r="C18" s="31">
        <f>IF(B$15=0,0,B18/B$15)</f>
        <v>0.55172413793103448</v>
      </c>
      <c r="E18" s="44" t="s">
        <v>74</v>
      </c>
      <c r="F18" s="41" t="s">
        <v>29</v>
      </c>
      <c r="G18" s="34">
        <v>1</v>
      </c>
      <c r="H18" s="107">
        <f>IF(B$47=0,0,G18/B$47)</f>
        <v>8.6206896551724137E-3</v>
      </c>
      <c r="I18" s="68">
        <v>1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5">
      <c r="A19" s="37" t="s">
        <v>180</v>
      </c>
      <c r="B19" s="34">
        <v>52</v>
      </c>
      <c r="C19" s="31">
        <f>IF(B$15=0,0,B19/B$15)</f>
        <v>0.44827586206896552</v>
      </c>
      <c r="E19" s="44" t="s">
        <v>92</v>
      </c>
      <c r="F19" s="41" t="s">
        <v>47</v>
      </c>
      <c r="G19" s="34">
        <v>1</v>
      </c>
      <c r="H19" s="107">
        <f>IF(B$47=0,0,G19/B$47)</f>
        <v>8.6206896551724137E-3</v>
      </c>
      <c r="I19" s="68">
        <v>3</v>
      </c>
      <c r="K19" s="5">
        <v>17</v>
      </c>
      <c r="L19" s="73">
        <v>-445.20000000000005</v>
      </c>
      <c r="N19" s="89" t="s">
        <v>195</v>
      </c>
      <c r="O19" s="99">
        <f>IF(P19=0,0,Q19/P19)</f>
        <v>-26.026666666666667</v>
      </c>
      <c r="P19" s="93">
        <v>15</v>
      </c>
      <c r="Q19" s="81">
        <v>-390.40000000000003</v>
      </c>
    </row>
    <row r="20" spans="1:17" x14ac:dyDescent="0.45">
      <c r="A20" s="37" t="s">
        <v>178</v>
      </c>
      <c r="B20" s="34">
        <v>42</v>
      </c>
      <c r="C20" s="31">
        <f>IF(B$15=0,0,B20/B$15)</f>
        <v>0.36206896551724138</v>
      </c>
      <c r="E20" s="44" t="s">
        <v>95</v>
      </c>
      <c r="F20" s="41" t="s">
        <v>50</v>
      </c>
      <c r="G20" s="34">
        <v>1</v>
      </c>
      <c r="H20" s="107">
        <f>IF(B$47=0,0,G20/B$47)</f>
        <v>8.6206896551724137E-3</v>
      </c>
      <c r="I20" s="68">
        <v>1</v>
      </c>
      <c r="K20" s="5">
        <v>18</v>
      </c>
      <c r="L20" s="73">
        <v>-443.20000000000005</v>
      </c>
      <c r="N20" s="89" t="s">
        <v>193</v>
      </c>
      <c r="O20" s="99">
        <f>IF(P20=0,0,Q20/P20)</f>
        <v>-27.289473684210527</v>
      </c>
      <c r="P20" s="93">
        <v>19</v>
      </c>
      <c r="Q20" s="81">
        <v>-518.5</v>
      </c>
    </row>
    <row r="21" spans="1:17" x14ac:dyDescent="0.45">
      <c r="A21" s="37" t="s">
        <v>179</v>
      </c>
      <c r="B21" s="34">
        <v>22</v>
      </c>
      <c r="C21" s="31">
        <f>IF(B$15=0,0,B21/B$15)</f>
        <v>0.18965517241379309</v>
      </c>
      <c r="E21" s="44" t="s">
        <v>73</v>
      </c>
      <c r="F21" s="41" t="s">
        <v>28</v>
      </c>
      <c r="G21" s="34">
        <v>0</v>
      </c>
      <c r="H21" s="107">
        <f>IF(B$47=0,0,G21/B$47)</f>
        <v>0</v>
      </c>
      <c r="I21" s="68">
        <v>11</v>
      </c>
      <c r="K21" s="5">
        <v>19</v>
      </c>
      <c r="L21" s="73">
        <v>-443.70000000000005</v>
      </c>
      <c r="N21" s="89" t="s">
        <v>187</v>
      </c>
      <c r="O21" s="99">
        <f>IF(P21=0,0,Q21/P21)</f>
        <v>-32.171428571428571</v>
      </c>
      <c r="P21" s="93">
        <v>28</v>
      </c>
      <c r="Q21" s="81">
        <v>-900.8</v>
      </c>
    </row>
    <row r="22" spans="1:17" x14ac:dyDescent="0.45">
      <c r="A22" s="37" t="s">
        <v>5</v>
      </c>
      <c r="B22" s="17">
        <f>IF(B$15=0,0,C22/B$15)</f>
        <v>7737.9310344827591</v>
      </c>
      <c r="C22" s="8">
        <v>897600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10</v>
      </c>
      <c r="K22" s="5">
        <v>20</v>
      </c>
      <c r="L22" s="73">
        <v>-467.6</v>
      </c>
      <c r="N22" s="89" t="s">
        <v>199</v>
      </c>
      <c r="O22" s="99">
        <f>IF(P22=0,0,Q22/P22)</f>
        <v>-41.385714285714293</v>
      </c>
      <c r="P22" s="93">
        <v>7</v>
      </c>
      <c r="Q22" s="81">
        <v>-289.70000000000005</v>
      </c>
    </row>
    <row r="23" spans="1:17" x14ac:dyDescent="0.45">
      <c r="A23" s="38" t="s">
        <v>162</v>
      </c>
      <c r="B23" s="114">
        <f>IF($B$15-B$14=0,0,C23/($B$15-B$14))</f>
        <v>8355.405405405405</v>
      </c>
      <c r="C23" s="115">
        <v>618300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-469.5</v>
      </c>
      <c r="N23" s="89" t="s">
        <v>186</v>
      </c>
      <c r="O23" s="99">
        <f>IF(P23=0,0,Q23/P23)</f>
        <v>-67.157142857142858</v>
      </c>
      <c r="P23" s="93">
        <v>7</v>
      </c>
      <c r="Q23" s="81">
        <v>-470.1</v>
      </c>
    </row>
    <row r="24" spans="1:17" x14ac:dyDescent="0.45">
      <c r="A24" s="38" t="s">
        <v>163</v>
      </c>
      <c r="B24" s="114">
        <f>IF(B$14=0,0,C24/B$14)</f>
        <v>6650</v>
      </c>
      <c r="C24" s="115">
        <v>279300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-510.20000000000005</v>
      </c>
    </row>
    <row r="25" spans="1:17" x14ac:dyDescent="0.45">
      <c r="A25" s="38" t="s">
        <v>161</v>
      </c>
      <c r="B25" s="114">
        <f>IF(B$16=0,0,C25/B$16)</f>
        <v>-7925.8426966292136</v>
      </c>
      <c r="C25" s="115">
        <v>-705400</v>
      </c>
      <c r="E25" s="44" t="s">
        <v>79</v>
      </c>
      <c r="F25" s="41" t="s">
        <v>34</v>
      </c>
      <c r="G25" s="34">
        <v>0</v>
      </c>
      <c r="H25" s="107">
        <f>IF(B$47=0,0,G25/B$47)</f>
        <v>0</v>
      </c>
      <c r="I25" s="68">
        <v>13</v>
      </c>
      <c r="K25" s="5">
        <v>23</v>
      </c>
      <c r="L25" s="73">
        <v>-559.5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-565.10000000000014</v>
      </c>
    </row>
    <row r="27" spans="1:17" x14ac:dyDescent="0.45">
      <c r="A27" s="37" t="s">
        <v>156</v>
      </c>
      <c r="B27" s="34">
        <v>19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-612.90000000000009</v>
      </c>
    </row>
    <row r="28" spans="1:17" x14ac:dyDescent="0.45">
      <c r="A28" s="64" t="s">
        <v>134</v>
      </c>
      <c r="B28" s="139">
        <v>6</v>
      </c>
      <c r="C28" s="140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-645.20000000000005</v>
      </c>
    </row>
    <row r="29" spans="1:17" x14ac:dyDescent="0.45">
      <c r="A29" s="40" t="s">
        <v>177</v>
      </c>
      <c r="B29" s="137">
        <v>85100</v>
      </c>
      <c r="C29" s="138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-648.10000000000014</v>
      </c>
    </row>
    <row r="30" spans="1:17" x14ac:dyDescent="0.45">
      <c r="A30" s="39" t="s">
        <v>135</v>
      </c>
      <c r="B30" s="27">
        <v>2</v>
      </c>
      <c r="C30" s="32">
        <f>IF(B$3=0,0,B30/B$3)</f>
        <v>4.3668122270742356E-3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-693.2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-720.7</v>
      </c>
    </row>
    <row r="32" spans="1:17" x14ac:dyDescent="0.45">
      <c r="A32" s="64" t="s">
        <v>168</v>
      </c>
      <c r="B32" s="121">
        <v>11</v>
      </c>
      <c r="C32" s="119">
        <f>IF(B$15=0,0,B32/B$15)</f>
        <v>9.4827586206896547E-2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-716.30000000000018</v>
      </c>
    </row>
    <row r="33" spans="1:12" x14ac:dyDescent="0.45">
      <c r="A33" s="37" t="s">
        <v>164</v>
      </c>
      <c r="B33" s="34">
        <v>26</v>
      </c>
      <c r="C33" s="31">
        <f t="shared" ref="C33:C44" si="2">IF(B$15=0,0,B33/B$15)</f>
        <v>0.22413793103448276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-757.60000000000014</v>
      </c>
    </row>
    <row r="34" spans="1:12" x14ac:dyDescent="0.45">
      <c r="A34" s="37" t="s">
        <v>165</v>
      </c>
      <c r="B34" s="124">
        <v>25</v>
      </c>
      <c r="C34" s="31">
        <f>IF(B$15=0,0,B34/B$15)</f>
        <v>0.21551724137931033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-742.70000000000016</v>
      </c>
    </row>
    <row r="35" spans="1:12" x14ac:dyDescent="0.45">
      <c r="A35" s="37" t="s">
        <v>166</v>
      </c>
      <c r="B35" s="124">
        <v>16</v>
      </c>
      <c r="C35" s="31">
        <f t="shared" si="2"/>
        <v>0.13793103448275862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37" t="s">
        <v>167</v>
      </c>
      <c r="B36" s="124">
        <v>16</v>
      </c>
      <c r="C36" s="31">
        <f t="shared" si="2"/>
        <v>0.13793103448275862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-780.90000000000009</v>
      </c>
    </row>
    <row r="37" spans="1:12" x14ac:dyDescent="0.45">
      <c r="A37" s="37" t="s">
        <v>169</v>
      </c>
      <c r="B37" s="124">
        <v>7</v>
      </c>
      <c r="C37" s="31">
        <f t="shared" si="2"/>
        <v>6.0344827586206899E-2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-731.80000000000018</v>
      </c>
    </row>
    <row r="38" spans="1:12" x14ac:dyDescent="0.45">
      <c r="A38" s="37" t="s">
        <v>170</v>
      </c>
      <c r="B38" s="124">
        <v>6</v>
      </c>
      <c r="C38" s="31">
        <f t="shared" si="2"/>
        <v>5.1724137931034482E-2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171</v>
      </c>
      <c r="B39" s="124">
        <v>6</v>
      </c>
      <c r="C39" s="31">
        <f t="shared" si="2"/>
        <v>5.1724137931034482E-2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-735.20000000000016</v>
      </c>
    </row>
    <row r="41" spans="1:12" x14ac:dyDescent="0.45">
      <c r="A41" s="37" t="s">
        <v>173</v>
      </c>
      <c r="B41" s="124">
        <v>1</v>
      </c>
      <c r="C41" s="31">
        <f t="shared" si="2"/>
        <v>8.6206896551724137E-3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-765.10000000000014</v>
      </c>
    </row>
    <row r="42" spans="1:12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9" t="s">
        <v>176</v>
      </c>
      <c r="B44" s="120">
        <v>2</v>
      </c>
      <c r="C44" s="32">
        <f t="shared" si="2"/>
        <v>1.7241379310344827E-2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-824.50000000000011</v>
      </c>
    </row>
    <row r="46" spans="1:12" x14ac:dyDescent="0.45">
      <c r="A46" s="64" t="s">
        <v>181</v>
      </c>
      <c r="B46" s="127">
        <v>458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-775.30000000000018</v>
      </c>
    </row>
    <row r="47" spans="1:12" x14ac:dyDescent="0.45">
      <c r="A47" s="39" t="s">
        <v>182</v>
      </c>
      <c r="B47" s="135">
        <v>116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-866.30000000000007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  <row r="53" spans="5:12" x14ac:dyDescent="0.45">
      <c r="K53" s="5">
        <v>51</v>
      </c>
      <c r="L53" s="73">
        <v>-897.40000000000009</v>
      </c>
    </row>
    <row r="54" spans="5:12" x14ac:dyDescent="0.45">
      <c r="K54" s="5">
        <v>52</v>
      </c>
      <c r="L54" s="73">
        <v>-915.90000000000009</v>
      </c>
    </row>
    <row r="55" spans="5:12" x14ac:dyDescent="0.45">
      <c r="K55" s="5">
        <v>53</v>
      </c>
      <c r="L55" s="73">
        <v>-880.7</v>
      </c>
    </row>
    <row r="56" spans="5:12" x14ac:dyDescent="0.45">
      <c r="K56" s="5">
        <v>54</v>
      </c>
      <c r="L56" s="73">
        <v>-851.80000000000007</v>
      </c>
    </row>
    <row r="57" spans="5:12" x14ac:dyDescent="0.45">
      <c r="K57" s="5">
        <v>55</v>
      </c>
      <c r="L57" s="73">
        <v>-848.50000000000011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3FFA0-A583-4478-8B9D-15AD7423797A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25" t="s">
        <v>198</v>
      </c>
      <c r="C1" s="126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29">
        <v>32</v>
      </c>
      <c r="C3" s="130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16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1">
        <v>-56.2</v>
      </c>
      <c r="C4" s="132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16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3">
        <f>IF(B$2=0,0,B$4/B$2)</f>
        <v>-14.05</v>
      </c>
      <c r="C5" s="134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12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41">
        <f>IF(B$2=0,0,(B$7*1+B$8*2+B$9*3)/B$2)</f>
        <v>2.25</v>
      </c>
      <c r="C6" s="142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10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17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3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4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15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5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10</v>
      </c>
    </row>
    <row r="19" spans="1:9" x14ac:dyDescent="0.45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5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5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13</v>
      </c>
    </row>
    <row r="22" spans="1:9" x14ac:dyDescent="0.45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13</v>
      </c>
    </row>
    <row r="23" spans="1:9" x14ac:dyDescent="0.45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5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5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9" x14ac:dyDescent="0.45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</row>
    <row r="27" spans="1:9" x14ac:dyDescent="0.45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</row>
    <row r="28" spans="1:9" x14ac:dyDescent="0.45">
      <c r="A28" s="64" t="s">
        <v>134</v>
      </c>
      <c r="B28" s="139">
        <v>2</v>
      </c>
      <c r="C28" s="140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9" x14ac:dyDescent="0.45">
      <c r="A29" s="40" t="s">
        <v>177</v>
      </c>
      <c r="B29" s="137">
        <v>55200</v>
      </c>
      <c r="C29" s="138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1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4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4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4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4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4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4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4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4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4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4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0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35">
        <v>10</v>
      </c>
      <c r="C47" s="13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1064</vt:i4>
      </vt:variant>
    </vt:vector>
  </HeadingPairs>
  <TitlesOfParts>
    <vt:vector size="1085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2019-11-30T16:34:58Z</dcterms:modified>
</cp:coreProperties>
</file>