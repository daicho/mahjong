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AD77FD4B-0C9B-4F45-8374-3600B28E1A79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847" r:id="rId4"/>
    <sheet name="だいち" sheetId="3848" r:id="rId5"/>
    <sheet name="かこたろう" sheetId="3849" r:id="rId6"/>
    <sheet name="ともき" sheetId="3850" r:id="rId7"/>
    <sheet name="りくと" sheetId="3851" r:id="rId8"/>
    <sheet name="いっしー" sheetId="3852" r:id="rId9"/>
    <sheet name="がくと" sheetId="3853" r:id="rId10"/>
    <sheet name="たかの" sheetId="3854" r:id="rId11"/>
    <sheet name="ただ" sheetId="3855" r:id="rId12"/>
    <sheet name="やがさき" sheetId="3856" r:id="rId13"/>
    <sheet name="れんたろう" sheetId="3857" r:id="rId14"/>
    <sheet name="あさひ" sheetId="3858" r:id="rId15"/>
    <sheet name="まっつん" sheetId="3859" r:id="rId16"/>
    <sheet name="ぱぱ" sheetId="3860" r:id="rId17"/>
    <sheet name="ほたに" sheetId="3861" r:id="rId18"/>
    <sheet name="かわたつ" sheetId="3862" r:id="rId19"/>
    <sheet name="のり" sheetId="3863" r:id="rId20"/>
    <sheet name="ちさと" sheetId="3864" r:id="rId21"/>
    <sheet name="たか" sheetId="3865" r:id="rId22"/>
    <sheet name="ゆう" sheetId="386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866" l="1"/>
  <c r="O16" i="3866"/>
  <c r="O15" i="3866"/>
  <c r="H52" i="3866"/>
  <c r="H4" i="3866"/>
  <c r="H51" i="3866"/>
  <c r="H50" i="3866"/>
  <c r="H49" i="3866"/>
  <c r="C48" i="3866"/>
  <c r="H48" i="3866"/>
  <c r="C47" i="3866"/>
  <c r="H47" i="3866"/>
  <c r="C46" i="3866"/>
  <c r="H46" i="3866"/>
  <c r="C45" i="3866"/>
  <c r="H45" i="3866"/>
  <c r="C44" i="3866"/>
  <c r="H44" i="3866"/>
  <c r="C43" i="3866"/>
  <c r="H43" i="3866"/>
  <c r="C42" i="3866"/>
  <c r="H42" i="3866"/>
  <c r="C41" i="3866"/>
  <c r="H41" i="3866"/>
  <c r="C40" i="3866"/>
  <c r="H40" i="3866"/>
  <c r="C39" i="3866"/>
  <c r="H39" i="3866"/>
  <c r="C38" i="3866"/>
  <c r="H38" i="3866"/>
  <c r="C37" i="3866"/>
  <c r="H37" i="3866"/>
  <c r="C36" i="3866"/>
  <c r="H36" i="3866"/>
  <c r="H35" i="3866"/>
  <c r="C34" i="3866"/>
  <c r="H34" i="3866"/>
  <c r="H33" i="3866"/>
  <c r="H32" i="3866"/>
  <c r="H31" i="3866"/>
  <c r="H30" i="3866"/>
  <c r="B29" i="3866"/>
  <c r="H29" i="3866"/>
  <c r="B28" i="3866"/>
  <c r="H9" i="3866"/>
  <c r="B27" i="3866"/>
  <c r="H28" i="3866"/>
  <c r="B26" i="3866"/>
  <c r="H12" i="3866"/>
  <c r="C25" i="3866"/>
  <c r="H27" i="3866"/>
  <c r="C24" i="3866"/>
  <c r="H26" i="3866"/>
  <c r="C23" i="3866"/>
  <c r="H25" i="3866"/>
  <c r="C22" i="3866"/>
  <c r="H24" i="3866"/>
  <c r="C21" i="3866"/>
  <c r="H23" i="3866"/>
  <c r="C20" i="3866"/>
  <c r="H22" i="3866"/>
  <c r="C19" i="3866"/>
  <c r="H21" i="3866"/>
  <c r="C18" i="3866"/>
  <c r="H20" i="3866"/>
  <c r="C17" i="3866"/>
  <c r="H5" i="3866"/>
  <c r="C16" i="3866"/>
  <c r="H19" i="3866"/>
  <c r="C15" i="3866"/>
  <c r="H18" i="3866"/>
  <c r="C14" i="3866"/>
  <c r="H17" i="3866"/>
  <c r="B13" i="3866"/>
  <c r="O12" i="3866"/>
  <c r="H16" i="3866"/>
  <c r="B12" i="3866"/>
  <c r="O11" i="3866"/>
  <c r="H15" i="3866"/>
  <c r="B11" i="3866"/>
  <c r="O10" i="3866"/>
  <c r="H8" i="3866"/>
  <c r="B10" i="3866"/>
  <c r="H14" i="3866"/>
  <c r="C9" i="3866"/>
  <c r="H13" i="3866"/>
  <c r="C8" i="3866"/>
  <c r="O7" i="3866"/>
  <c r="H7" i="3866"/>
  <c r="C7" i="3866"/>
  <c r="O6" i="3866"/>
  <c r="H6" i="3866"/>
  <c r="B6" i="3866"/>
  <c r="O5" i="3866"/>
  <c r="H11" i="3866"/>
  <c r="B5" i="3866"/>
  <c r="O4" i="3866"/>
  <c r="H3" i="3866"/>
  <c r="O3" i="3866"/>
  <c r="H10" i="3866"/>
  <c r="O2" i="3866"/>
  <c r="H2" i="3866"/>
  <c r="O20" i="3865"/>
  <c r="O19" i="3865"/>
  <c r="O18" i="3865"/>
  <c r="O17" i="3865"/>
  <c r="O16" i="3865"/>
  <c r="O15" i="3865"/>
  <c r="H52" i="3865"/>
  <c r="H5" i="3865"/>
  <c r="H51" i="3865"/>
  <c r="H50" i="3865"/>
  <c r="H49" i="3865"/>
  <c r="C48" i="3865"/>
  <c r="H48" i="3865"/>
  <c r="C47" i="3865"/>
  <c r="H47" i="3865"/>
  <c r="C46" i="3865"/>
  <c r="H46" i="3865"/>
  <c r="C45" i="3865"/>
  <c r="H45" i="3865"/>
  <c r="C44" i="3865"/>
  <c r="H44" i="3865"/>
  <c r="C43" i="3865"/>
  <c r="H43" i="3865"/>
  <c r="C42" i="3865"/>
  <c r="H42" i="3865"/>
  <c r="C41" i="3865"/>
  <c r="H41" i="3865"/>
  <c r="C40" i="3865"/>
  <c r="H40" i="3865"/>
  <c r="C39" i="3865"/>
  <c r="H39" i="3865"/>
  <c r="C38" i="3865"/>
  <c r="H38" i="3865"/>
  <c r="C37" i="3865"/>
  <c r="H37" i="3865"/>
  <c r="C36" i="3865"/>
  <c r="H36" i="3865"/>
  <c r="H35" i="3865"/>
  <c r="C34" i="3865"/>
  <c r="H34" i="3865"/>
  <c r="H33" i="3865"/>
  <c r="H32" i="3865"/>
  <c r="H31" i="3865"/>
  <c r="H14" i="3865"/>
  <c r="B29" i="3865"/>
  <c r="H30" i="3865"/>
  <c r="B28" i="3865"/>
  <c r="H13" i="3865"/>
  <c r="B27" i="3865"/>
  <c r="H29" i="3865"/>
  <c r="B26" i="3865"/>
  <c r="H28" i="3865"/>
  <c r="C25" i="3865"/>
  <c r="H27" i="3865"/>
  <c r="C24" i="3865"/>
  <c r="H26" i="3865"/>
  <c r="C23" i="3865"/>
  <c r="H25" i="3865"/>
  <c r="C22" i="3865"/>
  <c r="H24" i="3865"/>
  <c r="C21" i="3865"/>
  <c r="H23" i="3865"/>
  <c r="C20" i="3865"/>
  <c r="H12" i="3865"/>
  <c r="C19" i="3865"/>
  <c r="H22" i="3865"/>
  <c r="C18" i="3865"/>
  <c r="H21" i="3865"/>
  <c r="C17" i="3865"/>
  <c r="H20" i="3865"/>
  <c r="C16" i="3865"/>
  <c r="H19" i="3865"/>
  <c r="C15" i="3865"/>
  <c r="H18" i="3865"/>
  <c r="C14" i="3865"/>
  <c r="H17" i="3865"/>
  <c r="B13" i="3865"/>
  <c r="O12" i="3865"/>
  <c r="H16" i="3865"/>
  <c r="B12" i="3865"/>
  <c r="O11" i="3865"/>
  <c r="H15" i="3865"/>
  <c r="B11" i="3865"/>
  <c r="O10" i="3865"/>
  <c r="H8" i="3865"/>
  <c r="B10" i="3865"/>
  <c r="H11" i="3865"/>
  <c r="C9" i="3865"/>
  <c r="H10" i="3865"/>
  <c r="C8" i="3865"/>
  <c r="O7" i="3865"/>
  <c r="H7" i="3865"/>
  <c r="C7" i="3865"/>
  <c r="O6" i="3865"/>
  <c r="H6" i="3865"/>
  <c r="B6" i="3865"/>
  <c r="O5" i="3865"/>
  <c r="H4" i="3865"/>
  <c r="B5" i="3865"/>
  <c r="O4" i="3865"/>
  <c r="H2" i="3865"/>
  <c r="O3" i="3865"/>
  <c r="H9" i="3865"/>
  <c r="O2" i="3865"/>
  <c r="H3" i="3865"/>
  <c r="O23" i="3850"/>
  <c r="O21" i="3850"/>
  <c r="O19" i="3850"/>
  <c r="O18" i="3850"/>
  <c r="O15" i="3850"/>
  <c r="O19" i="3852"/>
  <c r="O17" i="3860"/>
  <c r="O23" i="3863"/>
  <c r="O21" i="3863"/>
  <c r="O19" i="3863"/>
  <c r="O18" i="3863"/>
  <c r="O17" i="3863"/>
  <c r="O16" i="3863"/>
  <c r="O15" i="3863"/>
  <c r="O27" i="3859"/>
  <c r="O20" i="3859"/>
  <c r="O18" i="3857"/>
  <c r="O15" i="3851"/>
  <c r="O23" i="3855"/>
  <c r="O19" i="3848"/>
  <c r="O26" i="3854"/>
  <c r="O23" i="3854"/>
  <c r="O15" i="3854"/>
  <c r="O17" i="3847"/>
  <c r="O16" i="3864"/>
  <c r="O15" i="3864"/>
  <c r="H52" i="3864"/>
  <c r="H5" i="3864"/>
  <c r="H51" i="3864"/>
  <c r="H50" i="3864"/>
  <c r="H49" i="3864"/>
  <c r="C48" i="3864"/>
  <c r="H48" i="3864"/>
  <c r="C47" i="3864"/>
  <c r="H47" i="3864"/>
  <c r="C46" i="3864"/>
  <c r="H46" i="3864"/>
  <c r="C45" i="3864"/>
  <c r="H45" i="3864"/>
  <c r="C44" i="3864"/>
  <c r="H44" i="3864"/>
  <c r="C43" i="3864"/>
  <c r="H43" i="3864"/>
  <c r="C42" i="3864"/>
  <c r="H42" i="3864"/>
  <c r="C41" i="3864"/>
  <c r="H41" i="3864"/>
  <c r="C40" i="3864"/>
  <c r="H40" i="3864"/>
  <c r="C39" i="3864"/>
  <c r="H39" i="3864"/>
  <c r="C38" i="3864"/>
  <c r="H38" i="3864"/>
  <c r="C37" i="3864"/>
  <c r="H37" i="3864"/>
  <c r="C36" i="3864"/>
  <c r="H36" i="3864"/>
  <c r="H35" i="3864"/>
  <c r="C34" i="3864"/>
  <c r="H34" i="3864"/>
  <c r="H33" i="3864"/>
  <c r="H32" i="3864"/>
  <c r="H31" i="3864"/>
  <c r="H30" i="3864"/>
  <c r="B29" i="3864"/>
  <c r="H29" i="3864"/>
  <c r="B28" i="3864"/>
  <c r="H13" i="3864"/>
  <c r="B27" i="3864"/>
  <c r="H28" i="3864"/>
  <c r="B26" i="3864"/>
  <c r="H27" i="3864"/>
  <c r="C25" i="3864"/>
  <c r="H12" i="3864"/>
  <c r="C24" i="3864"/>
  <c r="H26" i="3864"/>
  <c r="C23" i="3864"/>
  <c r="H25" i="3864"/>
  <c r="C22" i="3864"/>
  <c r="H11" i="3864"/>
  <c r="C21" i="3864"/>
  <c r="H24" i="3864"/>
  <c r="C20" i="3864"/>
  <c r="H10" i="3864"/>
  <c r="C19" i="3864"/>
  <c r="H23" i="3864"/>
  <c r="C18" i="3864"/>
  <c r="H22" i="3864"/>
  <c r="C17" i="3864"/>
  <c r="H21" i="3864"/>
  <c r="C16" i="3864"/>
  <c r="H20" i="3864"/>
  <c r="C15" i="3864"/>
  <c r="H19" i="3864"/>
  <c r="C14" i="3864"/>
  <c r="H18" i="3864"/>
  <c r="O12" i="3864"/>
  <c r="H17" i="3864"/>
  <c r="B12" i="3864"/>
  <c r="O11" i="3864"/>
  <c r="H16" i="3864"/>
  <c r="B11" i="3864"/>
  <c r="O10" i="3864"/>
  <c r="H2" i="3864"/>
  <c r="B10" i="3864"/>
  <c r="H15" i="3864"/>
  <c r="C9" i="3864"/>
  <c r="H14" i="3864"/>
  <c r="C8" i="3864"/>
  <c r="O7" i="3864"/>
  <c r="H9" i="3864"/>
  <c r="C7" i="3864"/>
  <c r="O6" i="3864"/>
  <c r="H8" i="3864"/>
  <c r="B6" i="3864"/>
  <c r="O5" i="3864"/>
  <c r="H7" i="3864"/>
  <c r="B5" i="3864"/>
  <c r="O4" i="3864"/>
  <c r="H4" i="3864"/>
  <c r="O3" i="3864"/>
  <c r="H6" i="3864"/>
  <c r="O2" i="3864"/>
  <c r="H3" i="3864"/>
  <c r="O25" i="3863"/>
  <c r="O22" i="3863"/>
  <c r="O20" i="3863"/>
  <c r="O24" i="3863"/>
  <c r="H52" i="3863"/>
  <c r="H5" i="3863"/>
  <c r="H23" i="3863"/>
  <c r="H51" i="3863"/>
  <c r="H50" i="3863"/>
  <c r="C48" i="3863"/>
  <c r="H49" i="3863"/>
  <c r="C47" i="3863"/>
  <c r="H48" i="3863"/>
  <c r="C46" i="3863"/>
  <c r="H47" i="3863"/>
  <c r="C45" i="3863"/>
  <c r="H46" i="3863"/>
  <c r="C44" i="3863"/>
  <c r="H45" i="3863"/>
  <c r="C43" i="3863"/>
  <c r="H44" i="3863"/>
  <c r="C42" i="3863"/>
  <c r="H43" i="3863"/>
  <c r="C41" i="3863"/>
  <c r="H42" i="3863"/>
  <c r="C40" i="3863"/>
  <c r="H41" i="3863"/>
  <c r="C39" i="3863"/>
  <c r="H40" i="3863"/>
  <c r="C38" i="3863"/>
  <c r="H39" i="3863"/>
  <c r="C37" i="3863"/>
  <c r="H38" i="3863"/>
  <c r="C36" i="3863"/>
  <c r="H37" i="3863"/>
  <c r="H36" i="3863"/>
  <c r="C34" i="3863"/>
  <c r="H22" i="3863"/>
  <c r="H35" i="3863"/>
  <c r="H34" i="3863"/>
  <c r="H21" i="3863"/>
  <c r="H16" i="3863"/>
  <c r="B29" i="3863"/>
  <c r="H33" i="3863"/>
  <c r="B28" i="3863"/>
  <c r="H8" i="3863"/>
  <c r="B27" i="3863"/>
  <c r="H32" i="3863"/>
  <c r="B26" i="3863"/>
  <c r="H31" i="3863"/>
  <c r="C25" i="3863"/>
  <c r="H13" i="3863"/>
  <c r="C24" i="3863"/>
  <c r="H30" i="3863"/>
  <c r="C23" i="3863"/>
  <c r="H29" i="3863"/>
  <c r="C22" i="3863"/>
  <c r="H15" i="3863"/>
  <c r="C21" i="3863"/>
  <c r="H28" i="3863"/>
  <c r="C20" i="3863"/>
  <c r="H14" i="3863"/>
  <c r="C19" i="3863"/>
  <c r="H27" i="3863"/>
  <c r="C18" i="3863"/>
  <c r="H20" i="3863"/>
  <c r="C17" i="3863"/>
  <c r="H17" i="3863"/>
  <c r="C16" i="3863"/>
  <c r="H26" i="3863"/>
  <c r="C15" i="3863"/>
  <c r="H25" i="3863"/>
  <c r="C14" i="3863"/>
  <c r="H24" i="3863"/>
  <c r="O12" i="3863"/>
  <c r="H19" i="3863"/>
  <c r="B12" i="3863"/>
  <c r="O11" i="3863"/>
  <c r="H18" i="3863"/>
  <c r="B11" i="3863"/>
  <c r="B13" i="3863" s="1"/>
  <c r="O10" i="3863"/>
  <c r="H3" i="3863"/>
  <c r="B10" i="3863"/>
  <c r="H12" i="3863"/>
  <c r="C9" i="3863"/>
  <c r="H10" i="3863"/>
  <c r="C8" i="3863"/>
  <c r="O7" i="3863"/>
  <c r="H11" i="3863"/>
  <c r="C7" i="3863"/>
  <c r="O6" i="3863"/>
  <c r="H6" i="3863"/>
  <c r="B6" i="3863"/>
  <c r="O5" i="3863"/>
  <c r="H7" i="3863"/>
  <c r="B5" i="3863"/>
  <c r="O4" i="3863"/>
  <c r="H2" i="3863"/>
  <c r="O3" i="3863"/>
  <c r="H9" i="3863"/>
  <c r="O2" i="3863"/>
  <c r="H4" i="3863"/>
  <c r="O16" i="3862"/>
  <c r="O15" i="3862"/>
  <c r="H52" i="3862"/>
  <c r="H7" i="3862"/>
  <c r="H51" i="3862"/>
  <c r="H50" i="3862"/>
  <c r="H49" i="3862"/>
  <c r="C48" i="3862"/>
  <c r="H48" i="3862"/>
  <c r="C47" i="3862"/>
  <c r="H47" i="3862"/>
  <c r="C46" i="3862"/>
  <c r="H46" i="3862"/>
  <c r="C45" i="3862"/>
  <c r="H45" i="3862"/>
  <c r="C44" i="3862"/>
  <c r="H44" i="3862"/>
  <c r="C43" i="3862"/>
  <c r="H43" i="3862"/>
  <c r="C42" i="3862"/>
  <c r="H42" i="3862"/>
  <c r="C41" i="3862"/>
  <c r="H41" i="3862"/>
  <c r="C40" i="3862"/>
  <c r="H40" i="3862"/>
  <c r="C39" i="3862"/>
  <c r="H39" i="3862"/>
  <c r="C38" i="3862"/>
  <c r="H38" i="3862"/>
  <c r="C37" i="3862"/>
  <c r="H37" i="3862"/>
  <c r="C36" i="3862"/>
  <c r="H36" i="3862"/>
  <c r="H35" i="3862"/>
  <c r="C34" i="3862"/>
  <c r="H34" i="3862"/>
  <c r="H33" i="3862"/>
  <c r="H32" i="3862"/>
  <c r="H31" i="3862"/>
  <c r="H30" i="3862"/>
  <c r="B29" i="3862"/>
  <c r="H29" i="3862"/>
  <c r="B28" i="3862"/>
  <c r="H28" i="3862"/>
  <c r="B27" i="3862"/>
  <c r="H27" i="3862"/>
  <c r="B26" i="3862"/>
  <c r="H26" i="3862"/>
  <c r="C25" i="3862"/>
  <c r="H25" i="3862"/>
  <c r="C24" i="3862"/>
  <c r="H24" i="3862"/>
  <c r="C23" i="3862"/>
  <c r="H23" i="3862"/>
  <c r="C22" i="3862"/>
  <c r="H22" i="3862"/>
  <c r="C21" i="3862"/>
  <c r="H21" i="3862"/>
  <c r="C20" i="3862"/>
  <c r="H6" i="3862"/>
  <c r="C19" i="3862"/>
  <c r="H20" i="3862"/>
  <c r="C18" i="3862"/>
  <c r="H19" i="3862"/>
  <c r="C17" i="3862"/>
  <c r="H18" i="3862"/>
  <c r="C16" i="3862"/>
  <c r="H17" i="3862"/>
  <c r="C15" i="3862"/>
  <c r="H16" i="3862"/>
  <c r="C14" i="3862"/>
  <c r="H15" i="3862"/>
  <c r="O12" i="3862"/>
  <c r="H14" i="3862"/>
  <c r="B12" i="3862"/>
  <c r="O11" i="3862"/>
  <c r="H13" i="3862"/>
  <c r="B11" i="3862"/>
  <c r="O10" i="3862"/>
  <c r="H12" i="3862"/>
  <c r="B10" i="3862"/>
  <c r="B13" i="3862" s="1"/>
  <c r="H11" i="3862"/>
  <c r="C9" i="3862"/>
  <c r="H10" i="3862"/>
  <c r="C8" i="3862"/>
  <c r="O7" i="3862"/>
  <c r="H9" i="3862"/>
  <c r="C7" i="3862"/>
  <c r="O6" i="3862"/>
  <c r="H5" i="3862"/>
  <c r="B6" i="3862"/>
  <c r="O5" i="3862"/>
  <c r="H4" i="3862"/>
  <c r="B5" i="3862"/>
  <c r="O4" i="3862"/>
  <c r="H2" i="3862"/>
  <c r="O3" i="3862"/>
  <c r="H8" i="3862"/>
  <c r="O2" i="3862"/>
  <c r="H3" i="3862"/>
  <c r="O22" i="3861"/>
  <c r="O21" i="3861"/>
  <c r="O17" i="3861"/>
  <c r="O20" i="3861"/>
  <c r="O19" i="3861"/>
  <c r="O18" i="3861"/>
  <c r="O16" i="3861"/>
  <c r="O15" i="3861"/>
  <c r="H52" i="3861"/>
  <c r="H7" i="3861"/>
  <c r="H51" i="3861"/>
  <c r="H50" i="3861"/>
  <c r="H49" i="3861"/>
  <c r="C48" i="3861"/>
  <c r="H48" i="3861"/>
  <c r="C47" i="3861"/>
  <c r="H47" i="3861"/>
  <c r="C46" i="3861"/>
  <c r="H46" i="3861"/>
  <c r="C45" i="3861"/>
  <c r="H45" i="3861"/>
  <c r="C44" i="3861"/>
  <c r="H44" i="3861"/>
  <c r="C43" i="3861"/>
  <c r="H43" i="3861"/>
  <c r="C42" i="3861"/>
  <c r="H42" i="3861"/>
  <c r="C41" i="3861"/>
  <c r="H41" i="3861"/>
  <c r="C40" i="3861"/>
  <c r="H40" i="3861"/>
  <c r="C39" i="3861"/>
  <c r="H39" i="3861"/>
  <c r="C38" i="3861"/>
  <c r="H38" i="3861"/>
  <c r="C37" i="3861"/>
  <c r="H37" i="3861"/>
  <c r="C36" i="3861"/>
  <c r="H36" i="3861"/>
  <c r="H35" i="3861"/>
  <c r="C34" i="3861"/>
  <c r="H34" i="3861"/>
  <c r="H33" i="3861"/>
  <c r="H32" i="3861"/>
  <c r="H31" i="3861"/>
  <c r="H30" i="3861"/>
  <c r="B29" i="3861"/>
  <c r="H29" i="3861"/>
  <c r="B28" i="3861"/>
  <c r="H8" i="3861"/>
  <c r="B27" i="3861"/>
  <c r="H28" i="3861"/>
  <c r="B26" i="3861"/>
  <c r="H27" i="3861"/>
  <c r="C25" i="3861"/>
  <c r="H11" i="3861"/>
  <c r="C24" i="3861"/>
  <c r="H26" i="3861"/>
  <c r="C23" i="3861"/>
  <c r="H25" i="3861"/>
  <c r="C22" i="3861"/>
  <c r="H14" i="3861"/>
  <c r="C21" i="3861"/>
  <c r="H24" i="3861"/>
  <c r="C20" i="3861"/>
  <c r="H18" i="3861"/>
  <c r="C19" i="3861"/>
  <c r="H23" i="3861"/>
  <c r="C18" i="3861"/>
  <c r="H17" i="3861"/>
  <c r="C17" i="3861"/>
  <c r="H13" i="3861"/>
  <c r="C16" i="3861"/>
  <c r="H15" i="3861"/>
  <c r="C15" i="3861"/>
  <c r="H22" i="3861"/>
  <c r="C14" i="3861"/>
  <c r="H21" i="3861"/>
  <c r="O12" i="3861"/>
  <c r="H20" i="3861"/>
  <c r="B12" i="3861"/>
  <c r="O11" i="3861"/>
  <c r="H19" i="3861"/>
  <c r="B11" i="3861"/>
  <c r="O10" i="3861"/>
  <c r="H2" i="3861"/>
  <c r="B10" i="3861"/>
  <c r="B13" i="3861" s="1"/>
  <c r="H16" i="3861"/>
  <c r="C9" i="3861"/>
  <c r="H12" i="3861"/>
  <c r="C8" i="3861"/>
  <c r="O7" i="3861"/>
  <c r="H9" i="3861"/>
  <c r="C7" i="3861"/>
  <c r="O6" i="3861"/>
  <c r="H6" i="3861"/>
  <c r="B6" i="3861"/>
  <c r="O5" i="3861"/>
  <c r="H5" i="3861"/>
  <c r="B5" i="3861"/>
  <c r="O4" i="3861"/>
  <c r="H3" i="3861"/>
  <c r="O3" i="3861"/>
  <c r="H10" i="3861"/>
  <c r="O2" i="3861"/>
  <c r="H4" i="3861"/>
  <c r="O22" i="3858"/>
  <c r="O16" i="3858"/>
  <c r="O15" i="3858"/>
  <c r="O28" i="3859"/>
  <c r="O17" i="3859"/>
  <c r="O15" i="3859"/>
  <c r="O16" i="3859"/>
  <c r="O24" i="3860"/>
  <c r="O25" i="3860"/>
  <c r="O18" i="3860"/>
  <c r="O15" i="3860"/>
  <c r="O22" i="3854"/>
  <c r="O17" i="3854"/>
  <c r="O28" i="3857"/>
  <c r="O21" i="3857"/>
  <c r="O20" i="3855"/>
  <c r="O15" i="3855"/>
  <c r="O16" i="3855"/>
  <c r="O25" i="3851"/>
  <c r="O29" i="3848"/>
  <c r="O20" i="3848"/>
  <c r="O17" i="3848"/>
  <c r="O32" i="3847"/>
  <c r="O26" i="3847"/>
  <c r="O18" i="3847"/>
  <c r="O19" i="3847"/>
  <c r="B13" i="3864" l="1"/>
  <c r="O20" i="3860" l="1"/>
  <c r="O19" i="3860"/>
  <c r="O22" i="3860"/>
  <c r="O23" i="3860"/>
  <c r="O26" i="3860"/>
  <c r="O16" i="3860"/>
  <c r="O21" i="3860"/>
  <c r="H52" i="3860"/>
  <c r="H6" i="3860"/>
  <c r="H16" i="3860"/>
  <c r="H51" i="3860"/>
  <c r="H50" i="3860"/>
  <c r="C48" i="3860"/>
  <c r="H49" i="3860"/>
  <c r="C47" i="3860"/>
  <c r="H48" i="3860"/>
  <c r="C46" i="3860"/>
  <c r="H47" i="3860"/>
  <c r="C45" i="3860"/>
  <c r="H24" i="3860"/>
  <c r="C44" i="3860"/>
  <c r="H46" i="3860"/>
  <c r="C43" i="3860"/>
  <c r="H45" i="3860"/>
  <c r="C42" i="3860"/>
  <c r="H44" i="3860"/>
  <c r="C41" i="3860"/>
  <c r="H43" i="3860"/>
  <c r="C40" i="3860"/>
  <c r="H42" i="3860"/>
  <c r="C39" i="3860"/>
  <c r="H41" i="3860"/>
  <c r="C38" i="3860"/>
  <c r="H40" i="3860"/>
  <c r="C37" i="3860"/>
  <c r="H39" i="3860"/>
  <c r="C36" i="3860"/>
  <c r="H38" i="3860"/>
  <c r="H37" i="3860"/>
  <c r="C34" i="3860"/>
  <c r="H36" i="3860"/>
  <c r="H35" i="3860"/>
  <c r="H34" i="3860"/>
  <c r="H33" i="3860"/>
  <c r="H21" i="3860"/>
  <c r="B29" i="3860"/>
  <c r="H32" i="3860"/>
  <c r="B28" i="3860"/>
  <c r="H10" i="3860"/>
  <c r="B27" i="3860"/>
  <c r="H31" i="3860"/>
  <c r="B26" i="3860"/>
  <c r="H20" i="3860"/>
  <c r="C25" i="3860"/>
  <c r="H13" i="3860"/>
  <c r="C24" i="3860"/>
  <c r="H23" i="3860"/>
  <c r="C23" i="3860"/>
  <c r="H30" i="3860"/>
  <c r="C22" i="3860"/>
  <c r="H15" i="3860"/>
  <c r="C21" i="3860"/>
  <c r="H29" i="3860"/>
  <c r="C20" i="3860"/>
  <c r="H19" i="3860"/>
  <c r="C19" i="3860"/>
  <c r="H28" i="3860"/>
  <c r="C18" i="3860"/>
  <c r="H17" i="3860"/>
  <c r="C17" i="3860"/>
  <c r="H14" i="3860"/>
  <c r="C16" i="3860"/>
  <c r="H27" i="3860"/>
  <c r="C15" i="3860"/>
  <c r="H26" i="3860"/>
  <c r="C14" i="3860"/>
  <c r="H22" i="3860"/>
  <c r="O12" i="3860"/>
  <c r="H25" i="3860"/>
  <c r="B12" i="3860"/>
  <c r="O11" i="3860"/>
  <c r="H18" i="3860"/>
  <c r="B11" i="3860"/>
  <c r="O10" i="3860"/>
  <c r="H4" i="3860"/>
  <c r="B10" i="3860"/>
  <c r="H12" i="3860"/>
  <c r="C9" i="3860"/>
  <c r="H9" i="3860"/>
  <c r="C8" i="3860"/>
  <c r="O7" i="3860"/>
  <c r="H8" i="3860"/>
  <c r="C7" i="3860"/>
  <c r="O6" i="3860"/>
  <c r="H5" i="3860"/>
  <c r="B6" i="3860"/>
  <c r="O5" i="3860"/>
  <c r="H7" i="3860"/>
  <c r="B5" i="3860"/>
  <c r="O4" i="3860"/>
  <c r="H2" i="3860"/>
  <c r="O3" i="3860"/>
  <c r="H11" i="3860"/>
  <c r="O2" i="3860"/>
  <c r="H3" i="3860"/>
  <c r="O26" i="3859"/>
  <c r="O25" i="3859"/>
  <c r="O22" i="3859"/>
  <c r="O19" i="3859"/>
  <c r="O23" i="3859"/>
  <c r="O24" i="3859"/>
  <c r="O21" i="3859"/>
  <c r="O18" i="3859"/>
  <c r="H52" i="3859"/>
  <c r="H5" i="3859"/>
  <c r="H20" i="3859"/>
  <c r="H51" i="3859"/>
  <c r="H50" i="3859"/>
  <c r="C48" i="3859"/>
  <c r="H49" i="3859"/>
  <c r="C47" i="3859"/>
  <c r="H48" i="3859"/>
  <c r="C46" i="3859"/>
  <c r="H47" i="3859"/>
  <c r="C45" i="3859"/>
  <c r="H46" i="3859"/>
  <c r="C44" i="3859"/>
  <c r="H45" i="3859"/>
  <c r="C43" i="3859"/>
  <c r="H44" i="3859"/>
  <c r="C42" i="3859"/>
  <c r="H43" i="3859"/>
  <c r="C41" i="3859"/>
  <c r="H42" i="3859"/>
  <c r="C40" i="3859"/>
  <c r="H29" i="3859"/>
  <c r="C39" i="3859"/>
  <c r="H41" i="3859"/>
  <c r="C38" i="3859"/>
  <c r="H40" i="3859"/>
  <c r="C37" i="3859"/>
  <c r="H39" i="3859"/>
  <c r="C36" i="3859"/>
  <c r="H38" i="3859"/>
  <c r="H37" i="3859"/>
  <c r="C34" i="3859"/>
  <c r="H36" i="3859"/>
  <c r="H35" i="3859"/>
  <c r="H28" i="3859"/>
  <c r="H23" i="3859"/>
  <c r="H17" i="3859"/>
  <c r="B29" i="3859"/>
  <c r="H27" i="3859"/>
  <c r="B28" i="3859"/>
  <c r="H9" i="3859"/>
  <c r="B27" i="3859"/>
  <c r="H26" i="3859"/>
  <c r="B26" i="3859"/>
  <c r="H30" i="3859"/>
  <c r="C25" i="3859"/>
  <c r="H14" i="3859"/>
  <c r="C24" i="3859"/>
  <c r="H19" i="3859"/>
  <c r="C23" i="3859"/>
  <c r="H34" i="3859"/>
  <c r="C22" i="3859"/>
  <c r="H13" i="3859"/>
  <c r="C21" i="3859"/>
  <c r="H33" i="3859"/>
  <c r="C20" i="3859"/>
  <c r="H16" i="3859"/>
  <c r="C19" i="3859"/>
  <c r="H32" i="3859"/>
  <c r="C18" i="3859"/>
  <c r="H18" i="3859"/>
  <c r="C17" i="3859"/>
  <c r="H15" i="3859"/>
  <c r="C16" i="3859"/>
  <c r="H25" i="3859"/>
  <c r="C15" i="3859"/>
  <c r="H31" i="3859"/>
  <c r="C14" i="3859"/>
  <c r="H22" i="3859"/>
  <c r="O12" i="3859"/>
  <c r="H24" i="3859"/>
  <c r="B12" i="3859"/>
  <c r="O11" i="3859"/>
  <c r="H21" i="3859"/>
  <c r="B11" i="3859"/>
  <c r="O10" i="3859"/>
  <c r="H3" i="3859"/>
  <c r="B10" i="3859"/>
  <c r="H11" i="3859"/>
  <c r="C9" i="3859"/>
  <c r="H12" i="3859"/>
  <c r="C8" i="3859"/>
  <c r="O7" i="3859"/>
  <c r="H8" i="3859"/>
  <c r="C7" i="3859"/>
  <c r="O6" i="3859"/>
  <c r="H7" i="3859"/>
  <c r="B6" i="3859"/>
  <c r="O5" i="3859"/>
  <c r="H6" i="3859"/>
  <c r="B5" i="3859"/>
  <c r="O4" i="3859"/>
  <c r="H2" i="3859"/>
  <c r="O3" i="3859"/>
  <c r="H10" i="3859"/>
  <c r="O2" i="3859"/>
  <c r="H4" i="3859"/>
  <c r="O21" i="3858"/>
  <c r="O19" i="3858"/>
  <c r="O20" i="3858"/>
  <c r="O18" i="3858"/>
  <c r="O17" i="3858"/>
  <c r="H52" i="3858"/>
  <c r="H13" i="3858"/>
  <c r="H51" i="3858"/>
  <c r="H50" i="3858"/>
  <c r="H49" i="3858"/>
  <c r="C48" i="3858"/>
  <c r="H48" i="3858"/>
  <c r="C47" i="3858"/>
  <c r="H47" i="3858"/>
  <c r="C46" i="3858"/>
  <c r="H46" i="3858"/>
  <c r="C45" i="3858"/>
  <c r="H45" i="3858"/>
  <c r="C44" i="3858"/>
  <c r="H44" i="3858"/>
  <c r="C43" i="3858"/>
  <c r="H43" i="3858"/>
  <c r="C42" i="3858"/>
  <c r="H42" i="3858"/>
  <c r="C41" i="3858"/>
  <c r="H41" i="3858"/>
  <c r="C40" i="3858"/>
  <c r="H40" i="3858"/>
  <c r="C39" i="3858"/>
  <c r="H39" i="3858"/>
  <c r="C38" i="3858"/>
  <c r="H38" i="3858"/>
  <c r="C37" i="3858"/>
  <c r="H37" i="3858"/>
  <c r="C36" i="3858"/>
  <c r="H36" i="3858"/>
  <c r="H35" i="3858"/>
  <c r="C34" i="3858"/>
  <c r="H34" i="3858"/>
  <c r="H33" i="3858"/>
  <c r="H32" i="3858"/>
  <c r="H31" i="3858"/>
  <c r="H14" i="3858"/>
  <c r="B29" i="3858"/>
  <c r="H30" i="3858"/>
  <c r="B28" i="3858"/>
  <c r="H7" i="3858"/>
  <c r="B27" i="3858"/>
  <c r="H29" i="3858"/>
  <c r="B26" i="3858"/>
  <c r="H28" i="3858"/>
  <c r="C25" i="3858"/>
  <c r="H10" i="3858"/>
  <c r="C24" i="3858"/>
  <c r="H27" i="3858"/>
  <c r="C23" i="3858"/>
  <c r="H26" i="3858"/>
  <c r="C22" i="3858"/>
  <c r="H25" i="3858"/>
  <c r="C21" i="3858"/>
  <c r="H24" i="3858"/>
  <c r="C20" i="3858"/>
  <c r="H23" i="3858"/>
  <c r="C19" i="3858"/>
  <c r="H22" i="3858"/>
  <c r="C18" i="3858"/>
  <c r="H21" i="3858"/>
  <c r="C17" i="3858"/>
  <c r="H20" i="3858"/>
  <c r="C16" i="3858"/>
  <c r="H19" i="3858"/>
  <c r="C15" i="3858"/>
  <c r="H18" i="3858"/>
  <c r="C14" i="3858"/>
  <c r="H17" i="3858"/>
  <c r="O12" i="3858"/>
  <c r="H16" i="3858"/>
  <c r="B12" i="3858"/>
  <c r="O11" i="3858"/>
  <c r="H15" i="3858"/>
  <c r="B11" i="3858"/>
  <c r="O10" i="3858"/>
  <c r="H4" i="3858"/>
  <c r="B10" i="3858"/>
  <c r="H12" i="3858"/>
  <c r="C9" i="3858"/>
  <c r="H9" i="3858"/>
  <c r="C8" i="3858"/>
  <c r="O7" i="3858"/>
  <c r="H8" i="3858"/>
  <c r="C7" i="3858"/>
  <c r="O6" i="3858"/>
  <c r="H6" i="3858"/>
  <c r="B6" i="3858"/>
  <c r="O5" i="3858"/>
  <c r="H5" i="3858"/>
  <c r="B5" i="3858"/>
  <c r="O4" i="3858"/>
  <c r="H3" i="3858"/>
  <c r="O3" i="3858"/>
  <c r="H11" i="3858"/>
  <c r="O2" i="3858"/>
  <c r="H2" i="3858"/>
  <c r="O27" i="3857"/>
  <c r="O22" i="3857"/>
  <c r="O26" i="3857"/>
  <c r="O25" i="3857"/>
  <c r="O24" i="3857"/>
  <c r="O19" i="3857"/>
  <c r="O20" i="3857"/>
  <c r="O23" i="3857"/>
  <c r="O17" i="3857"/>
  <c r="O15" i="3857"/>
  <c r="O16" i="3857"/>
  <c r="H52" i="3857"/>
  <c r="H7" i="3857"/>
  <c r="H17" i="3857"/>
  <c r="H51" i="3857"/>
  <c r="H50" i="3857"/>
  <c r="C48" i="3857"/>
  <c r="H49" i="3857"/>
  <c r="C47" i="3857"/>
  <c r="H48" i="3857"/>
  <c r="C46" i="3857"/>
  <c r="H47" i="3857"/>
  <c r="C45" i="3857"/>
  <c r="H46" i="3857"/>
  <c r="C44" i="3857"/>
  <c r="H45" i="3857"/>
  <c r="C43" i="3857"/>
  <c r="H44" i="3857"/>
  <c r="C42" i="3857"/>
  <c r="H43" i="3857"/>
  <c r="C41" i="3857"/>
  <c r="H42" i="3857"/>
  <c r="C40" i="3857"/>
  <c r="H41" i="3857"/>
  <c r="C39" i="3857"/>
  <c r="H40" i="3857"/>
  <c r="C38" i="3857"/>
  <c r="H39" i="3857"/>
  <c r="C37" i="3857"/>
  <c r="H38" i="3857"/>
  <c r="C36" i="3857"/>
  <c r="H32" i="3857"/>
  <c r="H37" i="3857"/>
  <c r="C34" i="3857"/>
  <c r="H31" i="3857"/>
  <c r="H36" i="3857"/>
  <c r="H26" i="3857"/>
  <c r="H20" i="3857"/>
  <c r="H16" i="3857"/>
  <c r="B29" i="3857"/>
  <c r="H27" i="3857"/>
  <c r="B28" i="3857"/>
  <c r="H8" i="3857"/>
  <c r="B27" i="3857"/>
  <c r="H30" i="3857"/>
  <c r="B26" i="3857"/>
  <c r="H28" i="3857"/>
  <c r="C25" i="3857"/>
  <c r="H12" i="3857"/>
  <c r="C24" i="3857"/>
  <c r="H25" i="3857"/>
  <c r="C23" i="3857"/>
  <c r="H24" i="3857"/>
  <c r="C22" i="3857"/>
  <c r="H14" i="3857"/>
  <c r="C21" i="3857"/>
  <c r="H35" i="3857"/>
  <c r="C20" i="3857"/>
  <c r="H18" i="3857"/>
  <c r="C19" i="3857"/>
  <c r="H34" i="3857"/>
  <c r="C18" i="3857"/>
  <c r="H19" i="3857"/>
  <c r="C17" i="3857"/>
  <c r="H15" i="3857"/>
  <c r="C16" i="3857"/>
  <c r="H23" i="3857"/>
  <c r="C15" i="3857"/>
  <c r="H33" i="3857"/>
  <c r="C14" i="3857"/>
  <c r="H22" i="3857"/>
  <c r="O12" i="3857"/>
  <c r="H29" i="3857"/>
  <c r="B12" i="3857"/>
  <c r="O11" i="3857"/>
  <c r="H21" i="3857"/>
  <c r="B11" i="3857"/>
  <c r="O10" i="3857"/>
  <c r="H3" i="3857"/>
  <c r="B10" i="3857"/>
  <c r="H13" i="3857"/>
  <c r="C9" i="3857"/>
  <c r="H11" i="3857"/>
  <c r="C8" i="3857"/>
  <c r="O7" i="3857"/>
  <c r="H9" i="3857"/>
  <c r="C7" i="3857"/>
  <c r="O6" i="3857"/>
  <c r="H6" i="3857"/>
  <c r="B6" i="3857"/>
  <c r="O5" i="3857"/>
  <c r="H5" i="3857"/>
  <c r="B5" i="3857"/>
  <c r="O4" i="3857"/>
  <c r="H2" i="3857"/>
  <c r="O3" i="3857"/>
  <c r="H10" i="3857"/>
  <c r="O2" i="3857"/>
  <c r="H4" i="3857"/>
  <c r="O15" i="3856"/>
  <c r="O21" i="3856"/>
  <c r="O19" i="3856"/>
  <c r="O20" i="3856"/>
  <c r="O18" i="3856"/>
  <c r="O17" i="3856"/>
  <c r="O16" i="3856"/>
  <c r="H52" i="3856"/>
  <c r="H10" i="3856"/>
  <c r="H16" i="3856"/>
  <c r="H51" i="3856"/>
  <c r="H50" i="3856"/>
  <c r="C48" i="3856"/>
  <c r="H49" i="3856"/>
  <c r="C47" i="3856"/>
  <c r="H48" i="3856"/>
  <c r="C46" i="3856"/>
  <c r="H47" i="3856"/>
  <c r="C45" i="3856"/>
  <c r="H46" i="3856"/>
  <c r="C44" i="3856"/>
  <c r="H45" i="3856"/>
  <c r="C43" i="3856"/>
  <c r="H44" i="3856"/>
  <c r="C42" i="3856"/>
  <c r="H43" i="3856"/>
  <c r="C41" i="3856"/>
  <c r="H42" i="3856"/>
  <c r="C40" i="3856"/>
  <c r="H41" i="3856"/>
  <c r="C39" i="3856"/>
  <c r="H40" i="3856"/>
  <c r="C38" i="3856"/>
  <c r="H39" i="3856"/>
  <c r="C37" i="3856"/>
  <c r="H38" i="3856"/>
  <c r="C36" i="3856"/>
  <c r="H37" i="3856"/>
  <c r="H36" i="3856"/>
  <c r="C34" i="3856"/>
  <c r="H35" i="3856"/>
  <c r="H34" i="3856"/>
  <c r="H33" i="3856"/>
  <c r="H20" i="3856"/>
  <c r="H19" i="3856"/>
  <c r="B29" i="3856"/>
  <c r="H32" i="3856"/>
  <c r="B28" i="3856"/>
  <c r="H7" i="3856"/>
  <c r="B27" i="3856"/>
  <c r="H31" i="3856"/>
  <c r="B26" i="3856"/>
  <c r="H30" i="3856"/>
  <c r="C25" i="3856"/>
  <c r="H18" i="3856"/>
  <c r="C24" i="3856"/>
  <c r="H29" i="3856"/>
  <c r="C23" i="3856"/>
  <c r="H28" i="3856"/>
  <c r="C22" i="3856"/>
  <c r="H15" i="3856"/>
  <c r="C21" i="3856"/>
  <c r="H27" i="3856"/>
  <c r="C20" i="3856"/>
  <c r="H26" i="3856"/>
  <c r="C19" i="3856"/>
  <c r="H25" i="3856"/>
  <c r="C18" i="3856"/>
  <c r="H14" i="3856"/>
  <c r="C17" i="3856"/>
  <c r="H13" i="3856"/>
  <c r="C16" i="3856"/>
  <c r="H24" i="3856"/>
  <c r="C15" i="3856"/>
  <c r="H23" i="3856"/>
  <c r="C14" i="3856"/>
  <c r="H22" i="3856"/>
  <c r="B13" i="3856"/>
  <c r="O12" i="3856"/>
  <c r="H21" i="3856"/>
  <c r="B12" i="3856"/>
  <c r="O11" i="3856"/>
  <c r="H17" i="3856"/>
  <c r="B11" i="3856"/>
  <c r="O10" i="3856"/>
  <c r="H3" i="3856"/>
  <c r="B10" i="3856"/>
  <c r="H12" i="3856"/>
  <c r="C9" i="3856"/>
  <c r="H11" i="3856"/>
  <c r="C8" i="3856"/>
  <c r="O7" i="3856"/>
  <c r="H9" i="3856"/>
  <c r="C7" i="3856"/>
  <c r="O6" i="3856"/>
  <c r="H6" i="3856"/>
  <c r="B6" i="3856"/>
  <c r="O5" i="3856"/>
  <c r="H5" i="3856"/>
  <c r="B5" i="3856"/>
  <c r="O4" i="3856"/>
  <c r="H2" i="3856"/>
  <c r="O3" i="3856"/>
  <c r="H8" i="3856"/>
  <c r="O2" i="3856"/>
  <c r="H4" i="3856"/>
  <c r="O27" i="3855"/>
  <c r="O24" i="3855"/>
  <c r="O25" i="3855"/>
  <c r="O26" i="3855"/>
  <c r="O17" i="3855"/>
  <c r="O18" i="3855"/>
  <c r="O22" i="3855"/>
  <c r="O21" i="3855"/>
  <c r="O19" i="3855"/>
  <c r="H52" i="3855"/>
  <c r="H5" i="3855"/>
  <c r="H20" i="3855"/>
  <c r="H51" i="3855"/>
  <c r="H50" i="3855"/>
  <c r="C48" i="3855"/>
  <c r="H49" i="3855"/>
  <c r="C47" i="3855"/>
  <c r="H48" i="3855"/>
  <c r="C46" i="3855"/>
  <c r="H47" i="3855"/>
  <c r="C45" i="3855"/>
  <c r="H46" i="3855"/>
  <c r="C44" i="3855"/>
  <c r="H45" i="3855"/>
  <c r="C43" i="3855"/>
  <c r="H44" i="3855"/>
  <c r="C42" i="3855"/>
  <c r="H43" i="3855"/>
  <c r="C41" i="3855"/>
  <c r="H42" i="3855"/>
  <c r="C40" i="3855"/>
  <c r="H41" i="3855"/>
  <c r="C39" i="3855"/>
  <c r="H40" i="3855"/>
  <c r="C38" i="3855"/>
  <c r="H39" i="3855"/>
  <c r="C37" i="3855"/>
  <c r="H38" i="3855"/>
  <c r="C36" i="3855"/>
  <c r="H37" i="3855"/>
  <c r="H36" i="3855"/>
  <c r="C34" i="3855"/>
  <c r="H32" i="3855"/>
  <c r="H35" i="3855"/>
  <c r="H26" i="3855"/>
  <c r="H25" i="3855"/>
  <c r="H17" i="3855"/>
  <c r="B29" i="3855"/>
  <c r="H28" i="3855"/>
  <c r="B28" i="3855"/>
  <c r="H9" i="3855"/>
  <c r="B27" i="3855"/>
  <c r="H31" i="3855"/>
  <c r="B26" i="3855"/>
  <c r="H27" i="3855"/>
  <c r="C25" i="3855"/>
  <c r="H13" i="3855"/>
  <c r="C24" i="3855"/>
  <c r="H30" i="3855"/>
  <c r="C23" i="3855"/>
  <c r="H24" i="3855"/>
  <c r="C22" i="3855"/>
  <c r="H14" i="3855"/>
  <c r="C21" i="3855"/>
  <c r="H34" i="3855"/>
  <c r="C20" i="3855"/>
  <c r="H16" i="3855"/>
  <c r="C19" i="3855"/>
  <c r="H33" i="3855"/>
  <c r="C18" i="3855"/>
  <c r="H18" i="3855"/>
  <c r="C17" i="3855"/>
  <c r="H15" i="3855"/>
  <c r="C16" i="3855"/>
  <c r="H19" i="3855"/>
  <c r="C15" i="3855"/>
  <c r="H29" i="3855"/>
  <c r="C14" i="3855"/>
  <c r="H23" i="3855"/>
  <c r="O12" i="3855"/>
  <c r="H22" i="3855"/>
  <c r="B12" i="3855"/>
  <c r="O11" i="3855"/>
  <c r="H21" i="3855"/>
  <c r="B11" i="3855"/>
  <c r="O10" i="3855"/>
  <c r="H3" i="3855"/>
  <c r="B10" i="3855"/>
  <c r="H12" i="3855"/>
  <c r="C9" i="3855"/>
  <c r="H10" i="3855"/>
  <c r="C8" i="3855"/>
  <c r="O7" i="3855"/>
  <c r="H8" i="3855"/>
  <c r="C7" i="3855"/>
  <c r="O6" i="3855"/>
  <c r="H6" i="3855"/>
  <c r="B6" i="3855"/>
  <c r="O5" i="3855"/>
  <c r="H7" i="3855"/>
  <c r="B5" i="3855"/>
  <c r="O4" i="3855"/>
  <c r="H2" i="3855"/>
  <c r="O3" i="3855"/>
  <c r="H11" i="3855"/>
  <c r="O2" i="3855"/>
  <c r="H4" i="3855"/>
  <c r="O25" i="3854"/>
  <c r="O20" i="3854"/>
  <c r="O24" i="3854"/>
  <c r="O16" i="3854"/>
  <c r="O21" i="3854"/>
  <c r="O18" i="3854"/>
  <c r="O19" i="3854"/>
  <c r="H52" i="3854"/>
  <c r="H5" i="3854"/>
  <c r="H51" i="3854"/>
  <c r="H50" i="3854"/>
  <c r="H49" i="3854"/>
  <c r="C48" i="3854"/>
  <c r="H48" i="3854"/>
  <c r="C47" i="3854"/>
  <c r="H47" i="3854"/>
  <c r="C46" i="3854"/>
  <c r="H46" i="3854"/>
  <c r="C45" i="3854"/>
  <c r="H45" i="3854"/>
  <c r="C44" i="3854"/>
  <c r="H44" i="3854"/>
  <c r="C43" i="3854"/>
  <c r="H43" i="3854"/>
  <c r="C42" i="3854"/>
  <c r="H42" i="3854"/>
  <c r="C41" i="3854"/>
  <c r="H41" i="3854"/>
  <c r="C40" i="3854"/>
  <c r="H40" i="3854"/>
  <c r="C39" i="3854"/>
  <c r="H39" i="3854"/>
  <c r="C38" i="3854"/>
  <c r="H38" i="3854"/>
  <c r="C37" i="3854"/>
  <c r="H37" i="3854"/>
  <c r="C36" i="3854"/>
  <c r="H36" i="3854"/>
  <c r="H35" i="3854"/>
  <c r="C34" i="3854"/>
  <c r="H34" i="3854"/>
  <c r="H33" i="3854"/>
  <c r="H24" i="3854"/>
  <c r="H32" i="3854"/>
  <c r="H18" i="3854"/>
  <c r="B29" i="3854"/>
  <c r="H27" i="3854"/>
  <c r="B28" i="3854"/>
  <c r="H12" i="3854"/>
  <c r="B27" i="3854"/>
  <c r="H23" i="3854"/>
  <c r="B26" i="3854"/>
  <c r="H22" i="3854"/>
  <c r="C25" i="3854"/>
  <c r="H14" i="3854"/>
  <c r="C24" i="3854"/>
  <c r="H31" i="3854"/>
  <c r="C23" i="3854"/>
  <c r="H26" i="3854"/>
  <c r="C22" i="3854"/>
  <c r="H13" i="3854"/>
  <c r="C21" i="3854"/>
  <c r="H30" i="3854"/>
  <c r="C20" i="3854"/>
  <c r="H15" i="3854"/>
  <c r="C19" i="3854"/>
  <c r="H29" i="3854"/>
  <c r="C18" i="3854"/>
  <c r="H17" i="3854"/>
  <c r="C17" i="3854"/>
  <c r="H16" i="3854"/>
  <c r="C16" i="3854"/>
  <c r="H21" i="3854"/>
  <c r="C15" i="3854"/>
  <c r="H28" i="3854"/>
  <c r="C14" i="3854"/>
  <c r="H20" i="3854"/>
  <c r="O12" i="3854"/>
  <c r="H19" i="3854"/>
  <c r="B12" i="3854"/>
  <c r="O11" i="3854"/>
  <c r="H25" i="3854"/>
  <c r="B11" i="3854"/>
  <c r="O10" i="3854"/>
  <c r="H3" i="3854"/>
  <c r="B10" i="3854"/>
  <c r="H10" i="3854"/>
  <c r="C9" i="3854"/>
  <c r="H11" i="3854"/>
  <c r="C8" i="3854"/>
  <c r="O7" i="3854"/>
  <c r="H8" i="3854"/>
  <c r="C7" i="3854"/>
  <c r="O6" i="3854"/>
  <c r="H6" i="3854"/>
  <c r="B6" i="3854"/>
  <c r="O5" i="3854"/>
  <c r="H7" i="3854"/>
  <c r="B5" i="3854"/>
  <c r="O4" i="3854"/>
  <c r="H2" i="3854"/>
  <c r="O3" i="3854"/>
  <c r="H9" i="3854"/>
  <c r="O2" i="3854"/>
  <c r="H4" i="3854"/>
  <c r="O19" i="3853"/>
  <c r="O18" i="3853"/>
  <c r="O17" i="3853"/>
  <c r="O16" i="3853"/>
  <c r="O15" i="3853"/>
  <c r="H52" i="3853"/>
  <c r="H51" i="3853"/>
  <c r="H50" i="3853"/>
  <c r="H49" i="3853"/>
  <c r="H48" i="3853"/>
  <c r="C48" i="3853"/>
  <c r="H47" i="3853"/>
  <c r="C47" i="3853"/>
  <c r="H46" i="3853"/>
  <c r="C46" i="3853"/>
  <c r="H45" i="3853"/>
  <c r="C45" i="3853"/>
  <c r="H44" i="3853"/>
  <c r="C44" i="3853"/>
  <c r="H43" i="3853"/>
  <c r="C43" i="3853"/>
  <c r="H42" i="3853"/>
  <c r="C42" i="3853"/>
  <c r="H41" i="3853"/>
  <c r="C41" i="3853"/>
  <c r="H40" i="3853"/>
  <c r="C40" i="3853"/>
  <c r="H39" i="3853"/>
  <c r="C39" i="3853"/>
  <c r="H38" i="3853"/>
  <c r="C38" i="3853"/>
  <c r="H37" i="3853"/>
  <c r="C37" i="3853"/>
  <c r="H36" i="3853"/>
  <c r="C36" i="3853"/>
  <c r="H35" i="3853"/>
  <c r="H34" i="3853"/>
  <c r="C34" i="3853"/>
  <c r="H33" i="3853"/>
  <c r="H32" i="3853"/>
  <c r="H31" i="3853"/>
  <c r="H30" i="3853"/>
  <c r="H29" i="3853"/>
  <c r="B29" i="3853"/>
  <c r="H28" i="3853"/>
  <c r="B28" i="3853"/>
  <c r="H27" i="3853"/>
  <c r="B27" i="3853"/>
  <c r="H26" i="3853"/>
  <c r="B26" i="3853"/>
  <c r="H25" i="3853"/>
  <c r="C25" i="3853"/>
  <c r="H10" i="3853"/>
  <c r="C24" i="3853"/>
  <c r="H24" i="3853"/>
  <c r="C23" i="3853"/>
  <c r="H23" i="3853"/>
  <c r="C22" i="3853"/>
  <c r="H22" i="3853"/>
  <c r="C21" i="3853"/>
  <c r="H21" i="3853"/>
  <c r="C20" i="3853"/>
  <c r="H20" i="3853"/>
  <c r="C19" i="3853"/>
  <c r="H19" i="3853"/>
  <c r="C18" i="3853"/>
  <c r="H7" i="3853"/>
  <c r="C17" i="3853"/>
  <c r="H18" i="3853"/>
  <c r="C16" i="3853"/>
  <c r="H17" i="3853"/>
  <c r="C15" i="3853"/>
  <c r="H16" i="3853"/>
  <c r="C14" i="3853"/>
  <c r="H15" i="3853"/>
  <c r="O12" i="3853"/>
  <c r="H14" i="3853"/>
  <c r="B12" i="3853"/>
  <c r="O11" i="3853"/>
  <c r="H13" i="3853"/>
  <c r="B11" i="3853"/>
  <c r="O10" i="3853"/>
  <c r="H4" i="3853"/>
  <c r="B10" i="3853"/>
  <c r="H12" i="3853"/>
  <c r="C9" i="3853"/>
  <c r="H11" i="3853"/>
  <c r="C8" i="3853"/>
  <c r="O7" i="3853"/>
  <c r="H9" i="3853"/>
  <c r="C7" i="3853"/>
  <c r="O6" i="3853"/>
  <c r="H5" i="3853"/>
  <c r="B6" i="3853"/>
  <c r="O5" i="3853"/>
  <c r="H6" i="3853"/>
  <c r="B5" i="3853"/>
  <c r="O4" i="3853"/>
  <c r="H8" i="3853"/>
  <c r="O3" i="3853"/>
  <c r="H3" i="3853"/>
  <c r="O2" i="3853"/>
  <c r="H2" i="3853"/>
  <c r="O23" i="3852"/>
  <c r="O25" i="3852"/>
  <c r="O22" i="3852"/>
  <c r="O18" i="3852"/>
  <c r="O15" i="3852"/>
  <c r="O20" i="3852"/>
  <c r="O24" i="3852"/>
  <c r="O17" i="3852"/>
  <c r="O21" i="3852"/>
  <c r="O16" i="3852"/>
  <c r="O26" i="3852"/>
  <c r="H52" i="3852"/>
  <c r="H7" i="3852"/>
  <c r="H51" i="3852"/>
  <c r="H50" i="3852"/>
  <c r="H49" i="3852"/>
  <c r="C48" i="3852"/>
  <c r="H48" i="3852"/>
  <c r="C47" i="3852"/>
  <c r="H47" i="3852"/>
  <c r="C46" i="3852"/>
  <c r="H46" i="3852"/>
  <c r="C45" i="3852"/>
  <c r="H45" i="3852"/>
  <c r="C44" i="3852"/>
  <c r="H44" i="3852"/>
  <c r="C43" i="3852"/>
  <c r="H43" i="3852"/>
  <c r="C42" i="3852"/>
  <c r="H42" i="3852"/>
  <c r="C41" i="3852"/>
  <c r="H41" i="3852"/>
  <c r="C40" i="3852"/>
  <c r="H40" i="3852"/>
  <c r="C39" i="3852"/>
  <c r="H39" i="3852"/>
  <c r="C38" i="3852"/>
  <c r="H38" i="3852"/>
  <c r="C37" i="3852"/>
  <c r="H37" i="3852"/>
  <c r="C36" i="3852"/>
  <c r="H23" i="3852"/>
  <c r="H36" i="3852"/>
  <c r="C34" i="3852"/>
  <c r="H35" i="3852"/>
  <c r="H34" i="3852"/>
  <c r="H22" i="3852"/>
  <c r="H33" i="3852"/>
  <c r="H17" i="3852"/>
  <c r="B29" i="3852"/>
  <c r="H32" i="3852"/>
  <c r="B28" i="3852"/>
  <c r="H11" i="3852"/>
  <c r="B27" i="3852"/>
  <c r="H31" i="3852"/>
  <c r="B26" i="3852"/>
  <c r="H30" i="3852"/>
  <c r="C25" i="3852"/>
  <c r="H16" i="3852"/>
  <c r="C24" i="3852"/>
  <c r="H29" i="3852"/>
  <c r="C23" i="3852"/>
  <c r="H28" i="3852"/>
  <c r="C22" i="3852"/>
  <c r="H9" i="3852"/>
  <c r="C21" i="3852"/>
  <c r="H27" i="3852"/>
  <c r="C20" i="3852"/>
  <c r="H14" i="3852"/>
  <c r="C19" i="3852"/>
  <c r="H26" i="3852"/>
  <c r="C18" i="3852"/>
  <c r="H15" i="3852"/>
  <c r="C17" i="3852"/>
  <c r="H21" i="3852"/>
  <c r="C16" i="3852"/>
  <c r="H25" i="3852"/>
  <c r="C15" i="3852"/>
  <c r="H24" i="3852"/>
  <c r="C14" i="3852"/>
  <c r="H20" i="3852"/>
  <c r="O12" i="3852"/>
  <c r="H19" i="3852"/>
  <c r="B12" i="3852"/>
  <c r="O11" i="3852"/>
  <c r="H18" i="3852"/>
  <c r="B11" i="3852"/>
  <c r="O10" i="3852"/>
  <c r="H3" i="3852"/>
  <c r="B10" i="3852"/>
  <c r="H13" i="3852"/>
  <c r="C9" i="3852"/>
  <c r="H10" i="3852"/>
  <c r="C8" i="3852"/>
  <c r="O7" i="3852"/>
  <c r="H8" i="3852"/>
  <c r="C7" i="3852"/>
  <c r="O6" i="3852"/>
  <c r="H5" i="3852"/>
  <c r="B6" i="3852"/>
  <c r="O5" i="3852"/>
  <c r="H6" i="3852"/>
  <c r="B5" i="3852"/>
  <c r="O4" i="3852"/>
  <c r="H2" i="3852"/>
  <c r="O3" i="3852"/>
  <c r="H12" i="3852"/>
  <c r="O2" i="3852"/>
  <c r="H4" i="3852"/>
  <c r="O26" i="3851"/>
  <c r="O23" i="3851"/>
  <c r="O22" i="3851"/>
  <c r="O21" i="3851"/>
  <c r="O24" i="3851"/>
  <c r="O20" i="3851"/>
  <c r="O18" i="3851"/>
  <c r="O17" i="3851"/>
  <c r="O19" i="3851"/>
  <c r="O16" i="3851"/>
  <c r="H52" i="3851"/>
  <c r="H7" i="3851"/>
  <c r="H19" i="3851"/>
  <c r="H51" i="3851"/>
  <c r="H50" i="3851"/>
  <c r="C48" i="3851"/>
  <c r="H49" i="3851"/>
  <c r="C47" i="3851"/>
  <c r="H48" i="3851"/>
  <c r="C46" i="3851"/>
  <c r="H47" i="3851"/>
  <c r="C45" i="3851"/>
  <c r="H46" i="3851"/>
  <c r="C44" i="3851"/>
  <c r="H45" i="3851"/>
  <c r="C43" i="3851"/>
  <c r="H44" i="3851"/>
  <c r="C42" i="3851"/>
  <c r="H43" i="3851"/>
  <c r="C41" i="3851"/>
  <c r="H42" i="3851"/>
  <c r="C40" i="3851"/>
  <c r="H41" i="3851"/>
  <c r="C39" i="3851"/>
  <c r="H40" i="3851"/>
  <c r="C38" i="3851"/>
  <c r="H39" i="3851"/>
  <c r="C37" i="3851"/>
  <c r="H38" i="3851"/>
  <c r="C36" i="3851"/>
  <c r="H37" i="3851"/>
  <c r="H36" i="3851"/>
  <c r="C34" i="3851"/>
  <c r="H31" i="3851"/>
  <c r="H35" i="3851"/>
  <c r="H30" i="3851"/>
  <c r="H22" i="3851"/>
  <c r="H17" i="3851"/>
  <c r="B29" i="3851"/>
  <c r="H34" i="3851"/>
  <c r="B28" i="3851"/>
  <c r="H10" i="3851"/>
  <c r="B27" i="3851"/>
  <c r="H26" i="3851"/>
  <c r="B26" i="3851"/>
  <c r="H29" i="3851"/>
  <c r="C25" i="3851"/>
  <c r="H12" i="3851"/>
  <c r="C24" i="3851"/>
  <c r="H25" i="3851"/>
  <c r="C23" i="3851"/>
  <c r="H24" i="3851"/>
  <c r="C22" i="3851"/>
  <c r="H13" i="3851"/>
  <c r="C21" i="3851"/>
  <c r="H33" i="3851"/>
  <c r="C20" i="3851"/>
  <c r="H15" i="3851"/>
  <c r="C19" i="3851"/>
  <c r="H28" i="3851"/>
  <c r="C18" i="3851"/>
  <c r="H18" i="3851"/>
  <c r="C17" i="3851"/>
  <c r="H16" i="3851"/>
  <c r="C16" i="3851"/>
  <c r="H27" i="3851"/>
  <c r="C15" i="3851"/>
  <c r="H32" i="3851"/>
  <c r="C14" i="3851"/>
  <c r="H20" i="3851"/>
  <c r="O12" i="3851"/>
  <c r="H23" i="3851"/>
  <c r="B12" i="3851"/>
  <c r="O11" i="3851"/>
  <c r="H21" i="3851"/>
  <c r="B11" i="3851"/>
  <c r="O10" i="3851"/>
  <c r="H4" i="3851"/>
  <c r="B10" i="3851"/>
  <c r="H14" i="3851"/>
  <c r="C9" i="3851"/>
  <c r="H11" i="3851"/>
  <c r="C8" i="3851"/>
  <c r="O7" i="3851"/>
  <c r="H8" i="3851"/>
  <c r="C7" i="3851"/>
  <c r="O6" i="3851"/>
  <c r="H5" i="3851"/>
  <c r="B6" i="3851"/>
  <c r="O5" i="3851"/>
  <c r="H6" i="3851"/>
  <c r="B5" i="3851"/>
  <c r="O4" i="3851"/>
  <c r="H2" i="3851"/>
  <c r="O3" i="3851"/>
  <c r="H9" i="3851"/>
  <c r="O2" i="3851"/>
  <c r="H3" i="3851"/>
  <c r="O20" i="3850"/>
  <c r="O22" i="3850"/>
  <c r="O17" i="3850"/>
  <c r="O16" i="3850"/>
  <c r="H52" i="3850"/>
  <c r="H7" i="3850"/>
  <c r="H51" i="3850"/>
  <c r="H50" i="3850"/>
  <c r="H49" i="3850"/>
  <c r="C48" i="3850"/>
  <c r="H48" i="3850"/>
  <c r="C47" i="3850"/>
  <c r="H47" i="3850"/>
  <c r="C46" i="3850"/>
  <c r="H46" i="3850"/>
  <c r="C45" i="3850"/>
  <c r="H45" i="3850"/>
  <c r="C44" i="3850"/>
  <c r="H44" i="3850"/>
  <c r="C43" i="3850"/>
  <c r="H43" i="3850"/>
  <c r="C42" i="3850"/>
  <c r="H42" i="3850"/>
  <c r="C41" i="3850"/>
  <c r="H41" i="3850"/>
  <c r="C40" i="3850"/>
  <c r="H40" i="3850"/>
  <c r="C39" i="3850"/>
  <c r="H39" i="3850"/>
  <c r="C38" i="3850"/>
  <c r="H38" i="3850"/>
  <c r="C37" i="3850"/>
  <c r="H37" i="3850"/>
  <c r="C36" i="3850"/>
  <c r="H36" i="3850"/>
  <c r="H35" i="3850"/>
  <c r="C34" i="3850"/>
  <c r="H34" i="3850"/>
  <c r="H33" i="3850"/>
  <c r="H32" i="3850"/>
  <c r="H31" i="3850"/>
  <c r="H30" i="3850"/>
  <c r="B29" i="3850"/>
  <c r="H29" i="3850"/>
  <c r="B28" i="3850"/>
  <c r="H11" i="3850"/>
  <c r="B27" i="3850"/>
  <c r="H28" i="3850"/>
  <c r="B26" i="3850"/>
  <c r="H27" i="3850"/>
  <c r="C25" i="3850"/>
  <c r="H17" i="3850"/>
  <c r="C24" i="3850"/>
  <c r="H16" i="3850"/>
  <c r="C23" i="3850"/>
  <c r="H26" i="3850"/>
  <c r="C22" i="3850"/>
  <c r="H12" i="3850"/>
  <c r="C21" i="3850"/>
  <c r="H25" i="3850"/>
  <c r="C20" i="3850"/>
  <c r="H24" i="3850"/>
  <c r="C19" i="3850"/>
  <c r="H23" i="3850"/>
  <c r="C18" i="3850"/>
  <c r="H15" i="3850"/>
  <c r="C17" i="3850"/>
  <c r="H22" i="3850"/>
  <c r="C16" i="3850"/>
  <c r="H21" i="3850"/>
  <c r="C15" i="3850"/>
  <c r="H20" i="3850"/>
  <c r="C14" i="3850"/>
  <c r="H14" i="3850"/>
  <c r="B13" i="3850"/>
  <c r="O12" i="3850"/>
  <c r="H19" i="3850"/>
  <c r="B12" i="3850"/>
  <c r="O11" i="3850"/>
  <c r="H18" i="3850"/>
  <c r="B11" i="3850"/>
  <c r="O10" i="3850"/>
  <c r="H5" i="3850"/>
  <c r="B10" i="3850"/>
  <c r="H13" i="3850"/>
  <c r="C9" i="3850"/>
  <c r="H10" i="3850"/>
  <c r="C8" i="3850"/>
  <c r="O7" i="3850"/>
  <c r="H9" i="3850"/>
  <c r="C7" i="3850"/>
  <c r="O6" i="3850"/>
  <c r="H6" i="3850"/>
  <c r="B6" i="3850"/>
  <c r="O5" i="3850"/>
  <c r="H4" i="3850"/>
  <c r="B5" i="3850"/>
  <c r="O4" i="3850"/>
  <c r="H2" i="3850"/>
  <c r="O3" i="3850"/>
  <c r="H8" i="3850"/>
  <c r="O2" i="3850"/>
  <c r="H3" i="3850"/>
  <c r="O17" i="3849"/>
  <c r="O16" i="3849"/>
  <c r="O15" i="3849"/>
  <c r="H52" i="3849"/>
  <c r="H51" i="3849"/>
  <c r="H50" i="3849"/>
  <c r="H49" i="3849"/>
  <c r="H48" i="3849"/>
  <c r="C48" i="3849"/>
  <c r="H47" i="3849"/>
  <c r="C47" i="3849"/>
  <c r="H46" i="3849"/>
  <c r="C46" i="3849"/>
  <c r="H45" i="3849"/>
  <c r="C45" i="3849"/>
  <c r="H44" i="3849"/>
  <c r="C44" i="3849"/>
  <c r="H43" i="3849"/>
  <c r="C43" i="3849"/>
  <c r="H42" i="3849"/>
  <c r="C42" i="3849"/>
  <c r="H41" i="3849"/>
  <c r="C41" i="3849"/>
  <c r="H40" i="3849"/>
  <c r="C40" i="3849"/>
  <c r="H39" i="3849"/>
  <c r="C39" i="3849"/>
  <c r="H38" i="3849"/>
  <c r="C38" i="3849"/>
  <c r="H37" i="3849"/>
  <c r="C37" i="3849"/>
  <c r="H36" i="3849"/>
  <c r="C36" i="3849"/>
  <c r="H35" i="3849"/>
  <c r="H34" i="3849"/>
  <c r="C34" i="3849"/>
  <c r="H33" i="3849"/>
  <c r="H32" i="3849"/>
  <c r="H31" i="3849"/>
  <c r="H30" i="3849"/>
  <c r="H29" i="3849"/>
  <c r="B29" i="3849"/>
  <c r="H28" i="3849"/>
  <c r="B28" i="3849"/>
  <c r="H27" i="3849"/>
  <c r="B27" i="3849"/>
  <c r="H26" i="3849"/>
  <c r="B26" i="3849"/>
  <c r="H25" i="3849"/>
  <c r="C25" i="3849"/>
  <c r="H24" i="3849"/>
  <c r="C24" i="3849"/>
  <c r="H23" i="3849"/>
  <c r="C23" i="3849"/>
  <c r="H22" i="3849"/>
  <c r="C22" i="3849"/>
  <c r="H21" i="3849"/>
  <c r="C21" i="3849"/>
  <c r="H20" i="3849"/>
  <c r="C20" i="3849"/>
  <c r="H19" i="3849"/>
  <c r="C19" i="3849"/>
  <c r="H18" i="3849"/>
  <c r="C18" i="3849"/>
  <c r="H17" i="3849"/>
  <c r="C17" i="3849"/>
  <c r="H16" i="3849"/>
  <c r="C16" i="3849"/>
  <c r="H15" i="3849"/>
  <c r="C15" i="3849"/>
  <c r="H14" i="3849"/>
  <c r="C14" i="3849"/>
  <c r="H13" i="3849"/>
  <c r="B13" i="3849"/>
  <c r="O12" i="3849"/>
  <c r="H12" i="3849"/>
  <c r="B12" i="3849"/>
  <c r="O11" i="3849"/>
  <c r="H11" i="3849"/>
  <c r="B11" i="3849"/>
  <c r="O10" i="3849"/>
  <c r="H10" i="3849"/>
  <c r="B10" i="3849"/>
  <c r="H9" i="3849"/>
  <c r="C9" i="3849"/>
  <c r="H8" i="3849"/>
  <c r="C8" i="3849"/>
  <c r="O7" i="3849"/>
  <c r="H7" i="3849"/>
  <c r="C7" i="3849"/>
  <c r="O6" i="3849"/>
  <c r="H6" i="3849"/>
  <c r="B6" i="3849"/>
  <c r="O5" i="3849"/>
  <c r="H5" i="3849"/>
  <c r="B5" i="3849"/>
  <c r="O4" i="3849"/>
  <c r="H4" i="3849"/>
  <c r="O3" i="3849"/>
  <c r="H3" i="3849"/>
  <c r="O2" i="3849"/>
  <c r="H2" i="3849"/>
  <c r="O26" i="3848"/>
  <c r="O25" i="3848"/>
  <c r="O18" i="3848"/>
  <c r="O27" i="3848"/>
  <c r="O24" i="3848"/>
  <c r="O28" i="3848"/>
  <c r="O22" i="3848"/>
  <c r="O21" i="3848"/>
  <c r="O23" i="3848"/>
  <c r="O16" i="3848"/>
  <c r="O15" i="3848"/>
  <c r="H52" i="3848"/>
  <c r="H7" i="3848"/>
  <c r="H16" i="3848"/>
  <c r="H51" i="3848"/>
  <c r="H50" i="3848"/>
  <c r="C48" i="3848"/>
  <c r="H49" i="3848"/>
  <c r="C47" i="3848"/>
  <c r="H48" i="3848"/>
  <c r="C46" i="3848"/>
  <c r="H47" i="3848"/>
  <c r="C45" i="3848"/>
  <c r="H32" i="3848"/>
  <c r="C44" i="3848"/>
  <c r="H46" i="3848"/>
  <c r="C43" i="3848"/>
  <c r="H45" i="3848"/>
  <c r="C42" i="3848"/>
  <c r="H44" i="3848"/>
  <c r="C41" i="3848"/>
  <c r="H43" i="3848"/>
  <c r="C40" i="3848"/>
  <c r="H42" i="3848"/>
  <c r="C39" i="3848"/>
  <c r="H41" i="3848"/>
  <c r="C38" i="3848"/>
  <c r="H40" i="3848"/>
  <c r="C37" i="3848"/>
  <c r="H39" i="3848"/>
  <c r="C36" i="3848"/>
  <c r="H38" i="3848"/>
  <c r="H37" i="3848"/>
  <c r="C34" i="3848"/>
  <c r="H30" i="3848"/>
  <c r="H36" i="3848"/>
  <c r="H31" i="3848"/>
  <c r="H21" i="3848"/>
  <c r="H18" i="3848"/>
  <c r="B29" i="3848"/>
  <c r="H25" i="3848"/>
  <c r="B28" i="3848"/>
  <c r="H8" i="3848"/>
  <c r="B27" i="3848"/>
  <c r="H29" i="3848"/>
  <c r="B26" i="3848"/>
  <c r="H28" i="3848"/>
  <c r="C25" i="3848"/>
  <c r="H12" i="3848"/>
  <c r="C24" i="3848"/>
  <c r="H20" i="3848"/>
  <c r="C23" i="3848"/>
  <c r="H27" i="3848"/>
  <c r="C22" i="3848"/>
  <c r="H14" i="3848"/>
  <c r="C21" i="3848"/>
  <c r="H35" i="3848"/>
  <c r="C20" i="3848"/>
  <c r="H17" i="3848"/>
  <c r="C19" i="3848"/>
  <c r="H34" i="3848"/>
  <c r="C18" i="3848"/>
  <c r="H19" i="3848"/>
  <c r="C17" i="3848"/>
  <c r="H15" i="3848"/>
  <c r="C16" i="3848"/>
  <c r="H22" i="3848"/>
  <c r="C15" i="3848"/>
  <c r="H33" i="3848"/>
  <c r="C14" i="3848"/>
  <c r="H23" i="3848"/>
  <c r="O12" i="3848"/>
  <c r="H26" i="3848"/>
  <c r="B12" i="3848"/>
  <c r="O11" i="3848"/>
  <c r="H24" i="3848"/>
  <c r="B11" i="3848"/>
  <c r="O10" i="3848"/>
  <c r="H3" i="3848"/>
  <c r="B10" i="3848"/>
  <c r="H13" i="3848"/>
  <c r="C9" i="3848"/>
  <c r="H11" i="3848"/>
  <c r="C8" i="3848"/>
  <c r="O7" i="3848"/>
  <c r="H9" i="3848"/>
  <c r="C7" i="3848"/>
  <c r="O6" i="3848"/>
  <c r="H5" i="3848"/>
  <c r="B6" i="3848"/>
  <c r="O5" i="3848"/>
  <c r="H6" i="3848"/>
  <c r="B5" i="3848"/>
  <c r="O4" i="3848"/>
  <c r="H2" i="3848"/>
  <c r="O3" i="3848"/>
  <c r="H10" i="3848"/>
  <c r="O2" i="3848"/>
  <c r="H4" i="3848"/>
  <c r="O31" i="3847"/>
  <c r="O30" i="3847"/>
  <c r="O27" i="3847"/>
  <c r="O24" i="3847"/>
  <c r="O29" i="3847"/>
  <c r="O28" i="3847"/>
  <c r="O23" i="3847"/>
  <c r="O21" i="3847"/>
  <c r="O22" i="3847"/>
  <c r="O25" i="3847"/>
  <c r="O20" i="3847"/>
  <c r="O16" i="3847"/>
  <c r="O15" i="3847"/>
  <c r="H52" i="3847"/>
  <c r="H6" i="3847"/>
  <c r="H19" i="3847"/>
  <c r="H51" i="3847"/>
  <c r="H50" i="3847"/>
  <c r="C48" i="3847"/>
  <c r="H49" i="3847"/>
  <c r="C47" i="3847"/>
  <c r="H48" i="3847"/>
  <c r="C46" i="3847"/>
  <c r="H47" i="3847"/>
  <c r="C45" i="3847"/>
  <c r="H32" i="3847"/>
  <c r="C44" i="3847"/>
  <c r="H46" i="3847"/>
  <c r="C43" i="3847"/>
  <c r="H45" i="3847"/>
  <c r="C42" i="3847"/>
  <c r="H44" i="3847"/>
  <c r="C41" i="3847"/>
  <c r="H43" i="3847"/>
  <c r="C40" i="3847"/>
  <c r="H34" i="3847"/>
  <c r="C39" i="3847"/>
  <c r="H42" i="3847"/>
  <c r="C38" i="3847"/>
  <c r="H41" i="3847"/>
  <c r="C37" i="3847"/>
  <c r="H40" i="3847"/>
  <c r="C36" i="3847"/>
  <c r="H33" i="3847"/>
  <c r="H39" i="3847"/>
  <c r="C34" i="3847"/>
  <c r="H31" i="3847"/>
  <c r="H38" i="3847"/>
  <c r="H27" i="3847"/>
  <c r="H22" i="3847"/>
  <c r="H17" i="3847"/>
  <c r="B29" i="3847"/>
  <c r="H29" i="3847"/>
  <c r="B28" i="3847"/>
  <c r="H9" i="3847"/>
  <c r="B27" i="3847"/>
  <c r="H30" i="3847"/>
  <c r="B26" i="3847"/>
  <c r="H28" i="3847"/>
  <c r="C25" i="3847"/>
  <c r="H13" i="3847"/>
  <c r="C24" i="3847"/>
  <c r="H24" i="3847"/>
  <c r="C23" i="3847"/>
  <c r="H26" i="3847"/>
  <c r="C22" i="3847"/>
  <c r="H14" i="3847"/>
  <c r="C21" i="3847"/>
  <c r="H37" i="3847"/>
  <c r="C20" i="3847"/>
  <c r="H16" i="3847"/>
  <c r="C19" i="3847"/>
  <c r="H36" i="3847"/>
  <c r="C18" i="3847"/>
  <c r="H18" i="3847"/>
  <c r="C17" i="3847"/>
  <c r="H15" i="3847"/>
  <c r="C16" i="3847"/>
  <c r="H23" i="3847"/>
  <c r="C15" i="3847"/>
  <c r="H35" i="3847"/>
  <c r="C14" i="3847"/>
  <c r="H20" i="3847"/>
  <c r="O12" i="3847"/>
  <c r="H25" i="3847"/>
  <c r="B12" i="3847"/>
  <c r="O11" i="3847"/>
  <c r="H21" i="3847"/>
  <c r="B11" i="3847"/>
  <c r="O10" i="3847"/>
  <c r="H3" i="3847"/>
  <c r="B10" i="3847"/>
  <c r="H12" i="3847"/>
  <c r="C9" i="3847"/>
  <c r="H11" i="3847"/>
  <c r="C8" i="3847"/>
  <c r="O7" i="3847"/>
  <c r="H8" i="3847"/>
  <c r="C7" i="3847"/>
  <c r="O6" i="3847"/>
  <c r="H5" i="3847"/>
  <c r="B6" i="3847"/>
  <c r="O5" i="3847"/>
  <c r="H7" i="3847"/>
  <c r="B5" i="3847"/>
  <c r="O4" i="3847"/>
  <c r="H2" i="3847"/>
  <c r="O3" i="3847"/>
  <c r="H10" i="3847"/>
  <c r="O2" i="3847"/>
  <c r="H4" i="3847"/>
  <c r="B13" i="3852" l="1"/>
  <c r="B13" i="3860"/>
  <c r="B13" i="3848"/>
  <c r="B13" i="3858"/>
  <c r="B13" i="3855"/>
  <c r="B13" i="3847"/>
  <c r="B13" i="3859"/>
  <c r="B13" i="3857"/>
  <c r="B13" i="3854"/>
  <c r="B13" i="3853"/>
  <c r="B13" i="3851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<sst xmlns="http://schemas.openxmlformats.org/spreadsheetml/2006/main" count="4364" uniqueCount="207">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</sst>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全体!$K$2:$K$3050</c:f>
              <c:numCache>
                <c:formatCode>General</c:formatCode>
                <c:ptCount val="30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</c:numCache>
            </c:numRef>
          </c:xVal>
          <c:yVal>
            <c:numRef>
              <c:f>全体!$L$2:$L$3050</c:f>
              <c:numCache>
                <c:formatCode>\+0.0;\-0.0;\±0</c:formatCode>
                <c:ptCount val="304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58-4CA3-87DF-6AF3F3E63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-21.473406012553685</c:v>
                </c:pt>
                <c:pt idx="1">
                  <c:v>-0.33840947546531303</c:v>
                </c:pt>
                <c:pt idx="2">
                  <c:v>6.4935064935064934</c:v>
                </c:pt>
                <c:pt idx="3">
                  <c:v>1.9607843137254901</c:v>
                </c:pt>
                <c:pt idx="4">
                  <c:v>1.7429193899782136</c:v>
                </c:pt>
                <c:pt idx="5">
                  <c:v>19.730010384215991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2-4275-8F47-E1CE1B6C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478</c:v>
                </c:pt>
                <c:pt idx="1">
                  <c:v>1061</c:v>
                </c:pt>
                <c:pt idx="2">
                  <c:v>1309</c:v>
                </c:pt>
                <c:pt idx="3">
                  <c:v>1301</c:v>
                </c:pt>
                <c:pt idx="4">
                  <c:v>1087</c:v>
                </c:pt>
                <c:pt idx="5">
                  <c:v>709</c:v>
                </c:pt>
                <c:pt idx="6">
                  <c:v>416</c:v>
                </c:pt>
                <c:pt idx="7">
                  <c:v>232</c:v>
                </c:pt>
                <c:pt idx="8">
                  <c:v>132</c:v>
                </c:pt>
                <c:pt idx="9">
                  <c:v>63</c:v>
                </c:pt>
                <c:pt idx="10">
                  <c:v>36</c:v>
                </c:pt>
                <c:pt idx="11">
                  <c:v>15</c:v>
                </c:pt>
                <c:pt idx="12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2-4612-9FCD-F4E345B90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だいち!$L$2:$L$702</c:f>
              <c:numCache>
                <c:formatCode>\+0.0;\-0.0;\±0</c:formatCode>
                <c:ptCount val="70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3-40DC-ABD4-88540126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1319.3083573487031</c:v>
                </c:pt>
                <c:pt idx="1">
                  <c:v>1343.7223042836042</c:v>
                </c:pt>
                <c:pt idx="2">
                  <c:v>1380.5900621118012</c:v>
                </c:pt>
                <c:pt idx="3">
                  <c:v>1563.050847457627</c:v>
                </c:pt>
                <c:pt idx="4">
                  <c:v>1326.2759924385634</c:v>
                </c:pt>
                <c:pt idx="5">
                  <c:v>1624.090909090909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2-46F0-AABF-DA0570B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121</c:v>
                </c:pt>
                <c:pt idx="1">
                  <c:v>252</c:v>
                </c:pt>
                <c:pt idx="2">
                  <c:v>337</c:v>
                </c:pt>
                <c:pt idx="3">
                  <c:v>351</c:v>
                </c:pt>
                <c:pt idx="4">
                  <c:v>263</c:v>
                </c:pt>
                <c:pt idx="5">
                  <c:v>191</c:v>
                </c:pt>
                <c:pt idx="6">
                  <c:v>117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9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9-41E6-8FE2-79D323500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F-4221-8B48-191B501CA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3-481A-9746-C79102949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01-40A3-ACC8-1667C5FEB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ともき!$L$2:$L$26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AE-4DD4-A651-3FA8D3450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-3958.3333333333335</c:v>
                </c:pt>
                <c:pt idx="1">
                  <c:v>-1260.8695652173913</c:v>
                </c:pt>
                <c:pt idx="2">
                  <c:v>-2678.2608695652175</c:v>
                </c:pt>
                <c:pt idx="3">
                  <c:v>1652.6315789473683</c:v>
                </c:pt>
                <c:pt idx="4">
                  <c:v>1317.6470588235295</c:v>
                </c:pt>
                <c:pt idx="5">
                  <c:v>846.66666666666663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D-46AD-86C4-279438B5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B0-4186-8FE4-2857C6630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りくと!$K$2:$K$418</c:f>
              <c:numCache>
                <c:formatCode>General</c:formatCode>
                <c:ptCount val="4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</c:numCache>
            </c:numRef>
          </c:xVal>
          <c:yVal>
            <c:numRef>
              <c:f>りくと!$L$2:$L$418</c:f>
              <c:numCache>
                <c:formatCode>\+0.0;\-0.0;\±0</c:formatCode>
                <c:ptCount val="41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A-4047-A9F9-F55F9D294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-241.88861985472155</c:v>
                </c:pt>
                <c:pt idx="1">
                  <c:v>-1124.7524752475247</c:v>
                </c:pt>
                <c:pt idx="2">
                  <c:v>350.52083333333331</c:v>
                </c:pt>
                <c:pt idx="3">
                  <c:v>-704.24929178470256</c:v>
                </c:pt>
                <c:pt idx="4">
                  <c:v>-1116.1392405063291</c:v>
                </c:pt>
                <c:pt idx="5">
                  <c:v>-1047.2324723247232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A-4363-82F7-E33A0FF5C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48</c:v>
                </c:pt>
                <c:pt idx="1">
                  <c:v>110</c:v>
                </c:pt>
                <c:pt idx="2">
                  <c:v>168</c:v>
                </c:pt>
                <c:pt idx="3">
                  <c:v>155</c:v>
                </c:pt>
                <c:pt idx="4">
                  <c:v>145</c:v>
                </c:pt>
                <c:pt idx="5">
                  <c:v>98</c:v>
                </c:pt>
                <c:pt idx="6">
                  <c:v>62</c:v>
                </c:pt>
                <c:pt idx="7">
                  <c:v>30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B-4C30-80FD-AF092634A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B-41B3-96B0-A739AD992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3-4719-962D-DD9BA0B8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C-421F-B088-67E9091E8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F-4E25-A77E-F314CDDE7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5E-44EC-9734-F972B7B40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5B-49AD-8E72-ED6F0672C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たかの!$L$2:$L$287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9-474D-BA2D-6CB9714A6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310.5263157894737</c:v>
                </c:pt>
                <c:pt idx="1">
                  <c:v>-1831.6546762589928</c:v>
                </c:pt>
                <c:pt idx="2">
                  <c:v>-1646.1240310077519</c:v>
                </c:pt>
                <c:pt idx="3">
                  <c:v>-9.0163934426229506</c:v>
                </c:pt>
                <c:pt idx="4">
                  <c:v>-833.77777777777783</c:v>
                </c:pt>
                <c:pt idx="5">
                  <c:v>-1286.5591397849462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4-495B-BEF2-671E21DD8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143</c:v>
                </c:pt>
                <c:pt idx="2">
                  <c:v>131</c:v>
                </c:pt>
                <c:pt idx="3">
                  <c:v>131</c:v>
                </c:pt>
                <c:pt idx="4">
                  <c:v>92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1-49EF-BF77-1170F8854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ただ!$K$2:$K$496</c:f>
              <c:numCache>
                <c:formatCode>General</c:formatCode>
                <c:ptCount val="4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</c:numCache>
            </c:numRef>
          </c:xVal>
          <c:yVal>
            <c:numRef>
              <c:f>ただ!$L$2:$L$496</c:f>
              <c:numCache>
                <c:formatCode>\+0.0;\-0.0;\±0</c:formatCode>
                <c:ptCount val="4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6-4184-8C33-0A48142C9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-759.50920245398777</c:v>
                </c:pt>
                <c:pt idx="1">
                  <c:v>-10.526315789473685</c:v>
                </c:pt>
                <c:pt idx="2">
                  <c:v>274.43946188340806</c:v>
                </c:pt>
                <c:pt idx="3">
                  <c:v>-1133.6538461538462</c:v>
                </c:pt>
                <c:pt idx="4">
                  <c:v>-125.20107238605898</c:v>
                </c:pt>
                <c:pt idx="5">
                  <c:v>74.766355140186917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8-417E-9BB5-AB6E37219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76</c:v>
                </c:pt>
                <c:pt idx="1">
                  <c:v>204</c:v>
                </c:pt>
                <c:pt idx="2">
                  <c:v>252</c:v>
                </c:pt>
                <c:pt idx="3">
                  <c:v>226</c:v>
                </c:pt>
                <c:pt idx="4">
                  <c:v>162</c:v>
                </c:pt>
                <c:pt idx="5">
                  <c:v>105</c:v>
                </c:pt>
                <c:pt idx="6">
                  <c:v>52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3-4161-B1E1-667D47F02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1-413E-9927-DFF08718F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2-4E60-973D-AD081E9F2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D-40E8-9E5F-413797FD7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れんたろう!$K$2:$K$410</c:f>
              <c:numCache>
                <c:formatCode>General</c:formatCode>
                <c:ptCount val="4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</c:numCache>
            </c:numRef>
          </c:xVal>
          <c:yVal>
            <c:numRef>
              <c:f>れんたろう!$L$2:$L$410</c:f>
              <c:numCache>
                <c:formatCode>\+0.0;\-0.0;\±0</c:formatCode>
                <c:ptCount val="40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2-45CC-A55C-FF2E0303F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567.24565756823824</c:v>
                </c:pt>
                <c:pt idx="1">
                  <c:v>-423.85786802030458</c:v>
                </c:pt>
                <c:pt idx="2">
                  <c:v>363.63636363636363</c:v>
                </c:pt>
                <c:pt idx="3">
                  <c:v>916.10942249240122</c:v>
                </c:pt>
                <c:pt idx="4">
                  <c:v>-810.03344481605347</c:v>
                </c:pt>
                <c:pt idx="5">
                  <c:v>395.91836734693879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4-4B8C-9529-0B0A49E06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93</c:v>
                </c:pt>
                <c:pt idx="2">
                  <c:v>139</c:v>
                </c:pt>
                <c:pt idx="3">
                  <c:v>180</c:v>
                </c:pt>
                <c:pt idx="4">
                  <c:v>175</c:v>
                </c:pt>
                <c:pt idx="5">
                  <c:v>114</c:v>
                </c:pt>
                <c:pt idx="6">
                  <c:v>71</c:v>
                </c:pt>
                <c:pt idx="7">
                  <c:v>48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5-4654-A845-220AE0C0B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0D-469E-A99F-B362F628E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3-4169-B6FB-DD6EF47E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5F-4CD6-9D8D-F4F142FD9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まっつん!$K$2:$K$330</c:f>
              <c:numCache>
                <c:formatCode>General</c:formatCode>
                <c:ptCount val="3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</c:numCache>
            </c:numRef>
          </c:xVal>
          <c:yVal>
            <c:numRef>
              <c:f>まっつん!$L$2:$L$330</c:f>
              <c:numCache>
                <c:formatCode>\+0.0;\-0.0;\±0</c:formatCode>
                <c:ptCount val="32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4-4890-AD95-40ADDBAE9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-204.57317073170731</c:v>
                </c:pt>
                <c:pt idx="1">
                  <c:v>710.28037383177571</c:v>
                </c:pt>
                <c:pt idx="2">
                  <c:v>-514.38127090300998</c:v>
                </c:pt>
                <c:pt idx="3">
                  <c:v>-202.53623188405797</c:v>
                </c:pt>
                <c:pt idx="4">
                  <c:v>-969.6</c:v>
                </c:pt>
                <c:pt idx="5">
                  <c:v>-348.8038277511962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8D4-AE7A-21B7C594C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114</c:v>
                </c:pt>
                <c:pt idx="2">
                  <c:v>131</c:v>
                </c:pt>
                <c:pt idx="3">
                  <c:v>130</c:v>
                </c:pt>
                <c:pt idx="4">
                  <c:v>111</c:v>
                </c:pt>
                <c:pt idx="5">
                  <c:v>76</c:v>
                </c:pt>
                <c:pt idx="6">
                  <c:v>42</c:v>
                </c:pt>
                <c:pt idx="7">
                  <c:v>19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4-4A2A-AF49-A2981186B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ぱぱ!$L$2:$L$111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6-4C5B-A479-727FD6B74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-2530.8411214953271</c:v>
                </c:pt>
                <c:pt idx="1">
                  <c:v>-653.77358490566041</c:v>
                </c:pt>
                <c:pt idx="2">
                  <c:v>-1280.1980198019803</c:v>
                </c:pt>
                <c:pt idx="3">
                  <c:v>-3147.3118279569894</c:v>
                </c:pt>
                <c:pt idx="4">
                  <c:v>867.07317073170736</c:v>
                </c:pt>
                <c:pt idx="5">
                  <c:v>-184.93150684931507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EA-46CF-AC8A-D1C4BCCCA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47</c:v>
                </c:pt>
                <c:pt idx="2">
                  <c:v>44</c:v>
                </c:pt>
                <c:pt idx="3">
                  <c:v>40</c:v>
                </c:pt>
                <c:pt idx="4">
                  <c:v>39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0-43EA-ACBC-7D30FDB30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F-4488-8282-876714F80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C-4401-A6DA-7A1E120F2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D-43E2-8551-038DB82C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D4-46C0-AB6D-218D5E5F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0-4C25-9A5A-7F96B9DF3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8-437C-AF5D-DCF371616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のり!$L$2:$L$90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E-4CD0-9955-3600F4861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-3678.409090909091</c:v>
                </c:pt>
                <c:pt idx="1">
                  <c:v>185.05747126436782</c:v>
                </c:pt>
                <c:pt idx="2">
                  <c:v>-1114.8148148148148</c:v>
                </c:pt>
                <c:pt idx="3">
                  <c:v>-1126.027397260274</c:v>
                </c:pt>
                <c:pt idx="4">
                  <c:v>-1716.1764705882354</c:v>
                </c:pt>
                <c:pt idx="5">
                  <c:v>-2250.909090909091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1-4985-AD3E-E0A0B7457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32</c:v>
                </c:pt>
                <c:pt idx="2">
                  <c:v>36</c:v>
                </c:pt>
                <c:pt idx="3">
                  <c:v>32</c:v>
                </c:pt>
                <c:pt idx="4">
                  <c:v>26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3-4C76-B36F-BAE62ECE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5-455A-8FBC-FF48DFC4D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6-49D8-B3B5-C4005B373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E-4632-B576-81926CAA3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B-43F8-A170-BABE09726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B8E-9846-2741392A0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A-493F-94DE-D6A98AE97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A-4305-AB45-2D0031761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2-4B10-8827-2FE7FA24A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7-41C4-BFFE-17851A39A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42F896-4DDA-41F1-B519-D65453241F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89ED61-663A-4E15-84C0-E056D4ABC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8AC2DC-ABAC-4E4B-AA2D-C7CEA7AED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D42D0E-6433-4A19-92EB-068C7EEC0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00B458-4397-47CE-AC18-53A1A19E8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21F341-7E23-4B64-A892-025DAA178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A08192-B0FA-4F45-9066-75A5EA5BF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1DFD97-3D19-43F5-AB0E-603954961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6120A0-488C-4418-BCAF-BAF0BB5A7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E599B2-E636-44F1-8455-EAF51474E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4B3CE0-FF8B-4E67-8EFB-0BE53C879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8B2FAB-9202-49DA-8FDC-4F102B4D4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D6C711-B939-486A-980A-C86F9E775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A411D5-AF29-4F6A-AE2C-17BC4E9BB0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1F5838-BFF7-4200-9B37-6DC0B3AEF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19C5CA-1427-47DF-96B2-78CC3B5AD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544F3B-8C2B-41D4-8A84-89C85DD31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D6B738-1042-46F6-9DE4-6CBDF06E2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46434E-48D5-4FD0-B496-D0F120B872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6CD3C6-F789-432B-9146-C37B641E9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1341EA-874E-4C42-BA2F-ACBCE371A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EE75FA-D4AB-47C4-9858-FA3B0E166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7DBC3B-AEBE-4534-A9F2-8BE9E1148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47F478-91AC-41F9-ACF7-E75A34659E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0ADBB4-FD85-48DC-A53D-07F7099D1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F58970-3D3D-410C-AB7A-3F0D6FCC9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26C3B1-D817-452A-B84E-17FC390F2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D1E81C-8461-4DA7-8D93-1CF7B65D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5ECC5C-C86A-4398-B463-0775576C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E72F38-E9B3-40D7-8B6E-AA276BBB7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8EDE41-90BA-4CE9-811A-10429D395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BFDD62-C7FD-4ED3-84B9-A16752095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7A21DB-D7F3-49A0-8148-2022AF300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28EC91-459D-4C4F-8D21-DCCF0613D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457308-9CB9-4B54-A4DB-D8BAB0278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49D9AC-5282-4446-AFA1-854AE9903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06DCA9-48AF-451C-9663-834ACABE13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7E240C-8319-459C-AA99-ED9E05D98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AF7B72B-CACE-4A89-887D-696946A71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9CB3B7-6AC7-4B98-BDB3-2AC1AB273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7A11B1-93F0-4D46-9159-D4DF8E082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C07783-473E-4F6E-B108-FE0FCD8F68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D0350D-8473-4B6E-9BA8-094BB0A0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C9B432-77BD-4991-BC40-A8DD5115E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7F85ED-9BB6-4594-A710-2EF54B4E0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A91E68-0255-40B5-A482-1A47AD2BD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88C69F-6B01-49F9-AB48-C4CAE7897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DDF090-3944-4DCE-BC51-2FFAE2F42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F3BD05-F67A-462E-8574-CE194A339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73AC95-CB35-4298-9048-C2338EA1C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01FBE7-6901-40B9-A4A0-C2EE7EEB4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1E0097-3CC0-4C89-9E34-4C00962CE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7119B0-D7BB-45E4-BCC9-C8AA169C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3E682B-188A-47D4-A15E-48036BAC3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35BB6E-264B-4CB3-964D-5F672631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7B15F2-6B23-4885-B0AF-985D561AE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AF98C2-6626-4B40-A77C-5BBE07A98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D7D9BB-1F29-412D-8AAF-1968B853B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53AE74-8920-49CC-8188-212F6F371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C1F40B-8369-4C35-B874-6F41F5CF9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7"/>
      <c r="C1" s="128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1">
        <v>0</v>
      </c>
      <c r="C3" s="13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33">
        <v>0</v>
      </c>
      <c r="C4" s="13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5">
        <f>IF(B$2=0,0,B$4/B$2)</f>
        <v>0</v>
      </c>
      <c r="C5" s="136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43">
        <f>IF(B$2=0,0,(B$7*1+B$8*2+B$9*3)/B$2)</f>
        <v>0</v>
      </c>
      <c r="C6" s="144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0</v>
      </c>
      <c r="C13" s="136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41">
        <v>0</v>
      </c>
      <c r="C32" s="142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9">
        <v>-1000000</v>
      </c>
      <c r="C33" s="140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54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206</v>
      </c>
      <c r="I1" s="152"/>
      <c r="J1" s="147" t="s">
        <v>15</v>
      </c>
      <c r="K1" s="148"/>
      <c r="L1" s="147" t="s">
        <v>14</v>
      </c>
      <c r="M1" s="148"/>
      <c r="N1" s="147" t="s">
        <v>147</v>
      </c>
      <c r="O1" s="148"/>
      <c r="P1" s="147" t="s">
        <v>137</v>
      </c>
      <c r="Q1" s="148"/>
      <c r="R1" s="147" t="s">
        <v>138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139</v>
      </c>
      <c r="AG1" s="148"/>
      <c r="AH1" s="147" t="s">
        <v>136</v>
      </c>
      <c r="AI1" s="148"/>
      <c r="AJ1" s="147" t="s">
        <v>177</v>
      </c>
      <c r="AK1" s="148"/>
    </row>
    <row r="2" spans="1:37" x14ac:dyDescent="0.45">
      <c r="A2" s="46" t="s">
        <v>146</v>
      </c>
      <c r="B2" s="145">
        <v>0.49801765311224039</v>
      </c>
      <c r="C2" s="146"/>
      <c r="D2" s="149"/>
      <c r="E2" s="150"/>
      <c r="F2" s="149"/>
      <c r="G2" s="150"/>
      <c r="H2" s="145">
        <v>0.27492603213340783</v>
      </c>
      <c r="I2" s="146"/>
      <c r="J2" s="145">
        <v>0.77378214579544624</v>
      </c>
      <c r="K2" s="146"/>
      <c r="L2" s="145">
        <v>0.61917666402051996</v>
      </c>
      <c r="M2" s="146"/>
      <c r="N2" s="145">
        <v>0.61835204423206624</v>
      </c>
      <c r="O2" s="146"/>
      <c r="P2" s="145">
        <v>0.5917744337144063</v>
      </c>
      <c r="Q2" s="146"/>
      <c r="R2" s="145">
        <v>0.39526890011796079</v>
      </c>
      <c r="S2" s="146"/>
      <c r="T2" s="145">
        <v>0.24363760520283653</v>
      </c>
      <c r="U2" s="146"/>
      <c r="V2" s="145">
        <v>-5.8950828690455689E-2</v>
      </c>
      <c r="W2" s="146"/>
      <c r="X2" s="145">
        <v>0.37676203963472316</v>
      </c>
      <c r="Y2" s="146"/>
      <c r="Z2" s="145">
        <v>0.25571316084980972</v>
      </c>
      <c r="AA2" s="146"/>
      <c r="AB2" s="145">
        <v>-2.0090301806553312E-2</v>
      </c>
      <c r="AC2" s="146"/>
      <c r="AD2" s="145">
        <v>0.40834728372540779</v>
      </c>
      <c r="AE2" s="146"/>
      <c r="AF2" s="145">
        <v>0.30708366439068319</v>
      </c>
      <c r="AG2" s="146"/>
      <c r="AH2" s="145">
        <v>-0.33172610460967467</v>
      </c>
      <c r="AI2" s="146"/>
      <c r="AJ2" s="145">
        <v>0.57998020022976493</v>
      </c>
      <c r="AK2" s="146"/>
    </row>
    <row r="3" spans="1:37" x14ac:dyDescent="0.45">
      <c r="A3" s="48">
        <v>1</v>
      </c>
      <c r="B3" s="51" t="s">
        <v>183</v>
      </c>
      <c r="C3" s="153">
        <v>1016</v>
      </c>
      <c r="D3" s="49" t="s">
        <v>195</v>
      </c>
      <c r="E3" s="50">
        <v>6672.5999999999995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-7370.0507614213202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0.68181818181818177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54">
        <v>700</v>
      </c>
      <c r="D4" s="57" t="s">
        <v>191</v>
      </c>
      <c r="E4" s="58">
        <v>563.20000000000039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1.7585714285714287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0.34450784593437944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7.7142857142857138E-2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186</v>
      </c>
      <c r="AI4" s="62">
        <v>0.52845528455284552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54">
        <v>494</v>
      </c>
      <c r="D5" s="57" t="s">
        <v>196</v>
      </c>
      <c r="E5" s="58">
        <v>109</v>
      </c>
      <c r="F5" s="59" t="s">
        <v>195</v>
      </c>
      <c r="G5" s="71">
        <v>9.5322857142857131</v>
      </c>
      <c r="H5" s="59" t="s">
        <v>191</v>
      </c>
      <c r="I5" s="71">
        <v>2.075391522058188</v>
      </c>
      <c r="J5" s="59" t="s">
        <v>199</v>
      </c>
      <c r="K5" s="60">
        <v>1.9285714285714286</v>
      </c>
      <c r="L5" s="59" t="s">
        <v>195</v>
      </c>
      <c r="M5" s="61">
        <v>0.46714285714285714</v>
      </c>
      <c r="N5" s="59" t="s">
        <v>195</v>
      </c>
      <c r="O5" s="61">
        <v>0.2257142857142857</v>
      </c>
      <c r="P5" s="59" t="s">
        <v>202</v>
      </c>
      <c r="Q5" s="62">
        <v>0.33333333333333331</v>
      </c>
      <c r="R5" s="59" t="s">
        <v>195</v>
      </c>
      <c r="S5" s="62">
        <v>0.13837375178316691</v>
      </c>
      <c r="T5" s="59" t="s">
        <v>191</v>
      </c>
      <c r="U5" s="63">
        <v>10588.770053475935</v>
      </c>
      <c r="V5" s="59" t="s">
        <v>186</v>
      </c>
      <c r="W5" s="63">
        <v>-8094.5355191256831</v>
      </c>
      <c r="X5" s="59" t="s">
        <v>188</v>
      </c>
      <c r="Y5" s="61">
        <v>0.10877192982456141</v>
      </c>
      <c r="Z5" s="59" t="s">
        <v>201</v>
      </c>
      <c r="AA5" s="62">
        <v>0.375</v>
      </c>
      <c r="AB5" s="59" t="s">
        <v>194</v>
      </c>
      <c r="AC5" s="62">
        <v>0.27777777777777779</v>
      </c>
      <c r="AD5" s="59" t="s">
        <v>196</v>
      </c>
      <c r="AE5" s="62">
        <v>0.61538461538461542</v>
      </c>
      <c r="AF5" s="59" t="s">
        <v>195</v>
      </c>
      <c r="AG5" s="62">
        <v>0.48782608695652174</v>
      </c>
      <c r="AH5" s="59" t="s">
        <v>189</v>
      </c>
      <c r="AI5" s="62">
        <v>0.51666666666666672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190</v>
      </c>
      <c r="C6" s="154">
        <v>416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0.14739992517770295</v>
      </c>
      <c r="T6" s="59" t="s">
        <v>202</v>
      </c>
      <c r="U6" s="63">
        <v>9534.6153846153848</v>
      </c>
      <c r="V6" s="59" t="s">
        <v>184</v>
      </c>
      <c r="W6" s="63">
        <v>-8240</v>
      </c>
      <c r="X6" s="59" t="s">
        <v>196</v>
      </c>
      <c r="Y6" s="61">
        <v>0.1111111111111111</v>
      </c>
      <c r="Z6" s="59" t="s">
        <v>189</v>
      </c>
      <c r="AA6" s="62">
        <v>0.35675675675675678</v>
      </c>
      <c r="AB6" s="59" t="s">
        <v>188</v>
      </c>
      <c r="AC6" s="62">
        <v>0.27592425608656446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191</v>
      </c>
      <c r="C7" s="154">
        <v>408</v>
      </c>
      <c r="D7" s="57" t="s">
        <v>200</v>
      </c>
      <c r="E7" s="58">
        <v>13.3</v>
      </c>
      <c r="F7" s="59" t="s">
        <v>191</v>
      </c>
      <c r="G7" s="71">
        <v>1.380392156862746</v>
      </c>
      <c r="H7" s="59" t="s">
        <v>187</v>
      </c>
      <c r="I7" s="71">
        <v>0.98072798072798406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197</v>
      </c>
      <c r="W7" s="63">
        <v>-8292.753623188406</v>
      </c>
      <c r="X7" s="59" t="s">
        <v>193</v>
      </c>
      <c r="Y7" s="61">
        <v>0.11740890688259109</v>
      </c>
      <c r="Z7" s="59" t="s">
        <v>191</v>
      </c>
      <c r="AA7" s="62">
        <v>0.29581795817958179</v>
      </c>
      <c r="AB7" s="59" t="s">
        <v>193</v>
      </c>
      <c r="AC7" s="62">
        <v>0.24552887072049054</v>
      </c>
      <c r="AD7" s="59" t="s">
        <v>195</v>
      </c>
      <c r="AE7" s="62">
        <v>0.60483870967741937</v>
      </c>
      <c r="AF7" s="59" t="s">
        <v>183</v>
      </c>
      <c r="AG7" s="62">
        <v>0.40649625216221413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54">
        <v>328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195</v>
      </c>
      <c r="I8" s="71">
        <v>0.75354022572533808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189</v>
      </c>
      <c r="Q8" s="62">
        <v>0.31578947368421051</v>
      </c>
      <c r="R8" s="59" t="s">
        <v>188</v>
      </c>
      <c r="S8" s="62">
        <v>0.16346955796497081</v>
      </c>
      <c r="T8" s="59" t="s">
        <v>190</v>
      </c>
      <c r="U8" s="63">
        <v>9266.557377049181</v>
      </c>
      <c r="V8" s="59" t="s">
        <v>190</v>
      </c>
      <c r="W8" s="63">
        <v>-8336.5814696485631</v>
      </c>
      <c r="X8" s="59" t="s">
        <v>187</v>
      </c>
      <c r="Y8" s="61">
        <v>0.11890243902439024</v>
      </c>
      <c r="Z8" s="59" t="s">
        <v>195</v>
      </c>
      <c r="AA8" s="62">
        <v>0.28881987577639751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0.40032679738562094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54">
        <v>285</v>
      </c>
      <c r="D9" s="57" t="s">
        <v>183</v>
      </c>
      <c r="E9" s="58">
        <v>8.8817841970012523E-15</v>
      </c>
      <c r="F9" s="59" t="s">
        <v>183</v>
      </c>
      <c r="G9" s="71">
        <v>2.9139711932418806E-18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183</v>
      </c>
      <c r="M9" s="61">
        <v>0.33333333333333331</v>
      </c>
      <c r="N9" s="59" t="s">
        <v>187</v>
      </c>
      <c r="O9" s="61">
        <v>0.33841463414634149</v>
      </c>
      <c r="P9" s="59" t="s">
        <v>198</v>
      </c>
      <c r="Q9" s="62">
        <v>0.3125</v>
      </c>
      <c r="R9" s="59" t="s">
        <v>183</v>
      </c>
      <c r="S9" s="62">
        <v>0.1647718109982261</v>
      </c>
      <c r="T9" s="59" t="s">
        <v>195</v>
      </c>
      <c r="U9" s="63">
        <v>9187.6293995859214</v>
      </c>
      <c r="V9" s="59" t="s">
        <v>183</v>
      </c>
      <c r="W9" s="63">
        <v>-8384.1448495228778</v>
      </c>
      <c r="X9" s="59" t="s">
        <v>183</v>
      </c>
      <c r="Y9" s="61">
        <v>0.12106299212598425</v>
      </c>
      <c r="Z9" s="59" t="s">
        <v>190</v>
      </c>
      <c r="AA9" s="62">
        <v>0.28662420382165604</v>
      </c>
      <c r="AB9" s="59" t="s">
        <v>197</v>
      </c>
      <c r="AC9" s="62">
        <v>0.23658872077028886</v>
      </c>
      <c r="AD9" s="59" t="s">
        <v>190</v>
      </c>
      <c r="AE9" s="62">
        <v>0.57222222222222219</v>
      </c>
      <c r="AF9" s="59" t="s">
        <v>191</v>
      </c>
      <c r="AG9" s="62">
        <v>0.3964401294498382</v>
      </c>
      <c r="AH9" s="59" t="s">
        <v>197</v>
      </c>
      <c r="AI9" s="62">
        <v>0.46629213483146065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54">
        <v>109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2.0141700404858298</v>
      </c>
      <c r="L10" s="59" t="s">
        <v>193</v>
      </c>
      <c r="M10" s="61">
        <v>0.33198380566801622</v>
      </c>
      <c r="N10" s="59" t="s">
        <v>193</v>
      </c>
      <c r="O10" s="61">
        <v>0.34615384615384615</v>
      </c>
      <c r="P10" s="59" t="s">
        <v>193</v>
      </c>
      <c r="Q10" s="62">
        <v>0.29777227722772276</v>
      </c>
      <c r="R10" s="59" t="s">
        <v>192</v>
      </c>
      <c r="S10" s="62">
        <v>0.16772151898734178</v>
      </c>
      <c r="T10" s="59" t="s">
        <v>183</v>
      </c>
      <c r="U10" s="63">
        <v>8959.6522211656029</v>
      </c>
      <c r="V10" s="59" t="s">
        <v>195</v>
      </c>
      <c r="W10" s="63">
        <v>-8394.5876288659802</v>
      </c>
      <c r="X10" s="59" t="s">
        <v>191</v>
      </c>
      <c r="Y10" s="61">
        <v>0.13235294117647059</v>
      </c>
      <c r="Z10" s="59" t="s">
        <v>192</v>
      </c>
      <c r="AA10" s="62">
        <v>0.27777777777777779</v>
      </c>
      <c r="AB10" s="59" t="s">
        <v>187</v>
      </c>
      <c r="AC10" s="62">
        <v>0.22671156004489337</v>
      </c>
      <c r="AD10" s="59" t="s">
        <v>187</v>
      </c>
      <c r="AE10" s="62">
        <v>0.56769230769230772</v>
      </c>
      <c r="AF10" s="59" t="s">
        <v>199</v>
      </c>
      <c r="AG10" s="62">
        <v>0.39285714285714285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194</v>
      </c>
      <c r="C11" s="154">
        <v>91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188</v>
      </c>
      <c r="I11" s="71">
        <v>-0.25832611832611957</v>
      </c>
      <c r="J11" s="59" t="s">
        <v>191</v>
      </c>
      <c r="K11" s="60">
        <v>2.0196078431372548</v>
      </c>
      <c r="L11" s="59" t="s">
        <v>191</v>
      </c>
      <c r="M11" s="61">
        <v>0.33088235294117646</v>
      </c>
      <c r="N11" s="59" t="s">
        <v>191</v>
      </c>
      <c r="O11" s="61">
        <v>0.35049019607843135</v>
      </c>
      <c r="P11" s="59" t="s">
        <v>188</v>
      </c>
      <c r="Q11" s="62">
        <v>0.29733110925771478</v>
      </c>
      <c r="R11" s="59" t="s">
        <v>189</v>
      </c>
      <c r="S11" s="62">
        <v>0.16842105263157894</v>
      </c>
      <c r="T11" s="59" t="s">
        <v>196</v>
      </c>
      <c r="U11" s="63">
        <v>8891.6666666666661</v>
      </c>
      <c r="V11" s="59" t="s">
        <v>196</v>
      </c>
      <c r="W11" s="63">
        <v>-8400</v>
      </c>
      <c r="X11" s="59" t="s">
        <v>190</v>
      </c>
      <c r="Y11" s="61">
        <v>0.13701923076923078</v>
      </c>
      <c r="Z11" s="59" t="s">
        <v>183</v>
      </c>
      <c r="AA11" s="62">
        <v>0.2637677441422952</v>
      </c>
      <c r="AB11" s="59" t="s">
        <v>195</v>
      </c>
      <c r="AC11" s="62">
        <v>0.22321428571428573</v>
      </c>
      <c r="AD11" s="59" t="s">
        <v>183</v>
      </c>
      <c r="AE11" s="62">
        <v>0.56735289349975682</v>
      </c>
      <c r="AF11" s="59" t="s">
        <v>202</v>
      </c>
      <c r="AG11" s="62">
        <v>0.38461538461538464</v>
      </c>
      <c r="AH11" s="59" t="s">
        <v>191</v>
      </c>
      <c r="AI11" s="62">
        <v>0.45775401069518717</v>
      </c>
      <c r="AJ11" s="59" t="s">
        <v>199</v>
      </c>
      <c r="AK11" s="66">
        <v>106300</v>
      </c>
    </row>
    <row r="12" spans="1:37" x14ac:dyDescent="0.45">
      <c r="A12" s="56">
        <v>10</v>
      </c>
      <c r="B12" s="59" t="s">
        <v>197</v>
      </c>
      <c r="C12" s="154">
        <v>88</v>
      </c>
      <c r="D12" s="57" t="s">
        <v>198</v>
      </c>
      <c r="E12" s="58">
        <v>-56.2</v>
      </c>
      <c r="F12" s="59" t="s">
        <v>187</v>
      </c>
      <c r="G12" s="71">
        <v>-1.4603658536585367</v>
      </c>
      <c r="H12" s="59" t="s">
        <v>190</v>
      </c>
      <c r="I12" s="71">
        <v>-0.29414847539847716</v>
      </c>
      <c r="J12" s="59" t="s">
        <v>192</v>
      </c>
      <c r="K12" s="60">
        <v>2.0256410256410255</v>
      </c>
      <c r="L12" s="59" t="s">
        <v>189</v>
      </c>
      <c r="M12" s="61">
        <v>0.29166666666666669</v>
      </c>
      <c r="N12" s="59" t="s">
        <v>190</v>
      </c>
      <c r="O12" s="61">
        <v>0.375</v>
      </c>
      <c r="P12" s="59" t="s">
        <v>183</v>
      </c>
      <c r="Q12" s="62">
        <v>0.29676665054023543</v>
      </c>
      <c r="R12" s="59" t="s">
        <v>193</v>
      </c>
      <c r="S12" s="62">
        <v>0.16955445544554457</v>
      </c>
      <c r="T12" s="59" t="s">
        <v>187</v>
      </c>
      <c r="U12" s="63">
        <v>8650.9167842031038</v>
      </c>
      <c r="V12" s="59" t="s">
        <v>193</v>
      </c>
      <c r="W12" s="63">
        <v>-8421.459854014598</v>
      </c>
      <c r="X12" s="59" t="s">
        <v>194</v>
      </c>
      <c r="Y12" s="61">
        <v>0.15384615384615385</v>
      </c>
      <c r="Z12" s="59" t="s">
        <v>185</v>
      </c>
      <c r="AA12" s="62">
        <v>0.25806451612903225</v>
      </c>
      <c r="AB12" s="59" t="s">
        <v>183</v>
      </c>
      <c r="AC12" s="62">
        <v>0.22246451171540962</v>
      </c>
      <c r="AD12" s="59" t="s">
        <v>191</v>
      </c>
      <c r="AE12" s="62">
        <v>0.56340956340956339</v>
      </c>
      <c r="AF12" s="59" t="s">
        <v>193</v>
      </c>
      <c r="AG12" s="62">
        <v>0.38397502601456818</v>
      </c>
      <c r="AH12" s="59" t="s">
        <v>190</v>
      </c>
      <c r="AI12" s="62">
        <v>0.45683060109289619</v>
      </c>
      <c r="AJ12" s="59" t="s">
        <v>188</v>
      </c>
      <c r="AK12" s="66">
        <v>103200</v>
      </c>
    </row>
    <row r="13" spans="1:37" x14ac:dyDescent="0.45">
      <c r="A13" s="56">
        <v>11</v>
      </c>
      <c r="B13" s="59" t="s">
        <v>192</v>
      </c>
      <c r="C13" s="154">
        <v>39</v>
      </c>
      <c r="D13" s="57" t="s">
        <v>201</v>
      </c>
      <c r="E13" s="58">
        <v>-80.800000000000011</v>
      </c>
      <c r="F13" s="59" t="s">
        <v>193</v>
      </c>
      <c r="G13" s="71">
        <v>-2.1489878542510135</v>
      </c>
      <c r="H13" s="59" t="s">
        <v>194</v>
      </c>
      <c r="I13" s="71">
        <v>-0.4518996415770597</v>
      </c>
      <c r="J13" s="59" t="s">
        <v>187</v>
      </c>
      <c r="K13" s="60">
        <v>2.0609756097560976</v>
      </c>
      <c r="L13" s="59" t="s">
        <v>187</v>
      </c>
      <c r="M13" s="61">
        <v>0.27743902439024393</v>
      </c>
      <c r="N13" s="59" t="s">
        <v>192</v>
      </c>
      <c r="O13" s="61">
        <v>0.38461538461538464</v>
      </c>
      <c r="P13" s="59" t="s">
        <v>191</v>
      </c>
      <c r="Q13" s="62">
        <v>0.28428093645484948</v>
      </c>
      <c r="R13" s="59" t="s">
        <v>199</v>
      </c>
      <c r="S13" s="62">
        <v>0.16996047430830039</v>
      </c>
      <c r="T13" s="59" t="s">
        <v>201</v>
      </c>
      <c r="U13" s="63">
        <v>8512.5</v>
      </c>
      <c r="V13" s="59" t="s">
        <v>188</v>
      </c>
      <c r="W13" s="63">
        <v>-8479.8469387755104</v>
      </c>
      <c r="X13" s="59" t="s">
        <v>192</v>
      </c>
      <c r="Y13" s="61">
        <v>0.15384615384615385</v>
      </c>
      <c r="Z13" s="59" t="s">
        <v>199</v>
      </c>
      <c r="AA13" s="62">
        <v>0.24901185770750989</v>
      </c>
      <c r="AB13" s="59" t="s">
        <v>186</v>
      </c>
      <c r="AC13" s="62">
        <v>0.19788359788359788</v>
      </c>
      <c r="AD13" s="59" t="s">
        <v>186</v>
      </c>
      <c r="AE13" s="62">
        <v>0.55111111111111111</v>
      </c>
      <c r="AF13" s="59" t="s">
        <v>197</v>
      </c>
      <c r="AG13" s="62">
        <v>0.38372093023255816</v>
      </c>
      <c r="AH13" s="59" t="s">
        <v>187</v>
      </c>
      <c r="AI13" s="62">
        <v>0.44428772919605075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199</v>
      </c>
      <c r="C14" s="154">
        <v>28</v>
      </c>
      <c r="D14" s="57" t="s">
        <v>185</v>
      </c>
      <c r="E14" s="58">
        <v>-86.4</v>
      </c>
      <c r="F14" s="59" t="s">
        <v>190</v>
      </c>
      <c r="G14" s="71">
        <v>-4.1271634615384611</v>
      </c>
      <c r="H14" s="59" t="s">
        <v>193</v>
      </c>
      <c r="I14" s="71">
        <v>-1.6150250639381625</v>
      </c>
      <c r="J14" s="59" t="s">
        <v>190</v>
      </c>
      <c r="K14" s="60">
        <v>2.1057692307692308</v>
      </c>
      <c r="L14" s="59" t="s">
        <v>186</v>
      </c>
      <c r="M14" s="61">
        <v>0.27522935779816515</v>
      </c>
      <c r="N14" s="59" t="s">
        <v>188</v>
      </c>
      <c r="O14" s="61">
        <v>0.38596491228070173</v>
      </c>
      <c r="P14" s="59" t="s">
        <v>192</v>
      </c>
      <c r="Q14" s="62">
        <v>0.28164556962025317</v>
      </c>
      <c r="R14" s="59" t="s">
        <v>194</v>
      </c>
      <c r="S14" s="62">
        <v>0.17164179104477612</v>
      </c>
      <c r="T14" s="59" t="s">
        <v>193</v>
      </c>
      <c r="U14" s="63">
        <v>8485.7024106400659</v>
      </c>
      <c r="V14" s="59" t="s">
        <v>191</v>
      </c>
      <c r="W14" s="63">
        <v>-8690.0505902192235</v>
      </c>
      <c r="X14" s="59" t="s">
        <v>189</v>
      </c>
      <c r="Y14" s="61">
        <v>0.16666666666666666</v>
      </c>
      <c r="Z14" s="59" t="s">
        <v>193</v>
      </c>
      <c r="AA14" s="62">
        <v>0.24706182933060808</v>
      </c>
      <c r="AB14" s="59" t="s">
        <v>191</v>
      </c>
      <c r="AC14" s="62">
        <v>0.1900369003690037</v>
      </c>
      <c r="AD14" s="59" t="s">
        <v>192</v>
      </c>
      <c r="AE14" s="62">
        <v>0.53846153846153844</v>
      </c>
      <c r="AF14" s="59" t="s">
        <v>187</v>
      </c>
      <c r="AG14" s="62">
        <v>0.37788778877887791</v>
      </c>
      <c r="AH14" s="59" t="s">
        <v>183</v>
      </c>
      <c r="AI14" s="62">
        <v>0.4368971607118598</v>
      </c>
      <c r="AJ14" s="59" t="s">
        <v>197</v>
      </c>
      <c r="AK14" s="66">
        <v>85100</v>
      </c>
    </row>
    <row r="15" spans="1:37" x14ac:dyDescent="0.45">
      <c r="A15" s="56">
        <v>13</v>
      </c>
      <c r="B15" s="59" t="s">
        <v>189</v>
      </c>
      <c r="C15" s="154">
        <v>24</v>
      </c>
      <c r="D15" s="57" t="s">
        <v>184</v>
      </c>
      <c r="E15" s="58">
        <v>-132.1</v>
      </c>
      <c r="F15" s="59" t="s">
        <v>188</v>
      </c>
      <c r="G15" s="71">
        <v>-5.2824561403508783</v>
      </c>
      <c r="H15" s="59" t="s">
        <v>197</v>
      </c>
      <c r="I15" s="71">
        <v>-1.7731481481481524</v>
      </c>
      <c r="J15" s="59" t="s">
        <v>189</v>
      </c>
      <c r="K15" s="60">
        <v>2.125</v>
      </c>
      <c r="L15" s="59" t="s">
        <v>190</v>
      </c>
      <c r="M15" s="61">
        <v>0.26923076923076922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191</v>
      </c>
      <c r="S15" s="62">
        <v>0.18029796290665856</v>
      </c>
      <c r="T15" s="59" t="s">
        <v>197</v>
      </c>
      <c r="U15" s="63">
        <v>8257.3033707865161</v>
      </c>
      <c r="V15" s="59" t="s">
        <v>199</v>
      </c>
      <c r="W15" s="63">
        <v>-8765.1162790697672</v>
      </c>
      <c r="X15" s="59" t="s">
        <v>197</v>
      </c>
      <c r="Y15" s="61">
        <v>0.17045454545454544</v>
      </c>
      <c r="Z15" s="59" t="s">
        <v>187</v>
      </c>
      <c r="AA15" s="62">
        <v>0.24317246539468762</v>
      </c>
      <c r="AB15" s="59" t="s">
        <v>190</v>
      </c>
      <c r="AC15" s="62">
        <v>0.18089171974522292</v>
      </c>
      <c r="AD15" s="59" t="s">
        <v>197</v>
      </c>
      <c r="AE15" s="62">
        <v>0.53691275167785235</v>
      </c>
      <c r="AF15" s="59" t="s">
        <v>190</v>
      </c>
      <c r="AG15" s="62">
        <v>0.3609154929577465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54">
        <v>10</v>
      </c>
      <c r="D16" s="57" t="s">
        <v>189</v>
      </c>
      <c r="E16" s="58">
        <v>-151.4</v>
      </c>
      <c r="F16" s="59" t="s">
        <v>189</v>
      </c>
      <c r="G16" s="71">
        <v>-6.3083333333333336</v>
      </c>
      <c r="H16" s="59" t="s">
        <v>189</v>
      </c>
      <c r="I16" s="71">
        <v>-2.0895238095238078</v>
      </c>
      <c r="J16" s="59" t="s">
        <v>188</v>
      </c>
      <c r="K16" s="60">
        <v>2.1403508771929824</v>
      </c>
      <c r="L16" s="59" t="s">
        <v>198</v>
      </c>
      <c r="M16" s="61">
        <v>0.25</v>
      </c>
      <c r="N16" s="59" t="s">
        <v>201</v>
      </c>
      <c r="O16" s="61">
        <v>0.4</v>
      </c>
      <c r="P16" s="59" t="s">
        <v>190</v>
      </c>
      <c r="Q16" s="62">
        <v>0.26903851808291679</v>
      </c>
      <c r="R16" s="59" t="s">
        <v>190</v>
      </c>
      <c r="S16" s="62">
        <v>0.18406351073213761</v>
      </c>
      <c r="T16" s="59" t="s">
        <v>199</v>
      </c>
      <c r="U16" s="63">
        <v>7901.25</v>
      </c>
      <c r="V16" s="59" t="s">
        <v>189</v>
      </c>
      <c r="W16" s="63">
        <v>-8943.75</v>
      </c>
      <c r="X16" s="59" t="s">
        <v>186</v>
      </c>
      <c r="Y16" s="61">
        <v>0.19266055045871561</v>
      </c>
      <c r="Z16" s="59" t="s">
        <v>186</v>
      </c>
      <c r="AA16" s="62">
        <v>0.23809523809523808</v>
      </c>
      <c r="AB16" s="59" t="s">
        <v>202</v>
      </c>
      <c r="AC16" s="62">
        <v>0.16666666666666666</v>
      </c>
      <c r="AD16" s="59" t="s">
        <v>193</v>
      </c>
      <c r="AE16" s="62">
        <v>0.5367114788004137</v>
      </c>
      <c r="AF16" s="59" t="s">
        <v>201</v>
      </c>
      <c r="AG16" s="62">
        <v>0.33333333333333331</v>
      </c>
      <c r="AH16" s="59" t="s">
        <v>188</v>
      </c>
      <c r="AI16" s="62">
        <v>0.42776998597475457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54">
        <v>9</v>
      </c>
      <c r="D17" s="57" t="s">
        <v>187</v>
      </c>
      <c r="E17" s="58">
        <v>-479</v>
      </c>
      <c r="F17" s="59" t="s">
        <v>186</v>
      </c>
      <c r="G17" s="71">
        <v>-8.9321100917431195</v>
      </c>
      <c r="H17" s="59" t="s">
        <v>186</v>
      </c>
      <c r="I17" s="71">
        <v>-2.8297901891252955</v>
      </c>
      <c r="J17" s="59" t="s">
        <v>186</v>
      </c>
      <c r="K17" s="60">
        <v>2.1559633027522938</v>
      </c>
      <c r="L17" s="59" t="s">
        <v>188</v>
      </c>
      <c r="M17" s="61">
        <v>0.24561403508771928</v>
      </c>
      <c r="N17" s="59" t="s">
        <v>189</v>
      </c>
      <c r="O17" s="61">
        <v>0.41666666666666669</v>
      </c>
      <c r="P17" s="59" t="s">
        <v>187</v>
      </c>
      <c r="Q17" s="62">
        <v>0.26524504302282081</v>
      </c>
      <c r="R17" s="59" t="s">
        <v>197</v>
      </c>
      <c r="S17" s="62">
        <v>0.18982118294360384</v>
      </c>
      <c r="T17" s="59" t="s">
        <v>186</v>
      </c>
      <c r="U17" s="63">
        <v>7830.8943089430895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0.52477477477477474</v>
      </c>
      <c r="AF17" s="59" t="s">
        <v>186</v>
      </c>
      <c r="AG17" s="62">
        <v>0.32620320855614976</v>
      </c>
      <c r="AH17" s="59" t="s">
        <v>193</v>
      </c>
      <c r="AI17" s="62">
        <v>0.42061512884455526</v>
      </c>
      <c r="AJ17" s="59" t="s">
        <v>189</v>
      </c>
      <c r="AK17" s="66">
        <v>65900</v>
      </c>
    </row>
    <row r="18" spans="1:37" x14ac:dyDescent="0.45">
      <c r="A18" s="56">
        <v>16</v>
      </c>
      <c r="B18" s="59" t="s">
        <v>185</v>
      </c>
      <c r="C18" s="154">
        <v>5</v>
      </c>
      <c r="D18" s="57" t="s">
        <v>186</v>
      </c>
      <c r="E18" s="58">
        <v>-973.6</v>
      </c>
      <c r="F18" s="59" t="s">
        <v>197</v>
      </c>
      <c r="G18" s="71">
        <v>-13.515909090909092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0.43119266055045874</v>
      </c>
      <c r="P18" s="59" t="s">
        <v>186</v>
      </c>
      <c r="Q18" s="62">
        <v>0.26031746031746034</v>
      </c>
      <c r="R18" s="59" t="s">
        <v>186</v>
      </c>
      <c r="S18" s="62">
        <v>0.19365079365079366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0.5</v>
      </c>
      <c r="AF18" s="59" t="s">
        <v>192</v>
      </c>
      <c r="AG18" s="62">
        <v>0.32142857142857145</v>
      </c>
      <c r="AH18" s="59" t="s">
        <v>195</v>
      </c>
      <c r="AI18" s="62">
        <v>0.40942028985507245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54">
        <v>5</v>
      </c>
      <c r="D19" s="57" t="s">
        <v>193</v>
      </c>
      <c r="E19" s="58">
        <v>-1061.6000000000006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0.45454545454545453</v>
      </c>
      <c r="P19" s="59" t="s">
        <v>197</v>
      </c>
      <c r="Q19" s="62">
        <v>0.24484181568088034</v>
      </c>
      <c r="R19" s="59" t="s">
        <v>201</v>
      </c>
      <c r="S19" s="62">
        <v>0.2</v>
      </c>
      <c r="T19" s="59" t="s">
        <v>188</v>
      </c>
      <c r="U19" s="63">
        <v>7400.8415147265077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54">
        <v>4</v>
      </c>
      <c r="D20" s="57" t="s">
        <v>197</v>
      </c>
      <c r="E20" s="58">
        <v>-1189.4000000000001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0.13636363636363635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189</v>
      </c>
      <c r="U20" s="63">
        <v>7216.666666666667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0.20495185694635487</v>
      </c>
      <c r="AB20" s="59" t="s">
        <v>189</v>
      </c>
      <c r="AC20" s="62">
        <v>0.11891891891891893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54">
        <v>4</v>
      </c>
      <c r="D21" s="57" t="s">
        <v>188</v>
      </c>
      <c r="E21" s="58">
        <v>-1505.5000000000002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2.3181818181818183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0.20018034265103696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54">
        <v>1</v>
      </c>
      <c r="D22" s="57" t="s">
        <v>190</v>
      </c>
      <c r="E22" s="58">
        <v>-1716.8999999999999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B1:C1"/>
    <mergeCell ref="B2:C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  <mergeCell ref="D2:E2"/>
    <mergeCell ref="F2:G2"/>
    <mergeCell ref="J2:K2"/>
    <mergeCell ref="L2:M2"/>
    <mergeCell ref="P2:Q2"/>
    <mergeCell ref="N2:O2"/>
    <mergeCell ref="H2:I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EFEE-1F4E-4035-AC70-551BA1AA9A42}">
  <sheetPr codeName="Sheet3"/>
  <dimension ref="A1:Q305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3048</v>
      </c>
      <c r="C2" s="130"/>
      <c r="E2" s="43" t="s">
        <v>66</v>
      </c>
      <c r="F2" s="25" t="s">
        <v>22</v>
      </c>
      <c r="G2" s="13">
        <v>5076</v>
      </c>
      <c r="H2" s="106">
        <f>IF(B$51=0,0,G2/B$51)</f>
        <v>0.73278475530532694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-21.473406012553685</v>
      </c>
      <c r="P2" s="92">
        <v>3027</v>
      </c>
      <c r="Q2" s="76">
        <v>-65000</v>
      </c>
    </row>
    <row r="3" spans="1:17" x14ac:dyDescent="0.45">
      <c r="A3" s="37" t="s">
        <v>8</v>
      </c>
      <c r="B3" s="131">
        <v>24804</v>
      </c>
      <c r="C3" s="132"/>
      <c r="E3" s="44" t="s">
        <v>72</v>
      </c>
      <c r="F3" s="41" t="s">
        <v>27</v>
      </c>
      <c r="G3" s="34">
        <v>3725</v>
      </c>
      <c r="H3" s="107">
        <f>IF(B$51=0,0,G3/B$51)</f>
        <v>0.53775083008517399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-0.33840947546531303</v>
      </c>
      <c r="P3" s="93">
        <v>2955</v>
      </c>
      <c r="Q3" s="77">
        <v>-1000</v>
      </c>
    </row>
    <row r="4" spans="1:17" x14ac:dyDescent="0.45">
      <c r="A4" s="37" t="s">
        <v>6</v>
      </c>
      <c r="B4" s="133">
        <v>8.8817841970012523E-15</v>
      </c>
      <c r="C4" s="134"/>
      <c r="E4" s="44" t="s">
        <v>64</v>
      </c>
      <c r="F4" s="41" t="s">
        <v>20</v>
      </c>
      <c r="G4" s="34">
        <v>3382</v>
      </c>
      <c r="H4" s="107">
        <f>IF(B$51=0,0,G4/B$51)</f>
        <v>0.48823444492565327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6.4935064935064934</v>
      </c>
      <c r="P4" s="93">
        <v>2772</v>
      </c>
      <c r="Q4" s="77">
        <v>18000</v>
      </c>
    </row>
    <row r="5" spans="1:17" x14ac:dyDescent="0.45">
      <c r="A5" s="37" t="s">
        <v>7</v>
      </c>
      <c r="B5" s="135">
        <f>IF(B$2=0,0,B$4/B$2)</f>
        <v>2.9139711932418806E-18</v>
      </c>
      <c r="C5" s="136"/>
      <c r="E5" s="44" t="s">
        <v>68</v>
      </c>
      <c r="F5" s="41" t="s">
        <v>12</v>
      </c>
      <c r="G5" s="34">
        <v>2162</v>
      </c>
      <c r="H5" s="107">
        <f>IF(B$51=0,0,G5/B$51)</f>
        <v>0.31211202540782446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1.9607843137254901</v>
      </c>
      <c r="P5" s="93">
        <v>2550</v>
      </c>
      <c r="Q5" s="77">
        <v>5000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157</v>
      </c>
      <c r="F6" s="41" t="s">
        <v>158</v>
      </c>
      <c r="G6" s="34">
        <v>2104</v>
      </c>
      <c r="H6" s="107">
        <f>IF(B$51=0,0,G6/B$51)</f>
        <v>0.30373899234878016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1.7429193899782136</v>
      </c>
      <c r="P6" s="93">
        <v>2295</v>
      </c>
      <c r="Q6" s="77">
        <v>4000</v>
      </c>
    </row>
    <row r="7" spans="1:17" x14ac:dyDescent="0.45">
      <c r="A7" s="37" t="s">
        <v>2</v>
      </c>
      <c r="B7" s="34">
        <v>1016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2005</v>
      </c>
      <c r="H7" s="107">
        <f>IF(B$51=0,0,G7/B$51)</f>
        <v>0.28944709109282518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19.730010384215991</v>
      </c>
      <c r="P7" s="94">
        <v>1926</v>
      </c>
      <c r="Q7" s="78">
        <v>38000</v>
      </c>
    </row>
    <row r="8" spans="1:17" x14ac:dyDescent="0.45">
      <c r="A8" s="37" t="s">
        <v>3</v>
      </c>
      <c r="B8" s="34">
        <v>1016</v>
      </c>
      <c r="C8" s="31">
        <f t="shared" si="1"/>
        <v>0.33333333333333331</v>
      </c>
      <c r="E8" s="44" t="s">
        <v>69</v>
      </c>
      <c r="F8" s="41" t="s">
        <v>24</v>
      </c>
      <c r="G8" s="34">
        <v>1043</v>
      </c>
      <c r="H8" s="107">
        <f>IF(B$51=0,0,G8/B$51)</f>
        <v>0.1505702324238487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1016</v>
      </c>
      <c r="C9" s="7">
        <f t="shared" si="1"/>
        <v>0.33333333333333331</v>
      </c>
      <c r="E9" s="44" t="s">
        <v>89</v>
      </c>
      <c r="F9" s="41" t="s">
        <v>44</v>
      </c>
      <c r="G9" s="34">
        <v>968</v>
      </c>
      <c r="H9" s="107">
        <f>IF(B$51=0,0,G9/B$51)</f>
        <v>0.1397430345026707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37.692027559055127</v>
      </c>
      <c r="C10" s="121">
        <v>38295.100000000006</v>
      </c>
      <c r="E10" s="44" t="s">
        <v>65</v>
      </c>
      <c r="F10" s="41" t="s">
        <v>21</v>
      </c>
      <c r="G10" s="34">
        <v>760</v>
      </c>
      <c r="H10" s="107">
        <f>IF(B$51=0,0,G10/B$51)</f>
        <v>0.10971560560127039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-2.9774925962487648</v>
      </c>
      <c r="P10" s="92">
        <v>1013</v>
      </c>
      <c r="Q10" s="80">
        <v>-3016.1999999999989</v>
      </c>
    </row>
    <row r="11" spans="1:17" x14ac:dyDescent="0.45">
      <c r="A11" s="38" t="s">
        <v>204</v>
      </c>
      <c r="B11" s="120">
        <f>IF(B8=0,0,C11/B8)</f>
        <v>-0.7790354330708652</v>
      </c>
      <c r="C11" s="121">
        <v>-791.49999999999909</v>
      </c>
      <c r="E11" s="44" t="s">
        <v>70</v>
      </c>
      <c r="F11" s="41" t="s">
        <v>25</v>
      </c>
      <c r="G11" s="34">
        <v>675</v>
      </c>
      <c r="H11" s="107">
        <f>IF(B$51=0,0,G11/B$51)</f>
        <v>9.7444781290601995E-2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1.1014807502467918</v>
      </c>
      <c r="P11" s="93">
        <v>1013</v>
      </c>
      <c r="Q11" s="81">
        <v>1115.8000000000002</v>
      </c>
    </row>
    <row r="12" spans="1:17" x14ac:dyDescent="0.45">
      <c r="A12" s="38" t="s">
        <v>205</v>
      </c>
      <c r="B12" s="120">
        <f>IF(B9=0,0,C12/B9)</f>
        <v>-36.91299212598426</v>
      </c>
      <c r="C12" s="121">
        <v>-37503.600000000006</v>
      </c>
      <c r="E12" s="44" t="s">
        <v>71</v>
      </c>
      <c r="F12" s="41" t="s">
        <v>26</v>
      </c>
      <c r="G12" s="34">
        <v>474</v>
      </c>
      <c r="H12" s="107">
        <f>IF(B$51=0,0,G12/B$51)</f>
        <v>6.8427890861844948E-2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1.8760118460019743</v>
      </c>
      <c r="P12" s="94">
        <v>1013</v>
      </c>
      <c r="Q12" s="82">
        <v>1900.4</v>
      </c>
    </row>
    <row r="13" spans="1:17" x14ac:dyDescent="0.45">
      <c r="A13" s="38" t="s">
        <v>206</v>
      </c>
      <c r="B13" s="135">
        <f>AVERAGE(B10:B12)</f>
        <v>0</v>
      </c>
      <c r="C13" s="136"/>
      <c r="E13" s="44" t="s">
        <v>86</v>
      </c>
      <c r="F13" s="41" t="s">
        <v>41</v>
      </c>
      <c r="G13" s="34">
        <v>393</v>
      </c>
      <c r="H13" s="107">
        <f>IF(B$51=0,0,G13/B$51)</f>
        <v>5.6734517106972714E-2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369</v>
      </c>
      <c r="C14" s="32">
        <f t="shared" si="1"/>
        <v>0.12106299212598425</v>
      </c>
      <c r="E14" s="44" t="s">
        <v>83</v>
      </c>
      <c r="F14" s="41" t="s">
        <v>38</v>
      </c>
      <c r="G14" s="34">
        <v>332</v>
      </c>
      <c r="H14" s="107">
        <f>IF(B$51=0,0,G14/B$51)</f>
        <v>4.7928396131081276E-2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6169</v>
      </c>
      <c r="C15" s="11">
        <f>IF(B$50=0,0,B15/B$50)</f>
        <v>0.2637677441422952</v>
      </c>
      <c r="E15" s="44" t="s">
        <v>78</v>
      </c>
      <c r="F15" s="41" t="s">
        <v>33</v>
      </c>
      <c r="G15" s="34">
        <v>194</v>
      </c>
      <c r="H15" s="107">
        <f>IF(B$51=0,0,G15/B$51)</f>
        <v>2.8006351956113756E-2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5203</v>
      </c>
      <c r="C16" s="31">
        <f>IF(B$50=0,0,B16/B$50)</f>
        <v>0.22246451171540962</v>
      </c>
      <c r="E16" s="44" t="s">
        <v>81</v>
      </c>
      <c r="F16" s="41" t="s">
        <v>36</v>
      </c>
      <c r="G16" s="34">
        <v>175</v>
      </c>
      <c r="H16" s="107">
        <f>IF(B$51=0,0,G16/B$51)</f>
        <v>2.5263461816081998E-2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3500</v>
      </c>
      <c r="C17" s="4">
        <f>IF(B$15=0,0,B17/B$15)</f>
        <v>0.56735289349975682</v>
      </c>
      <c r="E17" s="44" t="s">
        <v>91</v>
      </c>
      <c r="F17" s="41" t="s">
        <v>46</v>
      </c>
      <c r="G17" s="34">
        <v>129</v>
      </c>
      <c r="H17" s="107">
        <f>IF(B$51=0,0,G17/B$51)</f>
        <v>1.8622780424426159E-2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2115</v>
      </c>
      <c r="C18" s="4">
        <f>IF(B$16=0,0,B18/B$16)</f>
        <v>0.40649625216221413</v>
      </c>
      <c r="E18" s="44" t="s">
        <v>79</v>
      </c>
      <c r="F18" s="41" t="s">
        <v>34</v>
      </c>
      <c r="G18" s="34">
        <v>103</v>
      </c>
      <c r="H18" s="107">
        <f>IF(B$51=0,0,G18/B$51)</f>
        <v>1.4869351811751119E-2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7361</v>
      </c>
      <c r="C19" s="4">
        <f>IF(B$3=0,0,B19/B$3)</f>
        <v>0.29676665054023543</v>
      </c>
      <c r="E19" s="44" t="s">
        <v>153</v>
      </c>
      <c r="F19" s="41" t="s">
        <v>154</v>
      </c>
      <c r="G19" s="34">
        <v>102</v>
      </c>
      <c r="H19" s="107">
        <f>IF(B$51=0,0,G19/B$51)</f>
        <v>1.4724989172802079E-2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20.273863636363615</v>
      </c>
      <c r="P19" s="93">
        <v>176</v>
      </c>
      <c r="Q19" s="81">
        <v>3568.1999999999962</v>
      </c>
    </row>
    <row r="20" spans="1:17" x14ac:dyDescent="0.45">
      <c r="A20" s="37" t="s">
        <v>13</v>
      </c>
      <c r="B20" s="34">
        <v>4087</v>
      </c>
      <c r="C20" s="31">
        <f>IF(B$3=0,0,B20/B$3)</f>
        <v>0.1647718109982261</v>
      </c>
      <c r="E20" s="44" t="s">
        <v>75</v>
      </c>
      <c r="F20" s="41" t="s">
        <v>30</v>
      </c>
      <c r="G20" s="34">
        <v>45</v>
      </c>
      <c r="H20" s="107">
        <f>IF(B$51=0,0,G20/B$51)</f>
        <v>6.4963187527067997E-3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13.398165137614678</v>
      </c>
      <c r="P20" s="93">
        <v>218</v>
      </c>
      <c r="Q20" s="81">
        <v>2920.7999999999997</v>
      </c>
    </row>
    <row r="21" spans="1:17" x14ac:dyDescent="0.45">
      <c r="A21" s="37" t="s">
        <v>12</v>
      </c>
      <c r="B21" s="34">
        <v>3216</v>
      </c>
      <c r="C21" s="31">
        <f>IF(B$19=0,0,B21/B$19)</f>
        <v>0.4368971607118598</v>
      </c>
      <c r="E21" s="44" t="s">
        <v>73</v>
      </c>
      <c r="F21" s="41" t="s">
        <v>28</v>
      </c>
      <c r="G21" s="34">
        <v>39</v>
      </c>
      <c r="H21" s="107">
        <f>IF(B$51=0,0,G21/B$51)</f>
        <v>5.6301429190125599E-3</v>
      </c>
      <c r="I21" s="68">
        <v>7</v>
      </c>
      <c r="K21" s="5">
        <v>19</v>
      </c>
      <c r="L21" s="73">
        <v>-6.1</v>
      </c>
      <c r="N21" s="89" t="s">
        <v>189</v>
      </c>
      <c r="O21" s="99">
        <f>IF(P21=0,0,Q21/P21)</f>
        <v>9.4624999999999968</v>
      </c>
      <c r="P21" s="93">
        <v>48</v>
      </c>
      <c r="Q21" s="81">
        <v>454.19999999999987</v>
      </c>
    </row>
    <row r="22" spans="1:17" x14ac:dyDescent="0.45">
      <c r="A22" s="37" t="s">
        <v>11</v>
      </c>
      <c r="B22" s="34">
        <v>4145</v>
      </c>
      <c r="C22" s="31">
        <f>IF(B$19=0,0,B22/B$19)</f>
        <v>0.5631028392881402</v>
      </c>
      <c r="E22" s="44" t="s">
        <v>92</v>
      </c>
      <c r="F22" s="41" t="s">
        <v>47</v>
      </c>
      <c r="G22" s="34">
        <v>38</v>
      </c>
      <c r="H22" s="107">
        <f>IF(B$51=0,0,G22/B$51)</f>
        <v>5.4857802800635192E-3</v>
      </c>
      <c r="I22" s="68">
        <v>6</v>
      </c>
      <c r="K22" s="5">
        <v>20</v>
      </c>
      <c r="L22" s="73">
        <v>4.9000000000000004</v>
      </c>
      <c r="N22" s="89" t="s">
        <v>188</v>
      </c>
      <c r="O22" s="99">
        <f>IF(P22=0,0,Q22/P22)</f>
        <v>7.6077966101694887</v>
      </c>
      <c r="P22" s="93">
        <v>590</v>
      </c>
      <c r="Q22" s="81">
        <v>4488.5999999999985</v>
      </c>
    </row>
    <row r="23" spans="1:17" x14ac:dyDescent="0.45">
      <c r="A23" s="37" t="s">
        <v>180</v>
      </c>
      <c r="B23" s="34">
        <v>3500</v>
      </c>
      <c r="C23" s="31">
        <f>IF(B$19=0,0,B23/B$19)</f>
        <v>0.47547887515283249</v>
      </c>
      <c r="E23" s="44" t="s">
        <v>77</v>
      </c>
      <c r="F23" s="41" t="s">
        <v>32</v>
      </c>
      <c r="G23" s="34">
        <v>36</v>
      </c>
      <c r="H23" s="107">
        <f>IF(B$51=0,0,G23/B$51)</f>
        <v>5.1970550021654396E-3</v>
      </c>
      <c r="I23" s="68">
        <v>5</v>
      </c>
      <c r="K23" s="5">
        <v>21</v>
      </c>
      <c r="L23" s="73">
        <v>0</v>
      </c>
      <c r="N23" s="89" t="s">
        <v>190</v>
      </c>
      <c r="O23" s="99">
        <f>IF(P23=0,0,Q23/P23)</f>
        <v>6.1907451923076913</v>
      </c>
      <c r="P23" s="93">
        <v>832</v>
      </c>
      <c r="Q23" s="81">
        <v>5150.6999999999989</v>
      </c>
    </row>
    <row r="24" spans="1:17" x14ac:dyDescent="0.45">
      <c r="A24" s="37" t="s">
        <v>178</v>
      </c>
      <c r="B24" s="34">
        <v>2115</v>
      </c>
      <c r="C24" s="31">
        <f>IF(B$19=0,0,B24/B$19)</f>
        <v>0.28732509169949733</v>
      </c>
      <c r="E24" s="44" t="s">
        <v>85</v>
      </c>
      <c r="F24" s="41" t="s">
        <v>40</v>
      </c>
      <c r="G24" s="34">
        <v>35</v>
      </c>
      <c r="H24" s="107">
        <f>IF(B$51=0,0,G24/B$51)</f>
        <v>5.0526923632163998E-3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3.2234817813765257</v>
      </c>
      <c r="P24" s="93">
        <v>988</v>
      </c>
      <c r="Q24" s="81">
        <v>3184.8000000000075</v>
      </c>
    </row>
    <row r="25" spans="1:17" x14ac:dyDescent="0.45">
      <c r="A25" s="37" t="s">
        <v>179</v>
      </c>
      <c r="B25" s="34">
        <v>1746</v>
      </c>
      <c r="C25" s="31">
        <f>IF(B$19=0,0,B25/B$19)</f>
        <v>0.23719603314767015</v>
      </c>
      <c r="E25" s="44" t="s">
        <v>74</v>
      </c>
      <c r="F25" s="41" t="s">
        <v>29</v>
      </c>
      <c r="G25" s="34">
        <v>23</v>
      </c>
      <c r="H25" s="107">
        <f>IF(B$51=0,0,G25/B$51)</f>
        <v>3.3203406958279198E-3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2.1905487804878052</v>
      </c>
      <c r="P25" s="93">
        <v>656</v>
      </c>
      <c r="Q25" s="81">
        <v>1437.0000000000002</v>
      </c>
    </row>
    <row r="26" spans="1:17" x14ac:dyDescent="0.45">
      <c r="A26" s="37" t="s">
        <v>5</v>
      </c>
      <c r="B26" s="17">
        <f>IF(B$19=0,0,C26/B$19)</f>
        <v>8959.6522211656029</v>
      </c>
      <c r="C26" s="8">
        <v>65952000</v>
      </c>
      <c r="E26" s="44" t="s">
        <v>84</v>
      </c>
      <c r="F26" s="41" t="s">
        <v>39</v>
      </c>
      <c r="G26" s="34">
        <v>18</v>
      </c>
      <c r="H26" s="107">
        <f>IF(B$51=0,0,G26/B$51)</f>
        <v>2.5985275010827198E-3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9561.8566526877621</v>
      </c>
      <c r="C27" s="115">
        <v>50161500</v>
      </c>
      <c r="E27" s="44" t="s">
        <v>93</v>
      </c>
      <c r="F27" s="41" t="s">
        <v>48</v>
      </c>
      <c r="G27" s="34">
        <v>17</v>
      </c>
      <c r="H27" s="107">
        <f>IF(B$51=0,0,G27/B$51)</f>
        <v>2.45416486213368E-3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7465.9574468085102</v>
      </c>
      <c r="C28" s="115">
        <v>15790500</v>
      </c>
      <c r="E28" s="44" t="s">
        <v>87</v>
      </c>
      <c r="F28" s="41" t="s">
        <v>42</v>
      </c>
      <c r="G28" s="34">
        <v>16</v>
      </c>
      <c r="H28" s="107">
        <f>IF(B$51=0,0,G28/B$51)</f>
        <v>2.3098022231846397E-3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-2.0705882352941174</v>
      </c>
      <c r="P28" s="93">
        <v>816</v>
      </c>
      <c r="Q28" s="81">
        <v>-1689.5999999999997</v>
      </c>
    </row>
    <row r="29" spans="1:17" x14ac:dyDescent="0.45">
      <c r="A29" s="38" t="s">
        <v>161</v>
      </c>
      <c r="B29" s="114">
        <f>IF(B$20=0,0,C29/B$20)</f>
        <v>-8384.1448495228778</v>
      </c>
      <c r="C29" s="115">
        <v>-34266000</v>
      </c>
      <c r="E29" s="44" t="s">
        <v>90</v>
      </c>
      <c r="F29" s="41" t="s">
        <v>45</v>
      </c>
      <c r="G29" s="34">
        <v>13</v>
      </c>
      <c r="H29" s="107">
        <f>IF(B$51=0,0,G29/B$51)</f>
        <v>1.8767143063375198E-3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1.7323516673884798E-3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-14.298428571428568</v>
      </c>
      <c r="P30" s="93">
        <v>1400</v>
      </c>
      <c r="Q30" s="81">
        <v>-20017.799999999996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1.1549011115923199E-3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3</v>
      </c>
      <c r="H32" s="107">
        <f>IF(B$51=0,0,G32/B$51)</f>
        <v>4.3308791684711995E-4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9">
        <v>149100</v>
      </c>
      <c r="C33" s="140"/>
      <c r="E33" s="44" t="s">
        <v>97</v>
      </c>
      <c r="F33" s="41" t="s">
        <v>52</v>
      </c>
      <c r="G33" s="34">
        <v>2</v>
      </c>
      <c r="H33" s="107">
        <f>IF(B$51=0,0,G33/B$51)</f>
        <v>2.8872527789807997E-4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70</v>
      </c>
      <c r="C34" s="32">
        <f>IF(B$3=0,0,B34/B$3)</f>
        <v>2.8221254636348974E-3</v>
      </c>
      <c r="E34" s="44" t="s">
        <v>101</v>
      </c>
      <c r="F34" s="41" t="s">
        <v>56</v>
      </c>
      <c r="G34" s="34">
        <v>2</v>
      </c>
      <c r="H34" s="107">
        <f>IF(B$51=0,0,G34/B$51)</f>
        <v>2.8872527789807997E-4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1.4436263894903998E-4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3">
        <v>478</v>
      </c>
      <c r="C36" s="119">
        <f>IF(B$19=0,0,B36/B$19)</f>
        <v>6.4936829235158269E-2</v>
      </c>
      <c r="E36" s="44" t="s">
        <v>80</v>
      </c>
      <c r="F36" s="41" t="s">
        <v>35</v>
      </c>
      <c r="G36" s="34">
        <v>1</v>
      </c>
      <c r="H36" s="107">
        <f>IF(B$51=0,0,G36/B$51)</f>
        <v>1.4436263894903998E-4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1061</v>
      </c>
      <c r="C37" s="31">
        <f t="shared" ref="C37:C48" si="2">IF(B$19=0,0,B37/B$19)</f>
        <v>0.1441380247249015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6">
        <v>1309</v>
      </c>
      <c r="C38" s="31">
        <f>IF(B$19=0,0,B38/B$19)</f>
        <v>0.17782909930715934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6">
        <v>1301</v>
      </c>
      <c r="C39" s="31">
        <f t="shared" si="2"/>
        <v>0.17674229044966716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6">
        <v>1087</v>
      </c>
      <c r="C40" s="31">
        <f t="shared" si="2"/>
        <v>0.14767015351175111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6">
        <v>709</v>
      </c>
      <c r="C41" s="31">
        <f t="shared" si="2"/>
        <v>9.6318434995245214E-2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6">
        <v>416</v>
      </c>
      <c r="C42" s="31">
        <f t="shared" si="2"/>
        <v>5.6514060589593802E-2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6">
        <v>232</v>
      </c>
      <c r="C43" s="31">
        <f t="shared" si="2"/>
        <v>3.1517456867273468E-2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6">
        <v>132</v>
      </c>
      <c r="C44" s="31">
        <f t="shared" si="2"/>
        <v>1.793234614862111E-2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6">
        <v>63</v>
      </c>
      <c r="C45" s="31">
        <f t="shared" si="2"/>
        <v>8.5586197527509848E-3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6">
        <v>36</v>
      </c>
      <c r="C46" s="31">
        <f t="shared" si="2"/>
        <v>4.8906398587148488E-3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6">
        <v>15</v>
      </c>
      <c r="C47" s="31">
        <f t="shared" si="2"/>
        <v>2.0377666077978536E-3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2">
        <v>88</v>
      </c>
      <c r="C48" s="32">
        <f t="shared" si="2"/>
        <v>1.1954897432414074E-2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29">
        <v>23388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37">
        <v>6927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0AD2-3A05-4787-8E6B-9657B124439D}">
  <sheetPr codeName="Sheet4"/>
  <dimension ref="A1:Q70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700</v>
      </c>
      <c r="C2" s="130"/>
      <c r="E2" s="43" t="s">
        <v>66</v>
      </c>
      <c r="F2" s="25" t="s">
        <v>22</v>
      </c>
      <c r="G2" s="13">
        <v>1301</v>
      </c>
      <c r="H2" s="106">
        <f>IF(B$51=0,0,G2/B$51)</f>
        <v>0.73254504504504503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1319.3083573487031</v>
      </c>
      <c r="P2" s="92">
        <v>694</v>
      </c>
      <c r="Q2" s="76">
        <v>915600</v>
      </c>
    </row>
    <row r="3" spans="1:17" x14ac:dyDescent="0.45">
      <c r="A3" s="37" t="s">
        <v>8</v>
      </c>
      <c r="B3" s="131">
        <v>5608</v>
      </c>
      <c r="C3" s="132"/>
      <c r="E3" s="44" t="s">
        <v>72</v>
      </c>
      <c r="F3" s="41" t="s">
        <v>27</v>
      </c>
      <c r="G3" s="34">
        <v>967</v>
      </c>
      <c r="H3" s="107">
        <f>IF(B$51=0,0,G3/B$51)</f>
        <v>0.54448198198198194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1343.7223042836042</v>
      </c>
      <c r="P3" s="93">
        <v>677</v>
      </c>
      <c r="Q3" s="77">
        <v>909700</v>
      </c>
    </row>
    <row r="4" spans="1:17" x14ac:dyDescent="0.45">
      <c r="A4" s="37" t="s">
        <v>6</v>
      </c>
      <c r="B4" s="133">
        <v>6672.5999999999995</v>
      </c>
      <c r="C4" s="134"/>
      <c r="E4" s="44" t="s">
        <v>64</v>
      </c>
      <c r="F4" s="41" t="s">
        <v>20</v>
      </c>
      <c r="G4" s="34">
        <v>854</v>
      </c>
      <c r="H4" s="107">
        <f>IF(B$51=0,0,G4/B$51)</f>
        <v>0.48085585585585583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1380.5900621118012</v>
      </c>
      <c r="P4" s="93">
        <v>644</v>
      </c>
      <c r="Q4" s="77">
        <v>889100</v>
      </c>
    </row>
    <row r="5" spans="1:17" x14ac:dyDescent="0.45">
      <c r="A5" s="37" t="s">
        <v>7</v>
      </c>
      <c r="B5" s="135">
        <f>IF(B$2=0,0,B$4/B$2)</f>
        <v>9.5322857142857131</v>
      </c>
      <c r="C5" s="136"/>
      <c r="E5" s="44" t="s">
        <v>68</v>
      </c>
      <c r="F5" s="41" t="s">
        <v>12</v>
      </c>
      <c r="G5" s="34">
        <v>510</v>
      </c>
      <c r="H5" s="107">
        <f>IF(B$51=0,0,G5/B$51)</f>
        <v>0.28716216216216217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1563.050847457627</v>
      </c>
      <c r="P5" s="93">
        <v>590</v>
      </c>
      <c r="Q5" s="77">
        <v>922200</v>
      </c>
    </row>
    <row r="6" spans="1:17" x14ac:dyDescent="0.45">
      <c r="A6" s="37" t="s">
        <v>1</v>
      </c>
      <c r="B6" s="143">
        <f>IF(B$2=0,0,(B$7*1+B$8*2+B$9*3)/B$2)</f>
        <v>1.7585714285714287</v>
      </c>
      <c r="C6" s="144"/>
      <c r="E6" s="44" t="s">
        <v>67</v>
      </c>
      <c r="F6" s="41" t="s">
        <v>23</v>
      </c>
      <c r="G6" s="34">
        <v>504</v>
      </c>
      <c r="H6" s="107">
        <f>IF(B$51=0,0,G6/B$51)</f>
        <v>0.28378378378378377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1326.2759924385634</v>
      </c>
      <c r="P6" s="93">
        <v>529</v>
      </c>
      <c r="Q6" s="77">
        <v>701600</v>
      </c>
    </row>
    <row r="7" spans="1:17" x14ac:dyDescent="0.45">
      <c r="A7" s="37" t="s">
        <v>2</v>
      </c>
      <c r="B7" s="34">
        <v>327</v>
      </c>
      <c r="C7" s="31">
        <f t="shared" ref="C7:C14" si="1">IF(B$2=0,0,B7/B$2)</f>
        <v>0.46714285714285714</v>
      </c>
      <c r="E7" s="44" t="s">
        <v>157</v>
      </c>
      <c r="F7" s="41" t="s">
        <v>158</v>
      </c>
      <c r="G7" s="34">
        <v>482</v>
      </c>
      <c r="H7" s="107">
        <f>IF(B$51=0,0,G7/B$51)</f>
        <v>0.2713963963963964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1624.090909090909</v>
      </c>
      <c r="P7" s="94">
        <v>440</v>
      </c>
      <c r="Q7" s="78">
        <v>714600</v>
      </c>
    </row>
    <row r="8" spans="1:17" x14ac:dyDescent="0.45">
      <c r="A8" s="37" t="s">
        <v>3</v>
      </c>
      <c r="B8" s="34">
        <v>215</v>
      </c>
      <c r="C8" s="31">
        <f t="shared" si="1"/>
        <v>0.30714285714285716</v>
      </c>
      <c r="E8" s="44" t="s">
        <v>89</v>
      </c>
      <c r="F8" s="41" t="s">
        <v>44</v>
      </c>
      <c r="G8" s="34">
        <v>293</v>
      </c>
      <c r="H8" s="107">
        <f>IF(B$51=0,0,G8/B$51)</f>
        <v>0.16497747747747749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158</v>
      </c>
      <c r="C9" s="7">
        <f t="shared" si="1"/>
        <v>0.2257142857142857</v>
      </c>
      <c r="E9" s="44" t="s">
        <v>69</v>
      </c>
      <c r="F9" s="41" t="s">
        <v>24</v>
      </c>
      <c r="G9" s="34">
        <v>257</v>
      </c>
      <c r="H9" s="107">
        <f>IF(B$51=0,0,G9/B$51)</f>
        <v>0.1447072072072072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37.329357798165127</v>
      </c>
      <c r="C10" s="121">
        <v>12206.699999999997</v>
      </c>
      <c r="E10" s="44" t="s">
        <v>65</v>
      </c>
      <c r="F10" s="41" t="s">
        <v>21</v>
      </c>
      <c r="G10" s="34">
        <v>211</v>
      </c>
      <c r="H10" s="107">
        <f>IF(B$51=0,0,G10/B$51)</f>
        <v>0.1188063063063063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13.193650793650795</v>
      </c>
      <c r="P10" s="92">
        <v>189</v>
      </c>
      <c r="Q10" s="80">
        <v>2493.6000000000004</v>
      </c>
    </row>
    <row r="11" spans="1:17" x14ac:dyDescent="0.45">
      <c r="A11" s="38" t="s">
        <v>204</v>
      </c>
      <c r="B11" s="120">
        <f>IF(B8=0,0,C11/B8)</f>
        <v>0.1186046511627902</v>
      </c>
      <c r="C11" s="121">
        <v>25.499999999999893</v>
      </c>
      <c r="E11" s="44" t="s">
        <v>70</v>
      </c>
      <c r="F11" s="41" t="s">
        <v>25</v>
      </c>
      <c r="G11" s="34">
        <v>133</v>
      </c>
      <c r="H11" s="107">
        <f>IF(B$51=0,0,G11/B$51)</f>
        <v>7.4887387387387386E-2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7.3773755656108602</v>
      </c>
      <c r="P11" s="93">
        <v>221</v>
      </c>
      <c r="Q11" s="81">
        <v>1630.4</v>
      </c>
    </row>
    <row r="12" spans="1:17" x14ac:dyDescent="0.45">
      <c r="A12" s="38" t="s">
        <v>205</v>
      </c>
      <c r="B12" s="120">
        <f>IF(B9=0,0,C12/B9)</f>
        <v>-35.187341772151903</v>
      </c>
      <c r="C12" s="121">
        <v>-5559.6000000000013</v>
      </c>
      <c r="E12" s="44" t="s">
        <v>86</v>
      </c>
      <c r="F12" s="41" t="s">
        <v>41</v>
      </c>
      <c r="G12" s="34">
        <v>120</v>
      </c>
      <c r="H12" s="107">
        <f>IF(B$51=0,0,G12/B$51)</f>
        <v>6.7567567567567571E-2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8.7839721254355396</v>
      </c>
      <c r="P12" s="94">
        <v>287</v>
      </c>
      <c r="Q12" s="82">
        <v>2521</v>
      </c>
    </row>
    <row r="13" spans="1:17" x14ac:dyDescent="0.45">
      <c r="A13" s="38" t="s">
        <v>206</v>
      </c>
      <c r="B13" s="135">
        <f>AVERAGE(B10:B12)</f>
        <v>0.75354022572533808</v>
      </c>
      <c r="C13" s="136"/>
      <c r="E13" s="44" t="s">
        <v>71</v>
      </c>
      <c r="F13" s="41" t="s">
        <v>26</v>
      </c>
      <c r="G13" s="34">
        <v>118</v>
      </c>
      <c r="H13" s="107">
        <f>IF(B$51=0,0,G13/B$51)</f>
        <v>6.6441441441441443E-2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54</v>
      </c>
      <c r="C14" s="32">
        <f t="shared" si="1"/>
        <v>7.7142857142857138E-2</v>
      </c>
      <c r="E14" s="44" t="s">
        <v>83</v>
      </c>
      <c r="F14" s="41" t="s">
        <v>38</v>
      </c>
      <c r="G14" s="34">
        <v>81</v>
      </c>
      <c r="H14" s="107">
        <f>IF(B$51=0,0,G14/B$51)</f>
        <v>4.5608108108108107E-2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1488</v>
      </c>
      <c r="C15" s="11">
        <f>IF(B$50=0,0,B15/B$50)</f>
        <v>0.28881987577639751</v>
      </c>
      <c r="E15" s="44" t="s">
        <v>78</v>
      </c>
      <c r="F15" s="41" t="s">
        <v>33</v>
      </c>
      <c r="G15" s="34">
        <v>44</v>
      </c>
      <c r="H15" s="107">
        <f>IF(B$51=0,0,G15/B$51)</f>
        <v>2.4774774774774775E-2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1150</v>
      </c>
      <c r="C16" s="31">
        <f>IF(B$50=0,0,B16/B$50)</f>
        <v>0.22321428571428573</v>
      </c>
      <c r="E16" s="44" t="s">
        <v>153</v>
      </c>
      <c r="F16" s="41" t="s">
        <v>154</v>
      </c>
      <c r="G16" s="34">
        <v>42</v>
      </c>
      <c r="H16" s="107">
        <f>IF(B$51=0,0,G16/B$51)</f>
        <v>2.364864864864865E-2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900</v>
      </c>
      <c r="C17" s="4">
        <f>IF(B$15=0,0,B17/B$15)</f>
        <v>0.60483870967741937</v>
      </c>
      <c r="E17" s="44" t="s">
        <v>81</v>
      </c>
      <c r="F17" s="41" t="s">
        <v>36</v>
      </c>
      <c r="G17" s="34">
        <v>32</v>
      </c>
      <c r="H17" s="107">
        <f>IF(B$51=0,0,G17/B$51)</f>
        <v>1.8018018018018018E-2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561</v>
      </c>
      <c r="C18" s="4">
        <f>IF(B$16=0,0,B18/B$16)</f>
        <v>0.48782608695652174</v>
      </c>
      <c r="E18" s="44" t="s">
        <v>91</v>
      </c>
      <c r="F18" s="41" t="s">
        <v>46</v>
      </c>
      <c r="G18" s="34">
        <v>29</v>
      </c>
      <c r="H18" s="107">
        <f>IF(B$51=0,0,G18/B$51)</f>
        <v>1.6328828828828829E-2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47.155555555555544</v>
      </c>
      <c r="P18" s="93">
        <v>9</v>
      </c>
      <c r="Q18" s="81">
        <v>424.39999999999992</v>
      </c>
    </row>
    <row r="19" spans="1:17" x14ac:dyDescent="0.45">
      <c r="A19" s="19" t="s">
        <v>10</v>
      </c>
      <c r="B19" s="13">
        <v>1932</v>
      </c>
      <c r="C19" s="4">
        <f>IF(B$3=0,0,B19/B$3)</f>
        <v>0.34450784593437944</v>
      </c>
      <c r="E19" s="44" t="s">
        <v>79</v>
      </c>
      <c r="F19" s="41" t="s">
        <v>34</v>
      </c>
      <c r="G19" s="34">
        <v>19</v>
      </c>
      <c r="H19" s="107">
        <f>IF(B$51=0,0,G19/B$51)</f>
        <v>1.0698198198198198E-2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29.696428571428584</v>
      </c>
      <c r="P19" s="93">
        <v>28</v>
      </c>
      <c r="Q19" s="81">
        <v>831.50000000000034</v>
      </c>
    </row>
    <row r="20" spans="1:17" x14ac:dyDescent="0.45">
      <c r="A20" s="37" t="s">
        <v>13</v>
      </c>
      <c r="B20" s="34">
        <v>776</v>
      </c>
      <c r="C20" s="31">
        <f>IF(B$3=0,0,B20/B$3)</f>
        <v>0.13837375178316691</v>
      </c>
      <c r="E20" s="44" t="s">
        <v>85</v>
      </c>
      <c r="F20" s="41" t="s">
        <v>40</v>
      </c>
      <c r="G20" s="34">
        <v>13</v>
      </c>
      <c r="H20" s="107">
        <f>IF(B$51=0,0,G20/B$51)</f>
        <v>7.3198198198198196E-3</v>
      </c>
      <c r="I20" s="68">
        <v>3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791</v>
      </c>
      <c r="C21" s="31">
        <f>IF(B$19=0,0,B21/B$19)</f>
        <v>0.40942028985507245</v>
      </c>
      <c r="E21" s="44" t="s">
        <v>92</v>
      </c>
      <c r="F21" s="41" t="s">
        <v>47</v>
      </c>
      <c r="G21" s="34">
        <v>13</v>
      </c>
      <c r="H21" s="107">
        <f>IF(B$51=0,0,G21/B$51)</f>
        <v>7.3198198198198196E-3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5">
      <c r="A22" s="37" t="s">
        <v>11</v>
      </c>
      <c r="B22" s="34">
        <v>1141</v>
      </c>
      <c r="C22" s="31">
        <f>IF(B$19=0,0,B22/B$19)</f>
        <v>0.59057971014492749</v>
      </c>
      <c r="E22" s="44" t="s">
        <v>77</v>
      </c>
      <c r="F22" s="41" t="s">
        <v>32</v>
      </c>
      <c r="G22" s="34">
        <v>11</v>
      </c>
      <c r="H22" s="107">
        <f>IF(B$51=0,0,G22/B$51)</f>
        <v>6.1936936936936937E-3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5">
      <c r="A23" s="37" t="s">
        <v>180</v>
      </c>
      <c r="B23" s="34">
        <v>900</v>
      </c>
      <c r="C23" s="31">
        <f>IF(B$19=0,0,B23/B$19)</f>
        <v>0.46583850931677018</v>
      </c>
      <c r="E23" s="44" t="s">
        <v>75</v>
      </c>
      <c r="F23" s="41" t="s">
        <v>30</v>
      </c>
      <c r="G23" s="34">
        <v>10</v>
      </c>
      <c r="H23" s="107">
        <f>IF(B$51=0,0,G23/B$51)</f>
        <v>5.6306306306306304E-3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17.793788819875779</v>
      </c>
      <c r="P23" s="93">
        <v>161</v>
      </c>
      <c r="Q23" s="81">
        <v>2864.8000000000006</v>
      </c>
    </row>
    <row r="24" spans="1:17" x14ac:dyDescent="0.45">
      <c r="A24" s="37" t="s">
        <v>178</v>
      </c>
      <c r="B24" s="34">
        <v>561</v>
      </c>
      <c r="C24" s="31">
        <f>IF(B$19=0,0,B24/B$19)</f>
        <v>0.29037267080745344</v>
      </c>
      <c r="E24" s="44" t="s">
        <v>73</v>
      </c>
      <c r="F24" s="41" t="s">
        <v>28</v>
      </c>
      <c r="G24" s="34">
        <v>7</v>
      </c>
      <c r="H24" s="107">
        <f>IF(B$51=0,0,G24/B$51)</f>
        <v>3.9414414414414411E-3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14.687999999999999</v>
      </c>
      <c r="P24" s="93">
        <v>300</v>
      </c>
      <c r="Q24" s="81">
        <v>4406.3999999999996</v>
      </c>
    </row>
    <row r="25" spans="1:17" x14ac:dyDescent="0.45">
      <c r="A25" s="37" t="s">
        <v>179</v>
      </c>
      <c r="B25" s="34">
        <v>471</v>
      </c>
      <c r="C25" s="31">
        <f>IF(B$19=0,0,B25/B$19)</f>
        <v>0.24378881987577639</v>
      </c>
      <c r="E25" s="44" t="s">
        <v>90</v>
      </c>
      <c r="F25" s="41" t="s">
        <v>45</v>
      </c>
      <c r="G25" s="34">
        <v>5</v>
      </c>
      <c r="H25" s="107">
        <f>IF(B$51=0,0,G25/B$51)</f>
        <v>2.8153153153153152E-3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13.339465875370925</v>
      </c>
      <c r="P25" s="93">
        <v>337</v>
      </c>
      <c r="Q25" s="81">
        <v>4495.4000000000015</v>
      </c>
    </row>
    <row r="26" spans="1:17" x14ac:dyDescent="0.45">
      <c r="A26" s="37" t="s">
        <v>5</v>
      </c>
      <c r="B26" s="17">
        <f>IF(B$19=0,0,C26/B$19)</f>
        <v>9187.6293995859214</v>
      </c>
      <c r="C26" s="8">
        <v>17750500</v>
      </c>
      <c r="E26" s="44" t="s">
        <v>74</v>
      </c>
      <c r="F26" s="41" t="s">
        <v>29</v>
      </c>
      <c r="G26" s="34">
        <v>4</v>
      </c>
      <c r="H26" s="107">
        <f>IF(B$51=0,0,G26/B$51)</f>
        <v>2.2522522522522522E-3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9590.444930707512</v>
      </c>
      <c r="C27" s="115">
        <v>13148500</v>
      </c>
      <c r="E27" s="44" t="s">
        <v>84</v>
      </c>
      <c r="F27" s="41" t="s">
        <v>39</v>
      </c>
      <c r="G27" s="34">
        <v>4</v>
      </c>
      <c r="H27" s="107">
        <f>IF(B$51=0,0,G27/B$51)</f>
        <v>2.2522522522522522E-3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8203.2085561497333</v>
      </c>
      <c r="C28" s="115">
        <v>4602000</v>
      </c>
      <c r="E28" s="44" t="s">
        <v>87</v>
      </c>
      <c r="F28" s="41" t="s">
        <v>42</v>
      </c>
      <c r="G28" s="34">
        <v>4</v>
      </c>
      <c r="H28" s="107">
        <f>IF(B$51=0,0,G28/B$51)</f>
        <v>2.2522522522522522E-3</v>
      </c>
      <c r="I28" s="68">
        <v>6</v>
      </c>
      <c r="K28" s="5">
        <v>26</v>
      </c>
      <c r="L28" s="73">
        <v>108.20000000000002</v>
      </c>
      <c r="N28" s="89" t="s">
        <v>191</v>
      </c>
      <c r="O28" s="99">
        <f>IF(P28=0,0,Q28/P28)</f>
        <v>5.1413223140495861</v>
      </c>
      <c r="P28" s="93">
        <v>242</v>
      </c>
      <c r="Q28" s="81">
        <v>1244.1999999999998</v>
      </c>
    </row>
    <row r="29" spans="1:17" x14ac:dyDescent="0.45">
      <c r="A29" s="38" t="s">
        <v>161</v>
      </c>
      <c r="B29" s="114">
        <f>IF(B$20=0,0,C29/B$20)</f>
        <v>-8394.5876288659802</v>
      </c>
      <c r="C29" s="115">
        <v>-6514200</v>
      </c>
      <c r="E29" s="44" t="s">
        <v>88</v>
      </c>
      <c r="F29" s="41" t="s">
        <v>43</v>
      </c>
      <c r="G29" s="34">
        <v>4</v>
      </c>
      <c r="H29" s="107">
        <f>IF(B$51=0,0,G29/B$51)</f>
        <v>2.2522522522522522E-3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2.2522522522522522E-3</v>
      </c>
      <c r="I30" s="68">
        <v>2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1.6891891891891893E-3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2</v>
      </c>
      <c r="H32" s="107">
        <f>IF(B$51=0,0,G32/B$51)</f>
        <v>1.1261261261261261E-3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9">
        <v>149100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8.9158345221112699E-4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3">
        <v>121</v>
      </c>
      <c r="C36" s="119">
        <f>IF(B$19=0,0,B36/B$19)</f>
        <v>6.2629399585921328E-2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252</v>
      </c>
      <c r="C37" s="31">
        <f t="shared" ref="C37:C48" si="2">IF(B$19=0,0,B37/B$19)</f>
        <v>0.13043478260869565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6">
        <v>337</v>
      </c>
      <c r="C38" s="31">
        <f>IF(B$19=0,0,B38/B$19)</f>
        <v>0.17443064182194618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6">
        <v>351</v>
      </c>
      <c r="C39" s="31">
        <f t="shared" si="2"/>
        <v>0.18167701863354038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6">
        <v>263</v>
      </c>
      <c r="C40" s="31">
        <f t="shared" si="2"/>
        <v>0.13612836438923395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6">
        <v>191</v>
      </c>
      <c r="C41" s="31">
        <f t="shared" si="2"/>
        <v>9.8861283643892336E-2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6">
        <v>117</v>
      </c>
      <c r="C42" s="31">
        <f t="shared" si="2"/>
        <v>6.0559006211180127E-2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6">
        <v>55</v>
      </c>
      <c r="C43" s="31">
        <f t="shared" si="2"/>
        <v>2.8467908902691512E-2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6">
        <v>34</v>
      </c>
      <c r="C44" s="31">
        <f t="shared" si="2"/>
        <v>1.7598343685300208E-2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6">
        <v>15</v>
      </c>
      <c r="C45" s="31">
        <f t="shared" si="2"/>
        <v>7.763975155279503E-3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6">
        <v>9</v>
      </c>
      <c r="C46" s="31">
        <f t="shared" si="2"/>
        <v>4.658385093167702E-3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6">
        <v>3</v>
      </c>
      <c r="C47" s="31">
        <f t="shared" si="2"/>
        <v>1.5527950310559005E-3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2">
        <v>28</v>
      </c>
      <c r="C48" s="32">
        <f t="shared" si="2"/>
        <v>1.4492753623188406E-2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29">
        <v>5152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37">
        <v>1776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BEE19-8B79-4775-A344-2047F0CABD3D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1">
        <v>25</v>
      </c>
      <c r="C3" s="13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3">
        <v>-132.1</v>
      </c>
      <c r="C4" s="13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5">
        <f>IF(B$2=0,0,B$4/B$2)</f>
        <v>-33.024999999999999</v>
      </c>
      <c r="C5" s="136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3">
        <f>IF(B$2=0,0,(B$7*1+B$8*2+B$9*3)/B$2)</f>
        <v>3</v>
      </c>
      <c r="C6" s="144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5">
        <f>AVERAGE(B10:B12)</f>
        <v>-11.008333333333333</v>
      </c>
      <c r="C13" s="136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0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9">
        <v>13000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6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29F9-BC1C-473A-85B1-36991D547C64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24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-3958.3333333333335</v>
      </c>
      <c r="P2" s="92">
        <v>24</v>
      </c>
      <c r="Q2" s="76">
        <v>-95000</v>
      </c>
    </row>
    <row r="3" spans="1:17" x14ac:dyDescent="0.45">
      <c r="A3" s="37" t="s">
        <v>8</v>
      </c>
      <c r="B3" s="131">
        <v>190</v>
      </c>
      <c r="C3" s="13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-1260.8695652173913</v>
      </c>
      <c r="P3" s="93">
        <v>23</v>
      </c>
      <c r="Q3" s="77">
        <v>-29000</v>
      </c>
    </row>
    <row r="4" spans="1:17" x14ac:dyDescent="0.45">
      <c r="A4" s="37" t="s">
        <v>6</v>
      </c>
      <c r="B4" s="133">
        <v>-151.4</v>
      </c>
      <c r="C4" s="13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-2678.2608695652175</v>
      </c>
      <c r="P4" s="93">
        <v>23</v>
      </c>
      <c r="Q4" s="77">
        <v>-61600</v>
      </c>
    </row>
    <row r="5" spans="1:17" x14ac:dyDescent="0.45">
      <c r="A5" s="37" t="s">
        <v>7</v>
      </c>
      <c r="B5" s="135">
        <f>IF(B$2=0,0,B$4/B$2)</f>
        <v>-6.3083333333333336</v>
      </c>
      <c r="C5" s="136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1652.6315789473683</v>
      </c>
      <c r="P5" s="93">
        <v>19</v>
      </c>
      <c r="Q5" s="77">
        <v>31400</v>
      </c>
    </row>
    <row r="6" spans="1:17" x14ac:dyDescent="0.45">
      <c r="A6" s="37" t="s">
        <v>1</v>
      </c>
      <c r="B6" s="143">
        <f>IF(B$2=0,0,(B$7*1+B$8*2+B$9*3)/B$2)</f>
        <v>2.125</v>
      </c>
      <c r="C6" s="144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1317.6470588235295</v>
      </c>
      <c r="P6" s="93">
        <v>17</v>
      </c>
      <c r="Q6" s="77">
        <v>22400</v>
      </c>
    </row>
    <row r="7" spans="1:17" x14ac:dyDescent="0.45">
      <c r="A7" s="37" t="s">
        <v>2</v>
      </c>
      <c r="B7" s="34">
        <v>7</v>
      </c>
      <c r="C7" s="31">
        <f t="shared" ref="C7:C14" si="1">IF(B$2=0,0,B7/B$2)</f>
        <v>0.29166666666666669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846.66666666666663</v>
      </c>
      <c r="P7" s="94">
        <v>15</v>
      </c>
      <c r="Q7" s="78">
        <v>12700</v>
      </c>
    </row>
    <row r="8" spans="1:17" x14ac:dyDescent="0.45">
      <c r="A8" s="37" t="s">
        <v>3</v>
      </c>
      <c r="B8" s="34">
        <v>7</v>
      </c>
      <c r="C8" s="31">
        <f t="shared" si="1"/>
        <v>0.29166666666666669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10</v>
      </c>
      <c r="C9" s="7">
        <f t="shared" si="1"/>
        <v>0.41666666666666669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-19.166666666666668</v>
      </c>
      <c r="P10" s="92">
        <v>6</v>
      </c>
      <c r="Q10" s="80">
        <v>-115</v>
      </c>
    </row>
    <row r="11" spans="1:17" x14ac:dyDescent="0.45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5">
      <c r="A12" s="38" t="s">
        <v>205</v>
      </c>
      <c r="B12" s="120">
        <f>IF(B9=0,0,C12/B9)</f>
        <v>-35.839999999999996</v>
      </c>
      <c r="C12" s="121">
        <v>-358.4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5">
        <f>AVERAGE(B10:B12)</f>
        <v>-2.0895238095238078</v>
      </c>
      <c r="C13" s="136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</v>
      </c>
      <c r="C14" s="32">
        <f t="shared" si="1"/>
        <v>0.16666666666666666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66</v>
      </c>
      <c r="C15" s="11">
        <f>IF(B$50=0,0,B15/B$50)</f>
        <v>0.35675675675675678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5">
      <c r="A16" s="37" t="s">
        <v>118</v>
      </c>
      <c r="B16" s="34">
        <v>22</v>
      </c>
      <c r="C16" s="31">
        <f>IF(B$50=0,0,B16/B$50)</f>
        <v>0.11891891891891893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19" t="s">
        <v>123</v>
      </c>
      <c r="B17" s="13">
        <v>33</v>
      </c>
      <c r="C17" s="4">
        <f>IF(B$15=0,0,B17/B$15)</f>
        <v>0.5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191</v>
      </c>
      <c r="O17" s="99">
        <f>IF(P17=0,0,Q17/P17)</f>
        <v>3.1538461538461542</v>
      </c>
      <c r="P17" s="93">
        <v>13</v>
      </c>
      <c r="Q17" s="81">
        <v>41.000000000000007</v>
      </c>
    </row>
    <row r="18" spans="1:17" x14ac:dyDescent="0.45">
      <c r="A18" s="19" t="s">
        <v>124</v>
      </c>
      <c r="B18" s="13">
        <v>15</v>
      </c>
      <c r="C18" s="4">
        <f>IF(B$16=0,0,B18/B$16)</f>
        <v>0.68181818181818177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193</v>
      </c>
      <c r="O18" s="99">
        <f>IF(P18=0,0,Q18/P18)</f>
        <v>2.8600000000000012</v>
      </c>
      <c r="P18" s="93">
        <v>5</v>
      </c>
      <c r="Q18" s="81">
        <v>14.300000000000006</v>
      </c>
    </row>
    <row r="19" spans="1:17" x14ac:dyDescent="0.45">
      <c r="A19" s="19" t="s">
        <v>10</v>
      </c>
      <c r="B19" s="13">
        <v>60</v>
      </c>
      <c r="C19" s="4">
        <f>IF(B$3=0,0,B19/B$3)</f>
        <v>0.31578947368421051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186</v>
      </c>
      <c r="O19" s="99">
        <f>IF(P19=0,0,Q19/P19)</f>
        <v>-0.16666666666666882</v>
      </c>
      <c r="P19" s="93">
        <v>3</v>
      </c>
      <c r="Q19" s="81">
        <v>-0.50000000000000644</v>
      </c>
    </row>
    <row r="20" spans="1:17" x14ac:dyDescent="0.45">
      <c r="A20" s="37" t="s">
        <v>13</v>
      </c>
      <c r="B20" s="34">
        <v>32</v>
      </c>
      <c r="C20" s="31">
        <f>IF(B$3=0,0,B20/B$3)</f>
        <v>0.16842105263157894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190</v>
      </c>
      <c r="O20" s="99">
        <f>IF(P20=0,0,Q20/P20)</f>
        <v>-0.34285714285714569</v>
      </c>
      <c r="P20" s="93">
        <v>7</v>
      </c>
      <c r="Q20" s="81">
        <v>-2.4000000000000199</v>
      </c>
    </row>
    <row r="21" spans="1:17" x14ac:dyDescent="0.45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-47.155555555555551</v>
      </c>
      <c r="P22" s="93">
        <v>9</v>
      </c>
      <c r="Q22" s="81">
        <v>-424.4</v>
      </c>
    </row>
    <row r="23" spans="1:17" x14ac:dyDescent="0.45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-8943.75</v>
      </c>
      <c r="C29" s="115">
        <v>-286200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7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65900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1.0526315789473684E-2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185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58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45CA-CB3E-4E6E-94EB-952B82BA9DD5}">
  <sheetPr codeName="Sheet7"/>
  <dimension ref="A1:Q41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416</v>
      </c>
      <c r="C2" s="130"/>
      <c r="E2" s="43" t="s">
        <v>66</v>
      </c>
      <c r="F2" s="25" t="s">
        <v>22</v>
      </c>
      <c r="G2" s="13">
        <v>619</v>
      </c>
      <c r="H2" s="106">
        <f>IF(B$51=0,0,G2/B$51)</f>
        <v>0.72482435597189698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-241.88861985472155</v>
      </c>
      <c r="P2" s="92">
        <v>413</v>
      </c>
      <c r="Q2" s="76">
        <v>-99900</v>
      </c>
    </row>
    <row r="3" spans="1:17" x14ac:dyDescent="0.45">
      <c r="A3" s="37" t="s">
        <v>8</v>
      </c>
      <c r="B3" s="131">
        <v>3401</v>
      </c>
      <c r="C3" s="132"/>
      <c r="E3" s="44" t="s">
        <v>64</v>
      </c>
      <c r="F3" s="41" t="s">
        <v>20</v>
      </c>
      <c r="G3" s="34">
        <v>500</v>
      </c>
      <c r="H3" s="107">
        <f>IF(B$51=0,0,G3/B$51)</f>
        <v>0.58548009367681497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-1124.7524752475247</v>
      </c>
      <c r="P3" s="93">
        <v>404</v>
      </c>
      <c r="Q3" s="77">
        <v>-454400</v>
      </c>
    </row>
    <row r="4" spans="1:17" x14ac:dyDescent="0.45">
      <c r="A4" s="37" t="s">
        <v>6</v>
      </c>
      <c r="B4" s="133">
        <v>-1716.8999999999999</v>
      </c>
      <c r="C4" s="134"/>
      <c r="E4" s="44" t="s">
        <v>72</v>
      </c>
      <c r="F4" s="41" t="s">
        <v>27</v>
      </c>
      <c r="G4" s="34">
        <v>409</v>
      </c>
      <c r="H4" s="107">
        <f>IF(B$51=0,0,G4/B$51)</f>
        <v>0.47892271662763464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350.52083333333331</v>
      </c>
      <c r="P4" s="93">
        <v>384</v>
      </c>
      <c r="Q4" s="77">
        <v>134600</v>
      </c>
    </row>
    <row r="5" spans="1:17" x14ac:dyDescent="0.45">
      <c r="A5" s="37" t="s">
        <v>7</v>
      </c>
      <c r="B5" s="135">
        <f>IF(B$2=0,0,B$4/B$2)</f>
        <v>-4.1271634615384611</v>
      </c>
      <c r="C5" s="136"/>
      <c r="E5" s="44" t="s">
        <v>68</v>
      </c>
      <c r="F5" s="41" t="s">
        <v>12</v>
      </c>
      <c r="G5" s="34">
        <v>307</v>
      </c>
      <c r="H5" s="107">
        <f>IF(B$51=0,0,G5/B$51)</f>
        <v>0.35948477751756441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-704.24929178470256</v>
      </c>
      <c r="P5" s="93">
        <v>353</v>
      </c>
      <c r="Q5" s="77">
        <v>-248600</v>
      </c>
    </row>
    <row r="6" spans="1:17" x14ac:dyDescent="0.45">
      <c r="A6" s="37" t="s">
        <v>1</v>
      </c>
      <c r="B6" s="143">
        <f>IF(B$2=0,0,(B$7*1+B$8*2+B$9*3)/B$2)</f>
        <v>2.1057692307692308</v>
      </c>
      <c r="C6" s="144"/>
      <c r="E6" s="44" t="s">
        <v>67</v>
      </c>
      <c r="F6" s="41" t="s">
        <v>23</v>
      </c>
      <c r="G6" s="34">
        <v>290</v>
      </c>
      <c r="H6" s="107">
        <f>IF(B$51=0,0,G6/B$51)</f>
        <v>0.33957845433255268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-1116.1392405063291</v>
      </c>
      <c r="P6" s="93">
        <v>316</v>
      </c>
      <c r="Q6" s="77">
        <v>-352700</v>
      </c>
    </row>
    <row r="7" spans="1:17" x14ac:dyDescent="0.45">
      <c r="A7" s="37" t="s">
        <v>2</v>
      </c>
      <c r="B7" s="34">
        <v>112</v>
      </c>
      <c r="C7" s="31">
        <f t="shared" ref="C7:C14" si="1">IF(B$2=0,0,B7/B$2)</f>
        <v>0.26923076923076922</v>
      </c>
      <c r="E7" s="44" t="s">
        <v>157</v>
      </c>
      <c r="F7" s="41" t="s">
        <v>158</v>
      </c>
      <c r="G7" s="34">
        <v>263</v>
      </c>
      <c r="H7" s="107">
        <f>IF(B$51=0,0,G7/B$51)</f>
        <v>0.30796252927400469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-1047.2324723247232</v>
      </c>
      <c r="P7" s="94">
        <v>271</v>
      </c>
      <c r="Q7" s="78">
        <v>-283800</v>
      </c>
    </row>
    <row r="8" spans="1:17" x14ac:dyDescent="0.45">
      <c r="A8" s="37" t="s">
        <v>3</v>
      </c>
      <c r="B8" s="34">
        <v>148</v>
      </c>
      <c r="C8" s="31">
        <f t="shared" si="1"/>
        <v>0.35576923076923078</v>
      </c>
      <c r="E8" s="44" t="s">
        <v>69</v>
      </c>
      <c r="F8" s="41" t="s">
        <v>24</v>
      </c>
      <c r="G8" s="34">
        <v>155</v>
      </c>
      <c r="H8" s="107">
        <f>IF(B$51=0,0,G8/B$51)</f>
        <v>0.18149882903981265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156</v>
      </c>
      <c r="C9" s="7">
        <f t="shared" si="1"/>
        <v>0.375</v>
      </c>
      <c r="E9" s="44" t="s">
        <v>65</v>
      </c>
      <c r="F9" s="41" t="s">
        <v>21</v>
      </c>
      <c r="G9" s="34">
        <v>116</v>
      </c>
      <c r="H9" s="107">
        <f>IF(B$51=0,0,G9/B$51)</f>
        <v>0.13583138173302109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36.043749999999996</v>
      </c>
      <c r="C10" s="121">
        <v>4036.8999999999996</v>
      </c>
      <c r="E10" s="44" t="s">
        <v>89</v>
      </c>
      <c r="F10" s="41" t="s">
        <v>44</v>
      </c>
      <c r="G10" s="34">
        <v>114</v>
      </c>
      <c r="H10" s="107">
        <f>IF(B$51=0,0,G10/B$51)</f>
        <v>0.13348946135831383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-6.8619047619047633</v>
      </c>
      <c r="P10" s="92">
        <v>168</v>
      </c>
      <c r="Q10" s="80">
        <v>-1152.8000000000002</v>
      </c>
    </row>
    <row r="11" spans="1:17" x14ac:dyDescent="0.45">
      <c r="A11" s="38" t="s">
        <v>204</v>
      </c>
      <c r="B11" s="120">
        <f>IF(B8=0,0,C11/B8)</f>
        <v>-0.83581081081081066</v>
      </c>
      <c r="C11" s="121">
        <v>-123.69999999999997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0.12646370023419204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-3.5515151515151522</v>
      </c>
      <c r="P11" s="93">
        <v>132</v>
      </c>
      <c r="Q11" s="81">
        <v>-468.80000000000007</v>
      </c>
    </row>
    <row r="12" spans="1:17" x14ac:dyDescent="0.45">
      <c r="A12" s="38" t="s">
        <v>205</v>
      </c>
      <c r="B12" s="120">
        <f>IF(B9=0,0,C12/B9)</f>
        <v>-36.090384615384615</v>
      </c>
      <c r="C12" s="121">
        <v>-5630.0999999999995</v>
      </c>
      <c r="E12" s="44" t="s">
        <v>86</v>
      </c>
      <c r="F12" s="41" t="s">
        <v>41</v>
      </c>
      <c r="G12" s="34">
        <v>51</v>
      </c>
      <c r="H12" s="107">
        <f>IF(B$51=0,0,G12/B$51)</f>
        <v>5.9718969555035126E-2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-1.2634782608695647</v>
      </c>
      <c r="P12" s="94">
        <v>115</v>
      </c>
      <c r="Q12" s="82">
        <v>-145.29999999999995</v>
      </c>
    </row>
    <row r="13" spans="1:17" x14ac:dyDescent="0.45">
      <c r="A13" s="38" t="s">
        <v>206</v>
      </c>
      <c r="B13" s="135">
        <f>AVERAGE(B10:B12)</f>
        <v>-0.29414847539847716</v>
      </c>
      <c r="C13" s="136"/>
      <c r="E13" s="44" t="s">
        <v>83</v>
      </c>
      <c r="F13" s="41" t="s">
        <v>38</v>
      </c>
      <c r="G13" s="34">
        <v>46</v>
      </c>
      <c r="H13" s="107">
        <f>IF(B$51=0,0,G13/B$51)</f>
        <v>5.3864168618266976E-2</v>
      </c>
      <c r="I13" s="68">
        <v>6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57</v>
      </c>
      <c r="C14" s="32">
        <f t="shared" si="1"/>
        <v>0.13701923076923078</v>
      </c>
      <c r="E14" s="44" t="s">
        <v>71</v>
      </c>
      <c r="F14" s="41" t="s">
        <v>26</v>
      </c>
      <c r="G14" s="34">
        <v>35</v>
      </c>
      <c r="H14" s="107">
        <f>IF(B$51=0,0,G14/B$51)</f>
        <v>4.0983606557377046E-2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900</v>
      </c>
      <c r="C15" s="11">
        <f>IF(B$50=0,0,B15/B$50)</f>
        <v>0.28662420382165604</v>
      </c>
      <c r="E15" s="44" t="s">
        <v>81</v>
      </c>
      <c r="F15" s="41" t="s">
        <v>36</v>
      </c>
      <c r="G15" s="34">
        <v>27</v>
      </c>
      <c r="H15" s="107">
        <f>IF(B$51=0,0,G15/B$51)</f>
        <v>3.161592505854801E-2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25.287499999999998</v>
      </c>
      <c r="P15" s="92">
        <v>8</v>
      </c>
      <c r="Q15" s="80">
        <v>202.29999999999998</v>
      </c>
    </row>
    <row r="16" spans="1:17" x14ac:dyDescent="0.45">
      <c r="A16" s="37" t="s">
        <v>118</v>
      </c>
      <c r="B16" s="34">
        <v>568</v>
      </c>
      <c r="C16" s="31">
        <f>IF(B$50=0,0,B16/B$50)</f>
        <v>0.18089171974522292</v>
      </c>
      <c r="E16" s="44" t="s">
        <v>78</v>
      </c>
      <c r="F16" s="41" t="s">
        <v>33</v>
      </c>
      <c r="G16" s="34">
        <v>22</v>
      </c>
      <c r="H16" s="107">
        <f>IF(B$51=0,0,G16/B$51)</f>
        <v>2.576112412177986E-2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515</v>
      </c>
      <c r="C17" s="4">
        <f>IF(B$15=0,0,B17/B$15)</f>
        <v>0.57222222222222219</v>
      </c>
      <c r="E17" s="44" t="s">
        <v>91</v>
      </c>
      <c r="F17" s="41" t="s">
        <v>46</v>
      </c>
      <c r="G17" s="34">
        <v>15</v>
      </c>
      <c r="H17" s="107">
        <f>IF(B$51=0,0,G17/B$51)</f>
        <v>1.7564402810304448E-2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6.6475000000000009</v>
      </c>
      <c r="P17" s="93">
        <v>80</v>
      </c>
      <c r="Q17" s="81">
        <v>531.80000000000007</v>
      </c>
    </row>
    <row r="18" spans="1:17" x14ac:dyDescent="0.45">
      <c r="A18" s="19" t="s">
        <v>124</v>
      </c>
      <c r="B18" s="13">
        <v>205</v>
      </c>
      <c r="C18" s="4">
        <f>IF(B$16=0,0,B18/B$16)</f>
        <v>0.3609154929577465</v>
      </c>
      <c r="E18" s="44" t="s">
        <v>79</v>
      </c>
      <c r="F18" s="41" t="s">
        <v>34</v>
      </c>
      <c r="G18" s="34">
        <v>14</v>
      </c>
      <c r="H18" s="107">
        <f>IF(B$51=0,0,G18/B$51)</f>
        <v>1.6393442622950821E-2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1.3741071428571441</v>
      </c>
      <c r="P18" s="93">
        <v>112</v>
      </c>
      <c r="Q18" s="81">
        <v>153.90000000000015</v>
      </c>
    </row>
    <row r="19" spans="1:17" x14ac:dyDescent="0.45">
      <c r="A19" s="19" t="s">
        <v>10</v>
      </c>
      <c r="B19" s="13">
        <v>915</v>
      </c>
      <c r="C19" s="4">
        <f>IF(B$3=0,0,B19/B$3)</f>
        <v>0.26903851808291679</v>
      </c>
      <c r="E19" s="44" t="s">
        <v>153</v>
      </c>
      <c r="F19" s="41" t="s">
        <v>154</v>
      </c>
      <c r="G19" s="34">
        <v>12</v>
      </c>
      <c r="H19" s="107">
        <f>IF(B$51=0,0,G19/B$51)</f>
        <v>1.405152224824356E-2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626</v>
      </c>
      <c r="C20" s="31">
        <f>IF(B$3=0,0,B20/B$3)</f>
        <v>0.18406351073213761</v>
      </c>
      <c r="E20" s="44" t="s">
        <v>75</v>
      </c>
      <c r="F20" s="41" t="s">
        <v>30</v>
      </c>
      <c r="G20" s="34">
        <v>8</v>
      </c>
      <c r="H20" s="107">
        <f>IF(B$51=0,0,G20/B$51)</f>
        <v>9.3676814988290398E-3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418</v>
      </c>
      <c r="C21" s="31">
        <f>IF(B$19=0,0,B21/B$19)</f>
        <v>0.45683060109289619</v>
      </c>
      <c r="E21" s="44" t="s">
        <v>73</v>
      </c>
      <c r="F21" s="41" t="s">
        <v>28</v>
      </c>
      <c r="G21" s="34">
        <v>4</v>
      </c>
      <c r="H21" s="107">
        <f>IF(B$51=0,0,G21/B$51)</f>
        <v>4.6838407494145199E-3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-3.6046153846153843</v>
      </c>
      <c r="P21" s="93">
        <v>65</v>
      </c>
      <c r="Q21" s="81">
        <v>-234.29999999999998</v>
      </c>
    </row>
    <row r="22" spans="1:17" x14ac:dyDescent="0.45">
      <c r="A22" s="37" t="s">
        <v>11</v>
      </c>
      <c r="B22" s="34">
        <v>497</v>
      </c>
      <c r="C22" s="31">
        <f>IF(B$19=0,0,B22/B$19)</f>
        <v>0.54316939890710381</v>
      </c>
      <c r="E22" s="44" t="s">
        <v>92</v>
      </c>
      <c r="F22" s="41" t="s">
        <v>47</v>
      </c>
      <c r="G22" s="34">
        <v>4</v>
      </c>
      <c r="H22" s="107">
        <f>IF(B$51=0,0,G22/B$51)</f>
        <v>4.6838407494145199E-3</v>
      </c>
      <c r="I22" s="68">
        <v>7</v>
      </c>
      <c r="K22" s="5">
        <v>20</v>
      </c>
      <c r="L22" s="73">
        <v>-57.899999999999991</v>
      </c>
      <c r="N22" s="89" t="s">
        <v>193</v>
      </c>
      <c r="O22" s="99">
        <f>IF(P22=0,0,Q22/P22)</f>
        <v>-7.599999999999997</v>
      </c>
      <c r="P22" s="93">
        <v>155</v>
      </c>
      <c r="Q22" s="81">
        <v>-1177.9999999999995</v>
      </c>
    </row>
    <row r="23" spans="1:17" x14ac:dyDescent="0.45">
      <c r="A23" s="37" t="s">
        <v>180</v>
      </c>
      <c r="B23" s="34">
        <v>515</v>
      </c>
      <c r="C23" s="31">
        <f>IF(B$19=0,0,B23/B$19)</f>
        <v>0.56284153005464477</v>
      </c>
      <c r="E23" s="44" t="s">
        <v>74</v>
      </c>
      <c r="F23" s="41" t="s">
        <v>29</v>
      </c>
      <c r="G23" s="34">
        <v>3</v>
      </c>
      <c r="H23" s="107">
        <f>IF(B$51=0,0,G23/B$51)</f>
        <v>3.5128805620608899E-3</v>
      </c>
      <c r="I23" s="68">
        <v>6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205</v>
      </c>
      <c r="C24" s="31">
        <f>IF(B$19=0,0,B24/B$19)</f>
        <v>0.22404371584699453</v>
      </c>
      <c r="E24" s="44" t="s">
        <v>84</v>
      </c>
      <c r="F24" s="41" t="s">
        <v>39</v>
      </c>
      <c r="G24" s="34">
        <v>3</v>
      </c>
      <c r="H24" s="107">
        <f>IF(B$51=0,0,G24/B$51)</f>
        <v>3.5128805620608899E-3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-14.687999999999999</v>
      </c>
      <c r="P24" s="93">
        <v>300</v>
      </c>
      <c r="Q24" s="81">
        <v>-4406.3999999999996</v>
      </c>
    </row>
    <row r="25" spans="1:17" x14ac:dyDescent="0.45">
      <c r="A25" s="37" t="s">
        <v>179</v>
      </c>
      <c r="B25" s="34">
        <v>195</v>
      </c>
      <c r="C25" s="31">
        <f>IF(B$19=0,0,B25/B$19)</f>
        <v>0.21311475409836064</v>
      </c>
      <c r="E25" s="44" t="s">
        <v>85</v>
      </c>
      <c r="F25" s="41" t="s">
        <v>40</v>
      </c>
      <c r="G25" s="34">
        <v>3</v>
      </c>
      <c r="H25" s="107">
        <f>IF(B$51=0,0,G25/B$51)</f>
        <v>3.5128805620608899E-3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9266.557377049181</v>
      </c>
      <c r="C26" s="8">
        <v>8478900</v>
      </c>
      <c r="E26" s="44" t="s">
        <v>88</v>
      </c>
      <c r="F26" s="41" t="s">
        <v>43</v>
      </c>
      <c r="G26" s="34">
        <v>2</v>
      </c>
      <c r="H26" s="107">
        <f>IF(B$51=0,0,G26/B$51)</f>
        <v>2.34192037470726E-3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9675.7746478873232</v>
      </c>
      <c r="C27" s="115">
        <v>6869800</v>
      </c>
      <c r="E27" s="44" t="s">
        <v>77</v>
      </c>
      <c r="F27" s="41" t="s">
        <v>32</v>
      </c>
      <c r="G27" s="34">
        <v>1</v>
      </c>
      <c r="H27" s="107">
        <f>IF(B$51=0,0,G27/B$51)</f>
        <v>1.17096018735363E-3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7849.2682926829266</v>
      </c>
      <c r="C28" s="115">
        <v>1609100</v>
      </c>
      <c r="E28" s="44" t="s">
        <v>80</v>
      </c>
      <c r="F28" s="41" t="s">
        <v>35</v>
      </c>
      <c r="G28" s="34">
        <v>1</v>
      </c>
      <c r="H28" s="107">
        <f>IF(B$51=0,0,G28/B$51)</f>
        <v>1.17096018735363E-3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-8336.5814696485631</v>
      </c>
      <c r="C29" s="115">
        <v>-5218700</v>
      </c>
      <c r="E29" s="44" t="s">
        <v>87</v>
      </c>
      <c r="F29" s="41" t="s">
        <v>42</v>
      </c>
      <c r="G29" s="34">
        <v>1</v>
      </c>
      <c r="H29" s="107">
        <f>IF(B$51=0,0,G29/B$51)</f>
        <v>1.17096018735363E-3</v>
      </c>
      <c r="I29" s="68">
        <v>9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1.17096018735363E-3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1.17096018735363E-3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41">
        <v>10</v>
      </c>
      <c r="C32" s="142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9">
        <v>107600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3.8224051749485444E-3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3">
        <v>48</v>
      </c>
      <c r="C36" s="119">
        <f>IF(B$19=0,0,B36/B$19)</f>
        <v>5.2459016393442623E-2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110</v>
      </c>
      <c r="C37" s="31">
        <f t="shared" ref="C37:C48" si="2">IF(B$19=0,0,B37/B$19)</f>
        <v>0.12021857923497267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6">
        <v>168</v>
      </c>
      <c r="C38" s="31">
        <f>IF(B$19=0,0,B38/B$19)</f>
        <v>0.18360655737704917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6">
        <v>155</v>
      </c>
      <c r="C39" s="31">
        <f t="shared" si="2"/>
        <v>0.16939890710382513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6">
        <v>145</v>
      </c>
      <c r="C40" s="31">
        <f t="shared" si="2"/>
        <v>0.15846994535519127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6">
        <v>98</v>
      </c>
      <c r="C41" s="31">
        <f t="shared" si="2"/>
        <v>0.10710382513661203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6">
        <v>62</v>
      </c>
      <c r="C42" s="31">
        <f t="shared" si="2"/>
        <v>6.7759562841530049E-2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171</v>
      </c>
      <c r="B43" s="126">
        <v>30</v>
      </c>
      <c r="C43" s="31">
        <f t="shared" si="2"/>
        <v>3.2786885245901641E-2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6">
        <v>14</v>
      </c>
      <c r="C44" s="31">
        <f t="shared" si="2"/>
        <v>1.5300546448087432E-2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6">
        <v>7</v>
      </c>
      <c r="C45" s="31">
        <f t="shared" si="2"/>
        <v>7.6502732240437158E-3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6">
        <v>3</v>
      </c>
      <c r="C46" s="31">
        <f t="shared" si="2"/>
        <v>3.2786885245901639E-3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6">
        <v>5</v>
      </c>
      <c r="C47" s="31">
        <f t="shared" si="2"/>
        <v>5.4644808743169399E-3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2">
        <v>9</v>
      </c>
      <c r="C48" s="32">
        <f t="shared" si="2"/>
        <v>9.8360655737704927E-3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29">
        <v>3140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37">
        <v>854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75C7-97B6-4D31-A53B-3E7953E4C3F2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1">
        <v>670</v>
      </c>
      <c r="C3" s="13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3">
        <v>-3.4999999999999893</v>
      </c>
      <c r="C4" s="13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5">
        <f>IF(B$2=0,0,B$4/B$2)</f>
        <v>-3.8461538461538346E-2</v>
      </c>
      <c r="C5" s="136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3">
        <f>IF(B$2=0,0,(B$7*1+B$8*2+B$9*3)/B$2)</f>
        <v>1.9890109890109891</v>
      </c>
      <c r="C6" s="144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5">
        <f>AVERAGE(B10:B12)</f>
        <v>-0.4518996415770597</v>
      </c>
      <c r="C13" s="136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9">
        <v>118000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3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6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6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6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6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6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6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6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6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2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37">
        <v>133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E3463-7EFB-4A0A-BAA3-404314BD0883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1">
        <v>37</v>
      </c>
      <c r="C3" s="13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3">
        <v>-86.4</v>
      </c>
      <c r="C4" s="13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5">
        <f>IF(B$2=0,0,B$4/B$2)</f>
        <v>-17.28</v>
      </c>
      <c r="C5" s="136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3">
        <f>IF(B$2=0,0,(B$7*1+B$8*2+B$9*3)/B$2)</f>
        <v>2.2000000000000002</v>
      </c>
      <c r="C6" s="144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-10.6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3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9">
        <v>57800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6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6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7">
        <v>9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0581-5AF0-4545-9E4E-DCCCDC6B2B98}">
  <sheetPr codeName="Sheet10"/>
  <dimension ref="A1:Q28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285</v>
      </c>
      <c r="C2" s="130"/>
      <c r="E2" s="43" t="s">
        <v>66</v>
      </c>
      <c r="F2" s="25" t="s">
        <v>22</v>
      </c>
      <c r="G2" s="13">
        <v>440</v>
      </c>
      <c r="H2" s="106">
        <f>IF(B$51=0,0,G2/B$51)</f>
        <v>0.66465256797583083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310.5263157894737</v>
      </c>
      <c r="P2" s="92">
        <v>285</v>
      </c>
      <c r="Q2" s="76">
        <v>88500</v>
      </c>
    </row>
    <row r="3" spans="1:17" x14ac:dyDescent="0.45">
      <c r="A3" s="37" t="s">
        <v>8</v>
      </c>
      <c r="B3" s="131">
        <v>2398</v>
      </c>
      <c r="C3" s="132"/>
      <c r="E3" s="44" t="s">
        <v>72</v>
      </c>
      <c r="F3" s="41" t="s">
        <v>27</v>
      </c>
      <c r="G3" s="34">
        <v>372</v>
      </c>
      <c r="H3" s="107">
        <f>IF(B$51=0,0,G3/B$51)</f>
        <v>0.5619335347432024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-1831.6546762589928</v>
      </c>
      <c r="P3" s="93">
        <v>278</v>
      </c>
      <c r="Q3" s="77">
        <v>-509200</v>
      </c>
    </row>
    <row r="4" spans="1:17" x14ac:dyDescent="0.45">
      <c r="A4" s="37" t="s">
        <v>6</v>
      </c>
      <c r="B4" s="133">
        <v>-1505.5000000000002</v>
      </c>
      <c r="C4" s="134"/>
      <c r="E4" s="44" t="s">
        <v>64</v>
      </c>
      <c r="F4" s="41" t="s">
        <v>20</v>
      </c>
      <c r="G4" s="34">
        <v>232</v>
      </c>
      <c r="H4" s="107">
        <f>IF(B$51=0,0,G4/B$51)</f>
        <v>0.35045317220543809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-1646.1240310077519</v>
      </c>
      <c r="P4" s="93">
        <v>258</v>
      </c>
      <c r="Q4" s="77">
        <v>-424700</v>
      </c>
    </row>
    <row r="5" spans="1:17" x14ac:dyDescent="0.45">
      <c r="A5" s="37" t="s">
        <v>7</v>
      </c>
      <c r="B5" s="135">
        <f>IF(B$2=0,0,B$4/B$2)</f>
        <v>-5.2824561403508783</v>
      </c>
      <c r="C5" s="136"/>
      <c r="E5" s="44" t="s">
        <v>157</v>
      </c>
      <c r="F5" s="41" t="s">
        <v>158</v>
      </c>
      <c r="G5" s="34">
        <v>210</v>
      </c>
      <c r="H5" s="107">
        <f>IF(B$51=0,0,G5/B$51)</f>
        <v>0.31722054380664655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-9.0163934426229506</v>
      </c>
      <c r="P5" s="93">
        <v>244</v>
      </c>
      <c r="Q5" s="77">
        <v>-2200</v>
      </c>
    </row>
    <row r="6" spans="1:17" x14ac:dyDescent="0.45">
      <c r="A6" s="37" t="s">
        <v>1</v>
      </c>
      <c r="B6" s="143">
        <f>IF(B$2=0,0,(B$7*1+B$8*2+B$9*3)/B$2)</f>
        <v>2.1403508771929824</v>
      </c>
      <c r="C6" s="144"/>
      <c r="E6" s="44" t="s">
        <v>68</v>
      </c>
      <c r="F6" s="41" t="s">
        <v>12</v>
      </c>
      <c r="G6" s="34">
        <v>181</v>
      </c>
      <c r="H6" s="107">
        <f>IF(B$51=0,0,G6/B$51)</f>
        <v>0.27341389728096677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-833.77777777777783</v>
      </c>
      <c r="P6" s="93">
        <v>225</v>
      </c>
      <c r="Q6" s="77">
        <v>-187600</v>
      </c>
    </row>
    <row r="7" spans="1:17" x14ac:dyDescent="0.45">
      <c r="A7" s="37" t="s">
        <v>2</v>
      </c>
      <c r="B7" s="34">
        <v>70</v>
      </c>
      <c r="C7" s="31">
        <f t="shared" ref="C7:C14" si="1">IF(B$2=0,0,B7/B$2)</f>
        <v>0.24561403508771928</v>
      </c>
      <c r="E7" s="44" t="s">
        <v>67</v>
      </c>
      <c r="F7" s="41" t="s">
        <v>23</v>
      </c>
      <c r="G7" s="34">
        <v>116</v>
      </c>
      <c r="H7" s="107">
        <f>IF(B$51=0,0,G7/B$51)</f>
        <v>0.17522658610271905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-1286.5591397849462</v>
      </c>
      <c r="P7" s="94">
        <v>186</v>
      </c>
      <c r="Q7" s="78">
        <v>-239300</v>
      </c>
    </row>
    <row r="8" spans="1:17" x14ac:dyDescent="0.45">
      <c r="A8" s="37" t="s">
        <v>3</v>
      </c>
      <c r="B8" s="34">
        <v>105</v>
      </c>
      <c r="C8" s="31">
        <f t="shared" si="1"/>
        <v>0.36842105263157893</v>
      </c>
      <c r="E8" s="44" t="s">
        <v>69</v>
      </c>
      <c r="F8" s="41" t="s">
        <v>24</v>
      </c>
      <c r="G8" s="34">
        <v>102</v>
      </c>
      <c r="H8" s="107">
        <f>IF(B$51=0,0,G8/B$51)</f>
        <v>0.15407854984894259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110</v>
      </c>
      <c r="C9" s="7">
        <f t="shared" si="1"/>
        <v>0.38596491228070173</v>
      </c>
      <c r="E9" s="44" t="s">
        <v>65</v>
      </c>
      <c r="F9" s="41" t="s">
        <v>21</v>
      </c>
      <c r="G9" s="34">
        <v>64</v>
      </c>
      <c r="H9" s="107">
        <f>IF(B$51=0,0,G9/B$51)</f>
        <v>9.6676737160120846E-2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62</v>
      </c>
      <c r="H10" s="107">
        <f>IF(B$51=0,0,G10/B$51)</f>
        <v>9.3655589123867067E-2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-8.4757009345794412</v>
      </c>
      <c r="P10" s="92">
        <v>107</v>
      </c>
      <c r="Q10" s="80">
        <v>-906.9000000000002</v>
      </c>
    </row>
    <row r="11" spans="1:17" x14ac:dyDescent="0.45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8.9123867069486398E-2</v>
      </c>
      <c r="I11" s="68">
        <v>11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5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7.5528700906344406E-2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-3.5260416666666665</v>
      </c>
      <c r="P12" s="94">
        <v>96</v>
      </c>
      <c r="Q12" s="82">
        <v>-338.5</v>
      </c>
    </row>
    <row r="13" spans="1:17" x14ac:dyDescent="0.45">
      <c r="A13" s="38" t="s">
        <v>206</v>
      </c>
      <c r="B13" s="135">
        <f>AVERAGE(B10:B12)</f>
        <v>-0.25832611832611957</v>
      </c>
      <c r="C13" s="136"/>
      <c r="E13" s="44" t="s">
        <v>83</v>
      </c>
      <c r="F13" s="41" t="s">
        <v>38</v>
      </c>
      <c r="G13" s="34">
        <v>43</v>
      </c>
      <c r="H13" s="107">
        <f>IF(B$51=0,0,G13/B$51)</f>
        <v>6.4954682779456194E-2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31</v>
      </c>
      <c r="C14" s="32">
        <f t="shared" si="1"/>
        <v>0.10877192982456141</v>
      </c>
      <c r="E14" s="44" t="s">
        <v>86</v>
      </c>
      <c r="F14" s="41" t="s">
        <v>41</v>
      </c>
      <c r="G14" s="34">
        <v>25</v>
      </c>
      <c r="H14" s="107">
        <f>IF(B$51=0,0,G14/B$51)</f>
        <v>3.7764350453172203E-2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444</v>
      </c>
      <c r="C15" s="11">
        <f>IF(B$50=0,0,B15/B$50)</f>
        <v>0.20018034265103696</v>
      </c>
      <c r="E15" s="44" t="s">
        <v>81</v>
      </c>
      <c r="F15" s="41" t="s">
        <v>36</v>
      </c>
      <c r="G15" s="34">
        <v>23</v>
      </c>
      <c r="H15" s="107">
        <f>IF(B$51=0,0,G15/B$51)</f>
        <v>3.4743202416918431E-2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118</v>
      </c>
      <c r="B16" s="34">
        <v>612</v>
      </c>
      <c r="C16" s="31">
        <f>IF(B$50=0,0,B16/B$50)</f>
        <v>0.27592425608656446</v>
      </c>
      <c r="E16" s="44" t="s">
        <v>78</v>
      </c>
      <c r="F16" s="41" t="s">
        <v>33</v>
      </c>
      <c r="G16" s="34">
        <v>11</v>
      </c>
      <c r="H16" s="107">
        <f>IF(B$51=0,0,G16/B$51)</f>
        <v>1.6616314199395771E-2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233</v>
      </c>
      <c r="C17" s="4">
        <f>IF(B$15=0,0,B17/B$15)</f>
        <v>0.52477477477477474</v>
      </c>
      <c r="E17" s="44" t="s">
        <v>79</v>
      </c>
      <c r="F17" s="41" t="s">
        <v>34</v>
      </c>
      <c r="G17" s="34">
        <v>11</v>
      </c>
      <c r="H17" s="107">
        <f>IF(B$51=0,0,G17/B$51)</f>
        <v>1.6616314199395771E-2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245</v>
      </c>
      <c r="C18" s="4">
        <f>IF(B$16=0,0,B18/B$16)</f>
        <v>0.40032679738562094</v>
      </c>
      <c r="E18" s="44" t="s">
        <v>91</v>
      </c>
      <c r="F18" s="41" t="s">
        <v>46</v>
      </c>
      <c r="G18" s="34">
        <v>8</v>
      </c>
      <c r="H18" s="107">
        <f>IF(B$51=0,0,G18/B$51)</f>
        <v>1.2084592145015106E-2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713</v>
      </c>
      <c r="C19" s="4">
        <f>IF(B$3=0,0,B19/B$3)</f>
        <v>0.29733110925771478</v>
      </c>
      <c r="E19" s="44" t="s">
        <v>74</v>
      </c>
      <c r="F19" s="41" t="s">
        <v>29</v>
      </c>
      <c r="G19" s="34">
        <v>4</v>
      </c>
      <c r="H19" s="107">
        <f>IF(B$51=0,0,G19/B$51)</f>
        <v>6.0422960725075529E-3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2.9661971830985907</v>
      </c>
      <c r="P19" s="93">
        <v>71</v>
      </c>
      <c r="Q19" s="81">
        <v>210.59999999999994</v>
      </c>
    </row>
    <row r="20" spans="1:17" x14ac:dyDescent="0.45">
      <c r="A20" s="37" t="s">
        <v>13</v>
      </c>
      <c r="B20" s="34">
        <v>392</v>
      </c>
      <c r="C20" s="31">
        <f>IF(B$3=0,0,B20/B$3)</f>
        <v>0.16346955796497081</v>
      </c>
      <c r="E20" s="44" t="s">
        <v>75</v>
      </c>
      <c r="F20" s="41" t="s">
        <v>30</v>
      </c>
      <c r="G20" s="34">
        <v>4</v>
      </c>
      <c r="H20" s="107">
        <f>IF(B$51=0,0,G20/B$51)</f>
        <v>6.0422960725075529E-3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-6.6475000000000026</v>
      </c>
      <c r="P20" s="93">
        <v>80</v>
      </c>
      <c r="Q20" s="81">
        <v>-531.80000000000018</v>
      </c>
    </row>
    <row r="21" spans="1:17" x14ac:dyDescent="0.45">
      <c r="A21" s="37" t="s">
        <v>12</v>
      </c>
      <c r="B21" s="34">
        <v>305</v>
      </c>
      <c r="C21" s="31">
        <f>IF(B$19=0,0,B21/B$19)</f>
        <v>0.42776998597475457</v>
      </c>
      <c r="E21" s="44" t="s">
        <v>77</v>
      </c>
      <c r="F21" s="41" t="s">
        <v>32</v>
      </c>
      <c r="G21" s="34">
        <v>3</v>
      </c>
      <c r="H21" s="107">
        <f>IF(B$51=0,0,G21/B$51)</f>
        <v>4.5317220543806651E-3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5">
      <c r="A22" s="37" t="s">
        <v>11</v>
      </c>
      <c r="B22" s="34">
        <v>408</v>
      </c>
      <c r="C22" s="31">
        <f>IF(B$19=0,0,B22/B$19)</f>
        <v>0.57223001402524543</v>
      </c>
      <c r="E22" s="44" t="s">
        <v>87</v>
      </c>
      <c r="F22" s="41" t="s">
        <v>42</v>
      </c>
      <c r="G22" s="34">
        <v>2</v>
      </c>
      <c r="H22" s="107">
        <f>IF(B$51=0,0,G22/B$51)</f>
        <v>3.0211480362537764E-3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7" t="s">
        <v>180</v>
      </c>
      <c r="B23" s="34">
        <v>233</v>
      </c>
      <c r="C23" s="31">
        <f>IF(B$19=0,0,B23/B$19)</f>
        <v>0.32678821879382891</v>
      </c>
      <c r="E23" s="44" t="s">
        <v>88</v>
      </c>
      <c r="F23" s="41" t="s">
        <v>43</v>
      </c>
      <c r="G23" s="34">
        <v>2</v>
      </c>
      <c r="H23" s="107">
        <f>IF(B$51=0,0,G23/B$51)</f>
        <v>3.0211480362537764E-3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5">
      <c r="A24" s="37" t="s">
        <v>178</v>
      </c>
      <c r="B24" s="34">
        <v>245</v>
      </c>
      <c r="C24" s="31">
        <f>IF(B$19=0,0,B24/B$19)</f>
        <v>0.34361851332398319</v>
      </c>
      <c r="E24" s="44" t="s">
        <v>93</v>
      </c>
      <c r="F24" s="41" t="s">
        <v>48</v>
      </c>
      <c r="G24" s="34">
        <v>2</v>
      </c>
      <c r="H24" s="107">
        <f>IF(B$51=0,0,G24/B$51)</f>
        <v>3.0211480362537764E-3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5">
      <c r="A25" s="37" t="s">
        <v>179</v>
      </c>
      <c r="B25" s="34">
        <v>235</v>
      </c>
      <c r="C25" s="31">
        <f>IF(B$19=0,0,B25/B$19)</f>
        <v>0.32959326788218796</v>
      </c>
      <c r="E25" s="44" t="s">
        <v>73</v>
      </c>
      <c r="F25" s="41" t="s">
        <v>28</v>
      </c>
      <c r="G25" s="34">
        <v>1</v>
      </c>
      <c r="H25" s="107">
        <f>IF(B$51=0,0,G25/B$51)</f>
        <v>1.5105740181268882E-3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7400.8415147265077</v>
      </c>
      <c r="C26" s="8">
        <v>5276800</v>
      </c>
      <c r="E26" s="44" t="s">
        <v>84</v>
      </c>
      <c r="F26" s="41" t="s">
        <v>39</v>
      </c>
      <c r="G26" s="34">
        <v>1</v>
      </c>
      <c r="H26" s="107">
        <f>IF(B$51=0,0,G26/B$51)</f>
        <v>1.5105740181268882E-3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8046.3675213675215</v>
      </c>
      <c r="C27" s="115">
        <v>3765700</v>
      </c>
      <c r="E27" s="44" t="s">
        <v>90</v>
      </c>
      <c r="F27" s="41" t="s">
        <v>45</v>
      </c>
      <c r="G27" s="34">
        <v>1</v>
      </c>
      <c r="H27" s="107">
        <f>IF(B$51=0,0,G27/B$51)</f>
        <v>1.5105740181268882E-3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6167.7551020408164</v>
      </c>
      <c r="C28" s="115">
        <v>1511100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-8479.8469387755104</v>
      </c>
      <c r="C29" s="115">
        <v>-3324100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41">
        <v>7</v>
      </c>
      <c r="C32" s="142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39">
        <v>103200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2.5020850708924102E-3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3">
        <v>71</v>
      </c>
      <c r="C36" s="119">
        <f>IF(B$19=0,0,B36/B$19)</f>
        <v>9.957924263674614E-2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143</v>
      </c>
      <c r="C37" s="31">
        <f t="shared" ref="C37:C48" si="2">IF(B$19=0,0,B37/B$19)</f>
        <v>0.2005610098176718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6">
        <v>131</v>
      </c>
      <c r="C38" s="31">
        <f>IF(B$19=0,0,B38/B$19)</f>
        <v>0.18373071528751753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6">
        <v>131</v>
      </c>
      <c r="C39" s="31">
        <f t="shared" si="2"/>
        <v>0.18373071528751753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6">
        <v>92</v>
      </c>
      <c r="C40" s="31">
        <f t="shared" si="2"/>
        <v>0.12903225806451613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6">
        <v>44</v>
      </c>
      <c r="C41" s="31">
        <f t="shared" si="2"/>
        <v>6.1711079943899017E-2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6">
        <v>24</v>
      </c>
      <c r="C42" s="31">
        <f t="shared" si="2"/>
        <v>3.3660589060308554E-2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6">
        <v>17</v>
      </c>
      <c r="C43" s="31">
        <f t="shared" si="2"/>
        <v>2.3842917251051893E-2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6">
        <v>5</v>
      </c>
      <c r="C44" s="31">
        <f t="shared" si="2"/>
        <v>7.0126227208976155E-3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6">
        <v>1</v>
      </c>
      <c r="C45" s="31">
        <f t="shared" si="2"/>
        <v>1.4025245441795231E-3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6">
        <v>1</v>
      </c>
      <c r="C46" s="31">
        <f t="shared" si="2"/>
        <v>1.4025245441795231E-3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2">
        <v>2</v>
      </c>
      <c r="C48" s="32">
        <f t="shared" si="2"/>
        <v>2.8050490883590462E-3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29">
        <v>2218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37">
        <v>662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4E4E1-C9FF-40E9-80FE-C3DDEF12D948}">
  <sheetPr codeName="Sheet11"/>
  <dimension ref="A1:Q49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494</v>
      </c>
      <c r="C2" s="130"/>
      <c r="E2" s="43" t="s">
        <v>66</v>
      </c>
      <c r="F2" s="25" t="s">
        <v>22</v>
      </c>
      <c r="G2" s="13">
        <v>889</v>
      </c>
      <c r="H2" s="106">
        <f>IF(B$51=0,0,G2/B$51)</f>
        <v>0.76243567753001718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-759.50920245398777</v>
      </c>
      <c r="P2" s="92">
        <v>489</v>
      </c>
      <c r="Q2" s="76">
        <v>-371400</v>
      </c>
    </row>
    <row r="3" spans="1:17" x14ac:dyDescent="0.45">
      <c r="A3" s="37" t="s">
        <v>8</v>
      </c>
      <c r="B3" s="131">
        <v>4040</v>
      </c>
      <c r="C3" s="132"/>
      <c r="E3" s="44" t="s">
        <v>72</v>
      </c>
      <c r="F3" s="41" t="s">
        <v>27</v>
      </c>
      <c r="G3" s="34">
        <v>615</v>
      </c>
      <c r="H3" s="107">
        <f>IF(B$51=0,0,G3/B$51)</f>
        <v>0.52744425385934823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-10.526315789473685</v>
      </c>
      <c r="P3" s="93">
        <v>475</v>
      </c>
      <c r="Q3" s="77">
        <v>-5000</v>
      </c>
    </row>
    <row r="4" spans="1:17" x14ac:dyDescent="0.45">
      <c r="A4" s="37" t="s">
        <v>6</v>
      </c>
      <c r="B4" s="133">
        <v>-1061.6000000000006</v>
      </c>
      <c r="C4" s="134"/>
      <c r="E4" s="44" t="s">
        <v>64</v>
      </c>
      <c r="F4" s="41" t="s">
        <v>20</v>
      </c>
      <c r="G4" s="34">
        <v>508</v>
      </c>
      <c r="H4" s="107">
        <f>IF(B$51=0,0,G4/B$51)</f>
        <v>0.43567753001715265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274.43946188340806</v>
      </c>
      <c r="P4" s="93">
        <v>446</v>
      </c>
      <c r="Q4" s="77">
        <v>122400</v>
      </c>
    </row>
    <row r="5" spans="1:17" x14ac:dyDescent="0.45">
      <c r="A5" s="37" t="s">
        <v>7</v>
      </c>
      <c r="B5" s="135">
        <f>IF(B$2=0,0,B$4/B$2)</f>
        <v>-2.1489878542510135</v>
      </c>
      <c r="C5" s="136"/>
      <c r="E5" s="44" t="s">
        <v>157</v>
      </c>
      <c r="F5" s="41" t="s">
        <v>158</v>
      </c>
      <c r="G5" s="34">
        <v>365</v>
      </c>
      <c r="H5" s="107">
        <f>IF(B$51=0,0,G5/B$51)</f>
        <v>0.31303602058319041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-1133.6538461538462</v>
      </c>
      <c r="P5" s="93">
        <v>416</v>
      </c>
      <c r="Q5" s="77">
        <v>-471600</v>
      </c>
    </row>
    <row r="6" spans="1:17" x14ac:dyDescent="0.45">
      <c r="A6" s="37" t="s">
        <v>1</v>
      </c>
      <c r="B6" s="143">
        <f>IF(B$2=0,0,(B$7*1+B$8*2+B$9*3)/B$2)</f>
        <v>2.0141700404858298</v>
      </c>
      <c r="C6" s="144"/>
      <c r="E6" s="44" t="s">
        <v>68</v>
      </c>
      <c r="F6" s="41" t="s">
        <v>12</v>
      </c>
      <c r="G6" s="34">
        <v>349</v>
      </c>
      <c r="H6" s="107">
        <f>IF(B$51=0,0,G6/B$51)</f>
        <v>0.29931389365351629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-125.20107238605898</v>
      </c>
      <c r="P6" s="93">
        <v>373</v>
      </c>
      <c r="Q6" s="77">
        <v>-46700</v>
      </c>
    </row>
    <row r="7" spans="1:17" x14ac:dyDescent="0.45">
      <c r="A7" s="37" t="s">
        <v>2</v>
      </c>
      <c r="B7" s="34">
        <v>164</v>
      </c>
      <c r="C7" s="31">
        <f t="shared" ref="C7:C14" si="1">IF(B$2=0,0,B7/B$2)</f>
        <v>0.33198380566801622</v>
      </c>
      <c r="E7" s="44" t="s">
        <v>67</v>
      </c>
      <c r="F7" s="41" t="s">
        <v>23</v>
      </c>
      <c r="G7" s="34">
        <v>288</v>
      </c>
      <c r="H7" s="107">
        <f>IF(B$51=0,0,G7/B$51)</f>
        <v>0.24699828473413379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74.766355140186917</v>
      </c>
      <c r="P7" s="94">
        <v>321</v>
      </c>
      <c r="Q7" s="78">
        <v>24000</v>
      </c>
    </row>
    <row r="8" spans="1:17" x14ac:dyDescent="0.45">
      <c r="A8" s="37" t="s">
        <v>3</v>
      </c>
      <c r="B8" s="34">
        <v>159</v>
      </c>
      <c r="C8" s="31">
        <f t="shared" si="1"/>
        <v>0.32186234817813764</v>
      </c>
      <c r="E8" s="44" t="s">
        <v>69</v>
      </c>
      <c r="F8" s="41" t="s">
        <v>24</v>
      </c>
      <c r="G8" s="34">
        <v>159</v>
      </c>
      <c r="H8" s="107">
        <f>IF(B$51=0,0,G8/B$51)</f>
        <v>0.13636363636363635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171</v>
      </c>
      <c r="C9" s="7">
        <f t="shared" si="1"/>
        <v>0.34615384615384615</v>
      </c>
      <c r="E9" s="44" t="s">
        <v>89</v>
      </c>
      <c r="F9" s="41" t="s">
        <v>44</v>
      </c>
      <c r="G9" s="34">
        <v>141</v>
      </c>
      <c r="H9" s="107">
        <f>IF(B$51=0,0,G9/B$51)</f>
        <v>0.120926243567753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35.704268292682933</v>
      </c>
      <c r="C10" s="121">
        <v>5855.5000000000009</v>
      </c>
      <c r="E10" s="44" t="s">
        <v>70</v>
      </c>
      <c r="F10" s="41" t="s">
        <v>25</v>
      </c>
      <c r="G10" s="34">
        <v>128</v>
      </c>
      <c r="H10" s="107">
        <f>IF(B$51=0,0,G10/B$51)</f>
        <v>0.10977701543739279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-2.6703030303030291</v>
      </c>
      <c r="P10" s="92">
        <v>165</v>
      </c>
      <c r="Q10" s="80">
        <v>-440.5999999999998</v>
      </c>
    </row>
    <row r="11" spans="1:17" x14ac:dyDescent="0.45">
      <c r="A11" s="38" t="s">
        <v>204</v>
      </c>
      <c r="B11" s="120">
        <f>IF(B8=0,0,C11/B8)</f>
        <v>-1.4031446540880501</v>
      </c>
      <c r="C11" s="121">
        <v>-223.09999999999997</v>
      </c>
      <c r="E11" s="44" t="s">
        <v>65</v>
      </c>
      <c r="F11" s="41" t="s">
        <v>21</v>
      </c>
      <c r="G11" s="34">
        <v>104</v>
      </c>
      <c r="H11" s="107">
        <f>IF(B$51=0,0,G11/B$51)</f>
        <v>8.9193825042881647E-2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-1.4900621118012427</v>
      </c>
      <c r="P11" s="93">
        <v>161</v>
      </c>
      <c r="Q11" s="81">
        <v>-239.90000000000006</v>
      </c>
    </row>
    <row r="12" spans="1:17" x14ac:dyDescent="0.45">
      <c r="A12" s="38" t="s">
        <v>205</v>
      </c>
      <c r="B12" s="120">
        <f>IF(B9=0,0,C12/B9)</f>
        <v>-39.146198830409368</v>
      </c>
      <c r="C12" s="121">
        <v>-6694.0000000000018</v>
      </c>
      <c r="E12" s="44" t="s">
        <v>71</v>
      </c>
      <c r="F12" s="41" t="s">
        <v>26</v>
      </c>
      <c r="G12" s="34">
        <v>101</v>
      </c>
      <c r="H12" s="107">
        <f>IF(B$51=0,0,G12/B$51)</f>
        <v>8.662092624356775E-2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-2.504819277108433</v>
      </c>
      <c r="P12" s="94">
        <v>166</v>
      </c>
      <c r="Q12" s="82">
        <v>-415.79999999999984</v>
      </c>
    </row>
    <row r="13" spans="1:17" x14ac:dyDescent="0.45">
      <c r="A13" s="38" t="s">
        <v>206</v>
      </c>
      <c r="B13" s="135">
        <f>AVERAGE(B10:B12)</f>
        <v>-1.6150250639381625</v>
      </c>
      <c r="C13" s="136"/>
      <c r="E13" s="44" t="s">
        <v>86</v>
      </c>
      <c r="F13" s="41" t="s">
        <v>41</v>
      </c>
      <c r="G13" s="34">
        <v>59</v>
      </c>
      <c r="H13" s="107">
        <f>IF(B$51=0,0,G13/B$51)</f>
        <v>5.0600343053173243E-2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0.11740890688259109</v>
      </c>
      <c r="E14" s="44" t="s">
        <v>83</v>
      </c>
      <c r="F14" s="41" t="s">
        <v>38</v>
      </c>
      <c r="G14" s="34">
        <v>47</v>
      </c>
      <c r="H14" s="107">
        <f>IF(B$51=0,0,G14/B$51)</f>
        <v>4.0308747855917669E-2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967</v>
      </c>
      <c r="C15" s="11">
        <f>IF(B$50=0,0,B15/B$50)</f>
        <v>0.24706182933060808</v>
      </c>
      <c r="E15" s="44" t="s">
        <v>78</v>
      </c>
      <c r="F15" s="41" t="s">
        <v>33</v>
      </c>
      <c r="G15" s="34">
        <v>46</v>
      </c>
      <c r="H15" s="107">
        <f>IF(B$51=0,0,G15/B$51)</f>
        <v>3.9451114922813037E-2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961</v>
      </c>
      <c r="C16" s="31">
        <f>IF(B$50=0,0,B16/B$50)</f>
        <v>0.24552887072049054</v>
      </c>
      <c r="E16" s="44" t="s">
        <v>81</v>
      </c>
      <c r="F16" s="41" t="s">
        <v>36</v>
      </c>
      <c r="G16" s="34">
        <v>35</v>
      </c>
      <c r="H16" s="107">
        <f>IF(B$51=0,0,G16/B$51)</f>
        <v>3.0017152658662092E-2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519</v>
      </c>
      <c r="C17" s="4">
        <f>IF(B$15=0,0,B17/B$15)</f>
        <v>0.5367114788004137</v>
      </c>
      <c r="E17" s="44" t="s">
        <v>91</v>
      </c>
      <c r="F17" s="41" t="s">
        <v>46</v>
      </c>
      <c r="G17" s="34">
        <v>25</v>
      </c>
      <c r="H17" s="107">
        <f>IF(B$51=0,0,G17/B$51)</f>
        <v>2.1440823327615779E-2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369</v>
      </c>
      <c r="C18" s="4">
        <f>IF(B$16=0,0,B18/B$16)</f>
        <v>0.38397502601456818</v>
      </c>
      <c r="E18" s="44" t="s">
        <v>79</v>
      </c>
      <c r="F18" s="41" t="s">
        <v>34</v>
      </c>
      <c r="G18" s="34">
        <v>16</v>
      </c>
      <c r="H18" s="107">
        <f>IF(B$51=0,0,G18/B$51)</f>
        <v>1.3722126929674099E-2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7.599999999999997</v>
      </c>
      <c r="P18" s="93">
        <v>155</v>
      </c>
      <c r="Q18" s="81">
        <v>1177.9999999999995</v>
      </c>
    </row>
    <row r="19" spans="1:17" x14ac:dyDescent="0.45">
      <c r="A19" s="19" t="s">
        <v>10</v>
      </c>
      <c r="B19" s="13">
        <v>1203</v>
      </c>
      <c r="C19" s="4">
        <f>IF(B$3=0,0,B19/B$3)</f>
        <v>0.29777227722772276</v>
      </c>
      <c r="E19" s="44" t="s">
        <v>77</v>
      </c>
      <c r="F19" s="41" t="s">
        <v>32</v>
      </c>
      <c r="G19" s="34">
        <v>9</v>
      </c>
      <c r="H19" s="107">
        <f>IF(B$51=0,0,G19/B$51)</f>
        <v>7.7186963979416811E-3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685</v>
      </c>
      <c r="C20" s="31">
        <f>IF(B$3=0,0,B20/B$3)</f>
        <v>0.16955445544554457</v>
      </c>
      <c r="E20" s="44" t="s">
        <v>153</v>
      </c>
      <c r="F20" s="41" t="s">
        <v>154</v>
      </c>
      <c r="G20" s="34">
        <v>8</v>
      </c>
      <c r="H20" s="107">
        <f>IF(B$51=0,0,G20/B$51)</f>
        <v>6.8610634648370496E-3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506</v>
      </c>
      <c r="C21" s="31">
        <f>IF(B$19=0,0,B21/B$19)</f>
        <v>0.42061512884455526</v>
      </c>
      <c r="E21" s="44" t="s">
        <v>73</v>
      </c>
      <c r="F21" s="41" t="s">
        <v>28</v>
      </c>
      <c r="G21" s="34">
        <v>7</v>
      </c>
      <c r="H21" s="107">
        <f>IF(B$51=0,0,G21/B$51)</f>
        <v>6.0034305317324182E-3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-0.15499999999999892</v>
      </c>
      <c r="P21" s="93">
        <v>140</v>
      </c>
      <c r="Q21" s="81">
        <v>-21.699999999999847</v>
      </c>
    </row>
    <row r="22" spans="1:17" x14ac:dyDescent="0.45">
      <c r="A22" s="37" t="s">
        <v>11</v>
      </c>
      <c r="B22" s="34">
        <v>697</v>
      </c>
      <c r="C22" s="31">
        <f>IF(B$19=0,0,B22/B$19)</f>
        <v>0.57938487115544468</v>
      </c>
      <c r="E22" s="44" t="s">
        <v>74</v>
      </c>
      <c r="F22" s="41" t="s">
        <v>29</v>
      </c>
      <c r="G22" s="34">
        <v>6</v>
      </c>
      <c r="H22" s="107">
        <f>IF(B$51=0,0,G22/B$51)</f>
        <v>5.1457975986277877E-3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5">
      <c r="A23" s="37" t="s">
        <v>180</v>
      </c>
      <c r="B23" s="34">
        <v>519</v>
      </c>
      <c r="C23" s="31">
        <f>IF(B$19=0,0,B23/B$19)</f>
        <v>0.4314214463840399</v>
      </c>
      <c r="E23" s="44" t="s">
        <v>75</v>
      </c>
      <c r="F23" s="41" t="s">
        <v>30</v>
      </c>
      <c r="G23" s="34">
        <v>6</v>
      </c>
      <c r="H23" s="107">
        <f>IF(B$51=0,0,G23/B$51)</f>
        <v>5.1457975986277877E-3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7" t="s">
        <v>178</v>
      </c>
      <c r="B24" s="34">
        <v>369</v>
      </c>
      <c r="C24" s="31">
        <f>IF(B$19=0,0,B24/B$19)</f>
        <v>0.30673316708229426</v>
      </c>
      <c r="E24" s="44" t="s">
        <v>84</v>
      </c>
      <c r="F24" s="41" t="s">
        <v>39</v>
      </c>
      <c r="G24" s="34">
        <v>4</v>
      </c>
      <c r="H24" s="107">
        <f>IF(B$51=0,0,G24/B$51)</f>
        <v>3.4305317324185248E-3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5">
      <c r="A25" s="37" t="s">
        <v>179</v>
      </c>
      <c r="B25" s="34">
        <v>315</v>
      </c>
      <c r="C25" s="31">
        <f>IF(B$19=0,0,B25/B$19)</f>
        <v>0.26184538653366585</v>
      </c>
      <c r="E25" s="44" t="s">
        <v>92</v>
      </c>
      <c r="F25" s="41" t="s">
        <v>47</v>
      </c>
      <c r="G25" s="34">
        <v>4</v>
      </c>
      <c r="H25" s="107">
        <f>IF(B$51=0,0,G25/B$51)</f>
        <v>3.4305317324185248E-3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8485.7024106400659</v>
      </c>
      <c r="C26" s="8">
        <v>10208300</v>
      </c>
      <c r="E26" s="44" t="s">
        <v>93</v>
      </c>
      <c r="F26" s="41" t="s">
        <v>48</v>
      </c>
      <c r="G26" s="34">
        <v>4</v>
      </c>
      <c r="H26" s="107">
        <f>IF(B$51=0,0,G26/B$51)</f>
        <v>3.4305317324185248E-3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-13.339465875370927</v>
      </c>
      <c r="P26" s="93">
        <v>337</v>
      </c>
      <c r="Q26" s="81">
        <v>-4495.4000000000024</v>
      </c>
    </row>
    <row r="27" spans="1:17" x14ac:dyDescent="0.45">
      <c r="A27" s="38" t="s">
        <v>162</v>
      </c>
      <c r="B27" s="114">
        <f>IF($B$19-B$18=0,0,C27/($B$19-B$18))</f>
        <v>9202.2781774580344</v>
      </c>
      <c r="C27" s="115">
        <v>7674700</v>
      </c>
      <c r="E27" s="44" t="s">
        <v>87</v>
      </c>
      <c r="F27" s="41" t="s">
        <v>42</v>
      </c>
      <c r="G27" s="34">
        <v>3</v>
      </c>
      <c r="H27" s="107">
        <f>IF(B$51=0,0,G27/B$51)</f>
        <v>2.5728987993138938E-3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6866.124661246612</v>
      </c>
      <c r="C28" s="115">
        <v>2533600</v>
      </c>
      <c r="E28" s="44" t="s">
        <v>90</v>
      </c>
      <c r="F28" s="41" t="s">
        <v>45</v>
      </c>
      <c r="G28" s="34">
        <v>2</v>
      </c>
      <c r="H28" s="107">
        <f>IF(B$51=0,0,G28/B$51)</f>
        <v>1.7152658662092624E-3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-8421.459854014598</v>
      </c>
      <c r="C29" s="115">
        <v>-5768700</v>
      </c>
      <c r="E29" s="44" t="s">
        <v>76</v>
      </c>
      <c r="F29" s="41" t="s">
        <v>31</v>
      </c>
      <c r="G29" s="34">
        <v>1</v>
      </c>
      <c r="H29" s="107">
        <f>IF(B$51=0,0,G29/B$51)</f>
        <v>8.576329331046312E-4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8.576329331046312E-4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8.576329331046312E-4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41">
        <v>9</v>
      </c>
      <c r="C32" s="142"/>
      <c r="E32" s="44" t="s">
        <v>95</v>
      </c>
      <c r="F32" s="41" t="s">
        <v>50</v>
      </c>
      <c r="G32" s="34">
        <v>1</v>
      </c>
      <c r="H32" s="107">
        <f>IF(B$51=0,0,G32/B$51)</f>
        <v>8.576329331046312E-4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9">
        <v>109300</v>
      </c>
      <c r="C33" s="140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3.4653465346534654E-3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3">
        <v>76</v>
      </c>
      <c r="C36" s="119">
        <f>IF(B$19=0,0,B36/B$19)</f>
        <v>6.3175394846217786E-2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204</v>
      </c>
      <c r="C37" s="31">
        <f t="shared" ref="C37:C48" si="2">IF(B$19=0,0,B37/B$19)</f>
        <v>0.16957605985037408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6">
        <v>252</v>
      </c>
      <c r="C38" s="31">
        <f>IF(B$19=0,0,B38/B$19)</f>
        <v>0.20947630922693267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6">
        <v>226</v>
      </c>
      <c r="C39" s="31">
        <f t="shared" si="2"/>
        <v>0.18786367414796343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6">
        <v>162</v>
      </c>
      <c r="C40" s="31">
        <f t="shared" si="2"/>
        <v>0.13466334164588528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6">
        <v>105</v>
      </c>
      <c r="C41" s="31">
        <f t="shared" si="2"/>
        <v>8.7281795511221949E-2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6">
        <v>52</v>
      </c>
      <c r="C42" s="31">
        <f t="shared" si="2"/>
        <v>4.3225270157938485E-2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6">
        <v>36</v>
      </c>
      <c r="C43" s="31">
        <f t="shared" si="2"/>
        <v>2.9925187032418952E-2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6">
        <v>18</v>
      </c>
      <c r="C44" s="31">
        <f t="shared" si="2"/>
        <v>1.4962593516209476E-2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6">
        <v>12</v>
      </c>
      <c r="C45" s="31">
        <f t="shared" si="2"/>
        <v>9.9750623441396506E-3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6">
        <v>9</v>
      </c>
      <c r="C46" s="31">
        <f t="shared" si="2"/>
        <v>7.481296758104738E-3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6">
        <v>2</v>
      </c>
      <c r="C47" s="31">
        <f t="shared" si="2"/>
        <v>1.6625103906899418E-3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2">
        <v>12</v>
      </c>
      <c r="C48" s="32">
        <f t="shared" si="2"/>
        <v>9.9750623441396506E-3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29">
        <v>3914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37">
        <v>1166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D8AD-5751-4225-8DBB-2DB5B25D3332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1">
        <v>316</v>
      </c>
      <c r="C3" s="13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3">
        <v>91.000000000000014</v>
      </c>
      <c r="C4" s="13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5">
        <f>IF(B$2=0,0,B$4/B$2)</f>
        <v>2.3333333333333335</v>
      </c>
      <c r="C5" s="136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3">
        <f>IF(B$2=0,0,(B$7*1+B$8*2+B$9*3)/B$2)</f>
        <v>2.0256410256410255</v>
      </c>
      <c r="C6" s="144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5">
        <f>AVERAGE(B10:B12)</f>
        <v>3.0839682539682549</v>
      </c>
      <c r="C13" s="136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9">
        <v>109300</v>
      </c>
      <c r="C33" s="140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3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6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6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6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6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6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6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6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6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6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2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61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ED178-D3D8-474D-86F2-6A8E2367C379}">
  <sheetPr codeName="Sheet13"/>
  <dimension ref="A1:Q41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408</v>
      </c>
      <c r="C2" s="130"/>
      <c r="E2" s="43" t="s">
        <v>66</v>
      </c>
      <c r="F2" s="25" t="s">
        <v>22</v>
      </c>
      <c r="G2" s="13">
        <v>771</v>
      </c>
      <c r="H2" s="106">
        <f>IF(B$51=0,0,G2/B$51)</f>
        <v>0.83351351351351355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567.24565756823824</v>
      </c>
      <c r="P2" s="92">
        <v>403</v>
      </c>
      <c r="Q2" s="76">
        <v>228600</v>
      </c>
    </row>
    <row r="3" spans="1:17" x14ac:dyDescent="0.45">
      <c r="A3" s="37" t="s">
        <v>8</v>
      </c>
      <c r="B3" s="131">
        <v>3289</v>
      </c>
      <c r="C3" s="132"/>
      <c r="E3" s="44" t="s">
        <v>72</v>
      </c>
      <c r="F3" s="41" t="s">
        <v>27</v>
      </c>
      <c r="G3" s="34">
        <v>529</v>
      </c>
      <c r="H3" s="107">
        <f>IF(B$51=0,0,G3/B$51)</f>
        <v>0.57189189189189193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-423.85786802030458</v>
      </c>
      <c r="P3" s="93">
        <v>394</v>
      </c>
      <c r="Q3" s="77">
        <v>-167000</v>
      </c>
    </row>
    <row r="4" spans="1:17" x14ac:dyDescent="0.45">
      <c r="A4" s="37" t="s">
        <v>6</v>
      </c>
      <c r="B4" s="133">
        <v>563.20000000000039</v>
      </c>
      <c r="C4" s="134"/>
      <c r="E4" s="44" t="s">
        <v>64</v>
      </c>
      <c r="F4" s="41" t="s">
        <v>20</v>
      </c>
      <c r="G4" s="34">
        <v>513</v>
      </c>
      <c r="H4" s="107">
        <f>IF(B$51=0,0,G4/B$51)</f>
        <v>0.55459459459459459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363.63636363636363</v>
      </c>
      <c r="P4" s="93">
        <v>363</v>
      </c>
      <c r="Q4" s="77">
        <v>132000</v>
      </c>
    </row>
    <row r="5" spans="1:17" x14ac:dyDescent="0.45">
      <c r="A5" s="37" t="s">
        <v>7</v>
      </c>
      <c r="B5" s="135">
        <f>IF(B$2=0,0,B$4/B$2)</f>
        <v>1.380392156862746</v>
      </c>
      <c r="C5" s="136"/>
      <c r="E5" s="44" t="s">
        <v>67</v>
      </c>
      <c r="F5" s="41" t="s">
        <v>23</v>
      </c>
      <c r="G5" s="34">
        <v>332</v>
      </c>
      <c r="H5" s="107">
        <f>IF(B$51=0,0,G5/B$51)</f>
        <v>0.35891891891891892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916.10942249240122</v>
      </c>
      <c r="P5" s="93">
        <v>329</v>
      </c>
      <c r="Q5" s="77">
        <v>301400</v>
      </c>
    </row>
    <row r="6" spans="1:17" x14ac:dyDescent="0.45">
      <c r="A6" s="37" t="s">
        <v>1</v>
      </c>
      <c r="B6" s="143">
        <f>IF(B$2=0,0,(B$7*1+B$8*2+B$9*3)/B$2)</f>
        <v>2.0196078431372548</v>
      </c>
      <c r="C6" s="144"/>
      <c r="E6" s="44" t="s">
        <v>68</v>
      </c>
      <c r="F6" s="41" t="s">
        <v>12</v>
      </c>
      <c r="G6" s="34">
        <v>312</v>
      </c>
      <c r="H6" s="107">
        <f>IF(B$51=0,0,G6/B$51)</f>
        <v>0.33729729729729729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-810.03344481605347</v>
      </c>
      <c r="P6" s="93">
        <v>299</v>
      </c>
      <c r="Q6" s="77">
        <v>-242200</v>
      </c>
    </row>
    <row r="7" spans="1:17" x14ac:dyDescent="0.45">
      <c r="A7" s="37" t="s">
        <v>2</v>
      </c>
      <c r="B7" s="34">
        <v>135</v>
      </c>
      <c r="C7" s="31">
        <f t="shared" ref="C7:C14" si="1">IF(B$2=0,0,B7/B$2)</f>
        <v>0.33088235294117646</v>
      </c>
      <c r="E7" s="44" t="s">
        <v>157</v>
      </c>
      <c r="F7" s="41" t="s">
        <v>158</v>
      </c>
      <c r="G7" s="34">
        <v>255</v>
      </c>
      <c r="H7" s="107">
        <f>IF(B$51=0,0,G7/B$51)</f>
        <v>0.27567567567567569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395.91836734693879</v>
      </c>
      <c r="P7" s="94">
        <v>245</v>
      </c>
      <c r="Q7" s="78">
        <v>97000</v>
      </c>
    </row>
    <row r="8" spans="1:17" x14ac:dyDescent="0.45">
      <c r="A8" s="37" t="s">
        <v>3</v>
      </c>
      <c r="B8" s="34">
        <v>130</v>
      </c>
      <c r="C8" s="31">
        <f t="shared" si="1"/>
        <v>0.31862745098039214</v>
      </c>
      <c r="E8" s="44" t="s">
        <v>89</v>
      </c>
      <c r="F8" s="41" t="s">
        <v>44</v>
      </c>
      <c r="G8" s="34">
        <v>172</v>
      </c>
      <c r="H8" s="107">
        <f>IF(B$51=0,0,G8/B$51)</f>
        <v>0.18594594594594593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143</v>
      </c>
      <c r="C9" s="7">
        <f t="shared" si="1"/>
        <v>0.35049019607843135</v>
      </c>
      <c r="E9" s="44" t="s">
        <v>69</v>
      </c>
      <c r="F9" s="41" t="s">
        <v>24</v>
      </c>
      <c r="G9" s="34">
        <v>169</v>
      </c>
      <c r="H9" s="107">
        <f>IF(B$51=0,0,G9/B$51)</f>
        <v>0.1827027027027027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42.57037037037037</v>
      </c>
      <c r="C10" s="121">
        <v>5747</v>
      </c>
      <c r="E10" s="44" t="s">
        <v>65</v>
      </c>
      <c r="F10" s="41" t="s">
        <v>21</v>
      </c>
      <c r="G10" s="34">
        <v>112</v>
      </c>
      <c r="H10" s="107">
        <f>IF(B$51=0,0,G10/B$51)</f>
        <v>0.12108108108108108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-5.8280991735537198</v>
      </c>
      <c r="P10" s="92">
        <v>121</v>
      </c>
      <c r="Q10" s="80">
        <v>-705.2</v>
      </c>
    </row>
    <row r="11" spans="1:17" x14ac:dyDescent="0.45">
      <c r="A11" s="38" t="s">
        <v>204</v>
      </c>
      <c r="B11" s="120">
        <f>IF(B8=0,0,C11/B8)</f>
        <v>-1.0323076923076928</v>
      </c>
      <c r="C11" s="121">
        <v>-134.20000000000007</v>
      </c>
      <c r="E11" s="44" t="s">
        <v>70</v>
      </c>
      <c r="F11" s="41" t="s">
        <v>25</v>
      </c>
      <c r="G11" s="34">
        <v>107</v>
      </c>
      <c r="H11" s="107">
        <f>IF(B$51=0,0,G11/B$51)</f>
        <v>0.11567567567567567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4.4503267973856202</v>
      </c>
      <c r="P11" s="93">
        <v>153</v>
      </c>
      <c r="Q11" s="81">
        <v>680.89999999999986</v>
      </c>
    </row>
    <row r="12" spans="1:17" x14ac:dyDescent="0.45">
      <c r="A12" s="38" t="s">
        <v>205</v>
      </c>
      <c r="B12" s="120">
        <f>IF(B9=0,0,C12/B9)</f>
        <v>-35.311888111888116</v>
      </c>
      <c r="C12" s="121">
        <v>-5049.6000000000004</v>
      </c>
      <c r="E12" s="44" t="s">
        <v>86</v>
      </c>
      <c r="F12" s="41" t="s">
        <v>41</v>
      </c>
      <c r="G12" s="34">
        <v>57</v>
      </c>
      <c r="H12" s="107">
        <f>IF(B$51=0,0,G12/B$51)</f>
        <v>6.1621621621621624E-2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5.341984732824427</v>
      </c>
      <c r="P12" s="94">
        <v>131</v>
      </c>
      <c r="Q12" s="82">
        <v>699.8</v>
      </c>
    </row>
    <row r="13" spans="1:17" x14ac:dyDescent="0.45">
      <c r="A13" s="38" t="s">
        <v>206</v>
      </c>
      <c r="B13" s="135">
        <f>AVERAGE(B10:B12)</f>
        <v>2.075391522058188</v>
      </c>
      <c r="C13" s="136"/>
      <c r="E13" s="44" t="s">
        <v>71</v>
      </c>
      <c r="F13" s="41" t="s">
        <v>26</v>
      </c>
      <c r="G13" s="34">
        <v>50</v>
      </c>
      <c r="H13" s="107">
        <f>IF(B$51=0,0,G13/B$51)</f>
        <v>5.4054054054054057E-2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54</v>
      </c>
      <c r="C14" s="32">
        <f t="shared" si="1"/>
        <v>0.13235294117647059</v>
      </c>
      <c r="E14" s="44" t="s">
        <v>83</v>
      </c>
      <c r="F14" s="41" t="s">
        <v>38</v>
      </c>
      <c r="G14" s="34">
        <v>32</v>
      </c>
      <c r="H14" s="107">
        <f>IF(B$51=0,0,G14/B$51)</f>
        <v>3.4594594594594595E-2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962</v>
      </c>
      <c r="C15" s="11">
        <f>IF(B$50=0,0,B15/B$50)</f>
        <v>0.29581795817958179</v>
      </c>
      <c r="E15" s="44" t="s">
        <v>78</v>
      </c>
      <c r="F15" s="41" t="s">
        <v>33</v>
      </c>
      <c r="G15" s="34">
        <v>27</v>
      </c>
      <c r="H15" s="107">
        <f>IF(B$51=0,0,G15/B$51)</f>
        <v>2.9189189189189189E-2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618</v>
      </c>
      <c r="C16" s="31">
        <f>IF(B$50=0,0,B16/B$50)</f>
        <v>0.1900369003690037</v>
      </c>
      <c r="E16" s="44" t="s">
        <v>91</v>
      </c>
      <c r="F16" s="41" t="s">
        <v>46</v>
      </c>
      <c r="G16" s="34">
        <v>25</v>
      </c>
      <c r="H16" s="107">
        <f>IF(B$51=0,0,G16/B$51)</f>
        <v>2.7027027027027029E-2</v>
      </c>
      <c r="I16" s="68">
        <v>4</v>
      </c>
      <c r="K16" s="5">
        <v>14</v>
      </c>
      <c r="L16" s="73">
        <v>-231</v>
      </c>
      <c r="N16" s="89" t="s">
        <v>186</v>
      </c>
      <c r="O16" s="99">
        <f>IF(P16=0,0,Q16/P16)</f>
        <v>20.027027027027028</v>
      </c>
      <c r="P16" s="93">
        <v>37</v>
      </c>
      <c r="Q16" s="81">
        <v>741</v>
      </c>
    </row>
    <row r="17" spans="1:17" x14ac:dyDescent="0.45">
      <c r="A17" s="19" t="s">
        <v>123</v>
      </c>
      <c r="B17" s="13">
        <v>542</v>
      </c>
      <c r="C17" s="4">
        <f>IF(B$15=0,0,B17/B$15)</f>
        <v>0.56340956340956339</v>
      </c>
      <c r="E17" s="44" t="s">
        <v>153</v>
      </c>
      <c r="F17" s="41" t="s">
        <v>154</v>
      </c>
      <c r="G17" s="34">
        <v>25</v>
      </c>
      <c r="H17" s="107">
        <f>IF(B$51=0,0,G17/B$51)</f>
        <v>2.7027027027027029E-2</v>
      </c>
      <c r="I17" s="68">
        <v>2</v>
      </c>
      <c r="K17" s="5">
        <v>15</v>
      </c>
      <c r="L17" s="73">
        <v>-212.5</v>
      </c>
      <c r="N17" s="89" t="s">
        <v>192</v>
      </c>
      <c r="O17" s="99">
        <f>IF(P17=0,0,Q17/P17)</f>
        <v>19.924999999999997</v>
      </c>
      <c r="P17" s="93">
        <v>4</v>
      </c>
      <c r="Q17" s="81">
        <v>79.699999999999989</v>
      </c>
    </row>
    <row r="18" spans="1:17" x14ac:dyDescent="0.45">
      <c r="A18" s="19" t="s">
        <v>124</v>
      </c>
      <c r="B18" s="13">
        <v>245</v>
      </c>
      <c r="C18" s="4">
        <f>IF(B$16=0,0,B18/B$16)</f>
        <v>0.3964401294498382</v>
      </c>
      <c r="E18" s="44" t="s">
        <v>81</v>
      </c>
      <c r="F18" s="41" t="s">
        <v>36</v>
      </c>
      <c r="G18" s="34">
        <v>20</v>
      </c>
      <c r="H18" s="107">
        <f>IF(B$51=0,0,G18/B$51)</f>
        <v>2.1621621621621623E-2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19.176470588235297</v>
      </c>
      <c r="P18" s="93">
        <v>34</v>
      </c>
      <c r="Q18" s="81">
        <v>652.00000000000011</v>
      </c>
    </row>
    <row r="19" spans="1:17" x14ac:dyDescent="0.45">
      <c r="A19" s="19" t="s">
        <v>10</v>
      </c>
      <c r="B19" s="13">
        <v>935</v>
      </c>
      <c r="C19" s="4">
        <f>IF(B$3=0,0,B19/B$3)</f>
        <v>0.28428093645484948</v>
      </c>
      <c r="E19" s="44" t="s">
        <v>79</v>
      </c>
      <c r="F19" s="41" t="s">
        <v>34</v>
      </c>
      <c r="G19" s="34">
        <v>14</v>
      </c>
      <c r="H19" s="107">
        <f>IF(B$51=0,0,G19/B$51)</f>
        <v>1.5135135135135135E-2</v>
      </c>
      <c r="I19" s="68">
        <v>10</v>
      </c>
      <c r="K19" s="5">
        <v>17</v>
      </c>
      <c r="L19" s="73">
        <v>-268.7</v>
      </c>
      <c r="N19" s="89" t="s">
        <v>188</v>
      </c>
      <c r="O19" s="99">
        <f>IF(P19=0,0,Q19/P19)</f>
        <v>15.059459459459461</v>
      </c>
      <c r="P19" s="93">
        <v>74</v>
      </c>
      <c r="Q19" s="81">
        <v>1114.4000000000001</v>
      </c>
    </row>
    <row r="20" spans="1:17" x14ac:dyDescent="0.45">
      <c r="A20" s="37" t="s">
        <v>13</v>
      </c>
      <c r="B20" s="34">
        <v>593</v>
      </c>
      <c r="C20" s="31">
        <f>IF(B$3=0,0,B20/B$3)</f>
        <v>0.18029796290665856</v>
      </c>
      <c r="E20" s="44" t="s">
        <v>92</v>
      </c>
      <c r="F20" s="41" t="s">
        <v>47</v>
      </c>
      <c r="G20" s="34">
        <v>10</v>
      </c>
      <c r="H20" s="107">
        <f>IF(B$51=0,0,G20/B$51)</f>
        <v>1.0810810810810811E-2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428</v>
      </c>
      <c r="C21" s="31">
        <f>IF(B$19=0,0,B21/B$19)</f>
        <v>0.45775401069518717</v>
      </c>
      <c r="E21" s="44" t="s">
        <v>73</v>
      </c>
      <c r="F21" s="41" t="s">
        <v>28</v>
      </c>
      <c r="G21" s="34">
        <v>9</v>
      </c>
      <c r="H21" s="107">
        <f>IF(B$51=0,0,G21/B$51)</f>
        <v>9.7297297297297292E-3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507</v>
      </c>
      <c r="C22" s="31">
        <f>IF(B$19=0,0,B22/B$19)</f>
        <v>0.54224598930481283</v>
      </c>
      <c r="E22" s="44" t="s">
        <v>75</v>
      </c>
      <c r="F22" s="41" t="s">
        <v>30</v>
      </c>
      <c r="G22" s="34">
        <v>8</v>
      </c>
      <c r="H22" s="107">
        <f>IF(B$51=0,0,G22/B$51)</f>
        <v>8.6486486486486488E-3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2.0409395973154334</v>
      </c>
      <c r="P22" s="93">
        <v>149</v>
      </c>
      <c r="Q22" s="81">
        <v>304.09999999999957</v>
      </c>
    </row>
    <row r="23" spans="1:17" x14ac:dyDescent="0.45">
      <c r="A23" s="37" t="s">
        <v>180</v>
      </c>
      <c r="B23" s="34">
        <v>542</v>
      </c>
      <c r="C23" s="31">
        <f>IF(B$19=0,0,B23/B$19)</f>
        <v>0.57967914438502677</v>
      </c>
      <c r="E23" s="44" t="s">
        <v>77</v>
      </c>
      <c r="F23" s="41" t="s">
        <v>32</v>
      </c>
      <c r="G23" s="34">
        <v>6</v>
      </c>
      <c r="H23" s="107">
        <f>IF(B$51=0,0,G23/B$51)</f>
        <v>6.4864864864864862E-3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0.54590163934426017</v>
      </c>
      <c r="P23" s="93">
        <v>122</v>
      </c>
      <c r="Q23" s="81">
        <v>66.599999999999739</v>
      </c>
    </row>
    <row r="24" spans="1:17" x14ac:dyDescent="0.45">
      <c r="A24" s="37" t="s">
        <v>178</v>
      </c>
      <c r="B24" s="34">
        <v>245</v>
      </c>
      <c r="C24" s="31">
        <f>IF(B$19=0,0,B24/B$19)</f>
        <v>0.26203208556149732</v>
      </c>
      <c r="E24" s="44" t="s">
        <v>84</v>
      </c>
      <c r="F24" s="41" t="s">
        <v>39</v>
      </c>
      <c r="G24" s="34">
        <v>6</v>
      </c>
      <c r="H24" s="107">
        <f>IF(B$51=0,0,G24/B$51)</f>
        <v>6.4864864864864862E-3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-1.3741071428571432</v>
      </c>
      <c r="P24" s="93">
        <v>112</v>
      </c>
      <c r="Q24" s="81">
        <v>-153.90000000000003</v>
      </c>
    </row>
    <row r="25" spans="1:17" x14ac:dyDescent="0.45">
      <c r="A25" s="37" t="s">
        <v>179</v>
      </c>
      <c r="B25" s="34">
        <v>148</v>
      </c>
      <c r="C25" s="31">
        <f>IF(B$19=0,0,B25/B$19)</f>
        <v>0.15828877005347594</v>
      </c>
      <c r="E25" s="44" t="s">
        <v>85</v>
      </c>
      <c r="F25" s="41" t="s">
        <v>40</v>
      </c>
      <c r="G25" s="34">
        <v>5</v>
      </c>
      <c r="H25" s="107">
        <f>IF(B$51=0,0,G25/B$51)</f>
        <v>5.4054054054054057E-3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5">
      <c r="A26" s="37" t="s">
        <v>5</v>
      </c>
      <c r="B26" s="17">
        <f>IF(B$19=0,0,C26/B$19)</f>
        <v>10588.770053475935</v>
      </c>
      <c r="C26" s="8">
        <v>9900500</v>
      </c>
      <c r="E26" s="44" t="s">
        <v>93</v>
      </c>
      <c r="F26" s="41" t="s">
        <v>48</v>
      </c>
      <c r="G26" s="34">
        <v>4</v>
      </c>
      <c r="H26" s="107">
        <f>IF(B$51=0,0,G26/B$51)</f>
        <v>4.3243243243243244E-3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-5.1413223140495861</v>
      </c>
      <c r="P26" s="93">
        <v>242</v>
      </c>
      <c r="Q26" s="81">
        <v>-1244.1999999999998</v>
      </c>
    </row>
    <row r="27" spans="1:17" x14ac:dyDescent="0.45">
      <c r="A27" s="38" t="s">
        <v>162</v>
      </c>
      <c r="B27" s="114">
        <f>IF($B$19-B$18=0,0,C27/($B$19-B$18))</f>
        <v>11297.101449275362</v>
      </c>
      <c r="C27" s="115">
        <v>7795000</v>
      </c>
      <c r="E27" s="44" t="s">
        <v>90</v>
      </c>
      <c r="F27" s="41" t="s">
        <v>45</v>
      </c>
      <c r="G27" s="34">
        <v>3</v>
      </c>
      <c r="H27" s="107">
        <f>IF(B$51=0,0,G27/B$51)</f>
        <v>3.2432432432432431E-3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8593.8775510204086</v>
      </c>
      <c r="C28" s="115">
        <v>2105500</v>
      </c>
      <c r="E28" s="44" t="s">
        <v>87</v>
      </c>
      <c r="F28" s="41" t="s">
        <v>42</v>
      </c>
      <c r="G28" s="34">
        <v>2</v>
      </c>
      <c r="H28" s="107">
        <f>IF(B$51=0,0,G28/B$51)</f>
        <v>2.1621621621621622E-3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-8690.0505902192235</v>
      </c>
      <c r="C29" s="115">
        <v>-5153200</v>
      </c>
      <c r="E29" s="44" t="s">
        <v>74</v>
      </c>
      <c r="F29" s="41" t="s">
        <v>29</v>
      </c>
      <c r="G29" s="34">
        <v>1</v>
      </c>
      <c r="H29" s="107">
        <f>IF(B$51=0,0,G29/B$51)</f>
        <v>1.0810810810810811E-3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1.0810810810810811E-3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1.0810810810810811E-3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41">
        <v>8</v>
      </c>
      <c r="C32" s="142"/>
      <c r="E32" s="44" t="s">
        <v>97</v>
      </c>
      <c r="F32" s="41" t="s">
        <v>52</v>
      </c>
      <c r="G32" s="34">
        <v>1</v>
      </c>
      <c r="H32" s="107">
        <f>IF(B$51=0,0,G32/B$51)</f>
        <v>1.0810810810810811E-3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9">
        <v>124700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11</v>
      </c>
      <c r="C34" s="32">
        <f>IF(B$3=0,0,B34/B$3)</f>
        <v>3.3444816053511705E-3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3">
        <v>30</v>
      </c>
      <c r="C36" s="119">
        <f>IF(B$19=0,0,B36/B$19)</f>
        <v>3.2085561497326207E-2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93</v>
      </c>
      <c r="C37" s="31">
        <f t="shared" ref="C37:C48" si="2">IF(B$19=0,0,B37/B$19)</f>
        <v>9.9465240641711236E-2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6">
        <v>139</v>
      </c>
      <c r="C38" s="31">
        <f>IF(B$19=0,0,B38/B$19)</f>
        <v>0.14866310160427806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6">
        <v>180</v>
      </c>
      <c r="C39" s="31">
        <f t="shared" si="2"/>
        <v>0.19251336898395721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6">
        <v>175</v>
      </c>
      <c r="C40" s="31">
        <f t="shared" si="2"/>
        <v>0.18716577540106952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6">
        <v>114</v>
      </c>
      <c r="C41" s="31">
        <f t="shared" si="2"/>
        <v>0.12192513368983957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6">
        <v>71</v>
      </c>
      <c r="C42" s="31">
        <f t="shared" si="2"/>
        <v>7.5935828877005354E-2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6">
        <v>48</v>
      </c>
      <c r="C43" s="31">
        <f t="shared" si="2"/>
        <v>5.1336898395721926E-2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6">
        <v>32</v>
      </c>
      <c r="C44" s="31">
        <f t="shared" si="2"/>
        <v>3.4224598930481284E-2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6">
        <v>12</v>
      </c>
      <c r="C45" s="31">
        <f t="shared" si="2"/>
        <v>1.2834224598930482E-2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6">
        <v>8</v>
      </c>
      <c r="C46" s="31">
        <f t="shared" si="2"/>
        <v>8.5561497326203211E-3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6">
        <v>3</v>
      </c>
      <c r="C47" s="31">
        <f t="shared" si="2"/>
        <v>3.2085561497326204E-3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2">
        <v>20</v>
      </c>
      <c r="C48" s="32">
        <f t="shared" si="2"/>
        <v>2.1390374331550801E-2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29">
        <v>3252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37">
        <v>925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81420-7EED-4C90-98CB-A9D8A0AF65A0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1">
        <v>69</v>
      </c>
      <c r="C3" s="13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3">
        <v>109</v>
      </c>
      <c r="C4" s="13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5">
        <f>IF(B$2=0,0,B$4/B$2)</f>
        <v>12.111111111111111</v>
      </c>
      <c r="C5" s="136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3">
        <f>IF(B$2=0,0,(B$7*1+B$8*2+B$9*3)/B$2)</f>
        <v>1.6666666666666667</v>
      </c>
      <c r="C6" s="144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5">
        <f>AVERAGE(B10:B12)</f>
        <v>1.0266666666666648</v>
      </c>
      <c r="C13" s="136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78000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24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F46B-4A4A-4F27-B7A9-96319DFF53A3}">
  <sheetPr codeName="Sheet15"/>
  <dimension ref="A1:Q33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328</v>
      </c>
      <c r="C2" s="130"/>
      <c r="E2" s="43" t="s">
        <v>66</v>
      </c>
      <c r="F2" s="25" t="s">
        <v>22</v>
      </c>
      <c r="G2" s="13">
        <v>481</v>
      </c>
      <c r="H2" s="106">
        <f>IF(B$51=0,0,G2/B$51)</f>
        <v>0.67842031029619176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-204.57317073170731</v>
      </c>
      <c r="P2" s="92">
        <v>328</v>
      </c>
      <c r="Q2" s="76">
        <v>-67100</v>
      </c>
    </row>
    <row r="3" spans="1:17" x14ac:dyDescent="0.45">
      <c r="A3" s="37" t="s">
        <v>8</v>
      </c>
      <c r="B3" s="131">
        <v>2673</v>
      </c>
      <c r="C3" s="132"/>
      <c r="E3" s="44" t="s">
        <v>72</v>
      </c>
      <c r="F3" s="41" t="s">
        <v>27</v>
      </c>
      <c r="G3" s="34">
        <v>375</v>
      </c>
      <c r="H3" s="107">
        <f>IF(B$51=0,0,G3/B$51)</f>
        <v>0.52891396332863183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710.28037383177571</v>
      </c>
      <c r="P3" s="93">
        <v>321</v>
      </c>
      <c r="Q3" s="77">
        <v>228000</v>
      </c>
    </row>
    <row r="4" spans="1:17" x14ac:dyDescent="0.45">
      <c r="A4" s="37" t="s">
        <v>6</v>
      </c>
      <c r="B4" s="133">
        <v>-479</v>
      </c>
      <c r="C4" s="134"/>
      <c r="E4" s="44" t="s">
        <v>64</v>
      </c>
      <c r="F4" s="41" t="s">
        <v>20</v>
      </c>
      <c r="G4" s="34">
        <v>362</v>
      </c>
      <c r="H4" s="107">
        <f>IF(B$51=0,0,G4/B$51)</f>
        <v>0.51057827926657262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-514.38127090300998</v>
      </c>
      <c r="P4" s="93">
        <v>299</v>
      </c>
      <c r="Q4" s="77">
        <v>-153800</v>
      </c>
    </row>
    <row r="5" spans="1:17" x14ac:dyDescent="0.45">
      <c r="A5" s="37" t="s">
        <v>7</v>
      </c>
      <c r="B5" s="135">
        <f>IF(B$2=0,0,B$4/B$2)</f>
        <v>-1.4603658536585367</v>
      </c>
      <c r="C5" s="136"/>
      <c r="E5" s="44" t="s">
        <v>157</v>
      </c>
      <c r="F5" s="41" t="s">
        <v>158</v>
      </c>
      <c r="G5" s="34">
        <v>289</v>
      </c>
      <c r="H5" s="107">
        <f>IF(B$51=0,0,G5/B$51)</f>
        <v>0.40761636107193228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-202.53623188405797</v>
      </c>
      <c r="P5" s="93">
        <v>276</v>
      </c>
      <c r="Q5" s="77">
        <v>-55900</v>
      </c>
    </row>
    <row r="6" spans="1:17" x14ac:dyDescent="0.45">
      <c r="A6" s="37" t="s">
        <v>1</v>
      </c>
      <c r="B6" s="143">
        <f>IF(B$2=0,0,(B$7*1+B$8*2+B$9*3)/B$2)</f>
        <v>2.0609756097560976</v>
      </c>
      <c r="C6" s="144"/>
      <c r="E6" s="44" t="s">
        <v>67</v>
      </c>
      <c r="F6" s="41" t="s">
        <v>23</v>
      </c>
      <c r="G6" s="34">
        <v>235</v>
      </c>
      <c r="H6" s="107">
        <f>IF(B$51=0,0,G6/B$51)</f>
        <v>0.33145275035260929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-969.6</v>
      </c>
      <c r="P6" s="93">
        <v>250</v>
      </c>
      <c r="Q6" s="77">
        <v>-242400</v>
      </c>
    </row>
    <row r="7" spans="1:17" x14ac:dyDescent="0.45">
      <c r="A7" s="37" t="s">
        <v>2</v>
      </c>
      <c r="B7" s="34">
        <v>91</v>
      </c>
      <c r="C7" s="31">
        <f t="shared" ref="C7:C14" si="1">IF(B$2=0,0,B7/B$2)</f>
        <v>0.27743902439024393</v>
      </c>
      <c r="E7" s="44" t="s">
        <v>68</v>
      </c>
      <c r="F7" s="41" t="s">
        <v>12</v>
      </c>
      <c r="G7" s="34">
        <v>224</v>
      </c>
      <c r="H7" s="107">
        <f>IF(B$51=0,0,G7/B$51)</f>
        <v>0.31593794076163612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-348.8038277511962</v>
      </c>
      <c r="P7" s="94">
        <v>209</v>
      </c>
      <c r="Q7" s="78">
        <v>-72900</v>
      </c>
    </row>
    <row r="8" spans="1:17" x14ac:dyDescent="0.45">
      <c r="A8" s="37" t="s">
        <v>3</v>
      </c>
      <c r="B8" s="34">
        <v>126</v>
      </c>
      <c r="C8" s="31">
        <f t="shared" si="1"/>
        <v>0.38414634146341464</v>
      </c>
      <c r="E8" s="44" t="s">
        <v>69</v>
      </c>
      <c r="F8" s="41" t="s">
        <v>24</v>
      </c>
      <c r="G8" s="34">
        <v>96</v>
      </c>
      <c r="H8" s="107">
        <f>IF(B$51=0,0,G8/B$51)</f>
        <v>0.13540197461212977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111</v>
      </c>
      <c r="C9" s="7">
        <f t="shared" si="1"/>
        <v>0.33841463414634149</v>
      </c>
      <c r="E9" s="44" t="s">
        <v>89</v>
      </c>
      <c r="F9" s="41" t="s">
        <v>44</v>
      </c>
      <c r="G9" s="34">
        <v>93</v>
      </c>
      <c r="H9" s="107">
        <f>IF(B$51=0,0,G9/B$51)</f>
        <v>0.1311706629055007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40.450549450549453</v>
      </c>
      <c r="C10" s="121">
        <v>3681.0000000000005</v>
      </c>
      <c r="E10" s="44" t="s">
        <v>65</v>
      </c>
      <c r="F10" s="41" t="s">
        <v>21</v>
      </c>
      <c r="G10" s="34">
        <v>67</v>
      </c>
      <c r="H10" s="107">
        <f>IF(B$51=0,0,G10/B$51)</f>
        <v>9.4499294781382234E-2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-4.238211382113823</v>
      </c>
      <c r="P10" s="92">
        <v>123</v>
      </c>
      <c r="Q10" s="80">
        <v>-521.30000000000018</v>
      </c>
    </row>
    <row r="11" spans="1:17" x14ac:dyDescent="0.45">
      <c r="A11" s="38" t="s">
        <v>204</v>
      </c>
      <c r="B11" s="120">
        <f>IF(B8=0,0,C11/B8)</f>
        <v>0.22857142857142862</v>
      </c>
      <c r="C11" s="121">
        <v>28.800000000000008</v>
      </c>
      <c r="E11" s="44" t="s">
        <v>71</v>
      </c>
      <c r="F11" s="41" t="s">
        <v>26</v>
      </c>
      <c r="G11" s="34">
        <v>61</v>
      </c>
      <c r="H11" s="107">
        <f>IF(B$51=0,0,G11/B$51)</f>
        <v>8.6036671368124124E-2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-0.1825242718446603</v>
      </c>
      <c r="P11" s="93">
        <v>103</v>
      </c>
      <c r="Q11" s="81">
        <v>-18.800000000000011</v>
      </c>
    </row>
    <row r="12" spans="1:17" x14ac:dyDescent="0.45">
      <c r="A12" s="38" t="s">
        <v>205</v>
      </c>
      <c r="B12" s="120">
        <f>IF(B9=0,0,C12/B9)</f>
        <v>-37.736936936936928</v>
      </c>
      <c r="C12" s="121">
        <v>-4188.7999999999993</v>
      </c>
      <c r="E12" s="44" t="s">
        <v>70</v>
      </c>
      <c r="F12" s="41" t="s">
        <v>25</v>
      </c>
      <c r="G12" s="34">
        <v>58</v>
      </c>
      <c r="H12" s="107">
        <f>IF(B$51=0,0,G12/B$51)</f>
        <v>8.1805359661495061E-2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0.5990196078431369</v>
      </c>
      <c r="P12" s="94">
        <v>102</v>
      </c>
      <c r="Q12" s="82">
        <v>61.099999999999966</v>
      </c>
    </row>
    <row r="13" spans="1:17" x14ac:dyDescent="0.45">
      <c r="A13" s="38" t="s">
        <v>206</v>
      </c>
      <c r="B13" s="135">
        <f>AVERAGE(B10:B12)</f>
        <v>0.98072798072798406</v>
      </c>
      <c r="C13" s="136"/>
      <c r="E13" s="44" t="s">
        <v>83</v>
      </c>
      <c r="F13" s="41" t="s">
        <v>38</v>
      </c>
      <c r="G13" s="34">
        <v>40</v>
      </c>
      <c r="H13" s="107">
        <f>IF(B$51=0,0,G13/B$51)</f>
        <v>5.6417489421720736E-2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39</v>
      </c>
      <c r="C14" s="32">
        <f t="shared" si="1"/>
        <v>0.11890243902439024</v>
      </c>
      <c r="E14" s="44" t="s">
        <v>86</v>
      </c>
      <c r="F14" s="41" t="s">
        <v>41</v>
      </c>
      <c r="G14" s="34">
        <v>37</v>
      </c>
      <c r="H14" s="107">
        <f>IF(B$51=0,0,G14/B$51)</f>
        <v>5.2186177715091681E-2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650</v>
      </c>
      <c r="C15" s="11">
        <f>IF(B$50=0,0,B15/B$50)</f>
        <v>0.24317246539468762</v>
      </c>
      <c r="E15" s="44" t="s">
        <v>78</v>
      </c>
      <c r="F15" s="41" t="s">
        <v>33</v>
      </c>
      <c r="G15" s="34">
        <v>20</v>
      </c>
      <c r="H15" s="107">
        <f>IF(B$51=0,0,G15/B$51)</f>
        <v>2.8208744710860368E-2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606</v>
      </c>
      <c r="C16" s="31">
        <f>IF(B$50=0,0,B16/B$50)</f>
        <v>0.22671156004489337</v>
      </c>
      <c r="E16" s="44" t="s">
        <v>81</v>
      </c>
      <c r="F16" s="41" t="s">
        <v>36</v>
      </c>
      <c r="G16" s="34">
        <v>15</v>
      </c>
      <c r="H16" s="107">
        <f>IF(B$51=0,0,G16/B$51)</f>
        <v>2.1156558533145273E-2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25.71764705882353</v>
      </c>
      <c r="P16" s="93">
        <v>34</v>
      </c>
      <c r="Q16" s="81">
        <v>874.4</v>
      </c>
    </row>
    <row r="17" spans="1:17" x14ac:dyDescent="0.45">
      <c r="A17" s="19" t="s">
        <v>123</v>
      </c>
      <c r="B17" s="13">
        <v>369</v>
      </c>
      <c r="C17" s="4">
        <f>IF(B$15=0,0,B17/B$15)</f>
        <v>0.56769230769230772</v>
      </c>
      <c r="E17" s="44" t="s">
        <v>91</v>
      </c>
      <c r="F17" s="41" t="s">
        <v>46</v>
      </c>
      <c r="G17" s="34">
        <v>15</v>
      </c>
      <c r="H17" s="107">
        <f>IF(B$51=0,0,G17/B$51)</f>
        <v>2.1156558533145273E-2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229</v>
      </c>
      <c r="C18" s="4">
        <f>IF(B$16=0,0,B18/B$16)</f>
        <v>0.37788778877887791</v>
      </c>
      <c r="E18" s="44" t="s">
        <v>79</v>
      </c>
      <c r="F18" s="41" t="s">
        <v>34</v>
      </c>
      <c r="G18" s="34">
        <v>13</v>
      </c>
      <c r="H18" s="107">
        <f>IF(B$51=0,0,G18/B$51)</f>
        <v>1.8335684062059238E-2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709</v>
      </c>
      <c r="C19" s="4">
        <f>IF(B$3=0,0,B19/B$3)</f>
        <v>0.26524504302282081</v>
      </c>
      <c r="E19" s="44" t="s">
        <v>85</v>
      </c>
      <c r="F19" s="41" t="s">
        <v>40</v>
      </c>
      <c r="G19" s="34">
        <v>10</v>
      </c>
      <c r="H19" s="107">
        <f>IF(B$51=0,0,G19/B$51)</f>
        <v>1.4104372355430184E-2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394</v>
      </c>
      <c r="C20" s="31">
        <f>IF(B$3=0,0,B20/B$3)</f>
        <v>0.14739992517770295</v>
      </c>
      <c r="E20" s="44" t="s">
        <v>153</v>
      </c>
      <c r="F20" s="41" t="s">
        <v>154</v>
      </c>
      <c r="G20" s="34">
        <v>7</v>
      </c>
      <c r="H20" s="107">
        <f>IF(B$51=0,0,G20/B$51)</f>
        <v>9.8730606488011286E-3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5">
      <c r="A21" s="37" t="s">
        <v>12</v>
      </c>
      <c r="B21" s="34">
        <v>315</v>
      </c>
      <c r="C21" s="31">
        <f>IF(B$19=0,0,B21/B$19)</f>
        <v>0.44428772919605075</v>
      </c>
      <c r="E21" s="44" t="s">
        <v>73</v>
      </c>
      <c r="F21" s="41" t="s">
        <v>28</v>
      </c>
      <c r="G21" s="34">
        <v>5</v>
      </c>
      <c r="H21" s="107">
        <f>IF(B$51=0,0,G21/B$51)</f>
        <v>7.052186177715092E-3</v>
      </c>
      <c r="I21" s="68">
        <v>5</v>
      </c>
      <c r="K21" s="5">
        <v>19</v>
      </c>
      <c r="L21" s="73">
        <v>-60</v>
      </c>
      <c r="N21" s="89" t="s">
        <v>190</v>
      </c>
      <c r="O21" s="99">
        <f>IF(P21=0,0,Q21/P21)</f>
        <v>3.6046153846153852</v>
      </c>
      <c r="P21" s="93">
        <v>65</v>
      </c>
      <c r="Q21" s="81">
        <v>234.30000000000004</v>
      </c>
    </row>
    <row r="22" spans="1:17" x14ac:dyDescent="0.45">
      <c r="A22" s="37" t="s">
        <v>11</v>
      </c>
      <c r="B22" s="34">
        <v>394</v>
      </c>
      <c r="C22" s="31">
        <f>IF(B$19=0,0,B22/B$19)</f>
        <v>0.55571227080394925</v>
      </c>
      <c r="E22" s="44" t="s">
        <v>75</v>
      </c>
      <c r="F22" s="41" t="s">
        <v>30</v>
      </c>
      <c r="G22" s="34">
        <v>5</v>
      </c>
      <c r="H22" s="107">
        <f>IF(B$51=0,0,G22/B$51)</f>
        <v>7.052186177715092E-3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369</v>
      </c>
      <c r="C23" s="31">
        <f>IF(B$19=0,0,B23/B$19)</f>
        <v>0.52045133991537373</v>
      </c>
      <c r="E23" s="44" t="s">
        <v>92</v>
      </c>
      <c r="F23" s="41" t="s">
        <v>47</v>
      </c>
      <c r="G23" s="34">
        <v>5</v>
      </c>
      <c r="H23" s="107">
        <f>IF(B$51=0,0,G23/B$51)</f>
        <v>7.052186177715092E-3</v>
      </c>
      <c r="I23" s="68">
        <v>4</v>
      </c>
      <c r="K23" s="5">
        <v>21</v>
      </c>
      <c r="L23" s="73">
        <v>-125.80000000000001</v>
      </c>
      <c r="N23" s="89" t="s">
        <v>193</v>
      </c>
      <c r="O23" s="99">
        <f>IF(P23=0,0,Q23/P23)</f>
        <v>0.1549999999999995</v>
      </c>
      <c r="P23" s="93">
        <v>140</v>
      </c>
      <c r="Q23" s="81">
        <v>21.699999999999932</v>
      </c>
    </row>
    <row r="24" spans="1:17" x14ac:dyDescent="0.45">
      <c r="A24" s="37" t="s">
        <v>178</v>
      </c>
      <c r="B24" s="34">
        <v>229</v>
      </c>
      <c r="C24" s="31">
        <f>IF(B$19=0,0,B24/B$19)</f>
        <v>0.3229901269393512</v>
      </c>
      <c r="E24" s="44" t="s">
        <v>74</v>
      </c>
      <c r="F24" s="41" t="s">
        <v>29</v>
      </c>
      <c r="G24" s="34">
        <v>3</v>
      </c>
      <c r="H24" s="107">
        <f>IF(B$51=0,0,G24/B$51)</f>
        <v>4.2313117066290554E-3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-0.54590163934425917</v>
      </c>
      <c r="P24" s="93">
        <v>122</v>
      </c>
      <c r="Q24" s="81">
        <v>-66.599999999999625</v>
      </c>
    </row>
    <row r="25" spans="1:17" x14ac:dyDescent="0.45">
      <c r="A25" s="37" t="s">
        <v>179</v>
      </c>
      <c r="B25" s="34">
        <v>111</v>
      </c>
      <c r="C25" s="31">
        <f>IF(B$19=0,0,B25/B$19)</f>
        <v>0.15655853314527504</v>
      </c>
      <c r="E25" s="44" t="s">
        <v>77</v>
      </c>
      <c r="F25" s="41" t="s">
        <v>32</v>
      </c>
      <c r="G25" s="34">
        <v>3</v>
      </c>
      <c r="H25" s="107">
        <f>IF(B$51=0,0,G25/B$51)</f>
        <v>4.2313117066290554E-3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-2.4000000000000004</v>
      </c>
      <c r="P25" s="93">
        <v>74</v>
      </c>
      <c r="Q25" s="81">
        <v>-177.60000000000002</v>
      </c>
    </row>
    <row r="26" spans="1:17" x14ac:dyDescent="0.45">
      <c r="A26" s="37" t="s">
        <v>5</v>
      </c>
      <c r="B26" s="17">
        <f>IF(B$19=0,0,C26/B$19)</f>
        <v>8650.9167842031038</v>
      </c>
      <c r="C26" s="8">
        <v>6133500</v>
      </c>
      <c r="E26" s="44" t="s">
        <v>88</v>
      </c>
      <c r="F26" s="41" t="s">
        <v>43</v>
      </c>
      <c r="G26" s="34">
        <v>2</v>
      </c>
      <c r="H26" s="107">
        <f>IF(B$51=0,0,G26/B$51)</f>
        <v>2.8208744710860366E-3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-17.793788819875779</v>
      </c>
      <c r="P26" s="93">
        <v>161</v>
      </c>
      <c r="Q26" s="81">
        <v>-2864.8</v>
      </c>
    </row>
    <row r="27" spans="1:17" x14ac:dyDescent="0.45">
      <c r="A27" s="38" t="s">
        <v>162</v>
      </c>
      <c r="B27" s="114">
        <f>IF($B$19-B$18=0,0,C27/($B$19-B$18))</f>
        <v>9453.125</v>
      </c>
      <c r="C27" s="115">
        <v>4537500</v>
      </c>
      <c r="E27" s="44" t="s">
        <v>90</v>
      </c>
      <c r="F27" s="41" t="s">
        <v>45</v>
      </c>
      <c r="G27" s="34">
        <v>2</v>
      </c>
      <c r="H27" s="107">
        <f>IF(B$51=0,0,G27/B$51)</f>
        <v>2.8208744710860366E-3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5">
      <c r="A28" s="38" t="s">
        <v>163</v>
      </c>
      <c r="B28" s="114">
        <f>IF(B$18=0,0,C28/B$18)</f>
        <v>6969.4323144104801</v>
      </c>
      <c r="C28" s="115">
        <v>1596000</v>
      </c>
      <c r="E28" s="44" t="s">
        <v>93</v>
      </c>
      <c r="F28" s="41" t="s">
        <v>48</v>
      </c>
      <c r="G28" s="34">
        <v>2</v>
      </c>
      <c r="H28" s="107">
        <f>IF(B$51=0,0,G28/B$51)</f>
        <v>2.8208744710860366E-3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-7370.0507614213202</v>
      </c>
      <c r="C29" s="115">
        <v>-2903800</v>
      </c>
      <c r="E29" s="44" t="s">
        <v>101</v>
      </c>
      <c r="F29" s="41" t="s">
        <v>56</v>
      </c>
      <c r="G29" s="34">
        <v>2</v>
      </c>
      <c r="H29" s="107">
        <f>IF(B$51=0,0,G29/B$51)</f>
        <v>2.8208744710860366E-3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1.4104372355430183E-3</v>
      </c>
      <c r="I30" s="68">
        <v>8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41">
        <v>8</v>
      </c>
      <c r="C32" s="142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9">
        <v>103000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2.6187803965581741E-3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3">
        <v>50</v>
      </c>
      <c r="C36" s="119">
        <f>IF(B$19=0,0,B36/B$19)</f>
        <v>7.0521861777150918E-2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114</v>
      </c>
      <c r="C37" s="31">
        <f t="shared" ref="C37:C48" si="2">IF(B$19=0,0,B37/B$19)</f>
        <v>0.16078984485190409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6">
        <v>131</v>
      </c>
      <c r="C38" s="31">
        <f>IF(B$19=0,0,B38/B$19)</f>
        <v>0.18476727785613539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6">
        <v>130</v>
      </c>
      <c r="C39" s="31">
        <f t="shared" si="2"/>
        <v>0.18335684062059238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6">
        <v>111</v>
      </c>
      <c r="C40" s="31">
        <f t="shared" si="2"/>
        <v>0.15655853314527504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6">
        <v>76</v>
      </c>
      <c r="C41" s="31">
        <f t="shared" si="2"/>
        <v>0.10719322990126939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6">
        <v>42</v>
      </c>
      <c r="C42" s="31">
        <f t="shared" si="2"/>
        <v>5.9238363892806768E-2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6">
        <v>19</v>
      </c>
      <c r="C43" s="31">
        <f t="shared" si="2"/>
        <v>2.6798307475317348E-2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6">
        <v>14</v>
      </c>
      <c r="C44" s="31">
        <f t="shared" si="2"/>
        <v>1.9746121297602257E-2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6">
        <v>9</v>
      </c>
      <c r="C45" s="31">
        <f t="shared" si="2"/>
        <v>1.2693935119887164E-2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6">
        <v>2</v>
      </c>
      <c r="C46" s="31">
        <f t="shared" si="2"/>
        <v>2.8208744710860366E-3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6">
        <v>2</v>
      </c>
      <c r="C47" s="31">
        <f t="shared" si="2"/>
        <v>2.8208744710860366E-3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2">
        <v>9</v>
      </c>
      <c r="C48" s="32">
        <f t="shared" si="2"/>
        <v>1.2693935119887164E-2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29">
        <v>2673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37">
        <v>709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F895C-CC73-4A6A-BA60-DBE7E32720BF}">
  <sheetPr codeName="Sheet16"/>
  <dimension ref="A1:Q11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109</v>
      </c>
      <c r="C2" s="130"/>
      <c r="E2" s="43" t="s">
        <v>66</v>
      </c>
      <c r="F2" s="25" t="s">
        <v>22</v>
      </c>
      <c r="G2" s="13">
        <v>175</v>
      </c>
      <c r="H2" s="106">
        <f>IF(B$51=0,0,G2/B$51)</f>
        <v>0.71138211382113825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-2530.8411214953271</v>
      </c>
      <c r="P2" s="92">
        <v>107</v>
      </c>
      <c r="Q2" s="76">
        <v>-270800</v>
      </c>
    </row>
    <row r="3" spans="1:17" x14ac:dyDescent="0.45">
      <c r="A3" s="37" t="s">
        <v>8</v>
      </c>
      <c r="B3" s="131">
        <v>945</v>
      </c>
      <c r="C3" s="132"/>
      <c r="E3" s="44" t="s">
        <v>64</v>
      </c>
      <c r="F3" s="41" t="s">
        <v>20</v>
      </c>
      <c r="G3" s="34">
        <v>120</v>
      </c>
      <c r="H3" s="107">
        <f>IF(B$51=0,0,G3/B$51)</f>
        <v>0.48780487804878048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-653.77358490566041</v>
      </c>
      <c r="P3" s="93">
        <v>106</v>
      </c>
      <c r="Q3" s="77">
        <v>-69300</v>
      </c>
    </row>
    <row r="4" spans="1:17" x14ac:dyDescent="0.45">
      <c r="A4" s="37" t="s">
        <v>6</v>
      </c>
      <c r="B4" s="133">
        <v>-973.6</v>
      </c>
      <c r="C4" s="134"/>
      <c r="E4" s="44" t="s">
        <v>72</v>
      </c>
      <c r="F4" s="41" t="s">
        <v>27</v>
      </c>
      <c r="G4" s="34">
        <v>113</v>
      </c>
      <c r="H4" s="107">
        <f>IF(B$51=0,0,G4/B$51)</f>
        <v>0.45934959349593496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-1280.1980198019803</v>
      </c>
      <c r="P4" s="93">
        <v>101</v>
      </c>
      <c r="Q4" s="77">
        <v>-129300</v>
      </c>
    </row>
    <row r="5" spans="1:17" x14ac:dyDescent="0.45">
      <c r="A5" s="37" t="s">
        <v>7</v>
      </c>
      <c r="B5" s="135">
        <f>IF(B$2=0,0,B$4/B$2)</f>
        <v>-8.9321100917431195</v>
      </c>
      <c r="C5" s="136"/>
      <c r="E5" s="44" t="s">
        <v>68</v>
      </c>
      <c r="F5" s="41" t="s">
        <v>12</v>
      </c>
      <c r="G5" s="34">
        <v>101</v>
      </c>
      <c r="H5" s="107">
        <f>IF(B$51=0,0,G5/B$51)</f>
        <v>0.41056910569105692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-3147.3118279569894</v>
      </c>
      <c r="P5" s="93">
        <v>93</v>
      </c>
      <c r="Q5" s="77">
        <v>-292700</v>
      </c>
    </row>
    <row r="6" spans="1:17" x14ac:dyDescent="0.45">
      <c r="A6" s="37" t="s">
        <v>1</v>
      </c>
      <c r="B6" s="143">
        <f>IF(B$2=0,0,(B$7*1+B$8*2+B$9*3)/B$2)</f>
        <v>2.1559633027522938</v>
      </c>
      <c r="C6" s="144"/>
      <c r="E6" s="44" t="s">
        <v>157</v>
      </c>
      <c r="F6" s="41" t="s">
        <v>158</v>
      </c>
      <c r="G6" s="34">
        <v>90</v>
      </c>
      <c r="H6" s="107">
        <f>IF(B$51=0,0,G6/B$51)</f>
        <v>0.36585365853658536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867.07317073170736</v>
      </c>
      <c r="P6" s="93">
        <v>82</v>
      </c>
      <c r="Q6" s="77">
        <v>71100</v>
      </c>
    </row>
    <row r="7" spans="1:17" x14ac:dyDescent="0.45">
      <c r="A7" s="37" t="s">
        <v>2</v>
      </c>
      <c r="B7" s="34">
        <v>30</v>
      </c>
      <c r="C7" s="31">
        <f t="shared" ref="C7:C14" si="1">IF(B$2=0,0,B7/B$2)</f>
        <v>0.27522935779816515</v>
      </c>
      <c r="E7" s="44" t="s">
        <v>67</v>
      </c>
      <c r="F7" s="41" t="s">
        <v>23</v>
      </c>
      <c r="G7" s="34">
        <v>51</v>
      </c>
      <c r="H7" s="107">
        <f>IF(B$51=0,0,G7/B$51)</f>
        <v>0.2073170731707317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-184.93150684931507</v>
      </c>
      <c r="P7" s="94">
        <v>73</v>
      </c>
      <c r="Q7" s="78">
        <v>-13500</v>
      </c>
    </row>
    <row r="8" spans="1:17" x14ac:dyDescent="0.45">
      <c r="A8" s="37" t="s">
        <v>3</v>
      </c>
      <c r="B8" s="34">
        <v>32</v>
      </c>
      <c r="C8" s="31">
        <f t="shared" si="1"/>
        <v>0.29357798165137616</v>
      </c>
      <c r="E8" s="44" t="s">
        <v>69</v>
      </c>
      <c r="F8" s="41" t="s">
        <v>24</v>
      </c>
      <c r="G8" s="34">
        <v>37</v>
      </c>
      <c r="H8" s="107">
        <f>IF(B$51=0,0,G8/B$51)</f>
        <v>0.15040650406504066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47</v>
      </c>
      <c r="C9" s="7">
        <f t="shared" si="1"/>
        <v>0.43119266055045874</v>
      </c>
      <c r="E9" s="44" t="s">
        <v>70</v>
      </c>
      <c r="F9" s="41" t="s">
        <v>25</v>
      </c>
      <c r="G9" s="34">
        <v>29</v>
      </c>
      <c r="H9" s="107">
        <f>IF(B$51=0,0,G9/B$51)</f>
        <v>0.11788617886178862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0.11382113821138211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-12.611111111111111</v>
      </c>
      <c r="P10" s="92">
        <v>36</v>
      </c>
      <c r="Q10" s="80">
        <v>-454</v>
      </c>
    </row>
    <row r="11" spans="1:17" x14ac:dyDescent="0.45">
      <c r="A11" s="38" t="s">
        <v>204</v>
      </c>
      <c r="B11" s="120">
        <f>IF(B8=0,0,C11/B8)</f>
        <v>-3.0562499999999999</v>
      </c>
      <c r="C11" s="121">
        <v>-97.8</v>
      </c>
      <c r="E11" s="44" t="s">
        <v>65</v>
      </c>
      <c r="F11" s="41" t="s">
        <v>21</v>
      </c>
      <c r="G11" s="34">
        <v>21</v>
      </c>
      <c r="H11" s="107">
        <f>IF(B$51=0,0,G11/B$51)</f>
        <v>8.5365853658536592E-2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5">
      <c r="A12" s="38" t="s">
        <v>205</v>
      </c>
      <c r="B12" s="120">
        <f>IF(B9=0,0,C12/B9)</f>
        <v>-41.929787234042557</v>
      </c>
      <c r="C12" s="121">
        <v>-1970.7</v>
      </c>
      <c r="E12" s="44" t="s">
        <v>71</v>
      </c>
      <c r="F12" s="41" t="s">
        <v>26</v>
      </c>
      <c r="G12" s="34">
        <v>14</v>
      </c>
      <c r="H12" s="107">
        <f>IF(B$51=0,0,G12/B$51)</f>
        <v>5.6910569105691054E-2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-6.8</v>
      </c>
      <c r="P12" s="94">
        <v>30</v>
      </c>
      <c r="Q12" s="82">
        <v>-204</v>
      </c>
    </row>
    <row r="13" spans="1:17" x14ac:dyDescent="0.45">
      <c r="A13" s="38" t="s">
        <v>206</v>
      </c>
      <c r="B13" s="135">
        <f>AVERAGE(B10:B12)</f>
        <v>-2.8297901891252955</v>
      </c>
      <c r="C13" s="136"/>
      <c r="E13" s="44" t="s">
        <v>86</v>
      </c>
      <c r="F13" s="41" t="s">
        <v>41</v>
      </c>
      <c r="G13" s="34">
        <v>13</v>
      </c>
      <c r="H13" s="107">
        <f>IF(B$51=0,0,G13/B$51)</f>
        <v>5.2845528455284556E-2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0.19266055045871561</v>
      </c>
      <c r="E14" s="44" t="s">
        <v>78</v>
      </c>
      <c r="F14" s="41" t="s">
        <v>33</v>
      </c>
      <c r="G14" s="34">
        <v>9</v>
      </c>
      <c r="H14" s="107">
        <f>IF(B$51=0,0,G14/B$51)</f>
        <v>3.6585365853658534E-2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225</v>
      </c>
      <c r="C15" s="11">
        <f>IF(B$50=0,0,B15/B$50)</f>
        <v>0.23809523809523808</v>
      </c>
      <c r="E15" s="44" t="s">
        <v>83</v>
      </c>
      <c r="F15" s="41" t="s">
        <v>38</v>
      </c>
      <c r="G15" s="34">
        <v>7</v>
      </c>
      <c r="H15" s="107">
        <f>IF(B$51=0,0,G15/B$51)</f>
        <v>2.8455284552845527E-2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187</v>
      </c>
      <c r="C16" s="31">
        <f>IF(B$50=0,0,B16/B$50)</f>
        <v>0.19788359788359788</v>
      </c>
      <c r="E16" s="44" t="s">
        <v>153</v>
      </c>
      <c r="F16" s="41" t="s">
        <v>154</v>
      </c>
      <c r="G16" s="34">
        <v>5</v>
      </c>
      <c r="H16" s="107">
        <f>IF(B$51=0,0,G16/B$51)</f>
        <v>2.032520325203252E-2</v>
      </c>
      <c r="I16" s="68">
        <v>4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124</v>
      </c>
      <c r="C17" s="4">
        <f>IF(B$15=0,0,B17/B$15)</f>
        <v>0.55111111111111111</v>
      </c>
      <c r="E17" s="44" t="s">
        <v>79</v>
      </c>
      <c r="F17" s="41" t="s">
        <v>34</v>
      </c>
      <c r="G17" s="34">
        <v>4</v>
      </c>
      <c r="H17" s="107">
        <f>IF(B$51=0,0,G17/B$51)</f>
        <v>1.6260162601626018E-2</v>
      </c>
      <c r="I17" s="68">
        <v>9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61</v>
      </c>
      <c r="C18" s="4">
        <f>IF(B$16=0,0,B18/B$16)</f>
        <v>0.32620320855614976</v>
      </c>
      <c r="E18" s="44" t="s">
        <v>73</v>
      </c>
      <c r="F18" s="41" t="s">
        <v>28</v>
      </c>
      <c r="G18" s="34">
        <v>3</v>
      </c>
      <c r="H18" s="107">
        <f>IF(B$51=0,0,G18/B$51)</f>
        <v>1.2195121951219513E-2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246</v>
      </c>
      <c r="C19" s="4">
        <f>IF(B$3=0,0,B19/B$3)</f>
        <v>0.26031746031746034</v>
      </c>
      <c r="E19" s="44" t="s">
        <v>81</v>
      </c>
      <c r="F19" s="41" t="s">
        <v>36</v>
      </c>
      <c r="G19" s="34">
        <v>3</v>
      </c>
      <c r="H19" s="107">
        <f>IF(B$51=0,0,G19/B$51)</f>
        <v>1.2195121951219513E-2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183</v>
      </c>
      <c r="C20" s="31">
        <f>IF(B$3=0,0,B20/B$3)</f>
        <v>0.19365079365079366</v>
      </c>
      <c r="E20" s="44" t="s">
        <v>87</v>
      </c>
      <c r="F20" s="41" t="s">
        <v>42</v>
      </c>
      <c r="G20" s="34">
        <v>2</v>
      </c>
      <c r="H20" s="107">
        <f>IF(B$51=0,0,G20/B$51)</f>
        <v>8.130081300813009E-3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130</v>
      </c>
      <c r="C21" s="31">
        <f>IF(B$19=0,0,B21/B$19)</f>
        <v>0.52845528455284552</v>
      </c>
      <c r="E21" s="44" t="s">
        <v>91</v>
      </c>
      <c r="F21" s="41" t="s">
        <v>46</v>
      </c>
      <c r="G21" s="34">
        <v>2</v>
      </c>
      <c r="H21" s="107">
        <f>IF(B$51=0,0,G21/B$51)</f>
        <v>8.130081300813009E-3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116</v>
      </c>
      <c r="C22" s="31">
        <f>IF(B$19=0,0,B22/B$19)</f>
        <v>0.47154471544715448</v>
      </c>
      <c r="E22" s="44" t="s">
        <v>75</v>
      </c>
      <c r="F22" s="41" t="s">
        <v>30</v>
      </c>
      <c r="G22" s="34">
        <v>1</v>
      </c>
      <c r="H22" s="107">
        <f>IF(B$51=0,0,G22/B$51)</f>
        <v>4.0650406504065045E-3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-20.027027027027028</v>
      </c>
      <c r="P22" s="93">
        <v>37</v>
      </c>
      <c r="Q22" s="81">
        <v>-741</v>
      </c>
    </row>
    <row r="23" spans="1:17" x14ac:dyDescent="0.45">
      <c r="A23" s="37" t="s">
        <v>180</v>
      </c>
      <c r="B23" s="34">
        <v>124</v>
      </c>
      <c r="C23" s="31">
        <f>IF(B$19=0,0,B23/B$19)</f>
        <v>0.50406504065040647</v>
      </c>
      <c r="E23" s="44" t="s">
        <v>85</v>
      </c>
      <c r="F23" s="41" t="s">
        <v>40</v>
      </c>
      <c r="G23" s="34">
        <v>1</v>
      </c>
      <c r="H23" s="107">
        <f>IF(B$51=0,0,G23/B$51)</f>
        <v>4.0650406504065045E-3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5">
      <c r="A24" s="37" t="s">
        <v>178</v>
      </c>
      <c r="B24" s="34">
        <v>61</v>
      </c>
      <c r="C24" s="31">
        <f>IF(B$19=0,0,B24/B$19)</f>
        <v>0.24796747967479674</v>
      </c>
      <c r="E24" s="44" t="s">
        <v>106</v>
      </c>
      <c r="F24" s="41" t="s">
        <v>113</v>
      </c>
      <c r="G24" s="34">
        <v>1</v>
      </c>
      <c r="H24" s="107">
        <f>IF(B$51=0,0,G24/B$51)</f>
        <v>4.0650406504065045E-3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61</v>
      </c>
      <c r="C25" s="31">
        <f>IF(B$19=0,0,B25/B$19)</f>
        <v>0.24796747967479674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7830.8943089430895</v>
      </c>
      <c r="C26" s="8">
        <v>1926400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8540</v>
      </c>
      <c r="C27" s="115">
        <v>1579900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-8094.5355191256831</v>
      </c>
      <c r="C29" s="115">
        <v>-1481300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9">
        <v>113300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4</v>
      </c>
      <c r="C34" s="32">
        <f>IF(B$3=0,0,B34/B$3)</f>
        <v>4.2328042328042331E-3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3">
        <v>28</v>
      </c>
      <c r="C36" s="119">
        <f>IF(B$19=0,0,B36/B$19)</f>
        <v>0.11382113821138211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47</v>
      </c>
      <c r="C37" s="31">
        <f t="shared" ref="C37:C48" si="2">IF(B$19=0,0,B37/B$19)</f>
        <v>0.1910569105691057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6">
        <v>44</v>
      </c>
      <c r="C38" s="31">
        <f>IF(B$19=0,0,B38/B$19)</f>
        <v>0.17886178861788618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6">
        <v>40</v>
      </c>
      <c r="C39" s="31">
        <f t="shared" si="2"/>
        <v>0.16260162601626016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6">
        <v>39</v>
      </c>
      <c r="C40" s="31">
        <f t="shared" si="2"/>
        <v>0.15853658536585366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6">
        <v>24</v>
      </c>
      <c r="C41" s="31">
        <f t="shared" si="2"/>
        <v>9.7560975609756101E-2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6">
        <v>10</v>
      </c>
      <c r="C42" s="31">
        <f t="shared" si="2"/>
        <v>4.065040650406504E-2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6">
        <v>7</v>
      </c>
      <c r="C43" s="31">
        <f t="shared" si="2"/>
        <v>2.8455284552845527E-2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7" t="s">
        <v>172</v>
      </c>
      <c r="B44" s="126">
        <v>3</v>
      </c>
      <c r="C44" s="31">
        <f t="shared" si="2"/>
        <v>1.2195121951219513E-2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6">
        <v>2</v>
      </c>
      <c r="C45" s="31">
        <f t="shared" si="2"/>
        <v>8.130081300813009E-3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6">
        <v>1</v>
      </c>
      <c r="C46" s="31">
        <f t="shared" si="2"/>
        <v>4.0650406504065045E-3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2">
        <v>1</v>
      </c>
      <c r="C48" s="32">
        <f t="shared" si="2"/>
        <v>4.0650406504065045E-3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29">
        <v>945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37">
        <v>246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92FD-58BC-433C-A86D-7123F2869C2B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1">
        <v>253</v>
      </c>
      <c r="C3" s="13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3">
        <v>-22.000000000000028</v>
      </c>
      <c r="C4" s="13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5">
        <f>IF(B$2=0,0,B$4/B$2)</f>
        <v>-0.7857142857142867</v>
      </c>
      <c r="C5" s="136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3">
        <f>IF(B$2=0,0,(B$7*1+B$8*2+B$9*3)/B$2)</f>
        <v>1.9285714285714286</v>
      </c>
      <c r="C6" s="144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5">
        <f>AVERAGE(B10:B12)</f>
        <v>-4.0783333333333331</v>
      </c>
      <c r="C13" s="136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106300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80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68A6-7931-4654-BA6A-5D7337B26001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1">
        <v>13</v>
      </c>
      <c r="C3" s="13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3">
        <v>13.3</v>
      </c>
      <c r="C4" s="13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5">
        <f>IF(B$2=0,0,B$4/B$2)</f>
        <v>13.3</v>
      </c>
      <c r="C5" s="136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4.4333333333333336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48300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D2D6-9128-4403-95E9-3026BE0ABBF9}">
  <sheetPr codeName="Sheet19"/>
  <dimension ref="A1:Q9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88</v>
      </c>
      <c r="C2" s="130"/>
      <c r="E2" s="43" t="s">
        <v>66</v>
      </c>
      <c r="F2" s="25" t="s">
        <v>22</v>
      </c>
      <c r="G2" s="13">
        <v>117</v>
      </c>
      <c r="H2" s="106">
        <f>IF(B$51=0,0,G2/B$51)</f>
        <v>0.65730337078651691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-3678.409090909091</v>
      </c>
      <c r="P2" s="92">
        <v>88</v>
      </c>
      <c r="Q2" s="76">
        <v>-323700</v>
      </c>
    </row>
    <row r="3" spans="1:17" x14ac:dyDescent="0.45">
      <c r="A3" s="37" t="s">
        <v>8</v>
      </c>
      <c r="B3" s="131">
        <v>727</v>
      </c>
      <c r="C3" s="132"/>
      <c r="E3" s="44" t="s">
        <v>72</v>
      </c>
      <c r="F3" s="41" t="s">
        <v>27</v>
      </c>
      <c r="G3" s="34">
        <v>112</v>
      </c>
      <c r="H3" s="107">
        <f>IF(B$51=0,0,G3/B$51)</f>
        <v>0.6292134831460674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185.05747126436782</v>
      </c>
      <c r="P3" s="93">
        <v>87</v>
      </c>
      <c r="Q3" s="77">
        <v>16100</v>
      </c>
    </row>
    <row r="4" spans="1:17" x14ac:dyDescent="0.45">
      <c r="A4" s="37" t="s">
        <v>6</v>
      </c>
      <c r="B4" s="133">
        <v>-1189.4000000000001</v>
      </c>
      <c r="C4" s="134"/>
      <c r="E4" s="44" t="s">
        <v>64</v>
      </c>
      <c r="F4" s="41" t="s">
        <v>20</v>
      </c>
      <c r="G4" s="34">
        <v>77</v>
      </c>
      <c r="H4" s="107">
        <f>IF(B$51=0,0,G4/B$51)</f>
        <v>0.43258426966292135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-1114.8148148148148</v>
      </c>
      <c r="P4" s="93">
        <v>81</v>
      </c>
      <c r="Q4" s="77">
        <v>-90300</v>
      </c>
    </row>
    <row r="5" spans="1:17" x14ac:dyDescent="0.45">
      <c r="A5" s="37" t="s">
        <v>7</v>
      </c>
      <c r="B5" s="135">
        <f>IF(B$2=0,0,B$4/B$2)</f>
        <v>-13.515909090909092</v>
      </c>
      <c r="C5" s="136"/>
      <c r="E5" s="44" t="s">
        <v>157</v>
      </c>
      <c r="F5" s="41" t="s">
        <v>158</v>
      </c>
      <c r="G5" s="34">
        <v>66</v>
      </c>
      <c r="H5" s="107">
        <f>IF(B$51=0,0,G5/B$51)</f>
        <v>0.3707865168539326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-1126.027397260274</v>
      </c>
      <c r="P5" s="93">
        <v>73</v>
      </c>
      <c r="Q5" s="77">
        <v>-82200</v>
      </c>
    </row>
    <row r="6" spans="1:17" x14ac:dyDescent="0.45">
      <c r="A6" s="37" t="s">
        <v>1</v>
      </c>
      <c r="B6" s="143">
        <f>IF(B$2=0,0,(B$7*1+B$8*2+B$9*3)/B$2)</f>
        <v>2.3181818181818183</v>
      </c>
      <c r="C6" s="144"/>
      <c r="E6" s="44" t="s">
        <v>68</v>
      </c>
      <c r="F6" s="41" t="s">
        <v>12</v>
      </c>
      <c r="G6" s="34">
        <v>50</v>
      </c>
      <c r="H6" s="107">
        <f>IF(B$51=0,0,G6/B$51)</f>
        <v>0.2808988764044944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-1716.1764705882354</v>
      </c>
      <c r="P6" s="93">
        <v>68</v>
      </c>
      <c r="Q6" s="77">
        <v>-116700</v>
      </c>
    </row>
    <row r="7" spans="1:17" x14ac:dyDescent="0.45">
      <c r="A7" s="37" t="s">
        <v>2</v>
      </c>
      <c r="B7" s="34">
        <v>12</v>
      </c>
      <c r="C7" s="31">
        <f t="shared" ref="C7:C14" si="1">IF(B$2=0,0,B7/B$2)</f>
        <v>0.13636363636363635</v>
      </c>
      <c r="E7" s="44" t="s">
        <v>67</v>
      </c>
      <c r="F7" s="41" t="s">
        <v>23</v>
      </c>
      <c r="G7" s="34">
        <v>41</v>
      </c>
      <c r="H7" s="107">
        <f>IF(B$51=0,0,G7/B$51)</f>
        <v>0.2303370786516854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-2250.909090909091</v>
      </c>
      <c r="P7" s="94">
        <v>55</v>
      </c>
      <c r="Q7" s="78">
        <v>-123800</v>
      </c>
    </row>
    <row r="8" spans="1:17" x14ac:dyDescent="0.45">
      <c r="A8" s="37" t="s">
        <v>3</v>
      </c>
      <c r="B8" s="34">
        <v>36</v>
      </c>
      <c r="C8" s="31">
        <f t="shared" si="1"/>
        <v>0.40909090909090912</v>
      </c>
      <c r="E8" s="44" t="s">
        <v>89</v>
      </c>
      <c r="F8" s="41" t="s">
        <v>44</v>
      </c>
      <c r="G8" s="34">
        <v>27</v>
      </c>
      <c r="H8" s="107">
        <f>IF(B$51=0,0,G8/B$51)</f>
        <v>0.15168539325842698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40</v>
      </c>
      <c r="C9" s="7">
        <f t="shared" si="1"/>
        <v>0.45454545454545453</v>
      </c>
      <c r="E9" s="44" t="s">
        <v>65</v>
      </c>
      <c r="F9" s="41" t="s">
        <v>21</v>
      </c>
      <c r="G9" s="34">
        <v>18</v>
      </c>
      <c r="H9" s="107">
        <f>IF(B$51=0,0,G9/B$51)</f>
        <v>0.10112359550561797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34.966666666666661</v>
      </c>
      <c r="C10" s="121">
        <v>419.59999999999997</v>
      </c>
      <c r="E10" s="44" t="s">
        <v>70</v>
      </c>
      <c r="F10" s="41" t="s">
        <v>25</v>
      </c>
      <c r="G10" s="34">
        <v>16</v>
      </c>
      <c r="H10" s="107">
        <f>IF(B$51=0,0,G10/B$51)</f>
        <v>8.98876404494382E-2</v>
      </c>
      <c r="I10" s="68">
        <v>10</v>
      </c>
      <c r="K10" s="5">
        <v>8</v>
      </c>
      <c r="L10" s="73">
        <v>-289.8</v>
      </c>
      <c r="N10" s="88" t="s">
        <v>149</v>
      </c>
      <c r="O10" s="98">
        <f>IF(P10=0,0,Q10/P10)</f>
        <v>-22.5</v>
      </c>
      <c r="P10" s="92">
        <v>38</v>
      </c>
      <c r="Q10" s="80">
        <v>-855</v>
      </c>
    </row>
    <row r="11" spans="1:17" x14ac:dyDescent="0.45">
      <c r="A11" s="38" t="s">
        <v>204</v>
      </c>
      <c r="B11" s="120">
        <f>IF(B8=0,0,C11/B8)</f>
        <v>-0.61111111111111094</v>
      </c>
      <c r="C11" s="121">
        <v>-21.999999999999993</v>
      </c>
      <c r="E11" s="44" t="s">
        <v>69</v>
      </c>
      <c r="F11" s="41" t="s">
        <v>24</v>
      </c>
      <c r="G11" s="34">
        <v>15</v>
      </c>
      <c r="H11" s="107">
        <f>IF(B$51=0,0,G11/B$51)</f>
        <v>8.4269662921348312E-2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-3.7296296296296285</v>
      </c>
      <c r="P11" s="93">
        <v>27</v>
      </c>
      <c r="Q11" s="81">
        <v>-100.69999999999997</v>
      </c>
    </row>
    <row r="12" spans="1:17" x14ac:dyDescent="0.45">
      <c r="A12" s="38" t="s">
        <v>205</v>
      </c>
      <c r="B12" s="120">
        <f>IF(B9=0,0,C12/B9)</f>
        <v>-39.675000000000004</v>
      </c>
      <c r="C12" s="121">
        <v>-1587.0000000000002</v>
      </c>
      <c r="E12" s="44" t="s">
        <v>71</v>
      </c>
      <c r="F12" s="41" t="s">
        <v>26</v>
      </c>
      <c r="G12" s="34">
        <v>14</v>
      </c>
      <c r="H12" s="107">
        <f>IF(B$51=0,0,G12/B$51)</f>
        <v>7.8651685393258425E-2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5">
      <c r="A13" s="38" t="s">
        <v>206</v>
      </c>
      <c r="B13" s="135">
        <f>AVERAGE(B10:B12)</f>
        <v>-1.7731481481481524</v>
      </c>
      <c r="C13" s="136"/>
      <c r="E13" s="44" t="s">
        <v>86</v>
      </c>
      <c r="F13" s="41" t="s">
        <v>41</v>
      </c>
      <c r="G13" s="34">
        <v>11</v>
      </c>
      <c r="H13" s="107">
        <f>IF(B$51=0,0,G13/B$51)</f>
        <v>6.1797752808988762E-2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0.17045454545454544</v>
      </c>
      <c r="E14" s="44" t="s">
        <v>81</v>
      </c>
      <c r="F14" s="41" t="s">
        <v>36</v>
      </c>
      <c r="G14" s="34">
        <v>10</v>
      </c>
      <c r="H14" s="107">
        <f>IF(B$51=0,0,G14/B$51)</f>
        <v>5.6179775280898875E-2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149</v>
      </c>
      <c r="C15" s="11">
        <f>IF(B$50=0,0,B15/B$50)</f>
        <v>0.20495185694635487</v>
      </c>
      <c r="E15" s="44" t="s">
        <v>83</v>
      </c>
      <c r="F15" s="41" t="s">
        <v>38</v>
      </c>
      <c r="G15" s="34">
        <v>10</v>
      </c>
      <c r="H15" s="107">
        <f>IF(B$51=0,0,G15/B$51)</f>
        <v>5.6179775280898875E-2</v>
      </c>
      <c r="I15" s="68">
        <v>5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172</v>
      </c>
      <c r="C16" s="31">
        <f>IF(B$50=0,0,B16/B$50)</f>
        <v>0.23658872077028886</v>
      </c>
      <c r="E16" s="44" t="s">
        <v>91</v>
      </c>
      <c r="F16" s="41" t="s">
        <v>46</v>
      </c>
      <c r="G16" s="34">
        <v>5</v>
      </c>
      <c r="H16" s="107">
        <f>IF(B$51=0,0,G16/B$51)</f>
        <v>2.8089887640449437E-2</v>
      </c>
      <c r="I16" s="68">
        <v>3</v>
      </c>
      <c r="K16" s="5">
        <v>14</v>
      </c>
      <c r="L16" s="73">
        <v>-416.90000000000003</v>
      </c>
      <c r="N16" s="89" t="s">
        <v>188</v>
      </c>
      <c r="O16" s="99">
        <f>IF(P16=0,0,Q16/P16)</f>
        <v>11.63478260869565</v>
      </c>
      <c r="P16" s="93">
        <v>23</v>
      </c>
      <c r="Q16" s="81">
        <v>267.59999999999997</v>
      </c>
    </row>
    <row r="17" spans="1:17" x14ac:dyDescent="0.45">
      <c r="A17" s="19" t="s">
        <v>123</v>
      </c>
      <c r="B17" s="13">
        <v>80</v>
      </c>
      <c r="C17" s="4">
        <f>IF(B$15=0,0,B17/B$15)</f>
        <v>0.53691275167785235</v>
      </c>
      <c r="E17" s="44" t="s">
        <v>78</v>
      </c>
      <c r="F17" s="41" t="s">
        <v>33</v>
      </c>
      <c r="G17" s="34">
        <v>4</v>
      </c>
      <c r="H17" s="107">
        <f>IF(B$51=0,0,G17/B$51)</f>
        <v>2.247191011235955E-2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66</v>
      </c>
      <c r="C18" s="4">
        <f>IF(B$16=0,0,B18/B$16)</f>
        <v>0.38372093023255816</v>
      </c>
      <c r="E18" s="44" t="s">
        <v>73</v>
      </c>
      <c r="F18" s="41" t="s">
        <v>28</v>
      </c>
      <c r="G18" s="34">
        <v>1</v>
      </c>
      <c r="H18" s="107">
        <f>IF(B$51=0,0,G18/B$51)</f>
        <v>5.6179775280898875E-3</v>
      </c>
      <c r="I18" s="68">
        <v>8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178</v>
      </c>
      <c r="C19" s="4">
        <f>IF(B$3=0,0,B19/B$3)</f>
        <v>0.24484181568088034</v>
      </c>
      <c r="E19" s="44" t="s">
        <v>74</v>
      </c>
      <c r="F19" s="41" t="s">
        <v>29</v>
      </c>
      <c r="G19" s="34">
        <v>1</v>
      </c>
      <c r="H19" s="107">
        <f>IF(B$51=0,0,G19/B$51)</f>
        <v>5.6179775280898875E-3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138</v>
      </c>
      <c r="C20" s="31">
        <f>IF(B$3=0,0,B20/B$3)</f>
        <v>0.18982118294360384</v>
      </c>
      <c r="E20" s="44" t="s">
        <v>79</v>
      </c>
      <c r="F20" s="41" t="s">
        <v>34</v>
      </c>
      <c r="G20" s="34">
        <v>1</v>
      </c>
      <c r="H20" s="107">
        <f>IF(B$51=0,0,G20/B$51)</f>
        <v>5.6179775280898875E-3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5">
      <c r="A21" s="37" t="s">
        <v>12</v>
      </c>
      <c r="B21" s="34">
        <v>83</v>
      </c>
      <c r="C21" s="31">
        <f>IF(B$19=0,0,B21/B$19)</f>
        <v>0.46629213483146065</v>
      </c>
      <c r="E21" s="44" t="s">
        <v>92</v>
      </c>
      <c r="F21" s="41" t="s">
        <v>47</v>
      </c>
      <c r="G21" s="34">
        <v>1</v>
      </c>
      <c r="H21" s="107">
        <f>IF(B$51=0,0,G21/B$51)</f>
        <v>5.6179775280898875E-3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-25.287499999999998</v>
      </c>
      <c r="P21" s="93">
        <v>8</v>
      </c>
      <c r="Q21" s="81">
        <v>-202.29999999999998</v>
      </c>
    </row>
    <row r="22" spans="1:17" x14ac:dyDescent="0.45">
      <c r="A22" s="37" t="s">
        <v>11</v>
      </c>
      <c r="B22" s="34">
        <v>95</v>
      </c>
      <c r="C22" s="31">
        <f>IF(B$19=0,0,B22/B$19)</f>
        <v>0.5337078651685393</v>
      </c>
      <c r="E22" s="44" t="s">
        <v>95</v>
      </c>
      <c r="F22" s="41" t="s">
        <v>50</v>
      </c>
      <c r="G22" s="34">
        <v>1</v>
      </c>
      <c r="H22" s="107">
        <f>IF(B$51=0,0,G22/B$51)</f>
        <v>5.6179775280898875E-3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-25.71764705882353</v>
      </c>
      <c r="P22" s="93">
        <v>34</v>
      </c>
      <c r="Q22" s="81">
        <v>-874.40000000000009</v>
      </c>
    </row>
    <row r="23" spans="1:17" x14ac:dyDescent="0.45">
      <c r="A23" s="37" t="s">
        <v>180</v>
      </c>
      <c r="B23" s="34">
        <v>80</v>
      </c>
      <c r="C23" s="31">
        <f>IF(B$19=0,0,B23/B$19)</f>
        <v>0.449438202247191</v>
      </c>
      <c r="E23" s="44" t="s">
        <v>153</v>
      </c>
      <c r="F23" s="41" t="s">
        <v>154</v>
      </c>
      <c r="G23" s="34">
        <v>1</v>
      </c>
      <c r="H23" s="107">
        <f>IF(B$51=0,0,G23/B$51)</f>
        <v>5.6179775280898875E-3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-29.696428571428587</v>
      </c>
      <c r="P23" s="93">
        <v>28</v>
      </c>
      <c r="Q23" s="81">
        <v>-831.50000000000045</v>
      </c>
    </row>
    <row r="24" spans="1:17" x14ac:dyDescent="0.45">
      <c r="A24" s="37" t="s">
        <v>178</v>
      </c>
      <c r="B24" s="34">
        <v>66</v>
      </c>
      <c r="C24" s="31">
        <f>IF(B$19=0,0,B24/B$19)</f>
        <v>0.3707865168539326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32</v>
      </c>
      <c r="C25" s="31">
        <f>IF(B$19=0,0,B25/B$19)</f>
        <v>0.1797752808988764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8257.3033707865161</v>
      </c>
      <c r="C26" s="8">
        <v>1469800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8930.3571428571431</v>
      </c>
      <c r="C27" s="115">
        <v>1000200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7115.151515151515</v>
      </c>
      <c r="C28" s="115">
        <v>469600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-8292.753623188406</v>
      </c>
      <c r="C29" s="115">
        <v>-1144400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41">
        <v>6</v>
      </c>
      <c r="C32" s="142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9">
        <v>85100</v>
      </c>
      <c r="C33" s="140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5.5020632737276479E-3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3">
        <v>15</v>
      </c>
      <c r="C36" s="119">
        <f>IF(B$19=0,0,B36/B$19)</f>
        <v>8.4269662921348312E-2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32</v>
      </c>
      <c r="C37" s="31">
        <f t="shared" ref="C37:C48" si="2">IF(B$19=0,0,B37/B$19)</f>
        <v>0.1797752808988764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6">
        <v>36</v>
      </c>
      <c r="C38" s="31">
        <f>IF(B$19=0,0,B38/B$19)</f>
        <v>0.20224719101123595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6">
        <v>32</v>
      </c>
      <c r="C39" s="31">
        <f t="shared" si="2"/>
        <v>0.1797752808988764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6">
        <v>26</v>
      </c>
      <c r="C40" s="31">
        <f t="shared" si="2"/>
        <v>0.14606741573033707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6">
        <v>15</v>
      </c>
      <c r="C41" s="31">
        <f t="shared" si="2"/>
        <v>8.4269662921348312E-2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6">
        <v>10</v>
      </c>
      <c r="C42" s="31">
        <f t="shared" si="2"/>
        <v>5.6179775280898875E-2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6">
        <v>7</v>
      </c>
      <c r="C43" s="31">
        <f t="shared" si="2"/>
        <v>3.9325842696629212E-2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6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6">
        <v>1</v>
      </c>
      <c r="C45" s="31">
        <f t="shared" si="2"/>
        <v>5.6179775280898875E-3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6">
        <v>2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2">
        <v>2</v>
      </c>
      <c r="C48" s="32">
        <f t="shared" si="2"/>
        <v>1.1235955056179775E-2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29">
        <v>727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37">
        <v>178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27E4E-DDE4-4534-B909-BE8EE9D546D0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1">
        <v>32</v>
      </c>
      <c r="C3" s="13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3">
        <v>-56.2</v>
      </c>
      <c r="C4" s="13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5">
        <f>IF(B$2=0,0,B$4/B$2)</f>
        <v>-14.05</v>
      </c>
      <c r="C5" s="136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3">
        <f>IF(B$2=0,0,(B$7*1+B$8*2+B$9*3)/B$2)</f>
        <v>2.25</v>
      </c>
      <c r="C6" s="144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-2.9833333333333321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1">
        <v>2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55200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10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D04BB-5AF2-469B-AE8C-8256102A5D40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1">
        <v>78</v>
      </c>
      <c r="C3" s="13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3">
        <v>9.2999999999999972</v>
      </c>
      <c r="C4" s="13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5">
        <f>IF(B$2=0,0,B$4/B$2)</f>
        <v>0.92999999999999972</v>
      </c>
      <c r="C5" s="136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5">
        <f>AVERAGE(B10:B12)</f>
        <v>0.61999999999999977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70900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26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E030-273A-4F79-92AA-0959F2D9EB91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1">
        <v>40</v>
      </c>
      <c r="C3" s="13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3">
        <v>-80.800000000000011</v>
      </c>
      <c r="C4" s="13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5">
        <f>IF(B$2=0,0,B$4/B$2)</f>
        <v>-16.160000000000004</v>
      </c>
      <c r="C5" s="136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3">
        <f>IF(B$2=0,0,(B$7*1+B$8*2+B$9*3)/B$2)</f>
        <v>2.2000000000000002</v>
      </c>
      <c r="C6" s="144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5">
        <f>AVERAGE(B10:B12)</f>
        <v>-8.9666666666666668</v>
      </c>
      <c r="C13" s="136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52000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2020-02-27T05:07:37Z</dcterms:modified>
</cp:coreProperties>
</file>