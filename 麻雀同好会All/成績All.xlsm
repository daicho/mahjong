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1760639E-8E55-4BB9-A2C5-2F5F6C375C49}" xr6:coauthVersionLast="44" xr6:coauthVersionMax="44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3669" r:id="rId4"/>
    <sheet name="だいち" sheetId="3670" r:id="rId5"/>
    <sheet name="かこたろう" sheetId="3671" r:id="rId6"/>
    <sheet name="ともき" sheetId="3672" r:id="rId7"/>
    <sheet name="りくと" sheetId="3673" r:id="rId8"/>
    <sheet name="いっしー" sheetId="3674" r:id="rId9"/>
    <sheet name="がくと" sheetId="3675" r:id="rId10"/>
    <sheet name="たかの" sheetId="3676" r:id="rId11"/>
    <sheet name="ただ" sheetId="3677" r:id="rId12"/>
    <sheet name="やがさき" sheetId="3678" r:id="rId13"/>
    <sheet name="れんたろう" sheetId="3679" r:id="rId14"/>
    <sheet name="あさひ" sheetId="3680" r:id="rId15"/>
    <sheet name="まっつん" sheetId="3681" r:id="rId16"/>
    <sheet name="ぱぱ" sheetId="3682" r:id="rId17"/>
    <sheet name="ほたに" sheetId="3683" r:id="rId18"/>
    <sheet name="かわたつ" sheetId="3684" r:id="rId19"/>
    <sheet name="のり" sheetId="3685" r:id="rId20"/>
    <sheet name="ちさと" sheetId="3686" r:id="rId21"/>
    <sheet name="たか" sheetId="3687" r:id="rId22"/>
    <sheet name="ゆう" sheetId="3688" r:id="rId23"/>
  </sheets>
  <definedNames>
    <definedName name="newアガリ数" localSheetId="14">あさひ!$B$51</definedName>
    <definedName name="newアガリ数" localSheetId="8">いっしー!$B$51</definedName>
    <definedName name="newアガリ数" localSheetId="9">がくと!$B$51</definedName>
    <definedName name="newアガリ数" localSheetId="5">かこたろう!$B$51</definedName>
    <definedName name="newアガリ数" localSheetId="18">かわたつ!$B$51</definedName>
    <definedName name="newアガリ数" localSheetId="4">だいち!$B$51</definedName>
    <definedName name="newアガリ数" localSheetId="21">たか!$B$51</definedName>
    <definedName name="newアガリ数" localSheetId="10">たかの!$B$51</definedName>
    <definedName name="newアガリ数" localSheetId="11">ただ!$B$51</definedName>
    <definedName name="newアガリ数" localSheetId="20">ちさと!$B$51</definedName>
    <definedName name="newアガリ数" localSheetId="6">ともき!$B$51</definedName>
    <definedName name="newアガリ数" localSheetId="19">のり!$B$51</definedName>
    <definedName name="newアガリ数" localSheetId="16">ぱぱ!$B$51</definedName>
    <definedName name="newアガリ数" localSheetId="17">ほたに!$B$51</definedName>
    <definedName name="newアガリ数" localSheetId="15">まっつん!$B$51</definedName>
    <definedName name="newアガリ数" localSheetId="12">やがさき!$B$51</definedName>
    <definedName name="newアガリ数" localSheetId="22">ゆう!$B$51</definedName>
    <definedName name="newアガリ数" localSheetId="7">りくと!$B$51</definedName>
    <definedName name="newアガリ数" localSheetId="13">れんたろう!$B$51</definedName>
    <definedName name="newアガリ数" localSheetId="3">全体!$B$51</definedName>
    <definedName name="newアガリ数">Template!$B$51</definedName>
    <definedName name="newアガリ率" localSheetId="14">あさひ!$C$51</definedName>
    <definedName name="newアガリ率" localSheetId="8">いっしー!$C$51</definedName>
    <definedName name="newアガリ率" localSheetId="9">がくと!$C$51</definedName>
    <definedName name="newアガリ率" localSheetId="5">かこたろう!$C$51</definedName>
    <definedName name="newアガリ率" localSheetId="18">かわたつ!$C$51</definedName>
    <definedName name="newアガリ率" localSheetId="4">だいち!$C$51</definedName>
    <definedName name="newアガリ率" localSheetId="21">たか!$C$51</definedName>
    <definedName name="newアガリ率" localSheetId="10">たかの!$C$51</definedName>
    <definedName name="newアガリ率" localSheetId="11">ただ!$C$51</definedName>
    <definedName name="newアガリ率" localSheetId="20">ちさと!$C$51</definedName>
    <definedName name="newアガリ率" localSheetId="6">ともき!$C$51</definedName>
    <definedName name="newアガリ率" localSheetId="19">のり!$C$51</definedName>
    <definedName name="newアガリ率" localSheetId="16">ぱぱ!$C$51</definedName>
    <definedName name="newアガリ率" localSheetId="17">ほたに!$C$51</definedName>
    <definedName name="newアガリ率" localSheetId="15">まっつん!$C$51</definedName>
    <definedName name="newアガリ率" localSheetId="12">やがさき!$C$51</definedName>
    <definedName name="newアガリ率" localSheetId="22">ゆう!$C$51</definedName>
    <definedName name="newアガリ率" localSheetId="7">りくと!$C$51</definedName>
    <definedName name="newアガリ率" localSheetId="13">れんたろう!$C$51</definedName>
    <definedName name="newアガリ率" localSheetId="3">全体!$C$51</definedName>
    <definedName name="newアガリ率">Template!$C$51</definedName>
    <definedName name="new局数" localSheetId="14">あさひ!$B$50</definedName>
    <definedName name="new局数" localSheetId="8">いっしー!$B$50</definedName>
    <definedName name="new局数" localSheetId="9">がくと!$B$50</definedName>
    <definedName name="new局数" localSheetId="5">かこたろう!$B$50</definedName>
    <definedName name="new局数" localSheetId="18">かわたつ!$B$50</definedName>
    <definedName name="new局数" localSheetId="4">だいち!$B$50</definedName>
    <definedName name="new局数" localSheetId="21">たか!$B$50</definedName>
    <definedName name="new局数" localSheetId="10">たかの!$B$50</definedName>
    <definedName name="new局数" localSheetId="11">ただ!$B$50</definedName>
    <definedName name="new局数" localSheetId="20">ちさと!$B$50</definedName>
    <definedName name="new局数" localSheetId="6">ともき!$B$50</definedName>
    <definedName name="new局数" localSheetId="19">のり!$B$50</definedName>
    <definedName name="new局数" localSheetId="16">ぱぱ!$B$50</definedName>
    <definedName name="new局数" localSheetId="17">ほたに!$B$50</definedName>
    <definedName name="new局数" localSheetId="15">まっつん!$B$50</definedName>
    <definedName name="new局数" localSheetId="12">やがさき!$B$50</definedName>
    <definedName name="new局数" localSheetId="22">ゆう!$B$50</definedName>
    <definedName name="new局数" localSheetId="7">りくと!$B$50</definedName>
    <definedName name="new局数" localSheetId="13">れんたろう!$B$50</definedName>
    <definedName name="new局数" localSheetId="3">全体!$B$50</definedName>
    <definedName name="new局数">Template!$B$50</definedName>
    <definedName name="アガリ数" localSheetId="14">あさひ!$B$19</definedName>
    <definedName name="アガリ数" localSheetId="8">いっしー!$B$19</definedName>
    <definedName name="アガリ数" localSheetId="9">がくと!$B$19</definedName>
    <definedName name="アガリ数" localSheetId="5">かこたろう!$B$19</definedName>
    <definedName name="アガリ数" localSheetId="18">かわたつ!$B$19</definedName>
    <definedName name="アガリ数" localSheetId="4">だいち!$B$19</definedName>
    <definedName name="アガリ数" localSheetId="21">たか!$B$19</definedName>
    <definedName name="アガリ数" localSheetId="10">たかの!$B$19</definedName>
    <definedName name="アガリ数" localSheetId="11">ただ!$B$19</definedName>
    <definedName name="アガリ数" localSheetId="20">ちさと!$B$19</definedName>
    <definedName name="アガリ数" localSheetId="6">ともき!$B$19</definedName>
    <definedName name="アガリ数" localSheetId="19">のり!$B$19</definedName>
    <definedName name="アガリ数" localSheetId="16">ぱぱ!$B$19</definedName>
    <definedName name="アガリ数" localSheetId="17">ほたに!$B$19</definedName>
    <definedName name="アガリ数" localSheetId="15">まっつん!$B$19</definedName>
    <definedName name="アガリ数" localSheetId="12">やがさき!$B$19</definedName>
    <definedName name="アガリ数" localSheetId="22">ゆう!$B$19</definedName>
    <definedName name="アガリ数" localSheetId="7">りくと!$B$19</definedName>
    <definedName name="アガリ数" localSheetId="13">れんたろう!$B$19</definedName>
    <definedName name="アガリ数" localSheetId="3">全体!$B$19</definedName>
    <definedName name="アガリ数">Template!$B$19</definedName>
    <definedName name="アガリ率" localSheetId="14">あさひ!$C$19</definedName>
    <definedName name="アガリ率" localSheetId="8">いっしー!$C$19</definedName>
    <definedName name="アガリ率" localSheetId="9">がくと!$C$19</definedName>
    <definedName name="アガリ率" localSheetId="5">かこたろう!$C$19</definedName>
    <definedName name="アガリ率" localSheetId="18">かわたつ!$C$19</definedName>
    <definedName name="アガリ率" localSheetId="4">だいち!$C$19</definedName>
    <definedName name="アガリ率" localSheetId="21">たか!$C$19</definedName>
    <definedName name="アガリ率" localSheetId="10">たかの!$C$19</definedName>
    <definedName name="アガリ率" localSheetId="11">ただ!$C$19</definedName>
    <definedName name="アガリ率" localSheetId="20">ちさと!$C$19</definedName>
    <definedName name="アガリ率" localSheetId="6">ともき!$C$19</definedName>
    <definedName name="アガリ率" localSheetId="19">のり!$C$19</definedName>
    <definedName name="アガリ率" localSheetId="16">ぱぱ!$C$19</definedName>
    <definedName name="アガリ率" localSheetId="17">ほたに!$C$19</definedName>
    <definedName name="アガリ率" localSheetId="15">まっつん!$C$19</definedName>
    <definedName name="アガリ率" localSheetId="12">やがさき!$C$19</definedName>
    <definedName name="アガリ率" localSheetId="22">ゆう!$C$19</definedName>
    <definedName name="アガリ率" localSheetId="7">りくと!$C$19</definedName>
    <definedName name="アガリ率" localSheetId="13">れんたろう!$C$19</definedName>
    <definedName name="アガリ率" localSheetId="3">全体!$C$19</definedName>
    <definedName name="アガリ率">Template!$C$19</definedName>
    <definedName name="ダマアガリ数" localSheetId="14">あさひ!$B$25</definedName>
    <definedName name="ダマアガリ数" localSheetId="8">いっしー!$B$25</definedName>
    <definedName name="ダマアガリ数" localSheetId="9">がくと!$B$25</definedName>
    <definedName name="ダマアガリ数" localSheetId="5">かこたろう!$B$25</definedName>
    <definedName name="ダマアガリ数" localSheetId="18">かわたつ!$B$25</definedName>
    <definedName name="ダマアガリ数" localSheetId="4">だいち!$B$25</definedName>
    <definedName name="ダマアガリ数" localSheetId="21">たか!$B$25</definedName>
    <definedName name="ダマアガリ数" localSheetId="10">たかの!$B$25</definedName>
    <definedName name="ダマアガリ数" localSheetId="11">ただ!$B$25</definedName>
    <definedName name="ダマアガリ数" localSheetId="20">ちさと!$B$25</definedName>
    <definedName name="ダマアガリ数" localSheetId="6">ともき!$B$25</definedName>
    <definedName name="ダマアガリ数" localSheetId="19">のり!$B$25</definedName>
    <definedName name="ダマアガリ数" localSheetId="16">ぱぱ!$B$25</definedName>
    <definedName name="ダマアガリ数" localSheetId="17">ほたに!$B$25</definedName>
    <definedName name="ダマアガリ数" localSheetId="15">まっつん!$B$25</definedName>
    <definedName name="ダマアガリ数" localSheetId="12">やがさき!$B$25</definedName>
    <definedName name="ダマアガリ数" localSheetId="22">ゆう!$B$25</definedName>
    <definedName name="ダマアガリ数" localSheetId="7">りくと!$B$25</definedName>
    <definedName name="ダマアガリ数" localSheetId="13">れんたろう!$B$25</definedName>
    <definedName name="ダマアガリ数" localSheetId="3">全体!$B$25</definedName>
    <definedName name="ダマアガリ数">Template!$B$25</definedName>
    <definedName name="ダマアガリ点" localSheetId="14">あさひ!#REF!</definedName>
    <definedName name="ダマアガリ点" localSheetId="8">いっしー!#REF!</definedName>
    <definedName name="ダマアガリ点" localSheetId="9">がくと!#REF!</definedName>
    <definedName name="ダマアガリ点" localSheetId="5">かこたろう!#REF!</definedName>
    <definedName name="ダマアガリ点" localSheetId="18">かわたつ!#REF!</definedName>
    <definedName name="ダマアガリ点" localSheetId="4">だいち!#REF!</definedName>
    <definedName name="ダマアガリ点" localSheetId="21">たか!#REF!</definedName>
    <definedName name="ダマアガリ点" localSheetId="10">たかの!#REF!</definedName>
    <definedName name="ダマアガリ点" localSheetId="11">ただ!#REF!</definedName>
    <definedName name="ダマアガリ点" localSheetId="20">ちさと!#REF!</definedName>
    <definedName name="ダマアガリ点" localSheetId="6">ともき!#REF!</definedName>
    <definedName name="ダマアガリ点" localSheetId="19">のり!#REF!</definedName>
    <definedName name="ダマアガリ点" localSheetId="16">ぱぱ!#REF!</definedName>
    <definedName name="ダマアガリ点" localSheetId="17">ほたに!#REF!</definedName>
    <definedName name="ダマアガリ点" localSheetId="15">まっつん!#REF!</definedName>
    <definedName name="ダマアガリ点" localSheetId="12">やがさき!#REF!</definedName>
    <definedName name="ダマアガリ点" localSheetId="22">ゆう!#REF!</definedName>
    <definedName name="ダマアガリ点" localSheetId="7">りくと!#REF!</definedName>
    <definedName name="ダマアガリ点" localSheetId="13">れんたろう!#REF!</definedName>
    <definedName name="ダマアガリ点" localSheetId="3">全体!#REF!</definedName>
    <definedName name="ダマアガリ点">Template!#REF!</definedName>
    <definedName name="ダマアガリ率" localSheetId="14">あさひ!$C$25</definedName>
    <definedName name="ダマアガリ率" localSheetId="8">いっしー!$C$25</definedName>
    <definedName name="ダマアガリ率" localSheetId="9">がくと!$C$25</definedName>
    <definedName name="ダマアガリ率" localSheetId="5">かこたろう!$C$25</definedName>
    <definedName name="ダマアガリ率" localSheetId="18">かわたつ!$C$25</definedName>
    <definedName name="ダマアガリ率" localSheetId="4">だいち!$C$25</definedName>
    <definedName name="ダマアガリ率" localSheetId="21">たか!$C$25</definedName>
    <definedName name="ダマアガリ率" localSheetId="10">たかの!$C$25</definedName>
    <definedName name="ダマアガリ率" localSheetId="11">ただ!$C$25</definedName>
    <definedName name="ダマアガリ率" localSheetId="20">ちさと!$C$25</definedName>
    <definedName name="ダマアガリ率" localSheetId="6">ともき!$C$25</definedName>
    <definedName name="ダマアガリ率" localSheetId="19">のり!$C$25</definedName>
    <definedName name="ダマアガリ率" localSheetId="16">ぱぱ!$C$25</definedName>
    <definedName name="ダマアガリ率" localSheetId="17">ほたに!$C$25</definedName>
    <definedName name="ダマアガリ率" localSheetId="15">まっつん!$C$25</definedName>
    <definedName name="ダマアガリ率" localSheetId="12">やがさき!$C$25</definedName>
    <definedName name="ダマアガリ率" localSheetId="22">ゆう!$C$25</definedName>
    <definedName name="ダマアガリ率" localSheetId="7">りくと!$C$25</definedName>
    <definedName name="ダマアガリ率" localSheetId="13">れんたろう!$C$25</definedName>
    <definedName name="ダマアガリ率" localSheetId="3">全体!$C$25</definedName>
    <definedName name="ダマアガリ率">Template!$C$25</definedName>
    <definedName name="チョンボ数" localSheetId="14">あさひ!$B$34</definedName>
    <definedName name="チョンボ数" localSheetId="8">いっしー!$B$34</definedName>
    <definedName name="チョンボ数" localSheetId="9">がくと!$B$34</definedName>
    <definedName name="チョンボ数" localSheetId="5">かこたろう!$B$34</definedName>
    <definedName name="チョンボ数" localSheetId="18">かわたつ!$B$34</definedName>
    <definedName name="チョンボ数" localSheetId="4">だいち!$B$34</definedName>
    <definedName name="チョンボ数" localSheetId="21">たか!$B$34</definedName>
    <definedName name="チョンボ数" localSheetId="10">たかの!$B$34</definedName>
    <definedName name="チョンボ数" localSheetId="11">ただ!$B$34</definedName>
    <definedName name="チョンボ数" localSheetId="20">ちさと!$B$34</definedName>
    <definedName name="チョンボ数" localSheetId="6">ともき!$B$34</definedName>
    <definedName name="チョンボ数" localSheetId="19">のり!$B$34</definedName>
    <definedName name="チョンボ数" localSheetId="16">ぱぱ!$B$34</definedName>
    <definedName name="チョンボ数" localSheetId="17">ほたに!$B$34</definedName>
    <definedName name="チョンボ数" localSheetId="15">まっつん!$B$34</definedName>
    <definedName name="チョンボ数" localSheetId="12">やがさき!$B$34</definedName>
    <definedName name="チョンボ数" localSheetId="22">ゆう!$B$34</definedName>
    <definedName name="チョンボ数" localSheetId="7">りくと!$B$34</definedName>
    <definedName name="チョンボ数" localSheetId="13">れんたろう!$B$34</definedName>
    <definedName name="チョンボ数" localSheetId="3">全体!$B$34</definedName>
    <definedName name="チョンボ数">Template!$B$34</definedName>
    <definedName name="チョンボ率" localSheetId="14">あさひ!$C$34</definedName>
    <definedName name="チョンボ率" localSheetId="8">いっしー!$C$34</definedName>
    <definedName name="チョンボ率" localSheetId="9">がくと!$C$34</definedName>
    <definedName name="チョンボ率" localSheetId="5">かこたろう!$C$34</definedName>
    <definedName name="チョンボ率" localSheetId="18">かわたつ!$C$34</definedName>
    <definedName name="チョンボ率" localSheetId="4">だいち!$C$34</definedName>
    <definedName name="チョンボ率" localSheetId="21">たか!$C$34</definedName>
    <definedName name="チョンボ率" localSheetId="10">たかの!$C$34</definedName>
    <definedName name="チョンボ率" localSheetId="11">ただ!$C$34</definedName>
    <definedName name="チョンボ率" localSheetId="20">ちさと!$C$34</definedName>
    <definedName name="チョンボ率" localSheetId="6">ともき!$C$34</definedName>
    <definedName name="チョンボ率" localSheetId="19">のり!$C$34</definedName>
    <definedName name="チョンボ率" localSheetId="16">ぱぱ!$C$34</definedName>
    <definedName name="チョンボ率" localSheetId="17">ほたに!$C$34</definedName>
    <definedName name="チョンボ率" localSheetId="15">まっつん!$C$34</definedName>
    <definedName name="チョンボ率" localSheetId="12">やがさき!$C$34</definedName>
    <definedName name="チョンボ率" localSheetId="22">ゆう!$C$34</definedName>
    <definedName name="チョンボ率" localSheetId="7">りくと!$C$34</definedName>
    <definedName name="チョンボ率" localSheetId="13">れんたろう!$C$34</definedName>
    <definedName name="チョンボ率" localSheetId="3">全体!$C$34</definedName>
    <definedName name="チョンボ率">Template!$C$34</definedName>
    <definedName name="ツモ数" localSheetId="14">あさひ!$B$21</definedName>
    <definedName name="ツモ数" localSheetId="8">いっしー!$B$21</definedName>
    <definedName name="ツモ数" localSheetId="9">がくと!$B$21</definedName>
    <definedName name="ツモ数" localSheetId="5">かこたろう!$B$21</definedName>
    <definedName name="ツモ数" localSheetId="18">かわたつ!$B$21</definedName>
    <definedName name="ツモ数" localSheetId="4">だいち!$B$21</definedName>
    <definedName name="ツモ数" localSheetId="21">たか!$B$21</definedName>
    <definedName name="ツモ数" localSheetId="10">たかの!$B$21</definedName>
    <definedName name="ツモ数" localSheetId="11">ただ!$B$21</definedName>
    <definedName name="ツモ数" localSheetId="20">ちさと!$B$21</definedName>
    <definedName name="ツモ数" localSheetId="6">ともき!$B$21</definedName>
    <definedName name="ツモ数" localSheetId="19">のり!$B$21</definedName>
    <definedName name="ツモ数" localSheetId="16">ぱぱ!$B$21</definedName>
    <definedName name="ツモ数" localSheetId="17">ほたに!$B$21</definedName>
    <definedName name="ツモ数" localSheetId="15">まっつん!$B$21</definedName>
    <definedName name="ツモ数" localSheetId="12">やがさき!$B$21</definedName>
    <definedName name="ツモ数" localSheetId="22">ゆう!$B$21</definedName>
    <definedName name="ツモ数" localSheetId="7">りくと!$B$21</definedName>
    <definedName name="ツモ数" localSheetId="13">れんたろう!$B$21</definedName>
    <definedName name="ツモ数" localSheetId="3">全体!$B$21</definedName>
    <definedName name="ツモ数">Template!$B$21</definedName>
    <definedName name="ツモ率" localSheetId="14">あさひ!$C$21</definedName>
    <definedName name="ツモ率" localSheetId="8">いっしー!$C$21</definedName>
    <definedName name="ツモ率" localSheetId="9">がくと!$C$21</definedName>
    <definedName name="ツモ率" localSheetId="5">かこたろう!$C$21</definedName>
    <definedName name="ツモ率" localSheetId="18">かわたつ!$C$21</definedName>
    <definedName name="ツモ率" localSheetId="4">だいち!$C$21</definedName>
    <definedName name="ツモ率" localSheetId="21">たか!$C$21</definedName>
    <definedName name="ツモ率" localSheetId="10">たかの!$C$21</definedName>
    <definedName name="ツモ率" localSheetId="11">ただ!$C$21</definedName>
    <definedName name="ツモ率" localSheetId="20">ちさと!$C$21</definedName>
    <definedName name="ツモ率" localSheetId="6">ともき!$C$21</definedName>
    <definedName name="ツモ率" localSheetId="19">のり!$C$21</definedName>
    <definedName name="ツモ率" localSheetId="16">ぱぱ!$C$21</definedName>
    <definedName name="ツモ率" localSheetId="17">ほたに!$C$21</definedName>
    <definedName name="ツモ率" localSheetId="15">まっつん!$C$21</definedName>
    <definedName name="ツモ率" localSheetId="12">やがさき!$C$21</definedName>
    <definedName name="ツモ率" localSheetId="22">ゆう!$C$21</definedName>
    <definedName name="ツモ率" localSheetId="7">りくと!$C$21</definedName>
    <definedName name="ツモ率" localSheetId="13">れんたろう!$C$21</definedName>
    <definedName name="ツモ率" localSheetId="3">全体!$C$21</definedName>
    <definedName name="ツモ率">Template!$C$21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21">たか!$B$7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22">ゆう!$B$7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21">たか!$C$7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22">ゆう!$C$7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バランス" localSheetId="14">あさひ!$B$13</definedName>
    <definedName name="バランス" localSheetId="8">いっしー!$B$13</definedName>
    <definedName name="バランス" localSheetId="9">がくと!$B$13</definedName>
    <definedName name="バランス" localSheetId="5">かこたろう!$B$13</definedName>
    <definedName name="バランス" localSheetId="18">かわたつ!$B$13</definedName>
    <definedName name="バランス" localSheetId="4">だいち!$B$13</definedName>
    <definedName name="バランス" localSheetId="21">たか!$B$13</definedName>
    <definedName name="バランス" localSheetId="10">たかの!$B$13</definedName>
    <definedName name="バランス" localSheetId="11">ただ!$B$13</definedName>
    <definedName name="バランス" localSheetId="20">ちさと!$B$13</definedName>
    <definedName name="バランス" localSheetId="6">ともき!$B$13</definedName>
    <definedName name="バランス" localSheetId="19">のり!$B$13</definedName>
    <definedName name="バランス" localSheetId="16">ぱぱ!$B$13</definedName>
    <definedName name="バランス" localSheetId="17">ほたに!$B$13</definedName>
    <definedName name="バランス" localSheetId="15">まっつん!$B$13</definedName>
    <definedName name="バランス" localSheetId="12">やがさき!$B$13</definedName>
    <definedName name="バランス" localSheetId="22">ゆう!$B$13</definedName>
    <definedName name="バランス" localSheetId="7">りくと!$B$13</definedName>
    <definedName name="バランス" localSheetId="13">れんたろう!$B$13</definedName>
    <definedName name="バランス" localSheetId="3">全体!$B$13</definedName>
    <definedName name="バランス">Template!$B$13</definedName>
    <definedName name="ふっとばし数" localSheetId="14">あさひ!#REF!</definedName>
    <definedName name="ふっとばし数" localSheetId="8">いっしー!#REF!</definedName>
    <definedName name="ふっとばし数" localSheetId="9">がくと!#REF!</definedName>
    <definedName name="ふっとばし数" localSheetId="5">かこたろう!#REF!</definedName>
    <definedName name="ふっとばし数" localSheetId="18">かわたつ!#REF!</definedName>
    <definedName name="ふっとばし数" localSheetId="4">だいち!#REF!</definedName>
    <definedName name="ふっとばし数" localSheetId="21">たか!#REF!</definedName>
    <definedName name="ふっとばし数" localSheetId="10">たかの!#REF!</definedName>
    <definedName name="ふっとばし数" localSheetId="11">ただ!#REF!</definedName>
    <definedName name="ふっとばし数" localSheetId="20">ちさと!#REF!</definedName>
    <definedName name="ふっとばし数" localSheetId="6">ともき!#REF!</definedName>
    <definedName name="ふっとばし数" localSheetId="19">のり!#REF!</definedName>
    <definedName name="ふっとばし数" localSheetId="16">ぱぱ!#REF!</definedName>
    <definedName name="ふっとばし数" localSheetId="17">ほたに!#REF!</definedName>
    <definedName name="ふっとばし数" localSheetId="15">まっつん!#REF!</definedName>
    <definedName name="ふっとばし数" localSheetId="12">やがさき!#REF!</definedName>
    <definedName name="ふっとばし数" localSheetId="22">ゆう!#REF!</definedName>
    <definedName name="ふっとばし数" localSheetId="7">りくと!#REF!</definedName>
    <definedName name="ふっとばし数" localSheetId="13">れんたろう!#REF!</definedName>
    <definedName name="ふっとばし数" localSheetId="3">全体!#REF!</definedName>
    <definedName name="ふっとばし数">Template!#REF!</definedName>
    <definedName name="ふっとばし率" localSheetId="14">あさひ!#REF!</definedName>
    <definedName name="ふっとばし率" localSheetId="8">いっしー!#REF!</definedName>
    <definedName name="ふっとばし率" localSheetId="9">がくと!#REF!</definedName>
    <definedName name="ふっとばし率" localSheetId="5">かこたろう!#REF!</definedName>
    <definedName name="ふっとばし率" localSheetId="18">かわたつ!#REF!</definedName>
    <definedName name="ふっとばし率" localSheetId="4">だいち!#REF!</definedName>
    <definedName name="ふっとばし率" localSheetId="21">たか!#REF!</definedName>
    <definedName name="ふっとばし率" localSheetId="10">たかの!#REF!</definedName>
    <definedName name="ふっとばし率" localSheetId="11">ただ!#REF!</definedName>
    <definedName name="ふっとばし率" localSheetId="20">ちさと!#REF!</definedName>
    <definedName name="ふっとばし率" localSheetId="6">ともき!#REF!</definedName>
    <definedName name="ふっとばし率" localSheetId="19">のり!#REF!</definedName>
    <definedName name="ふっとばし率" localSheetId="16">ぱぱ!#REF!</definedName>
    <definedName name="ふっとばし率" localSheetId="17">ほたに!#REF!</definedName>
    <definedName name="ふっとばし率" localSheetId="15">まっつん!#REF!</definedName>
    <definedName name="ふっとばし率" localSheetId="12">やがさき!#REF!</definedName>
    <definedName name="ふっとばし率" localSheetId="22">ゆう!#REF!</definedName>
    <definedName name="ふっとばし率" localSheetId="7">りくと!#REF!</definedName>
    <definedName name="ふっとばし率" localSheetId="13">れんたろう!#REF!</definedName>
    <definedName name="ふっとばし率" localSheetId="3">全体!#REF!</definedName>
    <definedName name="ふっとばし率">Template!#REF!</definedName>
    <definedName name="ふっとび数" localSheetId="14">あさひ!$B$14</definedName>
    <definedName name="ふっとび数" localSheetId="8">いっしー!$B$14</definedName>
    <definedName name="ふっとび数" localSheetId="9">がくと!$B$14</definedName>
    <definedName name="ふっとび数" localSheetId="5">かこたろう!$B$14</definedName>
    <definedName name="ふっとび数" localSheetId="18">かわたつ!$B$14</definedName>
    <definedName name="ふっとび数" localSheetId="4">だいち!$B$14</definedName>
    <definedName name="ふっとび数" localSheetId="21">たか!$B$14</definedName>
    <definedName name="ふっとび数" localSheetId="10">たかの!$B$14</definedName>
    <definedName name="ふっとび数" localSheetId="11">ただ!$B$14</definedName>
    <definedName name="ふっとび数" localSheetId="20">ちさと!$B$14</definedName>
    <definedName name="ふっとび数" localSheetId="6">ともき!$B$14</definedName>
    <definedName name="ふっとび数" localSheetId="19">のり!$B$14</definedName>
    <definedName name="ふっとび数" localSheetId="16">ぱぱ!$B$14</definedName>
    <definedName name="ふっとび数" localSheetId="17">ほたに!$B$14</definedName>
    <definedName name="ふっとび数" localSheetId="15">まっつん!$B$14</definedName>
    <definedName name="ふっとび数" localSheetId="12">やがさき!$B$14</definedName>
    <definedName name="ふっとび数" localSheetId="22">ゆう!$B$14</definedName>
    <definedName name="ふっとび数" localSheetId="7">りくと!$B$14</definedName>
    <definedName name="ふっとび数" localSheetId="13">れんたろう!$B$14</definedName>
    <definedName name="ふっとび数" localSheetId="3">全体!$B$14</definedName>
    <definedName name="ふっとび数">Template!$B$14</definedName>
    <definedName name="ふっとび率" localSheetId="14">あさひ!$C$14</definedName>
    <definedName name="ふっとび率" localSheetId="8">いっしー!$C$14</definedName>
    <definedName name="ふっとび率" localSheetId="9">がくと!$C$14</definedName>
    <definedName name="ふっとび率" localSheetId="5">かこたろう!$C$14</definedName>
    <definedName name="ふっとび率" localSheetId="18">かわたつ!$C$14</definedName>
    <definedName name="ふっとび率" localSheetId="4">だいち!$C$14</definedName>
    <definedName name="ふっとび率" localSheetId="21">たか!$C$14</definedName>
    <definedName name="ふっとび率" localSheetId="10">たかの!$C$14</definedName>
    <definedName name="ふっとび率" localSheetId="11">ただ!$C$14</definedName>
    <definedName name="ふっとび率" localSheetId="20">ちさと!$C$14</definedName>
    <definedName name="ふっとび率" localSheetId="6">ともき!$C$14</definedName>
    <definedName name="ふっとび率" localSheetId="19">のり!$C$14</definedName>
    <definedName name="ふっとび率" localSheetId="16">ぱぱ!$C$14</definedName>
    <definedName name="ふっとび率" localSheetId="17">ほたに!$C$14</definedName>
    <definedName name="ふっとび率" localSheetId="15">まっつん!$C$14</definedName>
    <definedName name="ふっとび率" localSheetId="12">やがさき!$C$14</definedName>
    <definedName name="ふっとび率" localSheetId="22">ゆう!$C$14</definedName>
    <definedName name="ふっとび率" localSheetId="7">りくと!$C$14</definedName>
    <definedName name="ふっとび率" localSheetId="13">れんたろう!$C$14</definedName>
    <definedName name="ふっとび率" localSheetId="3">全体!$C$14</definedName>
    <definedName name="ふっとび率">Template!$C$14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21">たか!$B$9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22">ゆう!$B$9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21">たか!$C$9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22">ゆう!$C$9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アガリ数" localSheetId="14">あさひ!$B$23</definedName>
    <definedName name="リーチアガリ数" localSheetId="8">いっしー!$B$23</definedName>
    <definedName name="リーチアガリ数" localSheetId="9">がくと!$B$23</definedName>
    <definedName name="リーチアガリ数" localSheetId="5">かこたろう!$B$23</definedName>
    <definedName name="リーチアガリ数" localSheetId="18">かわたつ!$B$23</definedName>
    <definedName name="リーチアガリ数" localSheetId="4">だいち!$B$23</definedName>
    <definedName name="リーチアガリ数" localSheetId="21">たか!$B$23</definedName>
    <definedName name="リーチアガリ数" localSheetId="10">たかの!$B$23</definedName>
    <definedName name="リーチアガリ数" localSheetId="11">ただ!$B$23</definedName>
    <definedName name="リーチアガリ数" localSheetId="20">ちさと!$B$23</definedName>
    <definedName name="リーチアガリ数" localSheetId="6">ともき!$B$23</definedName>
    <definedName name="リーチアガリ数" localSheetId="19">のり!$B$23</definedName>
    <definedName name="リーチアガリ数" localSheetId="16">ぱぱ!$B$23</definedName>
    <definedName name="リーチアガリ数" localSheetId="17">ほたに!$B$23</definedName>
    <definedName name="リーチアガリ数" localSheetId="15">まっつん!$B$23</definedName>
    <definedName name="リーチアガリ数" localSheetId="12">やがさき!$B$23</definedName>
    <definedName name="リーチアガリ数" localSheetId="22">ゆう!$B$23</definedName>
    <definedName name="リーチアガリ数" localSheetId="7">りくと!$B$23</definedName>
    <definedName name="リーチアガリ数" localSheetId="13">れんたろう!$B$23</definedName>
    <definedName name="リーチアガリ数" localSheetId="3">全体!$B$23</definedName>
    <definedName name="リーチアガリ数">Template!$B$23</definedName>
    <definedName name="リーチアガリ率" localSheetId="14">あさひ!$C$23</definedName>
    <definedName name="リーチアガリ率" localSheetId="8">いっしー!$C$23</definedName>
    <definedName name="リーチアガリ率" localSheetId="9">がくと!$C$23</definedName>
    <definedName name="リーチアガリ率" localSheetId="5">かこたろう!$C$23</definedName>
    <definedName name="リーチアガリ率" localSheetId="18">かわたつ!$C$23</definedName>
    <definedName name="リーチアガリ率" localSheetId="4">だいち!$C$23</definedName>
    <definedName name="リーチアガリ率" localSheetId="21">たか!$C$23</definedName>
    <definedName name="リーチアガリ率" localSheetId="10">たかの!$C$23</definedName>
    <definedName name="リーチアガリ率" localSheetId="11">ただ!$C$23</definedName>
    <definedName name="リーチアガリ率" localSheetId="20">ちさと!$C$23</definedName>
    <definedName name="リーチアガリ率" localSheetId="6">ともき!$C$23</definedName>
    <definedName name="リーチアガリ率" localSheetId="19">のり!$C$23</definedName>
    <definedName name="リーチアガリ率" localSheetId="16">ぱぱ!$C$23</definedName>
    <definedName name="リーチアガリ率" localSheetId="17">ほたに!$C$23</definedName>
    <definedName name="リーチアガリ率" localSheetId="15">まっつん!$C$23</definedName>
    <definedName name="リーチアガリ率" localSheetId="12">やがさき!$C$23</definedName>
    <definedName name="リーチアガリ率" localSheetId="22">ゆう!$C$23</definedName>
    <definedName name="リーチアガリ率" localSheetId="7">りくと!$C$23</definedName>
    <definedName name="リーチアガリ率" localSheetId="13">れんたろう!$C$23</definedName>
    <definedName name="リーチアガリ率" localSheetId="3">全体!$C$23</definedName>
    <definedName name="リーチアガリ率">Template!$C$23</definedName>
    <definedName name="リーチ数" localSheetId="14">あさひ!$B$15</definedName>
    <definedName name="リーチ数" localSheetId="8">いっしー!$B$15</definedName>
    <definedName name="リーチ数" localSheetId="9">がくと!$B$15</definedName>
    <definedName name="リーチ数" localSheetId="5">かこたろう!$B$15</definedName>
    <definedName name="リーチ数" localSheetId="18">かわたつ!$B$15</definedName>
    <definedName name="リーチ数" localSheetId="4">だいち!$B$15</definedName>
    <definedName name="リーチ数" localSheetId="21">たか!$B$15</definedName>
    <definedName name="リーチ数" localSheetId="10">たかの!$B$15</definedName>
    <definedName name="リーチ数" localSheetId="11">ただ!$B$15</definedName>
    <definedName name="リーチ数" localSheetId="20">ちさと!$B$15</definedName>
    <definedName name="リーチ数" localSheetId="6">ともき!$B$15</definedName>
    <definedName name="リーチ数" localSheetId="19">のり!$B$15</definedName>
    <definedName name="リーチ数" localSheetId="16">ぱぱ!$B$15</definedName>
    <definedName name="リーチ数" localSheetId="17">ほたに!$B$15</definedName>
    <definedName name="リーチ数" localSheetId="15">まっつん!$B$15</definedName>
    <definedName name="リーチ数" localSheetId="12">やがさき!$B$15</definedName>
    <definedName name="リーチ数" localSheetId="22">ゆう!$B$15</definedName>
    <definedName name="リーチ数" localSheetId="7">りくと!$B$15</definedName>
    <definedName name="リーチ数" localSheetId="13">れんたろう!$B$15</definedName>
    <definedName name="リーチ数" localSheetId="3">全体!$B$15</definedName>
    <definedName name="リーチ数">Template!$B$15</definedName>
    <definedName name="リーチ成功数" localSheetId="14">あさひ!$B$17</definedName>
    <definedName name="リーチ成功数" localSheetId="8">いっしー!$B$17</definedName>
    <definedName name="リーチ成功数" localSheetId="9">がくと!$B$17</definedName>
    <definedName name="リーチ成功数" localSheetId="5">かこたろう!$B$17</definedName>
    <definedName name="リーチ成功数" localSheetId="18">かわたつ!$B$17</definedName>
    <definedName name="リーチ成功数" localSheetId="4">だいち!$B$17</definedName>
    <definedName name="リーチ成功数" localSheetId="21">たか!$B$17</definedName>
    <definedName name="リーチ成功数" localSheetId="10">たかの!$B$17</definedName>
    <definedName name="リーチ成功数" localSheetId="11">ただ!$B$17</definedName>
    <definedName name="リーチ成功数" localSheetId="20">ちさと!$B$17</definedName>
    <definedName name="リーチ成功数" localSheetId="6">ともき!$B$17</definedName>
    <definedName name="リーチ成功数" localSheetId="19">のり!$B$17</definedName>
    <definedName name="リーチ成功数" localSheetId="16">ぱぱ!$B$17</definedName>
    <definedName name="リーチ成功数" localSheetId="17">ほたに!$B$17</definedName>
    <definedName name="リーチ成功数" localSheetId="15">まっつん!$B$17</definedName>
    <definedName name="リーチ成功数" localSheetId="12">やがさき!$B$17</definedName>
    <definedName name="リーチ成功数" localSheetId="22">ゆう!$B$17</definedName>
    <definedName name="リーチ成功数" localSheetId="7">りくと!$B$17</definedName>
    <definedName name="リーチ成功数" localSheetId="13">れんたろう!$B$17</definedName>
    <definedName name="リーチ成功数" localSheetId="3">全体!$B$17</definedName>
    <definedName name="リーチ成功数">Template!$B$17</definedName>
    <definedName name="リーチ成功率" localSheetId="14">あさひ!$C$17</definedName>
    <definedName name="リーチ成功率" localSheetId="8">いっしー!$C$17</definedName>
    <definedName name="リーチ成功率" localSheetId="9">がくと!$C$17</definedName>
    <definedName name="リーチ成功率" localSheetId="5">かこたろう!$C$17</definedName>
    <definedName name="リーチ成功率" localSheetId="18">かわたつ!$C$17</definedName>
    <definedName name="リーチ成功率" localSheetId="4">だいち!$C$17</definedName>
    <definedName name="リーチ成功率" localSheetId="21">たか!$C$17</definedName>
    <definedName name="リーチ成功率" localSheetId="10">たかの!$C$17</definedName>
    <definedName name="リーチ成功率" localSheetId="11">ただ!$C$17</definedName>
    <definedName name="リーチ成功率" localSheetId="20">ちさと!$C$17</definedName>
    <definedName name="リーチ成功率" localSheetId="6">ともき!$C$17</definedName>
    <definedName name="リーチ成功率" localSheetId="19">のり!$C$17</definedName>
    <definedName name="リーチ成功率" localSheetId="16">ぱぱ!$C$17</definedName>
    <definedName name="リーチ成功率" localSheetId="17">ほたに!$C$17</definedName>
    <definedName name="リーチ成功率" localSheetId="15">まっつん!$C$17</definedName>
    <definedName name="リーチ成功率" localSheetId="12">やがさき!$C$17</definedName>
    <definedName name="リーチ成功率" localSheetId="22">ゆう!$C$17</definedName>
    <definedName name="リーチ成功率" localSheetId="7">りくと!$C$17</definedName>
    <definedName name="リーチ成功率" localSheetId="13">れんたろう!$C$17</definedName>
    <definedName name="リーチ成功率" localSheetId="3">全体!$C$17</definedName>
    <definedName name="リーチ成功率">Template!$C$17</definedName>
    <definedName name="リーチ率" localSheetId="14">あさひ!$C$15</definedName>
    <definedName name="リーチ率" localSheetId="8">いっしー!$C$15</definedName>
    <definedName name="リーチ率" localSheetId="9">がくと!$C$15</definedName>
    <definedName name="リーチ率" localSheetId="5">かこたろう!$C$15</definedName>
    <definedName name="リーチ率" localSheetId="18">かわたつ!$C$15</definedName>
    <definedName name="リーチ率" localSheetId="4">だいち!$C$15</definedName>
    <definedName name="リーチ率" localSheetId="21">たか!$C$15</definedName>
    <definedName name="リーチ率" localSheetId="10">たかの!$C$15</definedName>
    <definedName name="リーチ率" localSheetId="11">ただ!$C$15</definedName>
    <definedName name="リーチ率" localSheetId="20">ちさと!$C$15</definedName>
    <definedName name="リーチ率" localSheetId="6">ともき!$C$15</definedName>
    <definedName name="リーチ率" localSheetId="19">のり!$C$15</definedName>
    <definedName name="リーチ率" localSheetId="16">ぱぱ!$C$15</definedName>
    <definedName name="リーチ率" localSheetId="17">ほたに!$C$15</definedName>
    <definedName name="リーチ率" localSheetId="15">まっつん!$C$15</definedName>
    <definedName name="リーチ率" localSheetId="12">やがさき!$C$15</definedName>
    <definedName name="リーチ率" localSheetId="22">ゆう!$C$15</definedName>
    <definedName name="リーチ率" localSheetId="7">りくと!$C$15</definedName>
    <definedName name="リーチ率" localSheetId="13">れんたろう!$C$15</definedName>
    <definedName name="リーチ率" localSheetId="3">全体!$C$15</definedName>
    <definedName name="リーチ率">Template!$C$15</definedName>
    <definedName name="ロン数" localSheetId="14">あさひ!$B$22</definedName>
    <definedName name="ロン数" localSheetId="8">いっしー!$B$22</definedName>
    <definedName name="ロン数" localSheetId="9">がくと!$B$22</definedName>
    <definedName name="ロン数" localSheetId="5">かこたろう!$B$22</definedName>
    <definedName name="ロン数" localSheetId="18">かわたつ!$B$22</definedName>
    <definedName name="ロン数" localSheetId="4">だいち!$B$22</definedName>
    <definedName name="ロン数" localSheetId="21">たか!$B$22</definedName>
    <definedName name="ロン数" localSheetId="10">たかの!$B$22</definedName>
    <definedName name="ロン数" localSheetId="11">ただ!$B$22</definedName>
    <definedName name="ロン数" localSheetId="20">ちさと!$B$22</definedName>
    <definedName name="ロン数" localSheetId="6">ともき!$B$22</definedName>
    <definedName name="ロン数" localSheetId="19">のり!$B$22</definedName>
    <definedName name="ロン数" localSheetId="16">ぱぱ!$B$22</definedName>
    <definedName name="ロン数" localSheetId="17">ほたに!$B$22</definedName>
    <definedName name="ロン数" localSheetId="15">まっつん!$B$22</definedName>
    <definedName name="ロン数" localSheetId="12">やがさき!$B$22</definedName>
    <definedName name="ロン数" localSheetId="22">ゆう!$B$22</definedName>
    <definedName name="ロン数" localSheetId="7">りくと!$B$22</definedName>
    <definedName name="ロン数" localSheetId="13">れんたろう!$B$22</definedName>
    <definedName name="ロン数" localSheetId="3">全体!$B$22</definedName>
    <definedName name="ロン数">Template!$B$22</definedName>
    <definedName name="ロン率" localSheetId="14">あさひ!$C$22</definedName>
    <definedName name="ロン率" localSheetId="8">いっしー!$C$22</definedName>
    <definedName name="ロン率" localSheetId="9">がくと!$C$22</definedName>
    <definedName name="ロン率" localSheetId="5">かこたろう!$C$22</definedName>
    <definedName name="ロン率" localSheetId="18">かわたつ!$C$22</definedName>
    <definedName name="ロン率" localSheetId="4">だいち!$C$22</definedName>
    <definedName name="ロン率" localSheetId="21">たか!$C$22</definedName>
    <definedName name="ロン率" localSheetId="10">たかの!$C$22</definedName>
    <definedName name="ロン率" localSheetId="11">ただ!$C$22</definedName>
    <definedName name="ロン率" localSheetId="20">ちさと!$C$22</definedName>
    <definedName name="ロン率" localSheetId="6">ともき!$C$22</definedName>
    <definedName name="ロン率" localSheetId="19">のり!$C$22</definedName>
    <definedName name="ロン率" localSheetId="16">ぱぱ!$C$22</definedName>
    <definedName name="ロン率" localSheetId="17">ほたに!$C$22</definedName>
    <definedName name="ロン率" localSheetId="15">まっつん!$C$22</definedName>
    <definedName name="ロン率" localSheetId="12">やがさき!$C$22</definedName>
    <definedName name="ロン率" localSheetId="22">ゆう!$C$22</definedName>
    <definedName name="ロン率" localSheetId="7">りくと!$C$22</definedName>
    <definedName name="ロン率" localSheetId="13">れんたろう!$C$22</definedName>
    <definedName name="ロン率" localSheetId="3">全体!$C$22</definedName>
    <definedName name="ロン率">Template!$C$22</definedName>
    <definedName name="一位スコア" localSheetId="14">あさひ!$B$10</definedName>
    <definedName name="一位スコア" localSheetId="8">いっしー!$B$10</definedName>
    <definedName name="一位スコア" localSheetId="9">がくと!$B$10</definedName>
    <definedName name="一位スコア" localSheetId="5">かこたろう!$B$10</definedName>
    <definedName name="一位スコア" localSheetId="18">かわたつ!$B$10</definedName>
    <definedName name="一位スコア" localSheetId="4">だいち!$B$10</definedName>
    <definedName name="一位スコア" localSheetId="21">たか!$B$10</definedName>
    <definedName name="一位スコア" localSheetId="10">たかの!$B$10</definedName>
    <definedName name="一位スコア" localSheetId="11">ただ!$B$10</definedName>
    <definedName name="一位スコア" localSheetId="20">ちさと!$B$10</definedName>
    <definedName name="一位スコア" localSheetId="6">ともき!$B$10</definedName>
    <definedName name="一位スコア" localSheetId="19">のり!$B$10</definedName>
    <definedName name="一位スコア" localSheetId="16">ぱぱ!$B$10</definedName>
    <definedName name="一位スコア" localSheetId="17">ほたに!$B$10</definedName>
    <definedName name="一位スコア" localSheetId="15">まっつん!$B$10</definedName>
    <definedName name="一位スコア" localSheetId="12">やがさき!$B$10</definedName>
    <definedName name="一位スコア" localSheetId="22">ゆう!$B$10</definedName>
    <definedName name="一位スコア" localSheetId="7">りくと!$B$10</definedName>
    <definedName name="一位スコア" localSheetId="13">れんたろう!$B$10</definedName>
    <definedName name="一位スコア" localSheetId="3">全体!$B$10</definedName>
    <definedName name="一位スコア">Template!$B$10</definedName>
    <definedName name="一位通算スコア" localSheetId="14">あさひ!$C$10</definedName>
    <definedName name="一位通算スコア" localSheetId="8">いっしー!$C$10</definedName>
    <definedName name="一位通算スコア" localSheetId="9">がくと!$C$10</definedName>
    <definedName name="一位通算スコア" localSheetId="5">かこたろう!$C$10</definedName>
    <definedName name="一位通算スコア" localSheetId="18">かわたつ!$C$10</definedName>
    <definedName name="一位通算スコア" localSheetId="4">だいち!$C$10</definedName>
    <definedName name="一位通算スコア" localSheetId="21">たか!$C$10</definedName>
    <definedName name="一位通算スコア" localSheetId="10">たかの!$C$10</definedName>
    <definedName name="一位通算スコア" localSheetId="11">ただ!$C$10</definedName>
    <definedName name="一位通算スコア" localSheetId="20">ちさと!$C$10</definedName>
    <definedName name="一位通算スコア" localSheetId="6">ともき!$C$10</definedName>
    <definedName name="一位通算スコア" localSheetId="19">のり!$C$10</definedName>
    <definedName name="一位通算スコア" localSheetId="16">ぱぱ!$C$10</definedName>
    <definedName name="一位通算スコア" localSheetId="17">ほたに!$C$10</definedName>
    <definedName name="一位通算スコア" localSheetId="15">まっつん!$C$10</definedName>
    <definedName name="一位通算スコア" localSheetId="12">やがさき!$C$10</definedName>
    <definedName name="一位通算スコア" localSheetId="22">ゆう!$C$10</definedName>
    <definedName name="一位通算スコア" localSheetId="7">りくと!$C$10</definedName>
    <definedName name="一位通算スコア" localSheetId="13">れんたろう!$C$10</definedName>
    <definedName name="一位通算スコア" localSheetId="3">全体!$C$10</definedName>
    <definedName name="一位通算スコア">Template!$C$10</definedName>
    <definedName name="一翻数" localSheetId="14">あさひ!$B$36</definedName>
    <definedName name="一翻数" localSheetId="8">いっしー!$B$36</definedName>
    <definedName name="一翻数" localSheetId="9">がくと!$B$36</definedName>
    <definedName name="一翻数" localSheetId="5">かこたろう!$B$36</definedName>
    <definedName name="一翻数" localSheetId="18">かわたつ!$B$36</definedName>
    <definedName name="一翻数" localSheetId="4">だいち!$B$36</definedName>
    <definedName name="一翻数" localSheetId="21">たか!$B$36</definedName>
    <definedName name="一翻数" localSheetId="10">たかの!$B$36</definedName>
    <definedName name="一翻数" localSheetId="11">ただ!$B$36</definedName>
    <definedName name="一翻数" localSheetId="20">ちさと!$B$36</definedName>
    <definedName name="一翻数" localSheetId="6">ともき!$B$36</definedName>
    <definedName name="一翻数" localSheetId="19">のり!$B$36</definedName>
    <definedName name="一翻数" localSheetId="16">ぱぱ!$B$36</definedName>
    <definedName name="一翻数" localSheetId="17">ほたに!$B$36</definedName>
    <definedName name="一翻数" localSheetId="15">まっつん!$B$36</definedName>
    <definedName name="一翻数" localSheetId="12">やがさき!$B$36</definedName>
    <definedName name="一翻数" localSheetId="22">ゆう!$B$36</definedName>
    <definedName name="一翻数" localSheetId="7">りくと!$B$36</definedName>
    <definedName name="一翻数" localSheetId="13">れんたろう!$B$36</definedName>
    <definedName name="一翻数" localSheetId="3">全体!$B$36</definedName>
    <definedName name="一翻数">Template!$B$36</definedName>
    <definedName name="一翻率" localSheetId="14">あさひ!$C$36</definedName>
    <definedName name="一翻率" localSheetId="8">いっしー!$C$36</definedName>
    <definedName name="一翻率" localSheetId="9">がくと!$C$36</definedName>
    <definedName name="一翻率" localSheetId="5">かこたろう!$C$36</definedName>
    <definedName name="一翻率" localSheetId="18">かわたつ!$C$36</definedName>
    <definedName name="一翻率" localSheetId="4">だいち!$C$36</definedName>
    <definedName name="一翻率" localSheetId="21">たか!$C$36</definedName>
    <definedName name="一翻率" localSheetId="10">たかの!$C$36</definedName>
    <definedName name="一翻率" localSheetId="11">ただ!$C$36</definedName>
    <definedName name="一翻率" localSheetId="20">ちさと!$C$36</definedName>
    <definedName name="一翻率" localSheetId="6">ともき!$C$36</definedName>
    <definedName name="一翻率" localSheetId="19">のり!$C$36</definedName>
    <definedName name="一翻率" localSheetId="16">ぱぱ!$C$36</definedName>
    <definedName name="一翻率" localSheetId="17">ほたに!$C$36</definedName>
    <definedName name="一翻率" localSheetId="15">まっつん!$C$36</definedName>
    <definedName name="一翻率" localSheetId="12">やがさき!$C$36</definedName>
    <definedName name="一翻率" localSheetId="22">ゆう!$C$36</definedName>
    <definedName name="一翻率" localSheetId="7">りくと!$C$36</definedName>
    <definedName name="一翻率" localSheetId="13">れんたろう!$C$36</definedName>
    <definedName name="一翻率" localSheetId="3">全体!$C$36</definedName>
    <definedName name="一翻率">Template!$C$36</definedName>
    <definedName name="逆転数" localSheetId="14">あさひ!#REF!</definedName>
    <definedName name="逆転数" localSheetId="8">いっしー!#REF!</definedName>
    <definedName name="逆転数" localSheetId="9">がくと!#REF!</definedName>
    <definedName name="逆転数" localSheetId="5">かこたろう!#REF!</definedName>
    <definedName name="逆転数" localSheetId="18">かわたつ!#REF!</definedName>
    <definedName name="逆転数" localSheetId="4">だいち!#REF!</definedName>
    <definedName name="逆転数" localSheetId="21">たか!#REF!</definedName>
    <definedName name="逆転数" localSheetId="10">たかの!#REF!</definedName>
    <definedName name="逆転数" localSheetId="11">ただ!#REF!</definedName>
    <definedName name="逆転数" localSheetId="20">ちさと!#REF!</definedName>
    <definedName name="逆転数" localSheetId="6">ともき!#REF!</definedName>
    <definedName name="逆転数" localSheetId="19">のり!#REF!</definedName>
    <definedName name="逆転数" localSheetId="16">ぱぱ!#REF!</definedName>
    <definedName name="逆転数" localSheetId="17">ほたに!#REF!</definedName>
    <definedName name="逆転数" localSheetId="15">まっつん!#REF!</definedName>
    <definedName name="逆転数" localSheetId="12">やがさき!#REF!</definedName>
    <definedName name="逆転数" localSheetId="22">ゆう!#REF!</definedName>
    <definedName name="逆転数" localSheetId="7">りくと!#REF!</definedName>
    <definedName name="逆転数" localSheetId="13">れんたろう!#REF!</definedName>
    <definedName name="逆転数" localSheetId="3">全体!#REF!</definedName>
    <definedName name="逆転数">Template!#REF!</definedName>
    <definedName name="逆転率" localSheetId="14">あさひ!#REF!</definedName>
    <definedName name="逆転率" localSheetId="8">いっしー!#REF!</definedName>
    <definedName name="逆転率" localSheetId="9">がくと!#REF!</definedName>
    <definedName name="逆転率" localSheetId="5">かこたろう!#REF!</definedName>
    <definedName name="逆転率" localSheetId="18">かわたつ!#REF!</definedName>
    <definedName name="逆転率" localSheetId="4">だいち!#REF!</definedName>
    <definedName name="逆転率" localSheetId="21">たか!#REF!</definedName>
    <definedName name="逆転率" localSheetId="10">たかの!#REF!</definedName>
    <definedName name="逆転率" localSheetId="11">ただ!#REF!</definedName>
    <definedName name="逆転率" localSheetId="20">ちさと!#REF!</definedName>
    <definedName name="逆転率" localSheetId="6">ともき!#REF!</definedName>
    <definedName name="逆転率" localSheetId="19">のり!#REF!</definedName>
    <definedName name="逆転率" localSheetId="16">ぱぱ!#REF!</definedName>
    <definedName name="逆転率" localSheetId="17">ほたに!#REF!</definedName>
    <definedName name="逆転率" localSheetId="15">まっつん!#REF!</definedName>
    <definedName name="逆転率" localSheetId="12">やがさき!#REF!</definedName>
    <definedName name="逆転率" localSheetId="22">ゆう!#REF!</definedName>
    <definedName name="逆転率" localSheetId="7">りくと!#REF!</definedName>
    <definedName name="逆転率" localSheetId="13">れんたろう!#REF!</definedName>
    <definedName name="逆転率" localSheetId="3">全体!#REF!</definedName>
    <definedName name="逆転率">Template!#REF!</definedName>
    <definedName name="現行連続アガリ" localSheetId="14">あさひ!$C$30</definedName>
    <definedName name="現行連続アガリ" localSheetId="8">いっしー!$C$30</definedName>
    <definedName name="現行連続アガリ" localSheetId="9">がくと!$C$30</definedName>
    <definedName name="現行連続アガリ" localSheetId="5">かこたろう!$C$30</definedName>
    <definedName name="現行連続アガリ" localSheetId="18">かわたつ!$C$30</definedName>
    <definedName name="現行連続アガリ" localSheetId="4">だいち!$C$30</definedName>
    <definedName name="現行連続アガリ" localSheetId="21">たか!$C$30</definedName>
    <definedName name="現行連続アガリ" localSheetId="10">たかの!$C$30</definedName>
    <definedName name="現行連続アガリ" localSheetId="11">ただ!$C$30</definedName>
    <definedName name="現行連続アガリ" localSheetId="20">ちさと!$C$30</definedName>
    <definedName name="現行連続アガリ" localSheetId="6">ともき!$C$30</definedName>
    <definedName name="現行連続アガリ" localSheetId="19">のり!$C$30</definedName>
    <definedName name="現行連続アガリ" localSheetId="16">ぱぱ!$C$30</definedName>
    <definedName name="現行連続アガリ" localSheetId="17">ほたに!$C$30</definedName>
    <definedName name="現行連続アガリ" localSheetId="15">まっつん!$C$30</definedName>
    <definedName name="現行連続アガリ" localSheetId="12">やがさき!$C$30</definedName>
    <definedName name="現行連続アガリ" localSheetId="22">ゆう!$C$30</definedName>
    <definedName name="現行連続アガリ" localSheetId="7">りくと!$C$30</definedName>
    <definedName name="現行連続アガリ" localSheetId="13">れんたろう!$C$30</definedName>
    <definedName name="現行連続アガリ" localSheetId="3">全体!$C$30</definedName>
    <definedName name="現行連続アガリ">Template!$C$30</definedName>
    <definedName name="現行連続無放銃" localSheetId="14">あさひ!$C$31</definedName>
    <definedName name="現行連続無放銃" localSheetId="8">いっしー!$C$31</definedName>
    <definedName name="現行連続無放銃" localSheetId="9">がくと!$C$31</definedName>
    <definedName name="現行連続無放銃" localSheetId="5">かこたろう!$C$31</definedName>
    <definedName name="現行連続無放銃" localSheetId="18">かわたつ!$C$31</definedName>
    <definedName name="現行連続無放銃" localSheetId="4">だいち!$C$31</definedName>
    <definedName name="現行連続無放銃" localSheetId="21">たか!$C$31</definedName>
    <definedName name="現行連続無放銃" localSheetId="10">たかの!$C$31</definedName>
    <definedName name="現行連続無放銃" localSheetId="11">ただ!$C$31</definedName>
    <definedName name="現行連続無放銃" localSheetId="20">ちさと!$C$31</definedName>
    <definedName name="現行連続無放銃" localSheetId="6">ともき!$C$31</definedName>
    <definedName name="現行連続無放銃" localSheetId="19">のり!$C$31</definedName>
    <definedName name="現行連続無放銃" localSheetId="16">ぱぱ!$C$31</definedName>
    <definedName name="現行連続無放銃" localSheetId="17">ほたに!$C$31</definedName>
    <definedName name="現行連続無放銃" localSheetId="15">まっつん!$C$31</definedName>
    <definedName name="現行連続無放銃" localSheetId="12">やがさき!$C$31</definedName>
    <definedName name="現行連続無放銃" localSheetId="22">ゆう!$C$31</definedName>
    <definedName name="現行連続無放銃" localSheetId="7">りくと!$C$31</definedName>
    <definedName name="現行連続無放銃" localSheetId="13">れんたろう!$C$31</definedName>
    <definedName name="現行連続無放銃" localSheetId="3">全体!$C$31</definedName>
    <definedName name="現行連続無放銃">Template!$C$31</definedName>
    <definedName name="最高点" localSheetId="14">あさひ!$B$33</definedName>
    <definedName name="最高点" localSheetId="8">いっしー!$B$33</definedName>
    <definedName name="最高点" localSheetId="9">がくと!$B$33</definedName>
    <definedName name="最高点" localSheetId="5">かこたろう!$B$33</definedName>
    <definedName name="最高点" localSheetId="18">かわたつ!$B$33</definedName>
    <definedName name="最高点" localSheetId="4">だいち!$B$33</definedName>
    <definedName name="最高点" localSheetId="21">たか!$B$33</definedName>
    <definedName name="最高点" localSheetId="10">たかの!$B$33</definedName>
    <definedName name="最高点" localSheetId="11">ただ!$B$33</definedName>
    <definedName name="最高点" localSheetId="20">ちさと!$B$33</definedName>
    <definedName name="最高点" localSheetId="6">ともき!$B$33</definedName>
    <definedName name="最高点" localSheetId="19">のり!$B$33</definedName>
    <definedName name="最高点" localSheetId="16">ぱぱ!$B$33</definedName>
    <definedName name="最高点" localSheetId="17">ほたに!$B$33</definedName>
    <definedName name="最高点" localSheetId="15">まっつん!$B$33</definedName>
    <definedName name="最高点" localSheetId="12">やがさき!$B$33</definedName>
    <definedName name="最高点" localSheetId="22">ゆう!$B$33</definedName>
    <definedName name="最高点" localSheetId="7">りくと!$B$33</definedName>
    <definedName name="最高点" localSheetId="13">れんたろう!$B$33</definedName>
    <definedName name="最高点" localSheetId="3">全体!$B$33</definedName>
    <definedName name="最高点">Template!$B$33</definedName>
    <definedName name="最大ドラ数" localSheetId="14">あさひ!$B$32</definedName>
    <definedName name="最大ドラ数" localSheetId="8">いっしー!$B$32</definedName>
    <definedName name="最大ドラ数" localSheetId="9">がくと!$B$32</definedName>
    <definedName name="最大ドラ数" localSheetId="5">かこたろう!$B$32</definedName>
    <definedName name="最大ドラ数" localSheetId="18">かわたつ!$B$32</definedName>
    <definedName name="最大ドラ数" localSheetId="4">だいち!$B$32</definedName>
    <definedName name="最大ドラ数" localSheetId="21">たか!$B$32</definedName>
    <definedName name="最大ドラ数" localSheetId="10">たかの!$B$32</definedName>
    <definedName name="最大ドラ数" localSheetId="11">ただ!$B$32</definedName>
    <definedName name="最大ドラ数" localSheetId="20">ちさと!$B$32</definedName>
    <definedName name="最大ドラ数" localSheetId="6">ともき!$B$32</definedName>
    <definedName name="最大ドラ数" localSheetId="19">のり!$B$32</definedName>
    <definedName name="最大ドラ数" localSheetId="16">ぱぱ!$B$32</definedName>
    <definedName name="最大ドラ数" localSheetId="17">ほたに!$B$32</definedName>
    <definedName name="最大ドラ数" localSheetId="15">まっつん!$B$32</definedName>
    <definedName name="最大ドラ数" localSheetId="12">やがさき!$B$32</definedName>
    <definedName name="最大ドラ数" localSheetId="22">ゆう!$B$32</definedName>
    <definedName name="最大ドラ数" localSheetId="7">りくと!$B$32</definedName>
    <definedName name="最大ドラ数" localSheetId="13">れんたろう!$B$32</definedName>
    <definedName name="最大ドラ数" localSheetId="3">全体!$B$32</definedName>
    <definedName name="最大ドラ数">Template!$B$32</definedName>
    <definedName name="最大点数" localSheetId="14">あさひ!$B$33</definedName>
    <definedName name="最大点数" localSheetId="8">いっしー!$B$33</definedName>
    <definedName name="最大点数" localSheetId="9">がくと!$B$33</definedName>
    <definedName name="最大点数" localSheetId="5">かこたろう!$B$33</definedName>
    <definedName name="最大点数" localSheetId="18">かわたつ!$B$33</definedName>
    <definedName name="最大点数" localSheetId="4">だいち!$B$33</definedName>
    <definedName name="最大点数" localSheetId="21">たか!$B$33</definedName>
    <definedName name="最大点数" localSheetId="10">たかの!$B$33</definedName>
    <definedName name="最大点数" localSheetId="11">ただ!$B$33</definedName>
    <definedName name="最大点数" localSheetId="20">ちさと!$B$33</definedName>
    <definedName name="最大点数" localSheetId="6">ともき!$B$33</definedName>
    <definedName name="最大点数" localSheetId="19">のり!$B$33</definedName>
    <definedName name="最大点数" localSheetId="16">ぱぱ!$B$33</definedName>
    <definedName name="最大点数" localSheetId="17">ほたに!$B$33</definedName>
    <definedName name="最大点数" localSheetId="15">まっつん!$B$33</definedName>
    <definedName name="最大点数" localSheetId="12">やがさき!$B$33</definedName>
    <definedName name="最大点数" localSheetId="22">ゆう!$B$33</definedName>
    <definedName name="最大点数" localSheetId="7">りくと!$B$33</definedName>
    <definedName name="最大点数" localSheetId="13">れんたろう!$B$33</definedName>
    <definedName name="最大点数" localSheetId="3">全体!$B$33</definedName>
    <definedName name="最大点数">Template!$B$33</definedName>
    <definedName name="三位スコア" localSheetId="14">あさひ!$B$12</definedName>
    <definedName name="三位スコア" localSheetId="8">いっしー!$B$12</definedName>
    <definedName name="三位スコア" localSheetId="9">がくと!$B$12</definedName>
    <definedName name="三位スコア" localSheetId="5">かこたろう!$B$12</definedName>
    <definedName name="三位スコア" localSheetId="18">かわたつ!$B$12</definedName>
    <definedName name="三位スコア" localSheetId="4">だいち!$B$12</definedName>
    <definedName name="三位スコア" localSheetId="21">たか!$B$12</definedName>
    <definedName name="三位スコア" localSheetId="10">たかの!$B$12</definedName>
    <definedName name="三位スコア" localSheetId="11">ただ!$B$12</definedName>
    <definedName name="三位スコア" localSheetId="20">ちさと!$B$12</definedName>
    <definedName name="三位スコア" localSheetId="6">ともき!$B$12</definedName>
    <definedName name="三位スコア" localSheetId="19">のり!$B$12</definedName>
    <definedName name="三位スコア" localSheetId="16">ぱぱ!$B$12</definedName>
    <definedName name="三位スコア" localSheetId="17">ほたに!$B$12</definedName>
    <definedName name="三位スコア" localSheetId="15">まっつん!$B$12</definedName>
    <definedName name="三位スコア" localSheetId="12">やがさき!$B$12</definedName>
    <definedName name="三位スコア" localSheetId="22">ゆう!$B$12</definedName>
    <definedName name="三位スコア" localSheetId="7">りくと!$B$12</definedName>
    <definedName name="三位スコア" localSheetId="13">れんたろう!$B$12</definedName>
    <definedName name="三位スコア" localSheetId="3">全体!$B$12</definedName>
    <definedName name="三位スコア">Template!$B$12</definedName>
    <definedName name="三位通算スコア" localSheetId="14">あさひ!$C$12</definedName>
    <definedName name="三位通算スコア" localSheetId="8">いっしー!$C$12</definedName>
    <definedName name="三位通算スコア" localSheetId="9">がくと!$C$12</definedName>
    <definedName name="三位通算スコア" localSheetId="5">かこたろう!$C$12</definedName>
    <definedName name="三位通算スコア" localSheetId="18">かわたつ!$C$12</definedName>
    <definedName name="三位通算スコア" localSheetId="4">だいち!$C$12</definedName>
    <definedName name="三位通算スコア" localSheetId="21">たか!$C$12</definedName>
    <definedName name="三位通算スコア" localSheetId="10">たかの!$C$12</definedName>
    <definedName name="三位通算スコア" localSheetId="11">ただ!$C$12</definedName>
    <definedName name="三位通算スコア" localSheetId="20">ちさと!$C$12</definedName>
    <definedName name="三位通算スコア" localSheetId="6">ともき!$C$12</definedName>
    <definedName name="三位通算スコア" localSheetId="19">のり!$C$12</definedName>
    <definedName name="三位通算スコア" localSheetId="16">ぱぱ!$C$12</definedName>
    <definedName name="三位通算スコア" localSheetId="17">ほたに!$C$12</definedName>
    <definedName name="三位通算スコア" localSheetId="15">まっつん!$C$12</definedName>
    <definedName name="三位通算スコア" localSheetId="12">やがさき!$C$12</definedName>
    <definedName name="三位通算スコア" localSheetId="22">ゆう!$C$12</definedName>
    <definedName name="三位通算スコア" localSheetId="7">りくと!$C$12</definedName>
    <definedName name="三位通算スコア" localSheetId="13">れんたろう!$C$12</definedName>
    <definedName name="三位通算スコア" localSheetId="3">全体!$C$12</definedName>
    <definedName name="三位通算スコア">Template!$C$12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アガリ点" localSheetId="14">あさひ!$C$26</definedName>
    <definedName name="通算アガリ点" localSheetId="8">いっしー!$C$26</definedName>
    <definedName name="通算アガリ点" localSheetId="9">がくと!$C$26</definedName>
    <definedName name="通算アガリ点" localSheetId="5">かこたろう!$C$26</definedName>
    <definedName name="通算アガリ点" localSheetId="18">かわたつ!$C$26</definedName>
    <definedName name="通算アガリ点" localSheetId="4">だいち!$C$26</definedName>
    <definedName name="通算アガリ点" localSheetId="21">たか!$C$26</definedName>
    <definedName name="通算アガリ点" localSheetId="10">たかの!$C$26</definedName>
    <definedName name="通算アガリ点" localSheetId="11">ただ!$C$26</definedName>
    <definedName name="通算アガリ点" localSheetId="20">ちさと!$C$26</definedName>
    <definedName name="通算アガリ点" localSheetId="6">ともき!$C$26</definedName>
    <definedName name="通算アガリ点" localSheetId="19">のり!$C$26</definedName>
    <definedName name="通算アガリ点" localSheetId="16">ぱぱ!$C$26</definedName>
    <definedName name="通算アガリ点" localSheetId="17">ほたに!$C$26</definedName>
    <definedName name="通算アガリ点" localSheetId="15">まっつん!$C$26</definedName>
    <definedName name="通算アガリ点" localSheetId="12">やがさき!$C$26</definedName>
    <definedName name="通算アガリ点" localSheetId="22">ゆう!$C$26</definedName>
    <definedName name="通算アガリ点" localSheetId="7">りくと!$C$26</definedName>
    <definedName name="通算アガリ点" localSheetId="13">れんたろう!$C$26</definedName>
    <definedName name="通算アガリ点" localSheetId="3">全体!$C$26</definedName>
    <definedName name="通算アガリ点">Template!$C$26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通算副露アガリ点" localSheetId="14">あさひ!$C$28</definedName>
    <definedName name="通算副露アガリ点" localSheetId="8">いっしー!$C$28</definedName>
    <definedName name="通算副露アガリ点" localSheetId="9">がくと!$C$28</definedName>
    <definedName name="通算副露アガリ点" localSheetId="5">かこたろう!$C$28</definedName>
    <definedName name="通算副露アガリ点" localSheetId="18">かわたつ!$C$28</definedName>
    <definedName name="通算副露アガリ点" localSheetId="4">だいち!$C$28</definedName>
    <definedName name="通算副露アガリ点" localSheetId="21">たか!$C$28</definedName>
    <definedName name="通算副露アガリ点" localSheetId="10">たかの!$C$28</definedName>
    <definedName name="通算副露アガリ点" localSheetId="11">ただ!$C$28</definedName>
    <definedName name="通算副露アガリ点" localSheetId="20">ちさと!$C$28</definedName>
    <definedName name="通算副露アガリ点" localSheetId="6">ともき!$C$28</definedName>
    <definedName name="通算副露アガリ点" localSheetId="19">のり!$C$28</definedName>
    <definedName name="通算副露アガリ点" localSheetId="16">ぱぱ!$C$28</definedName>
    <definedName name="通算副露アガリ点" localSheetId="17">ほたに!$C$28</definedName>
    <definedName name="通算副露アガリ点" localSheetId="15">まっつん!$C$28</definedName>
    <definedName name="通算副露アガリ点" localSheetId="12">やがさき!$C$28</definedName>
    <definedName name="通算副露アガリ点" localSheetId="22">ゆう!$C$28</definedName>
    <definedName name="通算副露アガリ点" localSheetId="7">りくと!$C$28</definedName>
    <definedName name="通算副露アガリ点" localSheetId="13">れんたろう!$C$28</definedName>
    <definedName name="通算副露アガリ点" localSheetId="3">全体!$C$28</definedName>
    <definedName name="通算副露アガリ点">Template!$C$28</definedName>
    <definedName name="通算放銃点" localSheetId="14">あさひ!$C$29</definedName>
    <definedName name="通算放銃点" localSheetId="8">いっしー!$C$29</definedName>
    <definedName name="通算放銃点" localSheetId="9">がくと!$C$29</definedName>
    <definedName name="通算放銃点" localSheetId="5">かこたろう!$C$29</definedName>
    <definedName name="通算放銃点" localSheetId="18">かわたつ!$C$29</definedName>
    <definedName name="通算放銃点" localSheetId="4">だいち!$C$29</definedName>
    <definedName name="通算放銃点" localSheetId="21">たか!$C$29</definedName>
    <definedName name="通算放銃点" localSheetId="10">たかの!$C$29</definedName>
    <definedName name="通算放銃点" localSheetId="11">ただ!$C$29</definedName>
    <definedName name="通算放銃点" localSheetId="20">ちさと!$C$29</definedName>
    <definedName name="通算放銃点" localSheetId="6">ともき!$C$29</definedName>
    <definedName name="通算放銃点" localSheetId="19">のり!$C$29</definedName>
    <definedName name="通算放銃点" localSheetId="16">ぱぱ!$C$29</definedName>
    <definedName name="通算放銃点" localSheetId="17">ほたに!$C$29</definedName>
    <definedName name="通算放銃点" localSheetId="15">まっつん!$C$29</definedName>
    <definedName name="通算放銃点" localSheetId="12">やがさき!$C$29</definedName>
    <definedName name="通算放銃点" localSheetId="22">ゆう!$C$29</definedName>
    <definedName name="通算放銃点" localSheetId="7">りくと!$C$29</definedName>
    <definedName name="通算放銃点" localSheetId="13">れんたろう!$C$29</definedName>
    <definedName name="通算放銃点" localSheetId="3">全体!$C$29</definedName>
    <definedName name="通算放銃点">Template!$C$29</definedName>
    <definedName name="通算門前アガリ点" localSheetId="14">あさひ!$C$27</definedName>
    <definedName name="通算門前アガリ点" localSheetId="8">いっしー!$C$27</definedName>
    <definedName name="通算門前アガリ点" localSheetId="9">がくと!$C$27</definedName>
    <definedName name="通算門前アガリ点" localSheetId="5">かこたろう!$C$27</definedName>
    <definedName name="通算門前アガリ点" localSheetId="18">かわたつ!$C$27</definedName>
    <definedName name="通算門前アガリ点" localSheetId="4">だいち!$C$27</definedName>
    <definedName name="通算門前アガリ点" localSheetId="21">たか!$C$27</definedName>
    <definedName name="通算門前アガリ点" localSheetId="10">たかの!$C$27</definedName>
    <definedName name="通算門前アガリ点" localSheetId="11">ただ!$C$27</definedName>
    <definedName name="通算門前アガリ点" localSheetId="20">ちさと!$C$27</definedName>
    <definedName name="通算門前アガリ点" localSheetId="6">ともき!$C$27</definedName>
    <definedName name="通算門前アガリ点" localSheetId="19">のり!$C$27</definedName>
    <definedName name="通算門前アガリ点" localSheetId="16">ぱぱ!$C$27</definedName>
    <definedName name="通算門前アガリ点" localSheetId="17">ほたに!$C$27</definedName>
    <definedName name="通算門前アガリ点" localSheetId="15">まっつん!$C$27</definedName>
    <definedName name="通算門前アガリ点" localSheetId="12">やがさき!$C$27</definedName>
    <definedName name="通算門前アガリ点" localSheetId="22">ゆう!$C$27</definedName>
    <definedName name="通算門前アガリ点" localSheetId="7">りくと!$C$27</definedName>
    <definedName name="通算門前アガリ点" localSheetId="13">れんたろう!$C$27</definedName>
    <definedName name="通算門前アガリ点" localSheetId="3">全体!$C$27</definedName>
    <definedName name="通算門前アガリ点">Template!$C$27</definedName>
    <definedName name="二位スコア" localSheetId="14">あさひ!$B$11</definedName>
    <definedName name="二位スコア" localSheetId="8">いっしー!$B$11</definedName>
    <definedName name="二位スコア" localSheetId="9">がくと!$B$11</definedName>
    <definedName name="二位スコア" localSheetId="5">かこたろう!$B$11</definedName>
    <definedName name="二位スコア" localSheetId="18">かわたつ!$B$11</definedName>
    <definedName name="二位スコア" localSheetId="4">だいち!$B$11</definedName>
    <definedName name="二位スコア" localSheetId="21">たか!$B$11</definedName>
    <definedName name="二位スコア" localSheetId="10">たかの!$B$11</definedName>
    <definedName name="二位スコア" localSheetId="11">ただ!$B$11</definedName>
    <definedName name="二位スコア" localSheetId="20">ちさと!$B$11</definedName>
    <definedName name="二位スコア" localSheetId="6">ともき!$B$11</definedName>
    <definedName name="二位スコア" localSheetId="19">のり!$B$11</definedName>
    <definedName name="二位スコア" localSheetId="16">ぱぱ!$B$11</definedName>
    <definedName name="二位スコア" localSheetId="17">ほたに!$B$11</definedName>
    <definedName name="二位スコア" localSheetId="15">まっつん!$B$11</definedName>
    <definedName name="二位スコア" localSheetId="12">やがさき!$B$11</definedName>
    <definedName name="二位スコア" localSheetId="22">ゆう!$B$11</definedName>
    <definedName name="二位スコア" localSheetId="7">りくと!$B$11</definedName>
    <definedName name="二位スコア" localSheetId="13">れんたろう!$B$11</definedName>
    <definedName name="二位スコア" localSheetId="3">全体!$B$11</definedName>
    <definedName name="二位スコア">Template!$B$11</definedName>
    <definedName name="二位数" localSheetId="14">あさひ!$B$8</definedName>
    <definedName name="二位数" localSheetId="8">いっしー!$B$8</definedName>
    <definedName name="二位数" localSheetId="9">がくと!$B$8</definedName>
    <definedName name="二位数" localSheetId="5">かこたろう!$B$8</definedName>
    <definedName name="二位数" localSheetId="18">かわたつ!$B$8</definedName>
    <definedName name="二位数" localSheetId="4">だいち!$B$8</definedName>
    <definedName name="二位数" localSheetId="21">たか!$B$8</definedName>
    <definedName name="二位数" localSheetId="10">たかの!$B$8</definedName>
    <definedName name="二位数" localSheetId="11">ただ!$B$8</definedName>
    <definedName name="二位数" localSheetId="20">ちさと!$B$8</definedName>
    <definedName name="二位数" localSheetId="6">ともき!$B$8</definedName>
    <definedName name="二位数" localSheetId="19">のり!$B$8</definedName>
    <definedName name="二位数" localSheetId="16">ぱぱ!$B$8</definedName>
    <definedName name="二位数" localSheetId="17">ほたに!$B$8</definedName>
    <definedName name="二位数" localSheetId="15">まっつん!$B$8</definedName>
    <definedName name="二位数" localSheetId="12">やがさき!$B$8</definedName>
    <definedName name="二位数" localSheetId="22">ゆう!$B$8</definedName>
    <definedName name="二位数" localSheetId="7">りくと!$B$8</definedName>
    <definedName name="二位数" localSheetId="13">れんたろう!$B$8</definedName>
    <definedName name="二位数" localSheetId="3">全体!$B$8</definedName>
    <definedName name="二位数">Template!$B$8</definedName>
    <definedName name="二位通算スコア" localSheetId="14">あさひ!$C$11</definedName>
    <definedName name="二位通算スコア" localSheetId="8">いっしー!$C$11</definedName>
    <definedName name="二位通算スコア" localSheetId="9">がくと!$C$11</definedName>
    <definedName name="二位通算スコア" localSheetId="5">かこたろう!$C$11</definedName>
    <definedName name="二位通算スコア" localSheetId="18">かわたつ!$C$11</definedName>
    <definedName name="二位通算スコア" localSheetId="4">だいち!$C$11</definedName>
    <definedName name="二位通算スコア" localSheetId="21">たか!$C$11</definedName>
    <definedName name="二位通算スコア" localSheetId="10">たかの!$C$11</definedName>
    <definedName name="二位通算スコア" localSheetId="11">ただ!$C$11</definedName>
    <definedName name="二位通算スコア" localSheetId="20">ちさと!$C$11</definedName>
    <definedName name="二位通算スコア" localSheetId="6">ともき!$C$11</definedName>
    <definedName name="二位通算スコア" localSheetId="19">のり!$C$11</definedName>
    <definedName name="二位通算スコア" localSheetId="16">ぱぱ!$C$11</definedName>
    <definedName name="二位通算スコア" localSheetId="17">ほたに!$C$11</definedName>
    <definedName name="二位通算スコア" localSheetId="15">まっつん!$C$11</definedName>
    <definedName name="二位通算スコア" localSheetId="12">やがさき!$C$11</definedName>
    <definedName name="二位通算スコア" localSheetId="22">ゆう!$C$11</definedName>
    <definedName name="二位通算スコア" localSheetId="7">りくと!$C$11</definedName>
    <definedName name="二位通算スコア" localSheetId="13">れんたろう!$C$11</definedName>
    <definedName name="二位通算スコア" localSheetId="3">全体!$C$11</definedName>
    <definedName name="二位通算スコア">Template!$C$11</definedName>
    <definedName name="二位率" localSheetId="14">あさひ!$C$8</definedName>
    <definedName name="二位率" localSheetId="8">いっしー!$C$8</definedName>
    <definedName name="二位率" localSheetId="9">がくと!$C$8</definedName>
    <definedName name="二位率" localSheetId="5">かこたろう!$C$8</definedName>
    <definedName name="二位率" localSheetId="18">かわたつ!$C$8</definedName>
    <definedName name="二位率" localSheetId="4">だいち!$C$8</definedName>
    <definedName name="二位率" localSheetId="21">たか!$C$8</definedName>
    <definedName name="二位率" localSheetId="10">たかの!$C$8</definedName>
    <definedName name="二位率" localSheetId="11">ただ!$C$8</definedName>
    <definedName name="二位率" localSheetId="20">ちさと!$C$8</definedName>
    <definedName name="二位率" localSheetId="6">ともき!$C$8</definedName>
    <definedName name="二位率" localSheetId="19">のり!$C$8</definedName>
    <definedName name="二位率" localSheetId="16">ぱぱ!$C$8</definedName>
    <definedName name="二位率" localSheetId="17">ほたに!$C$8</definedName>
    <definedName name="二位率" localSheetId="15">まっつん!$C$8</definedName>
    <definedName name="二位率" localSheetId="12">やがさき!$C$8</definedName>
    <definedName name="二位率" localSheetId="22">ゆう!$C$8</definedName>
    <definedName name="二位率" localSheetId="7">りくと!$C$8</definedName>
    <definedName name="二位率" localSheetId="13">れんたろう!$C$8</definedName>
    <definedName name="二位率" localSheetId="3">全体!$C$8</definedName>
    <definedName name="二位率">Template!$C$8</definedName>
    <definedName name="副露アガリ数" localSheetId="14">あさひ!$B$24</definedName>
    <definedName name="副露アガリ数" localSheetId="8">いっしー!$B$24</definedName>
    <definedName name="副露アガリ数" localSheetId="9">がくと!$B$24</definedName>
    <definedName name="副露アガリ数" localSheetId="5">かこたろう!$B$24</definedName>
    <definedName name="副露アガリ数" localSheetId="18">かわたつ!$B$24</definedName>
    <definedName name="副露アガリ数" localSheetId="4">だいち!$B$24</definedName>
    <definedName name="副露アガリ数" localSheetId="21">たか!$B$24</definedName>
    <definedName name="副露アガリ数" localSheetId="10">たかの!$B$24</definedName>
    <definedName name="副露アガリ数" localSheetId="11">ただ!$B$24</definedName>
    <definedName name="副露アガリ数" localSheetId="20">ちさと!$B$24</definedName>
    <definedName name="副露アガリ数" localSheetId="6">ともき!$B$24</definedName>
    <definedName name="副露アガリ数" localSheetId="19">のり!$B$24</definedName>
    <definedName name="副露アガリ数" localSheetId="16">ぱぱ!$B$24</definedName>
    <definedName name="副露アガリ数" localSheetId="17">ほたに!$B$24</definedName>
    <definedName name="副露アガリ数" localSheetId="15">まっつん!$B$24</definedName>
    <definedName name="副露アガリ数" localSheetId="12">やがさき!$B$24</definedName>
    <definedName name="副露アガリ数" localSheetId="22">ゆう!$B$24</definedName>
    <definedName name="副露アガリ数" localSheetId="7">りくと!$B$24</definedName>
    <definedName name="副露アガリ数" localSheetId="13">れんたろう!$B$24</definedName>
    <definedName name="副露アガリ数" localSheetId="3">全体!$B$24</definedName>
    <definedName name="副露アガリ数">Template!$B$24</definedName>
    <definedName name="副露アガリ点" localSheetId="14">あさひ!$B$28</definedName>
    <definedName name="副露アガリ点" localSheetId="8">いっしー!$B$28</definedName>
    <definedName name="副露アガリ点" localSheetId="9">がくと!$B$28</definedName>
    <definedName name="副露アガリ点" localSheetId="5">かこたろう!$B$28</definedName>
    <definedName name="副露アガリ点" localSheetId="18">かわたつ!$B$28</definedName>
    <definedName name="副露アガリ点" localSheetId="4">だいち!$B$28</definedName>
    <definedName name="副露アガリ点" localSheetId="21">たか!$B$28</definedName>
    <definedName name="副露アガリ点" localSheetId="10">たかの!$B$28</definedName>
    <definedName name="副露アガリ点" localSheetId="11">ただ!$B$28</definedName>
    <definedName name="副露アガリ点" localSheetId="20">ちさと!$B$28</definedName>
    <definedName name="副露アガリ点" localSheetId="6">ともき!$B$28</definedName>
    <definedName name="副露アガリ点" localSheetId="19">のり!$B$28</definedName>
    <definedName name="副露アガリ点" localSheetId="16">ぱぱ!$B$28</definedName>
    <definedName name="副露アガリ点" localSheetId="17">ほたに!$B$28</definedName>
    <definedName name="副露アガリ点" localSheetId="15">まっつん!$B$28</definedName>
    <definedName name="副露アガリ点" localSheetId="12">やがさき!$B$28</definedName>
    <definedName name="副露アガリ点" localSheetId="22">ゆう!$B$28</definedName>
    <definedName name="副露アガリ点" localSheetId="7">りくと!$B$28</definedName>
    <definedName name="副露アガリ点" localSheetId="13">れんたろう!$B$28</definedName>
    <definedName name="副露アガリ点" localSheetId="3">全体!$B$28</definedName>
    <definedName name="副露アガリ点">Template!$B$28</definedName>
    <definedName name="副露アガリ率" localSheetId="14">あさひ!$C$24</definedName>
    <definedName name="副露アガリ率" localSheetId="8">いっしー!$C$24</definedName>
    <definedName name="副露アガリ率" localSheetId="9">がくと!$C$24</definedName>
    <definedName name="副露アガリ率" localSheetId="5">かこたろう!$C$24</definedName>
    <definedName name="副露アガリ率" localSheetId="18">かわたつ!$C$24</definedName>
    <definedName name="副露アガリ率" localSheetId="4">だいち!$C$24</definedName>
    <definedName name="副露アガリ率" localSheetId="21">たか!$C$24</definedName>
    <definedName name="副露アガリ率" localSheetId="10">たかの!$C$24</definedName>
    <definedName name="副露アガリ率" localSheetId="11">ただ!$C$24</definedName>
    <definedName name="副露アガリ率" localSheetId="20">ちさと!$C$24</definedName>
    <definedName name="副露アガリ率" localSheetId="6">ともき!$C$24</definedName>
    <definedName name="副露アガリ率" localSheetId="19">のり!$C$24</definedName>
    <definedName name="副露アガリ率" localSheetId="16">ぱぱ!$C$24</definedName>
    <definedName name="副露アガリ率" localSheetId="17">ほたに!$C$24</definedName>
    <definedName name="副露アガリ率" localSheetId="15">まっつん!$C$24</definedName>
    <definedName name="副露アガリ率" localSheetId="12">やがさき!$C$24</definedName>
    <definedName name="副露アガリ率" localSheetId="22">ゆう!$C$24</definedName>
    <definedName name="副露アガリ率" localSheetId="7">りくと!$C$24</definedName>
    <definedName name="副露アガリ率" localSheetId="13">れんたろう!$C$24</definedName>
    <definedName name="副露アガリ率" localSheetId="3">全体!$C$24</definedName>
    <definedName name="副露アガリ率">Template!$C$24</definedName>
    <definedName name="副露数" localSheetId="14">あさひ!$B$16</definedName>
    <definedName name="副露数" localSheetId="8">いっしー!$B$16</definedName>
    <definedName name="副露数" localSheetId="9">がくと!$B$16</definedName>
    <definedName name="副露数" localSheetId="5">かこたろう!$B$16</definedName>
    <definedName name="副露数" localSheetId="18">かわたつ!$B$16</definedName>
    <definedName name="副露数" localSheetId="4">だいち!$B$16</definedName>
    <definedName name="副露数" localSheetId="21">たか!$B$16</definedName>
    <definedName name="副露数" localSheetId="10">たかの!$B$16</definedName>
    <definedName name="副露数" localSheetId="11">ただ!$B$16</definedName>
    <definedName name="副露数" localSheetId="20">ちさと!$B$16</definedName>
    <definedName name="副露数" localSheetId="6">ともき!$B$16</definedName>
    <definedName name="副露数" localSheetId="19">のり!$B$16</definedName>
    <definedName name="副露数" localSheetId="16">ぱぱ!$B$16</definedName>
    <definedName name="副露数" localSheetId="17">ほたに!$B$16</definedName>
    <definedName name="副露数" localSheetId="15">まっつん!$B$16</definedName>
    <definedName name="副露数" localSheetId="12">やがさき!$B$16</definedName>
    <definedName name="副露数" localSheetId="22">ゆう!$B$16</definedName>
    <definedName name="副露数" localSheetId="7">りくと!$B$16</definedName>
    <definedName name="副露数" localSheetId="13">れんたろう!$B$16</definedName>
    <definedName name="副露数" localSheetId="3">全体!$B$16</definedName>
    <definedName name="副露数">Template!$B$16</definedName>
    <definedName name="副露成功数" localSheetId="14">あさひ!$B$18</definedName>
    <definedName name="副露成功数" localSheetId="8">いっしー!$B$18</definedName>
    <definedName name="副露成功数" localSheetId="9">がくと!$B$18</definedName>
    <definedName name="副露成功数" localSheetId="5">かこたろう!$B$18</definedName>
    <definedName name="副露成功数" localSheetId="18">かわたつ!$B$18</definedName>
    <definedName name="副露成功数" localSheetId="4">だいち!$B$18</definedName>
    <definedName name="副露成功数" localSheetId="21">たか!$B$18</definedName>
    <definedName name="副露成功数" localSheetId="10">たかの!$B$18</definedName>
    <definedName name="副露成功数" localSheetId="11">ただ!$B$18</definedName>
    <definedName name="副露成功数" localSheetId="20">ちさと!$B$18</definedName>
    <definedName name="副露成功数" localSheetId="6">ともき!$B$18</definedName>
    <definedName name="副露成功数" localSheetId="19">のり!$B$18</definedName>
    <definedName name="副露成功数" localSheetId="16">ぱぱ!$B$18</definedName>
    <definedName name="副露成功数" localSheetId="17">ほたに!$B$18</definedName>
    <definedName name="副露成功数" localSheetId="15">まっつん!$B$18</definedName>
    <definedName name="副露成功数" localSheetId="12">やがさき!$B$18</definedName>
    <definedName name="副露成功数" localSheetId="22">ゆう!$B$18</definedName>
    <definedName name="副露成功数" localSheetId="7">りくと!$B$18</definedName>
    <definedName name="副露成功数" localSheetId="13">れんたろう!$B$18</definedName>
    <definedName name="副露成功数" localSheetId="3">全体!$B$18</definedName>
    <definedName name="副露成功数">Template!$B$18</definedName>
    <definedName name="副露成功率" localSheetId="14">あさひ!$C$18</definedName>
    <definedName name="副露成功率" localSheetId="8">いっしー!$C$18</definedName>
    <definedName name="副露成功率" localSheetId="9">がくと!$C$18</definedName>
    <definedName name="副露成功率" localSheetId="5">かこたろう!$C$18</definedName>
    <definedName name="副露成功率" localSheetId="18">かわたつ!$C$18</definedName>
    <definedName name="副露成功率" localSheetId="4">だいち!$C$18</definedName>
    <definedName name="副露成功率" localSheetId="21">たか!$C$18</definedName>
    <definedName name="副露成功率" localSheetId="10">たかの!$C$18</definedName>
    <definedName name="副露成功率" localSheetId="11">ただ!$C$18</definedName>
    <definedName name="副露成功率" localSheetId="20">ちさと!$C$18</definedName>
    <definedName name="副露成功率" localSheetId="6">ともき!$C$18</definedName>
    <definedName name="副露成功率" localSheetId="19">のり!$C$18</definedName>
    <definedName name="副露成功率" localSheetId="16">ぱぱ!$C$18</definedName>
    <definedName name="副露成功率" localSheetId="17">ほたに!$C$18</definedName>
    <definedName name="副露成功率" localSheetId="15">まっつん!$C$18</definedName>
    <definedName name="副露成功率" localSheetId="12">やがさき!$C$18</definedName>
    <definedName name="副露成功率" localSheetId="22">ゆう!$C$18</definedName>
    <definedName name="副露成功率" localSheetId="7">りくと!$C$18</definedName>
    <definedName name="副露成功率" localSheetId="13">れんたろう!$C$18</definedName>
    <definedName name="副露成功率" localSheetId="3">全体!$C$18</definedName>
    <definedName name="副露成功率">Template!$C$18</definedName>
    <definedName name="副露率" localSheetId="14">あさひ!$C$16</definedName>
    <definedName name="副露率" localSheetId="8">いっしー!$C$16</definedName>
    <definedName name="副露率" localSheetId="9">がくと!$C$16</definedName>
    <definedName name="副露率" localSheetId="5">かこたろう!$C$16</definedName>
    <definedName name="副露率" localSheetId="18">かわたつ!$C$16</definedName>
    <definedName name="副露率" localSheetId="4">だいち!$C$16</definedName>
    <definedName name="副露率" localSheetId="21">たか!$C$16</definedName>
    <definedName name="副露率" localSheetId="10">たかの!$C$16</definedName>
    <definedName name="副露率" localSheetId="11">ただ!$C$16</definedName>
    <definedName name="副露率" localSheetId="20">ちさと!$C$16</definedName>
    <definedName name="副露率" localSheetId="6">ともき!$C$16</definedName>
    <definedName name="副露率" localSheetId="19">のり!$C$16</definedName>
    <definedName name="副露率" localSheetId="16">ぱぱ!$C$16</definedName>
    <definedName name="副露率" localSheetId="17">ほたに!$C$16</definedName>
    <definedName name="副露率" localSheetId="15">まっつん!$C$16</definedName>
    <definedName name="副露率" localSheetId="12">やがさき!$C$16</definedName>
    <definedName name="副露率" localSheetId="22">ゆう!$C$16</definedName>
    <definedName name="副露率" localSheetId="7">りくと!$C$16</definedName>
    <definedName name="副露率" localSheetId="13">れんたろう!$C$16</definedName>
    <definedName name="副露率" localSheetId="3">全体!$C$16</definedName>
    <definedName name="副露率">Template!$C$16</definedName>
    <definedName name="平均アガリ点" localSheetId="14">あさひ!$B$26</definedName>
    <definedName name="平均アガリ点" localSheetId="8">いっしー!$B$26</definedName>
    <definedName name="平均アガリ点" localSheetId="9">がくと!$B$26</definedName>
    <definedName name="平均アガリ点" localSheetId="5">かこたろう!$B$26</definedName>
    <definedName name="平均アガリ点" localSheetId="18">かわたつ!$B$26</definedName>
    <definedName name="平均アガリ点" localSheetId="4">だいち!$B$26</definedName>
    <definedName name="平均アガリ点" localSheetId="21">たか!$B$26</definedName>
    <definedName name="平均アガリ点" localSheetId="10">たかの!$B$26</definedName>
    <definedName name="平均アガリ点" localSheetId="11">ただ!$B$26</definedName>
    <definedName name="平均アガリ点" localSheetId="20">ちさと!$B$26</definedName>
    <definedName name="平均アガリ点" localSheetId="6">ともき!$B$26</definedName>
    <definedName name="平均アガリ点" localSheetId="19">のり!$B$26</definedName>
    <definedName name="平均アガリ点" localSheetId="16">ぱぱ!$B$26</definedName>
    <definedName name="平均アガリ点" localSheetId="17">ほたに!$B$26</definedName>
    <definedName name="平均アガリ点" localSheetId="15">まっつん!$B$26</definedName>
    <definedName name="平均アガリ点" localSheetId="12">やがさき!$B$26</definedName>
    <definedName name="平均アガリ点" localSheetId="22">ゆう!$B$26</definedName>
    <definedName name="平均アガリ点" localSheetId="7">りくと!$B$26</definedName>
    <definedName name="平均アガリ点" localSheetId="13">れんたろう!$B$26</definedName>
    <definedName name="平均アガリ点" localSheetId="3">全体!$B$26</definedName>
    <definedName name="平均アガリ点">Template!$B$26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21">たか!$B$6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22">ゆう!$B$6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あさひ!$B$29</definedName>
    <definedName name="平均放銃点" localSheetId="8">いっしー!$B$29</definedName>
    <definedName name="平均放銃点" localSheetId="9">がくと!$B$29</definedName>
    <definedName name="平均放銃点" localSheetId="5">かこたろう!$B$29</definedName>
    <definedName name="平均放銃点" localSheetId="18">かわたつ!$B$29</definedName>
    <definedName name="平均放銃点" localSheetId="4">だいち!$B$29</definedName>
    <definedName name="平均放銃点" localSheetId="21">たか!$B$29</definedName>
    <definedName name="平均放銃点" localSheetId="10">たかの!$B$29</definedName>
    <definedName name="平均放銃点" localSheetId="11">ただ!$B$29</definedName>
    <definedName name="平均放銃点" localSheetId="20">ちさと!$B$29</definedName>
    <definedName name="平均放銃点" localSheetId="6">ともき!$B$29</definedName>
    <definedName name="平均放銃点" localSheetId="19">のり!$B$29</definedName>
    <definedName name="平均放銃点" localSheetId="16">ぱぱ!$B$29</definedName>
    <definedName name="平均放銃点" localSheetId="17">ほたに!$B$29</definedName>
    <definedName name="平均放銃点" localSheetId="15">まっつん!$B$29</definedName>
    <definedName name="平均放銃点" localSheetId="12">やがさき!$B$29</definedName>
    <definedName name="平均放銃点" localSheetId="22">ゆう!$B$29</definedName>
    <definedName name="平均放銃点" localSheetId="7">りくと!$B$29</definedName>
    <definedName name="平均放銃点" localSheetId="13">れんたろう!$B$29</definedName>
    <definedName name="平均放銃点" localSheetId="3">全体!$B$29</definedName>
    <definedName name="平均放銃点">Template!$B$29</definedName>
    <definedName name="放銃数" localSheetId="14">あさひ!$B$20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21">たか!$B$20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22">ゆう!$B$20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21">たか!$C$20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22">ゆう!$C$20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名前" localSheetId="14">あさひ!$B$1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3">全体!$B$1</definedName>
    <definedName name="名前">Template!$B$1</definedName>
    <definedName name="門前アガリ点" localSheetId="14">あさひ!$B$27</definedName>
    <definedName name="門前アガリ点" localSheetId="8">いっしー!$B$27</definedName>
    <definedName name="門前アガリ点" localSheetId="9">がくと!$B$27</definedName>
    <definedName name="門前アガリ点" localSheetId="5">かこたろう!$B$27</definedName>
    <definedName name="門前アガリ点" localSheetId="18">かわたつ!$B$27</definedName>
    <definedName name="門前アガリ点" localSheetId="4">だいち!$B$27</definedName>
    <definedName name="門前アガリ点" localSheetId="21">たか!$B$27</definedName>
    <definedName name="門前アガリ点" localSheetId="10">たかの!$B$27</definedName>
    <definedName name="門前アガリ点" localSheetId="11">ただ!$B$27</definedName>
    <definedName name="門前アガリ点" localSheetId="20">ちさと!$B$27</definedName>
    <definedName name="門前アガリ点" localSheetId="6">ともき!$B$27</definedName>
    <definedName name="門前アガリ点" localSheetId="19">のり!$B$27</definedName>
    <definedName name="門前アガリ点" localSheetId="16">ぱぱ!$B$27</definedName>
    <definedName name="門前アガリ点" localSheetId="17">ほたに!$B$27</definedName>
    <definedName name="門前アガリ点" localSheetId="15">まっつん!$B$27</definedName>
    <definedName name="門前アガリ点" localSheetId="12">やがさき!$B$27</definedName>
    <definedName name="門前アガリ点" localSheetId="22">ゆう!$B$27</definedName>
    <definedName name="門前アガリ点" localSheetId="7">りくと!$B$27</definedName>
    <definedName name="門前アガリ点" localSheetId="13">れんたろう!$B$27</definedName>
    <definedName name="門前アガリ点" localSheetId="3">全体!$B$27</definedName>
    <definedName name="門前アガリ点">Template!$B$27</definedName>
    <definedName name="連続アガリ" localSheetId="14">あさひ!$B$30</definedName>
    <definedName name="連続アガリ" localSheetId="8">いっしー!$B$30</definedName>
    <definedName name="連続アガリ" localSheetId="9">がくと!$B$30</definedName>
    <definedName name="連続アガリ" localSheetId="5">かこたろう!$B$30</definedName>
    <definedName name="連続アガリ" localSheetId="18">かわたつ!$B$30</definedName>
    <definedName name="連続アガリ" localSheetId="4">だいち!$B$30</definedName>
    <definedName name="連続アガリ" localSheetId="21">たか!$B$30</definedName>
    <definedName name="連続アガリ" localSheetId="10">たかの!$B$30</definedName>
    <definedName name="連続アガリ" localSheetId="11">ただ!$B$30</definedName>
    <definedName name="連続アガリ" localSheetId="20">ちさと!$B$30</definedName>
    <definedName name="連続アガリ" localSheetId="6">ともき!$B$30</definedName>
    <definedName name="連続アガリ" localSheetId="19">のり!$B$30</definedName>
    <definedName name="連続アガリ" localSheetId="16">ぱぱ!$B$30</definedName>
    <definedName name="連続アガリ" localSheetId="17">ほたに!$B$30</definedName>
    <definedName name="連続アガリ" localSheetId="15">まっつん!$B$30</definedName>
    <definedName name="連続アガリ" localSheetId="12">やがさき!$B$30</definedName>
    <definedName name="連続アガリ" localSheetId="22">ゆう!$B$30</definedName>
    <definedName name="連続アガリ" localSheetId="7">りくと!$B$30</definedName>
    <definedName name="連続アガリ" localSheetId="13">れんたろう!$B$30</definedName>
    <definedName name="連続アガリ" localSheetId="3">全体!$B$30</definedName>
    <definedName name="連続アガリ">Template!$B$30</definedName>
    <definedName name="連続無放銃" localSheetId="14">あさひ!$B$31</definedName>
    <definedName name="連続無放銃" localSheetId="8">いっしー!$B$31</definedName>
    <definedName name="連続無放銃" localSheetId="9">がくと!$B$31</definedName>
    <definedName name="連続無放銃" localSheetId="5">かこたろう!$B$31</definedName>
    <definedName name="連続無放銃" localSheetId="18">かわたつ!$B$31</definedName>
    <definedName name="連続無放銃" localSheetId="4">だいち!$B$31</definedName>
    <definedName name="連続無放銃" localSheetId="21">たか!$B$31</definedName>
    <definedName name="連続無放銃" localSheetId="10">たかの!$B$31</definedName>
    <definedName name="連続無放銃" localSheetId="11">ただ!$B$31</definedName>
    <definedName name="連続無放銃" localSheetId="20">ちさと!$B$31</definedName>
    <definedName name="連続無放銃" localSheetId="6">ともき!$B$31</definedName>
    <definedName name="連続無放銃" localSheetId="19">のり!$B$31</definedName>
    <definedName name="連続無放銃" localSheetId="16">ぱぱ!$B$31</definedName>
    <definedName name="連続無放銃" localSheetId="17">ほたに!$B$31</definedName>
    <definedName name="連続無放銃" localSheetId="15">まっつん!$B$31</definedName>
    <definedName name="連続無放銃" localSheetId="12">やがさき!$B$31</definedName>
    <definedName name="連続無放銃" localSheetId="22">ゆう!$B$31</definedName>
    <definedName name="連続無放銃" localSheetId="7">りくと!$B$31</definedName>
    <definedName name="連続無放銃" localSheetId="13">れんたろう!$B$31</definedName>
    <definedName name="連続無放銃" localSheetId="3">全体!$B$31</definedName>
    <definedName name="連続無放銃">Template!$B$31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7" i="3688" l="1"/>
  <c r="O16" i="3688"/>
  <c r="O15" i="3688"/>
  <c r="H52" i="3688"/>
  <c r="H4" i="3688"/>
  <c r="H51" i="3688"/>
  <c r="H50" i="3688"/>
  <c r="H49" i="3688"/>
  <c r="C48" i="3688"/>
  <c r="H48" i="3688"/>
  <c r="C47" i="3688"/>
  <c r="H47" i="3688"/>
  <c r="C46" i="3688"/>
  <c r="H46" i="3688"/>
  <c r="C45" i="3688"/>
  <c r="H45" i="3688"/>
  <c r="C44" i="3688"/>
  <c r="H44" i="3688"/>
  <c r="C43" i="3688"/>
  <c r="H43" i="3688"/>
  <c r="C42" i="3688"/>
  <c r="H42" i="3688"/>
  <c r="C41" i="3688"/>
  <c r="H41" i="3688"/>
  <c r="C40" i="3688"/>
  <c r="H40" i="3688"/>
  <c r="C39" i="3688"/>
  <c r="H39" i="3688"/>
  <c r="C38" i="3688"/>
  <c r="H38" i="3688"/>
  <c r="C37" i="3688"/>
  <c r="H37" i="3688"/>
  <c r="C36" i="3688"/>
  <c r="H36" i="3688"/>
  <c r="H35" i="3688"/>
  <c r="C34" i="3688"/>
  <c r="H34" i="3688"/>
  <c r="H33" i="3688"/>
  <c r="H32" i="3688"/>
  <c r="H31" i="3688"/>
  <c r="H30" i="3688"/>
  <c r="B29" i="3688"/>
  <c r="H29" i="3688"/>
  <c r="B28" i="3688"/>
  <c r="H9" i="3688"/>
  <c r="B27" i="3688"/>
  <c r="H28" i="3688"/>
  <c r="B26" i="3688"/>
  <c r="H12" i="3688"/>
  <c r="C25" i="3688"/>
  <c r="H27" i="3688"/>
  <c r="C24" i="3688"/>
  <c r="H26" i="3688"/>
  <c r="C23" i="3688"/>
  <c r="H25" i="3688"/>
  <c r="C22" i="3688"/>
  <c r="H24" i="3688"/>
  <c r="C21" i="3688"/>
  <c r="H23" i="3688"/>
  <c r="C20" i="3688"/>
  <c r="H22" i="3688"/>
  <c r="C19" i="3688"/>
  <c r="H21" i="3688"/>
  <c r="C18" i="3688"/>
  <c r="H20" i="3688"/>
  <c r="C17" i="3688"/>
  <c r="H5" i="3688"/>
  <c r="C16" i="3688"/>
  <c r="H19" i="3688"/>
  <c r="C15" i="3688"/>
  <c r="H18" i="3688"/>
  <c r="C14" i="3688"/>
  <c r="H17" i="3688"/>
  <c r="O12" i="3688"/>
  <c r="H16" i="3688"/>
  <c r="B12" i="3688"/>
  <c r="O11" i="3688"/>
  <c r="H15" i="3688"/>
  <c r="B11" i="3688"/>
  <c r="O10" i="3688"/>
  <c r="H8" i="3688"/>
  <c r="B10" i="3688"/>
  <c r="H14" i="3688"/>
  <c r="C9" i="3688"/>
  <c r="H13" i="3688"/>
  <c r="C8" i="3688"/>
  <c r="O7" i="3688"/>
  <c r="H7" i="3688"/>
  <c r="C7" i="3688"/>
  <c r="O6" i="3688"/>
  <c r="H6" i="3688"/>
  <c r="B6" i="3688"/>
  <c r="O5" i="3688"/>
  <c r="H11" i="3688"/>
  <c r="B5" i="3688"/>
  <c r="O4" i="3688"/>
  <c r="H3" i="3688"/>
  <c r="O3" i="3688"/>
  <c r="H10" i="3688"/>
  <c r="O2" i="3688"/>
  <c r="H2" i="3688"/>
  <c r="O20" i="3687"/>
  <c r="O19" i="3687"/>
  <c r="O18" i="3687"/>
  <c r="O17" i="3687"/>
  <c r="O16" i="3687"/>
  <c r="O15" i="3687"/>
  <c r="H52" i="3687"/>
  <c r="H5" i="3687"/>
  <c r="H51" i="3687"/>
  <c r="H50" i="3687"/>
  <c r="H49" i="3687"/>
  <c r="C48" i="3687"/>
  <c r="H48" i="3687"/>
  <c r="C47" i="3687"/>
  <c r="H47" i="3687"/>
  <c r="C46" i="3687"/>
  <c r="H46" i="3687"/>
  <c r="C45" i="3687"/>
  <c r="H45" i="3687"/>
  <c r="C44" i="3687"/>
  <c r="H44" i="3687"/>
  <c r="C43" i="3687"/>
  <c r="H43" i="3687"/>
  <c r="C42" i="3687"/>
  <c r="H42" i="3687"/>
  <c r="C41" i="3687"/>
  <c r="H41" i="3687"/>
  <c r="C40" i="3687"/>
  <c r="H40" i="3687"/>
  <c r="C39" i="3687"/>
  <c r="H39" i="3687"/>
  <c r="C38" i="3687"/>
  <c r="H38" i="3687"/>
  <c r="C37" i="3687"/>
  <c r="H37" i="3687"/>
  <c r="C36" i="3687"/>
  <c r="H36" i="3687"/>
  <c r="H35" i="3687"/>
  <c r="C34" i="3687"/>
  <c r="H34" i="3687"/>
  <c r="H33" i="3687"/>
  <c r="H32" i="3687"/>
  <c r="H31" i="3687"/>
  <c r="H14" i="3687"/>
  <c r="B29" i="3687"/>
  <c r="H30" i="3687"/>
  <c r="B28" i="3687"/>
  <c r="H13" i="3687"/>
  <c r="B27" i="3687"/>
  <c r="H29" i="3687"/>
  <c r="B26" i="3687"/>
  <c r="H28" i="3687"/>
  <c r="C25" i="3687"/>
  <c r="H27" i="3687"/>
  <c r="C24" i="3687"/>
  <c r="H26" i="3687"/>
  <c r="C23" i="3687"/>
  <c r="H25" i="3687"/>
  <c r="C22" i="3687"/>
  <c r="H24" i="3687"/>
  <c r="C21" i="3687"/>
  <c r="H23" i="3687"/>
  <c r="C20" i="3687"/>
  <c r="H12" i="3687"/>
  <c r="C19" i="3687"/>
  <c r="H22" i="3687"/>
  <c r="C18" i="3687"/>
  <c r="H21" i="3687"/>
  <c r="C17" i="3687"/>
  <c r="H20" i="3687"/>
  <c r="C16" i="3687"/>
  <c r="H19" i="3687"/>
  <c r="C15" i="3687"/>
  <c r="H18" i="3687"/>
  <c r="C14" i="3687"/>
  <c r="H17" i="3687"/>
  <c r="O12" i="3687"/>
  <c r="H16" i="3687"/>
  <c r="B12" i="3687"/>
  <c r="O11" i="3687"/>
  <c r="H15" i="3687"/>
  <c r="B11" i="3687"/>
  <c r="O10" i="3687"/>
  <c r="H8" i="3687"/>
  <c r="B10" i="3687"/>
  <c r="B13" i="3687" s="1"/>
  <c r="H11" i="3687"/>
  <c r="C9" i="3687"/>
  <c r="H10" i="3687"/>
  <c r="C8" i="3687"/>
  <c r="O7" i="3687"/>
  <c r="H7" i="3687"/>
  <c r="C7" i="3687"/>
  <c r="O6" i="3687"/>
  <c r="H6" i="3687"/>
  <c r="B6" i="3687"/>
  <c r="O5" i="3687"/>
  <c r="H4" i="3687"/>
  <c r="B5" i="3687"/>
  <c r="O4" i="3687"/>
  <c r="H2" i="3687"/>
  <c r="O3" i="3687"/>
  <c r="H9" i="3687"/>
  <c r="O2" i="3687"/>
  <c r="H3" i="3687"/>
  <c r="O23" i="3672"/>
  <c r="O20" i="3672"/>
  <c r="O19" i="3672"/>
  <c r="O17" i="3672"/>
  <c r="O15" i="3672"/>
  <c r="O19" i="3674"/>
  <c r="O17" i="3682"/>
  <c r="O23" i="3685"/>
  <c r="O21" i="3685"/>
  <c r="O20" i="3685"/>
  <c r="O18" i="3685"/>
  <c r="O17" i="3685"/>
  <c r="O16" i="3685"/>
  <c r="O15" i="3685"/>
  <c r="O27" i="3681"/>
  <c r="O21" i="3681"/>
  <c r="O17" i="3679"/>
  <c r="O15" i="3673"/>
  <c r="O23" i="3677"/>
  <c r="O20" i="3670"/>
  <c r="O26" i="3676"/>
  <c r="O21" i="3676"/>
  <c r="O15" i="3676"/>
  <c r="O17" i="3669"/>
  <c r="O16" i="3686"/>
  <c r="O15" i="3686"/>
  <c r="H52" i="3686"/>
  <c r="H5" i="3686"/>
  <c r="H51" i="3686"/>
  <c r="H50" i="3686"/>
  <c r="H49" i="3686"/>
  <c r="C48" i="3686"/>
  <c r="H48" i="3686"/>
  <c r="C47" i="3686"/>
  <c r="H47" i="3686"/>
  <c r="C46" i="3686"/>
  <c r="H46" i="3686"/>
  <c r="C45" i="3686"/>
  <c r="H45" i="3686"/>
  <c r="C44" i="3686"/>
  <c r="H44" i="3686"/>
  <c r="C43" i="3686"/>
  <c r="H43" i="3686"/>
  <c r="C42" i="3686"/>
  <c r="H42" i="3686"/>
  <c r="C41" i="3686"/>
  <c r="H41" i="3686"/>
  <c r="C40" i="3686"/>
  <c r="H40" i="3686"/>
  <c r="C39" i="3686"/>
  <c r="H39" i="3686"/>
  <c r="C38" i="3686"/>
  <c r="H38" i="3686"/>
  <c r="C37" i="3686"/>
  <c r="H37" i="3686"/>
  <c r="C36" i="3686"/>
  <c r="H36" i="3686"/>
  <c r="H35" i="3686"/>
  <c r="C34" i="3686"/>
  <c r="H34" i="3686"/>
  <c r="H33" i="3686"/>
  <c r="H32" i="3686"/>
  <c r="H31" i="3686"/>
  <c r="H30" i="3686"/>
  <c r="B29" i="3686"/>
  <c r="H29" i="3686"/>
  <c r="B28" i="3686"/>
  <c r="H13" i="3686"/>
  <c r="B27" i="3686"/>
  <c r="H28" i="3686"/>
  <c r="B26" i="3686"/>
  <c r="H27" i="3686"/>
  <c r="C25" i="3686"/>
  <c r="H12" i="3686"/>
  <c r="C24" i="3686"/>
  <c r="H26" i="3686"/>
  <c r="C23" i="3686"/>
  <c r="H25" i="3686"/>
  <c r="C22" i="3686"/>
  <c r="H11" i="3686"/>
  <c r="C21" i="3686"/>
  <c r="H24" i="3686"/>
  <c r="C20" i="3686"/>
  <c r="H10" i="3686"/>
  <c r="C19" i="3686"/>
  <c r="H23" i="3686"/>
  <c r="C18" i="3686"/>
  <c r="H22" i="3686"/>
  <c r="C17" i="3686"/>
  <c r="H21" i="3686"/>
  <c r="C16" i="3686"/>
  <c r="H20" i="3686"/>
  <c r="C15" i="3686"/>
  <c r="H19" i="3686"/>
  <c r="C14" i="3686"/>
  <c r="H18" i="3686"/>
  <c r="O12" i="3686"/>
  <c r="H17" i="3686"/>
  <c r="B12" i="3686"/>
  <c r="O11" i="3686"/>
  <c r="H16" i="3686"/>
  <c r="B11" i="3686"/>
  <c r="O10" i="3686"/>
  <c r="H2" i="3686"/>
  <c r="B10" i="3686"/>
  <c r="H15" i="3686"/>
  <c r="C9" i="3686"/>
  <c r="H14" i="3686"/>
  <c r="C8" i="3686"/>
  <c r="O7" i="3686"/>
  <c r="H9" i="3686"/>
  <c r="C7" i="3686"/>
  <c r="O6" i="3686"/>
  <c r="H8" i="3686"/>
  <c r="B6" i="3686"/>
  <c r="O5" i="3686"/>
  <c r="H7" i="3686"/>
  <c r="B5" i="3686"/>
  <c r="O4" i="3686"/>
  <c r="H4" i="3686"/>
  <c r="O3" i="3686"/>
  <c r="H6" i="3686"/>
  <c r="O2" i="3686"/>
  <c r="H3" i="3686"/>
  <c r="O25" i="3685"/>
  <c r="O22" i="3685"/>
  <c r="O19" i="3685"/>
  <c r="O24" i="3685"/>
  <c r="H52" i="3685"/>
  <c r="H5" i="3685"/>
  <c r="H23" i="3685"/>
  <c r="H51" i="3685"/>
  <c r="H50" i="3685"/>
  <c r="C48" i="3685"/>
  <c r="H49" i="3685"/>
  <c r="C47" i="3685"/>
  <c r="H48" i="3685"/>
  <c r="C46" i="3685"/>
  <c r="H47" i="3685"/>
  <c r="C45" i="3685"/>
  <c r="H46" i="3685"/>
  <c r="C44" i="3685"/>
  <c r="H45" i="3685"/>
  <c r="C43" i="3685"/>
  <c r="H44" i="3685"/>
  <c r="C42" i="3685"/>
  <c r="H43" i="3685"/>
  <c r="C41" i="3685"/>
  <c r="H42" i="3685"/>
  <c r="C40" i="3685"/>
  <c r="H41" i="3685"/>
  <c r="C39" i="3685"/>
  <c r="H40" i="3685"/>
  <c r="C38" i="3685"/>
  <c r="H39" i="3685"/>
  <c r="C37" i="3685"/>
  <c r="H38" i="3685"/>
  <c r="C36" i="3685"/>
  <c r="H37" i="3685"/>
  <c r="H36" i="3685"/>
  <c r="C34" i="3685"/>
  <c r="H22" i="3685"/>
  <c r="H35" i="3685"/>
  <c r="H34" i="3685"/>
  <c r="H21" i="3685"/>
  <c r="H17" i="3685"/>
  <c r="B29" i="3685"/>
  <c r="H33" i="3685"/>
  <c r="B28" i="3685"/>
  <c r="H8" i="3685"/>
  <c r="B27" i="3685"/>
  <c r="H32" i="3685"/>
  <c r="B26" i="3685"/>
  <c r="H31" i="3685"/>
  <c r="C25" i="3685"/>
  <c r="H13" i="3685"/>
  <c r="C24" i="3685"/>
  <c r="H30" i="3685"/>
  <c r="C23" i="3685"/>
  <c r="H29" i="3685"/>
  <c r="C22" i="3685"/>
  <c r="H15" i="3685"/>
  <c r="C21" i="3685"/>
  <c r="H28" i="3685"/>
  <c r="C20" i="3685"/>
  <c r="H14" i="3685"/>
  <c r="C19" i="3685"/>
  <c r="H27" i="3685"/>
  <c r="C18" i="3685"/>
  <c r="H20" i="3685"/>
  <c r="C17" i="3685"/>
  <c r="H16" i="3685"/>
  <c r="C16" i="3685"/>
  <c r="H26" i="3685"/>
  <c r="C15" i="3685"/>
  <c r="H25" i="3685"/>
  <c r="C14" i="3685"/>
  <c r="H24" i="3685"/>
  <c r="O12" i="3685"/>
  <c r="H19" i="3685"/>
  <c r="B12" i="3685"/>
  <c r="O11" i="3685"/>
  <c r="H18" i="3685"/>
  <c r="B11" i="3685"/>
  <c r="O10" i="3685"/>
  <c r="H3" i="3685"/>
  <c r="B10" i="3685"/>
  <c r="H12" i="3685"/>
  <c r="C9" i="3685"/>
  <c r="H11" i="3685"/>
  <c r="C8" i="3685"/>
  <c r="O7" i="3685"/>
  <c r="H10" i="3685"/>
  <c r="C7" i="3685"/>
  <c r="O6" i="3685"/>
  <c r="H6" i="3685"/>
  <c r="B6" i="3685"/>
  <c r="O5" i="3685"/>
  <c r="H7" i="3685"/>
  <c r="B5" i="3685"/>
  <c r="O4" i="3685"/>
  <c r="H2" i="3685"/>
  <c r="O3" i="3685"/>
  <c r="H9" i="3685"/>
  <c r="O2" i="3685"/>
  <c r="H4" i="3685"/>
  <c r="O16" i="3684"/>
  <c r="O15" i="3684"/>
  <c r="H52" i="3684"/>
  <c r="H7" i="3684"/>
  <c r="H51" i="3684"/>
  <c r="H50" i="3684"/>
  <c r="H49" i="3684"/>
  <c r="C48" i="3684"/>
  <c r="H48" i="3684"/>
  <c r="C47" i="3684"/>
  <c r="H47" i="3684"/>
  <c r="C46" i="3684"/>
  <c r="H46" i="3684"/>
  <c r="C45" i="3684"/>
  <c r="H45" i="3684"/>
  <c r="C44" i="3684"/>
  <c r="H44" i="3684"/>
  <c r="C43" i="3684"/>
  <c r="H43" i="3684"/>
  <c r="C42" i="3684"/>
  <c r="H42" i="3684"/>
  <c r="C41" i="3684"/>
  <c r="H41" i="3684"/>
  <c r="C40" i="3684"/>
  <c r="H40" i="3684"/>
  <c r="C39" i="3684"/>
  <c r="H39" i="3684"/>
  <c r="C38" i="3684"/>
  <c r="H38" i="3684"/>
  <c r="C37" i="3684"/>
  <c r="H37" i="3684"/>
  <c r="C36" i="3684"/>
  <c r="H36" i="3684"/>
  <c r="H35" i="3684"/>
  <c r="C34" i="3684"/>
  <c r="H34" i="3684"/>
  <c r="H33" i="3684"/>
  <c r="H32" i="3684"/>
  <c r="H31" i="3684"/>
  <c r="H30" i="3684"/>
  <c r="B29" i="3684"/>
  <c r="H29" i="3684"/>
  <c r="B28" i="3684"/>
  <c r="H28" i="3684"/>
  <c r="B27" i="3684"/>
  <c r="H27" i="3684"/>
  <c r="B26" i="3684"/>
  <c r="H26" i="3684"/>
  <c r="C25" i="3684"/>
  <c r="H25" i="3684"/>
  <c r="C24" i="3684"/>
  <c r="H24" i="3684"/>
  <c r="C23" i="3684"/>
  <c r="H23" i="3684"/>
  <c r="C22" i="3684"/>
  <c r="H22" i="3684"/>
  <c r="C21" i="3684"/>
  <c r="H21" i="3684"/>
  <c r="C20" i="3684"/>
  <c r="H6" i="3684"/>
  <c r="C19" i="3684"/>
  <c r="H20" i="3684"/>
  <c r="C18" i="3684"/>
  <c r="H19" i="3684"/>
  <c r="C17" i="3684"/>
  <c r="H18" i="3684"/>
  <c r="C16" i="3684"/>
  <c r="H17" i="3684"/>
  <c r="C15" i="3684"/>
  <c r="H16" i="3684"/>
  <c r="C14" i="3684"/>
  <c r="H15" i="3684"/>
  <c r="B13" i="3684"/>
  <c r="O12" i="3684"/>
  <c r="H14" i="3684"/>
  <c r="B12" i="3684"/>
  <c r="O11" i="3684"/>
  <c r="H13" i="3684"/>
  <c r="B11" i="3684"/>
  <c r="O10" i="3684"/>
  <c r="H12" i="3684"/>
  <c r="B10" i="3684"/>
  <c r="H11" i="3684"/>
  <c r="C9" i="3684"/>
  <c r="H10" i="3684"/>
  <c r="C8" i="3684"/>
  <c r="O7" i="3684"/>
  <c r="H9" i="3684"/>
  <c r="C7" i="3684"/>
  <c r="O6" i="3684"/>
  <c r="H5" i="3684"/>
  <c r="B6" i="3684"/>
  <c r="O5" i="3684"/>
  <c r="H4" i="3684"/>
  <c r="B5" i="3684"/>
  <c r="O4" i="3684"/>
  <c r="H2" i="3684"/>
  <c r="O3" i="3684"/>
  <c r="H8" i="3684"/>
  <c r="O2" i="3684"/>
  <c r="H3" i="3684"/>
  <c r="O22" i="3683"/>
  <c r="O21" i="3683"/>
  <c r="O17" i="3683"/>
  <c r="O20" i="3683"/>
  <c r="O19" i="3683"/>
  <c r="O18" i="3683"/>
  <c r="O16" i="3683"/>
  <c r="O15" i="3683"/>
  <c r="H52" i="3683"/>
  <c r="H7" i="3683"/>
  <c r="H51" i="3683"/>
  <c r="H50" i="3683"/>
  <c r="H49" i="3683"/>
  <c r="C48" i="3683"/>
  <c r="H48" i="3683"/>
  <c r="C47" i="3683"/>
  <c r="H47" i="3683"/>
  <c r="C46" i="3683"/>
  <c r="H46" i="3683"/>
  <c r="C45" i="3683"/>
  <c r="H45" i="3683"/>
  <c r="C44" i="3683"/>
  <c r="H44" i="3683"/>
  <c r="C43" i="3683"/>
  <c r="H43" i="3683"/>
  <c r="C42" i="3683"/>
  <c r="H42" i="3683"/>
  <c r="C41" i="3683"/>
  <c r="H41" i="3683"/>
  <c r="C40" i="3683"/>
  <c r="H40" i="3683"/>
  <c r="C39" i="3683"/>
  <c r="H39" i="3683"/>
  <c r="C38" i="3683"/>
  <c r="H38" i="3683"/>
  <c r="C37" i="3683"/>
  <c r="H37" i="3683"/>
  <c r="C36" i="3683"/>
  <c r="H36" i="3683"/>
  <c r="H35" i="3683"/>
  <c r="C34" i="3683"/>
  <c r="H34" i="3683"/>
  <c r="H33" i="3683"/>
  <c r="H32" i="3683"/>
  <c r="H31" i="3683"/>
  <c r="H30" i="3683"/>
  <c r="B29" i="3683"/>
  <c r="H29" i="3683"/>
  <c r="B28" i="3683"/>
  <c r="H8" i="3683"/>
  <c r="B27" i="3683"/>
  <c r="H28" i="3683"/>
  <c r="B26" i="3683"/>
  <c r="H27" i="3683"/>
  <c r="C25" i="3683"/>
  <c r="H11" i="3683"/>
  <c r="C24" i="3683"/>
  <c r="H26" i="3683"/>
  <c r="C23" i="3683"/>
  <c r="H25" i="3683"/>
  <c r="C22" i="3683"/>
  <c r="H14" i="3683"/>
  <c r="C21" i="3683"/>
  <c r="H24" i="3683"/>
  <c r="C20" i="3683"/>
  <c r="H18" i="3683"/>
  <c r="C19" i="3683"/>
  <c r="H23" i="3683"/>
  <c r="C18" i="3683"/>
  <c r="H17" i="3683"/>
  <c r="C17" i="3683"/>
  <c r="H13" i="3683"/>
  <c r="C16" i="3683"/>
  <c r="H15" i="3683"/>
  <c r="C15" i="3683"/>
  <c r="H22" i="3683"/>
  <c r="C14" i="3683"/>
  <c r="H21" i="3683"/>
  <c r="O12" i="3683"/>
  <c r="H20" i="3683"/>
  <c r="B12" i="3683"/>
  <c r="O11" i="3683"/>
  <c r="H19" i="3683"/>
  <c r="B11" i="3683"/>
  <c r="O10" i="3683"/>
  <c r="H2" i="3683"/>
  <c r="B10" i="3683"/>
  <c r="H16" i="3683"/>
  <c r="C9" i="3683"/>
  <c r="H12" i="3683"/>
  <c r="C8" i="3683"/>
  <c r="O7" i="3683"/>
  <c r="H9" i="3683"/>
  <c r="C7" i="3683"/>
  <c r="O6" i="3683"/>
  <c r="H6" i="3683"/>
  <c r="B6" i="3683"/>
  <c r="O5" i="3683"/>
  <c r="H5" i="3683"/>
  <c r="B5" i="3683"/>
  <c r="O4" i="3683"/>
  <c r="H3" i="3683"/>
  <c r="O3" i="3683"/>
  <c r="H10" i="3683"/>
  <c r="O2" i="3683"/>
  <c r="H4" i="3683"/>
  <c r="O22" i="3680"/>
  <c r="O16" i="3680"/>
  <c r="O15" i="3680"/>
  <c r="O28" i="3681"/>
  <c r="O17" i="3681"/>
  <c r="O15" i="3681"/>
  <c r="O16" i="3681"/>
  <c r="O24" i="3682"/>
  <c r="O25" i="3682"/>
  <c r="O18" i="3682"/>
  <c r="O15" i="3682"/>
  <c r="O23" i="3676"/>
  <c r="O18" i="3676"/>
  <c r="O28" i="3679"/>
  <c r="O21" i="3679"/>
  <c r="O20" i="3677"/>
  <c r="O15" i="3677"/>
  <c r="O17" i="3677"/>
  <c r="O25" i="3673"/>
  <c r="O29" i="3670"/>
  <c r="O19" i="3670"/>
  <c r="O17" i="3670"/>
  <c r="O32" i="3669"/>
  <c r="O26" i="3669"/>
  <c r="O19" i="3669"/>
  <c r="O18" i="3669"/>
  <c r="B13" i="3688" l="1"/>
  <c r="B13" i="3686"/>
  <c r="B13" i="3685"/>
  <c r="B13" i="3683"/>
  <c r="O21" i="3682" l="1"/>
  <c r="O20" i="3682"/>
  <c r="O22" i="3682"/>
  <c r="O23" i="3682"/>
  <c r="O26" i="3682"/>
  <c r="O16" i="3682"/>
  <c r="O19" i="3682"/>
  <c r="H52" i="3682"/>
  <c r="H6" i="3682"/>
  <c r="H17" i="3682"/>
  <c r="H51" i="3682"/>
  <c r="H50" i="3682"/>
  <c r="C48" i="3682"/>
  <c r="H49" i="3682"/>
  <c r="C47" i="3682"/>
  <c r="H48" i="3682"/>
  <c r="C46" i="3682"/>
  <c r="H47" i="3682"/>
  <c r="C45" i="3682"/>
  <c r="H24" i="3682"/>
  <c r="C44" i="3682"/>
  <c r="H46" i="3682"/>
  <c r="C43" i="3682"/>
  <c r="H45" i="3682"/>
  <c r="C42" i="3682"/>
  <c r="H44" i="3682"/>
  <c r="C41" i="3682"/>
  <c r="H43" i="3682"/>
  <c r="C40" i="3682"/>
  <c r="H42" i="3682"/>
  <c r="C39" i="3682"/>
  <c r="H41" i="3682"/>
  <c r="C38" i="3682"/>
  <c r="H40" i="3682"/>
  <c r="C37" i="3682"/>
  <c r="H39" i="3682"/>
  <c r="C36" i="3682"/>
  <c r="H38" i="3682"/>
  <c r="H37" i="3682"/>
  <c r="C34" i="3682"/>
  <c r="H36" i="3682"/>
  <c r="H35" i="3682"/>
  <c r="H34" i="3682"/>
  <c r="H33" i="3682"/>
  <c r="H21" i="3682"/>
  <c r="B29" i="3682"/>
  <c r="H32" i="3682"/>
  <c r="B28" i="3682"/>
  <c r="H10" i="3682"/>
  <c r="B27" i="3682"/>
  <c r="H31" i="3682"/>
  <c r="B26" i="3682"/>
  <c r="H20" i="3682"/>
  <c r="C25" i="3682"/>
  <c r="H13" i="3682"/>
  <c r="C24" i="3682"/>
  <c r="H23" i="3682"/>
  <c r="C23" i="3682"/>
  <c r="H30" i="3682"/>
  <c r="C22" i="3682"/>
  <c r="H15" i="3682"/>
  <c r="C21" i="3682"/>
  <c r="H29" i="3682"/>
  <c r="C20" i="3682"/>
  <c r="H19" i="3682"/>
  <c r="C19" i="3682"/>
  <c r="H28" i="3682"/>
  <c r="C18" i="3682"/>
  <c r="H16" i="3682"/>
  <c r="C17" i="3682"/>
  <c r="H14" i="3682"/>
  <c r="C16" i="3682"/>
  <c r="H27" i="3682"/>
  <c r="C15" i="3682"/>
  <c r="H26" i="3682"/>
  <c r="C14" i="3682"/>
  <c r="H22" i="3682"/>
  <c r="O12" i="3682"/>
  <c r="H25" i="3682"/>
  <c r="B12" i="3682"/>
  <c r="O11" i="3682"/>
  <c r="H18" i="3682"/>
  <c r="B11" i="3682"/>
  <c r="O10" i="3682"/>
  <c r="H4" i="3682"/>
  <c r="B10" i="3682"/>
  <c r="H12" i="3682"/>
  <c r="C9" i="3682"/>
  <c r="H9" i="3682"/>
  <c r="C8" i="3682"/>
  <c r="O7" i="3682"/>
  <c r="H8" i="3682"/>
  <c r="C7" i="3682"/>
  <c r="O6" i="3682"/>
  <c r="H5" i="3682"/>
  <c r="B6" i="3682"/>
  <c r="O5" i="3682"/>
  <c r="H7" i="3682"/>
  <c r="B5" i="3682"/>
  <c r="O4" i="3682"/>
  <c r="H2" i="3682"/>
  <c r="O3" i="3682"/>
  <c r="H11" i="3682"/>
  <c r="O2" i="3682"/>
  <c r="H3" i="3682"/>
  <c r="O26" i="3681"/>
  <c r="O25" i="3681"/>
  <c r="O22" i="3681"/>
  <c r="O20" i="3681"/>
  <c r="O23" i="3681"/>
  <c r="O24" i="3681"/>
  <c r="O19" i="3681"/>
  <c r="O18" i="3681"/>
  <c r="H52" i="3681"/>
  <c r="H5" i="3681"/>
  <c r="H20" i="3681"/>
  <c r="H51" i="3681"/>
  <c r="H50" i="3681"/>
  <c r="C48" i="3681"/>
  <c r="H49" i="3681"/>
  <c r="C47" i="3681"/>
  <c r="H48" i="3681"/>
  <c r="C46" i="3681"/>
  <c r="H47" i="3681"/>
  <c r="C45" i="3681"/>
  <c r="H46" i="3681"/>
  <c r="C44" i="3681"/>
  <c r="H45" i="3681"/>
  <c r="C43" i="3681"/>
  <c r="H44" i="3681"/>
  <c r="C42" i="3681"/>
  <c r="H43" i="3681"/>
  <c r="C41" i="3681"/>
  <c r="H42" i="3681"/>
  <c r="C40" i="3681"/>
  <c r="H29" i="3681"/>
  <c r="C39" i="3681"/>
  <c r="H41" i="3681"/>
  <c r="C38" i="3681"/>
  <c r="H40" i="3681"/>
  <c r="C37" i="3681"/>
  <c r="H39" i="3681"/>
  <c r="C36" i="3681"/>
  <c r="H38" i="3681"/>
  <c r="H37" i="3681"/>
  <c r="C34" i="3681"/>
  <c r="H36" i="3681"/>
  <c r="H35" i="3681"/>
  <c r="H28" i="3681"/>
  <c r="H22" i="3681"/>
  <c r="H17" i="3681"/>
  <c r="B29" i="3681"/>
  <c r="H27" i="3681"/>
  <c r="B28" i="3681"/>
  <c r="H9" i="3681"/>
  <c r="B27" i="3681"/>
  <c r="H26" i="3681"/>
  <c r="B26" i="3681"/>
  <c r="H30" i="3681"/>
  <c r="C25" i="3681"/>
  <c r="H14" i="3681"/>
  <c r="C24" i="3681"/>
  <c r="H19" i="3681"/>
  <c r="C23" i="3681"/>
  <c r="H34" i="3681"/>
  <c r="C22" i="3681"/>
  <c r="H13" i="3681"/>
  <c r="C21" i="3681"/>
  <c r="H33" i="3681"/>
  <c r="C20" i="3681"/>
  <c r="H16" i="3681"/>
  <c r="C19" i="3681"/>
  <c r="H32" i="3681"/>
  <c r="C18" i="3681"/>
  <c r="H18" i="3681"/>
  <c r="C17" i="3681"/>
  <c r="H15" i="3681"/>
  <c r="C16" i="3681"/>
  <c r="H25" i="3681"/>
  <c r="C15" i="3681"/>
  <c r="H31" i="3681"/>
  <c r="C14" i="3681"/>
  <c r="H23" i="3681"/>
  <c r="O12" i="3681"/>
  <c r="H24" i="3681"/>
  <c r="B12" i="3681"/>
  <c r="O11" i="3681"/>
  <c r="H21" i="3681"/>
  <c r="B11" i="3681"/>
  <c r="O10" i="3681"/>
  <c r="H3" i="3681"/>
  <c r="B10" i="3681"/>
  <c r="H11" i="3681"/>
  <c r="C9" i="3681"/>
  <c r="H12" i="3681"/>
  <c r="C8" i="3681"/>
  <c r="O7" i="3681"/>
  <c r="H8" i="3681"/>
  <c r="C7" i="3681"/>
  <c r="O6" i="3681"/>
  <c r="H7" i="3681"/>
  <c r="B6" i="3681"/>
  <c r="O5" i="3681"/>
  <c r="H6" i="3681"/>
  <c r="B5" i="3681"/>
  <c r="O4" i="3681"/>
  <c r="H2" i="3681"/>
  <c r="O3" i="3681"/>
  <c r="H10" i="3681"/>
  <c r="O2" i="3681"/>
  <c r="H4" i="3681"/>
  <c r="O21" i="3680"/>
  <c r="O19" i="3680"/>
  <c r="O20" i="3680"/>
  <c r="O18" i="3680"/>
  <c r="O17" i="3680"/>
  <c r="H52" i="3680"/>
  <c r="H13" i="3680"/>
  <c r="H51" i="3680"/>
  <c r="H50" i="3680"/>
  <c r="H49" i="3680"/>
  <c r="C48" i="3680"/>
  <c r="H48" i="3680"/>
  <c r="C47" i="3680"/>
  <c r="H47" i="3680"/>
  <c r="C46" i="3680"/>
  <c r="H46" i="3680"/>
  <c r="C45" i="3680"/>
  <c r="H45" i="3680"/>
  <c r="C44" i="3680"/>
  <c r="H44" i="3680"/>
  <c r="C43" i="3680"/>
  <c r="H43" i="3680"/>
  <c r="C42" i="3680"/>
  <c r="H42" i="3680"/>
  <c r="C41" i="3680"/>
  <c r="H41" i="3680"/>
  <c r="C40" i="3680"/>
  <c r="H40" i="3680"/>
  <c r="C39" i="3680"/>
  <c r="H39" i="3680"/>
  <c r="C38" i="3680"/>
  <c r="H38" i="3680"/>
  <c r="C37" i="3680"/>
  <c r="H37" i="3680"/>
  <c r="C36" i="3680"/>
  <c r="H36" i="3680"/>
  <c r="H35" i="3680"/>
  <c r="C34" i="3680"/>
  <c r="H34" i="3680"/>
  <c r="H33" i="3680"/>
  <c r="H32" i="3680"/>
  <c r="H31" i="3680"/>
  <c r="H14" i="3680"/>
  <c r="B29" i="3680"/>
  <c r="H30" i="3680"/>
  <c r="B28" i="3680"/>
  <c r="H7" i="3680"/>
  <c r="B27" i="3680"/>
  <c r="H29" i="3680"/>
  <c r="B26" i="3680"/>
  <c r="H28" i="3680"/>
  <c r="C25" i="3680"/>
  <c r="H10" i="3680"/>
  <c r="C24" i="3680"/>
  <c r="H27" i="3680"/>
  <c r="C23" i="3680"/>
  <c r="H26" i="3680"/>
  <c r="C22" i="3680"/>
  <c r="H25" i="3680"/>
  <c r="C21" i="3680"/>
  <c r="H24" i="3680"/>
  <c r="C20" i="3680"/>
  <c r="H23" i="3680"/>
  <c r="C19" i="3680"/>
  <c r="H22" i="3680"/>
  <c r="C18" i="3680"/>
  <c r="H21" i="3680"/>
  <c r="C17" i="3680"/>
  <c r="H20" i="3680"/>
  <c r="C16" i="3680"/>
  <c r="H19" i="3680"/>
  <c r="C15" i="3680"/>
  <c r="H18" i="3680"/>
  <c r="C14" i="3680"/>
  <c r="H17" i="3680"/>
  <c r="O12" i="3680"/>
  <c r="H16" i="3680"/>
  <c r="B12" i="3680"/>
  <c r="O11" i="3680"/>
  <c r="H15" i="3680"/>
  <c r="B11" i="3680"/>
  <c r="O10" i="3680"/>
  <c r="H4" i="3680"/>
  <c r="B10" i="3680"/>
  <c r="H12" i="3680"/>
  <c r="C9" i="3680"/>
  <c r="H9" i="3680"/>
  <c r="C8" i="3680"/>
  <c r="O7" i="3680"/>
  <c r="H8" i="3680"/>
  <c r="C7" i="3680"/>
  <c r="O6" i="3680"/>
  <c r="H6" i="3680"/>
  <c r="B6" i="3680"/>
  <c r="O5" i="3680"/>
  <c r="H5" i="3680"/>
  <c r="B5" i="3680"/>
  <c r="O4" i="3680"/>
  <c r="H3" i="3680"/>
  <c r="O3" i="3680"/>
  <c r="H11" i="3680"/>
  <c r="O2" i="3680"/>
  <c r="H2" i="3680"/>
  <c r="O27" i="3679"/>
  <c r="O22" i="3679"/>
  <c r="O26" i="3679"/>
  <c r="O25" i="3679"/>
  <c r="O24" i="3679"/>
  <c r="O18" i="3679"/>
  <c r="O20" i="3679"/>
  <c r="O23" i="3679"/>
  <c r="O16" i="3679"/>
  <c r="O15" i="3679"/>
  <c r="O19" i="3679"/>
  <c r="H52" i="3679"/>
  <c r="H7" i="3679"/>
  <c r="H17" i="3679"/>
  <c r="H51" i="3679"/>
  <c r="H50" i="3679"/>
  <c r="C48" i="3679"/>
  <c r="H49" i="3679"/>
  <c r="C47" i="3679"/>
  <c r="H48" i="3679"/>
  <c r="C46" i="3679"/>
  <c r="H47" i="3679"/>
  <c r="C45" i="3679"/>
  <c r="H46" i="3679"/>
  <c r="C44" i="3679"/>
  <c r="H45" i="3679"/>
  <c r="C43" i="3679"/>
  <c r="H44" i="3679"/>
  <c r="C42" i="3679"/>
  <c r="H43" i="3679"/>
  <c r="C41" i="3679"/>
  <c r="H42" i="3679"/>
  <c r="C40" i="3679"/>
  <c r="H41" i="3679"/>
  <c r="C39" i="3679"/>
  <c r="H40" i="3679"/>
  <c r="C38" i="3679"/>
  <c r="H39" i="3679"/>
  <c r="C37" i="3679"/>
  <c r="H38" i="3679"/>
  <c r="C36" i="3679"/>
  <c r="H32" i="3679"/>
  <c r="H37" i="3679"/>
  <c r="C34" i="3679"/>
  <c r="H31" i="3679"/>
  <c r="H36" i="3679"/>
  <c r="H26" i="3679"/>
  <c r="H20" i="3679"/>
  <c r="H16" i="3679"/>
  <c r="B29" i="3679"/>
  <c r="H27" i="3679"/>
  <c r="B28" i="3679"/>
  <c r="H8" i="3679"/>
  <c r="B27" i="3679"/>
  <c r="H30" i="3679"/>
  <c r="B26" i="3679"/>
  <c r="H28" i="3679"/>
  <c r="C25" i="3679"/>
  <c r="H12" i="3679"/>
  <c r="C24" i="3679"/>
  <c r="H25" i="3679"/>
  <c r="C23" i="3679"/>
  <c r="H24" i="3679"/>
  <c r="C22" i="3679"/>
  <c r="H14" i="3679"/>
  <c r="C21" i="3679"/>
  <c r="H35" i="3679"/>
  <c r="C20" i="3679"/>
  <c r="H18" i="3679"/>
  <c r="C19" i="3679"/>
  <c r="H34" i="3679"/>
  <c r="C18" i="3679"/>
  <c r="H19" i="3679"/>
  <c r="C17" i="3679"/>
  <c r="H15" i="3679"/>
  <c r="C16" i="3679"/>
  <c r="H23" i="3679"/>
  <c r="C15" i="3679"/>
  <c r="H33" i="3679"/>
  <c r="C14" i="3679"/>
  <c r="H22" i="3679"/>
  <c r="O12" i="3679"/>
  <c r="H29" i="3679"/>
  <c r="B12" i="3679"/>
  <c r="O11" i="3679"/>
  <c r="H21" i="3679"/>
  <c r="B11" i="3679"/>
  <c r="O10" i="3679"/>
  <c r="H3" i="3679"/>
  <c r="B10" i="3679"/>
  <c r="H13" i="3679"/>
  <c r="C9" i="3679"/>
  <c r="H11" i="3679"/>
  <c r="C8" i="3679"/>
  <c r="O7" i="3679"/>
  <c r="H9" i="3679"/>
  <c r="C7" i="3679"/>
  <c r="O6" i="3679"/>
  <c r="H6" i="3679"/>
  <c r="B6" i="3679"/>
  <c r="O5" i="3679"/>
  <c r="H5" i="3679"/>
  <c r="B5" i="3679"/>
  <c r="O4" i="3679"/>
  <c r="H2" i="3679"/>
  <c r="O3" i="3679"/>
  <c r="H10" i="3679"/>
  <c r="O2" i="3679"/>
  <c r="H4" i="3679"/>
  <c r="O15" i="3678"/>
  <c r="O21" i="3678"/>
  <c r="O19" i="3678"/>
  <c r="O20" i="3678"/>
  <c r="O18" i="3678"/>
  <c r="O17" i="3678"/>
  <c r="O16" i="3678"/>
  <c r="H52" i="3678"/>
  <c r="H10" i="3678"/>
  <c r="H16" i="3678"/>
  <c r="H51" i="3678"/>
  <c r="H50" i="3678"/>
  <c r="C48" i="3678"/>
  <c r="H49" i="3678"/>
  <c r="C47" i="3678"/>
  <c r="H48" i="3678"/>
  <c r="C46" i="3678"/>
  <c r="H47" i="3678"/>
  <c r="C45" i="3678"/>
  <c r="H46" i="3678"/>
  <c r="C44" i="3678"/>
  <c r="H45" i="3678"/>
  <c r="C43" i="3678"/>
  <c r="H44" i="3678"/>
  <c r="C42" i="3678"/>
  <c r="H43" i="3678"/>
  <c r="C41" i="3678"/>
  <c r="H42" i="3678"/>
  <c r="C40" i="3678"/>
  <c r="H41" i="3678"/>
  <c r="C39" i="3678"/>
  <c r="H40" i="3678"/>
  <c r="C38" i="3678"/>
  <c r="H39" i="3678"/>
  <c r="C37" i="3678"/>
  <c r="H38" i="3678"/>
  <c r="C36" i="3678"/>
  <c r="H37" i="3678"/>
  <c r="H36" i="3678"/>
  <c r="C34" i="3678"/>
  <c r="H35" i="3678"/>
  <c r="H34" i="3678"/>
  <c r="H33" i="3678"/>
  <c r="H20" i="3678"/>
  <c r="H19" i="3678"/>
  <c r="B29" i="3678"/>
  <c r="H32" i="3678"/>
  <c r="B28" i="3678"/>
  <c r="H7" i="3678"/>
  <c r="B27" i="3678"/>
  <c r="H31" i="3678"/>
  <c r="B26" i="3678"/>
  <c r="H30" i="3678"/>
  <c r="C25" i="3678"/>
  <c r="H18" i="3678"/>
  <c r="C24" i="3678"/>
  <c r="H29" i="3678"/>
  <c r="C23" i="3678"/>
  <c r="H28" i="3678"/>
  <c r="C22" i="3678"/>
  <c r="H15" i="3678"/>
  <c r="C21" i="3678"/>
  <c r="H27" i="3678"/>
  <c r="C20" i="3678"/>
  <c r="H26" i="3678"/>
  <c r="C19" i="3678"/>
  <c r="H25" i="3678"/>
  <c r="C18" i="3678"/>
  <c r="H14" i="3678"/>
  <c r="C17" i="3678"/>
  <c r="H13" i="3678"/>
  <c r="C16" i="3678"/>
  <c r="H24" i="3678"/>
  <c r="C15" i="3678"/>
  <c r="H23" i="3678"/>
  <c r="C14" i="3678"/>
  <c r="H22" i="3678"/>
  <c r="O12" i="3678"/>
  <c r="H21" i="3678"/>
  <c r="B12" i="3678"/>
  <c r="O11" i="3678"/>
  <c r="H17" i="3678"/>
  <c r="B11" i="3678"/>
  <c r="O10" i="3678"/>
  <c r="H3" i="3678"/>
  <c r="B10" i="3678"/>
  <c r="H12" i="3678"/>
  <c r="C9" i="3678"/>
  <c r="H11" i="3678"/>
  <c r="C8" i="3678"/>
  <c r="O7" i="3678"/>
  <c r="H9" i="3678"/>
  <c r="C7" i="3678"/>
  <c r="O6" i="3678"/>
  <c r="H6" i="3678"/>
  <c r="B6" i="3678"/>
  <c r="O5" i="3678"/>
  <c r="H5" i="3678"/>
  <c r="B5" i="3678"/>
  <c r="O4" i="3678"/>
  <c r="H2" i="3678"/>
  <c r="O3" i="3678"/>
  <c r="H8" i="3678"/>
  <c r="O2" i="3678"/>
  <c r="H4" i="3678"/>
  <c r="O27" i="3677"/>
  <c r="O24" i="3677"/>
  <c r="O25" i="3677"/>
  <c r="O26" i="3677"/>
  <c r="O16" i="3677"/>
  <c r="O18" i="3677"/>
  <c r="O22" i="3677"/>
  <c r="O21" i="3677"/>
  <c r="O19" i="3677"/>
  <c r="H52" i="3677"/>
  <c r="H5" i="3677"/>
  <c r="H20" i="3677"/>
  <c r="H51" i="3677"/>
  <c r="H50" i="3677"/>
  <c r="C48" i="3677"/>
  <c r="H49" i="3677"/>
  <c r="C47" i="3677"/>
  <c r="H48" i="3677"/>
  <c r="C46" i="3677"/>
  <c r="H47" i="3677"/>
  <c r="C45" i="3677"/>
  <c r="H46" i="3677"/>
  <c r="C44" i="3677"/>
  <c r="H45" i="3677"/>
  <c r="C43" i="3677"/>
  <c r="H44" i="3677"/>
  <c r="C42" i="3677"/>
  <c r="H43" i="3677"/>
  <c r="C41" i="3677"/>
  <c r="H42" i="3677"/>
  <c r="C40" i="3677"/>
  <c r="H41" i="3677"/>
  <c r="C39" i="3677"/>
  <c r="H40" i="3677"/>
  <c r="C38" i="3677"/>
  <c r="H39" i="3677"/>
  <c r="C37" i="3677"/>
  <c r="H38" i="3677"/>
  <c r="C36" i="3677"/>
  <c r="H37" i="3677"/>
  <c r="H36" i="3677"/>
  <c r="C34" i="3677"/>
  <c r="H31" i="3677"/>
  <c r="H35" i="3677"/>
  <c r="H26" i="3677"/>
  <c r="H25" i="3677"/>
  <c r="H17" i="3677"/>
  <c r="B29" i="3677"/>
  <c r="H28" i="3677"/>
  <c r="B28" i="3677"/>
  <c r="H9" i="3677"/>
  <c r="B27" i="3677"/>
  <c r="H30" i="3677"/>
  <c r="B26" i="3677"/>
  <c r="H27" i="3677"/>
  <c r="C25" i="3677"/>
  <c r="H13" i="3677"/>
  <c r="C24" i="3677"/>
  <c r="H29" i="3677"/>
  <c r="C23" i="3677"/>
  <c r="H24" i="3677"/>
  <c r="C22" i="3677"/>
  <c r="H14" i="3677"/>
  <c r="C21" i="3677"/>
  <c r="H34" i="3677"/>
  <c r="C20" i="3677"/>
  <c r="H16" i="3677"/>
  <c r="C19" i="3677"/>
  <c r="H33" i="3677"/>
  <c r="C18" i="3677"/>
  <c r="H18" i="3677"/>
  <c r="C17" i="3677"/>
  <c r="H15" i="3677"/>
  <c r="C16" i="3677"/>
  <c r="H19" i="3677"/>
  <c r="C15" i="3677"/>
  <c r="H32" i="3677"/>
  <c r="C14" i="3677"/>
  <c r="H23" i="3677"/>
  <c r="O12" i="3677"/>
  <c r="H22" i="3677"/>
  <c r="B12" i="3677"/>
  <c r="O11" i="3677"/>
  <c r="H21" i="3677"/>
  <c r="B11" i="3677"/>
  <c r="O10" i="3677"/>
  <c r="H3" i="3677"/>
  <c r="B10" i="3677"/>
  <c r="H12" i="3677"/>
  <c r="C9" i="3677"/>
  <c r="H10" i="3677"/>
  <c r="C8" i="3677"/>
  <c r="O7" i="3677"/>
  <c r="H8" i="3677"/>
  <c r="C7" i="3677"/>
  <c r="O6" i="3677"/>
  <c r="H6" i="3677"/>
  <c r="B6" i="3677"/>
  <c r="O5" i="3677"/>
  <c r="H7" i="3677"/>
  <c r="B5" i="3677"/>
  <c r="O4" i="3677"/>
  <c r="H2" i="3677"/>
  <c r="O3" i="3677"/>
  <c r="H11" i="3677"/>
  <c r="O2" i="3677"/>
  <c r="H4" i="3677"/>
  <c r="O25" i="3676"/>
  <c r="O20" i="3676"/>
  <c r="O24" i="3676"/>
  <c r="O16" i="3676"/>
  <c r="O22" i="3676"/>
  <c r="O17" i="3676"/>
  <c r="O19" i="3676"/>
  <c r="H52" i="3676"/>
  <c r="H5" i="3676"/>
  <c r="H51" i="3676"/>
  <c r="H50" i="3676"/>
  <c r="H49" i="3676"/>
  <c r="C48" i="3676"/>
  <c r="H48" i="3676"/>
  <c r="C47" i="3676"/>
  <c r="H47" i="3676"/>
  <c r="C46" i="3676"/>
  <c r="H46" i="3676"/>
  <c r="C45" i="3676"/>
  <c r="H45" i="3676"/>
  <c r="C44" i="3676"/>
  <c r="H44" i="3676"/>
  <c r="C43" i="3676"/>
  <c r="H43" i="3676"/>
  <c r="C42" i="3676"/>
  <c r="H42" i="3676"/>
  <c r="C41" i="3676"/>
  <c r="H41" i="3676"/>
  <c r="C40" i="3676"/>
  <c r="H40" i="3676"/>
  <c r="C39" i="3676"/>
  <c r="H39" i="3676"/>
  <c r="C38" i="3676"/>
  <c r="H38" i="3676"/>
  <c r="C37" i="3676"/>
  <c r="H37" i="3676"/>
  <c r="C36" i="3676"/>
  <c r="H36" i="3676"/>
  <c r="H35" i="3676"/>
  <c r="C34" i="3676"/>
  <c r="H34" i="3676"/>
  <c r="H33" i="3676"/>
  <c r="H24" i="3676"/>
  <c r="H32" i="3676"/>
  <c r="H18" i="3676"/>
  <c r="B29" i="3676"/>
  <c r="H27" i="3676"/>
  <c r="B28" i="3676"/>
  <c r="H12" i="3676"/>
  <c r="B27" i="3676"/>
  <c r="H23" i="3676"/>
  <c r="B26" i="3676"/>
  <c r="H22" i="3676"/>
  <c r="C25" i="3676"/>
  <c r="H14" i="3676"/>
  <c r="C24" i="3676"/>
  <c r="H31" i="3676"/>
  <c r="C23" i="3676"/>
  <c r="H26" i="3676"/>
  <c r="C22" i="3676"/>
  <c r="H13" i="3676"/>
  <c r="C21" i="3676"/>
  <c r="H30" i="3676"/>
  <c r="C20" i="3676"/>
  <c r="H15" i="3676"/>
  <c r="C19" i="3676"/>
  <c r="H29" i="3676"/>
  <c r="C18" i="3676"/>
  <c r="H17" i="3676"/>
  <c r="C17" i="3676"/>
  <c r="H16" i="3676"/>
  <c r="C16" i="3676"/>
  <c r="H21" i="3676"/>
  <c r="C15" i="3676"/>
  <c r="H28" i="3676"/>
  <c r="C14" i="3676"/>
  <c r="H20" i="3676"/>
  <c r="O12" i="3676"/>
  <c r="H19" i="3676"/>
  <c r="B12" i="3676"/>
  <c r="O11" i="3676"/>
  <c r="H25" i="3676"/>
  <c r="B11" i="3676"/>
  <c r="O10" i="3676"/>
  <c r="H3" i="3676"/>
  <c r="B10" i="3676"/>
  <c r="H10" i="3676"/>
  <c r="C9" i="3676"/>
  <c r="H11" i="3676"/>
  <c r="C8" i="3676"/>
  <c r="O7" i="3676"/>
  <c r="H8" i="3676"/>
  <c r="C7" i="3676"/>
  <c r="O6" i="3676"/>
  <c r="H6" i="3676"/>
  <c r="B6" i="3676"/>
  <c r="O5" i="3676"/>
  <c r="H7" i="3676"/>
  <c r="B5" i="3676"/>
  <c r="O4" i="3676"/>
  <c r="H2" i="3676"/>
  <c r="O3" i="3676"/>
  <c r="H9" i="3676"/>
  <c r="O2" i="3676"/>
  <c r="H4" i="3676"/>
  <c r="O19" i="3675"/>
  <c r="O18" i="3675"/>
  <c r="O17" i="3675"/>
  <c r="O16" i="3675"/>
  <c r="O15" i="3675"/>
  <c r="H52" i="3675"/>
  <c r="H51" i="3675"/>
  <c r="H50" i="3675"/>
  <c r="H49" i="3675"/>
  <c r="H48" i="3675"/>
  <c r="C48" i="3675"/>
  <c r="H47" i="3675"/>
  <c r="C47" i="3675"/>
  <c r="H46" i="3675"/>
  <c r="C46" i="3675"/>
  <c r="H45" i="3675"/>
  <c r="C45" i="3675"/>
  <c r="H44" i="3675"/>
  <c r="C44" i="3675"/>
  <c r="H43" i="3675"/>
  <c r="C43" i="3675"/>
  <c r="H42" i="3675"/>
  <c r="C42" i="3675"/>
  <c r="H41" i="3675"/>
  <c r="C41" i="3675"/>
  <c r="H40" i="3675"/>
  <c r="C40" i="3675"/>
  <c r="H39" i="3675"/>
  <c r="C39" i="3675"/>
  <c r="H38" i="3675"/>
  <c r="C38" i="3675"/>
  <c r="H37" i="3675"/>
  <c r="C37" i="3675"/>
  <c r="H36" i="3675"/>
  <c r="C36" i="3675"/>
  <c r="H35" i="3675"/>
  <c r="H34" i="3675"/>
  <c r="C34" i="3675"/>
  <c r="H33" i="3675"/>
  <c r="H32" i="3675"/>
  <c r="H31" i="3675"/>
  <c r="H30" i="3675"/>
  <c r="H29" i="3675"/>
  <c r="B29" i="3675"/>
  <c r="H28" i="3675"/>
  <c r="B28" i="3675"/>
  <c r="H27" i="3675"/>
  <c r="B27" i="3675"/>
  <c r="H26" i="3675"/>
  <c r="B26" i="3675"/>
  <c r="H25" i="3675"/>
  <c r="C25" i="3675"/>
  <c r="H10" i="3675"/>
  <c r="C24" i="3675"/>
  <c r="H24" i="3675"/>
  <c r="C23" i="3675"/>
  <c r="H23" i="3675"/>
  <c r="C22" i="3675"/>
  <c r="H22" i="3675"/>
  <c r="C21" i="3675"/>
  <c r="H21" i="3675"/>
  <c r="C20" i="3675"/>
  <c r="H20" i="3675"/>
  <c r="C19" i="3675"/>
  <c r="H19" i="3675"/>
  <c r="C18" i="3675"/>
  <c r="H7" i="3675"/>
  <c r="C17" i="3675"/>
  <c r="H18" i="3675"/>
  <c r="C16" i="3675"/>
  <c r="H17" i="3675"/>
  <c r="C15" i="3675"/>
  <c r="H16" i="3675"/>
  <c r="C14" i="3675"/>
  <c r="H15" i="3675"/>
  <c r="O12" i="3675"/>
  <c r="H14" i="3675"/>
  <c r="B12" i="3675"/>
  <c r="O11" i="3675"/>
  <c r="H13" i="3675"/>
  <c r="B11" i="3675"/>
  <c r="O10" i="3675"/>
  <c r="H4" i="3675"/>
  <c r="B10" i="3675"/>
  <c r="H12" i="3675"/>
  <c r="C9" i="3675"/>
  <c r="H11" i="3675"/>
  <c r="C8" i="3675"/>
  <c r="O7" i="3675"/>
  <c r="H9" i="3675"/>
  <c r="C7" i="3675"/>
  <c r="O6" i="3675"/>
  <c r="H5" i="3675"/>
  <c r="B6" i="3675"/>
  <c r="O5" i="3675"/>
  <c r="H6" i="3675"/>
  <c r="B5" i="3675"/>
  <c r="O4" i="3675"/>
  <c r="H8" i="3675"/>
  <c r="O3" i="3675"/>
  <c r="H3" i="3675"/>
  <c r="O2" i="3675"/>
  <c r="H2" i="3675"/>
  <c r="O23" i="3674"/>
  <c r="O25" i="3674"/>
  <c r="O22" i="3674"/>
  <c r="O18" i="3674"/>
  <c r="O15" i="3674"/>
  <c r="O20" i="3674"/>
  <c r="O24" i="3674"/>
  <c r="O17" i="3674"/>
  <c r="O21" i="3674"/>
  <c r="O16" i="3674"/>
  <c r="O26" i="3674"/>
  <c r="H52" i="3674"/>
  <c r="H7" i="3674"/>
  <c r="H51" i="3674"/>
  <c r="H50" i="3674"/>
  <c r="H49" i="3674"/>
  <c r="C48" i="3674"/>
  <c r="H48" i="3674"/>
  <c r="C47" i="3674"/>
  <c r="H47" i="3674"/>
  <c r="C46" i="3674"/>
  <c r="H46" i="3674"/>
  <c r="C45" i="3674"/>
  <c r="H45" i="3674"/>
  <c r="C44" i="3674"/>
  <c r="H44" i="3674"/>
  <c r="C43" i="3674"/>
  <c r="H43" i="3674"/>
  <c r="C42" i="3674"/>
  <c r="H42" i="3674"/>
  <c r="C41" i="3674"/>
  <c r="H41" i="3674"/>
  <c r="C40" i="3674"/>
  <c r="H40" i="3674"/>
  <c r="C39" i="3674"/>
  <c r="H39" i="3674"/>
  <c r="C38" i="3674"/>
  <c r="H38" i="3674"/>
  <c r="C37" i="3674"/>
  <c r="H37" i="3674"/>
  <c r="C36" i="3674"/>
  <c r="H23" i="3674"/>
  <c r="H36" i="3674"/>
  <c r="C34" i="3674"/>
  <c r="H35" i="3674"/>
  <c r="H34" i="3674"/>
  <c r="H22" i="3674"/>
  <c r="H33" i="3674"/>
  <c r="H17" i="3674"/>
  <c r="B29" i="3674"/>
  <c r="H32" i="3674"/>
  <c r="B28" i="3674"/>
  <c r="H11" i="3674"/>
  <c r="B27" i="3674"/>
  <c r="H31" i="3674"/>
  <c r="B26" i="3674"/>
  <c r="H30" i="3674"/>
  <c r="C25" i="3674"/>
  <c r="H16" i="3674"/>
  <c r="C24" i="3674"/>
  <c r="H29" i="3674"/>
  <c r="C23" i="3674"/>
  <c r="H28" i="3674"/>
  <c r="C22" i="3674"/>
  <c r="H9" i="3674"/>
  <c r="C21" i="3674"/>
  <c r="H27" i="3674"/>
  <c r="C20" i="3674"/>
  <c r="H14" i="3674"/>
  <c r="C19" i="3674"/>
  <c r="H26" i="3674"/>
  <c r="C18" i="3674"/>
  <c r="H15" i="3674"/>
  <c r="C17" i="3674"/>
  <c r="H21" i="3674"/>
  <c r="C16" i="3674"/>
  <c r="H25" i="3674"/>
  <c r="C15" i="3674"/>
  <c r="H24" i="3674"/>
  <c r="C14" i="3674"/>
  <c r="H20" i="3674"/>
  <c r="O12" i="3674"/>
  <c r="H19" i="3674"/>
  <c r="B12" i="3674"/>
  <c r="O11" i="3674"/>
  <c r="H18" i="3674"/>
  <c r="B11" i="3674"/>
  <c r="O10" i="3674"/>
  <c r="H3" i="3674"/>
  <c r="B10" i="3674"/>
  <c r="H13" i="3674"/>
  <c r="C9" i="3674"/>
  <c r="H10" i="3674"/>
  <c r="C8" i="3674"/>
  <c r="O7" i="3674"/>
  <c r="H8" i="3674"/>
  <c r="C7" i="3674"/>
  <c r="O6" i="3674"/>
  <c r="H5" i="3674"/>
  <c r="B6" i="3674"/>
  <c r="O5" i="3674"/>
  <c r="H6" i="3674"/>
  <c r="B5" i="3674"/>
  <c r="O4" i="3674"/>
  <c r="H2" i="3674"/>
  <c r="O3" i="3674"/>
  <c r="H12" i="3674"/>
  <c r="O2" i="3674"/>
  <c r="H4" i="3674"/>
  <c r="O26" i="3673"/>
  <c r="O23" i="3673"/>
  <c r="O22" i="3673"/>
  <c r="O21" i="3673"/>
  <c r="O24" i="3673"/>
  <c r="O20" i="3673"/>
  <c r="O18" i="3673"/>
  <c r="O17" i="3673"/>
  <c r="O19" i="3673"/>
  <c r="O16" i="3673"/>
  <c r="H52" i="3673"/>
  <c r="H7" i="3673"/>
  <c r="H19" i="3673"/>
  <c r="H51" i="3673"/>
  <c r="H50" i="3673"/>
  <c r="C48" i="3673"/>
  <c r="H49" i="3673"/>
  <c r="C47" i="3673"/>
  <c r="H48" i="3673"/>
  <c r="C46" i="3673"/>
  <c r="H47" i="3673"/>
  <c r="C45" i="3673"/>
  <c r="H46" i="3673"/>
  <c r="C44" i="3673"/>
  <c r="H45" i="3673"/>
  <c r="C43" i="3673"/>
  <c r="H44" i="3673"/>
  <c r="C42" i="3673"/>
  <c r="H43" i="3673"/>
  <c r="C41" i="3673"/>
  <c r="H42" i="3673"/>
  <c r="C40" i="3673"/>
  <c r="H41" i="3673"/>
  <c r="C39" i="3673"/>
  <c r="H40" i="3673"/>
  <c r="C38" i="3673"/>
  <c r="H39" i="3673"/>
  <c r="C37" i="3673"/>
  <c r="H38" i="3673"/>
  <c r="C36" i="3673"/>
  <c r="H37" i="3673"/>
  <c r="H36" i="3673"/>
  <c r="C34" i="3673"/>
  <c r="H31" i="3673"/>
  <c r="H35" i="3673"/>
  <c r="H30" i="3673"/>
  <c r="H25" i="3673"/>
  <c r="H17" i="3673"/>
  <c r="B29" i="3673"/>
  <c r="H34" i="3673"/>
  <c r="B28" i="3673"/>
  <c r="H10" i="3673"/>
  <c r="B27" i="3673"/>
  <c r="H26" i="3673"/>
  <c r="B26" i="3673"/>
  <c r="H29" i="3673"/>
  <c r="C25" i="3673"/>
  <c r="H12" i="3673"/>
  <c r="C24" i="3673"/>
  <c r="H24" i="3673"/>
  <c r="C23" i="3673"/>
  <c r="H23" i="3673"/>
  <c r="C22" i="3673"/>
  <c r="H13" i="3673"/>
  <c r="C21" i="3673"/>
  <c r="H33" i="3673"/>
  <c r="C20" i="3673"/>
  <c r="H15" i="3673"/>
  <c r="C19" i="3673"/>
  <c r="H28" i="3673"/>
  <c r="C18" i="3673"/>
  <c r="H18" i="3673"/>
  <c r="C17" i="3673"/>
  <c r="H16" i="3673"/>
  <c r="C16" i="3673"/>
  <c r="H27" i="3673"/>
  <c r="C15" i="3673"/>
  <c r="H32" i="3673"/>
  <c r="C14" i="3673"/>
  <c r="H20" i="3673"/>
  <c r="O12" i="3673"/>
  <c r="H22" i="3673"/>
  <c r="B12" i="3673"/>
  <c r="O11" i="3673"/>
  <c r="H21" i="3673"/>
  <c r="B11" i="3673"/>
  <c r="O10" i="3673"/>
  <c r="H4" i="3673"/>
  <c r="B10" i="3673"/>
  <c r="H14" i="3673"/>
  <c r="C9" i="3673"/>
  <c r="H11" i="3673"/>
  <c r="C8" i="3673"/>
  <c r="O7" i="3673"/>
  <c r="H8" i="3673"/>
  <c r="C7" i="3673"/>
  <c r="O6" i="3673"/>
  <c r="H5" i="3673"/>
  <c r="B6" i="3673"/>
  <c r="O5" i="3673"/>
  <c r="H6" i="3673"/>
  <c r="B5" i="3673"/>
  <c r="O4" i="3673"/>
  <c r="H2" i="3673"/>
  <c r="O3" i="3673"/>
  <c r="H9" i="3673"/>
  <c r="O2" i="3673"/>
  <c r="H3" i="3673"/>
  <c r="O21" i="3672"/>
  <c r="O22" i="3672"/>
  <c r="O18" i="3672"/>
  <c r="O16" i="3672"/>
  <c r="H52" i="3672"/>
  <c r="H7" i="3672"/>
  <c r="H51" i="3672"/>
  <c r="H50" i="3672"/>
  <c r="H49" i="3672"/>
  <c r="C48" i="3672"/>
  <c r="H48" i="3672"/>
  <c r="C47" i="3672"/>
  <c r="H47" i="3672"/>
  <c r="C46" i="3672"/>
  <c r="H46" i="3672"/>
  <c r="C45" i="3672"/>
  <c r="H45" i="3672"/>
  <c r="C44" i="3672"/>
  <c r="H44" i="3672"/>
  <c r="C43" i="3672"/>
  <c r="H43" i="3672"/>
  <c r="C42" i="3672"/>
  <c r="H42" i="3672"/>
  <c r="C41" i="3672"/>
  <c r="H41" i="3672"/>
  <c r="C40" i="3672"/>
  <c r="H40" i="3672"/>
  <c r="C39" i="3672"/>
  <c r="H39" i="3672"/>
  <c r="C38" i="3672"/>
  <c r="H38" i="3672"/>
  <c r="C37" i="3672"/>
  <c r="H37" i="3672"/>
  <c r="C36" i="3672"/>
  <c r="H36" i="3672"/>
  <c r="H35" i="3672"/>
  <c r="C34" i="3672"/>
  <c r="H34" i="3672"/>
  <c r="H33" i="3672"/>
  <c r="H32" i="3672"/>
  <c r="H31" i="3672"/>
  <c r="H30" i="3672"/>
  <c r="B29" i="3672"/>
  <c r="H29" i="3672"/>
  <c r="B28" i="3672"/>
  <c r="H11" i="3672"/>
  <c r="B27" i="3672"/>
  <c r="H28" i="3672"/>
  <c r="B26" i="3672"/>
  <c r="H27" i="3672"/>
  <c r="C25" i="3672"/>
  <c r="H17" i="3672"/>
  <c r="C24" i="3672"/>
  <c r="H16" i="3672"/>
  <c r="C23" i="3672"/>
  <c r="H26" i="3672"/>
  <c r="C22" i="3672"/>
  <c r="H12" i="3672"/>
  <c r="C21" i="3672"/>
  <c r="H25" i="3672"/>
  <c r="C20" i="3672"/>
  <c r="H24" i="3672"/>
  <c r="C19" i="3672"/>
  <c r="H23" i="3672"/>
  <c r="C18" i="3672"/>
  <c r="H15" i="3672"/>
  <c r="C17" i="3672"/>
  <c r="H22" i="3672"/>
  <c r="C16" i="3672"/>
  <c r="H21" i="3672"/>
  <c r="C15" i="3672"/>
  <c r="H20" i="3672"/>
  <c r="C14" i="3672"/>
  <c r="H14" i="3672"/>
  <c r="O12" i="3672"/>
  <c r="H19" i="3672"/>
  <c r="B12" i="3672"/>
  <c r="O11" i="3672"/>
  <c r="H18" i="3672"/>
  <c r="B11" i="3672"/>
  <c r="O10" i="3672"/>
  <c r="H5" i="3672"/>
  <c r="B10" i="3672"/>
  <c r="B13" i="3672" s="1"/>
  <c r="H13" i="3672"/>
  <c r="C9" i="3672"/>
  <c r="H10" i="3672"/>
  <c r="C8" i="3672"/>
  <c r="O7" i="3672"/>
  <c r="H9" i="3672"/>
  <c r="C7" i="3672"/>
  <c r="O6" i="3672"/>
  <c r="H6" i="3672"/>
  <c r="B6" i="3672"/>
  <c r="O5" i="3672"/>
  <c r="H4" i="3672"/>
  <c r="B5" i="3672"/>
  <c r="O4" i="3672"/>
  <c r="H2" i="3672"/>
  <c r="O3" i="3672"/>
  <c r="H8" i="3672"/>
  <c r="O2" i="3672"/>
  <c r="H3" i="3672"/>
  <c r="O17" i="3671"/>
  <c r="O16" i="3671"/>
  <c r="O15" i="3671"/>
  <c r="H52" i="3671"/>
  <c r="H51" i="3671"/>
  <c r="H50" i="3671"/>
  <c r="H49" i="3671"/>
  <c r="H48" i="3671"/>
  <c r="C48" i="3671"/>
  <c r="H47" i="3671"/>
  <c r="C47" i="3671"/>
  <c r="H46" i="3671"/>
  <c r="C46" i="3671"/>
  <c r="H45" i="3671"/>
  <c r="C45" i="3671"/>
  <c r="H44" i="3671"/>
  <c r="C44" i="3671"/>
  <c r="H43" i="3671"/>
  <c r="C43" i="3671"/>
  <c r="H42" i="3671"/>
  <c r="C42" i="3671"/>
  <c r="H41" i="3671"/>
  <c r="C41" i="3671"/>
  <c r="H40" i="3671"/>
  <c r="C40" i="3671"/>
  <c r="H39" i="3671"/>
  <c r="C39" i="3671"/>
  <c r="H38" i="3671"/>
  <c r="C38" i="3671"/>
  <c r="H37" i="3671"/>
  <c r="C37" i="3671"/>
  <c r="H36" i="3671"/>
  <c r="C36" i="3671"/>
  <c r="H35" i="3671"/>
  <c r="H34" i="3671"/>
  <c r="C34" i="3671"/>
  <c r="H33" i="3671"/>
  <c r="H32" i="3671"/>
  <c r="H31" i="3671"/>
  <c r="H30" i="3671"/>
  <c r="H29" i="3671"/>
  <c r="B29" i="3671"/>
  <c r="H28" i="3671"/>
  <c r="B28" i="3671"/>
  <c r="H27" i="3671"/>
  <c r="B27" i="3671"/>
  <c r="H26" i="3671"/>
  <c r="B26" i="3671"/>
  <c r="H25" i="3671"/>
  <c r="C25" i="3671"/>
  <c r="H24" i="3671"/>
  <c r="C24" i="3671"/>
  <c r="H23" i="3671"/>
  <c r="C23" i="3671"/>
  <c r="H22" i="3671"/>
  <c r="C22" i="3671"/>
  <c r="H21" i="3671"/>
  <c r="C21" i="3671"/>
  <c r="H20" i="3671"/>
  <c r="C20" i="3671"/>
  <c r="H19" i="3671"/>
  <c r="C19" i="3671"/>
  <c r="H18" i="3671"/>
  <c r="C18" i="3671"/>
  <c r="H17" i="3671"/>
  <c r="C17" i="3671"/>
  <c r="H16" i="3671"/>
  <c r="C16" i="3671"/>
  <c r="H15" i="3671"/>
  <c r="C15" i="3671"/>
  <c r="H14" i="3671"/>
  <c r="C14" i="3671"/>
  <c r="H13" i="3671"/>
  <c r="B13" i="3671"/>
  <c r="O12" i="3671"/>
  <c r="H12" i="3671"/>
  <c r="B12" i="3671"/>
  <c r="O11" i="3671"/>
  <c r="H11" i="3671"/>
  <c r="B11" i="3671"/>
  <c r="O10" i="3671"/>
  <c r="H10" i="3671"/>
  <c r="B10" i="3671"/>
  <c r="H9" i="3671"/>
  <c r="C9" i="3671"/>
  <c r="H8" i="3671"/>
  <c r="C8" i="3671"/>
  <c r="O7" i="3671"/>
  <c r="H7" i="3671"/>
  <c r="C7" i="3671"/>
  <c r="O6" i="3671"/>
  <c r="H6" i="3671"/>
  <c r="B6" i="3671"/>
  <c r="O5" i="3671"/>
  <c r="H5" i="3671"/>
  <c r="B5" i="3671"/>
  <c r="O4" i="3671"/>
  <c r="H4" i="3671"/>
  <c r="O3" i="3671"/>
  <c r="H3" i="3671"/>
  <c r="O2" i="3671"/>
  <c r="H2" i="3671"/>
  <c r="O27" i="3670"/>
  <c r="O25" i="3670"/>
  <c r="O18" i="3670"/>
  <c r="O28" i="3670"/>
  <c r="O24" i="3670"/>
  <c r="O26" i="3670"/>
  <c r="O22" i="3670"/>
  <c r="O21" i="3670"/>
  <c r="O23" i="3670"/>
  <c r="O16" i="3670"/>
  <c r="O15" i="3670"/>
  <c r="H52" i="3670"/>
  <c r="H7" i="3670"/>
  <c r="H16" i="3670"/>
  <c r="H51" i="3670"/>
  <c r="H50" i="3670"/>
  <c r="C48" i="3670"/>
  <c r="H49" i="3670"/>
  <c r="C47" i="3670"/>
  <c r="H48" i="3670"/>
  <c r="C46" i="3670"/>
  <c r="H47" i="3670"/>
  <c r="C45" i="3670"/>
  <c r="H32" i="3670"/>
  <c r="C44" i="3670"/>
  <c r="H46" i="3670"/>
  <c r="C43" i="3670"/>
  <c r="H45" i="3670"/>
  <c r="C42" i="3670"/>
  <c r="H44" i="3670"/>
  <c r="C41" i="3670"/>
  <c r="H43" i="3670"/>
  <c r="C40" i="3670"/>
  <c r="H42" i="3670"/>
  <c r="C39" i="3670"/>
  <c r="H41" i="3670"/>
  <c r="C38" i="3670"/>
  <c r="H40" i="3670"/>
  <c r="C37" i="3670"/>
  <c r="H39" i="3670"/>
  <c r="C36" i="3670"/>
  <c r="H38" i="3670"/>
  <c r="H37" i="3670"/>
  <c r="C34" i="3670"/>
  <c r="H30" i="3670"/>
  <c r="H36" i="3670"/>
  <c r="H31" i="3670"/>
  <c r="H21" i="3670"/>
  <c r="H18" i="3670"/>
  <c r="B29" i="3670"/>
  <c r="H25" i="3670"/>
  <c r="B28" i="3670"/>
  <c r="H8" i="3670"/>
  <c r="B27" i="3670"/>
  <c r="H29" i="3670"/>
  <c r="B26" i="3670"/>
  <c r="H28" i="3670"/>
  <c r="C25" i="3670"/>
  <c r="H12" i="3670"/>
  <c r="C24" i="3670"/>
  <c r="H20" i="3670"/>
  <c r="C23" i="3670"/>
  <c r="H27" i="3670"/>
  <c r="C22" i="3670"/>
  <c r="H14" i="3670"/>
  <c r="C21" i="3670"/>
  <c r="H35" i="3670"/>
  <c r="C20" i="3670"/>
  <c r="H17" i="3670"/>
  <c r="C19" i="3670"/>
  <c r="H34" i="3670"/>
  <c r="C18" i="3670"/>
  <c r="H19" i="3670"/>
  <c r="C17" i="3670"/>
  <c r="H15" i="3670"/>
  <c r="C16" i="3670"/>
  <c r="H22" i="3670"/>
  <c r="C15" i="3670"/>
  <c r="H33" i="3670"/>
  <c r="C14" i="3670"/>
  <c r="H23" i="3670"/>
  <c r="O12" i="3670"/>
  <c r="H26" i="3670"/>
  <c r="B12" i="3670"/>
  <c r="O11" i="3670"/>
  <c r="H24" i="3670"/>
  <c r="B11" i="3670"/>
  <c r="O10" i="3670"/>
  <c r="H3" i="3670"/>
  <c r="B10" i="3670"/>
  <c r="H13" i="3670"/>
  <c r="C9" i="3670"/>
  <c r="H11" i="3670"/>
  <c r="C8" i="3670"/>
  <c r="O7" i="3670"/>
  <c r="H9" i="3670"/>
  <c r="C7" i="3670"/>
  <c r="O6" i="3670"/>
  <c r="H5" i="3670"/>
  <c r="B6" i="3670"/>
  <c r="O5" i="3670"/>
  <c r="H6" i="3670"/>
  <c r="B5" i="3670"/>
  <c r="O4" i="3670"/>
  <c r="H2" i="3670"/>
  <c r="O3" i="3670"/>
  <c r="H10" i="3670"/>
  <c r="O2" i="3670"/>
  <c r="H4" i="3670"/>
  <c r="O31" i="3669"/>
  <c r="O30" i="3669"/>
  <c r="O27" i="3669"/>
  <c r="O24" i="3669"/>
  <c r="O29" i="3669"/>
  <c r="O28" i="3669"/>
  <c r="O22" i="3669"/>
  <c r="O23" i="3669"/>
  <c r="O21" i="3669"/>
  <c r="O25" i="3669"/>
  <c r="O20" i="3669"/>
  <c r="O16" i="3669"/>
  <c r="O15" i="3669"/>
  <c r="H52" i="3669"/>
  <c r="H6" i="3669"/>
  <c r="H19" i="3669"/>
  <c r="H51" i="3669"/>
  <c r="H50" i="3669"/>
  <c r="C48" i="3669"/>
  <c r="H49" i="3669"/>
  <c r="C47" i="3669"/>
  <c r="H48" i="3669"/>
  <c r="C46" i="3669"/>
  <c r="H47" i="3669"/>
  <c r="C45" i="3669"/>
  <c r="H32" i="3669"/>
  <c r="C44" i="3669"/>
  <c r="H46" i="3669"/>
  <c r="C43" i="3669"/>
  <c r="H45" i="3669"/>
  <c r="C42" i="3669"/>
  <c r="H44" i="3669"/>
  <c r="C41" i="3669"/>
  <c r="H43" i="3669"/>
  <c r="C40" i="3669"/>
  <c r="H34" i="3669"/>
  <c r="C39" i="3669"/>
  <c r="H42" i="3669"/>
  <c r="C38" i="3669"/>
  <c r="H41" i="3669"/>
  <c r="C37" i="3669"/>
  <c r="H40" i="3669"/>
  <c r="C36" i="3669"/>
  <c r="H33" i="3669"/>
  <c r="H39" i="3669"/>
  <c r="C34" i="3669"/>
  <c r="H31" i="3669"/>
  <c r="H38" i="3669"/>
  <c r="H27" i="3669"/>
  <c r="H22" i="3669"/>
  <c r="H17" i="3669"/>
  <c r="B29" i="3669"/>
  <c r="H29" i="3669"/>
  <c r="B28" i="3669"/>
  <c r="H9" i="3669"/>
  <c r="B27" i="3669"/>
  <c r="H30" i="3669"/>
  <c r="B26" i="3669"/>
  <c r="H28" i="3669"/>
  <c r="C25" i="3669"/>
  <c r="H13" i="3669"/>
  <c r="C24" i="3669"/>
  <c r="H24" i="3669"/>
  <c r="C23" i="3669"/>
  <c r="H26" i="3669"/>
  <c r="C22" i="3669"/>
  <c r="H14" i="3669"/>
  <c r="C21" i="3669"/>
  <c r="H37" i="3669"/>
  <c r="C20" i="3669"/>
  <c r="H16" i="3669"/>
  <c r="C19" i="3669"/>
  <c r="H35" i="3669"/>
  <c r="C18" i="3669"/>
  <c r="H18" i="3669"/>
  <c r="C17" i="3669"/>
  <c r="H15" i="3669"/>
  <c r="C16" i="3669"/>
  <c r="H23" i="3669"/>
  <c r="C15" i="3669"/>
  <c r="H36" i="3669"/>
  <c r="C14" i="3669"/>
  <c r="H20" i="3669"/>
  <c r="O12" i="3669"/>
  <c r="H25" i="3669"/>
  <c r="B12" i="3669"/>
  <c r="O11" i="3669"/>
  <c r="H21" i="3669"/>
  <c r="B11" i="3669"/>
  <c r="O10" i="3669"/>
  <c r="H3" i="3669"/>
  <c r="B10" i="3669"/>
  <c r="H12" i="3669"/>
  <c r="C9" i="3669"/>
  <c r="H11" i="3669"/>
  <c r="C8" i="3669"/>
  <c r="O7" i="3669"/>
  <c r="H8" i="3669"/>
  <c r="C7" i="3669"/>
  <c r="O6" i="3669"/>
  <c r="H5" i="3669"/>
  <c r="B6" i="3669"/>
  <c r="O5" i="3669"/>
  <c r="H7" i="3669"/>
  <c r="B5" i="3669"/>
  <c r="O4" i="3669"/>
  <c r="H2" i="3669"/>
  <c r="O3" i="3669"/>
  <c r="H10" i="3669"/>
  <c r="O2" i="3669"/>
  <c r="H4" i="3669"/>
  <c r="B13" i="3673" l="1"/>
  <c r="B13" i="3680"/>
  <c r="B13" i="3679"/>
  <c r="B13" i="3677"/>
  <c r="B13" i="3682"/>
  <c r="B13" i="3681"/>
  <c r="B13" i="3678"/>
  <c r="B13" i="3676"/>
  <c r="B13" i="3675"/>
  <c r="B13" i="3674"/>
  <c r="B13" i="3670"/>
  <c r="B13" i="3669"/>
  <c r="B12" i="2228" l="1"/>
  <c r="B11" i="2228"/>
  <c r="B10" i="2228"/>
  <c r="B13" i="2228" s="1"/>
  <c r="H50" i="2228" l="1"/>
  <c r="H14" i="2228"/>
  <c r="H52" i="2228"/>
  <c r="H51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3" i="2228"/>
  <c r="H12" i="2228"/>
  <c r="H11" i="2228"/>
  <c r="H10" i="2228"/>
  <c r="H9" i="2228"/>
  <c r="H8" i="2228"/>
  <c r="H7" i="2228"/>
  <c r="H6" i="2228"/>
  <c r="H5" i="2228"/>
  <c r="H4" i="2228"/>
  <c r="H3" i="2228"/>
  <c r="H2" i="2228"/>
  <c r="C23" i="2228"/>
  <c r="C21" i="2228"/>
  <c r="C17" i="2228"/>
  <c r="C19" i="2228"/>
  <c r="C18" i="2228"/>
  <c r="C15" i="2228"/>
  <c r="C16" i="2228"/>
  <c r="B5" i="2228" l="1"/>
  <c r="C20" i="2228"/>
  <c r="B29" i="2228"/>
  <c r="C8" i="2228"/>
  <c r="B28" i="2228" l="1"/>
  <c r="C34" i="2228" l="1"/>
  <c r="C25" i="2228"/>
  <c r="O12" i="2228"/>
  <c r="O11" i="2228"/>
  <c r="O10" i="2228"/>
  <c r="C14" i="2228"/>
  <c r="C9" i="2228"/>
  <c r="O7" i="2228"/>
  <c r="C7" i="2228"/>
  <c r="O6" i="2228"/>
  <c r="B6" i="2228"/>
  <c r="O5" i="2228"/>
  <c r="O4" i="2228"/>
  <c r="O3" i="2228"/>
  <c r="O2" i="2228"/>
  <c r="C22" i="2228" l="1"/>
  <c r="C24" i="2228"/>
  <c r="B27" i="2228"/>
  <c r="B26" i="2228"/>
  <c r="C38" i="2228"/>
  <c r="C48" i="2228"/>
  <c r="C40" i="2228"/>
  <c r="C47" i="2228"/>
  <c r="C39" i="2228"/>
  <c r="C46" i="2228"/>
  <c r="C37" i="2228"/>
  <c r="C45" i="2228"/>
  <c r="C36" i="2228"/>
  <c r="C44" i="2228"/>
  <c r="C43" i="2228"/>
  <c r="C42" i="2228"/>
  <c r="C41" i="2228"/>
</calcChain>
</file>

<file path=xl/sharedStrings.xml><?xml version="1.0" encoding="utf-8"?>
<sst xmlns="http://schemas.openxmlformats.org/spreadsheetml/2006/main" count="4343" uniqueCount="207">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</sst>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3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全体!$K$2:$K$2966</c:f>
              <c:numCache>
                <c:formatCode>General</c:formatCode>
                <c:ptCount val="29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</c:numCache>
            </c:numRef>
          </c:xVal>
          <c:yVal>
            <c:numRef>
              <c:f>全体!$L$2:$L$2966</c:f>
              <c:numCache>
                <c:formatCode>\+0.0;\-0.0;\±0</c:formatCode>
                <c:ptCount val="2965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0E-4336-B9A7-797E212FD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-21.406727828746178</c:v>
                </c:pt>
                <c:pt idx="1">
                  <c:v>0</c:v>
                </c:pt>
                <c:pt idx="2">
                  <c:v>6.6740823136818683</c:v>
                </c:pt>
                <c:pt idx="3">
                  <c:v>2.0177562550443908</c:v>
                </c:pt>
                <c:pt idx="4">
                  <c:v>3.1362007168458783</c:v>
                </c:pt>
                <c:pt idx="5">
                  <c:v>17.121455323702516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B-4976-9ECD-3D170F7C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463</c:v>
                </c:pt>
                <c:pt idx="1">
                  <c:v>1029</c:v>
                </c:pt>
                <c:pt idx="2">
                  <c:v>1267</c:v>
                </c:pt>
                <c:pt idx="3">
                  <c:v>1260</c:v>
                </c:pt>
                <c:pt idx="4">
                  <c:v>1051</c:v>
                </c:pt>
                <c:pt idx="5">
                  <c:v>694</c:v>
                </c:pt>
                <c:pt idx="6">
                  <c:v>410</c:v>
                </c:pt>
                <c:pt idx="7">
                  <c:v>227</c:v>
                </c:pt>
                <c:pt idx="8">
                  <c:v>130</c:v>
                </c:pt>
                <c:pt idx="9">
                  <c:v>61</c:v>
                </c:pt>
                <c:pt idx="10">
                  <c:v>34</c:v>
                </c:pt>
                <c:pt idx="11">
                  <c:v>15</c:v>
                </c:pt>
                <c:pt idx="12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C-4044-AB13-9D3E63ED1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だいち!$K$2:$K$685</c:f>
              <c:numCache>
                <c:formatCode>General</c:formatCode>
                <c:ptCount val="6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</c:numCache>
            </c:numRef>
          </c:xVal>
          <c:yVal>
            <c:numRef>
              <c:f>だいち!$L$2:$L$685</c:f>
              <c:numCache>
                <c:formatCode>\+0.0;\-0.0;\±0</c:formatCode>
                <c:ptCount val="68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D2-4216-860C-D17ADB9DA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1367.208271787297</c:v>
                </c:pt>
                <c:pt idx="1">
                  <c:v>1360.3030303030303</c:v>
                </c:pt>
                <c:pt idx="2">
                  <c:v>1342.2647527910685</c:v>
                </c:pt>
                <c:pt idx="3">
                  <c:v>1563.9372822299651</c:v>
                </c:pt>
                <c:pt idx="4">
                  <c:v>1424.4660194174758</c:v>
                </c:pt>
                <c:pt idx="5">
                  <c:v>1677.9859484777517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10-48F5-B3E3-887235E3D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120</c:v>
                </c:pt>
                <c:pt idx="1">
                  <c:v>246</c:v>
                </c:pt>
                <c:pt idx="2">
                  <c:v>328</c:v>
                </c:pt>
                <c:pt idx="3">
                  <c:v>342</c:v>
                </c:pt>
                <c:pt idx="4">
                  <c:v>255</c:v>
                </c:pt>
                <c:pt idx="5">
                  <c:v>186</c:v>
                </c:pt>
                <c:pt idx="6">
                  <c:v>116</c:v>
                </c:pt>
                <c:pt idx="7">
                  <c:v>55</c:v>
                </c:pt>
                <c:pt idx="8">
                  <c:v>34</c:v>
                </c:pt>
                <c:pt idx="9">
                  <c:v>15</c:v>
                </c:pt>
                <c:pt idx="10">
                  <c:v>8</c:v>
                </c:pt>
                <c:pt idx="11">
                  <c:v>3</c:v>
                </c:pt>
                <c:pt idx="1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65-4573-8B63-B05F41A20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14-45C5-8682-72543E0EE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C7-4ADA-ABA6-3AD4A4BF0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65-4AD2-8924-9F80A63A6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ともき!$L$2:$L$24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3C-4D03-8A9F-21230AF2D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-3113.6363636363635</c:v>
                </c:pt>
                <c:pt idx="1">
                  <c:v>-614.28571428571433</c:v>
                </c:pt>
                <c:pt idx="2">
                  <c:v>-2495.2380952380954</c:v>
                </c:pt>
                <c:pt idx="3">
                  <c:v>1911.1111111111111</c:v>
                </c:pt>
                <c:pt idx="4">
                  <c:v>1681.25</c:v>
                </c:pt>
                <c:pt idx="5">
                  <c:v>978.57142857142856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F0-4FF2-A1FD-E124E5AF6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11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97-4DF9-AF35-8794DFFFF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りくと!$K$2:$K$409</c:f>
              <c:numCache>
                <c:formatCode>General</c:formatCode>
                <c:ptCount val="4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</c:numCache>
            </c:numRef>
          </c:xVal>
          <c:yVal>
            <c:numRef>
              <c:f>りくと!$L$2:$L$409</c:f>
              <c:numCache>
                <c:formatCode>\+0.0;\-0.0;\±0</c:formatCode>
                <c:ptCount val="408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1D-46E1-8C37-CFA27BF05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-266.33663366336634</c:v>
                </c:pt>
                <c:pt idx="1">
                  <c:v>-1242.7848101265822</c:v>
                </c:pt>
                <c:pt idx="2">
                  <c:v>337.66578249336868</c:v>
                </c:pt>
                <c:pt idx="3">
                  <c:v>-676.87861271676297</c:v>
                </c:pt>
                <c:pt idx="4">
                  <c:v>-1288.0258899676376</c:v>
                </c:pt>
                <c:pt idx="5">
                  <c:v>-1065.909090909091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7F-4859-9FC6-37D41CEAB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47</c:v>
                </c:pt>
                <c:pt idx="1">
                  <c:v>108</c:v>
                </c:pt>
                <c:pt idx="2">
                  <c:v>165</c:v>
                </c:pt>
                <c:pt idx="3">
                  <c:v>150</c:v>
                </c:pt>
                <c:pt idx="4">
                  <c:v>139</c:v>
                </c:pt>
                <c:pt idx="5">
                  <c:v>97</c:v>
                </c:pt>
                <c:pt idx="6">
                  <c:v>60</c:v>
                </c:pt>
                <c:pt idx="7">
                  <c:v>30</c:v>
                </c:pt>
                <c:pt idx="8">
                  <c:v>14</c:v>
                </c:pt>
                <c:pt idx="9">
                  <c:v>6</c:v>
                </c:pt>
                <c:pt idx="10">
                  <c:v>3</c:v>
                </c:pt>
                <c:pt idx="11">
                  <c:v>5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6A-4CDC-B6A6-BBADECAB4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96-4685-A7AD-C9F2A9626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1-4B06-8B12-84E311FD9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A-489C-A16F-F6CE6334B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BC-4044-9F17-E3880D587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11-4D03-B584-0EAABCAE8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66-4AA9-B0C5-1939E6DE4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たかの!$K$2:$K$281</c:f>
              <c:numCache>
                <c:formatCode>General</c:formatCode>
                <c:ptCount val="2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</c:numCache>
            </c:numRef>
          </c:xVal>
          <c:yVal>
            <c:numRef>
              <c:f>たかの!$L$2:$L$281</c:f>
              <c:numCache>
                <c:formatCode>\+0.0;\-0.0;\±0</c:formatCode>
                <c:ptCount val="280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E9-4DF6-827C-BCCAC861E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448.38709677419354</c:v>
                </c:pt>
                <c:pt idx="1">
                  <c:v>-1938.6029411764705</c:v>
                </c:pt>
                <c:pt idx="2">
                  <c:v>-1505.952380952381</c:v>
                </c:pt>
                <c:pt idx="3">
                  <c:v>-121.00840336134453</c:v>
                </c:pt>
                <c:pt idx="4">
                  <c:v>-512.32876712328766</c:v>
                </c:pt>
                <c:pt idx="5">
                  <c:v>-1372.5274725274726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C5-4972-805F-14680AFE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68</c:v>
                </c:pt>
                <c:pt idx="1">
                  <c:v>139</c:v>
                </c:pt>
                <c:pt idx="2">
                  <c:v>126</c:v>
                </c:pt>
                <c:pt idx="3">
                  <c:v>128</c:v>
                </c:pt>
                <c:pt idx="4">
                  <c:v>90</c:v>
                </c:pt>
                <c:pt idx="5">
                  <c:v>44</c:v>
                </c:pt>
                <c:pt idx="6">
                  <c:v>24</c:v>
                </c:pt>
                <c:pt idx="7">
                  <c:v>17</c:v>
                </c:pt>
                <c:pt idx="8">
                  <c:v>5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8B-4F93-A800-CFC484F4A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ただ!$K$2:$K$483</c:f>
              <c:numCache>
                <c:formatCode>General</c:formatCode>
                <c:ptCount val="4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</c:numCache>
            </c:numRef>
          </c:xVal>
          <c:yVal>
            <c:numRef>
              <c:f>ただ!$L$2:$L$483</c:f>
              <c:numCache>
                <c:formatCode>\+0.0;\-0.0;\±0</c:formatCode>
                <c:ptCount val="482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23-465B-8D9B-83C358436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-792.22689075630251</c:v>
                </c:pt>
                <c:pt idx="1">
                  <c:v>-52.38095238095238</c:v>
                </c:pt>
                <c:pt idx="2">
                  <c:v>290.78341013824883</c:v>
                </c:pt>
                <c:pt idx="3">
                  <c:v>-1095.049504950495</c:v>
                </c:pt>
                <c:pt idx="4">
                  <c:v>-285.95041322314052</c:v>
                </c:pt>
                <c:pt idx="5">
                  <c:v>131.18971061093248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F4-4E63-BD5A-07F08C180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69</c:v>
                </c:pt>
                <c:pt idx="1">
                  <c:v>197</c:v>
                </c:pt>
                <c:pt idx="2">
                  <c:v>242</c:v>
                </c:pt>
                <c:pt idx="3">
                  <c:v>219</c:v>
                </c:pt>
                <c:pt idx="4">
                  <c:v>155</c:v>
                </c:pt>
                <c:pt idx="5">
                  <c:v>104</c:v>
                </c:pt>
                <c:pt idx="6">
                  <c:v>51</c:v>
                </c:pt>
                <c:pt idx="7">
                  <c:v>36</c:v>
                </c:pt>
                <c:pt idx="8">
                  <c:v>18</c:v>
                </c:pt>
                <c:pt idx="9">
                  <c:v>12</c:v>
                </c:pt>
                <c:pt idx="10">
                  <c:v>9</c:v>
                </c:pt>
                <c:pt idx="11">
                  <c:v>2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2C-43AA-9438-AAB8A806D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3-4C14-B268-AAAD61B07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6B-41F3-9913-01C5AE981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やがさき!$B$36:$B$48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4A-4D99-98A6-5DB61352D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れんたろう!$K$2:$K$398</c:f>
              <c:numCache>
                <c:formatCode>General</c:formatCode>
                <c:ptCount val="3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</c:numCache>
            </c:numRef>
          </c:xVal>
          <c:yVal>
            <c:numRef>
              <c:f>れんたろう!$L$2:$L$398</c:f>
              <c:numCache>
                <c:formatCode>\+0.0;\-0.0;\±0</c:formatCode>
                <c:ptCount val="397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13-46A8-87BD-5ACA2D1D1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568.79795396419433</c:v>
                </c:pt>
                <c:pt idx="1">
                  <c:v>-562.30366492146595</c:v>
                </c:pt>
                <c:pt idx="2">
                  <c:v>386.68555240793199</c:v>
                </c:pt>
                <c:pt idx="3">
                  <c:v>807.83699059561127</c:v>
                </c:pt>
                <c:pt idx="4">
                  <c:v>-840.68965517241384</c:v>
                </c:pt>
                <c:pt idx="5">
                  <c:v>333.33333333333331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85-4849-BE55-FFC74096C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30</c:v>
                </c:pt>
                <c:pt idx="1">
                  <c:v>87</c:v>
                </c:pt>
                <c:pt idx="2">
                  <c:v>131</c:v>
                </c:pt>
                <c:pt idx="3">
                  <c:v>174</c:v>
                </c:pt>
                <c:pt idx="4">
                  <c:v>167</c:v>
                </c:pt>
                <c:pt idx="5">
                  <c:v>111</c:v>
                </c:pt>
                <c:pt idx="6">
                  <c:v>70</c:v>
                </c:pt>
                <c:pt idx="7">
                  <c:v>44</c:v>
                </c:pt>
                <c:pt idx="8">
                  <c:v>31</c:v>
                </c:pt>
                <c:pt idx="9">
                  <c:v>12</c:v>
                </c:pt>
                <c:pt idx="10">
                  <c:v>8</c:v>
                </c:pt>
                <c:pt idx="11">
                  <c:v>3</c:v>
                </c:pt>
                <c:pt idx="1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3A-47AA-AF28-907509342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6F-42FD-BB29-E7201DC2D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23-4118-B0D4-835C8D39C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あさひ!$B$36:$B$48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4D-456B-BDD2-116E3C80B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まっつん!$K$2:$K$315</c:f>
              <c:numCache>
                <c:formatCode>General</c:formatCode>
                <c:ptCount val="3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</c:numCache>
            </c:numRef>
          </c:xVal>
          <c:yVal>
            <c:numRef>
              <c:f>まっつん!$L$2:$L$315</c:f>
              <c:numCache>
                <c:formatCode>\+0.0;\-0.0;\±0</c:formatCode>
                <c:ptCount val="314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51-43A6-AC9F-74D20166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-330.99041533546324</c:v>
                </c:pt>
                <c:pt idx="1">
                  <c:v>687.25490196078431</c:v>
                </c:pt>
                <c:pt idx="2">
                  <c:v>-603.84615384615381</c:v>
                </c:pt>
                <c:pt idx="3">
                  <c:v>-53.612167300380229</c:v>
                </c:pt>
                <c:pt idx="4">
                  <c:v>-1022.9166666666666</c:v>
                </c:pt>
                <c:pt idx="5">
                  <c:v>-357.286432160804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6A-49AB-8822-38CE54D7BB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47</c:v>
                </c:pt>
                <c:pt idx="1">
                  <c:v>109</c:v>
                </c:pt>
                <c:pt idx="2">
                  <c:v>127</c:v>
                </c:pt>
                <c:pt idx="3">
                  <c:v>122</c:v>
                </c:pt>
                <c:pt idx="4">
                  <c:v>109</c:v>
                </c:pt>
                <c:pt idx="5">
                  <c:v>73</c:v>
                </c:pt>
                <c:pt idx="6">
                  <c:v>41</c:v>
                </c:pt>
                <c:pt idx="7">
                  <c:v>18</c:v>
                </c:pt>
                <c:pt idx="8">
                  <c:v>13</c:v>
                </c:pt>
                <c:pt idx="9">
                  <c:v>8</c:v>
                </c:pt>
                <c:pt idx="10">
                  <c:v>2</c:v>
                </c:pt>
                <c:pt idx="11">
                  <c:v>2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FE-4582-8D10-3B1DCD4EF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ぱぱ!$L$2:$L$107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D2-4C5C-87C9-2997A50BB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-2735.9223300970875</c:v>
                </c:pt>
                <c:pt idx="1">
                  <c:v>114.70588235294117</c:v>
                </c:pt>
                <c:pt idx="2">
                  <c:v>-1292.8571428571429</c:v>
                </c:pt>
                <c:pt idx="3">
                  <c:v>-3208.8888888888887</c:v>
                </c:pt>
                <c:pt idx="4">
                  <c:v>1030</c:v>
                </c:pt>
                <c:pt idx="5">
                  <c:v>25.35211267605634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DD-4C11-A7BE-F19257016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28</c:v>
                </c:pt>
                <c:pt idx="1">
                  <c:v>46</c:v>
                </c:pt>
                <c:pt idx="2">
                  <c:v>43</c:v>
                </c:pt>
                <c:pt idx="3">
                  <c:v>39</c:v>
                </c:pt>
                <c:pt idx="4">
                  <c:v>37</c:v>
                </c:pt>
                <c:pt idx="5">
                  <c:v>24</c:v>
                </c:pt>
                <c:pt idx="6">
                  <c:v>10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90-48A1-BDF6-2D9BF48B6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0-4796-8E30-34AE691AD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65-4506-B614-22183A938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2F-4496-9F26-9072E2F6E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B2-4E61-8432-B82B4C1A7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99-4A7D-A393-8544649D86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C3-4DD1-93E7-6B24C2E2E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のり!$L$2:$L$84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57-4170-B559-E7A9D5651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-3996.3414634146343</c:v>
                </c:pt>
                <c:pt idx="1">
                  <c:v>879.01234567901236</c:v>
                </c:pt>
                <c:pt idx="2">
                  <c:v>-1077.6315789473683</c:v>
                </c:pt>
                <c:pt idx="3">
                  <c:v>-1155.072463768116</c:v>
                </c:pt>
                <c:pt idx="4">
                  <c:v>-2028.125</c:v>
                </c:pt>
                <c:pt idx="5">
                  <c:v>-2650.9433962264152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41-4AF1-BAE3-2ED3D16FE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15</c:v>
                </c:pt>
                <c:pt idx="1">
                  <c:v>31</c:v>
                </c:pt>
                <c:pt idx="2">
                  <c:v>34</c:v>
                </c:pt>
                <c:pt idx="3">
                  <c:v>30</c:v>
                </c:pt>
                <c:pt idx="4">
                  <c:v>25</c:v>
                </c:pt>
                <c:pt idx="5">
                  <c:v>13</c:v>
                </c:pt>
                <c:pt idx="6">
                  <c:v>10</c:v>
                </c:pt>
                <c:pt idx="7">
                  <c:v>7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DA-45BC-90D0-3FC91B915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1C-4F21-9492-5BC335B0B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DB-40CE-9987-1EA6BF50B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ちさと!$B$36:$B$48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50-4EAD-9242-C20863190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B8-4F96-8ED0-D931549B2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3C-4618-A39A-69E226188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1B-4ECB-9029-D68A4D6FE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6-4724-A56D-BB4537E2D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2-4C3B-A0C3-84E461ADA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A4-442D-9A52-21931FA3D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0CD4E23-D0B4-4F56-9411-9782DC275C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19E89B8-A40D-4A89-99C5-CC30F95F0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816ABC9-2733-48BD-A5F2-3D9BEE7D1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80015A0-5E17-4EF0-AA2A-688C93EA75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C1C8AC-4446-4DB5-BAED-B576807582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F5A9C9B-BACB-457A-8F75-0EB6E71592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E9DF264-EBB9-4F70-A984-1BDE897F74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ADB3076-6445-4726-AD8A-D6C7EC5E7C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23FFA72-D233-4A02-9C6D-457CCB693B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DC1FB28-88BD-4DC2-91B5-734488D00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ED2F983-A539-493E-8D1A-E5BAD64D13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6A0A780-20DC-4378-BC67-BA256B6655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D91411C-4F1E-44B9-9A6E-E16FA6BBBA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C34BC3F-83B8-4753-AF02-9E4DA60AC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633C09F-DFF9-4E7A-ADE3-0E308C9DF9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F7609FB-DB04-49DE-AC8E-BEA1064AF4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97DFE87-A042-417A-A2BE-3433F498F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3F18342-C131-46B4-85E8-B1F09CA5A9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6CACC20-7CBB-4B1A-89AB-34CDDB6722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1FCCB49-D15C-48FF-BD09-7E0A2E458A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DE8727B-EDCA-4359-86A2-05D6A0EDB2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CF07D1C-7EFC-43B0-B0EE-CAF481D5B6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D02E38E-3A42-4D6D-84DA-083706F34B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C91410B-8EE9-4297-BD5F-BBD36186B8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ED5CEF4-0E92-447B-B378-E349A79296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2237E56-27F0-46D8-8720-C5753FA370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02DE334-6168-4179-AA0B-874DDA1B56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3402857-A3E5-4026-99D7-033EE227C3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49673C1-3561-4C5F-A3DD-3FBB08B35A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20E4AB0-E7AE-4AF7-A7F8-D0CB972D3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D326329-D134-4AB5-9816-EFEEEF6BB1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2416A30-9A71-485F-AD1E-0EDBA1264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432C5B1-CBE0-465E-A162-3C9C43668A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2D1A8DB-D058-4B25-9936-BF4F2EA4A7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BC3B867-41C9-45C7-84A1-8212FE7BB5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6D29DCB-EC16-48AD-A04D-0FF519AC87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9500F81-A2E7-489E-AD55-F4322D710B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877DF85-2CFC-41B2-9654-DBF2E9D7E9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46DFB39-4214-448D-A744-BC35F1416D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D38ECC1-1DA7-4470-9AE0-539AD09ECD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CEDF41B-12E0-4B42-901C-F5ACEADBA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407833F-813E-4B04-8441-24D8064A61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CF30218-F434-4297-A4D7-6A61183D19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865B379-33D8-478C-BBB4-BCE734E6DF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F61ECC4-E367-430F-8ABD-51AB2A2652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42CFEEA-6F71-4E77-A990-FCA694128C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D7F2AD9-D440-4BD1-B10D-44CCE79479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B29A9A6-E84D-401F-8086-4FD56AEDF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51F395F-7625-42BF-BBBE-A3D41B15AC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8783B64-6F2A-4313-9263-1119C1A975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260566E-BFF0-4109-A1A2-CEEEA34E47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01AAEB1-FC36-4198-A6E5-608F9206AD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E7209A9-08F0-4E8B-A99E-9E41672CE1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0691C54-D187-41AB-AA0A-B98AE2DEF2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3C55153-51E2-4E30-8B54-4CC5888FC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D6B8CE8-EB4B-4C09-8A2C-34EEDD4C49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69782AA-CE64-4709-BD7B-B127A1EC91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3464151-E503-47D5-9A08-02C3B48B8D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ADEFC37-FAAB-449B-A797-031AAF116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EE967B0-51D2-4A93-91C6-8993FA23F5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02" bestFit="1" customWidth="1"/>
    <col min="6" max="6" width="11" style="10" bestFit="1" customWidth="1"/>
    <col min="7" max="8" width="9" style="1" customWidth="1"/>
    <col min="9" max="9" width="9" style="28" customWidth="1"/>
    <col min="10" max="10" width="3.625" style="1" customWidth="1"/>
    <col min="11" max="11" width="3.5" style="5" customWidth="1"/>
    <col min="12" max="12" width="9" style="73" customWidth="1"/>
    <col min="13" max="13" width="3.625" style="1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1"/>
  </cols>
  <sheetData>
    <row r="1" spans="1:17" x14ac:dyDescent="0.4">
      <c r="A1" s="18" t="s">
        <v>0</v>
      </c>
      <c r="B1" s="125"/>
      <c r="C1" s="126"/>
      <c r="E1" s="103" t="s">
        <v>152</v>
      </c>
      <c r="F1" s="12" t="s">
        <v>115</v>
      </c>
      <c r="G1" s="24" t="s">
        <v>116</v>
      </c>
      <c r="H1" s="104" t="s">
        <v>117</v>
      </c>
      <c r="I1" s="74" t="s">
        <v>140</v>
      </c>
      <c r="K1" s="2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145</v>
      </c>
    </row>
    <row r="2" spans="1:17" x14ac:dyDescent="0.4">
      <c r="A2" s="19" t="s">
        <v>9</v>
      </c>
      <c r="B2" s="127">
        <v>0</v>
      </c>
      <c r="C2" s="128"/>
      <c r="E2" s="43" t="s">
        <v>64</v>
      </c>
      <c r="F2" s="25" t="s">
        <v>20</v>
      </c>
      <c r="G2" s="13">
        <v>0</v>
      </c>
      <c r="H2" s="106">
        <f>IF(B$51=0,0,G2/B$51)</f>
        <v>0</v>
      </c>
      <c r="I2" s="67"/>
      <c r="K2" s="3">
        <v>0</v>
      </c>
      <c r="L2" s="72">
        <v>0</v>
      </c>
      <c r="N2" s="88" t="s">
        <v>126</v>
      </c>
      <c r="O2" s="95">
        <f t="shared" ref="O2:O7" si="0">IF(P2=0,0,Q2/P2)</f>
        <v>0</v>
      </c>
      <c r="P2" s="92">
        <v>0</v>
      </c>
      <c r="Q2" s="76">
        <v>0</v>
      </c>
    </row>
    <row r="3" spans="1:17" x14ac:dyDescent="0.4">
      <c r="A3" s="20" t="s">
        <v>8</v>
      </c>
      <c r="B3" s="129">
        <v>0</v>
      </c>
      <c r="C3" s="130"/>
      <c r="E3" s="44" t="s">
        <v>65</v>
      </c>
      <c r="F3" s="26" t="s">
        <v>21</v>
      </c>
      <c r="G3" s="14">
        <v>0</v>
      </c>
      <c r="H3" s="107">
        <f>IF(B$51=0,0,G3/B$51)</f>
        <v>0</v>
      </c>
      <c r="I3" s="68"/>
      <c r="N3" s="89" t="s">
        <v>127</v>
      </c>
      <c r="O3" s="96">
        <f t="shared" si="0"/>
        <v>0</v>
      </c>
      <c r="P3" s="93">
        <v>0</v>
      </c>
      <c r="Q3" s="77">
        <v>0</v>
      </c>
    </row>
    <row r="4" spans="1:17" x14ac:dyDescent="0.4">
      <c r="A4" s="20" t="s">
        <v>6</v>
      </c>
      <c r="B4" s="131">
        <v>0</v>
      </c>
      <c r="C4" s="132"/>
      <c r="E4" s="44" t="s">
        <v>66</v>
      </c>
      <c r="F4" s="26" t="s">
        <v>22</v>
      </c>
      <c r="G4" s="14">
        <v>0</v>
      </c>
      <c r="H4" s="107">
        <f>IF(B$51=0,0,G4/B$51)</f>
        <v>0</v>
      </c>
      <c r="I4" s="68"/>
      <c r="N4" s="89" t="s">
        <v>128</v>
      </c>
      <c r="O4" s="96">
        <f t="shared" si="0"/>
        <v>0</v>
      </c>
      <c r="P4" s="93">
        <v>0</v>
      </c>
      <c r="Q4" s="77">
        <v>0</v>
      </c>
    </row>
    <row r="5" spans="1:17" x14ac:dyDescent="0.4">
      <c r="A5" s="20" t="s">
        <v>7</v>
      </c>
      <c r="B5" s="133">
        <f>IF(B$2=0,0,B$4/B$2)</f>
        <v>0</v>
      </c>
      <c r="C5" s="134"/>
      <c r="E5" s="44" t="s">
        <v>67</v>
      </c>
      <c r="F5" s="26" t="s">
        <v>23</v>
      </c>
      <c r="G5" s="14">
        <v>0</v>
      </c>
      <c r="H5" s="107">
        <f>IF(B$51=0,0,G5/B$51)</f>
        <v>0</v>
      </c>
      <c r="I5" s="68"/>
      <c r="N5" s="89" t="s">
        <v>129</v>
      </c>
      <c r="O5" s="96">
        <f t="shared" si="0"/>
        <v>0</v>
      </c>
      <c r="P5" s="93">
        <v>0</v>
      </c>
      <c r="Q5" s="77">
        <v>0</v>
      </c>
    </row>
    <row r="6" spans="1:17" x14ac:dyDescent="0.4">
      <c r="A6" s="20" t="s">
        <v>1</v>
      </c>
      <c r="B6" s="141">
        <f>IF(B$2=0,0,(B$7*1+B$8*2+B$9*3)/B$2)</f>
        <v>0</v>
      </c>
      <c r="C6" s="142"/>
      <c r="E6" s="44" t="s">
        <v>68</v>
      </c>
      <c r="F6" s="26" t="s">
        <v>12</v>
      </c>
      <c r="G6" s="14">
        <v>0</v>
      </c>
      <c r="H6" s="107">
        <f>IF(B$51=0,0,G6/B$51)</f>
        <v>0</v>
      </c>
      <c r="I6" s="68"/>
      <c r="N6" s="89" t="s">
        <v>130</v>
      </c>
      <c r="O6" s="96">
        <f t="shared" si="0"/>
        <v>0</v>
      </c>
      <c r="P6" s="93">
        <v>0</v>
      </c>
      <c r="Q6" s="77">
        <v>0</v>
      </c>
    </row>
    <row r="7" spans="1:17" x14ac:dyDescent="0.4">
      <c r="A7" s="20" t="s">
        <v>2</v>
      </c>
      <c r="B7" s="14">
        <v>0</v>
      </c>
      <c r="C7" s="6">
        <f t="shared" ref="C7:C14" si="1">IF(B$2=0,0,B7/B$2)</f>
        <v>0</v>
      </c>
      <c r="E7" s="44" t="s">
        <v>69</v>
      </c>
      <c r="F7" s="26" t="s">
        <v>24</v>
      </c>
      <c r="G7" s="14">
        <v>0</v>
      </c>
      <c r="H7" s="107">
        <f>IF(B$51=0,0,G7/B$51)</f>
        <v>0</v>
      </c>
      <c r="I7" s="68"/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">
      <c r="A8" s="20" t="s">
        <v>3</v>
      </c>
      <c r="B8" s="14">
        <v>0</v>
      </c>
      <c r="C8" s="31">
        <f t="shared" si="1"/>
        <v>0</v>
      </c>
      <c r="E8" s="44" t="s">
        <v>70</v>
      </c>
      <c r="F8" s="26" t="s">
        <v>25</v>
      </c>
      <c r="G8" s="14">
        <v>0</v>
      </c>
      <c r="H8" s="107">
        <f>IF(B$51=0,0,G8/B$51)</f>
        <v>0</v>
      </c>
      <c r="I8" s="68"/>
      <c r="N8" s="33"/>
      <c r="O8" s="101"/>
      <c r="P8" s="85"/>
      <c r="Q8" s="83"/>
    </row>
    <row r="9" spans="1:17" x14ac:dyDescent="0.4">
      <c r="A9" s="21" t="s">
        <v>4</v>
      </c>
      <c r="B9" s="15">
        <v>0</v>
      </c>
      <c r="C9" s="7">
        <f t="shared" si="1"/>
        <v>0</v>
      </c>
      <c r="E9" s="44" t="s">
        <v>71</v>
      </c>
      <c r="F9" s="26" t="s">
        <v>26</v>
      </c>
      <c r="G9" s="14">
        <v>0</v>
      </c>
      <c r="H9" s="107">
        <f>IF(B$51=0,0,G9/B$51)</f>
        <v>0</v>
      </c>
      <c r="I9" s="68"/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49">
        <f>IF(B7=0,0,C10/B7)</f>
        <v>0</v>
      </c>
      <c r="C10" s="150">
        <v>0</v>
      </c>
      <c r="E10" s="44" t="s">
        <v>72</v>
      </c>
      <c r="F10" s="26" t="s">
        <v>27</v>
      </c>
      <c r="G10" s="14">
        <v>0</v>
      </c>
      <c r="H10" s="107">
        <f>IF(B$51=0,0,G10/B$51)</f>
        <v>0</v>
      </c>
      <c r="I10" s="68"/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">
      <c r="A11" s="38" t="s">
        <v>204</v>
      </c>
      <c r="B11" s="149">
        <f>IF(B8=0,0,C11/B8)</f>
        <v>0</v>
      </c>
      <c r="C11" s="150">
        <v>0</v>
      </c>
      <c r="E11" s="44" t="s">
        <v>73</v>
      </c>
      <c r="F11" s="26" t="s">
        <v>28</v>
      </c>
      <c r="G11" s="14">
        <v>0</v>
      </c>
      <c r="H11" s="107">
        <f>IF(B$51=0,0,G11/B$51)</f>
        <v>0</v>
      </c>
      <c r="I11" s="68"/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">
      <c r="A12" s="38" t="s">
        <v>205</v>
      </c>
      <c r="B12" s="149">
        <f>IF(B9=0,0,C12/B9)</f>
        <v>0</v>
      </c>
      <c r="C12" s="150">
        <v>0</v>
      </c>
      <c r="E12" s="44" t="s">
        <v>74</v>
      </c>
      <c r="F12" s="26" t="s">
        <v>29</v>
      </c>
      <c r="G12" s="14">
        <v>0</v>
      </c>
      <c r="H12" s="107">
        <f>IF(B$51=0,0,G12/B$51)</f>
        <v>0</v>
      </c>
      <c r="I12" s="68"/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38" t="s">
        <v>206</v>
      </c>
      <c r="B13" s="133">
        <f>AVERAGE(B10:B12)</f>
        <v>0</v>
      </c>
      <c r="C13" s="134"/>
      <c r="E13" s="44" t="s">
        <v>75</v>
      </c>
      <c r="F13" s="26" t="s">
        <v>30</v>
      </c>
      <c r="G13" s="14">
        <v>0</v>
      </c>
      <c r="H13" s="107">
        <f>IF(B$51=0,0,G13/B$51)</f>
        <v>0</v>
      </c>
      <c r="I13" s="68"/>
      <c r="N13" s="28"/>
      <c r="O13" s="84"/>
      <c r="P13" s="86"/>
      <c r="Q13" s="84"/>
    </row>
    <row r="14" spans="1:17" x14ac:dyDescent="0.4">
      <c r="A14" s="39" t="s">
        <v>18</v>
      </c>
      <c r="B14" s="36">
        <v>0</v>
      </c>
      <c r="C14" s="32">
        <f t="shared" si="1"/>
        <v>0</v>
      </c>
      <c r="E14" s="44" t="s">
        <v>76</v>
      </c>
      <c r="F14" s="26" t="s">
        <v>31</v>
      </c>
      <c r="G14" s="14">
        <v>0</v>
      </c>
      <c r="H14" s="107">
        <f>IF(B$51=0,0,G14/B$51)</f>
        <v>0</v>
      </c>
      <c r="I14" s="68"/>
      <c r="N14" s="87" t="s">
        <v>141</v>
      </c>
      <c r="O14" s="29" t="s">
        <v>142</v>
      </c>
      <c r="P14" s="91" t="s">
        <v>143</v>
      </c>
      <c r="Q14" s="79" t="s">
        <v>144</v>
      </c>
    </row>
    <row r="15" spans="1:17" x14ac:dyDescent="0.4">
      <c r="A15" s="23" t="s">
        <v>121</v>
      </c>
      <c r="B15" s="16">
        <v>0</v>
      </c>
      <c r="C15" s="11">
        <f>IF(B$50=0,0,B15/B$50)</f>
        <v>0</v>
      </c>
      <c r="E15" s="44" t="s">
        <v>77</v>
      </c>
      <c r="F15" s="26" t="s">
        <v>32</v>
      </c>
      <c r="G15" s="14">
        <v>0</v>
      </c>
      <c r="H15" s="107">
        <f>IF(B$51=0,0,G15/B$51)</f>
        <v>0</v>
      </c>
      <c r="I15" s="68"/>
      <c r="N15" s="88"/>
      <c r="O15" s="98"/>
      <c r="P15" s="92"/>
      <c r="Q15" s="80"/>
    </row>
    <row r="16" spans="1:17" x14ac:dyDescent="0.4">
      <c r="A16" s="20" t="s">
        <v>118</v>
      </c>
      <c r="B16" s="14">
        <v>0</v>
      </c>
      <c r="C16" s="6">
        <f>IF(B$50=0,0,B16/B$50)</f>
        <v>0</v>
      </c>
      <c r="E16" s="44" t="s">
        <v>78</v>
      </c>
      <c r="F16" s="26" t="s">
        <v>33</v>
      </c>
      <c r="G16" s="14">
        <v>0</v>
      </c>
      <c r="H16" s="107">
        <f>IF(B$51=0,0,G16/B$51)</f>
        <v>0</v>
      </c>
      <c r="I16" s="68"/>
    </row>
    <row r="17" spans="1:9" x14ac:dyDescent="0.4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26" t="s">
        <v>34</v>
      </c>
      <c r="G17" s="14">
        <v>0</v>
      </c>
      <c r="H17" s="107">
        <f>IF(B$51=0,0,G17/B$51)</f>
        <v>0</v>
      </c>
      <c r="I17" s="68"/>
    </row>
    <row r="18" spans="1:9" x14ac:dyDescent="0.4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26" t="s">
        <v>35</v>
      </c>
      <c r="G18" s="14">
        <v>0</v>
      </c>
      <c r="H18" s="107">
        <f>IF(B$51=0,0,G18/B$51)</f>
        <v>0</v>
      </c>
      <c r="I18" s="68"/>
    </row>
    <row r="19" spans="1:9" x14ac:dyDescent="0.4">
      <c r="A19" s="19" t="s">
        <v>10</v>
      </c>
      <c r="B19" s="13">
        <v>0</v>
      </c>
      <c r="C19" s="4">
        <f>IF(B$3=0,0,B19/B$3)</f>
        <v>0</v>
      </c>
      <c r="E19" s="44" t="s">
        <v>81</v>
      </c>
      <c r="F19" s="26" t="s">
        <v>36</v>
      </c>
      <c r="G19" s="14">
        <v>0</v>
      </c>
      <c r="H19" s="107">
        <f>IF(B$51=0,0,G19/B$51)</f>
        <v>0</v>
      </c>
      <c r="I19" s="68"/>
    </row>
    <row r="20" spans="1:9" x14ac:dyDescent="0.4">
      <c r="A20" s="37" t="s">
        <v>13</v>
      </c>
      <c r="B20" s="34">
        <v>0</v>
      </c>
      <c r="C20" s="31">
        <f>IF(B$3=0,0,B20/B$3)</f>
        <v>0</v>
      </c>
      <c r="E20" s="44" t="s">
        <v>82</v>
      </c>
      <c r="F20" s="26" t="s">
        <v>37</v>
      </c>
      <c r="G20" s="14">
        <v>0</v>
      </c>
      <c r="H20" s="107">
        <f>IF(B$51=0,0,G20/B$51)</f>
        <v>0</v>
      </c>
      <c r="I20" s="68"/>
    </row>
    <row r="21" spans="1:9" x14ac:dyDescent="0.4">
      <c r="A21" s="20" t="s">
        <v>12</v>
      </c>
      <c r="B21" s="14">
        <v>0</v>
      </c>
      <c r="C21" s="6">
        <f>IF(B$19=0,0,B21/B$19)</f>
        <v>0</v>
      </c>
      <c r="E21" s="44" t="s">
        <v>83</v>
      </c>
      <c r="F21" s="26" t="s">
        <v>38</v>
      </c>
      <c r="G21" s="14">
        <v>0</v>
      </c>
      <c r="H21" s="107">
        <f>IF(B$51=0,0,G21/B$51)</f>
        <v>0</v>
      </c>
      <c r="I21" s="68"/>
    </row>
    <row r="22" spans="1:9" x14ac:dyDescent="0.4">
      <c r="A22" s="20" t="s">
        <v>11</v>
      </c>
      <c r="B22" s="14">
        <v>0</v>
      </c>
      <c r="C22" s="6">
        <f>IF(B$19=0,0,B22/B$19)</f>
        <v>0</v>
      </c>
      <c r="E22" s="44" t="s">
        <v>84</v>
      </c>
      <c r="F22" s="26" t="s">
        <v>39</v>
      </c>
      <c r="G22" s="14">
        <v>0</v>
      </c>
      <c r="H22" s="107">
        <f>IF(B$51=0,0,G22/B$51)</f>
        <v>0</v>
      </c>
      <c r="I22" s="68"/>
    </row>
    <row r="23" spans="1:9" x14ac:dyDescent="0.4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26" t="s">
        <v>40</v>
      </c>
      <c r="G23" s="14">
        <v>0</v>
      </c>
      <c r="H23" s="107">
        <f>IF(B$51=0,0,G23/B$51)</f>
        <v>0</v>
      </c>
      <c r="I23" s="68"/>
    </row>
    <row r="24" spans="1:9" x14ac:dyDescent="0.4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26" t="s">
        <v>41</v>
      </c>
      <c r="G24" s="14">
        <v>0</v>
      </c>
      <c r="H24" s="107">
        <f>IF(B$51=0,0,G24/B$51)</f>
        <v>0</v>
      </c>
      <c r="I24" s="68"/>
    </row>
    <row r="25" spans="1:9" x14ac:dyDescent="0.4">
      <c r="A25" s="20" t="s">
        <v>179</v>
      </c>
      <c r="B25" s="34">
        <v>0</v>
      </c>
      <c r="C25" s="31">
        <f>IF(B$19=0,0,B25/B$19)</f>
        <v>0</v>
      </c>
      <c r="E25" s="44" t="s">
        <v>87</v>
      </c>
      <c r="F25" s="26" t="s">
        <v>42</v>
      </c>
      <c r="G25" s="14">
        <v>0</v>
      </c>
      <c r="H25" s="107">
        <f>IF(B$51=0,0,G25/B$51)</f>
        <v>0</v>
      </c>
      <c r="I25" s="68"/>
    </row>
    <row r="26" spans="1:9" x14ac:dyDescent="0.4">
      <c r="A26" s="20" t="s">
        <v>5</v>
      </c>
      <c r="B26" s="17">
        <f>IF(B$19=0,0,C26/B$19)</f>
        <v>0</v>
      </c>
      <c r="C26" s="8">
        <v>0</v>
      </c>
      <c r="E26" s="44" t="s">
        <v>88</v>
      </c>
      <c r="F26" s="26" t="s">
        <v>43</v>
      </c>
      <c r="G26" s="14">
        <v>0</v>
      </c>
      <c r="H26" s="107">
        <f>IF(B$51=0,0,G26/B$51)</f>
        <v>0</v>
      </c>
      <c r="I26" s="68"/>
    </row>
    <row r="27" spans="1:9" x14ac:dyDescent="0.4">
      <c r="A27" s="38" t="s">
        <v>162</v>
      </c>
      <c r="B27" s="114">
        <f>IF($B$19-B$18=0,0,C27/($B$19-B$18))</f>
        <v>0</v>
      </c>
      <c r="C27" s="115">
        <v>0</v>
      </c>
      <c r="E27" s="44" t="s">
        <v>89</v>
      </c>
      <c r="F27" s="26" t="s">
        <v>44</v>
      </c>
      <c r="G27" s="14">
        <v>0</v>
      </c>
      <c r="H27" s="107">
        <f>IF(B$51=0,0,G27/B$51)</f>
        <v>0</v>
      </c>
      <c r="I27" s="68"/>
    </row>
    <row r="28" spans="1:9" x14ac:dyDescent="0.4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26" t="s">
        <v>45</v>
      </c>
      <c r="G28" s="14">
        <v>0</v>
      </c>
      <c r="H28" s="107">
        <f>IF(B$51=0,0,G28/B$51)</f>
        <v>0</v>
      </c>
      <c r="I28" s="68"/>
    </row>
    <row r="29" spans="1:9" x14ac:dyDescent="0.4">
      <c r="A29" s="38" t="s">
        <v>161</v>
      </c>
      <c r="B29" s="114">
        <f>IF(B$20=0,0,C29/B$20)</f>
        <v>0</v>
      </c>
      <c r="C29" s="115">
        <v>0</v>
      </c>
      <c r="E29" s="44" t="s">
        <v>91</v>
      </c>
      <c r="F29" s="26" t="s">
        <v>46</v>
      </c>
      <c r="G29" s="14">
        <v>0</v>
      </c>
      <c r="H29" s="107">
        <f>IF(B$51=0,0,G29/B$51)</f>
        <v>0</v>
      </c>
      <c r="I29" s="68"/>
    </row>
    <row r="30" spans="1:9" x14ac:dyDescent="0.4">
      <c r="A30" s="37" t="s">
        <v>155</v>
      </c>
      <c r="B30" s="34">
        <v>0</v>
      </c>
      <c r="C30" s="109">
        <v>0</v>
      </c>
      <c r="E30" s="44" t="s">
        <v>92</v>
      </c>
      <c r="F30" s="26" t="s">
        <v>47</v>
      </c>
      <c r="G30" s="14">
        <v>0</v>
      </c>
      <c r="H30" s="107">
        <f>IF(B$51=0,0,G30/B$51)</f>
        <v>0</v>
      </c>
      <c r="I30" s="68"/>
    </row>
    <row r="31" spans="1:9" x14ac:dyDescent="0.4">
      <c r="A31" s="37" t="s">
        <v>156</v>
      </c>
      <c r="B31" s="34">
        <v>0</v>
      </c>
      <c r="C31" s="109">
        <v>0</v>
      </c>
      <c r="E31" s="44" t="s">
        <v>93</v>
      </c>
      <c r="F31" s="26" t="s">
        <v>48</v>
      </c>
      <c r="G31" s="14">
        <v>0</v>
      </c>
      <c r="H31" s="107">
        <f>IF(B$51=0,0,G31/B$51)</f>
        <v>0</v>
      </c>
      <c r="I31" s="68"/>
    </row>
    <row r="32" spans="1:9" x14ac:dyDescent="0.4">
      <c r="A32" s="64" t="s">
        <v>134</v>
      </c>
      <c r="B32" s="139">
        <v>0</v>
      </c>
      <c r="C32" s="140"/>
      <c r="E32" s="44" t="s">
        <v>94</v>
      </c>
      <c r="F32" s="26" t="s">
        <v>49</v>
      </c>
      <c r="G32" s="14">
        <v>0</v>
      </c>
      <c r="H32" s="107">
        <f>IF(B$51=0,0,G32/B$51)</f>
        <v>0</v>
      </c>
      <c r="I32" s="68"/>
    </row>
    <row r="33" spans="1:9" x14ac:dyDescent="0.4">
      <c r="A33" s="40" t="s">
        <v>177</v>
      </c>
      <c r="B33" s="137">
        <v>-1000000</v>
      </c>
      <c r="C33" s="138"/>
      <c r="E33" s="44" t="s">
        <v>95</v>
      </c>
      <c r="F33" s="26" t="s">
        <v>50</v>
      </c>
      <c r="G33" s="14">
        <v>0</v>
      </c>
      <c r="H33" s="107">
        <f>IF(B$51=0,0,G33/B$51)</f>
        <v>0</v>
      </c>
      <c r="I33" s="68"/>
    </row>
    <row r="34" spans="1:9" x14ac:dyDescent="0.4">
      <c r="A34" s="22" t="s">
        <v>135</v>
      </c>
      <c r="B34" s="27">
        <v>0</v>
      </c>
      <c r="C34" s="9">
        <f>IF(B$3=0,0,B34/B$3)</f>
        <v>0</v>
      </c>
      <c r="E34" s="44" t="s">
        <v>96</v>
      </c>
      <c r="F34" s="26" t="s">
        <v>51</v>
      </c>
      <c r="G34" s="14">
        <v>0</v>
      </c>
      <c r="H34" s="107">
        <f>IF(B$51=0,0,G34/B$51)</f>
        <v>0</v>
      </c>
      <c r="I34" s="68"/>
    </row>
    <row r="35" spans="1:9" x14ac:dyDescent="0.4">
      <c r="E35" s="44" t="s">
        <v>97</v>
      </c>
      <c r="F35" s="26" t="s">
        <v>52</v>
      </c>
      <c r="G35" s="14">
        <v>0</v>
      </c>
      <c r="H35" s="107">
        <f>IF(B$51=0,0,G35/B$51)</f>
        <v>0</v>
      </c>
      <c r="I35" s="68"/>
    </row>
    <row r="36" spans="1:9" x14ac:dyDescent="0.4">
      <c r="A36" s="64" t="s">
        <v>168</v>
      </c>
      <c r="B36" s="116">
        <v>0</v>
      </c>
      <c r="C36" s="119">
        <f>IF(B$19=0,0,B36/B$19)</f>
        <v>0</v>
      </c>
      <c r="E36" s="44" t="s">
        <v>98</v>
      </c>
      <c r="F36" s="26" t="s">
        <v>53</v>
      </c>
      <c r="G36" s="14">
        <v>0</v>
      </c>
      <c r="H36" s="107">
        <f>IF(B$51=0,0,G36/B$51)</f>
        <v>0</v>
      </c>
      <c r="I36" s="68"/>
    </row>
    <row r="37" spans="1:9" x14ac:dyDescent="0.4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99</v>
      </c>
      <c r="F37" s="26" t="s">
        <v>54</v>
      </c>
      <c r="G37" s="14">
        <v>0</v>
      </c>
      <c r="H37" s="107">
        <f>IF(B$51=0,0,G37/B$51)</f>
        <v>0</v>
      </c>
      <c r="I37" s="68"/>
    </row>
    <row r="38" spans="1:9" x14ac:dyDescent="0.4">
      <c r="A38" s="37" t="s">
        <v>165</v>
      </c>
      <c r="B38" s="117">
        <v>0</v>
      </c>
      <c r="C38" s="31">
        <f>IF(B$19=0,0,B38/B$19)</f>
        <v>0</v>
      </c>
      <c r="E38" s="44" t="s">
        <v>100</v>
      </c>
      <c r="F38" s="26" t="s">
        <v>55</v>
      </c>
      <c r="G38" s="14">
        <v>0</v>
      </c>
      <c r="H38" s="107">
        <f>IF(B$51=0,0,G38/B$51)</f>
        <v>0</v>
      </c>
      <c r="I38" s="68"/>
    </row>
    <row r="39" spans="1:9" x14ac:dyDescent="0.4">
      <c r="A39" s="37" t="s">
        <v>166</v>
      </c>
      <c r="B39" s="117">
        <v>0</v>
      </c>
      <c r="C39" s="31">
        <f t="shared" si="2"/>
        <v>0</v>
      </c>
      <c r="E39" s="44" t="s">
        <v>101</v>
      </c>
      <c r="F39" s="26" t="s">
        <v>56</v>
      </c>
      <c r="G39" s="14">
        <v>0</v>
      </c>
      <c r="H39" s="107">
        <f>IF(B$51=0,0,G39/B$51)</f>
        <v>0</v>
      </c>
      <c r="I39" s="68"/>
    </row>
    <row r="40" spans="1:9" x14ac:dyDescent="0.4">
      <c r="A40" s="37" t="s">
        <v>167</v>
      </c>
      <c r="B40" s="117">
        <v>0</v>
      </c>
      <c r="C40" s="31">
        <f t="shared" si="2"/>
        <v>0</v>
      </c>
      <c r="E40" s="44" t="s">
        <v>102</v>
      </c>
      <c r="F40" s="26" t="s">
        <v>57</v>
      </c>
      <c r="G40" s="14">
        <v>0</v>
      </c>
      <c r="H40" s="107">
        <f>IF(B$51=0,0,G40/B$51)</f>
        <v>0</v>
      </c>
      <c r="I40" s="68"/>
    </row>
    <row r="41" spans="1:9" x14ac:dyDescent="0.4">
      <c r="A41" s="37" t="s">
        <v>169</v>
      </c>
      <c r="B41" s="117">
        <v>0</v>
      </c>
      <c r="C41" s="31">
        <f t="shared" si="2"/>
        <v>0</v>
      </c>
      <c r="E41" s="44" t="s">
        <v>103</v>
      </c>
      <c r="F41" s="26" t="s">
        <v>58</v>
      </c>
      <c r="G41" s="14">
        <v>0</v>
      </c>
      <c r="H41" s="107">
        <f>IF(B$51=0,0,G41/B$51)</f>
        <v>0</v>
      </c>
      <c r="I41" s="68"/>
    </row>
    <row r="42" spans="1:9" x14ac:dyDescent="0.4">
      <c r="A42" s="37" t="s">
        <v>170</v>
      </c>
      <c r="B42" s="117">
        <v>0</v>
      </c>
      <c r="C42" s="31">
        <f t="shared" si="2"/>
        <v>0</v>
      </c>
      <c r="E42" s="44" t="s">
        <v>104</v>
      </c>
      <c r="F42" s="26" t="s">
        <v>59</v>
      </c>
      <c r="G42" s="14">
        <v>0</v>
      </c>
      <c r="H42" s="107">
        <f>IF(B$51=0,0,G42/B$51)</f>
        <v>0</v>
      </c>
      <c r="I42" s="68"/>
    </row>
    <row r="43" spans="1:9" x14ac:dyDescent="0.4">
      <c r="A43" s="37" t="s">
        <v>171</v>
      </c>
      <c r="B43" s="117">
        <v>0</v>
      </c>
      <c r="C43" s="31">
        <f t="shared" si="2"/>
        <v>0</v>
      </c>
      <c r="E43" s="44" t="s">
        <v>105</v>
      </c>
      <c r="F43" s="26" t="s">
        <v>112</v>
      </c>
      <c r="G43" s="14">
        <v>0</v>
      </c>
      <c r="H43" s="107">
        <f>IF(B$51=0,0,G43/B$51)</f>
        <v>0</v>
      </c>
      <c r="I43" s="68"/>
    </row>
    <row r="44" spans="1:9" x14ac:dyDescent="0.4">
      <c r="A44" s="37" t="s">
        <v>172</v>
      </c>
      <c r="B44" s="117">
        <v>0</v>
      </c>
      <c r="C44" s="31">
        <f t="shared" si="2"/>
        <v>0</v>
      </c>
      <c r="E44" s="44" t="s">
        <v>106</v>
      </c>
      <c r="F44" s="26" t="s">
        <v>113</v>
      </c>
      <c r="G44" s="14">
        <v>0</v>
      </c>
      <c r="H44" s="107">
        <f>IF(B$51=0,0,G44/B$51)</f>
        <v>0</v>
      </c>
      <c r="I44" s="68"/>
    </row>
    <row r="45" spans="1:9" x14ac:dyDescent="0.4">
      <c r="A45" s="37" t="s">
        <v>173</v>
      </c>
      <c r="B45" s="117">
        <v>0</v>
      </c>
      <c r="C45" s="31">
        <f t="shared" si="2"/>
        <v>0</v>
      </c>
      <c r="E45" s="44" t="s">
        <v>107</v>
      </c>
      <c r="F45" s="26" t="s">
        <v>114</v>
      </c>
      <c r="G45" s="14">
        <v>0</v>
      </c>
      <c r="H45" s="107">
        <f>IF(B$51=0,0,G45/B$51)</f>
        <v>0</v>
      </c>
      <c r="I45" s="68"/>
    </row>
    <row r="46" spans="1:9" x14ac:dyDescent="0.4">
      <c r="A46" s="37" t="s">
        <v>174</v>
      </c>
      <c r="B46" s="117">
        <v>0</v>
      </c>
      <c r="C46" s="31">
        <f t="shared" si="2"/>
        <v>0</v>
      </c>
      <c r="E46" s="44" t="s">
        <v>108</v>
      </c>
      <c r="F46" s="26" t="s">
        <v>60</v>
      </c>
      <c r="G46" s="14">
        <v>0</v>
      </c>
      <c r="H46" s="107">
        <f>IF(B$51=0,0,G46/B$51)</f>
        <v>0</v>
      </c>
      <c r="I46" s="68"/>
    </row>
    <row r="47" spans="1:9" x14ac:dyDescent="0.4">
      <c r="A47" s="37" t="s">
        <v>175</v>
      </c>
      <c r="B47" s="117">
        <v>0</v>
      </c>
      <c r="C47" s="31">
        <f t="shared" si="2"/>
        <v>0</v>
      </c>
      <c r="E47" s="44" t="s">
        <v>109</v>
      </c>
      <c r="F47" s="26" t="s">
        <v>61</v>
      </c>
      <c r="G47" s="14">
        <v>0</v>
      </c>
      <c r="H47" s="107">
        <f>IF(B$51=0,0,G47/B$51)</f>
        <v>0</v>
      </c>
      <c r="I47" s="68"/>
    </row>
    <row r="48" spans="1:9" x14ac:dyDescent="0.4">
      <c r="A48" s="39" t="s">
        <v>176</v>
      </c>
      <c r="B48" s="118">
        <v>0</v>
      </c>
      <c r="C48" s="32">
        <f t="shared" si="2"/>
        <v>0</v>
      </c>
      <c r="E48" s="44" t="s">
        <v>110</v>
      </c>
      <c r="F48" s="26" t="s">
        <v>62</v>
      </c>
      <c r="G48" s="14">
        <v>0</v>
      </c>
      <c r="H48" s="107">
        <f>IF(B$51=0,0,G48/B$51)</f>
        <v>0</v>
      </c>
      <c r="I48" s="68"/>
    </row>
    <row r="49" spans="1:9" x14ac:dyDescent="0.4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/>
    </row>
    <row r="50" spans="1:9" x14ac:dyDescent="0.4">
      <c r="A50" s="64" t="s">
        <v>181</v>
      </c>
      <c r="B50" s="127">
        <v>0</v>
      </c>
      <c r="C50" s="128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/>
    </row>
    <row r="51" spans="1:9" x14ac:dyDescent="0.4">
      <c r="A51" s="39" t="s">
        <v>182</v>
      </c>
      <c r="B51" s="135">
        <v>0</v>
      </c>
      <c r="C51" s="136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/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/>
    </row>
  </sheetData>
  <mergeCells count="11">
    <mergeCell ref="B51:C51"/>
    <mergeCell ref="B50:C50"/>
    <mergeCell ref="B33:C33"/>
    <mergeCell ref="B32:C32"/>
    <mergeCell ref="B6:C6"/>
    <mergeCell ref="B13:C13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183</v>
      </c>
    </row>
    <row r="2" spans="1:1" x14ac:dyDescent="0.4">
      <c r="A2" t="s">
        <v>195</v>
      </c>
    </row>
    <row r="3" spans="1:1" x14ac:dyDescent="0.4">
      <c r="A3" t="s">
        <v>184</v>
      </c>
    </row>
    <row r="4" spans="1:1" x14ac:dyDescent="0.4">
      <c r="A4" t="s">
        <v>189</v>
      </c>
    </row>
    <row r="5" spans="1:1" x14ac:dyDescent="0.4">
      <c r="A5" t="s">
        <v>190</v>
      </c>
    </row>
    <row r="6" spans="1:1" x14ac:dyDescent="0.4">
      <c r="A6" t="s">
        <v>194</v>
      </c>
    </row>
    <row r="7" spans="1:1" x14ac:dyDescent="0.4">
      <c r="A7" t="s">
        <v>185</v>
      </c>
    </row>
    <row r="8" spans="1:1" x14ac:dyDescent="0.4">
      <c r="A8" t="s">
        <v>188</v>
      </c>
    </row>
    <row r="9" spans="1:1" x14ac:dyDescent="0.4">
      <c r="A9" t="s">
        <v>193</v>
      </c>
    </row>
    <row r="10" spans="1:1" x14ac:dyDescent="0.4">
      <c r="A10" t="s">
        <v>192</v>
      </c>
    </row>
    <row r="11" spans="1:1" x14ac:dyDescent="0.4">
      <c r="A11" t="s">
        <v>191</v>
      </c>
    </row>
    <row r="12" spans="1:1" x14ac:dyDescent="0.4">
      <c r="A12" t="s">
        <v>196</v>
      </c>
    </row>
    <row r="13" spans="1:1" x14ac:dyDescent="0.4">
      <c r="A13" t="s">
        <v>187</v>
      </c>
    </row>
    <row r="14" spans="1:1" x14ac:dyDescent="0.4">
      <c r="A14" t="s">
        <v>186</v>
      </c>
    </row>
    <row r="15" spans="1:1" x14ac:dyDescent="0.4">
      <c r="A15" t="s">
        <v>199</v>
      </c>
    </row>
    <row r="16" spans="1:1" x14ac:dyDescent="0.4">
      <c r="A16" t="s">
        <v>200</v>
      </c>
    </row>
    <row r="17" spans="1:1" x14ac:dyDescent="0.4">
      <c r="A17" t="s">
        <v>197</v>
      </c>
    </row>
    <row r="18" spans="1:1" x14ac:dyDescent="0.4">
      <c r="A18" t="s">
        <v>198</v>
      </c>
    </row>
    <row r="19" spans="1:1" x14ac:dyDescent="0.4">
      <c r="A19" t="s">
        <v>202</v>
      </c>
    </row>
    <row r="20" spans="1:1" x14ac:dyDescent="0.4">
      <c r="A20" t="s">
        <v>201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2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56" customWidth="1"/>
    <col min="2" max="2" width="10.75" style="57" customWidth="1"/>
    <col min="3" max="3" width="10.75" style="58" customWidth="1"/>
    <col min="4" max="4" width="10.75" style="59" customWidth="1"/>
    <col min="5" max="5" width="10.75" style="71" customWidth="1"/>
    <col min="6" max="6" width="10.75" style="59" customWidth="1"/>
    <col min="7" max="7" width="10.75" style="71" customWidth="1"/>
    <col min="8" max="8" width="10.75" style="59" customWidth="1"/>
    <col min="9" max="9" width="10.75" style="60" customWidth="1"/>
    <col min="10" max="10" width="10.75" style="59" customWidth="1"/>
    <col min="11" max="11" width="10.75" style="61" customWidth="1"/>
    <col min="12" max="12" width="10.75" style="59" customWidth="1"/>
    <col min="13" max="13" width="10.75" style="61" customWidth="1"/>
    <col min="14" max="14" width="10.75" style="59" customWidth="1"/>
    <col min="15" max="15" width="10.75" style="62" customWidth="1"/>
    <col min="16" max="16" width="10.75" style="59" customWidth="1"/>
    <col min="17" max="17" width="10.75" style="62" customWidth="1"/>
    <col min="18" max="18" width="10.75" style="59" customWidth="1"/>
    <col min="19" max="19" width="10.75" style="63" customWidth="1"/>
    <col min="20" max="20" width="10.75" style="59" customWidth="1"/>
    <col min="21" max="21" width="10.75" style="63" customWidth="1"/>
    <col min="22" max="22" width="10.75" style="59" customWidth="1"/>
    <col min="23" max="23" width="10.75" style="61" customWidth="1"/>
    <col min="24" max="24" width="10.75" style="59" customWidth="1"/>
    <col min="25" max="25" width="10.75" style="62" customWidth="1"/>
    <col min="26" max="26" width="10.75" style="59" customWidth="1"/>
    <col min="27" max="27" width="10.75" style="62" customWidth="1"/>
    <col min="28" max="28" width="10.75" style="59" customWidth="1"/>
    <col min="29" max="29" width="10.75" style="62" customWidth="1"/>
    <col min="30" max="30" width="10.75" style="59" customWidth="1"/>
    <col min="31" max="31" width="10.75" style="62" customWidth="1"/>
    <col min="32" max="32" width="10.75" style="59" customWidth="1"/>
    <col min="33" max="33" width="10.75" style="62" customWidth="1"/>
    <col min="34" max="34" width="10.75" style="59" customWidth="1"/>
    <col min="35" max="35" width="10.75" style="66" customWidth="1"/>
    <col min="36" max="16384" width="9" style="47"/>
  </cols>
  <sheetData>
    <row r="1" spans="1:35" x14ac:dyDescent="0.4">
      <c r="A1" s="46"/>
      <c r="B1" s="145" t="s">
        <v>6</v>
      </c>
      <c r="C1" s="146"/>
      <c r="D1" s="145" t="s">
        <v>7</v>
      </c>
      <c r="E1" s="146"/>
      <c r="F1" s="151" t="s">
        <v>206</v>
      </c>
      <c r="G1" s="152"/>
      <c r="H1" s="145" t="s">
        <v>15</v>
      </c>
      <c r="I1" s="146"/>
      <c r="J1" s="145" t="s">
        <v>14</v>
      </c>
      <c r="K1" s="146"/>
      <c r="L1" s="145" t="s">
        <v>147</v>
      </c>
      <c r="M1" s="146"/>
      <c r="N1" s="145" t="s">
        <v>137</v>
      </c>
      <c r="O1" s="146"/>
      <c r="P1" s="145" t="s">
        <v>138</v>
      </c>
      <c r="Q1" s="146"/>
      <c r="R1" s="145" t="s">
        <v>5</v>
      </c>
      <c r="S1" s="146"/>
      <c r="T1" s="145" t="s">
        <v>16</v>
      </c>
      <c r="U1" s="146"/>
      <c r="V1" s="145" t="s">
        <v>17</v>
      </c>
      <c r="W1" s="146"/>
      <c r="X1" s="145" t="s">
        <v>122</v>
      </c>
      <c r="Y1" s="146"/>
      <c r="Z1" s="145" t="s">
        <v>119</v>
      </c>
      <c r="AA1" s="146"/>
      <c r="AB1" s="145" t="s">
        <v>125</v>
      </c>
      <c r="AC1" s="146"/>
      <c r="AD1" s="145" t="s">
        <v>139</v>
      </c>
      <c r="AE1" s="146"/>
      <c r="AF1" s="145" t="s">
        <v>136</v>
      </c>
      <c r="AG1" s="146"/>
      <c r="AH1" s="145" t="s">
        <v>177</v>
      </c>
      <c r="AI1" s="146"/>
    </row>
    <row r="2" spans="1:35" x14ac:dyDescent="0.4">
      <c r="A2" s="46" t="s">
        <v>146</v>
      </c>
      <c r="B2" s="147"/>
      <c r="C2" s="148"/>
      <c r="D2" s="147"/>
      <c r="E2" s="148"/>
      <c r="F2" s="143">
        <v>0.47683325212977734</v>
      </c>
      <c r="G2" s="144"/>
      <c r="H2" s="143">
        <v>0.94441685653486984</v>
      </c>
      <c r="I2" s="144"/>
      <c r="J2" s="143">
        <v>0.85284521460704943</v>
      </c>
      <c r="K2" s="144"/>
      <c r="L2" s="143">
        <v>0.64639248639026914</v>
      </c>
      <c r="M2" s="144"/>
      <c r="N2" s="143">
        <v>0.68290897591672273</v>
      </c>
      <c r="O2" s="144"/>
      <c r="P2" s="143">
        <v>0.30307561331701188</v>
      </c>
      <c r="Q2" s="144"/>
      <c r="R2" s="143">
        <v>0.51027911775264312</v>
      </c>
      <c r="S2" s="144"/>
      <c r="T2" s="143">
        <v>-0.33136954444293176</v>
      </c>
      <c r="U2" s="144"/>
      <c r="V2" s="143">
        <v>0.29320288880224182</v>
      </c>
      <c r="W2" s="144"/>
      <c r="X2" s="143">
        <v>0.44236046879339702</v>
      </c>
      <c r="Y2" s="144"/>
      <c r="Z2" s="143">
        <v>1.9715871041632027E-2</v>
      </c>
      <c r="AA2" s="144"/>
      <c r="AB2" s="143">
        <v>0.54549088812810265</v>
      </c>
      <c r="AC2" s="144"/>
      <c r="AD2" s="143">
        <v>0.14558804934693154</v>
      </c>
      <c r="AE2" s="144"/>
      <c r="AF2" s="143">
        <v>-0.3141593895986346</v>
      </c>
      <c r="AG2" s="144"/>
      <c r="AH2" s="143">
        <v>0.51821201434346831</v>
      </c>
      <c r="AI2" s="144"/>
    </row>
    <row r="3" spans="1:35" x14ac:dyDescent="0.4">
      <c r="A3" s="48">
        <v>1</v>
      </c>
      <c r="B3" s="49" t="s">
        <v>195</v>
      </c>
      <c r="C3" s="50">
        <v>6614.0999999999995</v>
      </c>
      <c r="D3" s="51" t="s">
        <v>200</v>
      </c>
      <c r="E3" s="70">
        <v>13.3</v>
      </c>
      <c r="F3" s="51" t="s">
        <v>200</v>
      </c>
      <c r="G3" s="70">
        <v>4.4333333333333336</v>
      </c>
      <c r="H3" s="51" t="s">
        <v>196</v>
      </c>
      <c r="I3" s="52">
        <v>1.6666666666666667</v>
      </c>
      <c r="J3" s="51" t="s">
        <v>196</v>
      </c>
      <c r="K3" s="53">
        <v>0.55555555555555558</v>
      </c>
      <c r="L3" s="51" t="s">
        <v>200</v>
      </c>
      <c r="M3" s="53">
        <v>0</v>
      </c>
      <c r="N3" s="51" t="s">
        <v>196</v>
      </c>
      <c r="O3" s="54">
        <v>0.34782608695652173</v>
      </c>
      <c r="P3" s="51" t="s">
        <v>200</v>
      </c>
      <c r="Q3" s="54">
        <v>7.6923076923076927E-2</v>
      </c>
      <c r="R3" s="51" t="s">
        <v>200</v>
      </c>
      <c r="S3" s="55">
        <v>13800</v>
      </c>
      <c r="T3" s="51" t="s">
        <v>187</v>
      </c>
      <c r="U3" s="55">
        <v>-7358.5301837270345</v>
      </c>
      <c r="V3" s="51" t="s">
        <v>200</v>
      </c>
      <c r="W3" s="53">
        <v>0</v>
      </c>
      <c r="X3" s="51" t="s">
        <v>202</v>
      </c>
      <c r="Y3" s="54">
        <v>0.38461538461538464</v>
      </c>
      <c r="Z3" s="51" t="s">
        <v>198</v>
      </c>
      <c r="AA3" s="54">
        <v>0.375</v>
      </c>
      <c r="AB3" s="51" t="s">
        <v>185</v>
      </c>
      <c r="AC3" s="54">
        <v>0.75</v>
      </c>
      <c r="AD3" s="51" t="s">
        <v>189</v>
      </c>
      <c r="AE3" s="54">
        <v>0.7142857142857143</v>
      </c>
      <c r="AF3" s="51" t="s">
        <v>184</v>
      </c>
      <c r="AG3" s="54">
        <v>1</v>
      </c>
      <c r="AH3" s="51" t="s">
        <v>195</v>
      </c>
      <c r="AI3" s="65">
        <v>149100</v>
      </c>
    </row>
    <row r="4" spans="1:35" x14ac:dyDescent="0.4">
      <c r="A4" s="56">
        <v>2</v>
      </c>
      <c r="B4" s="57" t="s">
        <v>191</v>
      </c>
      <c r="C4" s="58">
        <v>388.80000000000064</v>
      </c>
      <c r="D4" s="59" t="s">
        <v>196</v>
      </c>
      <c r="E4" s="71">
        <v>12.111111111111111</v>
      </c>
      <c r="F4" s="59" t="s">
        <v>192</v>
      </c>
      <c r="G4" s="71">
        <v>3.0839682539682549</v>
      </c>
      <c r="H4" s="59" t="s">
        <v>195</v>
      </c>
      <c r="I4" s="60">
        <v>1.7554904831625182</v>
      </c>
      <c r="J4" s="59" t="s">
        <v>202</v>
      </c>
      <c r="K4" s="61">
        <v>0.5</v>
      </c>
      <c r="L4" s="59" t="s">
        <v>196</v>
      </c>
      <c r="M4" s="61">
        <v>0.22222222222222221</v>
      </c>
      <c r="N4" s="59" t="s">
        <v>195</v>
      </c>
      <c r="O4" s="62">
        <v>0.34621017942145732</v>
      </c>
      <c r="P4" s="59" t="s">
        <v>196</v>
      </c>
      <c r="Q4" s="62">
        <v>8.6956521739130432E-2</v>
      </c>
      <c r="R4" s="59" t="s">
        <v>192</v>
      </c>
      <c r="S4" s="63">
        <v>11250.561797752809</v>
      </c>
      <c r="T4" s="59" t="s">
        <v>186</v>
      </c>
      <c r="U4" s="63">
        <v>-7982.2857142857147</v>
      </c>
      <c r="V4" s="59" t="s">
        <v>195</v>
      </c>
      <c r="W4" s="61">
        <v>7.6134699853587118E-2</v>
      </c>
      <c r="X4" s="59" t="s">
        <v>196</v>
      </c>
      <c r="Y4" s="62">
        <v>0.37681159420289856</v>
      </c>
      <c r="Z4" s="59" t="s">
        <v>199</v>
      </c>
      <c r="AA4" s="62">
        <v>0.33201581027667987</v>
      </c>
      <c r="AB4" s="59" t="s">
        <v>202</v>
      </c>
      <c r="AC4" s="62">
        <v>0.6333333333333333</v>
      </c>
      <c r="AD4" s="59" t="s">
        <v>196</v>
      </c>
      <c r="AE4" s="62">
        <v>0.5</v>
      </c>
      <c r="AF4" s="59" t="s">
        <v>186</v>
      </c>
      <c r="AG4" s="62">
        <v>0.52282157676348551</v>
      </c>
      <c r="AH4" s="59" t="s">
        <v>183</v>
      </c>
      <c r="AI4" s="66">
        <v>149100</v>
      </c>
    </row>
    <row r="5" spans="1:35" x14ac:dyDescent="0.4">
      <c r="A5" s="56">
        <v>3</v>
      </c>
      <c r="B5" s="57" t="s">
        <v>196</v>
      </c>
      <c r="C5" s="58">
        <v>109</v>
      </c>
      <c r="D5" s="59" t="s">
        <v>195</v>
      </c>
      <c r="E5" s="71">
        <v>9.6838945827232781</v>
      </c>
      <c r="F5" s="59" t="s">
        <v>191</v>
      </c>
      <c r="G5" s="71">
        <v>1.8316144253454663</v>
      </c>
      <c r="H5" s="59" t="s">
        <v>199</v>
      </c>
      <c r="I5" s="60">
        <v>1.9285714285714286</v>
      </c>
      <c r="J5" s="59" t="s">
        <v>195</v>
      </c>
      <c r="K5" s="61">
        <v>0.46852122986822842</v>
      </c>
      <c r="L5" s="59" t="s">
        <v>195</v>
      </c>
      <c r="M5" s="61">
        <v>0.22401171303074671</v>
      </c>
      <c r="N5" s="59" t="s">
        <v>189</v>
      </c>
      <c r="O5" s="62">
        <v>0.33519553072625696</v>
      </c>
      <c r="P5" s="59" t="s">
        <v>195</v>
      </c>
      <c r="Q5" s="62">
        <v>0.13804467228121567</v>
      </c>
      <c r="R5" s="59" t="s">
        <v>191</v>
      </c>
      <c r="S5" s="63">
        <v>10633.741648106905</v>
      </c>
      <c r="T5" s="59" t="s">
        <v>201</v>
      </c>
      <c r="U5" s="63">
        <v>-7987.5</v>
      </c>
      <c r="V5" s="59" t="s">
        <v>188</v>
      </c>
      <c r="W5" s="61">
        <v>0.1039426523297491</v>
      </c>
      <c r="X5" s="59" t="s">
        <v>201</v>
      </c>
      <c r="Y5" s="62">
        <v>0.375</v>
      </c>
      <c r="Z5" s="59" t="s">
        <v>194</v>
      </c>
      <c r="AA5" s="62">
        <v>0.27777777777777779</v>
      </c>
      <c r="AB5" s="59" t="s">
        <v>196</v>
      </c>
      <c r="AC5" s="62">
        <v>0.61538461538461542</v>
      </c>
      <c r="AD5" s="59" t="s">
        <v>195</v>
      </c>
      <c r="AE5" s="62">
        <v>0.49193548387096775</v>
      </c>
      <c r="AF5" s="59" t="s">
        <v>189</v>
      </c>
      <c r="AG5" s="62">
        <v>0.51666666666666672</v>
      </c>
      <c r="AH5" s="59" t="s">
        <v>191</v>
      </c>
      <c r="AI5" s="66">
        <v>124700</v>
      </c>
    </row>
    <row r="6" spans="1:35" x14ac:dyDescent="0.4">
      <c r="A6" s="56">
        <v>4</v>
      </c>
      <c r="B6" s="57" t="s">
        <v>192</v>
      </c>
      <c r="C6" s="58">
        <v>91.000000000000014</v>
      </c>
      <c r="D6" s="59" t="s">
        <v>192</v>
      </c>
      <c r="E6" s="71">
        <v>2.3333333333333335</v>
      </c>
      <c r="F6" s="59" t="s">
        <v>196</v>
      </c>
      <c r="G6" s="71">
        <v>1.0266666666666648</v>
      </c>
      <c r="H6" s="59" t="s">
        <v>194</v>
      </c>
      <c r="I6" s="60">
        <v>1.9890109890109891</v>
      </c>
      <c r="J6" s="59" t="s">
        <v>192</v>
      </c>
      <c r="K6" s="61">
        <v>0.35897435897435898</v>
      </c>
      <c r="L6" s="59" t="s">
        <v>199</v>
      </c>
      <c r="M6" s="61">
        <v>0.2857142857142857</v>
      </c>
      <c r="N6" s="59" t="s">
        <v>202</v>
      </c>
      <c r="O6" s="62">
        <v>0.33333333333333331</v>
      </c>
      <c r="P6" s="59" t="s">
        <v>187</v>
      </c>
      <c r="Q6" s="62">
        <v>0.14952904238618525</v>
      </c>
      <c r="R6" s="59" t="s">
        <v>202</v>
      </c>
      <c r="S6" s="63">
        <v>9534.6153846153848</v>
      </c>
      <c r="T6" s="59" t="s">
        <v>184</v>
      </c>
      <c r="U6" s="63">
        <v>-8240</v>
      </c>
      <c r="V6" s="59" t="s">
        <v>196</v>
      </c>
      <c r="W6" s="61">
        <v>0.1111111111111111</v>
      </c>
      <c r="X6" s="59" t="s">
        <v>189</v>
      </c>
      <c r="Y6" s="62">
        <v>0.35632183908045978</v>
      </c>
      <c r="Z6" s="59" t="s">
        <v>188</v>
      </c>
      <c r="AA6" s="62">
        <v>0.27638888888888891</v>
      </c>
      <c r="AB6" s="59" t="s">
        <v>194</v>
      </c>
      <c r="AC6" s="62">
        <v>0.61386138613861385</v>
      </c>
      <c r="AD6" s="59" t="s">
        <v>194</v>
      </c>
      <c r="AE6" s="62">
        <v>0.43333333333333335</v>
      </c>
      <c r="AF6" s="59" t="s">
        <v>199</v>
      </c>
      <c r="AG6" s="62">
        <v>0.51249999999999996</v>
      </c>
      <c r="AH6" s="59" t="s">
        <v>194</v>
      </c>
      <c r="AI6" s="66">
        <v>118000</v>
      </c>
    </row>
    <row r="7" spans="1:35" x14ac:dyDescent="0.4">
      <c r="A7" s="56">
        <v>5</v>
      </c>
      <c r="B7" s="57" t="s">
        <v>200</v>
      </c>
      <c r="C7" s="58">
        <v>13.3</v>
      </c>
      <c r="D7" s="59" t="s">
        <v>191</v>
      </c>
      <c r="E7" s="71">
        <v>0.98181818181818348</v>
      </c>
      <c r="F7" s="59" t="s">
        <v>187</v>
      </c>
      <c r="G7" s="71">
        <v>0.9180318802862738</v>
      </c>
      <c r="H7" s="59" t="s">
        <v>202</v>
      </c>
      <c r="I7" s="60">
        <v>2</v>
      </c>
      <c r="J7" s="59" t="s">
        <v>199</v>
      </c>
      <c r="K7" s="61">
        <v>0.35714285714285715</v>
      </c>
      <c r="L7" s="59" t="s">
        <v>194</v>
      </c>
      <c r="M7" s="61">
        <v>0.32967032967032966</v>
      </c>
      <c r="N7" s="59" t="s">
        <v>194</v>
      </c>
      <c r="O7" s="62">
        <v>0.32835820895522388</v>
      </c>
      <c r="P7" s="59" t="s">
        <v>198</v>
      </c>
      <c r="Q7" s="62">
        <v>0.15625</v>
      </c>
      <c r="R7" s="59" t="s">
        <v>194</v>
      </c>
      <c r="S7" s="63">
        <v>9344.0909090909099</v>
      </c>
      <c r="T7" s="59" t="s">
        <v>197</v>
      </c>
      <c r="U7" s="63">
        <v>-8255.3846153846152</v>
      </c>
      <c r="V7" s="59" t="s">
        <v>193</v>
      </c>
      <c r="W7" s="61">
        <v>0.12058212058212059</v>
      </c>
      <c r="X7" s="59" t="s">
        <v>191</v>
      </c>
      <c r="Y7" s="62">
        <v>0.29353709009869466</v>
      </c>
      <c r="Z7" s="59" t="s">
        <v>193</v>
      </c>
      <c r="AA7" s="62">
        <v>0.24297346992382454</v>
      </c>
      <c r="AB7" s="59" t="s">
        <v>195</v>
      </c>
      <c r="AC7" s="62">
        <v>0.60620689655172411</v>
      </c>
      <c r="AD7" s="59" t="s">
        <v>183</v>
      </c>
      <c r="AE7" s="62">
        <v>0.40651052004763794</v>
      </c>
      <c r="AF7" s="59" t="s">
        <v>200</v>
      </c>
      <c r="AG7" s="62">
        <v>0.5</v>
      </c>
      <c r="AH7" s="59" t="s">
        <v>186</v>
      </c>
      <c r="AI7" s="66">
        <v>113300</v>
      </c>
    </row>
    <row r="8" spans="1:35" x14ac:dyDescent="0.4">
      <c r="A8" s="56">
        <v>6</v>
      </c>
      <c r="B8" s="57" t="s">
        <v>202</v>
      </c>
      <c r="C8" s="58">
        <v>9.2999999999999972</v>
      </c>
      <c r="D8" s="59" t="s">
        <v>202</v>
      </c>
      <c r="E8" s="71">
        <v>0.92999999999999972</v>
      </c>
      <c r="F8" s="59" t="s">
        <v>195</v>
      </c>
      <c r="G8" s="71">
        <v>0.77905715063802694</v>
      </c>
      <c r="H8" s="59" t="s">
        <v>183</v>
      </c>
      <c r="I8" s="60">
        <v>2</v>
      </c>
      <c r="J8" s="59" t="s">
        <v>194</v>
      </c>
      <c r="K8" s="61">
        <v>0.34065934065934067</v>
      </c>
      <c r="L8" s="59" t="s">
        <v>183</v>
      </c>
      <c r="M8" s="61">
        <v>0.33333333333333331</v>
      </c>
      <c r="N8" s="59" t="s">
        <v>199</v>
      </c>
      <c r="O8" s="62">
        <v>0.31620553359683795</v>
      </c>
      <c r="P8" s="59" t="s">
        <v>189</v>
      </c>
      <c r="Q8" s="62">
        <v>0.16201117318435754</v>
      </c>
      <c r="R8" s="59" t="s">
        <v>190</v>
      </c>
      <c r="S8" s="63">
        <v>9245.9126539753634</v>
      </c>
      <c r="T8" s="59" t="s">
        <v>190</v>
      </c>
      <c r="U8" s="63">
        <v>-8372.7272727272721</v>
      </c>
      <c r="V8" s="59" t="s">
        <v>183</v>
      </c>
      <c r="W8" s="61">
        <v>0.12112010796221323</v>
      </c>
      <c r="X8" s="59" t="s">
        <v>195</v>
      </c>
      <c r="Y8" s="62">
        <v>0.28965241709948064</v>
      </c>
      <c r="Z8" s="59" t="s">
        <v>192</v>
      </c>
      <c r="AA8" s="62">
        <v>0.23931623931623933</v>
      </c>
      <c r="AB8" s="59" t="s">
        <v>199</v>
      </c>
      <c r="AC8" s="62">
        <v>0.58730158730158732</v>
      </c>
      <c r="AD8" s="59" t="s">
        <v>188</v>
      </c>
      <c r="AE8" s="62">
        <v>0.40033500837520936</v>
      </c>
      <c r="AF8" s="59" t="s">
        <v>192</v>
      </c>
      <c r="AG8" s="62">
        <v>0.48314606741573035</v>
      </c>
      <c r="AH8" s="59" t="s">
        <v>193</v>
      </c>
      <c r="AI8" s="66">
        <v>109300</v>
      </c>
    </row>
    <row r="9" spans="1:35" x14ac:dyDescent="0.4">
      <c r="A9" s="56">
        <v>7</v>
      </c>
      <c r="B9" s="57" t="s">
        <v>183</v>
      </c>
      <c r="C9" s="58">
        <v>2.6645352591003757E-14</v>
      </c>
      <c r="D9" s="59" t="s">
        <v>183</v>
      </c>
      <c r="E9" s="71">
        <v>8.9896601184223203E-18</v>
      </c>
      <c r="F9" s="59" t="s">
        <v>202</v>
      </c>
      <c r="G9" s="71">
        <v>0.61999999999999977</v>
      </c>
      <c r="H9" s="59" t="s">
        <v>200</v>
      </c>
      <c r="I9" s="60">
        <v>2</v>
      </c>
      <c r="J9" s="59" t="s">
        <v>183</v>
      </c>
      <c r="K9" s="61">
        <v>0.33333333333333331</v>
      </c>
      <c r="L9" s="59" t="s">
        <v>187</v>
      </c>
      <c r="M9" s="61">
        <v>0.33865814696485624</v>
      </c>
      <c r="N9" s="59" t="s">
        <v>198</v>
      </c>
      <c r="O9" s="62">
        <v>0.3125</v>
      </c>
      <c r="P9" s="59" t="s">
        <v>188</v>
      </c>
      <c r="Q9" s="62">
        <v>0.1641025641025641</v>
      </c>
      <c r="R9" s="59" t="s">
        <v>195</v>
      </c>
      <c r="S9" s="63">
        <v>9190.5869910100482</v>
      </c>
      <c r="T9" s="59" t="s">
        <v>183</v>
      </c>
      <c r="U9" s="63">
        <v>-8391.4450577019561</v>
      </c>
      <c r="V9" s="59" t="s">
        <v>187</v>
      </c>
      <c r="W9" s="61">
        <v>0.12140575079872204</v>
      </c>
      <c r="X9" s="59" t="s">
        <v>190</v>
      </c>
      <c r="Y9" s="62">
        <v>0.28818537859007831</v>
      </c>
      <c r="Z9" s="59" t="s">
        <v>197</v>
      </c>
      <c r="AA9" s="62">
        <v>0.23615160349854228</v>
      </c>
      <c r="AB9" s="59" t="s">
        <v>190</v>
      </c>
      <c r="AC9" s="62">
        <v>0.57078142695356737</v>
      </c>
      <c r="AD9" s="59" t="s">
        <v>191</v>
      </c>
      <c r="AE9" s="62">
        <v>0.39663865546218485</v>
      </c>
      <c r="AF9" s="59" t="s">
        <v>202</v>
      </c>
      <c r="AG9" s="62">
        <v>0.46153846153846156</v>
      </c>
      <c r="AH9" s="59" t="s">
        <v>192</v>
      </c>
      <c r="AI9" s="66">
        <v>109300</v>
      </c>
    </row>
    <row r="10" spans="1:35" x14ac:dyDescent="0.4">
      <c r="A10" s="56">
        <v>8</v>
      </c>
      <c r="B10" s="57" t="s">
        <v>194</v>
      </c>
      <c r="C10" s="58">
        <v>-3.4999999999999893</v>
      </c>
      <c r="D10" s="59" t="s">
        <v>194</v>
      </c>
      <c r="E10" s="71">
        <v>-3.8461538461538346E-2</v>
      </c>
      <c r="F10" s="59" t="s">
        <v>183</v>
      </c>
      <c r="G10" s="71">
        <v>0</v>
      </c>
      <c r="H10" s="59" t="s">
        <v>193</v>
      </c>
      <c r="I10" s="60">
        <v>2.0166320166320166</v>
      </c>
      <c r="J10" s="59" t="s">
        <v>193</v>
      </c>
      <c r="K10" s="61">
        <v>0.33264033264033266</v>
      </c>
      <c r="L10" s="59" t="s">
        <v>191</v>
      </c>
      <c r="M10" s="61">
        <v>0.34848484848484851</v>
      </c>
      <c r="N10" s="59" t="s">
        <v>188</v>
      </c>
      <c r="O10" s="62">
        <v>0.29743589743589743</v>
      </c>
      <c r="P10" s="59" t="s">
        <v>183</v>
      </c>
      <c r="Q10" s="62">
        <v>0.16540105398564256</v>
      </c>
      <c r="R10" s="59" t="s">
        <v>183</v>
      </c>
      <c r="S10" s="63">
        <v>8982.0695433598667</v>
      </c>
      <c r="T10" s="59" t="s">
        <v>196</v>
      </c>
      <c r="U10" s="63">
        <v>-8400</v>
      </c>
      <c r="V10" s="59" t="s">
        <v>191</v>
      </c>
      <c r="W10" s="61">
        <v>0.13383838383838384</v>
      </c>
      <c r="X10" s="59" t="s">
        <v>192</v>
      </c>
      <c r="Y10" s="62">
        <v>0.27777777777777779</v>
      </c>
      <c r="Z10" s="59" t="s">
        <v>187</v>
      </c>
      <c r="AA10" s="62">
        <v>0.22762951334379905</v>
      </c>
      <c r="AB10" s="59" t="s">
        <v>187</v>
      </c>
      <c r="AC10" s="62">
        <v>0.56778309409888361</v>
      </c>
      <c r="AD10" s="59" t="s">
        <v>199</v>
      </c>
      <c r="AE10" s="62">
        <v>0.39285714285714285</v>
      </c>
      <c r="AF10" s="59" t="s">
        <v>190</v>
      </c>
      <c r="AG10" s="62">
        <v>0.45576707726763716</v>
      </c>
      <c r="AH10" s="59" t="s">
        <v>190</v>
      </c>
      <c r="AI10" s="66">
        <v>107600</v>
      </c>
    </row>
    <row r="11" spans="1:35" x14ac:dyDescent="0.4">
      <c r="A11" s="56">
        <v>9</v>
      </c>
      <c r="B11" s="57" t="s">
        <v>199</v>
      </c>
      <c r="C11" s="58">
        <v>-22.000000000000028</v>
      </c>
      <c r="D11" s="59" t="s">
        <v>199</v>
      </c>
      <c r="E11" s="71">
        <v>-0.7857142857142867</v>
      </c>
      <c r="F11" s="59" t="s">
        <v>188</v>
      </c>
      <c r="G11" s="71">
        <v>-0.11789232891543122</v>
      </c>
      <c r="H11" s="59" t="s">
        <v>191</v>
      </c>
      <c r="I11" s="60">
        <v>2.0227272727272729</v>
      </c>
      <c r="J11" s="59" t="s">
        <v>191</v>
      </c>
      <c r="K11" s="61">
        <v>0.32575757575757575</v>
      </c>
      <c r="L11" s="59" t="s">
        <v>193</v>
      </c>
      <c r="M11" s="61">
        <v>0.34927234927234929</v>
      </c>
      <c r="N11" s="59" t="s">
        <v>183</v>
      </c>
      <c r="O11" s="62">
        <v>0.29714925930536534</v>
      </c>
      <c r="P11" s="59" t="s">
        <v>192</v>
      </c>
      <c r="Q11" s="62">
        <v>0.16772151898734178</v>
      </c>
      <c r="R11" s="59" t="s">
        <v>196</v>
      </c>
      <c r="S11" s="63">
        <v>8891.6666666666661</v>
      </c>
      <c r="T11" s="59" t="s">
        <v>193</v>
      </c>
      <c r="U11" s="63">
        <v>-8412.6112759643911</v>
      </c>
      <c r="V11" s="59" t="s">
        <v>189</v>
      </c>
      <c r="W11" s="61">
        <v>0.13636363636363635</v>
      </c>
      <c r="X11" s="59" t="s">
        <v>183</v>
      </c>
      <c r="Y11" s="62">
        <v>0.26455936163646782</v>
      </c>
      <c r="Z11" s="59" t="s">
        <v>195</v>
      </c>
      <c r="AA11" s="62">
        <v>0.22293248102277266</v>
      </c>
      <c r="AB11" s="59" t="s">
        <v>183</v>
      </c>
      <c r="AC11" s="62">
        <v>0.56757207132144638</v>
      </c>
      <c r="AD11" s="59" t="s">
        <v>197</v>
      </c>
      <c r="AE11" s="62">
        <v>0.3888888888888889</v>
      </c>
      <c r="AF11" s="59" t="s">
        <v>197</v>
      </c>
      <c r="AG11" s="62">
        <v>0.45562130177514792</v>
      </c>
      <c r="AH11" s="59" t="s">
        <v>199</v>
      </c>
      <c r="AI11" s="66">
        <v>106300</v>
      </c>
    </row>
    <row r="12" spans="1:35" x14ac:dyDescent="0.4">
      <c r="A12" s="56">
        <v>10</v>
      </c>
      <c r="B12" s="57" t="s">
        <v>198</v>
      </c>
      <c r="C12" s="58">
        <v>-56.2</v>
      </c>
      <c r="D12" s="59" t="s">
        <v>187</v>
      </c>
      <c r="E12" s="71">
        <v>-1.5322683706070288</v>
      </c>
      <c r="F12" s="59" t="s">
        <v>190</v>
      </c>
      <c r="G12" s="71">
        <v>-0.20990984158099954</v>
      </c>
      <c r="H12" s="59" t="s">
        <v>192</v>
      </c>
      <c r="I12" s="60">
        <v>2.0256410256410255</v>
      </c>
      <c r="J12" s="59" t="s">
        <v>189</v>
      </c>
      <c r="K12" s="61">
        <v>0.31818181818181818</v>
      </c>
      <c r="L12" s="59" t="s">
        <v>189</v>
      </c>
      <c r="M12" s="61">
        <v>0.36363636363636365</v>
      </c>
      <c r="N12" s="59" t="s">
        <v>193</v>
      </c>
      <c r="O12" s="62">
        <v>0.2957030256801424</v>
      </c>
      <c r="P12" s="59" t="s">
        <v>199</v>
      </c>
      <c r="Q12" s="62">
        <v>0.16996047430830039</v>
      </c>
      <c r="R12" s="59" t="s">
        <v>187</v>
      </c>
      <c r="S12" s="63">
        <v>8678.676470588236</v>
      </c>
      <c r="T12" s="59" t="s">
        <v>188</v>
      </c>
      <c r="U12" s="63">
        <v>-8424.7395833333339</v>
      </c>
      <c r="V12" s="59" t="s">
        <v>190</v>
      </c>
      <c r="W12" s="61">
        <v>0.14004914004914004</v>
      </c>
      <c r="X12" s="59" t="s">
        <v>185</v>
      </c>
      <c r="Y12" s="62">
        <v>0.25806451612903225</v>
      </c>
      <c r="Z12" s="59" t="s">
        <v>183</v>
      </c>
      <c r="AA12" s="62">
        <v>0.22210465987744127</v>
      </c>
      <c r="AB12" s="59" t="s">
        <v>186</v>
      </c>
      <c r="AC12" s="62">
        <v>0.56338028169014087</v>
      </c>
      <c r="AD12" s="59" t="s">
        <v>202</v>
      </c>
      <c r="AE12" s="62">
        <v>0.38461538461538464</v>
      </c>
      <c r="AF12" s="59" t="s">
        <v>191</v>
      </c>
      <c r="AG12" s="62">
        <v>0.45545657015590202</v>
      </c>
      <c r="AH12" s="59" t="s">
        <v>188</v>
      </c>
      <c r="AI12" s="66">
        <v>103200</v>
      </c>
    </row>
    <row r="13" spans="1:35" x14ac:dyDescent="0.4">
      <c r="A13" s="56">
        <v>11</v>
      </c>
      <c r="B13" s="57" t="s">
        <v>189</v>
      </c>
      <c r="C13" s="58">
        <v>-71.099999999999994</v>
      </c>
      <c r="D13" s="59" t="s">
        <v>193</v>
      </c>
      <c r="E13" s="71">
        <v>-2.2948024948024961</v>
      </c>
      <c r="F13" s="59" t="s">
        <v>194</v>
      </c>
      <c r="G13" s="71">
        <v>-0.4518996415770597</v>
      </c>
      <c r="H13" s="59" t="s">
        <v>189</v>
      </c>
      <c r="I13" s="60">
        <v>2.0454545454545454</v>
      </c>
      <c r="J13" s="59" t="s">
        <v>186</v>
      </c>
      <c r="K13" s="61">
        <v>0.2857142857142857</v>
      </c>
      <c r="L13" s="59" t="s">
        <v>190</v>
      </c>
      <c r="M13" s="61">
        <v>0.3783783783783784</v>
      </c>
      <c r="N13" s="59" t="s">
        <v>191</v>
      </c>
      <c r="O13" s="62">
        <v>0.28256765261170547</v>
      </c>
      <c r="P13" s="59" t="s">
        <v>193</v>
      </c>
      <c r="Q13" s="62">
        <v>0.17137045512331553</v>
      </c>
      <c r="R13" s="59" t="s">
        <v>193</v>
      </c>
      <c r="S13" s="63">
        <v>8563.198624247636</v>
      </c>
      <c r="T13" s="59" t="s">
        <v>195</v>
      </c>
      <c r="U13" s="63">
        <v>-8432.2281167108758</v>
      </c>
      <c r="V13" s="59" t="s">
        <v>194</v>
      </c>
      <c r="W13" s="61">
        <v>0.15384615384615385</v>
      </c>
      <c r="X13" s="59" t="s">
        <v>193</v>
      </c>
      <c r="Y13" s="62">
        <v>0.25006566850538481</v>
      </c>
      <c r="Z13" s="59" t="s">
        <v>186</v>
      </c>
      <c r="AA13" s="62">
        <v>0.20327868852459016</v>
      </c>
      <c r="AB13" s="59" t="s">
        <v>191</v>
      </c>
      <c r="AC13" s="62">
        <v>0.56290672451193058</v>
      </c>
      <c r="AD13" s="59" t="s">
        <v>193</v>
      </c>
      <c r="AE13" s="62">
        <v>0.37945945945945947</v>
      </c>
      <c r="AF13" s="59" t="s">
        <v>187</v>
      </c>
      <c r="AG13" s="62">
        <v>0.44558823529411767</v>
      </c>
      <c r="AH13" s="59" t="s">
        <v>187</v>
      </c>
      <c r="AI13" s="66">
        <v>103000</v>
      </c>
    </row>
    <row r="14" spans="1:35" x14ac:dyDescent="0.4">
      <c r="A14" s="56">
        <v>12</v>
      </c>
      <c r="B14" s="57" t="s">
        <v>201</v>
      </c>
      <c r="C14" s="58">
        <v>-80.800000000000011</v>
      </c>
      <c r="D14" s="59" t="s">
        <v>189</v>
      </c>
      <c r="E14" s="71">
        <v>-3.2318181818181815</v>
      </c>
      <c r="F14" s="59" t="s">
        <v>197</v>
      </c>
      <c r="G14" s="71">
        <v>-1.5315098096348123</v>
      </c>
      <c r="H14" s="59" t="s">
        <v>187</v>
      </c>
      <c r="I14" s="60">
        <v>2.060702875399361</v>
      </c>
      <c r="J14" s="59" t="s">
        <v>187</v>
      </c>
      <c r="K14" s="61">
        <v>0.27795527156549521</v>
      </c>
      <c r="L14" s="59" t="s">
        <v>192</v>
      </c>
      <c r="M14" s="61">
        <v>0.38461538461538464</v>
      </c>
      <c r="N14" s="59" t="s">
        <v>192</v>
      </c>
      <c r="O14" s="62">
        <v>0.28164556962025317</v>
      </c>
      <c r="P14" s="59" t="s">
        <v>194</v>
      </c>
      <c r="Q14" s="62">
        <v>0.17164179104477612</v>
      </c>
      <c r="R14" s="59" t="s">
        <v>201</v>
      </c>
      <c r="S14" s="63">
        <v>8512.5</v>
      </c>
      <c r="T14" s="59" t="s">
        <v>189</v>
      </c>
      <c r="U14" s="63">
        <v>-8741.3793103448279</v>
      </c>
      <c r="V14" s="59" t="s">
        <v>192</v>
      </c>
      <c r="W14" s="61">
        <v>0.15384615384615385</v>
      </c>
      <c r="X14" s="59" t="s">
        <v>199</v>
      </c>
      <c r="Y14" s="62">
        <v>0.24901185770750989</v>
      </c>
      <c r="Z14" s="59" t="s">
        <v>191</v>
      </c>
      <c r="AA14" s="62">
        <v>0.18943011779687999</v>
      </c>
      <c r="AB14" s="59" t="s">
        <v>192</v>
      </c>
      <c r="AC14" s="62">
        <v>0.53846153846153844</v>
      </c>
      <c r="AD14" s="59" t="s">
        <v>187</v>
      </c>
      <c r="AE14" s="62">
        <v>0.37413793103448278</v>
      </c>
      <c r="AF14" s="59" t="s">
        <v>194</v>
      </c>
      <c r="AG14" s="62">
        <v>0.43636363636363634</v>
      </c>
      <c r="AH14" s="59" t="s">
        <v>197</v>
      </c>
      <c r="AI14" s="66">
        <v>85100</v>
      </c>
    </row>
    <row r="15" spans="1:35" x14ac:dyDescent="0.4">
      <c r="A15" s="56">
        <v>13</v>
      </c>
      <c r="B15" s="57" t="s">
        <v>185</v>
      </c>
      <c r="C15" s="58">
        <v>-86.4</v>
      </c>
      <c r="D15" s="59" t="s">
        <v>190</v>
      </c>
      <c r="E15" s="71">
        <v>-4.5132678132678121</v>
      </c>
      <c r="F15" s="59" t="s">
        <v>193</v>
      </c>
      <c r="G15" s="71">
        <v>-1.6634877840024889</v>
      </c>
      <c r="H15" s="59" t="s">
        <v>190</v>
      </c>
      <c r="I15" s="60">
        <v>2.117936117936118</v>
      </c>
      <c r="J15" s="59" t="s">
        <v>190</v>
      </c>
      <c r="K15" s="61">
        <v>0.26044226044226043</v>
      </c>
      <c r="L15" s="59" t="s">
        <v>188</v>
      </c>
      <c r="M15" s="61">
        <v>0.38709677419354838</v>
      </c>
      <c r="N15" s="59" t="s">
        <v>185</v>
      </c>
      <c r="O15" s="62">
        <v>0.27027027027027029</v>
      </c>
      <c r="P15" s="59" t="s">
        <v>191</v>
      </c>
      <c r="Q15" s="62">
        <v>0.18093140339836375</v>
      </c>
      <c r="R15" s="59" t="s">
        <v>197</v>
      </c>
      <c r="S15" s="63">
        <v>8157.3964497041416</v>
      </c>
      <c r="T15" s="59" t="s">
        <v>191</v>
      </c>
      <c r="U15" s="63">
        <v>-8746.0869565217399</v>
      </c>
      <c r="V15" s="59" t="s">
        <v>197</v>
      </c>
      <c r="W15" s="61">
        <v>0.17073170731707318</v>
      </c>
      <c r="X15" s="59" t="s">
        <v>187</v>
      </c>
      <c r="Y15" s="62">
        <v>0.24607535321821036</v>
      </c>
      <c r="Z15" s="59" t="s">
        <v>190</v>
      </c>
      <c r="AA15" s="62">
        <v>0.179177545691906</v>
      </c>
      <c r="AB15" s="59" t="s">
        <v>193</v>
      </c>
      <c r="AC15" s="62">
        <v>0.53361344537815125</v>
      </c>
      <c r="AD15" s="59" t="s">
        <v>190</v>
      </c>
      <c r="AE15" s="62">
        <v>0.36065573770491804</v>
      </c>
      <c r="AF15" s="59" t="s">
        <v>183</v>
      </c>
      <c r="AG15" s="62">
        <v>0.43569333891914536</v>
      </c>
      <c r="AH15" s="59" t="s">
        <v>196</v>
      </c>
      <c r="AI15" s="66">
        <v>78000</v>
      </c>
    </row>
    <row r="16" spans="1:35" x14ac:dyDescent="0.4">
      <c r="A16" s="56">
        <v>14</v>
      </c>
      <c r="B16" s="57" t="s">
        <v>184</v>
      </c>
      <c r="C16" s="58">
        <v>-132.1</v>
      </c>
      <c r="D16" s="59" t="s">
        <v>188</v>
      </c>
      <c r="E16" s="71">
        <v>-4.9587813620071692</v>
      </c>
      <c r="F16" s="59" t="s">
        <v>189</v>
      </c>
      <c r="G16" s="71">
        <v>-1.7303571428571434</v>
      </c>
      <c r="H16" s="59" t="s">
        <v>186</v>
      </c>
      <c r="I16" s="60">
        <v>2.1333333333333333</v>
      </c>
      <c r="J16" s="59" t="s">
        <v>188</v>
      </c>
      <c r="K16" s="61">
        <v>0.25089605734767023</v>
      </c>
      <c r="L16" s="59" t="s">
        <v>185</v>
      </c>
      <c r="M16" s="61">
        <v>0.4</v>
      </c>
      <c r="N16" s="59" t="s">
        <v>190</v>
      </c>
      <c r="O16" s="62">
        <v>0.26857142857142857</v>
      </c>
      <c r="P16" s="59" t="s">
        <v>190</v>
      </c>
      <c r="Q16" s="62">
        <v>0.18526315789473685</v>
      </c>
      <c r="R16" s="59" t="s">
        <v>199</v>
      </c>
      <c r="S16" s="63">
        <v>7901.25</v>
      </c>
      <c r="T16" s="59" t="s">
        <v>199</v>
      </c>
      <c r="U16" s="63">
        <v>-8765.1162790697672</v>
      </c>
      <c r="V16" s="59" t="s">
        <v>186</v>
      </c>
      <c r="W16" s="61">
        <v>0.18095238095238095</v>
      </c>
      <c r="X16" s="59" t="s">
        <v>194</v>
      </c>
      <c r="Y16" s="62">
        <v>0.23379629629629631</v>
      </c>
      <c r="Z16" s="59" t="s">
        <v>202</v>
      </c>
      <c r="AA16" s="62">
        <v>0.16666666666666666</v>
      </c>
      <c r="AB16" s="59" t="s">
        <v>189</v>
      </c>
      <c r="AC16" s="62">
        <v>0.532258064516129</v>
      </c>
      <c r="AD16" s="59" t="s">
        <v>201</v>
      </c>
      <c r="AE16" s="62">
        <v>0.33333333333333331</v>
      </c>
      <c r="AF16" s="59" t="s">
        <v>188</v>
      </c>
      <c r="AG16" s="62">
        <v>0.4295977011494253</v>
      </c>
      <c r="AH16" s="59" t="s">
        <v>202</v>
      </c>
      <c r="AI16" s="66">
        <v>70900</v>
      </c>
    </row>
    <row r="17" spans="1:35" x14ac:dyDescent="0.4">
      <c r="A17" s="56">
        <v>15</v>
      </c>
      <c r="B17" s="57" t="s">
        <v>187</v>
      </c>
      <c r="C17" s="58">
        <v>-479.6</v>
      </c>
      <c r="D17" s="59" t="s">
        <v>186</v>
      </c>
      <c r="E17" s="71">
        <v>-7.7371428571428567</v>
      </c>
      <c r="F17" s="59" t="s">
        <v>186</v>
      </c>
      <c r="G17" s="71">
        <v>-2.5708813945910713</v>
      </c>
      <c r="H17" s="59" t="s">
        <v>188</v>
      </c>
      <c r="I17" s="60">
        <v>2.1362007168458783</v>
      </c>
      <c r="J17" s="59" t="s">
        <v>198</v>
      </c>
      <c r="K17" s="61">
        <v>0.25</v>
      </c>
      <c r="L17" s="59" t="s">
        <v>201</v>
      </c>
      <c r="M17" s="61">
        <v>0.4</v>
      </c>
      <c r="N17" s="59" t="s">
        <v>187</v>
      </c>
      <c r="O17" s="62">
        <v>0.26687598116169547</v>
      </c>
      <c r="P17" s="59" t="s">
        <v>197</v>
      </c>
      <c r="Q17" s="62">
        <v>0.18950437317784258</v>
      </c>
      <c r="R17" s="59" t="s">
        <v>186</v>
      </c>
      <c r="S17" s="63">
        <v>7862.2406639004148</v>
      </c>
      <c r="T17" s="59" t="s">
        <v>192</v>
      </c>
      <c r="U17" s="63">
        <v>-9054.7169811320746</v>
      </c>
      <c r="V17" s="59" t="s">
        <v>202</v>
      </c>
      <c r="W17" s="61">
        <v>0.2</v>
      </c>
      <c r="X17" s="59" t="s">
        <v>186</v>
      </c>
      <c r="Y17" s="62">
        <v>0.23278688524590163</v>
      </c>
      <c r="Z17" s="59" t="s">
        <v>185</v>
      </c>
      <c r="AA17" s="62">
        <v>0.16129032258064516</v>
      </c>
      <c r="AB17" s="59" t="s">
        <v>197</v>
      </c>
      <c r="AC17" s="62">
        <v>0.528169014084507</v>
      </c>
      <c r="AD17" s="59" t="s">
        <v>186</v>
      </c>
      <c r="AE17" s="62">
        <v>0.32795698924731181</v>
      </c>
      <c r="AF17" s="59" t="s">
        <v>193</v>
      </c>
      <c r="AG17" s="62">
        <v>0.42046431642304383</v>
      </c>
      <c r="AH17" s="59" t="s">
        <v>189</v>
      </c>
      <c r="AI17" s="66">
        <v>65900</v>
      </c>
    </row>
    <row r="18" spans="1:35" x14ac:dyDescent="0.4">
      <c r="A18" s="56">
        <v>16</v>
      </c>
      <c r="B18" s="57" t="s">
        <v>186</v>
      </c>
      <c r="C18" s="58">
        <v>-812.4</v>
      </c>
      <c r="D18" s="59" t="s">
        <v>198</v>
      </c>
      <c r="E18" s="71">
        <v>-14.05</v>
      </c>
      <c r="F18" s="59" t="s">
        <v>198</v>
      </c>
      <c r="G18" s="71">
        <v>-2.9833333333333321</v>
      </c>
      <c r="H18" s="59" t="s">
        <v>185</v>
      </c>
      <c r="I18" s="60">
        <v>2.2000000000000002</v>
      </c>
      <c r="J18" s="59" t="s">
        <v>185</v>
      </c>
      <c r="K18" s="61">
        <v>0.2</v>
      </c>
      <c r="L18" s="59" t="s">
        <v>186</v>
      </c>
      <c r="M18" s="61">
        <v>0.41904761904761906</v>
      </c>
      <c r="N18" s="59" t="s">
        <v>186</v>
      </c>
      <c r="O18" s="62">
        <v>0.26338797814207648</v>
      </c>
      <c r="P18" s="59" t="s">
        <v>186</v>
      </c>
      <c r="Q18" s="62">
        <v>0.19125683060109289</v>
      </c>
      <c r="R18" s="59" t="s">
        <v>184</v>
      </c>
      <c r="S18" s="63">
        <v>7800</v>
      </c>
      <c r="T18" s="59" t="s">
        <v>194</v>
      </c>
      <c r="U18" s="63">
        <v>-9212.173913043478</v>
      </c>
      <c r="V18" s="59" t="s">
        <v>201</v>
      </c>
      <c r="W18" s="61">
        <v>0.2</v>
      </c>
      <c r="X18" s="59" t="s">
        <v>200</v>
      </c>
      <c r="Y18" s="62">
        <v>0.23076923076923078</v>
      </c>
      <c r="Z18" s="59" t="s">
        <v>201</v>
      </c>
      <c r="AA18" s="62">
        <v>0.15</v>
      </c>
      <c r="AB18" s="59" t="s">
        <v>188</v>
      </c>
      <c r="AC18" s="62">
        <v>0.52546296296296291</v>
      </c>
      <c r="AD18" s="59" t="s">
        <v>192</v>
      </c>
      <c r="AE18" s="62">
        <v>0.32142857142857145</v>
      </c>
      <c r="AF18" s="59" t="s">
        <v>195</v>
      </c>
      <c r="AG18" s="62">
        <v>0.40719196192490748</v>
      </c>
      <c r="AH18" s="59" t="s">
        <v>185</v>
      </c>
      <c r="AI18" s="66">
        <v>57800</v>
      </c>
    </row>
    <row r="19" spans="1:35" x14ac:dyDescent="0.4">
      <c r="A19" s="56">
        <v>17</v>
      </c>
      <c r="B19" s="57" t="s">
        <v>193</v>
      </c>
      <c r="C19" s="58">
        <v>-1103.8000000000006</v>
      </c>
      <c r="D19" s="59" t="s">
        <v>197</v>
      </c>
      <c r="E19" s="71">
        <v>-14.112195121951222</v>
      </c>
      <c r="F19" s="59" t="s">
        <v>199</v>
      </c>
      <c r="G19" s="71">
        <v>-4.0783333333333331</v>
      </c>
      <c r="H19" s="59" t="s">
        <v>201</v>
      </c>
      <c r="I19" s="60">
        <v>2.2000000000000002</v>
      </c>
      <c r="J19" s="59" t="s">
        <v>201</v>
      </c>
      <c r="K19" s="61">
        <v>0.2</v>
      </c>
      <c r="L19" s="59" t="s">
        <v>197</v>
      </c>
      <c r="M19" s="61">
        <v>0.47560975609756095</v>
      </c>
      <c r="N19" s="59" t="s">
        <v>197</v>
      </c>
      <c r="O19" s="62">
        <v>0.24635568513119532</v>
      </c>
      <c r="P19" s="59" t="s">
        <v>201</v>
      </c>
      <c r="Q19" s="62">
        <v>0.2</v>
      </c>
      <c r="R19" s="59" t="s">
        <v>188</v>
      </c>
      <c r="S19" s="63">
        <v>7463.0747126436781</v>
      </c>
      <c r="T19" s="59" t="s">
        <v>202</v>
      </c>
      <c r="U19" s="63">
        <v>-10010.526315789473</v>
      </c>
      <c r="V19" s="59" t="s">
        <v>199</v>
      </c>
      <c r="W19" s="61">
        <v>0.25</v>
      </c>
      <c r="X19" s="59" t="s">
        <v>198</v>
      </c>
      <c r="Y19" s="62">
        <v>0.21875</v>
      </c>
      <c r="Z19" s="59" t="s">
        <v>196</v>
      </c>
      <c r="AA19" s="62">
        <v>0.14492753623188406</v>
      </c>
      <c r="AB19" s="59" t="s">
        <v>198</v>
      </c>
      <c r="AC19" s="62">
        <v>0.42857142857142855</v>
      </c>
      <c r="AD19" s="59" t="s">
        <v>198</v>
      </c>
      <c r="AE19" s="62">
        <v>0.25</v>
      </c>
      <c r="AF19" s="59" t="s">
        <v>185</v>
      </c>
      <c r="AG19" s="62">
        <v>0.3</v>
      </c>
      <c r="AH19" s="59" t="s">
        <v>198</v>
      </c>
      <c r="AI19" s="66">
        <v>55200</v>
      </c>
    </row>
    <row r="20" spans="1:35" x14ac:dyDescent="0.4">
      <c r="A20" s="56">
        <v>18</v>
      </c>
      <c r="B20" s="57" t="s">
        <v>197</v>
      </c>
      <c r="C20" s="58">
        <v>-1157.2000000000003</v>
      </c>
      <c r="D20" s="59" t="s">
        <v>201</v>
      </c>
      <c r="E20" s="71">
        <v>-16.160000000000004</v>
      </c>
      <c r="F20" s="59" t="s">
        <v>201</v>
      </c>
      <c r="G20" s="71">
        <v>-8.9666666666666668</v>
      </c>
      <c r="H20" s="59" t="s">
        <v>198</v>
      </c>
      <c r="I20" s="60">
        <v>2.25</v>
      </c>
      <c r="J20" s="59" t="s">
        <v>197</v>
      </c>
      <c r="K20" s="61">
        <v>0.13414634146341464</v>
      </c>
      <c r="L20" s="59" t="s">
        <v>202</v>
      </c>
      <c r="M20" s="61">
        <v>0.5</v>
      </c>
      <c r="N20" s="59" t="s">
        <v>201</v>
      </c>
      <c r="O20" s="62">
        <v>0.2</v>
      </c>
      <c r="P20" s="59" t="s">
        <v>185</v>
      </c>
      <c r="Q20" s="62">
        <v>0.21621621621621623</v>
      </c>
      <c r="R20" s="59" t="s">
        <v>189</v>
      </c>
      <c r="S20" s="63">
        <v>7216.666666666667</v>
      </c>
      <c r="T20" s="59" t="s">
        <v>198</v>
      </c>
      <c r="U20" s="63">
        <v>-11280</v>
      </c>
      <c r="V20" s="59" t="s">
        <v>198</v>
      </c>
      <c r="W20" s="61">
        <v>0.25</v>
      </c>
      <c r="X20" s="59" t="s">
        <v>197</v>
      </c>
      <c r="Y20" s="62">
        <v>0.20699708454810495</v>
      </c>
      <c r="Z20" s="59" t="s">
        <v>189</v>
      </c>
      <c r="AA20" s="62">
        <v>0.1206896551724138</v>
      </c>
      <c r="AB20" s="59" t="s">
        <v>201</v>
      </c>
      <c r="AC20" s="62">
        <v>0.4</v>
      </c>
      <c r="AD20" s="59" t="s">
        <v>185</v>
      </c>
      <c r="AE20" s="62">
        <v>0.2</v>
      </c>
      <c r="AF20" s="59" t="s">
        <v>198</v>
      </c>
      <c r="AG20" s="62">
        <v>0.3</v>
      </c>
      <c r="AH20" s="59" t="s">
        <v>201</v>
      </c>
      <c r="AI20" s="66">
        <v>52000</v>
      </c>
    </row>
    <row r="21" spans="1:35" x14ac:dyDescent="0.4">
      <c r="A21" s="56">
        <v>19</v>
      </c>
      <c r="B21" s="57" t="s">
        <v>188</v>
      </c>
      <c r="C21" s="58">
        <v>-1383.5000000000002</v>
      </c>
      <c r="D21" s="59" t="s">
        <v>185</v>
      </c>
      <c r="E21" s="71">
        <v>-17.28</v>
      </c>
      <c r="F21" s="59" t="s">
        <v>185</v>
      </c>
      <c r="G21" s="71">
        <v>-10.6</v>
      </c>
      <c r="H21" s="59" t="s">
        <v>197</v>
      </c>
      <c r="I21" s="60">
        <v>2.3414634146341462</v>
      </c>
      <c r="J21" s="59" t="s">
        <v>184</v>
      </c>
      <c r="K21" s="61">
        <v>0</v>
      </c>
      <c r="L21" s="59" t="s">
        <v>198</v>
      </c>
      <c r="M21" s="61">
        <v>0.5</v>
      </c>
      <c r="N21" s="59" t="s">
        <v>200</v>
      </c>
      <c r="O21" s="62">
        <v>0.15384615384615385</v>
      </c>
      <c r="P21" s="59" t="s">
        <v>202</v>
      </c>
      <c r="Q21" s="62">
        <v>0.24358974358974358</v>
      </c>
      <c r="R21" s="59" t="s">
        <v>185</v>
      </c>
      <c r="S21" s="63">
        <v>7100</v>
      </c>
      <c r="T21" s="59" t="s">
        <v>200</v>
      </c>
      <c r="U21" s="63">
        <v>-12000</v>
      </c>
      <c r="V21" s="59" t="s">
        <v>185</v>
      </c>
      <c r="W21" s="61">
        <v>0.4</v>
      </c>
      <c r="X21" s="59" t="s">
        <v>188</v>
      </c>
      <c r="Y21" s="62">
        <v>0.2</v>
      </c>
      <c r="Z21" s="59" t="s">
        <v>200</v>
      </c>
      <c r="AA21" s="62">
        <v>7.6923076923076927E-2</v>
      </c>
      <c r="AB21" s="59" t="s">
        <v>200</v>
      </c>
      <c r="AC21" s="62">
        <v>0.33333333333333331</v>
      </c>
      <c r="AD21" s="59" t="s">
        <v>184</v>
      </c>
      <c r="AE21" s="62">
        <v>0</v>
      </c>
      <c r="AF21" s="59" t="s">
        <v>196</v>
      </c>
      <c r="AG21" s="62">
        <v>0.29166666666666669</v>
      </c>
      <c r="AH21" s="59" t="s">
        <v>200</v>
      </c>
      <c r="AI21" s="66">
        <v>48300</v>
      </c>
    </row>
    <row r="22" spans="1:35" x14ac:dyDescent="0.4">
      <c r="A22" s="56">
        <v>20</v>
      </c>
      <c r="B22" s="57" t="s">
        <v>190</v>
      </c>
      <c r="C22" s="58">
        <v>-1836.8999999999996</v>
      </c>
      <c r="D22" s="59" t="s">
        <v>184</v>
      </c>
      <c r="E22" s="71">
        <v>-33.024999999999999</v>
      </c>
      <c r="F22" s="59" t="s">
        <v>184</v>
      </c>
      <c r="G22" s="71">
        <v>-11.008333333333333</v>
      </c>
      <c r="H22" s="59" t="s">
        <v>184</v>
      </c>
      <c r="I22" s="60">
        <v>3</v>
      </c>
      <c r="J22" s="59" t="s">
        <v>200</v>
      </c>
      <c r="K22" s="61">
        <v>0</v>
      </c>
      <c r="L22" s="59" t="s">
        <v>184</v>
      </c>
      <c r="M22" s="61">
        <v>1</v>
      </c>
      <c r="N22" s="59" t="s">
        <v>184</v>
      </c>
      <c r="O22" s="62">
        <v>0.04</v>
      </c>
      <c r="P22" s="59" t="s">
        <v>184</v>
      </c>
      <c r="Q22" s="62">
        <v>0.4</v>
      </c>
      <c r="R22" s="59" t="s">
        <v>198</v>
      </c>
      <c r="S22" s="63">
        <v>4940</v>
      </c>
      <c r="T22" s="59" t="s">
        <v>185</v>
      </c>
      <c r="U22" s="63">
        <v>-12487.5</v>
      </c>
      <c r="V22" s="59" t="s">
        <v>184</v>
      </c>
      <c r="W22" s="61">
        <v>0.5</v>
      </c>
      <c r="X22" s="59" t="s">
        <v>184</v>
      </c>
      <c r="Y22" s="62">
        <v>0</v>
      </c>
      <c r="Z22" s="59" t="s">
        <v>184</v>
      </c>
      <c r="AA22" s="62">
        <v>0</v>
      </c>
      <c r="AB22" s="59" t="s">
        <v>184</v>
      </c>
      <c r="AC22" s="62">
        <v>0</v>
      </c>
      <c r="AD22" s="59" t="s">
        <v>200</v>
      </c>
      <c r="AE22" s="62">
        <v>0</v>
      </c>
      <c r="AF22" s="59" t="s">
        <v>201</v>
      </c>
      <c r="AG22" s="62">
        <v>0.25</v>
      </c>
      <c r="AH22" s="59" t="s">
        <v>184</v>
      </c>
      <c r="AI22" s="66">
        <v>13000</v>
      </c>
    </row>
  </sheetData>
  <sortState xmlns:xlrd2="http://schemas.microsoft.com/office/spreadsheetml/2017/richdata2" ref="AH3:AI59">
    <sortCondition descending="1" ref="AI1"/>
  </sortState>
  <mergeCells count="34">
    <mergeCell ref="X1:Y1"/>
    <mergeCell ref="Z1:AA1"/>
    <mergeCell ref="AB1:AC1"/>
    <mergeCell ref="AD1:AE1"/>
    <mergeCell ref="B1:C1"/>
    <mergeCell ref="D1:E1"/>
    <mergeCell ref="H1:I1"/>
    <mergeCell ref="J1:K1"/>
    <mergeCell ref="N1:O1"/>
    <mergeCell ref="L1:M1"/>
    <mergeCell ref="F1:G1"/>
    <mergeCell ref="B2:C2"/>
    <mergeCell ref="D2:E2"/>
    <mergeCell ref="H2:I2"/>
    <mergeCell ref="J2:K2"/>
    <mergeCell ref="N2:O2"/>
    <mergeCell ref="L2:M2"/>
    <mergeCell ref="F2:G2"/>
    <mergeCell ref="AF2:AG2"/>
    <mergeCell ref="P1:Q1"/>
    <mergeCell ref="AH2:AI2"/>
    <mergeCell ref="X2:Y2"/>
    <mergeCell ref="Z2:AA2"/>
    <mergeCell ref="AB2:AC2"/>
    <mergeCell ref="AD2:AE2"/>
    <mergeCell ref="P2:Q2"/>
    <mergeCell ref="R2:S2"/>
    <mergeCell ref="T2:U2"/>
    <mergeCell ref="V2:W2"/>
    <mergeCell ref="AH1:AI1"/>
    <mergeCell ref="R1:S1"/>
    <mergeCell ref="T1:U1"/>
    <mergeCell ref="V1:W1"/>
    <mergeCell ref="AF1:A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87684-A205-4F61-B0BD-8F151C5F37AA}">
  <sheetPr codeName="Sheet3"/>
  <dimension ref="A1:Q2966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183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2964</v>
      </c>
      <c r="C2" s="128"/>
      <c r="E2" s="43" t="s">
        <v>66</v>
      </c>
      <c r="F2" s="25" t="s">
        <v>22</v>
      </c>
      <c r="G2" s="13">
        <v>4918</v>
      </c>
      <c r="H2" s="106">
        <f>IF(B$51=0,0,G2/B$51)</f>
        <v>0.73108369258213168</v>
      </c>
      <c r="I2" s="67">
        <v>6</v>
      </c>
      <c r="K2" s="3">
        <v>0</v>
      </c>
      <c r="L2" s="72">
        <v>0</v>
      </c>
      <c r="N2" s="88" t="s">
        <v>126</v>
      </c>
      <c r="O2" s="95">
        <f t="shared" ref="O2:O7" si="0">IF(P2=0,0,Q2/P2)</f>
        <v>-21.406727828746178</v>
      </c>
      <c r="P2" s="92">
        <v>2943</v>
      </c>
      <c r="Q2" s="76">
        <v>-63000</v>
      </c>
    </row>
    <row r="3" spans="1:17" x14ac:dyDescent="0.4">
      <c r="A3" s="37" t="s">
        <v>8</v>
      </c>
      <c r="B3" s="129">
        <v>24099</v>
      </c>
      <c r="C3" s="130"/>
      <c r="E3" s="44" t="s">
        <v>72</v>
      </c>
      <c r="F3" s="41" t="s">
        <v>27</v>
      </c>
      <c r="G3" s="34">
        <v>3624</v>
      </c>
      <c r="H3" s="107">
        <f>IF(B$51=0,0,G3/B$51)</f>
        <v>0.53872454288687377</v>
      </c>
      <c r="I3" s="68">
        <v>10</v>
      </c>
      <c r="K3" s="5">
        <v>1</v>
      </c>
      <c r="L3" s="73">
        <v>15</v>
      </c>
      <c r="N3" s="89" t="s">
        <v>127</v>
      </c>
      <c r="O3" s="96">
        <f t="shared" si="0"/>
        <v>0</v>
      </c>
      <c r="P3" s="93">
        <v>2871</v>
      </c>
      <c r="Q3" s="77">
        <v>0</v>
      </c>
    </row>
    <row r="4" spans="1:17" x14ac:dyDescent="0.4">
      <c r="A4" s="37" t="s">
        <v>6</v>
      </c>
      <c r="B4" s="131">
        <v>2.6645352591003757E-14</v>
      </c>
      <c r="C4" s="132"/>
      <c r="E4" s="44" t="s">
        <v>64</v>
      </c>
      <c r="F4" s="41" t="s">
        <v>20</v>
      </c>
      <c r="G4" s="34">
        <v>3291</v>
      </c>
      <c r="H4" s="107">
        <f>IF(B$51=0,0,G4/B$51)</f>
        <v>0.48922253604875876</v>
      </c>
      <c r="I4" s="68">
        <v>11</v>
      </c>
      <c r="K4" s="5">
        <v>2</v>
      </c>
      <c r="L4" s="73">
        <v>-7</v>
      </c>
      <c r="N4" s="89" t="s">
        <v>128</v>
      </c>
      <c r="O4" s="96">
        <f t="shared" si="0"/>
        <v>6.6740823136818683</v>
      </c>
      <c r="P4" s="93">
        <v>2697</v>
      </c>
      <c r="Q4" s="77">
        <v>18000</v>
      </c>
    </row>
    <row r="5" spans="1:17" x14ac:dyDescent="0.4">
      <c r="A5" s="37" t="s">
        <v>7</v>
      </c>
      <c r="B5" s="133">
        <f>IF(B$2=0,0,B$4/B$2)</f>
        <v>8.9896601184223203E-18</v>
      </c>
      <c r="C5" s="134"/>
      <c r="E5" s="44" t="s">
        <v>68</v>
      </c>
      <c r="F5" s="41" t="s">
        <v>12</v>
      </c>
      <c r="G5" s="34">
        <v>2098</v>
      </c>
      <c r="H5" s="107">
        <f>IF(B$51=0,0,G5/B$51)</f>
        <v>0.31187750854764384</v>
      </c>
      <c r="I5" s="68">
        <v>10</v>
      </c>
      <c r="K5" s="5">
        <v>3</v>
      </c>
      <c r="L5" s="73">
        <v>0</v>
      </c>
      <c r="N5" s="89" t="s">
        <v>129</v>
      </c>
      <c r="O5" s="96">
        <f t="shared" si="0"/>
        <v>2.0177562550443908</v>
      </c>
      <c r="P5" s="93">
        <v>2478</v>
      </c>
      <c r="Q5" s="77">
        <v>5000</v>
      </c>
    </row>
    <row r="6" spans="1:17" x14ac:dyDescent="0.4">
      <c r="A6" s="37" t="s">
        <v>1</v>
      </c>
      <c r="B6" s="141">
        <f>IF(B$2=0,0,(B$7*1+B$8*2+B$9*3)/B$2)</f>
        <v>2</v>
      </c>
      <c r="C6" s="142"/>
      <c r="E6" s="44" t="s">
        <v>157</v>
      </c>
      <c r="F6" s="41" t="s">
        <v>158</v>
      </c>
      <c r="G6" s="34">
        <v>2026</v>
      </c>
      <c r="H6" s="107">
        <f>IF(B$51=0,0,G6/B$51)</f>
        <v>0.30117437193399732</v>
      </c>
      <c r="I6" s="68">
        <v>11</v>
      </c>
      <c r="K6" s="5">
        <v>4</v>
      </c>
      <c r="L6" s="73">
        <v>-1</v>
      </c>
      <c r="N6" s="89" t="s">
        <v>130</v>
      </c>
      <c r="O6" s="96">
        <f t="shared" si="0"/>
        <v>3.1362007168458783</v>
      </c>
      <c r="P6" s="93">
        <v>2232</v>
      </c>
      <c r="Q6" s="77">
        <v>7000</v>
      </c>
    </row>
    <row r="7" spans="1:17" x14ac:dyDescent="0.4">
      <c r="A7" s="37" t="s">
        <v>2</v>
      </c>
      <c r="B7" s="34">
        <v>988</v>
      </c>
      <c r="C7" s="31">
        <f t="shared" ref="C7:C14" si="1">IF(B$2=0,0,B7/B$2)</f>
        <v>0.33333333333333331</v>
      </c>
      <c r="E7" s="44" t="s">
        <v>67</v>
      </c>
      <c r="F7" s="41" t="s">
        <v>23</v>
      </c>
      <c r="G7" s="34">
        <v>1964</v>
      </c>
      <c r="H7" s="107">
        <f>IF(B$51=0,0,G7/B$51)</f>
        <v>0.29195778207224615</v>
      </c>
      <c r="I7" s="68">
        <v>10</v>
      </c>
      <c r="K7" s="5">
        <v>5</v>
      </c>
      <c r="L7" s="73">
        <v>39.9</v>
      </c>
      <c r="N7" s="90" t="s">
        <v>131</v>
      </c>
      <c r="O7" s="97">
        <f t="shared" si="0"/>
        <v>17.121455323702516</v>
      </c>
      <c r="P7" s="94">
        <v>1869</v>
      </c>
      <c r="Q7" s="78">
        <v>32000</v>
      </c>
    </row>
    <row r="8" spans="1:17" x14ac:dyDescent="0.4">
      <c r="A8" s="37" t="s">
        <v>3</v>
      </c>
      <c r="B8" s="34">
        <v>988</v>
      </c>
      <c r="C8" s="31">
        <f t="shared" si="1"/>
        <v>0.33333333333333331</v>
      </c>
      <c r="E8" s="44" t="s">
        <v>69</v>
      </c>
      <c r="F8" s="41" t="s">
        <v>24</v>
      </c>
      <c r="G8" s="34">
        <v>1010</v>
      </c>
      <c r="H8" s="107">
        <f>IF(B$51=0,0,G8/B$51)</f>
        <v>0.15014122194143006</v>
      </c>
      <c r="I8" s="68">
        <v>7</v>
      </c>
      <c r="K8" s="5">
        <v>6</v>
      </c>
      <c r="L8" s="73">
        <v>0</v>
      </c>
      <c r="N8" s="33"/>
      <c r="O8" s="101"/>
      <c r="P8" s="85"/>
      <c r="Q8" s="83"/>
    </row>
    <row r="9" spans="1:17" x14ac:dyDescent="0.4">
      <c r="A9" s="38" t="s">
        <v>4</v>
      </c>
      <c r="B9" s="35">
        <v>988</v>
      </c>
      <c r="C9" s="7">
        <f t="shared" si="1"/>
        <v>0.33333333333333331</v>
      </c>
      <c r="E9" s="44" t="s">
        <v>89</v>
      </c>
      <c r="F9" s="41" t="s">
        <v>44</v>
      </c>
      <c r="G9" s="34">
        <v>938</v>
      </c>
      <c r="H9" s="107">
        <f>IF(B$51=0,0,G9/B$51)</f>
        <v>0.13943808532778357</v>
      </c>
      <c r="I9" s="68">
        <v>8</v>
      </c>
      <c r="K9" s="5">
        <v>7</v>
      </c>
      <c r="L9" s="73">
        <v>15.1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49">
        <f>IF(B7=0,0,C10/B7)</f>
        <v>37.716801619433213</v>
      </c>
      <c r="C10" s="150">
        <v>37264.200000000012</v>
      </c>
      <c r="E10" s="44" t="s">
        <v>65</v>
      </c>
      <c r="F10" s="41" t="s">
        <v>21</v>
      </c>
      <c r="G10" s="34">
        <v>741</v>
      </c>
      <c r="H10" s="107">
        <f>IF(B$51=0,0,G10/B$51)</f>
        <v>0.11015311431544522</v>
      </c>
      <c r="I10" s="68">
        <v>10</v>
      </c>
      <c r="K10" s="5">
        <v>8</v>
      </c>
      <c r="L10" s="73">
        <v>-26.699999999999996</v>
      </c>
      <c r="N10" s="88" t="s">
        <v>149</v>
      </c>
      <c r="O10" s="98">
        <f>IF(P10=0,0,Q10/P10)</f>
        <v>-2.8653807106598976</v>
      </c>
      <c r="P10" s="92">
        <v>985</v>
      </c>
      <c r="Q10" s="80">
        <v>-2822.3999999999992</v>
      </c>
    </row>
    <row r="11" spans="1:17" x14ac:dyDescent="0.4">
      <c r="A11" s="38" t="s">
        <v>204</v>
      </c>
      <c r="B11" s="149">
        <f>IF(B8=0,0,C11/B8)</f>
        <v>-0.78279352226720567</v>
      </c>
      <c r="C11" s="150">
        <v>-773.39999999999918</v>
      </c>
      <c r="E11" s="44" t="s">
        <v>70</v>
      </c>
      <c r="F11" s="41" t="s">
        <v>25</v>
      </c>
      <c r="G11" s="34">
        <v>657</v>
      </c>
      <c r="H11" s="107">
        <f>IF(B$51=0,0,G11/B$51)</f>
        <v>9.76661215995243E-2</v>
      </c>
      <c r="I11" s="68">
        <v>9</v>
      </c>
      <c r="K11" s="5">
        <v>9</v>
      </c>
      <c r="L11" s="73">
        <v>3.5527136788005009E-15</v>
      </c>
      <c r="N11" s="89" t="s">
        <v>150</v>
      </c>
      <c r="O11" s="99">
        <f>IF(P11=0,0,Q11/P11)</f>
        <v>0.7821319796954318</v>
      </c>
      <c r="P11" s="93">
        <v>985</v>
      </c>
      <c r="Q11" s="81">
        <v>770.40000000000032</v>
      </c>
    </row>
    <row r="12" spans="1:17" x14ac:dyDescent="0.4">
      <c r="A12" s="38" t="s">
        <v>205</v>
      </c>
      <c r="B12" s="149">
        <f>IF(B9=0,0,C12/B9)</f>
        <v>-36.934008097165993</v>
      </c>
      <c r="C12" s="150">
        <v>-36490.800000000003</v>
      </c>
      <c r="E12" s="44" t="s">
        <v>71</v>
      </c>
      <c r="F12" s="41" t="s">
        <v>26</v>
      </c>
      <c r="G12" s="34">
        <v>455</v>
      </c>
      <c r="H12" s="107">
        <f>IF(B$51=0,0,G12/B$51)</f>
        <v>6.763787721123829E-2</v>
      </c>
      <c r="I12" s="68">
        <v>7</v>
      </c>
      <c r="K12" s="5">
        <v>10</v>
      </c>
      <c r="L12" s="73">
        <v>85.2</v>
      </c>
      <c r="N12" s="90" t="s">
        <v>151</v>
      </c>
      <c r="O12" s="100">
        <f>IF(P12=0,0,Q12/P12)</f>
        <v>2.0832487309644669</v>
      </c>
      <c r="P12" s="94">
        <v>985</v>
      </c>
      <c r="Q12" s="82">
        <v>2052</v>
      </c>
    </row>
    <row r="13" spans="1:17" x14ac:dyDescent="0.4">
      <c r="A13" s="38" t="s">
        <v>206</v>
      </c>
      <c r="B13" s="133">
        <f>AVERAGE(B10:B12)</f>
        <v>0</v>
      </c>
      <c r="C13" s="134"/>
      <c r="E13" s="44" t="s">
        <v>86</v>
      </c>
      <c r="F13" s="41" t="s">
        <v>41</v>
      </c>
      <c r="G13" s="34">
        <v>386</v>
      </c>
      <c r="H13" s="107">
        <f>IF(B$51=0,0,G13/B$51)</f>
        <v>5.7380704623160396E-2</v>
      </c>
      <c r="I13" s="68">
        <v>9</v>
      </c>
      <c r="K13" s="5">
        <v>11</v>
      </c>
      <c r="L13" s="73">
        <v>44.5</v>
      </c>
      <c r="N13" s="28"/>
      <c r="O13" s="84"/>
      <c r="P13" s="86"/>
      <c r="Q13" s="84"/>
    </row>
    <row r="14" spans="1:17" x14ac:dyDescent="0.4">
      <c r="A14" s="39" t="s">
        <v>18</v>
      </c>
      <c r="B14" s="36">
        <v>359</v>
      </c>
      <c r="C14" s="32">
        <f t="shared" si="1"/>
        <v>0.12112010796221323</v>
      </c>
      <c r="E14" s="44" t="s">
        <v>83</v>
      </c>
      <c r="F14" s="41" t="s">
        <v>38</v>
      </c>
      <c r="G14" s="34">
        <v>321</v>
      </c>
      <c r="H14" s="107">
        <f>IF(B$51=0,0,G14/B$51)</f>
        <v>4.7718150735840639E-2</v>
      </c>
      <c r="I14" s="68">
        <v>9</v>
      </c>
      <c r="K14" s="5">
        <v>12</v>
      </c>
      <c r="L14" s="73">
        <v>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6001</v>
      </c>
      <c r="C15" s="11">
        <f>IF(B$50=0,0,B15/B$50)</f>
        <v>0.26455936163646782</v>
      </c>
      <c r="E15" s="44" t="s">
        <v>78</v>
      </c>
      <c r="F15" s="41" t="s">
        <v>33</v>
      </c>
      <c r="G15" s="34">
        <v>188</v>
      </c>
      <c r="H15" s="107">
        <f>IF(B$51=0,0,G15/B$51)</f>
        <v>2.7947078935632527E-2</v>
      </c>
      <c r="I15" s="68">
        <v>7</v>
      </c>
      <c r="K15" s="5">
        <v>13</v>
      </c>
      <c r="L15" s="73">
        <v>31.5</v>
      </c>
      <c r="N15" s="88" t="s">
        <v>184</v>
      </c>
      <c r="O15" s="98">
        <f>IF(P15=0,0,Q15/P15)</f>
        <v>49.537499999999994</v>
      </c>
      <c r="P15" s="92">
        <v>8</v>
      </c>
      <c r="Q15" s="80">
        <v>396.29999999999995</v>
      </c>
    </row>
    <row r="16" spans="1:17" x14ac:dyDescent="0.4">
      <c r="A16" s="37" t="s">
        <v>118</v>
      </c>
      <c r="B16" s="34">
        <v>5038</v>
      </c>
      <c r="C16" s="31">
        <f>IF(B$50=0,0,B16/B$50)</f>
        <v>0.22210465987744127</v>
      </c>
      <c r="E16" s="44" t="s">
        <v>81</v>
      </c>
      <c r="F16" s="41" t="s">
        <v>36</v>
      </c>
      <c r="G16" s="34">
        <v>170</v>
      </c>
      <c r="H16" s="107">
        <f>IF(B$51=0,0,G16/B$51)</f>
        <v>2.5271294782220902E-2</v>
      </c>
      <c r="I16" s="68">
        <v>9</v>
      </c>
      <c r="K16" s="5">
        <v>14</v>
      </c>
      <c r="L16" s="73">
        <v>-4</v>
      </c>
      <c r="N16" s="89" t="s">
        <v>185</v>
      </c>
      <c r="O16" s="99">
        <f>IF(P16=0,0,Q16/P16)</f>
        <v>25.919999999999998</v>
      </c>
      <c r="P16" s="93">
        <v>10</v>
      </c>
      <c r="Q16" s="81">
        <v>259.2</v>
      </c>
    </row>
    <row r="17" spans="1:17" x14ac:dyDescent="0.4">
      <c r="A17" s="19" t="s">
        <v>123</v>
      </c>
      <c r="B17" s="13">
        <v>3406</v>
      </c>
      <c r="C17" s="4">
        <f>IF(B$15=0,0,B17/B$15)</f>
        <v>0.56757207132144638</v>
      </c>
      <c r="E17" s="44" t="s">
        <v>91</v>
      </c>
      <c r="F17" s="41" t="s">
        <v>46</v>
      </c>
      <c r="G17" s="34">
        <v>125</v>
      </c>
      <c r="H17" s="107">
        <f>IF(B$51=0,0,G17/B$51)</f>
        <v>1.8581834398691838E-2</v>
      </c>
      <c r="I17" s="68">
        <v>7</v>
      </c>
      <c r="K17" s="5">
        <v>15</v>
      </c>
      <c r="L17" s="73">
        <v>0</v>
      </c>
      <c r="N17" s="89" t="s">
        <v>201</v>
      </c>
      <c r="O17" s="99">
        <f>IF(P17=0,0,Q17/P17)</f>
        <v>24.240000000000006</v>
      </c>
      <c r="P17" s="93">
        <v>10</v>
      </c>
      <c r="Q17" s="81">
        <v>242.40000000000006</v>
      </c>
    </row>
    <row r="18" spans="1:17" x14ac:dyDescent="0.4">
      <c r="A18" s="19" t="s">
        <v>124</v>
      </c>
      <c r="B18" s="13">
        <v>2048</v>
      </c>
      <c r="C18" s="4">
        <f>IF(B$16=0,0,B18/B$16)</f>
        <v>0.40651052004763794</v>
      </c>
      <c r="E18" s="44" t="s">
        <v>79</v>
      </c>
      <c r="F18" s="41" t="s">
        <v>34</v>
      </c>
      <c r="G18" s="34">
        <v>102</v>
      </c>
      <c r="H18" s="107">
        <f>IF(B$51=0,0,G18/B$51)</f>
        <v>1.5162776869332541E-2</v>
      </c>
      <c r="I18" s="68">
        <v>11</v>
      </c>
      <c r="K18" s="5">
        <v>16</v>
      </c>
      <c r="L18" s="73">
        <v>-48</v>
      </c>
      <c r="N18" s="89" t="s">
        <v>197</v>
      </c>
      <c r="O18" s="99">
        <f>IF(P18=0,0,Q18/P18)</f>
        <v>21.168292682926804</v>
      </c>
      <c r="P18" s="93">
        <v>164</v>
      </c>
      <c r="Q18" s="81">
        <v>3471.5999999999958</v>
      </c>
    </row>
    <row r="19" spans="1:17" x14ac:dyDescent="0.4">
      <c r="A19" s="19" t="s">
        <v>10</v>
      </c>
      <c r="B19" s="13">
        <v>7161</v>
      </c>
      <c r="C19" s="4">
        <f>IF(B$3=0,0,B19/B$3)</f>
        <v>0.29714925930536534</v>
      </c>
      <c r="E19" s="44" t="s">
        <v>153</v>
      </c>
      <c r="F19" s="41" t="s">
        <v>154</v>
      </c>
      <c r="G19" s="34">
        <v>95</v>
      </c>
      <c r="H19" s="107">
        <f>IF(B$51=0,0,G19/B$51)</f>
        <v>1.4122194143005798E-2</v>
      </c>
      <c r="I19" s="68">
        <v>6</v>
      </c>
      <c r="K19" s="5">
        <v>17</v>
      </c>
      <c r="L19" s="73">
        <v>-8</v>
      </c>
      <c r="N19" s="89" t="s">
        <v>198</v>
      </c>
      <c r="O19" s="99">
        <f>IF(P19=0,0,Q19/P19)</f>
        <v>21.074999999999996</v>
      </c>
      <c r="P19" s="93">
        <v>8</v>
      </c>
      <c r="Q19" s="81">
        <v>168.59999999999997</v>
      </c>
    </row>
    <row r="20" spans="1:17" x14ac:dyDescent="0.4">
      <c r="A20" s="37" t="s">
        <v>13</v>
      </c>
      <c r="B20" s="34">
        <v>3986</v>
      </c>
      <c r="C20" s="31">
        <f>IF(B$3=0,0,B20/B$3)</f>
        <v>0.16540105398564256</v>
      </c>
      <c r="E20" s="44" t="s">
        <v>75</v>
      </c>
      <c r="F20" s="41" t="s">
        <v>30</v>
      </c>
      <c r="G20" s="34">
        <v>44</v>
      </c>
      <c r="H20" s="107">
        <f>IF(B$51=0,0,G20/B$51)</f>
        <v>6.540805708339527E-3</v>
      </c>
      <c r="I20" s="68">
        <v>5</v>
      </c>
      <c r="K20" s="5">
        <v>18</v>
      </c>
      <c r="L20" s="73">
        <v>0</v>
      </c>
      <c r="N20" s="89" t="s">
        <v>186</v>
      </c>
      <c r="O20" s="99">
        <f>IF(P20=0,0,Q20/P20)</f>
        <v>11.605714285714285</v>
      </c>
      <c r="P20" s="93">
        <v>210</v>
      </c>
      <c r="Q20" s="81">
        <v>2437.1999999999998</v>
      </c>
    </row>
    <row r="21" spans="1:17" x14ac:dyDescent="0.4">
      <c r="A21" s="37" t="s">
        <v>12</v>
      </c>
      <c r="B21" s="34">
        <v>3120</v>
      </c>
      <c r="C21" s="31">
        <f>IF(B$19=0,0,B21/B$19)</f>
        <v>0.43569333891914536</v>
      </c>
      <c r="E21" s="44" t="s">
        <v>73</v>
      </c>
      <c r="F21" s="41" t="s">
        <v>28</v>
      </c>
      <c r="G21" s="34">
        <v>38</v>
      </c>
      <c r="H21" s="107">
        <f>IF(B$51=0,0,G21/B$51)</f>
        <v>5.6488776572023187E-3</v>
      </c>
      <c r="I21" s="68">
        <v>7</v>
      </c>
      <c r="K21" s="5">
        <v>19</v>
      </c>
      <c r="L21" s="73">
        <v>-6.1</v>
      </c>
      <c r="N21" s="89" t="s">
        <v>188</v>
      </c>
      <c r="O21" s="99">
        <f>IF(P21=0,0,Q21/P21)</f>
        <v>7.1325259515570911</v>
      </c>
      <c r="P21" s="93">
        <v>578</v>
      </c>
      <c r="Q21" s="81">
        <v>4122.5999999999985</v>
      </c>
    </row>
    <row r="22" spans="1:17" x14ac:dyDescent="0.4">
      <c r="A22" s="37" t="s">
        <v>11</v>
      </c>
      <c r="B22" s="34">
        <v>4041</v>
      </c>
      <c r="C22" s="31">
        <f>IF(B$19=0,0,B22/B$19)</f>
        <v>0.56430666108085459</v>
      </c>
      <c r="E22" s="44" t="s">
        <v>92</v>
      </c>
      <c r="F22" s="41" t="s">
        <v>47</v>
      </c>
      <c r="G22" s="34">
        <v>37</v>
      </c>
      <c r="H22" s="107">
        <f>IF(B$51=0,0,G22/B$51)</f>
        <v>5.5002229820127844E-3</v>
      </c>
      <c r="I22" s="68">
        <v>6</v>
      </c>
      <c r="K22" s="5">
        <v>20</v>
      </c>
      <c r="L22" s="73">
        <v>4.9000000000000004</v>
      </c>
      <c r="N22" s="89" t="s">
        <v>190</v>
      </c>
      <c r="O22" s="99">
        <f>IF(P22=0,0,Q22/P22)</f>
        <v>6.7699017199017186</v>
      </c>
      <c r="P22" s="93">
        <v>814</v>
      </c>
      <c r="Q22" s="81">
        <v>5510.6999999999989</v>
      </c>
    </row>
    <row r="23" spans="1:17" x14ac:dyDescent="0.4">
      <c r="A23" s="37" t="s">
        <v>180</v>
      </c>
      <c r="B23" s="34">
        <v>3406</v>
      </c>
      <c r="C23" s="31">
        <f>IF(B$19=0,0,B23/B$19)</f>
        <v>0.47563189498673369</v>
      </c>
      <c r="E23" s="44" t="s">
        <v>77</v>
      </c>
      <c r="F23" s="41" t="s">
        <v>32</v>
      </c>
      <c r="G23" s="34">
        <v>36</v>
      </c>
      <c r="H23" s="107">
        <f>IF(B$51=0,0,G23/B$51)</f>
        <v>5.3515683068232492E-3</v>
      </c>
      <c r="I23" s="68">
        <v>5</v>
      </c>
      <c r="K23" s="5">
        <v>21</v>
      </c>
      <c r="L23" s="73">
        <v>0</v>
      </c>
      <c r="N23" s="89" t="s">
        <v>189</v>
      </c>
      <c r="O23" s="99">
        <f>IF(P23=0,0,Q23/P23)</f>
        <v>4.84772727272727</v>
      </c>
      <c r="P23" s="93">
        <v>44</v>
      </c>
      <c r="Q23" s="81">
        <v>213.2999999999999</v>
      </c>
    </row>
    <row r="24" spans="1:17" x14ac:dyDescent="0.4">
      <c r="A24" s="37" t="s">
        <v>178</v>
      </c>
      <c r="B24" s="34">
        <v>2048</v>
      </c>
      <c r="C24" s="31">
        <f>IF(B$19=0,0,B24/B$19)</f>
        <v>0.28599357631615696</v>
      </c>
      <c r="E24" s="44" t="s">
        <v>85</v>
      </c>
      <c r="F24" s="41" t="s">
        <v>40</v>
      </c>
      <c r="G24" s="34">
        <v>34</v>
      </c>
      <c r="H24" s="107">
        <f>IF(B$51=0,0,G24/B$51)</f>
        <v>5.0542589564441798E-3</v>
      </c>
      <c r="I24" s="68">
        <v>5</v>
      </c>
      <c r="K24" s="5">
        <v>22</v>
      </c>
      <c r="L24" s="73">
        <v>-36</v>
      </c>
      <c r="N24" s="89" t="s">
        <v>193</v>
      </c>
      <c r="O24" s="99">
        <f>IF(P24=0,0,Q24/P24)</f>
        <v>3.4422037422037501</v>
      </c>
      <c r="P24" s="93">
        <v>962</v>
      </c>
      <c r="Q24" s="81">
        <v>3311.4000000000078</v>
      </c>
    </row>
    <row r="25" spans="1:17" x14ac:dyDescent="0.4">
      <c r="A25" s="37" t="s">
        <v>179</v>
      </c>
      <c r="B25" s="34">
        <v>1707</v>
      </c>
      <c r="C25" s="31">
        <f>IF(B$19=0,0,B25/B$19)</f>
        <v>0.23837452869710934</v>
      </c>
      <c r="E25" s="44" t="s">
        <v>74</v>
      </c>
      <c r="F25" s="41" t="s">
        <v>29</v>
      </c>
      <c r="G25" s="34">
        <v>23</v>
      </c>
      <c r="H25" s="107">
        <f>IF(B$51=0,0,G25/B$51)</f>
        <v>3.4190575293592982E-3</v>
      </c>
      <c r="I25" s="68">
        <v>7</v>
      </c>
      <c r="K25" s="5">
        <v>23</v>
      </c>
      <c r="L25" s="73">
        <v>-3</v>
      </c>
      <c r="N25" s="89" t="s">
        <v>187</v>
      </c>
      <c r="O25" s="99">
        <f>IF(P25=0,0,Q25/P25)</f>
        <v>2.2984025559105437</v>
      </c>
      <c r="P25" s="93">
        <v>626</v>
      </c>
      <c r="Q25" s="81">
        <v>1438.8000000000004</v>
      </c>
    </row>
    <row r="26" spans="1:17" x14ac:dyDescent="0.4">
      <c r="A26" s="37" t="s">
        <v>5</v>
      </c>
      <c r="B26" s="17">
        <f>IF(B$19=0,0,C26/B$19)</f>
        <v>8982.0695433598667</v>
      </c>
      <c r="C26" s="8">
        <v>64320600</v>
      </c>
      <c r="E26" s="44" t="s">
        <v>84</v>
      </c>
      <c r="F26" s="41" t="s">
        <v>39</v>
      </c>
      <c r="G26" s="34">
        <v>18</v>
      </c>
      <c r="H26" s="107">
        <f>IF(B$51=0,0,G26/B$51)</f>
        <v>2.6757841534116246E-3</v>
      </c>
      <c r="I26" s="68">
        <v>4</v>
      </c>
      <c r="K26" s="5">
        <v>24</v>
      </c>
      <c r="L26" s="73">
        <v>0</v>
      </c>
      <c r="N26" s="89" t="s">
        <v>199</v>
      </c>
      <c r="O26" s="99">
        <f>IF(P26=0,0,Q26/P26)</f>
        <v>1.1785714285714317</v>
      </c>
      <c r="P26" s="93">
        <v>56</v>
      </c>
      <c r="Q26" s="81">
        <v>66.000000000000171</v>
      </c>
    </row>
    <row r="27" spans="1:17" x14ac:dyDescent="0.4">
      <c r="A27" s="38" t="s">
        <v>162</v>
      </c>
      <c r="B27" s="114">
        <f>IF($B$19-B$18=0,0,C27/($B$19-B$18))</f>
        <v>9580.265988656367</v>
      </c>
      <c r="C27" s="115">
        <v>48983900</v>
      </c>
      <c r="E27" s="44" t="s">
        <v>93</v>
      </c>
      <c r="F27" s="41" t="s">
        <v>48</v>
      </c>
      <c r="G27" s="34">
        <v>17</v>
      </c>
      <c r="H27" s="107">
        <f>IF(B$51=0,0,G27/B$51)</f>
        <v>2.5271294782220899E-3</v>
      </c>
      <c r="I27" s="68">
        <v>6</v>
      </c>
      <c r="K27" s="5">
        <v>25</v>
      </c>
      <c r="L27" s="73">
        <v>-41</v>
      </c>
      <c r="N27" s="89" t="s">
        <v>194</v>
      </c>
      <c r="O27" s="99">
        <f>IF(P27=0,0,Q27/P27)</f>
        <v>5.7692307692313316E-2</v>
      </c>
      <c r="P27" s="93">
        <v>182</v>
      </c>
      <c r="Q27" s="81">
        <v>10.500000000001023</v>
      </c>
    </row>
    <row r="28" spans="1:17" x14ac:dyDescent="0.4">
      <c r="A28" s="38" t="s">
        <v>163</v>
      </c>
      <c r="B28" s="114">
        <f>IF(B$18=0,0,C28/B$18)</f>
        <v>7488.623046875</v>
      </c>
      <c r="C28" s="115">
        <v>15336700</v>
      </c>
      <c r="E28" s="44" t="s">
        <v>87</v>
      </c>
      <c r="F28" s="41" t="s">
        <v>42</v>
      </c>
      <c r="G28" s="34">
        <v>16</v>
      </c>
      <c r="H28" s="107">
        <f>IF(B$51=0,0,G28/B$51)</f>
        <v>2.3784748030325552E-3</v>
      </c>
      <c r="I28" s="68">
        <v>5</v>
      </c>
      <c r="K28" s="5">
        <v>26</v>
      </c>
      <c r="L28" s="73">
        <v>11.5</v>
      </c>
      <c r="N28" s="89" t="s">
        <v>191</v>
      </c>
      <c r="O28" s="99">
        <f>IF(P28=0,0,Q28/P28)</f>
        <v>-1.4727272727272702</v>
      </c>
      <c r="P28" s="93">
        <v>792</v>
      </c>
      <c r="Q28" s="81">
        <v>-1166.399999999998</v>
      </c>
    </row>
    <row r="29" spans="1:17" x14ac:dyDescent="0.4">
      <c r="A29" s="38" t="s">
        <v>161</v>
      </c>
      <c r="B29" s="114">
        <f>IF(B$20=0,0,C29/B$20)</f>
        <v>-8391.4450577019561</v>
      </c>
      <c r="C29" s="115">
        <v>-33448300</v>
      </c>
      <c r="E29" s="44" t="s">
        <v>90</v>
      </c>
      <c r="F29" s="41" t="s">
        <v>45</v>
      </c>
      <c r="G29" s="34">
        <v>13</v>
      </c>
      <c r="H29" s="107">
        <f>IF(B$51=0,0,G29/B$51)</f>
        <v>1.9325107774639512E-3</v>
      </c>
      <c r="I29" s="68">
        <v>4</v>
      </c>
      <c r="K29" s="5">
        <v>27</v>
      </c>
      <c r="L29" s="73">
        <v>0</v>
      </c>
      <c r="N29" s="89" t="s">
        <v>192</v>
      </c>
      <c r="O29" s="99">
        <f>IF(P29=0,0,Q29/P29)</f>
        <v>-3.4999999999999987</v>
      </c>
      <c r="P29" s="93">
        <v>78</v>
      </c>
      <c r="Q29" s="81">
        <v>-272.99999999999989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88</v>
      </c>
      <c r="F30" s="41" t="s">
        <v>43</v>
      </c>
      <c r="G30" s="34">
        <v>12</v>
      </c>
      <c r="H30" s="107">
        <f>IF(B$51=0,0,G30/B$51)</f>
        <v>1.7838561022744165E-3</v>
      </c>
      <c r="I30" s="68">
        <v>5</v>
      </c>
      <c r="K30" s="5">
        <v>28</v>
      </c>
      <c r="L30" s="73">
        <v>-31.5</v>
      </c>
      <c r="N30" s="89" t="s">
        <v>195</v>
      </c>
      <c r="O30" s="99">
        <f>IF(P30=0,0,Q30/P30)</f>
        <v>-14.525841874084916</v>
      </c>
      <c r="P30" s="93">
        <v>1366</v>
      </c>
      <c r="Q30" s="81">
        <v>-19842.299999999996</v>
      </c>
    </row>
    <row r="31" spans="1:17" x14ac:dyDescent="0.4">
      <c r="A31" s="37" t="s">
        <v>156</v>
      </c>
      <c r="B31" s="34">
        <v>35</v>
      </c>
      <c r="C31" s="109">
        <v>0</v>
      </c>
      <c r="E31" s="44" t="s">
        <v>95</v>
      </c>
      <c r="F31" s="41" t="s">
        <v>50</v>
      </c>
      <c r="G31" s="34">
        <v>8</v>
      </c>
      <c r="H31" s="107">
        <f>IF(B$51=0,0,G31/B$51)</f>
        <v>1.1892374015162776E-3</v>
      </c>
      <c r="I31" s="68">
        <v>4</v>
      </c>
      <c r="K31" s="5">
        <v>29</v>
      </c>
      <c r="L31" s="73">
        <v>36.700000000000003</v>
      </c>
      <c r="N31" s="89" t="s">
        <v>196</v>
      </c>
      <c r="O31" s="99">
        <f>IF(P31=0,0,Q31/P31)</f>
        <v>-18.166666666666668</v>
      </c>
      <c r="P31" s="93">
        <v>18</v>
      </c>
      <c r="Q31" s="81">
        <v>-327</v>
      </c>
    </row>
    <row r="32" spans="1:17" x14ac:dyDescent="0.4">
      <c r="A32" s="64" t="s">
        <v>134</v>
      </c>
      <c r="B32" s="139">
        <v>10</v>
      </c>
      <c r="C32" s="140"/>
      <c r="E32" s="44" t="s">
        <v>106</v>
      </c>
      <c r="F32" s="41" t="s">
        <v>113</v>
      </c>
      <c r="G32" s="34">
        <v>3</v>
      </c>
      <c r="H32" s="107">
        <f>IF(B$51=0,0,G32/B$51)</f>
        <v>4.4596402556860412E-4</v>
      </c>
      <c r="I32" s="68">
        <v>3</v>
      </c>
      <c r="K32" s="5">
        <v>30</v>
      </c>
      <c r="L32" s="73">
        <v>0</v>
      </c>
      <c r="N32" s="89" t="s">
        <v>200</v>
      </c>
      <c r="O32" s="99">
        <f>IF(P32=0,0,Q32/P32)</f>
        <v>-19.950000000000003</v>
      </c>
      <c r="P32" s="93">
        <v>2</v>
      </c>
      <c r="Q32" s="81">
        <v>-39.900000000000006</v>
      </c>
    </row>
    <row r="33" spans="1:12" x14ac:dyDescent="0.4">
      <c r="A33" s="40" t="s">
        <v>177</v>
      </c>
      <c r="B33" s="137">
        <v>149100</v>
      </c>
      <c r="C33" s="138"/>
      <c r="E33" s="44" t="s">
        <v>97</v>
      </c>
      <c r="F33" s="41" t="s">
        <v>52</v>
      </c>
      <c r="G33" s="34">
        <v>2</v>
      </c>
      <c r="H33" s="107">
        <f>IF(B$51=0,0,G33/B$51)</f>
        <v>2.973093503790694E-4</v>
      </c>
      <c r="I33" s="68">
        <v>3</v>
      </c>
      <c r="K33" s="5">
        <v>31</v>
      </c>
      <c r="L33" s="73">
        <v>18.3</v>
      </c>
    </row>
    <row r="34" spans="1:12" x14ac:dyDescent="0.4">
      <c r="A34" s="39" t="s">
        <v>135</v>
      </c>
      <c r="B34" s="27">
        <v>66</v>
      </c>
      <c r="C34" s="32">
        <f>IF(B$3=0,0,B34/B$3)</f>
        <v>2.7387028507406944E-3</v>
      </c>
      <c r="E34" s="44" t="s">
        <v>101</v>
      </c>
      <c r="F34" s="41" t="s">
        <v>56</v>
      </c>
      <c r="G34" s="34">
        <v>2</v>
      </c>
      <c r="H34" s="107">
        <f>IF(B$51=0,0,G34/B$51)</f>
        <v>2.973093503790694E-4</v>
      </c>
      <c r="I34" s="68">
        <v>2</v>
      </c>
      <c r="K34" s="5">
        <v>32</v>
      </c>
      <c r="L34" s="73">
        <v>8.6000000000000014</v>
      </c>
    </row>
    <row r="35" spans="1:12" x14ac:dyDescent="0.4">
      <c r="E35" s="44" t="s">
        <v>80</v>
      </c>
      <c r="F35" s="41" t="s">
        <v>35</v>
      </c>
      <c r="G35" s="34">
        <v>1</v>
      </c>
      <c r="H35" s="107">
        <f>IF(B$51=0,0,G35/B$51)</f>
        <v>1.486546751895347E-4</v>
      </c>
      <c r="I35" s="68">
        <v>2</v>
      </c>
      <c r="K35" s="5">
        <v>33</v>
      </c>
      <c r="L35" s="73">
        <v>1.7763568394002505E-15</v>
      </c>
    </row>
    <row r="36" spans="1:12" x14ac:dyDescent="0.4">
      <c r="A36" s="64" t="s">
        <v>168</v>
      </c>
      <c r="B36" s="121">
        <v>463</v>
      </c>
      <c r="C36" s="119">
        <f>IF(B$19=0,0,B36/B$19)</f>
        <v>6.4655774333193694E-2</v>
      </c>
      <c r="E36" s="44" t="s">
        <v>76</v>
      </c>
      <c r="F36" s="41" t="s">
        <v>31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12.800000000000002</v>
      </c>
    </row>
    <row r="37" spans="1:12" x14ac:dyDescent="0.4">
      <c r="A37" s="37" t="s">
        <v>164</v>
      </c>
      <c r="B37" s="34">
        <v>1029</v>
      </c>
      <c r="C37" s="31">
        <f t="shared" ref="C37:C48" si="2">IF(B$19=0,0,B37/B$19)</f>
        <v>0.14369501466275661</v>
      </c>
      <c r="E37" s="44" t="s">
        <v>82</v>
      </c>
      <c r="F37" s="41" t="s">
        <v>37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36.400000000000006</v>
      </c>
    </row>
    <row r="38" spans="1:12" x14ac:dyDescent="0.4">
      <c r="A38" s="37" t="s">
        <v>165</v>
      </c>
      <c r="B38" s="124">
        <v>1267</v>
      </c>
      <c r="C38" s="31">
        <f>IF(B$19=0,0,B38/B$19)</f>
        <v>0.176930596285435</v>
      </c>
      <c r="E38" s="44" t="s">
        <v>94</v>
      </c>
      <c r="F38" s="41" t="s">
        <v>49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7.1054273576010019E-15</v>
      </c>
    </row>
    <row r="39" spans="1:12" x14ac:dyDescent="0.4">
      <c r="A39" s="37" t="s">
        <v>166</v>
      </c>
      <c r="B39" s="124">
        <v>1260</v>
      </c>
      <c r="C39" s="31">
        <f t="shared" si="2"/>
        <v>0.17595307917888564</v>
      </c>
      <c r="E39" s="44" t="s">
        <v>96</v>
      </c>
      <c r="F39" s="41" t="s">
        <v>51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57.000000000000007</v>
      </c>
    </row>
    <row r="40" spans="1:12" x14ac:dyDescent="0.4">
      <c r="A40" s="37" t="s">
        <v>167</v>
      </c>
      <c r="B40" s="124">
        <v>1051</v>
      </c>
      <c r="C40" s="31">
        <f t="shared" si="2"/>
        <v>0.1467672112833403</v>
      </c>
      <c r="E40" s="44" t="s">
        <v>98</v>
      </c>
      <c r="F40" s="41" t="s">
        <v>53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32.600000000000009</v>
      </c>
    </row>
    <row r="41" spans="1:12" x14ac:dyDescent="0.4">
      <c r="A41" s="37" t="s">
        <v>169</v>
      </c>
      <c r="B41" s="124">
        <v>694</v>
      </c>
      <c r="C41" s="31">
        <f t="shared" si="2"/>
        <v>9.6913838849322725E-2</v>
      </c>
      <c r="E41" s="44" t="s">
        <v>99</v>
      </c>
      <c r="F41" s="41" t="s">
        <v>54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7.1054273576010019E-15</v>
      </c>
    </row>
    <row r="42" spans="1:12" x14ac:dyDescent="0.4">
      <c r="A42" s="37" t="s">
        <v>170</v>
      </c>
      <c r="B42" s="124">
        <v>410</v>
      </c>
      <c r="C42" s="31">
        <f t="shared" si="2"/>
        <v>5.7254573383605643E-2</v>
      </c>
      <c r="E42" s="44" t="s">
        <v>100</v>
      </c>
      <c r="F42" s="41" t="s">
        <v>55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-43.999999999999993</v>
      </c>
    </row>
    <row r="43" spans="1:12" x14ac:dyDescent="0.4">
      <c r="A43" s="37" t="s">
        <v>171</v>
      </c>
      <c r="B43" s="124">
        <v>227</v>
      </c>
      <c r="C43" s="31">
        <f t="shared" si="2"/>
        <v>3.1699483312386541E-2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22.000000000000007</v>
      </c>
    </row>
    <row r="44" spans="1:12" x14ac:dyDescent="0.4">
      <c r="A44" s="37" t="s">
        <v>172</v>
      </c>
      <c r="B44" s="124">
        <v>130</v>
      </c>
      <c r="C44" s="31">
        <f t="shared" si="2"/>
        <v>1.8153889121631059E-2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7.1054273576010019E-15</v>
      </c>
    </row>
    <row r="45" spans="1:12" x14ac:dyDescent="0.4">
      <c r="A45" s="37" t="s">
        <v>173</v>
      </c>
      <c r="B45" s="124">
        <v>61</v>
      </c>
      <c r="C45" s="31">
        <f t="shared" si="2"/>
        <v>8.5183633570730354E-3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-36.999999999999993</v>
      </c>
    </row>
    <row r="46" spans="1:12" x14ac:dyDescent="0.4">
      <c r="A46" s="37" t="s">
        <v>174</v>
      </c>
      <c r="B46" s="124">
        <v>34</v>
      </c>
      <c r="C46" s="31">
        <f t="shared" si="2"/>
        <v>4.7479402318111995E-3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-35.499999999999993</v>
      </c>
    </row>
    <row r="47" spans="1:12" x14ac:dyDescent="0.4">
      <c r="A47" s="37" t="s">
        <v>175</v>
      </c>
      <c r="B47" s="124">
        <v>15</v>
      </c>
      <c r="C47" s="31">
        <f t="shared" si="2"/>
        <v>2.0946795140343527E-3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7.1054273576010019E-15</v>
      </c>
    </row>
    <row r="48" spans="1:12" x14ac:dyDescent="0.4">
      <c r="A48" s="39" t="s">
        <v>176</v>
      </c>
      <c r="B48" s="120">
        <v>86</v>
      </c>
      <c r="C48" s="32">
        <f t="shared" si="2"/>
        <v>1.2009495880463622E-2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1.6000000000000072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5.4000000000000075</v>
      </c>
    </row>
    <row r="50" spans="1:12" x14ac:dyDescent="0.4">
      <c r="A50" s="64" t="s">
        <v>181</v>
      </c>
      <c r="B50" s="127">
        <v>22683</v>
      </c>
      <c r="C50" s="128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7.1054273576010019E-15</v>
      </c>
    </row>
    <row r="51" spans="1:12" x14ac:dyDescent="0.4">
      <c r="A51" s="39" t="s">
        <v>182</v>
      </c>
      <c r="B51" s="135">
        <v>6727</v>
      </c>
      <c r="C51" s="136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-21.399999999999991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-53.899999999999991</v>
      </c>
    </row>
    <row r="53" spans="1:12" x14ac:dyDescent="0.4">
      <c r="K53" s="5">
        <v>51</v>
      </c>
      <c r="L53" s="73">
        <v>7.1054273576010019E-15</v>
      </c>
    </row>
    <row r="54" spans="1:12" x14ac:dyDescent="0.4">
      <c r="K54" s="5">
        <v>52</v>
      </c>
      <c r="L54" s="73">
        <v>14.900000000000007</v>
      </c>
    </row>
    <row r="55" spans="1:12" x14ac:dyDescent="0.4">
      <c r="K55" s="5">
        <v>53</v>
      </c>
      <c r="L55" s="73">
        <v>1.2000000000000082</v>
      </c>
    </row>
    <row r="56" spans="1:12" x14ac:dyDescent="0.4">
      <c r="K56" s="5">
        <v>54</v>
      </c>
      <c r="L56" s="73">
        <v>8.2156503822261584E-15</v>
      </c>
    </row>
    <row r="57" spans="1:12" x14ac:dyDescent="0.4">
      <c r="K57" s="5">
        <v>55</v>
      </c>
      <c r="L57" s="73">
        <v>57.20000000000001</v>
      </c>
    </row>
    <row r="58" spans="1:12" x14ac:dyDescent="0.4">
      <c r="K58" s="5">
        <v>56</v>
      </c>
      <c r="L58" s="73">
        <v>18.800000000000011</v>
      </c>
    </row>
    <row r="59" spans="1:12" x14ac:dyDescent="0.4">
      <c r="K59" s="5">
        <v>57</v>
      </c>
      <c r="L59" s="73">
        <v>1.0658141036401503E-14</v>
      </c>
    </row>
    <row r="60" spans="1:12" x14ac:dyDescent="0.4">
      <c r="K60" s="5">
        <v>58</v>
      </c>
      <c r="L60" s="73">
        <v>26.20000000000001</v>
      </c>
    </row>
    <row r="61" spans="1:12" x14ac:dyDescent="0.4">
      <c r="K61" s="5">
        <v>59</v>
      </c>
      <c r="L61" s="73">
        <v>1.0000000000000107</v>
      </c>
    </row>
    <row r="62" spans="1:12" x14ac:dyDescent="0.4">
      <c r="K62" s="5">
        <v>60</v>
      </c>
      <c r="L62" s="73">
        <v>1.0658141036401503E-14</v>
      </c>
    </row>
    <row r="63" spans="1:12" x14ac:dyDescent="0.4">
      <c r="K63" s="5">
        <v>61</v>
      </c>
      <c r="L63" s="73">
        <v>56.500000000000014</v>
      </c>
    </row>
    <row r="64" spans="1:12" x14ac:dyDescent="0.4">
      <c r="K64" s="5">
        <v>62</v>
      </c>
      <c r="L64" s="73">
        <v>10.000000000000014</v>
      </c>
    </row>
    <row r="65" spans="11:12" x14ac:dyDescent="0.4">
      <c r="K65" s="5">
        <v>63</v>
      </c>
      <c r="L65" s="73">
        <v>1.4210854715202004E-14</v>
      </c>
    </row>
    <row r="66" spans="11:12" x14ac:dyDescent="0.4">
      <c r="K66" s="5">
        <v>64</v>
      </c>
      <c r="L66" s="73">
        <v>-25.499999999999986</v>
      </c>
    </row>
    <row r="67" spans="11:12" x14ac:dyDescent="0.4">
      <c r="K67" s="5">
        <v>65</v>
      </c>
      <c r="L67" s="73">
        <v>-65.399999999999977</v>
      </c>
    </row>
    <row r="68" spans="11:12" x14ac:dyDescent="0.4">
      <c r="K68" s="5">
        <v>66</v>
      </c>
      <c r="L68" s="73">
        <v>2.8421709430404007E-14</v>
      </c>
    </row>
    <row r="69" spans="11:12" x14ac:dyDescent="0.4">
      <c r="K69" s="5">
        <v>67</v>
      </c>
      <c r="L69" s="73">
        <v>24.700000000000028</v>
      </c>
    </row>
    <row r="70" spans="11:12" x14ac:dyDescent="0.4">
      <c r="K70" s="5">
        <v>68</v>
      </c>
      <c r="L70" s="73">
        <v>-11.099999999999969</v>
      </c>
    </row>
    <row r="71" spans="11:12" x14ac:dyDescent="0.4">
      <c r="K71" s="5">
        <v>69</v>
      </c>
      <c r="L71" s="73">
        <v>3.0198066269804258E-14</v>
      </c>
    </row>
    <row r="72" spans="11:12" x14ac:dyDescent="0.4">
      <c r="K72" s="5">
        <v>70</v>
      </c>
      <c r="L72" s="73">
        <v>-6.4999999999999698</v>
      </c>
    </row>
    <row r="73" spans="11:12" x14ac:dyDescent="0.4">
      <c r="K73" s="5">
        <v>71</v>
      </c>
      <c r="L73" s="73">
        <v>-50.999999999999972</v>
      </c>
    </row>
    <row r="74" spans="11:12" x14ac:dyDescent="0.4">
      <c r="K74" s="5">
        <v>72</v>
      </c>
      <c r="L74" s="73">
        <v>2.8421709430404007E-14</v>
      </c>
    </row>
    <row r="75" spans="11:12" x14ac:dyDescent="0.4">
      <c r="K75" s="5">
        <v>73</v>
      </c>
      <c r="L75" s="73">
        <v>-33.699999999999974</v>
      </c>
    </row>
    <row r="76" spans="11:12" x14ac:dyDescent="0.4">
      <c r="K76" s="5">
        <v>74</v>
      </c>
      <c r="L76" s="73">
        <v>-17.199999999999974</v>
      </c>
    </row>
    <row r="77" spans="11:12" x14ac:dyDescent="0.4">
      <c r="K77" s="5">
        <v>75</v>
      </c>
      <c r="L77" s="73">
        <v>2.4868995751603507E-14</v>
      </c>
    </row>
    <row r="78" spans="11:12" x14ac:dyDescent="0.4">
      <c r="K78" s="5">
        <v>76</v>
      </c>
      <c r="L78" s="73">
        <v>23.900000000000023</v>
      </c>
    </row>
    <row r="79" spans="11:12" x14ac:dyDescent="0.4">
      <c r="K79" s="5">
        <v>77</v>
      </c>
      <c r="L79" s="73">
        <v>15.500000000000023</v>
      </c>
    </row>
    <row r="80" spans="11:12" x14ac:dyDescent="0.4">
      <c r="K80" s="5">
        <v>78</v>
      </c>
      <c r="L80" s="73">
        <v>2.3092638912203256E-14</v>
      </c>
    </row>
    <row r="81" spans="11:12" x14ac:dyDescent="0.4">
      <c r="K81" s="5">
        <v>79</v>
      </c>
      <c r="L81" s="73">
        <v>-36.999999999999979</v>
      </c>
    </row>
    <row r="82" spans="11:12" x14ac:dyDescent="0.4">
      <c r="K82" s="5">
        <v>80</v>
      </c>
      <c r="L82" s="73">
        <v>24.500000000000021</v>
      </c>
    </row>
    <row r="83" spans="11:12" x14ac:dyDescent="0.4">
      <c r="K83" s="5">
        <v>81</v>
      </c>
      <c r="L83" s="73">
        <v>2.1316282072803006E-14</v>
      </c>
    </row>
    <row r="84" spans="11:12" x14ac:dyDescent="0.4">
      <c r="K84" s="5">
        <v>82</v>
      </c>
      <c r="L84" s="73">
        <v>58.000000000000021</v>
      </c>
    </row>
    <row r="85" spans="11:12" x14ac:dyDescent="0.4">
      <c r="K85" s="5">
        <v>83</v>
      </c>
      <c r="L85" s="73">
        <v>41.500000000000021</v>
      </c>
    </row>
    <row r="86" spans="11:12" x14ac:dyDescent="0.4">
      <c r="K86" s="5">
        <v>84</v>
      </c>
      <c r="L86" s="73">
        <v>2.1316282072803006E-14</v>
      </c>
    </row>
    <row r="87" spans="11:12" x14ac:dyDescent="0.4">
      <c r="K87" s="5">
        <v>85</v>
      </c>
      <c r="L87" s="73">
        <v>-8.399999999999979</v>
      </c>
    </row>
    <row r="88" spans="11:12" x14ac:dyDescent="0.4">
      <c r="K88" s="5">
        <v>86</v>
      </c>
      <c r="L88" s="73">
        <v>19.300000000000018</v>
      </c>
    </row>
    <row r="89" spans="11:12" x14ac:dyDescent="0.4">
      <c r="K89" s="5">
        <v>87</v>
      </c>
      <c r="L89" s="73">
        <v>1.7763568394002505E-14</v>
      </c>
    </row>
    <row r="90" spans="11:12" x14ac:dyDescent="0.4">
      <c r="K90" s="5">
        <v>88</v>
      </c>
      <c r="L90" s="73">
        <v>53.300000000000011</v>
      </c>
    </row>
    <row r="91" spans="11:12" x14ac:dyDescent="0.4">
      <c r="K91" s="5">
        <v>89</v>
      </c>
      <c r="L91" s="73">
        <v>14.400000000000013</v>
      </c>
    </row>
    <row r="92" spans="11:12" x14ac:dyDescent="0.4">
      <c r="K92" s="5">
        <v>90</v>
      </c>
      <c r="L92" s="73">
        <v>1.2434497875801753E-14</v>
      </c>
    </row>
    <row r="93" spans="11:12" x14ac:dyDescent="0.4">
      <c r="K93" s="5">
        <v>91</v>
      </c>
      <c r="L93" s="73">
        <v>-13.999999999999988</v>
      </c>
    </row>
    <row r="94" spans="11:12" x14ac:dyDescent="0.4">
      <c r="K94" s="5">
        <v>92</v>
      </c>
      <c r="L94" s="73">
        <v>-51.999999999999986</v>
      </c>
    </row>
    <row r="95" spans="11:12" x14ac:dyDescent="0.4">
      <c r="K95" s="5">
        <v>93</v>
      </c>
      <c r="L95" s="73">
        <v>1.4210854715202004E-14</v>
      </c>
    </row>
    <row r="96" spans="11:12" x14ac:dyDescent="0.4">
      <c r="K96" s="5">
        <v>94</v>
      </c>
      <c r="L96" s="73">
        <v>60.700000000000017</v>
      </c>
    </row>
    <row r="97" spans="11:12" x14ac:dyDescent="0.4">
      <c r="K97" s="5">
        <v>95</v>
      </c>
      <c r="L97" s="73">
        <v>40.40000000000002</v>
      </c>
    </row>
    <row r="98" spans="11:12" x14ac:dyDescent="0.4">
      <c r="K98" s="5">
        <v>96</v>
      </c>
      <c r="L98" s="73">
        <v>2.1316282072803006E-14</v>
      </c>
    </row>
    <row r="99" spans="11:12" x14ac:dyDescent="0.4">
      <c r="K99" s="5">
        <v>97</v>
      </c>
      <c r="L99" s="73">
        <v>50.000000000000021</v>
      </c>
    </row>
    <row r="100" spans="11:12" x14ac:dyDescent="0.4">
      <c r="K100" s="5">
        <v>98</v>
      </c>
      <c r="L100" s="73">
        <v>41.500000000000021</v>
      </c>
    </row>
    <row r="101" spans="11:12" x14ac:dyDescent="0.4">
      <c r="K101" s="5">
        <v>99</v>
      </c>
      <c r="L101" s="73">
        <v>2.1316282072803006E-14</v>
      </c>
    </row>
    <row r="102" spans="11:12" x14ac:dyDescent="0.4">
      <c r="K102" s="5">
        <v>100</v>
      </c>
      <c r="L102" s="73">
        <v>-13.999999999999979</v>
      </c>
    </row>
    <row r="103" spans="11:12" x14ac:dyDescent="0.4">
      <c r="K103" s="5">
        <v>101</v>
      </c>
      <c r="L103" s="73">
        <v>-52.499999999999979</v>
      </c>
    </row>
    <row r="104" spans="11:12" x14ac:dyDescent="0.4">
      <c r="K104" s="5">
        <v>102</v>
      </c>
      <c r="L104" s="73">
        <v>2.1316282072803006E-14</v>
      </c>
    </row>
    <row r="105" spans="11:12" x14ac:dyDescent="0.4">
      <c r="K105" s="5">
        <v>103</v>
      </c>
      <c r="L105" s="73">
        <v>-3.3999999999999786</v>
      </c>
    </row>
    <row r="106" spans="11:12" x14ac:dyDescent="0.4">
      <c r="K106" s="5">
        <v>104</v>
      </c>
      <c r="L106" s="73">
        <v>-14.999999999999979</v>
      </c>
    </row>
    <row r="107" spans="11:12" x14ac:dyDescent="0.4">
      <c r="K107" s="5">
        <v>105</v>
      </c>
      <c r="L107" s="73">
        <v>2.1316282072803006E-14</v>
      </c>
    </row>
    <row r="108" spans="11:12" x14ac:dyDescent="0.4">
      <c r="K108" s="5">
        <v>106</v>
      </c>
      <c r="L108" s="73">
        <v>-17.09999999999998</v>
      </c>
    </row>
    <row r="109" spans="11:12" x14ac:dyDescent="0.4">
      <c r="K109" s="5">
        <v>107</v>
      </c>
      <c r="L109" s="73">
        <v>-16.799999999999979</v>
      </c>
    </row>
    <row r="110" spans="11:12" x14ac:dyDescent="0.4">
      <c r="K110" s="5">
        <v>108</v>
      </c>
      <c r="L110" s="73">
        <v>2.1316282072803006E-14</v>
      </c>
    </row>
    <row r="111" spans="11:12" x14ac:dyDescent="0.4">
      <c r="K111" s="5">
        <v>109</v>
      </c>
      <c r="L111" s="73">
        <v>21.100000000000023</v>
      </c>
    </row>
    <row r="112" spans="11:12" x14ac:dyDescent="0.4">
      <c r="K112" s="5">
        <v>110</v>
      </c>
      <c r="L112" s="73">
        <v>35.800000000000026</v>
      </c>
    </row>
    <row r="113" spans="11:12" x14ac:dyDescent="0.4">
      <c r="K113" s="5">
        <v>111</v>
      </c>
      <c r="L113" s="73">
        <v>2.8421709430404007E-14</v>
      </c>
    </row>
    <row r="114" spans="11:12" x14ac:dyDescent="0.4">
      <c r="K114" s="5">
        <v>112</v>
      </c>
      <c r="L114" s="73">
        <v>-50.599999999999973</v>
      </c>
    </row>
    <row r="115" spans="11:12" x14ac:dyDescent="0.4">
      <c r="K115" s="5">
        <v>113</v>
      </c>
      <c r="L115" s="73">
        <v>-2.599999999999973</v>
      </c>
    </row>
    <row r="116" spans="11:12" x14ac:dyDescent="0.4">
      <c r="K116" s="5">
        <v>114</v>
      </c>
      <c r="L116" s="73">
        <v>2.708944180085382E-14</v>
      </c>
    </row>
    <row r="117" spans="11:12" x14ac:dyDescent="0.4">
      <c r="K117" s="5">
        <v>115</v>
      </c>
      <c r="L117" s="73">
        <v>-8.1999999999999726</v>
      </c>
    </row>
    <row r="118" spans="11:12" x14ac:dyDescent="0.4">
      <c r="K118" s="5">
        <v>116</v>
      </c>
      <c r="L118" s="73">
        <v>-49.999999999999972</v>
      </c>
    </row>
    <row r="119" spans="11:12" x14ac:dyDescent="0.4">
      <c r="K119" s="5">
        <v>117</v>
      </c>
      <c r="L119" s="73">
        <v>2.8421709430404007E-14</v>
      </c>
    </row>
    <row r="120" spans="11:12" x14ac:dyDescent="0.4">
      <c r="K120" s="5">
        <v>118</v>
      </c>
      <c r="L120" s="73">
        <v>-6.9999999999999716</v>
      </c>
    </row>
    <row r="121" spans="11:12" x14ac:dyDescent="0.4">
      <c r="K121" s="5">
        <v>119</v>
      </c>
      <c r="L121" s="73">
        <v>-12.499999999999972</v>
      </c>
    </row>
    <row r="122" spans="11:12" x14ac:dyDescent="0.4">
      <c r="K122" s="5">
        <v>120</v>
      </c>
      <c r="L122" s="73">
        <v>2.8421709430404007E-14</v>
      </c>
    </row>
    <row r="123" spans="11:12" x14ac:dyDescent="0.4">
      <c r="K123" s="5">
        <v>121</v>
      </c>
      <c r="L123" s="73">
        <v>-36.39999999999997</v>
      </c>
    </row>
    <row r="124" spans="11:12" x14ac:dyDescent="0.4">
      <c r="K124" s="5">
        <v>122</v>
      </c>
      <c r="L124" s="73">
        <v>-11.499999999999972</v>
      </c>
    </row>
    <row r="125" spans="11:12" x14ac:dyDescent="0.4">
      <c r="K125" s="5">
        <v>123</v>
      </c>
      <c r="L125" s="73">
        <v>2.8421709430404007E-14</v>
      </c>
    </row>
    <row r="126" spans="11:12" x14ac:dyDescent="0.4">
      <c r="K126" s="5">
        <v>124</v>
      </c>
      <c r="L126" s="73">
        <v>-8.4999999999999716</v>
      </c>
    </row>
    <row r="127" spans="11:12" x14ac:dyDescent="0.4">
      <c r="K127" s="5">
        <v>125</v>
      </c>
      <c r="L127" s="73">
        <v>-5.4999999999999716</v>
      </c>
    </row>
    <row r="128" spans="11:12" x14ac:dyDescent="0.4">
      <c r="K128" s="5">
        <v>126</v>
      </c>
      <c r="L128" s="73">
        <v>2.8421709430404007E-14</v>
      </c>
    </row>
    <row r="129" spans="11:12" x14ac:dyDescent="0.4">
      <c r="K129" s="5">
        <v>127</v>
      </c>
      <c r="L129" s="73">
        <v>8.4000000000000288</v>
      </c>
    </row>
    <row r="130" spans="11:12" x14ac:dyDescent="0.4">
      <c r="K130" s="5">
        <v>128</v>
      </c>
      <c r="L130" s="73">
        <v>23.900000000000027</v>
      </c>
    </row>
    <row r="131" spans="11:12" x14ac:dyDescent="0.4">
      <c r="K131" s="5">
        <v>129</v>
      </c>
      <c r="L131" s="73">
        <v>2.8421709430404007E-14</v>
      </c>
    </row>
    <row r="132" spans="11:12" x14ac:dyDescent="0.4">
      <c r="K132" s="5">
        <v>130</v>
      </c>
      <c r="L132" s="73">
        <v>-10.399999999999972</v>
      </c>
    </row>
    <row r="133" spans="11:12" x14ac:dyDescent="0.4">
      <c r="K133" s="5">
        <v>131</v>
      </c>
      <c r="L133" s="73">
        <v>0.70000000000002771</v>
      </c>
    </row>
    <row r="134" spans="11:12" x14ac:dyDescent="0.4">
      <c r="K134" s="5">
        <v>132</v>
      </c>
      <c r="L134" s="73">
        <v>2.7755575615628914E-14</v>
      </c>
    </row>
    <row r="135" spans="11:12" x14ac:dyDescent="0.4">
      <c r="K135" s="5">
        <v>133</v>
      </c>
      <c r="L135" s="73">
        <v>27.900000000000027</v>
      </c>
    </row>
    <row r="136" spans="11:12" x14ac:dyDescent="0.4">
      <c r="K136" s="5">
        <v>134</v>
      </c>
      <c r="L136" s="73">
        <v>-7.9999999999999716</v>
      </c>
    </row>
    <row r="137" spans="11:12" x14ac:dyDescent="0.4">
      <c r="K137" s="5">
        <v>135</v>
      </c>
      <c r="L137" s="73">
        <v>2.8421709430404007E-14</v>
      </c>
    </row>
    <row r="138" spans="11:12" x14ac:dyDescent="0.4">
      <c r="K138" s="5">
        <v>136</v>
      </c>
      <c r="L138" s="73">
        <v>-20.499999999999972</v>
      </c>
    </row>
    <row r="139" spans="11:12" x14ac:dyDescent="0.4">
      <c r="K139" s="5">
        <v>137</v>
      </c>
      <c r="L139" s="73">
        <v>-25.199999999999971</v>
      </c>
    </row>
    <row r="140" spans="11:12" x14ac:dyDescent="0.4">
      <c r="K140" s="5">
        <v>138</v>
      </c>
      <c r="L140" s="73">
        <v>2.8421709430404007E-14</v>
      </c>
    </row>
    <row r="141" spans="11:12" x14ac:dyDescent="0.4">
      <c r="K141" s="5">
        <v>139</v>
      </c>
      <c r="L141" s="73">
        <v>-31.099999999999973</v>
      </c>
    </row>
    <row r="142" spans="11:12" x14ac:dyDescent="0.4">
      <c r="K142" s="5">
        <v>140</v>
      </c>
      <c r="L142" s="73">
        <v>-62.299999999999969</v>
      </c>
    </row>
    <row r="143" spans="11:12" x14ac:dyDescent="0.4">
      <c r="K143" s="5">
        <v>141</v>
      </c>
      <c r="L143" s="73">
        <v>2.8421709430404007E-14</v>
      </c>
    </row>
    <row r="144" spans="11:12" x14ac:dyDescent="0.4">
      <c r="K144" s="5">
        <v>142</v>
      </c>
      <c r="L144" s="73">
        <v>16.200000000000028</v>
      </c>
    </row>
    <row r="145" spans="11:12" x14ac:dyDescent="0.4">
      <c r="K145" s="5">
        <v>143</v>
      </c>
      <c r="L145" s="73">
        <v>-8.599999999999973</v>
      </c>
    </row>
    <row r="146" spans="11:12" x14ac:dyDescent="0.4">
      <c r="K146" s="5">
        <v>144</v>
      </c>
      <c r="L146" s="73">
        <v>2.6645352591003757E-14</v>
      </c>
    </row>
    <row r="147" spans="11:12" x14ac:dyDescent="0.4">
      <c r="K147" s="5">
        <v>145</v>
      </c>
      <c r="L147" s="73">
        <v>-4.8999999999999737</v>
      </c>
    </row>
    <row r="148" spans="11:12" x14ac:dyDescent="0.4">
      <c r="K148" s="5">
        <v>146</v>
      </c>
      <c r="L148" s="73">
        <v>-16.799999999999976</v>
      </c>
    </row>
    <row r="149" spans="11:12" x14ac:dyDescent="0.4">
      <c r="K149" s="5">
        <v>147</v>
      </c>
      <c r="L149" s="73">
        <v>2.4868995751603507E-14</v>
      </c>
    </row>
    <row r="150" spans="11:12" x14ac:dyDescent="0.4">
      <c r="K150" s="5">
        <v>148</v>
      </c>
      <c r="L150" s="73">
        <v>12.800000000000026</v>
      </c>
    </row>
    <row r="151" spans="11:12" x14ac:dyDescent="0.4">
      <c r="K151" s="5">
        <v>149</v>
      </c>
      <c r="L151" s="73">
        <v>16.700000000000024</v>
      </c>
    </row>
    <row r="152" spans="11:12" x14ac:dyDescent="0.4">
      <c r="K152" s="5">
        <v>150</v>
      </c>
      <c r="L152" s="73">
        <v>2.4868995751603507E-14</v>
      </c>
    </row>
    <row r="153" spans="11:12" x14ac:dyDescent="0.4">
      <c r="K153" s="5">
        <v>151</v>
      </c>
      <c r="L153" s="73">
        <v>0.70000000000002482</v>
      </c>
    </row>
    <row r="154" spans="11:12" x14ac:dyDescent="0.4">
      <c r="K154" s="5">
        <v>152</v>
      </c>
      <c r="L154" s="73">
        <v>43.900000000000027</v>
      </c>
    </row>
    <row r="155" spans="11:12" x14ac:dyDescent="0.4">
      <c r="K155" s="5">
        <v>153</v>
      </c>
      <c r="L155" s="73">
        <v>2.8421709430404007E-14</v>
      </c>
    </row>
    <row r="156" spans="11:12" x14ac:dyDescent="0.4">
      <c r="K156" s="5">
        <v>154</v>
      </c>
      <c r="L156" s="73">
        <v>-6.6999999999999718</v>
      </c>
    </row>
    <row r="157" spans="11:12" x14ac:dyDescent="0.4">
      <c r="K157" s="5">
        <v>155</v>
      </c>
      <c r="L157" s="73">
        <v>-9.4999999999999716</v>
      </c>
    </row>
    <row r="158" spans="11:12" x14ac:dyDescent="0.4">
      <c r="K158" s="5">
        <v>156</v>
      </c>
      <c r="L158" s="73">
        <v>2.8421709430404007E-14</v>
      </c>
    </row>
    <row r="159" spans="11:12" x14ac:dyDescent="0.4">
      <c r="K159" s="5">
        <v>157</v>
      </c>
      <c r="L159" s="73">
        <v>-27.999999999999972</v>
      </c>
    </row>
    <row r="160" spans="11:12" x14ac:dyDescent="0.4">
      <c r="K160" s="5">
        <v>158</v>
      </c>
      <c r="L160" s="73">
        <v>-82.999999999999972</v>
      </c>
    </row>
    <row r="161" spans="11:12" x14ac:dyDescent="0.4">
      <c r="K161" s="5">
        <v>159</v>
      </c>
      <c r="L161" s="73">
        <v>2.8421709430404007E-14</v>
      </c>
    </row>
    <row r="162" spans="11:12" x14ac:dyDescent="0.4">
      <c r="K162" s="5">
        <v>160</v>
      </c>
      <c r="L162" s="73">
        <v>16.700000000000028</v>
      </c>
    </row>
    <row r="163" spans="11:12" x14ac:dyDescent="0.4">
      <c r="K163" s="5">
        <v>161</v>
      </c>
      <c r="L163" s="73">
        <v>-20.999999999999975</v>
      </c>
    </row>
    <row r="164" spans="11:12" x14ac:dyDescent="0.4">
      <c r="K164" s="5">
        <v>162</v>
      </c>
      <c r="L164" s="73">
        <v>2.4868995751603507E-14</v>
      </c>
    </row>
    <row r="165" spans="11:12" x14ac:dyDescent="0.4">
      <c r="K165" s="5">
        <v>163</v>
      </c>
      <c r="L165" s="73">
        <v>-6.9999999999999751</v>
      </c>
    </row>
    <row r="166" spans="11:12" x14ac:dyDescent="0.4">
      <c r="K166" s="5">
        <v>164</v>
      </c>
      <c r="L166" s="73">
        <v>-12.899999999999975</v>
      </c>
    </row>
    <row r="167" spans="11:12" x14ac:dyDescent="0.4">
      <c r="K167" s="5">
        <v>165</v>
      </c>
      <c r="L167" s="73">
        <v>2.4868995751603507E-14</v>
      </c>
    </row>
    <row r="168" spans="11:12" x14ac:dyDescent="0.4">
      <c r="K168" s="5">
        <v>166</v>
      </c>
      <c r="L168" s="73">
        <v>31.600000000000026</v>
      </c>
    </row>
    <row r="169" spans="11:12" x14ac:dyDescent="0.4">
      <c r="K169" s="5">
        <v>167</v>
      </c>
      <c r="L169" s="73">
        <v>37.800000000000026</v>
      </c>
    </row>
    <row r="170" spans="11:12" x14ac:dyDescent="0.4">
      <c r="K170" s="5">
        <v>168</v>
      </c>
      <c r="L170" s="73">
        <v>2.8421709430404007E-14</v>
      </c>
    </row>
    <row r="171" spans="11:12" x14ac:dyDescent="0.4">
      <c r="K171" s="5">
        <v>169</v>
      </c>
      <c r="L171" s="73">
        <v>15.800000000000029</v>
      </c>
    </row>
    <row r="172" spans="11:12" x14ac:dyDescent="0.4">
      <c r="K172" s="5">
        <v>170</v>
      </c>
      <c r="L172" s="73">
        <v>-30.299999999999972</v>
      </c>
    </row>
    <row r="173" spans="11:12" x14ac:dyDescent="0.4">
      <c r="K173" s="5">
        <v>171</v>
      </c>
      <c r="L173" s="73">
        <v>2.8421709430404007E-14</v>
      </c>
    </row>
    <row r="174" spans="11:12" x14ac:dyDescent="0.4">
      <c r="K174" s="5">
        <v>172</v>
      </c>
      <c r="L174" s="73">
        <v>57.000000000000028</v>
      </c>
    </row>
    <row r="175" spans="11:12" x14ac:dyDescent="0.4">
      <c r="K175" s="5">
        <v>173</v>
      </c>
      <c r="L175" s="73">
        <v>6.5000000000000284</v>
      </c>
    </row>
    <row r="176" spans="11:12" x14ac:dyDescent="0.4">
      <c r="K176" s="5">
        <v>174</v>
      </c>
      <c r="L176" s="73">
        <v>2.8421709430404007E-14</v>
      </c>
    </row>
    <row r="177" spans="11:12" x14ac:dyDescent="0.4">
      <c r="K177" s="5">
        <v>175</v>
      </c>
      <c r="L177" s="73">
        <v>5.3000000000000282</v>
      </c>
    </row>
    <row r="178" spans="11:12" x14ac:dyDescent="0.4">
      <c r="K178" s="5">
        <v>176</v>
      </c>
      <c r="L178" s="73">
        <v>11.600000000000028</v>
      </c>
    </row>
    <row r="179" spans="11:12" x14ac:dyDescent="0.4">
      <c r="K179" s="5">
        <v>177</v>
      </c>
      <c r="L179" s="73">
        <v>2.8421709430404007E-14</v>
      </c>
    </row>
    <row r="180" spans="11:12" x14ac:dyDescent="0.4">
      <c r="K180" s="5">
        <v>178</v>
      </c>
      <c r="L180" s="73">
        <v>-36.199999999999974</v>
      </c>
    </row>
    <row r="181" spans="11:12" x14ac:dyDescent="0.4">
      <c r="K181" s="5">
        <v>179</v>
      </c>
      <c r="L181" s="73">
        <v>-17.499999999999975</v>
      </c>
    </row>
    <row r="182" spans="11:12" x14ac:dyDescent="0.4">
      <c r="K182" s="5">
        <v>180</v>
      </c>
      <c r="L182" s="73">
        <v>2.4868995751603507E-14</v>
      </c>
    </row>
    <row r="183" spans="11:12" x14ac:dyDescent="0.4">
      <c r="K183" s="5">
        <v>181</v>
      </c>
      <c r="L183" s="73">
        <v>-46.09999999999998</v>
      </c>
    </row>
    <row r="184" spans="11:12" x14ac:dyDescent="0.4">
      <c r="K184" s="5">
        <v>182</v>
      </c>
      <c r="L184" s="73">
        <v>-40.999999999999979</v>
      </c>
    </row>
    <row r="185" spans="11:12" x14ac:dyDescent="0.4">
      <c r="K185" s="5">
        <v>183</v>
      </c>
      <c r="L185" s="73">
        <v>2.1316282072803006E-14</v>
      </c>
    </row>
    <row r="186" spans="11:12" x14ac:dyDescent="0.4">
      <c r="K186" s="5">
        <v>184</v>
      </c>
      <c r="L186" s="73">
        <v>35.000000000000021</v>
      </c>
    </row>
    <row r="187" spans="11:12" x14ac:dyDescent="0.4">
      <c r="K187" s="5">
        <v>185</v>
      </c>
      <c r="L187" s="73">
        <v>10.500000000000021</v>
      </c>
    </row>
    <row r="188" spans="11:12" x14ac:dyDescent="0.4">
      <c r="K188" s="5">
        <v>186</v>
      </c>
      <c r="L188" s="73">
        <v>2.1316282072803006E-14</v>
      </c>
    </row>
    <row r="189" spans="11:12" x14ac:dyDescent="0.4">
      <c r="K189" s="5">
        <v>187</v>
      </c>
      <c r="L189" s="73">
        <v>21.100000000000023</v>
      </c>
    </row>
    <row r="190" spans="11:12" x14ac:dyDescent="0.4">
      <c r="K190" s="5">
        <v>188</v>
      </c>
      <c r="L190" s="73">
        <v>7.2000000000000224</v>
      </c>
    </row>
    <row r="191" spans="11:12" x14ac:dyDescent="0.4">
      <c r="K191" s="5">
        <v>189</v>
      </c>
      <c r="L191" s="73">
        <v>2.2204460492503131E-14</v>
      </c>
    </row>
    <row r="192" spans="11:12" x14ac:dyDescent="0.4">
      <c r="K192" s="5">
        <v>190</v>
      </c>
      <c r="L192" s="73">
        <v>-65.999999999999972</v>
      </c>
    </row>
    <row r="193" spans="11:12" x14ac:dyDescent="0.4">
      <c r="K193" s="5">
        <v>191</v>
      </c>
      <c r="L193" s="73">
        <v>-74.299999999999969</v>
      </c>
    </row>
    <row r="194" spans="11:12" x14ac:dyDescent="0.4">
      <c r="K194" s="5">
        <v>192</v>
      </c>
      <c r="L194" s="73">
        <v>2.8421709430404007E-14</v>
      </c>
    </row>
    <row r="195" spans="11:12" x14ac:dyDescent="0.4">
      <c r="K195" s="5">
        <v>193</v>
      </c>
      <c r="L195" s="73">
        <v>-4.9999999999999716</v>
      </c>
    </row>
    <row r="196" spans="11:12" x14ac:dyDescent="0.4">
      <c r="K196" s="5">
        <v>194</v>
      </c>
      <c r="L196" s="73">
        <v>-49.999999999999972</v>
      </c>
    </row>
    <row r="197" spans="11:12" x14ac:dyDescent="0.4">
      <c r="K197" s="5">
        <v>195</v>
      </c>
      <c r="L197" s="73">
        <v>2.8421709430404007E-14</v>
      </c>
    </row>
    <row r="198" spans="11:12" x14ac:dyDescent="0.4">
      <c r="K198" s="5">
        <v>196</v>
      </c>
      <c r="L198" s="73">
        <v>1.0000000000000284</v>
      </c>
    </row>
    <row r="199" spans="11:12" x14ac:dyDescent="0.4">
      <c r="K199" s="5">
        <v>197</v>
      </c>
      <c r="L199" s="73">
        <v>-34.999999999999972</v>
      </c>
    </row>
    <row r="200" spans="11:12" x14ac:dyDescent="0.4">
      <c r="K200" s="5">
        <v>198</v>
      </c>
      <c r="L200" s="73">
        <v>2.8421709430404007E-14</v>
      </c>
    </row>
    <row r="201" spans="11:12" x14ac:dyDescent="0.4">
      <c r="K201" s="5">
        <v>199</v>
      </c>
      <c r="L201" s="73">
        <v>31.60000000000003</v>
      </c>
    </row>
    <row r="202" spans="11:12" x14ac:dyDescent="0.4">
      <c r="K202" s="5">
        <v>200</v>
      </c>
      <c r="L202" s="73">
        <v>0.30000000000002913</v>
      </c>
    </row>
    <row r="203" spans="11:12" x14ac:dyDescent="0.4">
      <c r="K203" s="5">
        <v>201</v>
      </c>
      <c r="L203" s="73">
        <v>2.9143354396410359E-14</v>
      </c>
    </row>
    <row r="204" spans="11:12" x14ac:dyDescent="0.4">
      <c r="K204" s="5">
        <v>202</v>
      </c>
      <c r="L204" s="73">
        <v>-18.999999999999972</v>
      </c>
    </row>
    <row r="205" spans="11:12" x14ac:dyDescent="0.4">
      <c r="K205" s="5">
        <v>203</v>
      </c>
      <c r="L205" s="73">
        <v>45.000000000000028</v>
      </c>
    </row>
    <row r="206" spans="11:12" x14ac:dyDescent="0.4">
      <c r="K206" s="5">
        <v>204</v>
      </c>
      <c r="L206" s="73">
        <v>2.8421709430404007E-14</v>
      </c>
    </row>
    <row r="207" spans="11:12" x14ac:dyDescent="0.4">
      <c r="K207" s="5">
        <v>205</v>
      </c>
      <c r="L207" s="73">
        <v>-9.8999999999999719</v>
      </c>
    </row>
    <row r="208" spans="11:12" x14ac:dyDescent="0.4">
      <c r="K208" s="5">
        <v>206</v>
      </c>
      <c r="L208" s="73">
        <v>-6.7999999999999723</v>
      </c>
    </row>
    <row r="209" spans="11:12" x14ac:dyDescent="0.4">
      <c r="K209" s="5">
        <v>207</v>
      </c>
      <c r="L209" s="73">
        <v>2.7533531010703882E-14</v>
      </c>
    </row>
    <row r="210" spans="11:12" x14ac:dyDescent="0.4">
      <c r="K210" s="5">
        <v>208</v>
      </c>
      <c r="L210" s="73">
        <v>0.90000000000002756</v>
      </c>
    </row>
    <row r="211" spans="11:12" x14ac:dyDescent="0.4">
      <c r="K211" s="5">
        <v>209</v>
      </c>
      <c r="L211" s="73">
        <v>2.1000000000000276</v>
      </c>
    </row>
    <row r="212" spans="11:12" x14ac:dyDescent="0.4">
      <c r="K212" s="5">
        <v>210</v>
      </c>
      <c r="L212" s="73">
        <v>2.7533531010703882E-14</v>
      </c>
    </row>
    <row r="213" spans="11:12" x14ac:dyDescent="0.4">
      <c r="K213" s="5">
        <v>211</v>
      </c>
      <c r="L213" s="73">
        <v>32.300000000000026</v>
      </c>
    </row>
    <row r="214" spans="11:12" x14ac:dyDescent="0.4">
      <c r="K214" s="5">
        <v>212</v>
      </c>
      <c r="L214" s="73">
        <v>35.100000000000023</v>
      </c>
    </row>
    <row r="215" spans="11:12" x14ac:dyDescent="0.4">
      <c r="K215" s="5">
        <v>213</v>
      </c>
      <c r="L215" s="73">
        <v>2.1316282072803006E-14</v>
      </c>
    </row>
    <row r="216" spans="11:12" x14ac:dyDescent="0.4">
      <c r="K216" s="5">
        <v>214</v>
      </c>
      <c r="L216" s="73">
        <v>-45.999999999999979</v>
      </c>
    </row>
    <row r="217" spans="11:12" x14ac:dyDescent="0.4">
      <c r="K217" s="5">
        <v>215</v>
      </c>
      <c r="L217" s="73">
        <v>-1.3999999999999773</v>
      </c>
    </row>
    <row r="218" spans="11:12" x14ac:dyDescent="0.4">
      <c r="K218" s="5">
        <v>216</v>
      </c>
      <c r="L218" s="73">
        <v>2.2648549702353193E-14</v>
      </c>
    </row>
    <row r="219" spans="11:12" x14ac:dyDescent="0.4">
      <c r="K219" s="5">
        <v>217</v>
      </c>
      <c r="L219" s="73">
        <v>28.40000000000002</v>
      </c>
    </row>
    <row r="220" spans="11:12" x14ac:dyDescent="0.4">
      <c r="K220" s="5">
        <v>218</v>
      </c>
      <c r="L220" s="73">
        <v>27.000000000000021</v>
      </c>
    </row>
    <row r="221" spans="11:12" x14ac:dyDescent="0.4">
      <c r="K221" s="5">
        <v>219</v>
      </c>
      <c r="L221" s="73">
        <v>2.1316282072803006E-14</v>
      </c>
    </row>
    <row r="222" spans="11:12" x14ac:dyDescent="0.4">
      <c r="K222" s="5">
        <v>220</v>
      </c>
      <c r="L222" s="73">
        <v>-7.399999999999979</v>
      </c>
    </row>
    <row r="223" spans="11:12" x14ac:dyDescent="0.4">
      <c r="K223" s="5">
        <v>221</v>
      </c>
      <c r="L223" s="73">
        <v>-47.09999999999998</v>
      </c>
    </row>
    <row r="224" spans="11:12" x14ac:dyDescent="0.4">
      <c r="K224" s="5">
        <v>222</v>
      </c>
      <c r="L224" s="73">
        <v>2.1316282072803006E-14</v>
      </c>
    </row>
    <row r="225" spans="11:12" x14ac:dyDescent="0.4">
      <c r="K225" s="5">
        <v>223</v>
      </c>
      <c r="L225" s="73">
        <v>18.300000000000022</v>
      </c>
    </row>
    <row r="226" spans="11:12" x14ac:dyDescent="0.4">
      <c r="K226" s="5">
        <v>224</v>
      </c>
      <c r="L226" s="73">
        <v>-14.799999999999979</v>
      </c>
    </row>
    <row r="227" spans="11:12" x14ac:dyDescent="0.4">
      <c r="K227" s="5">
        <v>225</v>
      </c>
      <c r="L227" s="73">
        <v>2.1316282072803006E-14</v>
      </c>
    </row>
    <row r="228" spans="11:12" x14ac:dyDescent="0.4">
      <c r="K228" s="5">
        <v>226</v>
      </c>
      <c r="L228" s="73">
        <v>-13.899999999999979</v>
      </c>
    </row>
    <row r="229" spans="11:12" x14ac:dyDescent="0.4">
      <c r="K229" s="5">
        <v>227</v>
      </c>
      <c r="L229" s="73">
        <v>-32.09999999999998</v>
      </c>
    </row>
    <row r="230" spans="11:12" x14ac:dyDescent="0.4">
      <c r="K230" s="5">
        <v>228</v>
      </c>
      <c r="L230" s="73">
        <v>2.1316282072803006E-14</v>
      </c>
    </row>
    <row r="231" spans="11:12" x14ac:dyDescent="0.4">
      <c r="K231" s="5">
        <v>229</v>
      </c>
      <c r="L231" s="73">
        <v>40.000000000000021</v>
      </c>
    </row>
    <row r="232" spans="11:12" x14ac:dyDescent="0.4">
      <c r="K232" s="5">
        <v>230</v>
      </c>
      <c r="L232" s="73">
        <v>-0.39999999999997726</v>
      </c>
    </row>
    <row r="233" spans="11:12" x14ac:dyDescent="0.4">
      <c r="K233" s="5">
        <v>231</v>
      </c>
      <c r="L233" s="73">
        <v>2.2759572004815709E-14</v>
      </c>
    </row>
    <row r="234" spans="11:12" x14ac:dyDescent="0.4">
      <c r="K234" s="5">
        <v>232</v>
      </c>
      <c r="L234" s="73">
        <v>5.2000000000000233</v>
      </c>
    </row>
    <row r="235" spans="11:12" x14ac:dyDescent="0.4">
      <c r="K235" s="5">
        <v>233</v>
      </c>
      <c r="L235" s="73">
        <v>-5.7999999999999767</v>
      </c>
    </row>
    <row r="236" spans="11:12" x14ac:dyDescent="0.4">
      <c r="K236" s="5">
        <v>234</v>
      </c>
      <c r="L236" s="73">
        <v>2.3092638912203256E-14</v>
      </c>
    </row>
    <row r="237" spans="11:12" x14ac:dyDescent="0.4">
      <c r="K237" s="5">
        <v>235</v>
      </c>
      <c r="L237" s="73">
        <v>-13.699999999999976</v>
      </c>
    </row>
    <row r="238" spans="11:12" x14ac:dyDescent="0.4">
      <c r="K238" s="5">
        <v>236</v>
      </c>
      <c r="L238" s="73">
        <v>-29.499999999999979</v>
      </c>
    </row>
    <row r="239" spans="11:12" x14ac:dyDescent="0.4">
      <c r="K239" s="5">
        <v>237</v>
      </c>
      <c r="L239" s="73">
        <v>2.1316282072803006E-14</v>
      </c>
    </row>
    <row r="240" spans="11:12" x14ac:dyDescent="0.4">
      <c r="K240" s="5">
        <v>238</v>
      </c>
      <c r="L240" s="73">
        <v>-22.999999999999979</v>
      </c>
    </row>
    <row r="241" spans="11:12" x14ac:dyDescent="0.4">
      <c r="K241" s="5">
        <v>239</v>
      </c>
      <c r="L241" s="73">
        <v>-44.899999999999977</v>
      </c>
    </row>
    <row r="242" spans="11:12" x14ac:dyDescent="0.4">
      <c r="K242" s="5">
        <v>240</v>
      </c>
      <c r="L242" s="73">
        <v>2.1316282072803006E-14</v>
      </c>
    </row>
    <row r="243" spans="11:12" x14ac:dyDescent="0.4">
      <c r="K243" s="5">
        <v>241</v>
      </c>
      <c r="L243" s="73">
        <v>5.100000000000021</v>
      </c>
    </row>
    <row r="244" spans="11:12" x14ac:dyDescent="0.4">
      <c r="K244" s="5">
        <v>242</v>
      </c>
      <c r="L244" s="73">
        <v>16.40000000000002</v>
      </c>
    </row>
    <row r="245" spans="11:12" x14ac:dyDescent="0.4">
      <c r="K245" s="5">
        <v>243</v>
      </c>
      <c r="L245" s="73">
        <v>2.1316282072803006E-14</v>
      </c>
    </row>
    <row r="246" spans="11:12" x14ac:dyDescent="0.4">
      <c r="K246" s="5">
        <v>244</v>
      </c>
      <c r="L246" s="73">
        <v>31.90000000000002</v>
      </c>
    </row>
    <row r="247" spans="11:12" x14ac:dyDescent="0.4">
      <c r="K247" s="5">
        <v>245</v>
      </c>
      <c r="L247" s="73">
        <v>38.000000000000021</v>
      </c>
    </row>
    <row r="248" spans="11:12" x14ac:dyDescent="0.4">
      <c r="K248" s="5">
        <v>246</v>
      </c>
      <c r="L248" s="73">
        <v>2.1316282072803006E-14</v>
      </c>
    </row>
    <row r="249" spans="11:12" x14ac:dyDescent="0.4">
      <c r="K249" s="5">
        <v>247</v>
      </c>
      <c r="L249" s="73">
        <v>40.000000000000021</v>
      </c>
    </row>
    <row r="250" spans="11:12" x14ac:dyDescent="0.4">
      <c r="K250" s="5">
        <v>248</v>
      </c>
      <c r="L250" s="73">
        <v>-3.9999999999999787</v>
      </c>
    </row>
    <row r="251" spans="11:12" x14ac:dyDescent="0.4">
      <c r="K251" s="5">
        <v>249</v>
      </c>
      <c r="L251" s="73">
        <v>2.1316282072803006E-14</v>
      </c>
    </row>
    <row r="252" spans="11:12" x14ac:dyDescent="0.4">
      <c r="K252" s="5">
        <v>250</v>
      </c>
      <c r="L252" s="73">
        <v>22.500000000000021</v>
      </c>
    </row>
    <row r="253" spans="11:12" x14ac:dyDescent="0.4">
      <c r="K253" s="5">
        <v>251</v>
      </c>
      <c r="L253" s="73">
        <v>-18.499999999999979</v>
      </c>
    </row>
    <row r="254" spans="11:12" x14ac:dyDescent="0.4">
      <c r="K254" s="5">
        <v>252</v>
      </c>
      <c r="L254" s="73">
        <v>2.1316282072803006E-14</v>
      </c>
    </row>
    <row r="255" spans="11:12" x14ac:dyDescent="0.4">
      <c r="K255" s="5">
        <v>253</v>
      </c>
      <c r="L255" s="73">
        <v>31.500000000000021</v>
      </c>
    </row>
    <row r="256" spans="11:12" x14ac:dyDescent="0.4">
      <c r="K256" s="5">
        <v>254</v>
      </c>
      <c r="L256" s="73">
        <v>20.700000000000021</v>
      </c>
    </row>
    <row r="257" spans="11:12" x14ac:dyDescent="0.4">
      <c r="K257" s="5">
        <v>255</v>
      </c>
      <c r="L257" s="73">
        <v>2.1316282072803006E-14</v>
      </c>
    </row>
    <row r="258" spans="11:12" x14ac:dyDescent="0.4">
      <c r="K258" s="5">
        <v>256</v>
      </c>
      <c r="L258" s="73">
        <v>59.800000000000018</v>
      </c>
    </row>
    <row r="259" spans="11:12" x14ac:dyDescent="0.4">
      <c r="K259" s="5">
        <v>257</v>
      </c>
      <c r="L259" s="73">
        <v>24.300000000000018</v>
      </c>
    </row>
    <row r="260" spans="11:12" x14ac:dyDescent="0.4">
      <c r="K260" s="5">
        <v>258</v>
      </c>
      <c r="L260" s="73">
        <v>1.7763568394002505E-14</v>
      </c>
    </row>
    <row r="261" spans="11:12" x14ac:dyDescent="0.4">
      <c r="K261" s="5">
        <v>259</v>
      </c>
      <c r="L261" s="73">
        <v>11.100000000000017</v>
      </c>
    </row>
    <row r="262" spans="11:12" x14ac:dyDescent="0.4">
      <c r="K262" s="5">
        <v>260</v>
      </c>
      <c r="L262" s="73">
        <v>-15.999999999999984</v>
      </c>
    </row>
    <row r="263" spans="11:12" x14ac:dyDescent="0.4">
      <c r="K263" s="5">
        <v>261</v>
      </c>
      <c r="L263" s="73">
        <v>1.5987211554602254E-14</v>
      </c>
    </row>
    <row r="264" spans="11:12" x14ac:dyDescent="0.4">
      <c r="K264" s="5">
        <v>262</v>
      </c>
      <c r="L264" s="73">
        <v>1.6000000000000161</v>
      </c>
    </row>
    <row r="265" spans="11:12" x14ac:dyDescent="0.4">
      <c r="K265" s="5">
        <v>263</v>
      </c>
      <c r="L265" s="73">
        <v>24.200000000000017</v>
      </c>
    </row>
    <row r="266" spans="11:12" x14ac:dyDescent="0.4">
      <c r="K266" s="5">
        <v>264</v>
      </c>
      <c r="L266" s="73">
        <v>1.7763568394002505E-14</v>
      </c>
    </row>
    <row r="267" spans="11:12" x14ac:dyDescent="0.4">
      <c r="K267" s="5">
        <v>265</v>
      </c>
      <c r="L267" s="73">
        <v>-21.399999999999981</v>
      </c>
    </row>
    <row r="268" spans="11:12" x14ac:dyDescent="0.4">
      <c r="K268" s="5">
        <v>266</v>
      </c>
      <c r="L268" s="73">
        <v>-5.7999999999999812</v>
      </c>
    </row>
    <row r="269" spans="11:12" x14ac:dyDescent="0.4">
      <c r="K269" s="5">
        <v>267</v>
      </c>
      <c r="L269" s="73">
        <v>1.865174681370263E-14</v>
      </c>
    </row>
    <row r="270" spans="11:12" x14ac:dyDescent="0.4">
      <c r="K270" s="5">
        <v>268</v>
      </c>
      <c r="L270" s="73">
        <v>3.5000000000000187</v>
      </c>
    </row>
    <row r="271" spans="11:12" x14ac:dyDescent="0.4">
      <c r="K271" s="5">
        <v>269</v>
      </c>
      <c r="L271" s="73">
        <v>4.1000000000000183</v>
      </c>
    </row>
    <row r="272" spans="11:12" x14ac:dyDescent="0.4">
      <c r="K272" s="5">
        <v>270</v>
      </c>
      <c r="L272" s="73">
        <v>1.865174681370263E-14</v>
      </c>
    </row>
    <row r="273" spans="11:12" x14ac:dyDescent="0.4">
      <c r="K273" s="5">
        <v>271</v>
      </c>
      <c r="L273" s="73">
        <v>-43.399999999999977</v>
      </c>
    </row>
    <row r="274" spans="11:12" x14ac:dyDescent="0.4">
      <c r="K274" s="5">
        <v>272</v>
      </c>
      <c r="L274" s="73">
        <v>-3.1999999999999744</v>
      </c>
    </row>
    <row r="275" spans="11:12" x14ac:dyDescent="0.4">
      <c r="K275" s="5">
        <v>273</v>
      </c>
      <c r="L275" s="73">
        <v>2.5757174171303632E-14</v>
      </c>
    </row>
    <row r="276" spans="11:12" x14ac:dyDescent="0.4">
      <c r="K276" s="5">
        <v>274</v>
      </c>
      <c r="L276" s="73">
        <v>-45.499999999999972</v>
      </c>
    </row>
    <row r="277" spans="11:12" x14ac:dyDescent="0.4">
      <c r="K277" s="5">
        <v>275</v>
      </c>
      <c r="L277" s="73">
        <v>-27.999999999999972</v>
      </c>
    </row>
    <row r="278" spans="11:12" x14ac:dyDescent="0.4">
      <c r="K278" s="5">
        <v>276</v>
      </c>
      <c r="L278" s="73">
        <v>2.8421709430404007E-14</v>
      </c>
    </row>
    <row r="279" spans="11:12" x14ac:dyDescent="0.4">
      <c r="K279" s="5">
        <v>277</v>
      </c>
      <c r="L279" s="73">
        <v>-0.59999999999997156</v>
      </c>
    </row>
    <row r="280" spans="11:12" x14ac:dyDescent="0.4">
      <c r="K280" s="5">
        <v>278</v>
      </c>
      <c r="L280" s="73">
        <v>-39.099999999999973</v>
      </c>
    </row>
    <row r="281" spans="11:12" x14ac:dyDescent="0.4">
      <c r="K281" s="5">
        <v>279</v>
      </c>
      <c r="L281" s="73">
        <v>2.8421709430404007E-14</v>
      </c>
    </row>
    <row r="282" spans="11:12" x14ac:dyDescent="0.4">
      <c r="K282" s="5">
        <v>280</v>
      </c>
      <c r="L282" s="73">
        <v>26.400000000000027</v>
      </c>
    </row>
    <row r="283" spans="11:12" x14ac:dyDescent="0.4">
      <c r="K283" s="5">
        <v>281</v>
      </c>
      <c r="L283" s="73">
        <v>-1.9999999999999716</v>
      </c>
    </row>
    <row r="284" spans="11:12" x14ac:dyDescent="0.4">
      <c r="K284" s="5">
        <v>282</v>
      </c>
      <c r="L284" s="73">
        <v>2.8421709430404007E-14</v>
      </c>
    </row>
    <row r="285" spans="11:12" x14ac:dyDescent="0.4">
      <c r="K285" s="5">
        <v>283</v>
      </c>
      <c r="L285" s="73">
        <v>9.7000000000000277</v>
      </c>
    </row>
    <row r="286" spans="11:12" x14ac:dyDescent="0.4">
      <c r="K286" s="5">
        <v>284</v>
      </c>
      <c r="L286" s="73">
        <v>-32.699999999999974</v>
      </c>
    </row>
    <row r="287" spans="11:12" x14ac:dyDescent="0.4">
      <c r="K287" s="5">
        <v>285</v>
      </c>
      <c r="L287" s="73">
        <v>2.8421709430404007E-14</v>
      </c>
    </row>
    <row r="288" spans="11:12" x14ac:dyDescent="0.4">
      <c r="K288" s="5">
        <v>286</v>
      </c>
      <c r="L288" s="73">
        <v>21.10000000000003</v>
      </c>
    </row>
    <row r="289" spans="11:12" x14ac:dyDescent="0.4">
      <c r="K289" s="5">
        <v>287</v>
      </c>
      <c r="L289" s="73">
        <v>-14.599999999999973</v>
      </c>
    </row>
    <row r="290" spans="11:12" x14ac:dyDescent="0.4">
      <c r="K290" s="5">
        <v>288</v>
      </c>
      <c r="L290" s="73">
        <v>2.6645352591003757E-14</v>
      </c>
    </row>
    <row r="291" spans="11:12" x14ac:dyDescent="0.4">
      <c r="K291" s="5">
        <v>289</v>
      </c>
      <c r="L291" s="73">
        <v>-48.699999999999974</v>
      </c>
    </row>
    <row r="292" spans="11:12" x14ac:dyDescent="0.4">
      <c r="K292" s="5">
        <v>290</v>
      </c>
      <c r="L292" s="73">
        <v>-47.999999999999972</v>
      </c>
    </row>
    <row r="293" spans="11:12" x14ac:dyDescent="0.4">
      <c r="K293" s="5">
        <v>291</v>
      </c>
      <c r="L293" s="73">
        <v>2.8421709430404007E-14</v>
      </c>
    </row>
    <row r="294" spans="11:12" x14ac:dyDescent="0.4">
      <c r="K294" s="5">
        <v>292</v>
      </c>
      <c r="L294" s="73">
        <v>-15.999999999999972</v>
      </c>
    </row>
    <row r="295" spans="11:12" x14ac:dyDescent="0.4">
      <c r="K295" s="5">
        <v>293</v>
      </c>
      <c r="L295" s="73">
        <v>-3.7999999999999723</v>
      </c>
    </row>
    <row r="296" spans="11:12" x14ac:dyDescent="0.4">
      <c r="K296" s="5">
        <v>294</v>
      </c>
      <c r="L296" s="73">
        <v>2.7533531010703882E-14</v>
      </c>
    </row>
    <row r="297" spans="11:12" x14ac:dyDescent="0.4">
      <c r="K297" s="5">
        <v>295</v>
      </c>
      <c r="L297" s="73">
        <v>43.10000000000003</v>
      </c>
    </row>
    <row r="298" spans="11:12" x14ac:dyDescent="0.4">
      <c r="K298" s="5">
        <v>296</v>
      </c>
      <c r="L298" s="73">
        <v>5.8000000000000327</v>
      </c>
    </row>
    <row r="299" spans="11:12" x14ac:dyDescent="0.4">
      <c r="K299" s="5">
        <v>297</v>
      </c>
      <c r="L299" s="73">
        <v>3.2862601528904634E-14</v>
      </c>
    </row>
    <row r="300" spans="11:12" x14ac:dyDescent="0.4">
      <c r="K300" s="5">
        <v>298</v>
      </c>
      <c r="L300" s="73">
        <v>-5.9999999999999671</v>
      </c>
    </row>
    <row r="301" spans="11:12" x14ac:dyDescent="0.4">
      <c r="K301" s="5">
        <v>299</v>
      </c>
      <c r="L301" s="73">
        <v>-57.899999999999963</v>
      </c>
    </row>
    <row r="302" spans="11:12" x14ac:dyDescent="0.4">
      <c r="K302" s="5">
        <v>300</v>
      </c>
      <c r="L302" s="73">
        <v>3.5527136788005009E-14</v>
      </c>
    </row>
    <row r="303" spans="11:12" x14ac:dyDescent="0.4">
      <c r="K303" s="5">
        <v>301</v>
      </c>
      <c r="L303" s="73">
        <v>-37.499999999999964</v>
      </c>
    </row>
    <row r="304" spans="11:12" x14ac:dyDescent="0.4">
      <c r="K304" s="5">
        <v>302</v>
      </c>
      <c r="L304" s="73">
        <v>-49.499999999999964</v>
      </c>
    </row>
    <row r="305" spans="11:12" x14ac:dyDescent="0.4">
      <c r="K305" s="5">
        <v>303</v>
      </c>
      <c r="L305" s="73">
        <v>3.5527136788005009E-14</v>
      </c>
    </row>
    <row r="306" spans="11:12" x14ac:dyDescent="0.4">
      <c r="K306" s="5">
        <v>304</v>
      </c>
      <c r="L306" s="73">
        <v>-39.499999999999964</v>
      </c>
    </row>
    <row r="307" spans="11:12" x14ac:dyDescent="0.4">
      <c r="K307" s="5">
        <v>305</v>
      </c>
      <c r="L307" s="73">
        <v>9.5000000000000355</v>
      </c>
    </row>
    <row r="308" spans="11:12" x14ac:dyDescent="0.4">
      <c r="K308" s="5">
        <v>306</v>
      </c>
      <c r="L308" s="73">
        <v>3.5527136788005009E-14</v>
      </c>
    </row>
    <row r="309" spans="11:12" x14ac:dyDescent="0.4">
      <c r="K309" s="5">
        <v>307</v>
      </c>
      <c r="L309" s="73">
        <v>11.100000000000035</v>
      </c>
    </row>
    <row r="310" spans="11:12" x14ac:dyDescent="0.4">
      <c r="K310" s="5">
        <v>308</v>
      </c>
      <c r="L310" s="73">
        <v>-2.6999999999999655</v>
      </c>
    </row>
    <row r="311" spans="11:12" x14ac:dyDescent="0.4">
      <c r="K311" s="5">
        <v>309</v>
      </c>
      <c r="L311" s="73">
        <v>3.4638958368304884E-14</v>
      </c>
    </row>
    <row r="312" spans="11:12" x14ac:dyDescent="0.4">
      <c r="K312" s="5">
        <v>310</v>
      </c>
      <c r="L312" s="73">
        <v>-1.9999999999999654</v>
      </c>
    </row>
    <row r="313" spans="11:12" x14ac:dyDescent="0.4">
      <c r="K313" s="5">
        <v>311</v>
      </c>
      <c r="L313" s="73">
        <v>39.000000000000036</v>
      </c>
    </row>
    <row r="314" spans="11:12" x14ac:dyDescent="0.4">
      <c r="K314" s="5">
        <v>312</v>
      </c>
      <c r="L314" s="73">
        <v>3.5527136788005009E-14</v>
      </c>
    </row>
    <row r="315" spans="11:12" x14ac:dyDescent="0.4">
      <c r="K315" s="5">
        <v>313</v>
      </c>
      <c r="L315" s="73">
        <v>43.500000000000036</v>
      </c>
    </row>
    <row r="316" spans="11:12" x14ac:dyDescent="0.4">
      <c r="K316" s="5">
        <v>314</v>
      </c>
      <c r="L316" s="73">
        <v>40.100000000000037</v>
      </c>
    </row>
    <row r="317" spans="11:12" x14ac:dyDescent="0.4">
      <c r="K317" s="5">
        <v>315</v>
      </c>
      <c r="L317" s="73">
        <v>3.5527136788005009E-14</v>
      </c>
    </row>
    <row r="318" spans="11:12" x14ac:dyDescent="0.4">
      <c r="K318" s="5">
        <v>316</v>
      </c>
      <c r="L318" s="73">
        <v>-5.5999999999999641</v>
      </c>
    </row>
    <row r="319" spans="11:12" x14ac:dyDescent="0.4">
      <c r="K319" s="5">
        <v>317</v>
      </c>
      <c r="L319" s="73">
        <v>66.000000000000028</v>
      </c>
    </row>
    <row r="320" spans="11:12" x14ac:dyDescent="0.4">
      <c r="K320" s="5">
        <v>318</v>
      </c>
      <c r="L320" s="73">
        <v>2.8421709430404007E-14</v>
      </c>
    </row>
    <row r="321" spans="11:12" x14ac:dyDescent="0.4">
      <c r="K321" s="5">
        <v>319</v>
      </c>
      <c r="L321" s="73">
        <v>-7.3999999999999719</v>
      </c>
    </row>
    <row r="322" spans="11:12" x14ac:dyDescent="0.4">
      <c r="K322" s="5">
        <v>320</v>
      </c>
      <c r="L322" s="73">
        <v>24.10000000000003</v>
      </c>
    </row>
    <row r="323" spans="11:12" x14ac:dyDescent="0.4">
      <c r="K323" s="5">
        <v>321</v>
      </c>
      <c r="L323" s="73">
        <v>2.8421709430404007E-14</v>
      </c>
    </row>
    <row r="324" spans="11:12" x14ac:dyDescent="0.4">
      <c r="K324" s="5">
        <v>322</v>
      </c>
      <c r="L324" s="73">
        <v>-37.999999999999972</v>
      </c>
    </row>
    <row r="325" spans="11:12" x14ac:dyDescent="0.4">
      <c r="K325" s="5">
        <v>323</v>
      </c>
      <c r="L325" s="73">
        <v>-2.599999999999973</v>
      </c>
    </row>
    <row r="326" spans="11:12" x14ac:dyDescent="0.4">
      <c r="K326" s="5">
        <v>324</v>
      </c>
      <c r="L326" s="73">
        <v>2.708944180085382E-14</v>
      </c>
    </row>
    <row r="327" spans="11:12" x14ac:dyDescent="0.4">
      <c r="K327" s="5">
        <v>325</v>
      </c>
      <c r="L327" s="73">
        <v>-18.799999999999972</v>
      </c>
    </row>
    <row r="328" spans="11:12" x14ac:dyDescent="0.4">
      <c r="K328" s="5">
        <v>326</v>
      </c>
      <c r="L328" s="73">
        <v>-7.2999999999999723</v>
      </c>
    </row>
    <row r="329" spans="11:12" x14ac:dyDescent="0.4">
      <c r="K329" s="5">
        <v>327</v>
      </c>
      <c r="L329" s="73">
        <v>2.7533531010703882E-14</v>
      </c>
    </row>
    <row r="330" spans="11:12" x14ac:dyDescent="0.4">
      <c r="K330" s="5">
        <v>328</v>
      </c>
      <c r="L330" s="73">
        <v>27.000000000000028</v>
      </c>
    </row>
    <row r="331" spans="11:12" x14ac:dyDescent="0.4">
      <c r="K331" s="5">
        <v>329</v>
      </c>
      <c r="L331" s="73">
        <v>36.10000000000003</v>
      </c>
    </row>
    <row r="332" spans="11:12" x14ac:dyDescent="0.4">
      <c r="K332" s="5">
        <v>330</v>
      </c>
      <c r="L332" s="73">
        <v>2.8421709430404007E-14</v>
      </c>
    </row>
    <row r="333" spans="11:12" x14ac:dyDescent="0.4">
      <c r="K333" s="5">
        <v>331</v>
      </c>
      <c r="L333" s="73">
        <v>44.60000000000003</v>
      </c>
    </row>
    <row r="334" spans="11:12" x14ac:dyDescent="0.4">
      <c r="K334" s="5">
        <v>332</v>
      </c>
      <c r="L334" s="73">
        <v>39.400000000000027</v>
      </c>
    </row>
    <row r="335" spans="11:12" x14ac:dyDescent="0.4">
      <c r="K335" s="5">
        <v>333</v>
      </c>
      <c r="L335" s="73">
        <v>2.8421709430404007E-14</v>
      </c>
    </row>
    <row r="336" spans="11:12" x14ac:dyDescent="0.4">
      <c r="K336" s="5">
        <v>334</v>
      </c>
      <c r="L336" s="73">
        <v>7.0000000000000284</v>
      </c>
    </row>
    <row r="337" spans="11:12" x14ac:dyDescent="0.4">
      <c r="K337" s="5">
        <v>335</v>
      </c>
      <c r="L337" s="73">
        <v>40.000000000000028</v>
      </c>
    </row>
    <row r="338" spans="11:12" x14ac:dyDescent="0.4">
      <c r="K338" s="5">
        <v>336</v>
      </c>
      <c r="L338" s="73">
        <v>2.8421709430404007E-14</v>
      </c>
    </row>
    <row r="339" spans="11:12" x14ac:dyDescent="0.4">
      <c r="K339" s="5">
        <v>337</v>
      </c>
      <c r="L339" s="73">
        <v>-11.299999999999972</v>
      </c>
    </row>
    <row r="340" spans="11:12" x14ac:dyDescent="0.4">
      <c r="K340" s="5">
        <v>338</v>
      </c>
      <c r="L340" s="73">
        <v>-6.0999999999999721</v>
      </c>
    </row>
    <row r="341" spans="11:12" x14ac:dyDescent="0.4">
      <c r="K341" s="5">
        <v>339</v>
      </c>
      <c r="L341" s="73">
        <v>2.7533531010703882E-14</v>
      </c>
    </row>
    <row r="342" spans="11:12" x14ac:dyDescent="0.4">
      <c r="K342" s="5">
        <v>340</v>
      </c>
      <c r="L342" s="73">
        <v>-15.499999999999972</v>
      </c>
    </row>
    <row r="343" spans="11:12" x14ac:dyDescent="0.4">
      <c r="K343" s="5">
        <v>341</v>
      </c>
      <c r="L343" s="73">
        <v>-50.999999999999972</v>
      </c>
    </row>
    <row r="344" spans="11:12" x14ac:dyDescent="0.4">
      <c r="K344" s="5">
        <v>342</v>
      </c>
      <c r="L344" s="73">
        <v>2.8421709430404007E-14</v>
      </c>
    </row>
    <row r="345" spans="11:12" x14ac:dyDescent="0.4">
      <c r="K345" s="5">
        <v>343</v>
      </c>
      <c r="L345" s="73">
        <v>-19.299999999999972</v>
      </c>
    </row>
    <row r="346" spans="11:12" x14ac:dyDescent="0.4">
      <c r="K346" s="5">
        <v>344</v>
      </c>
      <c r="L346" s="73">
        <v>-3.099999999999973</v>
      </c>
    </row>
    <row r="347" spans="11:12" x14ac:dyDescent="0.4">
      <c r="K347" s="5">
        <v>345</v>
      </c>
      <c r="L347" s="73">
        <v>2.708944180085382E-14</v>
      </c>
    </row>
    <row r="348" spans="11:12" x14ac:dyDescent="0.4">
      <c r="K348" s="5">
        <v>346</v>
      </c>
      <c r="L348" s="73">
        <v>24.000000000000028</v>
      </c>
    </row>
    <row r="349" spans="11:12" x14ac:dyDescent="0.4">
      <c r="K349" s="5">
        <v>347</v>
      </c>
      <c r="L349" s="73">
        <v>18.10000000000003</v>
      </c>
    </row>
    <row r="350" spans="11:12" x14ac:dyDescent="0.4">
      <c r="K350" s="5">
        <v>348</v>
      </c>
      <c r="L350" s="73">
        <v>2.8421709430404007E-14</v>
      </c>
    </row>
    <row r="351" spans="11:12" x14ac:dyDescent="0.4">
      <c r="K351" s="5">
        <v>349</v>
      </c>
      <c r="L351" s="73">
        <v>28.300000000000029</v>
      </c>
    </row>
    <row r="352" spans="11:12" x14ac:dyDescent="0.4">
      <c r="K352" s="5">
        <v>350</v>
      </c>
      <c r="L352" s="73">
        <v>8.1000000000000298</v>
      </c>
    </row>
    <row r="353" spans="11:12" x14ac:dyDescent="0.4">
      <c r="K353" s="5">
        <v>351</v>
      </c>
      <c r="L353" s="73">
        <v>3.0198066269804258E-14</v>
      </c>
    </row>
    <row r="354" spans="11:12" x14ac:dyDescent="0.4">
      <c r="K354" s="5">
        <v>352</v>
      </c>
      <c r="L354" s="73">
        <v>-31.499999999999972</v>
      </c>
    </row>
    <row r="355" spans="11:12" x14ac:dyDescent="0.4">
      <c r="K355" s="5">
        <v>353</v>
      </c>
      <c r="L355" s="73">
        <v>18.500000000000028</v>
      </c>
    </row>
    <row r="356" spans="11:12" x14ac:dyDescent="0.4">
      <c r="K356" s="5">
        <v>354</v>
      </c>
      <c r="L356" s="73">
        <v>2.8421709430404007E-14</v>
      </c>
    </row>
    <row r="357" spans="11:12" x14ac:dyDescent="0.4">
      <c r="K357" s="5">
        <v>355</v>
      </c>
      <c r="L357" s="73">
        <v>19.500000000000028</v>
      </c>
    </row>
    <row r="358" spans="11:12" x14ac:dyDescent="0.4">
      <c r="K358" s="5">
        <v>356</v>
      </c>
      <c r="L358" s="73">
        <v>7.4000000000000288</v>
      </c>
    </row>
    <row r="359" spans="11:12" x14ac:dyDescent="0.4">
      <c r="K359" s="5">
        <v>357</v>
      </c>
      <c r="L359" s="73">
        <v>2.8421709430404007E-14</v>
      </c>
    </row>
    <row r="360" spans="11:12" x14ac:dyDescent="0.4">
      <c r="K360" s="5">
        <v>358</v>
      </c>
      <c r="L360" s="73">
        <v>-5.3999999999999719</v>
      </c>
    </row>
    <row r="361" spans="11:12" x14ac:dyDescent="0.4">
      <c r="K361" s="5">
        <v>359</v>
      </c>
      <c r="L361" s="73">
        <v>10.400000000000029</v>
      </c>
    </row>
    <row r="362" spans="11:12" x14ac:dyDescent="0.4">
      <c r="K362" s="5">
        <v>360</v>
      </c>
      <c r="L362" s="73">
        <v>2.8421709430404007E-14</v>
      </c>
    </row>
    <row r="363" spans="11:12" x14ac:dyDescent="0.4">
      <c r="K363" s="5">
        <v>361</v>
      </c>
      <c r="L363" s="73">
        <v>56.000000000000028</v>
      </c>
    </row>
    <row r="364" spans="11:12" x14ac:dyDescent="0.4">
      <c r="K364" s="5">
        <v>362</v>
      </c>
      <c r="L364" s="73">
        <v>38.000000000000028</v>
      </c>
    </row>
    <row r="365" spans="11:12" x14ac:dyDescent="0.4">
      <c r="K365" s="5">
        <v>363</v>
      </c>
      <c r="L365" s="73">
        <v>2.8421709430404007E-14</v>
      </c>
    </row>
    <row r="366" spans="11:12" x14ac:dyDescent="0.4">
      <c r="K366" s="5">
        <v>364</v>
      </c>
      <c r="L366" s="73">
        <v>43.000000000000028</v>
      </c>
    </row>
    <row r="367" spans="11:12" x14ac:dyDescent="0.4">
      <c r="K367" s="5">
        <v>365</v>
      </c>
      <c r="L367" s="73">
        <v>2.0000000000000284</v>
      </c>
    </row>
    <row r="368" spans="11:12" x14ac:dyDescent="0.4">
      <c r="K368" s="5">
        <v>366</v>
      </c>
      <c r="L368" s="73">
        <v>2.8421709430404007E-14</v>
      </c>
    </row>
    <row r="369" spans="11:12" x14ac:dyDescent="0.4">
      <c r="K369" s="5">
        <v>367</v>
      </c>
      <c r="L369" s="73">
        <v>-13.999999999999972</v>
      </c>
    </row>
    <row r="370" spans="11:12" x14ac:dyDescent="0.4">
      <c r="K370" s="5">
        <v>368</v>
      </c>
      <c r="L370" s="73">
        <v>-21.199999999999971</v>
      </c>
    </row>
    <row r="371" spans="11:12" x14ac:dyDescent="0.4">
      <c r="K371" s="5">
        <v>369</v>
      </c>
      <c r="L371" s="73">
        <v>2.8421709430404007E-14</v>
      </c>
    </row>
    <row r="372" spans="11:12" x14ac:dyDescent="0.4">
      <c r="K372" s="5">
        <v>370</v>
      </c>
      <c r="L372" s="73">
        <v>-48.39999999999997</v>
      </c>
    </row>
    <row r="373" spans="11:12" x14ac:dyDescent="0.4">
      <c r="K373" s="5">
        <v>371</v>
      </c>
      <c r="L373" s="73">
        <v>-14.999999999999972</v>
      </c>
    </row>
    <row r="374" spans="11:12" x14ac:dyDescent="0.4">
      <c r="K374" s="5">
        <v>372</v>
      </c>
      <c r="L374" s="73">
        <v>2.8421709430404007E-14</v>
      </c>
    </row>
    <row r="375" spans="11:12" x14ac:dyDescent="0.4">
      <c r="K375" s="5">
        <v>373</v>
      </c>
      <c r="L375" s="73">
        <v>44.900000000000027</v>
      </c>
    </row>
    <row r="376" spans="11:12" x14ac:dyDescent="0.4">
      <c r="K376" s="5">
        <v>374</v>
      </c>
      <c r="L376" s="73">
        <v>39.300000000000026</v>
      </c>
    </row>
    <row r="377" spans="11:12" x14ac:dyDescent="0.4">
      <c r="K377" s="5">
        <v>375</v>
      </c>
      <c r="L377" s="73">
        <v>2.8421709430404007E-14</v>
      </c>
    </row>
    <row r="378" spans="11:12" x14ac:dyDescent="0.4">
      <c r="K378" s="5">
        <v>376</v>
      </c>
      <c r="L378" s="73">
        <v>17.10000000000003</v>
      </c>
    </row>
    <row r="379" spans="11:12" x14ac:dyDescent="0.4">
      <c r="K379" s="5">
        <v>377</v>
      </c>
      <c r="L379" s="73">
        <v>-9.8999999999999702</v>
      </c>
    </row>
    <row r="380" spans="11:12" x14ac:dyDescent="0.4">
      <c r="K380" s="5">
        <v>378</v>
      </c>
      <c r="L380" s="73">
        <v>3.0198066269804258E-14</v>
      </c>
    </row>
    <row r="381" spans="11:12" x14ac:dyDescent="0.4">
      <c r="K381" s="5">
        <v>379</v>
      </c>
      <c r="L381" s="73">
        <v>-37.999999999999972</v>
      </c>
    </row>
    <row r="382" spans="11:12" x14ac:dyDescent="0.4">
      <c r="K382" s="5">
        <v>380</v>
      </c>
      <c r="L382" s="73">
        <v>-32.799999999999969</v>
      </c>
    </row>
    <row r="383" spans="11:12" x14ac:dyDescent="0.4">
      <c r="K383" s="5">
        <v>381</v>
      </c>
      <c r="L383" s="73">
        <v>2.8421709430404007E-14</v>
      </c>
    </row>
    <row r="384" spans="11:12" x14ac:dyDescent="0.4">
      <c r="K384" s="5">
        <v>382</v>
      </c>
      <c r="L384" s="73">
        <v>16.500000000000028</v>
      </c>
    </row>
    <row r="385" spans="11:12" x14ac:dyDescent="0.4">
      <c r="K385" s="5">
        <v>383</v>
      </c>
      <c r="L385" s="73">
        <v>8.8000000000000291</v>
      </c>
    </row>
    <row r="386" spans="11:12" x14ac:dyDescent="0.4">
      <c r="K386" s="5">
        <v>384</v>
      </c>
      <c r="L386" s="73">
        <v>2.8421709430404007E-14</v>
      </c>
    </row>
    <row r="387" spans="11:12" x14ac:dyDescent="0.4">
      <c r="K387" s="5">
        <v>385</v>
      </c>
      <c r="L387" s="73">
        <v>8.7000000000000277</v>
      </c>
    </row>
    <row r="388" spans="11:12" x14ac:dyDescent="0.4">
      <c r="K388" s="5">
        <v>386</v>
      </c>
      <c r="L388" s="73">
        <v>20.300000000000026</v>
      </c>
    </row>
    <row r="389" spans="11:12" x14ac:dyDescent="0.4">
      <c r="K389" s="5">
        <v>387</v>
      </c>
      <c r="L389" s="73">
        <v>2.4868995751603507E-14</v>
      </c>
    </row>
    <row r="390" spans="11:12" x14ac:dyDescent="0.4">
      <c r="K390" s="5">
        <v>388</v>
      </c>
      <c r="L390" s="73">
        <v>20.700000000000024</v>
      </c>
    </row>
    <row r="391" spans="11:12" x14ac:dyDescent="0.4">
      <c r="K391" s="5">
        <v>389</v>
      </c>
      <c r="L391" s="73">
        <v>-22.799999999999976</v>
      </c>
    </row>
    <row r="392" spans="11:12" x14ac:dyDescent="0.4">
      <c r="K392" s="5">
        <v>390</v>
      </c>
      <c r="L392" s="73">
        <v>2.4868995751603507E-14</v>
      </c>
    </row>
    <row r="393" spans="11:12" x14ac:dyDescent="0.4">
      <c r="K393" s="5">
        <v>391</v>
      </c>
      <c r="L393" s="73">
        <v>15.300000000000026</v>
      </c>
    </row>
    <row r="394" spans="11:12" x14ac:dyDescent="0.4">
      <c r="K394" s="5">
        <v>392</v>
      </c>
      <c r="L394" s="73">
        <v>8.5000000000000249</v>
      </c>
    </row>
    <row r="395" spans="11:12" x14ac:dyDescent="0.4">
      <c r="K395" s="5">
        <v>393</v>
      </c>
      <c r="L395" s="73">
        <v>2.4868995751603507E-14</v>
      </c>
    </row>
    <row r="396" spans="11:12" x14ac:dyDescent="0.4">
      <c r="K396" s="5">
        <v>394</v>
      </c>
      <c r="L396" s="73">
        <v>11.600000000000025</v>
      </c>
    </row>
    <row r="397" spans="11:12" x14ac:dyDescent="0.4">
      <c r="K397" s="5">
        <v>395</v>
      </c>
      <c r="L397" s="73">
        <v>31.200000000000024</v>
      </c>
    </row>
    <row r="398" spans="11:12" x14ac:dyDescent="0.4">
      <c r="K398" s="5">
        <v>396</v>
      </c>
      <c r="L398" s="73">
        <v>2.4868995751603507E-14</v>
      </c>
    </row>
    <row r="399" spans="11:12" x14ac:dyDescent="0.4">
      <c r="K399" s="5">
        <v>397</v>
      </c>
      <c r="L399" s="73">
        <v>8.2000000000000242</v>
      </c>
    </row>
    <row r="400" spans="11:12" x14ac:dyDescent="0.4">
      <c r="K400" s="5">
        <v>398</v>
      </c>
      <c r="L400" s="73">
        <v>-11.799999999999976</v>
      </c>
    </row>
    <row r="401" spans="11:12" x14ac:dyDescent="0.4">
      <c r="K401" s="5">
        <v>399</v>
      </c>
      <c r="L401" s="73">
        <v>2.4868995751603507E-14</v>
      </c>
    </row>
    <row r="402" spans="11:12" x14ac:dyDescent="0.4">
      <c r="K402" s="5">
        <v>400</v>
      </c>
      <c r="L402" s="73">
        <v>24.500000000000025</v>
      </c>
    </row>
    <row r="403" spans="11:12" x14ac:dyDescent="0.4">
      <c r="K403" s="5">
        <v>401</v>
      </c>
      <c r="L403" s="73">
        <v>19.600000000000023</v>
      </c>
    </row>
    <row r="404" spans="11:12" x14ac:dyDescent="0.4">
      <c r="K404" s="5">
        <v>402</v>
      </c>
      <c r="L404" s="73">
        <v>2.1316282072803006E-14</v>
      </c>
    </row>
    <row r="405" spans="11:12" x14ac:dyDescent="0.4">
      <c r="K405" s="5">
        <v>403</v>
      </c>
      <c r="L405" s="73">
        <v>16.90000000000002</v>
      </c>
    </row>
    <row r="406" spans="11:12" x14ac:dyDescent="0.4">
      <c r="K406" s="5">
        <v>404</v>
      </c>
      <c r="L406" s="73">
        <v>18.100000000000019</v>
      </c>
    </row>
    <row r="407" spans="11:12" x14ac:dyDescent="0.4">
      <c r="K407" s="5">
        <v>405</v>
      </c>
      <c r="L407" s="73">
        <v>1.7763568394002505E-14</v>
      </c>
    </row>
    <row r="408" spans="11:12" x14ac:dyDescent="0.4">
      <c r="K408" s="5">
        <v>406</v>
      </c>
      <c r="L408" s="73">
        <v>-37.499999999999986</v>
      </c>
    </row>
    <row r="409" spans="11:12" x14ac:dyDescent="0.4">
      <c r="K409" s="5">
        <v>407</v>
      </c>
      <c r="L409" s="73">
        <v>-11.999999999999986</v>
      </c>
    </row>
    <row r="410" spans="11:12" x14ac:dyDescent="0.4">
      <c r="K410" s="5">
        <v>408</v>
      </c>
      <c r="L410" s="73">
        <v>1.4210854715202004E-14</v>
      </c>
    </row>
    <row r="411" spans="11:12" x14ac:dyDescent="0.4">
      <c r="K411" s="5">
        <v>409</v>
      </c>
      <c r="L411" s="73">
        <v>38.500000000000014</v>
      </c>
    </row>
    <row r="412" spans="11:12" x14ac:dyDescent="0.4">
      <c r="K412" s="5">
        <v>410</v>
      </c>
      <c r="L412" s="73">
        <v>0.50000000000001421</v>
      </c>
    </row>
    <row r="413" spans="11:12" x14ac:dyDescent="0.4">
      <c r="K413" s="5">
        <v>411</v>
      </c>
      <c r="L413" s="73">
        <v>1.4210854715202004E-14</v>
      </c>
    </row>
    <row r="414" spans="11:12" x14ac:dyDescent="0.4">
      <c r="K414" s="5">
        <v>412</v>
      </c>
      <c r="L414" s="73">
        <v>-46.499999999999986</v>
      </c>
    </row>
    <row r="415" spans="11:12" x14ac:dyDescent="0.4">
      <c r="K415" s="5">
        <v>413</v>
      </c>
      <c r="L415" s="73">
        <v>-41.999999999999986</v>
      </c>
    </row>
    <row r="416" spans="11:12" x14ac:dyDescent="0.4">
      <c r="K416" s="5">
        <v>414</v>
      </c>
      <c r="L416" s="73">
        <v>1.4210854715202004E-14</v>
      </c>
    </row>
    <row r="417" spans="11:12" x14ac:dyDescent="0.4">
      <c r="K417" s="5">
        <v>415</v>
      </c>
      <c r="L417" s="73">
        <v>13.200000000000014</v>
      </c>
    </row>
    <row r="418" spans="11:12" x14ac:dyDescent="0.4">
      <c r="K418" s="5">
        <v>416</v>
      </c>
      <c r="L418" s="73">
        <v>5.8000000000000131</v>
      </c>
    </row>
    <row r="419" spans="11:12" x14ac:dyDescent="0.4">
      <c r="K419" s="5">
        <v>417</v>
      </c>
      <c r="L419" s="73">
        <v>1.3322676295501878E-14</v>
      </c>
    </row>
    <row r="420" spans="11:12" x14ac:dyDescent="0.4">
      <c r="K420" s="5">
        <v>418</v>
      </c>
      <c r="L420" s="73">
        <v>-19.499999999999986</v>
      </c>
    </row>
    <row r="421" spans="11:12" x14ac:dyDescent="0.4">
      <c r="K421" s="5">
        <v>419</v>
      </c>
      <c r="L421" s="73">
        <v>-1.6999999999999851</v>
      </c>
    </row>
    <row r="422" spans="11:12" x14ac:dyDescent="0.4">
      <c r="K422" s="5">
        <v>420</v>
      </c>
      <c r="L422" s="73">
        <v>1.4876988529977098E-14</v>
      </c>
    </row>
    <row r="423" spans="11:12" x14ac:dyDescent="0.4">
      <c r="K423" s="5">
        <v>421</v>
      </c>
      <c r="L423" s="73">
        <v>41.400000000000013</v>
      </c>
    </row>
    <row r="424" spans="11:12" x14ac:dyDescent="0.4">
      <c r="K424" s="5">
        <v>422</v>
      </c>
      <c r="L424" s="73">
        <v>15.000000000000014</v>
      </c>
    </row>
    <row r="425" spans="11:12" x14ac:dyDescent="0.4">
      <c r="K425" s="5">
        <v>423</v>
      </c>
      <c r="L425" s="73">
        <v>1.4210854715202004E-14</v>
      </c>
    </row>
    <row r="426" spans="11:12" x14ac:dyDescent="0.4">
      <c r="K426" s="5">
        <v>424</v>
      </c>
      <c r="L426" s="73">
        <v>27.100000000000016</v>
      </c>
    </row>
    <row r="427" spans="11:12" x14ac:dyDescent="0.4">
      <c r="K427" s="5">
        <v>425</v>
      </c>
      <c r="L427" s="73">
        <v>-23.499999999999986</v>
      </c>
    </row>
    <row r="428" spans="11:12" x14ac:dyDescent="0.4">
      <c r="K428" s="5">
        <v>426</v>
      </c>
      <c r="L428" s="73">
        <v>1.4210854715202004E-14</v>
      </c>
    </row>
    <row r="429" spans="11:12" x14ac:dyDescent="0.4">
      <c r="K429" s="5">
        <v>427</v>
      </c>
      <c r="L429" s="73">
        <v>8.5000000000000142</v>
      </c>
    </row>
    <row r="430" spans="11:12" x14ac:dyDescent="0.4">
      <c r="K430" s="5">
        <v>428</v>
      </c>
      <c r="L430" s="73">
        <v>34.200000000000017</v>
      </c>
    </row>
    <row r="431" spans="11:12" x14ac:dyDescent="0.4">
      <c r="K431" s="5">
        <v>429</v>
      </c>
      <c r="L431" s="73">
        <v>1.4210854715202004E-14</v>
      </c>
    </row>
    <row r="432" spans="11:12" x14ac:dyDescent="0.4">
      <c r="K432" s="5">
        <v>430</v>
      </c>
      <c r="L432" s="73">
        <v>4.800000000000014</v>
      </c>
    </row>
    <row r="433" spans="11:12" x14ac:dyDescent="0.4">
      <c r="K433" s="5">
        <v>431</v>
      </c>
      <c r="L433" s="73">
        <v>-11.999999999999986</v>
      </c>
    </row>
    <row r="434" spans="11:12" x14ac:dyDescent="0.4">
      <c r="K434" s="5">
        <v>432</v>
      </c>
      <c r="L434" s="73">
        <v>1.4210854715202004E-14</v>
      </c>
    </row>
    <row r="435" spans="11:12" x14ac:dyDescent="0.4">
      <c r="K435" s="5">
        <v>433</v>
      </c>
      <c r="L435" s="73">
        <v>43.300000000000011</v>
      </c>
    </row>
    <row r="436" spans="11:12" x14ac:dyDescent="0.4">
      <c r="K436" s="5">
        <v>434</v>
      </c>
      <c r="L436" s="73">
        <v>35.500000000000014</v>
      </c>
    </row>
    <row r="437" spans="11:12" x14ac:dyDescent="0.4">
      <c r="K437" s="5">
        <v>435</v>
      </c>
      <c r="L437" s="73">
        <v>1.4210854715202004E-14</v>
      </c>
    </row>
    <row r="438" spans="11:12" x14ac:dyDescent="0.4">
      <c r="K438" s="5">
        <v>436</v>
      </c>
      <c r="L438" s="73">
        <v>26.000000000000014</v>
      </c>
    </row>
    <row r="439" spans="11:12" x14ac:dyDescent="0.4">
      <c r="K439" s="5">
        <v>437</v>
      </c>
      <c r="L439" s="73">
        <v>20.700000000000014</v>
      </c>
    </row>
    <row r="440" spans="11:12" x14ac:dyDescent="0.4">
      <c r="K440" s="5">
        <v>438</v>
      </c>
      <c r="L440" s="73">
        <v>1.4210854715202004E-14</v>
      </c>
    </row>
    <row r="441" spans="11:12" x14ac:dyDescent="0.4">
      <c r="K441" s="5">
        <v>439</v>
      </c>
      <c r="L441" s="73">
        <v>11.000000000000014</v>
      </c>
    </row>
    <row r="442" spans="11:12" x14ac:dyDescent="0.4">
      <c r="K442" s="5">
        <v>440</v>
      </c>
      <c r="L442" s="73">
        <v>-21.799999999999983</v>
      </c>
    </row>
    <row r="443" spans="11:12" x14ac:dyDescent="0.4">
      <c r="K443" s="5">
        <v>441</v>
      </c>
      <c r="L443" s="73">
        <v>1.7763568394002505E-14</v>
      </c>
    </row>
    <row r="444" spans="11:12" x14ac:dyDescent="0.4">
      <c r="K444" s="5">
        <v>442</v>
      </c>
      <c r="L444" s="73">
        <v>41.000000000000014</v>
      </c>
    </row>
    <row r="445" spans="11:12" x14ac:dyDescent="0.4">
      <c r="K445" s="5">
        <v>443</v>
      </c>
      <c r="L445" s="73">
        <v>-4.4999999999999858</v>
      </c>
    </row>
    <row r="446" spans="11:12" x14ac:dyDescent="0.4">
      <c r="K446" s="5">
        <v>444</v>
      </c>
      <c r="L446" s="73">
        <v>1.4210854715202004E-14</v>
      </c>
    </row>
    <row r="447" spans="11:12" x14ac:dyDescent="0.4">
      <c r="K447" s="5">
        <v>445</v>
      </c>
      <c r="L447" s="73">
        <v>25.000000000000014</v>
      </c>
    </row>
    <row r="448" spans="11:12" x14ac:dyDescent="0.4">
      <c r="K448" s="5">
        <v>446</v>
      </c>
      <c r="L448" s="73">
        <v>-10.499999999999986</v>
      </c>
    </row>
    <row r="449" spans="11:12" x14ac:dyDescent="0.4">
      <c r="K449" s="5">
        <v>447</v>
      </c>
      <c r="L449" s="73">
        <v>1.4210854715202004E-14</v>
      </c>
    </row>
    <row r="450" spans="11:12" x14ac:dyDescent="0.4">
      <c r="K450" s="5">
        <v>448</v>
      </c>
      <c r="L450" s="73">
        <v>-19.799999999999986</v>
      </c>
    </row>
    <row r="451" spans="11:12" x14ac:dyDescent="0.4">
      <c r="K451" s="5">
        <v>449</v>
      </c>
      <c r="L451" s="73">
        <v>-29.799999999999986</v>
      </c>
    </row>
    <row r="452" spans="11:12" x14ac:dyDescent="0.4">
      <c r="K452" s="5">
        <v>450</v>
      </c>
      <c r="L452" s="73">
        <v>1.4210854715202004E-14</v>
      </c>
    </row>
    <row r="453" spans="11:12" x14ac:dyDescent="0.4">
      <c r="K453" s="5">
        <v>451</v>
      </c>
      <c r="L453" s="73">
        <v>37.600000000000016</v>
      </c>
    </row>
    <row r="454" spans="11:12" x14ac:dyDescent="0.4">
      <c r="K454" s="5">
        <v>452</v>
      </c>
      <c r="L454" s="73">
        <v>36.500000000000014</v>
      </c>
    </row>
    <row r="455" spans="11:12" x14ac:dyDescent="0.4">
      <c r="K455" s="5">
        <v>453</v>
      </c>
      <c r="L455" s="73">
        <v>1.4210854715202004E-14</v>
      </c>
    </row>
    <row r="456" spans="11:12" x14ac:dyDescent="0.4">
      <c r="K456" s="5">
        <v>454</v>
      </c>
      <c r="L456" s="73">
        <v>7.800000000000014</v>
      </c>
    </row>
    <row r="457" spans="11:12" x14ac:dyDescent="0.4">
      <c r="K457" s="5">
        <v>455</v>
      </c>
      <c r="L457" s="73">
        <v>-29.399999999999988</v>
      </c>
    </row>
    <row r="458" spans="11:12" x14ac:dyDescent="0.4">
      <c r="K458" s="5">
        <v>456</v>
      </c>
      <c r="L458" s="73">
        <v>1.0658141036401503E-14</v>
      </c>
    </row>
    <row r="459" spans="11:12" x14ac:dyDescent="0.4">
      <c r="K459" s="5">
        <v>457</v>
      </c>
      <c r="L459" s="73">
        <v>68.100000000000009</v>
      </c>
    </row>
    <row r="460" spans="11:12" x14ac:dyDescent="0.4">
      <c r="K460" s="5">
        <v>458</v>
      </c>
      <c r="L460" s="73">
        <v>26.800000000000011</v>
      </c>
    </row>
    <row r="461" spans="11:12" x14ac:dyDescent="0.4">
      <c r="K461" s="5">
        <v>459</v>
      </c>
      <c r="L461" s="73">
        <v>1.0658141036401503E-14</v>
      </c>
    </row>
    <row r="462" spans="11:12" x14ac:dyDescent="0.4">
      <c r="K462" s="5">
        <v>460</v>
      </c>
      <c r="L462" s="73">
        <v>-1.9999999999999893</v>
      </c>
    </row>
    <row r="463" spans="11:12" x14ac:dyDescent="0.4">
      <c r="K463" s="5">
        <v>461</v>
      </c>
      <c r="L463" s="73">
        <v>-18.399999999999988</v>
      </c>
    </row>
    <row r="464" spans="11:12" x14ac:dyDescent="0.4">
      <c r="K464" s="5">
        <v>462</v>
      </c>
      <c r="L464" s="73">
        <v>1.0658141036401503E-14</v>
      </c>
    </row>
    <row r="465" spans="11:12" x14ac:dyDescent="0.4">
      <c r="K465" s="5">
        <v>463</v>
      </c>
      <c r="L465" s="73">
        <v>5.2000000000000108</v>
      </c>
    </row>
    <row r="466" spans="11:12" x14ac:dyDescent="0.4">
      <c r="K466" s="5">
        <v>464</v>
      </c>
      <c r="L466" s="73">
        <v>-26.499999999999989</v>
      </c>
    </row>
    <row r="467" spans="11:12" x14ac:dyDescent="0.4">
      <c r="K467" s="5">
        <v>465</v>
      </c>
      <c r="L467" s="73">
        <v>1.0658141036401503E-14</v>
      </c>
    </row>
    <row r="468" spans="11:12" x14ac:dyDescent="0.4">
      <c r="K468" s="5">
        <v>466</v>
      </c>
      <c r="L468" s="73">
        <v>16.20000000000001</v>
      </c>
    </row>
    <row r="469" spans="11:12" x14ac:dyDescent="0.4">
      <c r="K469" s="5">
        <v>467</v>
      </c>
      <c r="L469" s="73">
        <v>11.30000000000001</v>
      </c>
    </row>
    <row r="470" spans="11:12" x14ac:dyDescent="0.4">
      <c r="K470" s="5">
        <v>468</v>
      </c>
      <c r="L470" s="73">
        <v>8.8817841970012523E-15</v>
      </c>
    </row>
    <row r="471" spans="11:12" x14ac:dyDescent="0.4">
      <c r="K471" s="5">
        <v>469</v>
      </c>
      <c r="L471" s="73">
        <v>24.20000000000001</v>
      </c>
    </row>
    <row r="472" spans="11:12" x14ac:dyDescent="0.4">
      <c r="K472" s="5">
        <v>470</v>
      </c>
      <c r="L472" s="73">
        <v>9.3000000000000096</v>
      </c>
    </row>
    <row r="473" spans="11:12" x14ac:dyDescent="0.4">
      <c r="K473" s="5">
        <v>471</v>
      </c>
      <c r="L473" s="73">
        <v>8.8817841970012523E-15</v>
      </c>
    </row>
    <row r="474" spans="11:12" x14ac:dyDescent="0.4">
      <c r="K474" s="5">
        <v>472</v>
      </c>
      <c r="L474" s="73">
        <v>20.600000000000009</v>
      </c>
    </row>
    <row r="475" spans="11:12" x14ac:dyDescent="0.4">
      <c r="K475" s="5">
        <v>473</v>
      </c>
      <c r="L475" s="73">
        <v>-25.099999999999994</v>
      </c>
    </row>
    <row r="476" spans="11:12" x14ac:dyDescent="0.4">
      <c r="K476" s="5">
        <v>474</v>
      </c>
      <c r="L476" s="73">
        <v>7.1054273576010019E-15</v>
      </c>
    </row>
    <row r="477" spans="11:12" x14ac:dyDescent="0.4">
      <c r="K477" s="5">
        <v>475</v>
      </c>
      <c r="L477" s="73">
        <v>7.3000000000000069</v>
      </c>
    </row>
    <row r="478" spans="11:12" x14ac:dyDescent="0.4">
      <c r="K478" s="5">
        <v>476</v>
      </c>
      <c r="L478" s="73">
        <v>33.500000000000007</v>
      </c>
    </row>
    <row r="479" spans="11:12" x14ac:dyDescent="0.4">
      <c r="K479" s="5">
        <v>477</v>
      </c>
      <c r="L479" s="73">
        <v>7.1054273576010019E-15</v>
      </c>
    </row>
    <row r="480" spans="11:12" x14ac:dyDescent="0.4">
      <c r="K480" s="5">
        <v>478</v>
      </c>
      <c r="L480" s="73">
        <v>4.8000000000000069</v>
      </c>
    </row>
    <row r="481" spans="11:12" x14ac:dyDescent="0.4">
      <c r="K481" s="5">
        <v>479</v>
      </c>
      <c r="L481" s="73">
        <v>37.500000000000007</v>
      </c>
    </row>
    <row r="482" spans="11:12" x14ac:dyDescent="0.4">
      <c r="K482" s="5">
        <v>480</v>
      </c>
      <c r="L482" s="73">
        <v>7.1054273576010019E-15</v>
      </c>
    </row>
    <row r="483" spans="11:12" x14ac:dyDescent="0.4">
      <c r="K483" s="5">
        <v>481</v>
      </c>
      <c r="L483" s="73">
        <v>4.1000000000000068</v>
      </c>
    </row>
    <row r="484" spans="11:12" x14ac:dyDescent="0.4">
      <c r="K484" s="5">
        <v>482</v>
      </c>
      <c r="L484" s="73">
        <v>9.4000000000000057</v>
      </c>
    </row>
    <row r="485" spans="11:12" x14ac:dyDescent="0.4">
      <c r="K485" s="5">
        <v>483</v>
      </c>
      <c r="L485" s="73">
        <v>5.3290705182007514E-15</v>
      </c>
    </row>
    <row r="486" spans="11:12" x14ac:dyDescent="0.4">
      <c r="K486" s="5">
        <v>484</v>
      </c>
      <c r="L486" s="73">
        <v>-11.999999999999995</v>
      </c>
    </row>
    <row r="487" spans="11:12" x14ac:dyDescent="0.4">
      <c r="K487" s="5">
        <v>485</v>
      </c>
      <c r="L487" s="73">
        <v>-0.49999999999999467</v>
      </c>
    </row>
    <row r="488" spans="11:12" x14ac:dyDescent="0.4">
      <c r="K488" s="5">
        <v>486</v>
      </c>
      <c r="L488" s="73">
        <v>5.3290705182007514E-15</v>
      </c>
    </row>
    <row r="489" spans="11:12" x14ac:dyDescent="0.4">
      <c r="K489" s="5">
        <v>487</v>
      </c>
      <c r="L489" s="73">
        <v>12.500000000000005</v>
      </c>
    </row>
    <row r="490" spans="11:12" x14ac:dyDescent="0.4">
      <c r="K490" s="5">
        <v>488</v>
      </c>
      <c r="L490" s="73">
        <v>0.40000000000000568</v>
      </c>
    </row>
    <row r="491" spans="11:12" x14ac:dyDescent="0.4">
      <c r="K491" s="5">
        <v>489</v>
      </c>
      <c r="L491" s="73">
        <v>5.6621374255882984E-15</v>
      </c>
    </row>
    <row r="492" spans="11:12" x14ac:dyDescent="0.4">
      <c r="K492" s="5">
        <v>490</v>
      </c>
      <c r="L492" s="73">
        <v>-12.899999999999995</v>
      </c>
    </row>
    <row r="493" spans="11:12" x14ac:dyDescent="0.4">
      <c r="K493" s="5">
        <v>491</v>
      </c>
      <c r="L493" s="73">
        <v>-18.099999999999994</v>
      </c>
    </row>
    <row r="494" spans="11:12" x14ac:dyDescent="0.4">
      <c r="K494" s="5">
        <v>492</v>
      </c>
      <c r="L494" s="73">
        <v>7.1054273576010019E-15</v>
      </c>
    </row>
    <row r="495" spans="11:12" x14ac:dyDescent="0.4">
      <c r="K495" s="5">
        <v>493</v>
      </c>
      <c r="L495" s="73">
        <v>15.600000000000007</v>
      </c>
    </row>
    <row r="496" spans="11:12" x14ac:dyDescent="0.4">
      <c r="K496" s="5">
        <v>494</v>
      </c>
      <c r="L496" s="73">
        <v>-22.79999999999999</v>
      </c>
    </row>
    <row r="497" spans="11:12" x14ac:dyDescent="0.4">
      <c r="K497" s="5">
        <v>495</v>
      </c>
      <c r="L497" s="73">
        <v>1.0658141036401503E-14</v>
      </c>
    </row>
    <row r="498" spans="11:12" x14ac:dyDescent="0.4">
      <c r="K498" s="5">
        <v>496</v>
      </c>
      <c r="L498" s="73">
        <v>15.60000000000001</v>
      </c>
    </row>
    <row r="499" spans="11:12" x14ac:dyDescent="0.4">
      <c r="K499" s="5">
        <v>497</v>
      </c>
      <c r="L499" s="73">
        <v>2.8000000000000096</v>
      </c>
    </row>
    <row r="500" spans="11:12" x14ac:dyDescent="0.4">
      <c r="K500" s="5">
        <v>498</v>
      </c>
      <c r="L500" s="73">
        <v>9.7699626167013776E-15</v>
      </c>
    </row>
    <row r="501" spans="11:12" x14ac:dyDescent="0.4">
      <c r="K501" s="5">
        <v>499</v>
      </c>
      <c r="L501" s="73">
        <v>-35.999999999999993</v>
      </c>
    </row>
    <row r="502" spans="11:12" x14ac:dyDescent="0.4">
      <c r="K502" s="5">
        <v>500</v>
      </c>
      <c r="L502" s="73">
        <v>7.1054273576010019E-15</v>
      </c>
    </row>
    <row r="503" spans="11:12" x14ac:dyDescent="0.4">
      <c r="K503" s="5">
        <v>501</v>
      </c>
      <c r="L503" s="73">
        <v>7.1054273576010019E-15</v>
      </c>
    </row>
    <row r="504" spans="11:12" x14ac:dyDescent="0.4">
      <c r="K504" s="5">
        <v>502</v>
      </c>
      <c r="L504" s="73">
        <v>-29.599999999999994</v>
      </c>
    </row>
    <row r="505" spans="11:12" x14ac:dyDescent="0.4">
      <c r="K505" s="5">
        <v>503</v>
      </c>
      <c r="L505" s="73">
        <v>-78.699999999999989</v>
      </c>
    </row>
    <row r="506" spans="11:12" x14ac:dyDescent="0.4">
      <c r="K506" s="5">
        <v>504</v>
      </c>
      <c r="L506" s="73">
        <v>1.4210854715202004E-14</v>
      </c>
    </row>
    <row r="507" spans="11:12" x14ac:dyDescent="0.4">
      <c r="K507" s="5">
        <v>505</v>
      </c>
      <c r="L507" s="73">
        <v>6.800000000000014</v>
      </c>
    </row>
    <row r="508" spans="11:12" x14ac:dyDescent="0.4">
      <c r="K508" s="5">
        <v>506</v>
      </c>
      <c r="L508" s="73">
        <v>4.2000000000000135</v>
      </c>
    </row>
    <row r="509" spans="11:12" x14ac:dyDescent="0.4">
      <c r="K509" s="5">
        <v>507</v>
      </c>
      <c r="L509" s="73">
        <v>1.3322676295501878E-14</v>
      </c>
    </row>
    <row r="510" spans="11:12" x14ac:dyDescent="0.4">
      <c r="K510" s="5">
        <v>508</v>
      </c>
      <c r="L510" s="73">
        <v>-13.999999999999986</v>
      </c>
    </row>
    <row r="511" spans="11:12" x14ac:dyDescent="0.4">
      <c r="K511" s="5">
        <v>509</v>
      </c>
      <c r="L511" s="73">
        <v>-26.499999999999986</v>
      </c>
    </row>
    <row r="512" spans="11:12" x14ac:dyDescent="0.4">
      <c r="K512" s="5">
        <v>510</v>
      </c>
      <c r="L512" s="73">
        <v>1.4210854715202004E-14</v>
      </c>
    </row>
    <row r="513" spans="11:12" x14ac:dyDescent="0.4">
      <c r="K513" s="5">
        <v>511</v>
      </c>
      <c r="L513" s="73">
        <v>-9.9999999999999858</v>
      </c>
    </row>
    <row r="514" spans="11:12" x14ac:dyDescent="0.4">
      <c r="K514" s="5">
        <v>512</v>
      </c>
      <c r="L514" s="73">
        <v>50.500000000000014</v>
      </c>
    </row>
    <row r="515" spans="11:12" x14ac:dyDescent="0.4">
      <c r="K515" s="5">
        <v>513</v>
      </c>
      <c r="L515" s="73">
        <v>1.4210854715202004E-14</v>
      </c>
    </row>
    <row r="516" spans="11:12" x14ac:dyDescent="0.4">
      <c r="K516" s="5">
        <v>514</v>
      </c>
      <c r="L516" s="73">
        <v>44.600000000000016</v>
      </c>
    </row>
    <row r="517" spans="11:12" x14ac:dyDescent="0.4">
      <c r="K517" s="5">
        <v>515</v>
      </c>
      <c r="L517" s="73">
        <v>15.100000000000016</v>
      </c>
    </row>
    <row r="518" spans="11:12" x14ac:dyDescent="0.4">
      <c r="K518" s="5">
        <v>516</v>
      </c>
      <c r="L518" s="73">
        <v>1.5987211554602254E-14</v>
      </c>
    </row>
    <row r="519" spans="11:12" x14ac:dyDescent="0.4">
      <c r="K519" s="5">
        <v>517</v>
      </c>
      <c r="L519" s="73">
        <v>-4.6999999999999842</v>
      </c>
    </row>
    <row r="520" spans="11:12" x14ac:dyDescent="0.4">
      <c r="K520" s="5">
        <v>518</v>
      </c>
      <c r="L520" s="73">
        <v>13.900000000000016</v>
      </c>
    </row>
    <row r="521" spans="11:12" x14ac:dyDescent="0.4">
      <c r="K521" s="5">
        <v>519</v>
      </c>
      <c r="L521" s="73">
        <v>1.5987211554602254E-14</v>
      </c>
    </row>
    <row r="522" spans="11:12" x14ac:dyDescent="0.4">
      <c r="K522" s="5">
        <v>520</v>
      </c>
      <c r="L522" s="73">
        <v>12.500000000000016</v>
      </c>
    </row>
    <row r="523" spans="11:12" x14ac:dyDescent="0.4">
      <c r="K523" s="5">
        <v>521</v>
      </c>
      <c r="L523" s="73">
        <v>-1.6999999999999833</v>
      </c>
    </row>
    <row r="524" spans="11:12" x14ac:dyDescent="0.4">
      <c r="K524" s="5">
        <v>522</v>
      </c>
      <c r="L524" s="73">
        <v>1.6653345369377348E-14</v>
      </c>
    </row>
    <row r="525" spans="11:12" x14ac:dyDescent="0.4">
      <c r="K525" s="5">
        <v>523</v>
      </c>
      <c r="L525" s="73">
        <v>14.400000000000016</v>
      </c>
    </row>
    <row r="526" spans="11:12" x14ac:dyDescent="0.4">
      <c r="K526" s="5">
        <v>524</v>
      </c>
      <c r="L526" s="73">
        <v>26.700000000000017</v>
      </c>
    </row>
    <row r="527" spans="11:12" x14ac:dyDescent="0.4">
      <c r="K527" s="5">
        <v>525</v>
      </c>
      <c r="L527" s="73">
        <v>1.7763568394002505E-14</v>
      </c>
    </row>
    <row r="528" spans="11:12" x14ac:dyDescent="0.4">
      <c r="K528" s="5">
        <v>526</v>
      </c>
      <c r="L528" s="73">
        <v>-13.999999999999982</v>
      </c>
    </row>
    <row r="529" spans="11:12" x14ac:dyDescent="0.4">
      <c r="K529" s="5">
        <v>527</v>
      </c>
      <c r="L529" s="73">
        <v>-74.299999999999983</v>
      </c>
    </row>
    <row r="530" spans="11:12" x14ac:dyDescent="0.4">
      <c r="K530" s="5">
        <v>528</v>
      </c>
      <c r="L530" s="73">
        <v>1.4210854715202004E-14</v>
      </c>
    </row>
    <row r="531" spans="11:12" x14ac:dyDescent="0.4">
      <c r="K531" s="5">
        <v>529</v>
      </c>
      <c r="L531" s="73">
        <v>7.1000000000000139</v>
      </c>
    </row>
    <row r="532" spans="11:12" x14ac:dyDescent="0.4">
      <c r="K532" s="5">
        <v>530</v>
      </c>
      <c r="L532" s="73">
        <v>-0.89999999999998614</v>
      </c>
    </row>
    <row r="533" spans="11:12" x14ac:dyDescent="0.4">
      <c r="K533" s="5">
        <v>531</v>
      </c>
      <c r="L533" s="73">
        <v>1.3877787807814457E-14</v>
      </c>
    </row>
    <row r="534" spans="11:12" x14ac:dyDescent="0.4">
      <c r="K534" s="5">
        <v>532</v>
      </c>
      <c r="L534" s="73">
        <v>19.700000000000014</v>
      </c>
    </row>
    <row r="535" spans="11:12" x14ac:dyDescent="0.4">
      <c r="K535" s="5">
        <v>533</v>
      </c>
      <c r="L535" s="73">
        <v>3.8000000000000131</v>
      </c>
    </row>
    <row r="536" spans="11:12" x14ac:dyDescent="0.4">
      <c r="K536" s="5">
        <v>534</v>
      </c>
      <c r="L536" s="73">
        <v>1.3322676295501878E-14</v>
      </c>
    </row>
    <row r="537" spans="11:12" x14ac:dyDescent="0.4">
      <c r="K537" s="5">
        <v>535</v>
      </c>
      <c r="L537" s="73">
        <v>23.800000000000015</v>
      </c>
    </row>
    <row r="538" spans="11:12" x14ac:dyDescent="0.4">
      <c r="K538" s="5">
        <v>536</v>
      </c>
      <c r="L538" s="73">
        <v>25.500000000000014</v>
      </c>
    </row>
    <row r="539" spans="11:12" x14ac:dyDescent="0.4">
      <c r="K539" s="5">
        <v>537</v>
      </c>
      <c r="L539" s="73">
        <v>1.4210854715202004E-14</v>
      </c>
    </row>
    <row r="540" spans="11:12" x14ac:dyDescent="0.4">
      <c r="K540" s="5">
        <v>538</v>
      </c>
      <c r="L540" s="73">
        <v>3.5000000000000142</v>
      </c>
    </row>
    <row r="541" spans="11:12" x14ac:dyDescent="0.4">
      <c r="K541" s="5">
        <v>539</v>
      </c>
      <c r="L541" s="73">
        <v>-5.9999999999999858</v>
      </c>
    </row>
    <row r="542" spans="11:12" x14ac:dyDescent="0.4">
      <c r="K542" s="5">
        <v>540</v>
      </c>
      <c r="L542" s="73">
        <v>1.4210854715202004E-14</v>
      </c>
    </row>
    <row r="543" spans="11:12" x14ac:dyDescent="0.4">
      <c r="K543" s="5">
        <v>541</v>
      </c>
      <c r="L543" s="73">
        <v>-4.7999999999999856</v>
      </c>
    </row>
    <row r="544" spans="11:12" x14ac:dyDescent="0.4">
      <c r="K544" s="5">
        <v>542</v>
      </c>
      <c r="L544" s="73">
        <v>21.000000000000014</v>
      </c>
    </row>
    <row r="545" spans="11:12" x14ac:dyDescent="0.4">
      <c r="K545" s="5">
        <v>543</v>
      </c>
      <c r="L545" s="73">
        <v>1.4210854715202004E-14</v>
      </c>
    </row>
    <row r="546" spans="11:12" x14ac:dyDescent="0.4">
      <c r="K546" s="5">
        <v>544</v>
      </c>
      <c r="L546" s="73">
        <v>32.500000000000014</v>
      </c>
    </row>
    <row r="547" spans="11:12" x14ac:dyDescent="0.4">
      <c r="K547" s="5">
        <v>545</v>
      </c>
      <c r="L547" s="73">
        <v>11.900000000000013</v>
      </c>
    </row>
    <row r="548" spans="11:12" x14ac:dyDescent="0.4">
      <c r="K548" s="5">
        <v>546</v>
      </c>
      <c r="L548" s="73">
        <v>1.2434497875801753E-14</v>
      </c>
    </row>
    <row r="549" spans="11:12" x14ac:dyDescent="0.4">
      <c r="K549" s="5">
        <v>547</v>
      </c>
      <c r="L549" s="73">
        <v>17.100000000000016</v>
      </c>
    </row>
    <row r="550" spans="11:12" x14ac:dyDescent="0.4">
      <c r="K550" s="5">
        <v>548</v>
      </c>
      <c r="L550" s="73">
        <v>17.500000000000014</v>
      </c>
    </row>
    <row r="551" spans="11:12" x14ac:dyDescent="0.4">
      <c r="K551" s="5">
        <v>549</v>
      </c>
      <c r="L551" s="73">
        <v>1.4210854715202004E-14</v>
      </c>
    </row>
    <row r="552" spans="11:12" x14ac:dyDescent="0.4">
      <c r="K552" s="5">
        <v>550</v>
      </c>
      <c r="L552" s="73">
        <v>12.300000000000015</v>
      </c>
    </row>
    <row r="553" spans="11:12" x14ac:dyDescent="0.4">
      <c r="K553" s="5">
        <v>551</v>
      </c>
      <c r="L553" s="73">
        <v>23.100000000000016</v>
      </c>
    </row>
    <row r="554" spans="11:12" x14ac:dyDescent="0.4">
      <c r="K554" s="5">
        <v>552</v>
      </c>
      <c r="L554" s="73">
        <v>1.4210854715202004E-14</v>
      </c>
    </row>
    <row r="555" spans="11:12" x14ac:dyDescent="0.4">
      <c r="K555" s="5">
        <v>553</v>
      </c>
      <c r="L555" s="73">
        <v>24.300000000000015</v>
      </c>
    </row>
    <row r="556" spans="11:12" x14ac:dyDescent="0.4">
      <c r="K556" s="5">
        <v>554</v>
      </c>
      <c r="L556" s="73">
        <v>11.400000000000015</v>
      </c>
    </row>
    <row r="557" spans="11:12" x14ac:dyDescent="0.4">
      <c r="K557" s="5">
        <v>555</v>
      </c>
      <c r="L557" s="73">
        <v>1.4210854715202004E-14</v>
      </c>
    </row>
    <row r="558" spans="11:12" x14ac:dyDescent="0.4">
      <c r="K558" s="5">
        <v>556</v>
      </c>
      <c r="L558" s="73">
        <v>-12.199999999999985</v>
      </c>
    </row>
    <row r="559" spans="11:12" x14ac:dyDescent="0.4">
      <c r="K559" s="5">
        <v>557</v>
      </c>
      <c r="L559" s="73">
        <v>-7.2999999999999847</v>
      </c>
    </row>
    <row r="560" spans="11:12" x14ac:dyDescent="0.4">
      <c r="K560" s="5">
        <v>558</v>
      </c>
      <c r="L560" s="73">
        <v>1.5099033134902129E-14</v>
      </c>
    </row>
    <row r="561" spans="11:12" x14ac:dyDescent="0.4">
      <c r="K561" s="5">
        <v>559</v>
      </c>
      <c r="L561" s="73">
        <v>-1.9999999999999849</v>
      </c>
    </row>
    <row r="562" spans="11:12" x14ac:dyDescent="0.4">
      <c r="K562" s="5">
        <v>560</v>
      </c>
      <c r="L562" s="73">
        <v>4.6000000000000147</v>
      </c>
    </row>
    <row r="563" spans="11:12" x14ac:dyDescent="0.4">
      <c r="K563" s="5">
        <v>561</v>
      </c>
      <c r="L563" s="73">
        <v>1.5099033134902129E-14</v>
      </c>
    </row>
    <row r="564" spans="11:12" x14ac:dyDescent="0.4">
      <c r="K564" s="5">
        <v>562</v>
      </c>
      <c r="L564" s="73">
        <v>-40.599999999999987</v>
      </c>
    </row>
    <row r="565" spans="11:12" x14ac:dyDescent="0.4">
      <c r="K565" s="5">
        <v>563</v>
      </c>
      <c r="L565" s="73">
        <v>-76.499999999999986</v>
      </c>
    </row>
    <row r="566" spans="11:12" x14ac:dyDescent="0.4">
      <c r="K566" s="5">
        <v>564</v>
      </c>
      <c r="L566" s="73">
        <v>1.4210854715202004E-14</v>
      </c>
    </row>
    <row r="567" spans="11:12" x14ac:dyDescent="0.4">
      <c r="K567" s="5">
        <v>565</v>
      </c>
      <c r="L567" s="73">
        <v>21.700000000000014</v>
      </c>
    </row>
    <row r="568" spans="11:12" x14ac:dyDescent="0.4">
      <c r="K568" s="5">
        <v>566</v>
      </c>
      <c r="L568" s="73">
        <v>35.800000000000011</v>
      </c>
    </row>
    <row r="569" spans="11:12" x14ac:dyDescent="0.4">
      <c r="K569" s="5">
        <v>567</v>
      </c>
      <c r="L569" s="73">
        <v>1.4210854715202004E-14</v>
      </c>
    </row>
    <row r="570" spans="11:12" x14ac:dyDescent="0.4">
      <c r="K570" s="5">
        <v>568</v>
      </c>
      <c r="L570" s="73">
        <v>40.700000000000017</v>
      </c>
    </row>
    <row r="571" spans="11:12" x14ac:dyDescent="0.4">
      <c r="K571" s="5">
        <v>569</v>
      </c>
      <c r="L571" s="73">
        <v>2.2000000000000171</v>
      </c>
    </row>
    <row r="572" spans="11:12" x14ac:dyDescent="0.4">
      <c r="K572" s="5">
        <v>570</v>
      </c>
      <c r="L572" s="73">
        <v>1.6875389974302379E-14</v>
      </c>
    </row>
    <row r="573" spans="11:12" x14ac:dyDescent="0.4">
      <c r="K573" s="5">
        <v>571</v>
      </c>
      <c r="L573" s="73">
        <v>8.0000000000000178</v>
      </c>
    </row>
    <row r="574" spans="11:12" x14ac:dyDescent="0.4">
      <c r="K574" s="5">
        <v>572</v>
      </c>
      <c r="L574" s="73">
        <v>16.90000000000002</v>
      </c>
    </row>
    <row r="575" spans="11:12" x14ac:dyDescent="0.4">
      <c r="K575" s="5">
        <v>573</v>
      </c>
      <c r="L575" s="73">
        <v>2.1316282072803006E-14</v>
      </c>
    </row>
    <row r="576" spans="11:12" x14ac:dyDescent="0.4">
      <c r="K576" s="5">
        <v>574</v>
      </c>
      <c r="L576" s="73">
        <v>7.7000000000000215</v>
      </c>
    </row>
    <row r="577" spans="11:12" x14ac:dyDescent="0.4">
      <c r="K577" s="5">
        <v>575</v>
      </c>
      <c r="L577" s="73">
        <v>37.40000000000002</v>
      </c>
    </row>
    <row r="578" spans="11:12" x14ac:dyDescent="0.4">
      <c r="K578" s="5">
        <v>576</v>
      </c>
      <c r="L578" s="73">
        <v>2.1316282072803006E-14</v>
      </c>
    </row>
    <row r="579" spans="11:12" x14ac:dyDescent="0.4">
      <c r="K579" s="5">
        <v>577</v>
      </c>
      <c r="L579" s="73">
        <v>-68.999999999999972</v>
      </c>
    </row>
    <row r="580" spans="11:12" x14ac:dyDescent="0.4">
      <c r="K580" s="5">
        <v>578</v>
      </c>
      <c r="L580" s="73">
        <v>-89.699999999999974</v>
      </c>
    </row>
    <row r="581" spans="11:12" x14ac:dyDescent="0.4">
      <c r="K581" s="5">
        <v>579</v>
      </c>
      <c r="L581" s="73">
        <v>2.8421709430404007E-14</v>
      </c>
    </row>
    <row r="582" spans="11:12" x14ac:dyDescent="0.4">
      <c r="K582" s="5">
        <v>580</v>
      </c>
      <c r="L582" s="73">
        <v>-2.9999999999999716</v>
      </c>
    </row>
    <row r="583" spans="11:12" x14ac:dyDescent="0.4">
      <c r="K583" s="5">
        <v>581</v>
      </c>
      <c r="L583" s="73">
        <v>-31.199999999999971</v>
      </c>
    </row>
    <row r="584" spans="11:12" x14ac:dyDescent="0.4">
      <c r="K584" s="5">
        <v>582</v>
      </c>
      <c r="L584" s="73">
        <v>2.8421709430404007E-14</v>
      </c>
    </row>
    <row r="585" spans="11:12" x14ac:dyDescent="0.4">
      <c r="K585" s="5">
        <v>583</v>
      </c>
      <c r="L585" s="73">
        <v>-2.5999999999999717</v>
      </c>
    </row>
    <row r="586" spans="11:12" x14ac:dyDescent="0.4">
      <c r="K586" s="5">
        <v>584</v>
      </c>
      <c r="L586" s="73">
        <v>-40.199999999999974</v>
      </c>
    </row>
    <row r="587" spans="11:12" x14ac:dyDescent="0.4">
      <c r="K587" s="5">
        <v>585</v>
      </c>
      <c r="L587" s="73">
        <v>2.8421709430404007E-14</v>
      </c>
    </row>
    <row r="588" spans="11:12" x14ac:dyDescent="0.4">
      <c r="K588" s="5">
        <v>586</v>
      </c>
      <c r="L588" s="73">
        <v>59.000000000000028</v>
      </c>
    </row>
    <row r="589" spans="11:12" x14ac:dyDescent="0.4">
      <c r="K589" s="5">
        <v>587</v>
      </c>
      <c r="L589" s="73">
        <v>21.000000000000028</v>
      </c>
    </row>
    <row r="590" spans="11:12" x14ac:dyDescent="0.4">
      <c r="K590" s="5">
        <v>588</v>
      </c>
      <c r="L590" s="73">
        <v>2.8421709430404007E-14</v>
      </c>
    </row>
    <row r="591" spans="11:12" x14ac:dyDescent="0.4">
      <c r="K591" s="5">
        <v>589</v>
      </c>
      <c r="L591" s="73">
        <v>2.8421709430404007E-14</v>
      </c>
    </row>
    <row r="592" spans="11:12" x14ac:dyDescent="0.4">
      <c r="K592" s="5">
        <v>590</v>
      </c>
      <c r="L592" s="73">
        <v>36.000000000000028</v>
      </c>
    </row>
    <row r="593" spans="11:12" x14ac:dyDescent="0.4">
      <c r="K593" s="5">
        <v>591</v>
      </c>
      <c r="L593" s="73">
        <v>2.8421709430404007E-14</v>
      </c>
    </row>
    <row r="594" spans="11:12" x14ac:dyDescent="0.4">
      <c r="K594" s="5">
        <v>592</v>
      </c>
      <c r="L594" s="73">
        <v>-20.499999999999972</v>
      </c>
    </row>
    <row r="595" spans="11:12" x14ac:dyDescent="0.4">
      <c r="K595" s="5">
        <v>593</v>
      </c>
      <c r="L595" s="73">
        <v>9.400000000000027</v>
      </c>
    </row>
    <row r="596" spans="11:12" x14ac:dyDescent="0.4">
      <c r="K596" s="5">
        <v>594</v>
      </c>
      <c r="L596" s="73">
        <v>2.6645352591003757E-14</v>
      </c>
    </row>
    <row r="597" spans="11:12" x14ac:dyDescent="0.4">
      <c r="K597" s="5">
        <v>595</v>
      </c>
      <c r="L597" s="73">
        <v>14.500000000000027</v>
      </c>
    </row>
    <row r="598" spans="11:12" x14ac:dyDescent="0.4">
      <c r="K598" s="5">
        <v>596</v>
      </c>
      <c r="L598" s="73">
        <v>23.400000000000027</v>
      </c>
    </row>
    <row r="599" spans="11:12" x14ac:dyDescent="0.4">
      <c r="K599" s="5">
        <v>597</v>
      </c>
      <c r="L599" s="73">
        <v>2.8421709430404007E-14</v>
      </c>
    </row>
    <row r="600" spans="11:12" x14ac:dyDescent="0.4">
      <c r="K600" s="5">
        <v>598</v>
      </c>
      <c r="L600" s="73">
        <v>15.900000000000029</v>
      </c>
    </row>
    <row r="601" spans="11:12" x14ac:dyDescent="0.4">
      <c r="K601" s="5">
        <v>599</v>
      </c>
      <c r="L601" s="73">
        <v>39.400000000000027</v>
      </c>
    </row>
    <row r="602" spans="11:12" x14ac:dyDescent="0.4">
      <c r="K602" s="5">
        <v>600</v>
      </c>
      <c r="L602" s="73">
        <v>2.8421709430404007E-14</v>
      </c>
    </row>
    <row r="603" spans="11:12" x14ac:dyDescent="0.4">
      <c r="K603" s="5">
        <v>601</v>
      </c>
      <c r="L603" s="73">
        <v>-3.3999999999999715</v>
      </c>
    </row>
    <row r="604" spans="11:12" x14ac:dyDescent="0.4">
      <c r="K604" s="5">
        <v>602</v>
      </c>
      <c r="L604" s="73">
        <v>-17.89999999999997</v>
      </c>
    </row>
    <row r="605" spans="11:12" x14ac:dyDescent="0.4">
      <c r="K605" s="5">
        <v>603</v>
      </c>
      <c r="L605" s="73">
        <v>2.8421709430404007E-14</v>
      </c>
    </row>
    <row r="606" spans="11:12" x14ac:dyDescent="0.4">
      <c r="K606" s="5">
        <v>604</v>
      </c>
      <c r="L606" s="73">
        <v>4.4000000000000288</v>
      </c>
    </row>
    <row r="607" spans="11:12" x14ac:dyDescent="0.4">
      <c r="K607" s="5">
        <v>605</v>
      </c>
      <c r="L607" s="73">
        <v>-1.399999999999971</v>
      </c>
    </row>
    <row r="608" spans="11:12" x14ac:dyDescent="0.4">
      <c r="K608" s="5">
        <v>606</v>
      </c>
      <c r="L608" s="73">
        <v>2.886579864025407E-14</v>
      </c>
    </row>
    <row r="609" spans="11:12" x14ac:dyDescent="0.4">
      <c r="K609" s="5">
        <v>607</v>
      </c>
      <c r="L609" s="73">
        <v>39.500000000000028</v>
      </c>
    </row>
    <row r="610" spans="11:12" x14ac:dyDescent="0.4">
      <c r="K610" s="5">
        <v>608</v>
      </c>
      <c r="L610" s="73">
        <v>2.8000000000000256</v>
      </c>
    </row>
    <row r="611" spans="11:12" x14ac:dyDescent="0.4">
      <c r="K611" s="5">
        <v>609</v>
      </c>
      <c r="L611" s="73">
        <v>2.5757174171303632E-14</v>
      </c>
    </row>
    <row r="612" spans="11:12" x14ac:dyDescent="0.4">
      <c r="K612" s="5">
        <v>610</v>
      </c>
      <c r="L612" s="73">
        <v>61.000000000000028</v>
      </c>
    </row>
    <row r="613" spans="11:12" x14ac:dyDescent="0.4">
      <c r="K613" s="5">
        <v>611</v>
      </c>
      <c r="L613" s="73">
        <v>13.500000000000028</v>
      </c>
    </row>
    <row r="614" spans="11:12" x14ac:dyDescent="0.4">
      <c r="K614" s="5">
        <v>612</v>
      </c>
      <c r="L614" s="73">
        <v>2.8421709430404007E-14</v>
      </c>
    </row>
    <row r="615" spans="11:12" x14ac:dyDescent="0.4">
      <c r="K615" s="5">
        <v>613</v>
      </c>
      <c r="L615" s="73">
        <v>11.700000000000028</v>
      </c>
    </row>
    <row r="616" spans="11:12" x14ac:dyDescent="0.4">
      <c r="K616" s="5">
        <v>614</v>
      </c>
      <c r="L616" s="73">
        <v>-11.799999999999972</v>
      </c>
    </row>
    <row r="617" spans="11:12" x14ac:dyDescent="0.4">
      <c r="K617" s="5">
        <v>615</v>
      </c>
      <c r="L617" s="73">
        <v>2.8421709430404007E-14</v>
      </c>
    </row>
    <row r="618" spans="11:12" x14ac:dyDescent="0.4">
      <c r="K618" s="5">
        <v>616</v>
      </c>
      <c r="L618" s="73">
        <v>16.10000000000003</v>
      </c>
    </row>
    <row r="619" spans="11:12" x14ac:dyDescent="0.4">
      <c r="K619" s="5">
        <v>617</v>
      </c>
      <c r="L619" s="73">
        <v>15.10000000000003</v>
      </c>
    </row>
    <row r="620" spans="11:12" x14ac:dyDescent="0.4">
      <c r="K620" s="5">
        <v>618</v>
      </c>
      <c r="L620" s="73">
        <v>3.0198066269804258E-14</v>
      </c>
    </row>
    <row r="621" spans="11:12" x14ac:dyDescent="0.4">
      <c r="K621" s="5">
        <v>619</v>
      </c>
      <c r="L621" s="73">
        <v>57.500000000000028</v>
      </c>
    </row>
    <row r="622" spans="11:12" x14ac:dyDescent="0.4">
      <c r="K622" s="5">
        <v>620</v>
      </c>
      <c r="L622" s="73">
        <v>11.700000000000031</v>
      </c>
    </row>
    <row r="623" spans="11:12" x14ac:dyDescent="0.4">
      <c r="K623" s="5">
        <v>621</v>
      </c>
      <c r="L623" s="73">
        <v>3.1974423109204508E-14</v>
      </c>
    </row>
    <row r="624" spans="11:12" x14ac:dyDescent="0.4">
      <c r="K624" s="5">
        <v>622</v>
      </c>
      <c r="L624" s="73">
        <v>-12.499999999999968</v>
      </c>
    </row>
    <row r="625" spans="11:12" x14ac:dyDescent="0.4">
      <c r="K625" s="5">
        <v>623</v>
      </c>
      <c r="L625" s="73">
        <v>-56.399999999999963</v>
      </c>
    </row>
    <row r="626" spans="11:12" x14ac:dyDescent="0.4">
      <c r="K626" s="5">
        <v>624</v>
      </c>
      <c r="L626" s="73">
        <v>3.5527136788005009E-14</v>
      </c>
    </row>
    <row r="627" spans="11:12" x14ac:dyDescent="0.4">
      <c r="K627" s="5">
        <v>625</v>
      </c>
      <c r="L627" s="73">
        <v>-41.999999999999964</v>
      </c>
    </row>
    <row r="628" spans="11:12" x14ac:dyDescent="0.4">
      <c r="K628" s="5">
        <v>626</v>
      </c>
      <c r="L628" s="73">
        <v>-44.999999999999964</v>
      </c>
    </row>
    <row r="629" spans="11:12" x14ac:dyDescent="0.4">
      <c r="K629" s="5">
        <v>627</v>
      </c>
      <c r="L629" s="73">
        <v>3.5527136788005009E-14</v>
      </c>
    </row>
    <row r="630" spans="11:12" x14ac:dyDescent="0.4">
      <c r="K630" s="5">
        <v>628</v>
      </c>
      <c r="L630" s="73">
        <v>10.700000000000035</v>
      </c>
    </row>
    <row r="631" spans="11:12" x14ac:dyDescent="0.4">
      <c r="K631" s="5">
        <v>629</v>
      </c>
      <c r="L631" s="73">
        <v>6.7000000000000348</v>
      </c>
    </row>
    <row r="632" spans="11:12" x14ac:dyDescent="0.4">
      <c r="K632" s="5">
        <v>630</v>
      </c>
      <c r="L632" s="73">
        <v>3.4638958368304884E-14</v>
      </c>
    </row>
    <row r="633" spans="11:12" x14ac:dyDescent="0.4">
      <c r="K633" s="5">
        <v>631</v>
      </c>
      <c r="L633" s="73">
        <v>31.100000000000037</v>
      </c>
    </row>
    <row r="634" spans="11:12" x14ac:dyDescent="0.4">
      <c r="K634" s="5">
        <v>632</v>
      </c>
      <c r="L634" s="73">
        <v>0.70000000000003837</v>
      </c>
    </row>
    <row r="635" spans="11:12" x14ac:dyDescent="0.4">
      <c r="K635" s="5">
        <v>633</v>
      </c>
      <c r="L635" s="73">
        <v>3.8413716652030416E-14</v>
      </c>
    </row>
    <row r="636" spans="11:12" x14ac:dyDescent="0.4">
      <c r="K636" s="5">
        <v>634</v>
      </c>
      <c r="L636" s="73">
        <v>10.200000000000038</v>
      </c>
    </row>
    <row r="637" spans="11:12" x14ac:dyDescent="0.4">
      <c r="K637" s="5">
        <v>635</v>
      </c>
      <c r="L637" s="73">
        <v>-10.099999999999962</v>
      </c>
    </row>
    <row r="638" spans="11:12" x14ac:dyDescent="0.4">
      <c r="K638" s="5">
        <v>636</v>
      </c>
      <c r="L638" s="73">
        <v>3.730349362740526E-14</v>
      </c>
    </row>
    <row r="639" spans="11:12" x14ac:dyDescent="0.4">
      <c r="K639" s="5">
        <v>637</v>
      </c>
      <c r="L639" s="73">
        <v>8.300000000000038</v>
      </c>
    </row>
    <row r="640" spans="11:12" x14ac:dyDescent="0.4">
      <c r="K640" s="5">
        <v>638</v>
      </c>
      <c r="L640" s="73">
        <v>35.80000000000004</v>
      </c>
    </row>
    <row r="641" spans="11:12" x14ac:dyDescent="0.4">
      <c r="K641" s="5">
        <v>639</v>
      </c>
      <c r="L641" s="73">
        <v>4.2632564145606011E-14</v>
      </c>
    </row>
    <row r="642" spans="11:12" x14ac:dyDescent="0.4">
      <c r="K642" s="5">
        <v>640</v>
      </c>
      <c r="L642" s="73">
        <v>-1.8999999999999573</v>
      </c>
    </row>
    <row r="643" spans="11:12" x14ac:dyDescent="0.4">
      <c r="K643" s="5">
        <v>641</v>
      </c>
      <c r="L643" s="73">
        <v>3.8000000000000429</v>
      </c>
    </row>
    <row r="644" spans="11:12" x14ac:dyDescent="0.4">
      <c r="K644" s="5">
        <v>642</v>
      </c>
      <c r="L644" s="73">
        <v>4.3076653355456074E-14</v>
      </c>
    </row>
    <row r="645" spans="11:12" x14ac:dyDescent="0.4">
      <c r="K645" s="5">
        <v>643</v>
      </c>
      <c r="L645" s="73">
        <v>0.50000000000004308</v>
      </c>
    </row>
    <row r="646" spans="11:12" x14ac:dyDescent="0.4">
      <c r="K646" s="5">
        <v>644</v>
      </c>
      <c r="L646" s="73">
        <v>13.700000000000042</v>
      </c>
    </row>
    <row r="647" spans="11:12" x14ac:dyDescent="0.4">
      <c r="K647" s="5">
        <v>645</v>
      </c>
      <c r="L647" s="73">
        <v>4.2632564145606011E-14</v>
      </c>
    </row>
    <row r="648" spans="11:12" x14ac:dyDescent="0.4">
      <c r="K648" s="5">
        <v>646</v>
      </c>
      <c r="L648" s="73">
        <v>48.000000000000043</v>
      </c>
    </row>
    <row r="649" spans="11:12" x14ac:dyDescent="0.4">
      <c r="K649" s="5">
        <v>647</v>
      </c>
      <c r="L649" s="73">
        <v>41.000000000000043</v>
      </c>
    </row>
    <row r="650" spans="11:12" x14ac:dyDescent="0.4">
      <c r="K650" s="5">
        <v>648</v>
      </c>
      <c r="L650" s="73">
        <v>4.2632564145606011E-14</v>
      </c>
    </row>
    <row r="651" spans="11:12" x14ac:dyDescent="0.4">
      <c r="K651" s="5">
        <v>649</v>
      </c>
      <c r="L651" s="73">
        <v>22.800000000000043</v>
      </c>
    </row>
    <row r="652" spans="11:12" x14ac:dyDescent="0.4">
      <c r="K652" s="5">
        <v>650</v>
      </c>
      <c r="L652" s="73">
        <v>43.100000000000044</v>
      </c>
    </row>
    <row r="653" spans="11:12" x14ac:dyDescent="0.4">
      <c r="K653" s="5">
        <v>651</v>
      </c>
      <c r="L653" s="73">
        <v>4.2632564145606011E-14</v>
      </c>
    </row>
    <row r="654" spans="11:12" x14ac:dyDescent="0.4">
      <c r="K654" s="5">
        <v>652</v>
      </c>
      <c r="L654" s="73">
        <v>6.0000000000000426</v>
      </c>
    </row>
    <row r="655" spans="11:12" x14ac:dyDescent="0.4">
      <c r="K655" s="5">
        <v>653</v>
      </c>
      <c r="L655" s="73">
        <v>4.2632564145606011E-14</v>
      </c>
    </row>
    <row r="656" spans="11:12" x14ac:dyDescent="0.4">
      <c r="K656" s="5">
        <v>654</v>
      </c>
      <c r="L656" s="73">
        <v>4.2632564145606011E-14</v>
      </c>
    </row>
    <row r="657" spans="11:12" x14ac:dyDescent="0.4">
      <c r="K657" s="5">
        <v>655</v>
      </c>
      <c r="L657" s="73">
        <v>-16.999999999999957</v>
      </c>
    </row>
    <row r="658" spans="11:12" x14ac:dyDescent="0.4">
      <c r="K658" s="5">
        <v>656</v>
      </c>
      <c r="L658" s="73">
        <v>3.7000000000000419</v>
      </c>
    </row>
    <row r="659" spans="11:12" x14ac:dyDescent="0.4">
      <c r="K659" s="5">
        <v>657</v>
      </c>
      <c r="L659" s="73">
        <v>4.1744385725905886E-14</v>
      </c>
    </row>
    <row r="660" spans="11:12" x14ac:dyDescent="0.4">
      <c r="K660" s="5">
        <v>658</v>
      </c>
      <c r="L660" s="73">
        <v>-26.199999999999957</v>
      </c>
    </row>
    <row r="661" spans="11:12" x14ac:dyDescent="0.4">
      <c r="K661" s="5">
        <v>659</v>
      </c>
      <c r="L661" s="73">
        <v>36.500000000000043</v>
      </c>
    </row>
    <row r="662" spans="11:12" x14ac:dyDescent="0.4">
      <c r="K662" s="5">
        <v>660</v>
      </c>
      <c r="L662" s="73">
        <v>4.2632564145606011E-14</v>
      </c>
    </row>
    <row r="663" spans="11:12" x14ac:dyDescent="0.4">
      <c r="K663" s="5">
        <v>661</v>
      </c>
      <c r="L663" s="73">
        <v>-18.899999999999956</v>
      </c>
    </row>
    <row r="664" spans="11:12" x14ac:dyDescent="0.4">
      <c r="K664" s="5">
        <v>662</v>
      </c>
      <c r="L664" s="73">
        <v>-12.299999999999956</v>
      </c>
    </row>
    <row r="665" spans="11:12" x14ac:dyDescent="0.4">
      <c r="K665" s="5">
        <v>663</v>
      </c>
      <c r="L665" s="73">
        <v>4.4408920985006262E-14</v>
      </c>
    </row>
    <row r="666" spans="11:12" x14ac:dyDescent="0.4">
      <c r="K666" s="5">
        <v>664</v>
      </c>
      <c r="L666" s="73">
        <v>36.000000000000043</v>
      </c>
    </row>
    <row r="667" spans="11:12" x14ac:dyDescent="0.4">
      <c r="K667" s="5">
        <v>665</v>
      </c>
      <c r="L667" s="73">
        <v>15.500000000000043</v>
      </c>
    </row>
    <row r="668" spans="11:12" x14ac:dyDescent="0.4">
      <c r="K668" s="5">
        <v>666</v>
      </c>
      <c r="L668" s="73">
        <v>4.2632564145606011E-14</v>
      </c>
    </row>
    <row r="669" spans="11:12" x14ac:dyDescent="0.4">
      <c r="K669" s="5">
        <v>667</v>
      </c>
      <c r="L669" s="73">
        <v>36.700000000000045</v>
      </c>
    </row>
    <row r="670" spans="11:12" x14ac:dyDescent="0.4">
      <c r="K670" s="5">
        <v>668</v>
      </c>
      <c r="L670" s="73">
        <v>-0.29999999999995453</v>
      </c>
    </row>
    <row r="671" spans="11:12" x14ac:dyDescent="0.4">
      <c r="K671" s="5">
        <v>669</v>
      </c>
      <c r="L671" s="73">
        <v>4.546363285840016E-14</v>
      </c>
    </row>
    <row r="672" spans="11:12" x14ac:dyDescent="0.4">
      <c r="K672" s="5">
        <v>670</v>
      </c>
      <c r="L672" s="73">
        <v>12.400000000000047</v>
      </c>
    </row>
    <row r="673" spans="11:12" x14ac:dyDescent="0.4">
      <c r="K673" s="5">
        <v>671</v>
      </c>
      <c r="L673" s="73">
        <v>-4.1999999999999549</v>
      </c>
    </row>
    <row r="674" spans="11:12" x14ac:dyDescent="0.4">
      <c r="K674" s="5">
        <v>672</v>
      </c>
      <c r="L674" s="73">
        <v>4.5297099404706387E-14</v>
      </c>
    </row>
    <row r="675" spans="11:12" x14ac:dyDescent="0.4">
      <c r="K675" s="5">
        <v>673</v>
      </c>
      <c r="L675" s="73">
        <v>14.000000000000046</v>
      </c>
    </row>
    <row r="676" spans="11:12" x14ac:dyDescent="0.4">
      <c r="K676" s="5">
        <v>674</v>
      </c>
      <c r="L676" s="73">
        <v>41.400000000000048</v>
      </c>
    </row>
    <row r="677" spans="11:12" x14ac:dyDescent="0.4">
      <c r="K677" s="5">
        <v>675</v>
      </c>
      <c r="L677" s="73">
        <v>4.9737991503207013E-14</v>
      </c>
    </row>
    <row r="678" spans="11:12" x14ac:dyDescent="0.4">
      <c r="K678" s="5">
        <v>676</v>
      </c>
      <c r="L678" s="73">
        <v>6.8000000000000496</v>
      </c>
    </row>
    <row r="679" spans="11:12" x14ac:dyDescent="0.4">
      <c r="K679" s="5">
        <v>677</v>
      </c>
      <c r="L679" s="73">
        <v>34.50000000000005</v>
      </c>
    </row>
    <row r="680" spans="11:12" x14ac:dyDescent="0.4">
      <c r="K680" s="5">
        <v>678</v>
      </c>
      <c r="L680" s="73">
        <v>4.9737991503207013E-14</v>
      </c>
    </row>
    <row r="681" spans="11:12" x14ac:dyDescent="0.4">
      <c r="K681" s="5">
        <v>679</v>
      </c>
      <c r="L681" s="73">
        <v>-7.5999999999999499</v>
      </c>
    </row>
    <row r="682" spans="11:12" x14ac:dyDescent="0.4">
      <c r="K682" s="5">
        <v>680</v>
      </c>
      <c r="L682" s="73">
        <v>-9.5999999999999499</v>
      </c>
    </row>
    <row r="683" spans="11:12" x14ac:dyDescent="0.4">
      <c r="K683" s="5">
        <v>681</v>
      </c>
      <c r="L683" s="73">
        <v>4.9737991503207013E-14</v>
      </c>
    </row>
    <row r="684" spans="11:12" x14ac:dyDescent="0.4">
      <c r="K684" s="5">
        <v>682</v>
      </c>
      <c r="L684" s="73">
        <v>26.200000000000049</v>
      </c>
    </row>
    <row r="685" spans="11:12" x14ac:dyDescent="0.4">
      <c r="K685" s="5">
        <v>683</v>
      </c>
      <c r="L685" s="73">
        <v>-2.1999999999999496</v>
      </c>
    </row>
    <row r="686" spans="11:12" x14ac:dyDescent="0.4">
      <c r="K686" s="5">
        <v>684</v>
      </c>
      <c r="L686" s="73">
        <v>5.0626169922907138E-14</v>
      </c>
    </row>
    <row r="687" spans="11:12" x14ac:dyDescent="0.4">
      <c r="K687" s="5">
        <v>685</v>
      </c>
      <c r="L687" s="73">
        <v>13.700000000000049</v>
      </c>
    </row>
    <row r="688" spans="11:12" x14ac:dyDescent="0.4">
      <c r="K688" s="5">
        <v>686</v>
      </c>
      <c r="L688" s="73">
        <v>-9.9999999999951683E-2</v>
      </c>
    </row>
    <row r="689" spans="11:12" x14ac:dyDescent="0.4">
      <c r="K689" s="5">
        <v>687</v>
      </c>
      <c r="L689" s="73">
        <v>4.8322457146809938E-14</v>
      </c>
    </row>
    <row r="690" spans="11:12" x14ac:dyDescent="0.4">
      <c r="K690" s="5">
        <v>688</v>
      </c>
      <c r="L690" s="73">
        <v>0.30000000000004834</v>
      </c>
    </row>
    <row r="691" spans="11:12" x14ac:dyDescent="0.4">
      <c r="K691" s="5">
        <v>689</v>
      </c>
      <c r="L691" s="73">
        <v>-16.599999999999952</v>
      </c>
    </row>
    <row r="692" spans="11:12" x14ac:dyDescent="0.4">
      <c r="K692" s="5">
        <v>690</v>
      </c>
      <c r="L692" s="73">
        <v>4.9737991503207013E-14</v>
      </c>
    </row>
    <row r="693" spans="11:12" x14ac:dyDescent="0.4">
      <c r="K693" s="5">
        <v>691</v>
      </c>
      <c r="L693" s="73">
        <v>-5.3999999999999506</v>
      </c>
    </row>
    <row r="694" spans="11:12" x14ac:dyDescent="0.4">
      <c r="K694" s="5">
        <v>692</v>
      </c>
      <c r="L694" s="73">
        <v>-30.799999999999947</v>
      </c>
    </row>
    <row r="695" spans="11:12" x14ac:dyDescent="0.4">
      <c r="K695" s="5">
        <v>693</v>
      </c>
      <c r="L695" s="73">
        <v>5.3290705182007514E-14</v>
      </c>
    </row>
    <row r="696" spans="11:12" x14ac:dyDescent="0.4">
      <c r="K696" s="5">
        <v>694</v>
      </c>
      <c r="L696" s="73">
        <v>-43.199999999999946</v>
      </c>
    </row>
    <row r="697" spans="11:12" x14ac:dyDescent="0.4">
      <c r="K697" s="5">
        <v>695</v>
      </c>
      <c r="L697" s="73">
        <v>-63.699999999999946</v>
      </c>
    </row>
    <row r="698" spans="11:12" x14ac:dyDescent="0.4">
      <c r="K698" s="5">
        <v>696</v>
      </c>
      <c r="L698" s="73">
        <v>5.6843418860808015E-14</v>
      </c>
    </row>
    <row r="699" spans="11:12" x14ac:dyDescent="0.4">
      <c r="K699" s="5">
        <v>697</v>
      </c>
      <c r="L699" s="73">
        <v>18.200000000000056</v>
      </c>
    </row>
    <row r="700" spans="11:12" x14ac:dyDescent="0.4">
      <c r="K700" s="5">
        <v>698</v>
      </c>
      <c r="L700" s="73">
        <v>-12.499999999999943</v>
      </c>
    </row>
    <row r="701" spans="11:12" x14ac:dyDescent="0.4">
      <c r="K701" s="5">
        <v>699</v>
      </c>
      <c r="L701" s="73">
        <v>5.6843418860808015E-14</v>
      </c>
    </row>
    <row r="702" spans="11:12" x14ac:dyDescent="0.4">
      <c r="K702" s="5">
        <v>700</v>
      </c>
      <c r="L702" s="73">
        <v>22.800000000000058</v>
      </c>
    </row>
    <row r="703" spans="11:12" x14ac:dyDescent="0.4">
      <c r="K703" s="5">
        <v>701</v>
      </c>
      <c r="L703" s="73">
        <v>-17.199999999999942</v>
      </c>
    </row>
    <row r="704" spans="11:12" x14ac:dyDescent="0.4">
      <c r="K704" s="5">
        <v>702</v>
      </c>
      <c r="L704" s="73">
        <v>5.6843418860808015E-14</v>
      </c>
    </row>
    <row r="705" spans="11:12" x14ac:dyDescent="0.4">
      <c r="K705" s="5">
        <v>703</v>
      </c>
      <c r="L705" s="73">
        <v>8.1000000000000565</v>
      </c>
    </row>
    <row r="706" spans="11:12" x14ac:dyDescent="0.4">
      <c r="K706" s="5">
        <v>704</v>
      </c>
      <c r="L706" s="73">
        <v>30.600000000000058</v>
      </c>
    </row>
    <row r="707" spans="11:12" x14ac:dyDescent="0.4">
      <c r="K707" s="5">
        <v>705</v>
      </c>
      <c r="L707" s="73">
        <v>5.6843418860808015E-14</v>
      </c>
    </row>
    <row r="708" spans="11:12" x14ac:dyDescent="0.4">
      <c r="K708" s="5">
        <v>706</v>
      </c>
      <c r="L708" s="73">
        <v>5.0000000000000568</v>
      </c>
    </row>
    <row r="709" spans="11:12" x14ac:dyDescent="0.4">
      <c r="K709" s="5">
        <v>707</v>
      </c>
      <c r="L709" s="73">
        <v>-23.799999999999944</v>
      </c>
    </row>
    <row r="710" spans="11:12" x14ac:dyDescent="0.4">
      <c r="K710" s="5">
        <v>708</v>
      </c>
      <c r="L710" s="73">
        <v>5.6843418860808015E-14</v>
      </c>
    </row>
    <row r="711" spans="11:12" x14ac:dyDescent="0.4">
      <c r="K711" s="5">
        <v>709</v>
      </c>
      <c r="L711" s="73">
        <v>-38.999999999999943</v>
      </c>
    </row>
    <row r="712" spans="11:12" x14ac:dyDescent="0.4">
      <c r="K712" s="5">
        <v>710</v>
      </c>
      <c r="L712" s="73">
        <v>-23.499999999999943</v>
      </c>
    </row>
    <row r="713" spans="11:12" x14ac:dyDescent="0.4">
      <c r="K713" s="5">
        <v>711</v>
      </c>
      <c r="L713" s="73">
        <v>5.6843418860808015E-14</v>
      </c>
    </row>
    <row r="714" spans="11:12" x14ac:dyDescent="0.4">
      <c r="K714" s="5">
        <v>712</v>
      </c>
      <c r="L714" s="73">
        <v>7.5000000000000568</v>
      </c>
    </row>
    <row r="715" spans="11:12" x14ac:dyDescent="0.4">
      <c r="K715" s="5">
        <v>713</v>
      </c>
      <c r="L715" s="73">
        <v>50.500000000000057</v>
      </c>
    </row>
    <row r="716" spans="11:12" x14ac:dyDescent="0.4">
      <c r="K716" s="5">
        <v>714</v>
      </c>
      <c r="L716" s="73">
        <v>5.6843418860808015E-14</v>
      </c>
    </row>
    <row r="717" spans="11:12" x14ac:dyDescent="0.4">
      <c r="K717" s="5">
        <v>715</v>
      </c>
      <c r="L717" s="73">
        <v>17.800000000000058</v>
      </c>
    </row>
    <row r="718" spans="11:12" x14ac:dyDescent="0.4">
      <c r="K718" s="5">
        <v>716</v>
      </c>
      <c r="L718" s="73">
        <v>-1.7999999999999439</v>
      </c>
    </row>
    <row r="719" spans="11:12" x14ac:dyDescent="0.4">
      <c r="K719" s="5">
        <v>717</v>
      </c>
      <c r="L719" s="73">
        <v>5.6177285046032921E-14</v>
      </c>
    </row>
    <row r="720" spans="11:12" x14ac:dyDescent="0.4">
      <c r="K720" s="5">
        <v>718</v>
      </c>
      <c r="L720" s="73">
        <v>8.2000000000000561</v>
      </c>
    </row>
    <row r="721" spans="11:12" x14ac:dyDescent="0.4">
      <c r="K721" s="5">
        <v>719</v>
      </c>
      <c r="L721" s="73">
        <v>-13.599999999999945</v>
      </c>
    </row>
    <row r="722" spans="11:12" x14ac:dyDescent="0.4">
      <c r="K722" s="5">
        <v>720</v>
      </c>
      <c r="L722" s="73">
        <v>5.5067062021407764E-14</v>
      </c>
    </row>
    <row r="723" spans="11:12" x14ac:dyDescent="0.4">
      <c r="K723" s="5">
        <v>721</v>
      </c>
      <c r="L723" s="73">
        <v>13.000000000000055</v>
      </c>
    </row>
    <row r="724" spans="11:12" x14ac:dyDescent="0.4">
      <c r="K724" s="5">
        <v>722</v>
      </c>
      <c r="L724" s="73">
        <v>15.100000000000055</v>
      </c>
    </row>
    <row r="725" spans="11:12" x14ac:dyDescent="0.4">
      <c r="K725" s="5">
        <v>723</v>
      </c>
      <c r="L725" s="73">
        <v>5.5067062021407764E-14</v>
      </c>
    </row>
    <row r="726" spans="11:12" x14ac:dyDescent="0.4">
      <c r="K726" s="5">
        <v>724</v>
      </c>
      <c r="L726" s="73">
        <v>-39.099999999999945</v>
      </c>
    </row>
    <row r="727" spans="11:12" x14ac:dyDescent="0.4">
      <c r="K727" s="5">
        <v>725</v>
      </c>
      <c r="L727" s="73">
        <v>-51.29999999999994</v>
      </c>
    </row>
    <row r="728" spans="11:12" x14ac:dyDescent="0.4">
      <c r="K728" s="5">
        <v>726</v>
      </c>
      <c r="L728" s="73">
        <v>5.6843418860808015E-14</v>
      </c>
    </row>
    <row r="729" spans="11:12" x14ac:dyDescent="0.4">
      <c r="K729" s="5">
        <v>727</v>
      </c>
      <c r="L729" s="73">
        <v>36.900000000000055</v>
      </c>
    </row>
    <row r="730" spans="11:12" x14ac:dyDescent="0.4">
      <c r="K730" s="5">
        <v>728</v>
      </c>
      <c r="L730" s="73">
        <v>25.100000000000055</v>
      </c>
    </row>
    <row r="731" spans="11:12" x14ac:dyDescent="0.4">
      <c r="K731" s="5">
        <v>729</v>
      </c>
      <c r="L731" s="73">
        <v>5.3290705182007514E-14</v>
      </c>
    </row>
    <row r="732" spans="11:12" x14ac:dyDescent="0.4">
      <c r="K732" s="5">
        <v>730</v>
      </c>
      <c r="L732" s="73">
        <v>11.000000000000053</v>
      </c>
    </row>
    <row r="733" spans="11:12" x14ac:dyDescent="0.4">
      <c r="K733" s="5">
        <v>731</v>
      </c>
      <c r="L733" s="73">
        <v>-0.49999999999994671</v>
      </c>
    </row>
    <row r="734" spans="11:12" x14ac:dyDescent="0.4">
      <c r="K734" s="5">
        <v>732</v>
      </c>
      <c r="L734" s="73">
        <v>5.3290705182007514E-14</v>
      </c>
    </row>
    <row r="735" spans="11:12" x14ac:dyDescent="0.4">
      <c r="K735" s="5">
        <v>733</v>
      </c>
      <c r="L735" s="73">
        <v>-36.999999999999943</v>
      </c>
    </row>
    <row r="736" spans="11:12" x14ac:dyDescent="0.4">
      <c r="K736" s="5">
        <v>734</v>
      </c>
      <c r="L736" s="73">
        <v>-32.999999999999943</v>
      </c>
    </row>
    <row r="737" spans="11:12" x14ac:dyDescent="0.4">
      <c r="K737" s="5">
        <v>735</v>
      </c>
      <c r="L737" s="73">
        <v>5.6843418860808015E-14</v>
      </c>
    </row>
    <row r="738" spans="11:12" x14ac:dyDescent="0.4">
      <c r="K738" s="5">
        <v>736</v>
      </c>
      <c r="L738" s="73">
        <v>10.300000000000058</v>
      </c>
    </row>
    <row r="739" spans="11:12" x14ac:dyDescent="0.4">
      <c r="K739" s="5">
        <v>737</v>
      </c>
      <c r="L739" s="73">
        <v>10.000000000000057</v>
      </c>
    </row>
    <row r="740" spans="11:12" x14ac:dyDescent="0.4">
      <c r="K740" s="5">
        <v>738</v>
      </c>
      <c r="L740" s="73">
        <v>5.6843418860808015E-14</v>
      </c>
    </row>
    <row r="741" spans="11:12" x14ac:dyDescent="0.4">
      <c r="K741" s="5">
        <v>739</v>
      </c>
      <c r="L741" s="73">
        <v>10.100000000000056</v>
      </c>
    </row>
    <row r="742" spans="11:12" x14ac:dyDescent="0.4">
      <c r="K742" s="5">
        <v>740</v>
      </c>
      <c r="L742" s="73">
        <v>34.20000000000006</v>
      </c>
    </row>
    <row r="743" spans="11:12" x14ac:dyDescent="0.4">
      <c r="K743" s="5">
        <v>741</v>
      </c>
      <c r="L743" s="73">
        <v>5.6843418860808015E-14</v>
      </c>
    </row>
    <row r="744" spans="11:12" x14ac:dyDescent="0.4">
      <c r="K744" s="5">
        <v>742</v>
      </c>
      <c r="L744" s="73">
        <v>21.700000000000056</v>
      </c>
    </row>
    <row r="745" spans="11:12" x14ac:dyDescent="0.4">
      <c r="K745" s="5">
        <v>743</v>
      </c>
      <c r="L745" s="73">
        <v>46.20000000000006</v>
      </c>
    </row>
    <row r="746" spans="11:12" x14ac:dyDescent="0.4">
      <c r="K746" s="5">
        <v>744</v>
      </c>
      <c r="L746" s="73">
        <v>5.6843418860808015E-14</v>
      </c>
    </row>
    <row r="747" spans="11:12" x14ac:dyDescent="0.4">
      <c r="K747" s="5">
        <v>745</v>
      </c>
      <c r="L747" s="73">
        <v>-40.399999999999942</v>
      </c>
    </row>
    <row r="748" spans="11:12" x14ac:dyDescent="0.4">
      <c r="K748" s="5">
        <v>746</v>
      </c>
      <c r="L748" s="73">
        <v>0.90000000000005542</v>
      </c>
    </row>
    <row r="749" spans="11:12" x14ac:dyDescent="0.4">
      <c r="K749" s="5">
        <v>747</v>
      </c>
      <c r="L749" s="73">
        <v>5.5400128928795311E-14</v>
      </c>
    </row>
    <row r="750" spans="11:12" x14ac:dyDescent="0.4">
      <c r="K750" s="5">
        <v>748</v>
      </c>
      <c r="L750" s="73">
        <v>5.6000000000000547</v>
      </c>
    </row>
    <row r="751" spans="11:12" x14ac:dyDescent="0.4">
      <c r="K751" s="5">
        <v>749</v>
      </c>
      <c r="L751" s="73">
        <v>17.000000000000057</v>
      </c>
    </row>
    <row r="752" spans="11:12" x14ac:dyDescent="0.4">
      <c r="K752" s="5">
        <v>750</v>
      </c>
      <c r="L752" s="73">
        <v>5.6843418860808015E-14</v>
      </c>
    </row>
    <row r="753" spans="11:12" x14ac:dyDescent="0.4">
      <c r="K753" s="5">
        <v>751</v>
      </c>
      <c r="L753" s="73">
        <v>-48.999999999999943</v>
      </c>
    </row>
    <row r="754" spans="11:12" x14ac:dyDescent="0.4">
      <c r="K754" s="5">
        <v>752</v>
      </c>
      <c r="L754" s="73">
        <v>-32.499999999999943</v>
      </c>
    </row>
    <row r="755" spans="11:12" x14ac:dyDescent="0.4">
      <c r="K755" s="5">
        <v>753</v>
      </c>
      <c r="L755" s="73">
        <v>5.6843418860808015E-14</v>
      </c>
    </row>
    <row r="756" spans="11:12" x14ac:dyDescent="0.4">
      <c r="K756" s="5">
        <v>754</v>
      </c>
      <c r="L756" s="73">
        <v>52.100000000000058</v>
      </c>
    </row>
    <row r="757" spans="11:12" x14ac:dyDescent="0.4">
      <c r="K757" s="5">
        <v>755</v>
      </c>
      <c r="L757" s="73">
        <v>36.70000000000006</v>
      </c>
    </row>
    <row r="758" spans="11:12" x14ac:dyDescent="0.4">
      <c r="K758" s="5">
        <v>756</v>
      </c>
      <c r="L758" s="73">
        <v>5.6843418860808015E-14</v>
      </c>
    </row>
    <row r="759" spans="11:12" x14ac:dyDescent="0.4">
      <c r="K759" s="5">
        <v>757</v>
      </c>
      <c r="L759" s="73">
        <v>4.5000000000000568</v>
      </c>
    </row>
    <row r="760" spans="11:12" x14ac:dyDescent="0.4">
      <c r="K760" s="5">
        <v>758</v>
      </c>
      <c r="L760" s="73">
        <v>47.000000000000057</v>
      </c>
    </row>
    <row r="761" spans="11:12" x14ac:dyDescent="0.4">
      <c r="K761" s="5">
        <v>759</v>
      </c>
      <c r="L761" s="73">
        <v>5.6843418860808015E-14</v>
      </c>
    </row>
    <row r="762" spans="11:12" x14ac:dyDescent="0.4">
      <c r="K762" s="5">
        <v>760</v>
      </c>
      <c r="L762" s="73">
        <v>-14.999999999999943</v>
      </c>
    </row>
    <row r="763" spans="11:12" x14ac:dyDescent="0.4">
      <c r="K763" s="5">
        <v>761</v>
      </c>
      <c r="L763" s="73">
        <v>-58.199999999999946</v>
      </c>
    </row>
    <row r="764" spans="11:12" x14ac:dyDescent="0.4">
      <c r="K764" s="5">
        <v>762</v>
      </c>
      <c r="L764" s="73">
        <v>5.6843418860808015E-14</v>
      </c>
    </row>
    <row r="765" spans="11:12" x14ac:dyDescent="0.4">
      <c r="K765" s="5">
        <v>763</v>
      </c>
      <c r="L765" s="73">
        <v>7.8000000000000567</v>
      </c>
    </row>
    <row r="766" spans="11:12" x14ac:dyDescent="0.4">
      <c r="K766" s="5">
        <v>764</v>
      </c>
      <c r="L766" s="73">
        <v>16.800000000000058</v>
      </c>
    </row>
    <row r="767" spans="11:12" x14ac:dyDescent="0.4">
      <c r="K767" s="5">
        <v>765</v>
      </c>
      <c r="L767" s="73">
        <v>5.6843418860808015E-14</v>
      </c>
    </row>
    <row r="768" spans="11:12" x14ac:dyDescent="0.4">
      <c r="K768" s="5">
        <v>766</v>
      </c>
      <c r="L768" s="73">
        <v>18.600000000000058</v>
      </c>
    </row>
    <row r="769" spans="11:12" x14ac:dyDescent="0.4">
      <c r="K769" s="5">
        <v>767</v>
      </c>
      <c r="L769" s="73">
        <v>16.600000000000058</v>
      </c>
    </row>
    <row r="770" spans="11:12" x14ac:dyDescent="0.4">
      <c r="K770" s="5">
        <v>768</v>
      </c>
      <c r="L770" s="73">
        <v>5.6843418860808015E-14</v>
      </c>
    </row>
    <row r="771" spans="11:12" x14ac:dyDescent="0.4">
      <c r="K771" s="5">
        <v>769</v>
      </c>
      <c r="L771" s="73">
        <v>6.200000000000057</v>
      </c>
    </row>
    <row r="772" spans="11:12" x14ac:dyDescent="0.4">
      <c r="K772" s="5">
        <v>770</v>
      </c>
      <c r="L772" s="73">
        <v>10.700000000000056</v>
      </c>
    </row>
    <row r="773" spans="11:12" x14ac:dyDescent="0.4">
      <c r="K773" s="5">
        <v>771</v>
      </c>
      <c r="L773" s="73">
        <v>5.6843418860808015E-14</v>
      </c>
    </row>
    <row r="774" spans="11:12" x14ac:dyDescent="0.4">
      <c r="K774" s="5">
        <v>772</v>
      </c>
      <c r="L774" s="73">
        <v>12.600000000000056</v>
      </c>
    </row>
    <row r="775" spans="11:12" x14ac:dyDescent="0.4">
      <c r="K775" s="5">
        <v>773</v>
      </c>
      <c r="L775" s="73">
        <v>13.400000000000057</v>
      </c>
    </row>
    <row r="776" spans="11:12" x14ac:dyDescent="0.4">
      <c r="K776" s="5">
        <v>774</v>
      </c>
      <c r="L776" s="73">
        <v>5.6843418860808015E-14</v>
      </c>
    </row>
    <row r="777" spans="11:12" x14ac:dyDescent="0.4">
      <c r="K777" s="5">
        <v>775</v>
      </c>
      <c r="L777" s="73">
        <v>4.0000000000000568</v>
      </c>
    </row>
    <row r="778" spans="11:12" x14ac:dyDescent="0.4">
      <c r="K778" s="5">
        <v>776</v>
      </c>
      <c r="L778" s="73">
        <v>-33.29999999999994</v>
      </c>
    </row>
    <row r="779" spans="11:12" x14ac:dyDescent="0.4">
      <c r="K779" s="5">
        <v>777</v>
      </c>
      <c r="L779" s="73">
        <v>5.6843418860808015E-14</v>
      </c>
    </row>
    <row r="780" spans="11:12" x14ac:dyDescent="0.4">
      <c r="K780" s="5">
        <v>778</v>
      </c>
      <c r="L780" s="73">
        <v>35.000000000000057</v>
      </c>
    </row>
    <row r="781" spans="11:12" x14ac:dyDescent="0.4">
      <c r="K781" s="5">
        <v>779</v>
      </c>
      <c r="L781" s="73">
        <v>-0.49999999999994316</v>
      </c>
    </row>
    <row r="782" spans="11:12" x14ac:dyDescent="0.4">
      <c r="K782" s="5">
        <v>780</v>
      </c>
      <c r="L782" s="73">
        <v>5.6843418860808015E-14</v>
      </c>
    </row>
    <row r="783" spans="11:12" x14ac:dyDescent="0.4">
      <c r="K783" s="5">
        <v>781</v>
      </c>
      <c r="L783" s="73">
        <v>13.400000000000057</v>
      </c>
    </row>
    <row r="784" spans="11:12" x14ac:dyDescent="0.4">
      <c r="K784" s="5">
        <v>782</v>
      </c>
      <c r="L784" s="73">
        <v>22.400000000000055</v>
      </c>
    </row>
    <row r="785" spans="11:12" x14ac:dyDescent="0.4">
      <c r="K785" s="5">
        <v>783</v>
      </c>
      <c r="L785" s="73">
        <v>5.6843418860808015E-14</v>
      </c>
    </row>
    <row r="786" spans="11:12" x14ac:dyDescent="0.4">
      <c r="K786" s="5">
        <v>784</v>
      </c>
      <c r="L786" s="73">
        <v>6.1000000000000565</v>
      </c>
    </row>
    <row r="787" spans="11:12" x14ac:dyDescent="0.4">
      <c r="K787" s="5">
        <v>785</v>
      </c>
      <c r="L787" s="73">
        <v>0.80000000000005667</v>
      </c>
    </row>
    <row r="788" spans="11:12" x14ac:dyDescent="0.4">
      <c r="K788" s="5">
        <v>786</v>
      </c>
      <c r="L788" s="73">
        <v>5.6621374255882984E-14</v>
      </c>
    </row>
    <row r="789" spans="11:12" x14ac:dyDescent="0.4">
      <c r="K789" s="5">
        <v>787</v>
      </c>
      <c r="L789" s="73">
        <v>66.70000000000006</v>
      </c>
    </row>
    <row r="790" spans="11:12" x14ac:dyDescent="0.4">
      <c r="K790" s="5">
        <v>788</v>
      </c>
      <c r="L790" s="73">
        <v>7.8000000000000611</v>
      </c>
    </row>
    <row r="791" spans="11:12" x14ac:dyDescent="0.4">
      <c r="K791" s="5">
        <v>789</v>
      </c>
      <c r="L791" s="73">
        <v>6.1284310959308641E-14</v>
      </c>
    </row>
    <row r="792" spans="11:12" x14ac:dyDescent="0.4">
      <c r="K792" s="5">
        <v>790</v>
      </c>
      <c r="L792" s="73">
        <v>-38.099999999999937</v>
      </c>
    </row>
    <row r="793" spans="11:12" x14ac:dyDescent="0.4">
      <c r="K793" s="5">
        <v>791</v>
      </c>
      <c r="L793" s="73">
        <v>2.6000000000000654</v>
      </c>
    </row>
    <row r="794" spans="11:12" x14ac:dyDescent="0.4">
      <c r="K794" s="5">
        <v>792</v>
      </c>
      <c r="L794" s="73">
        <v>6.5281113847959205E-14</v>
      </c>
    </row>
    <row r="795" spans="11:12" x14ac:dyDescent="0.4">
      <c r="K795" s="5">
        <v>793</v>
      </c>
      <c r="L795" s="73">
        <v>23.000000000000064</v>
      </c>
    </row>
    <row r="796" spans="11:12" x14ac:dyDescent="0.4">
      <c r="K796" s="5">
        <v>794</v>
      </c>
      <c r="L796" s="73">
        <v>14.500000000000064</v>
      </c>
    </row>
    <row r="797" spans="11:12" x14ac:dyDescent="0.4">
      <c r="K797" s="5">
        <v>795</v>
      </c>
      <c r="L797" s="73">
        <v>6.3948846218409017E-14</v>
      </c>
    </row>
    <row r="798" spans="11:12" x14ac:dyDescent="0.4">
      <c r="K798" s="5">
        <v>796</v>
      </c>
      <c r="L798" s="73">
        <v>9.5000000000000639</v>
      </c>
    </row>
    <row r="799" spans="11:12" x14ac:dyDescent="0.4">
      <c r="K799" s="5">
        <v>797</v>
      </c>
      <c r="L799" s="73">
        <v>-1.7999999999999368</v>
      </c>
    </row>
    <row r="800" spans="11:12" x14ac:dyDescent="0.4">
      <c r="K800" s="5">
        <v>798</v>
      </c>
      <c r="L800" s="73">
        <v>6.3282712403633923E-14</v>
      </c>
    </row>
    <row r="801" spans="11:12" x14ac:dyDescent="0.4">
      <c r="K801" s="5">
        <v>799</v>
      </c>
      <c r="L801" s="73">
        <v>5.0000000000000631</v>
      </c>
    </row>
    <row r="802" spans="11:12" x14ac:dyDescent="0.4">
      <c r="K802" s="5">
        <v>800</v>
      </c>
      <c r="L802" s="73">
        <v>5.7000000000000632</v>
      </c>
    </row>
    <row r="803" spans="11:12" x14ac:dyDescent="0.4">
      <c r="K803" s="5">
        <v>801</v>
      </c>
      <c r="L803" s="73">
        <v>6.3060667798708891E-14</v>
      </c>
    </row>
    <row r="804" spans="11:12" x14ac:dyDescent="0.4">
      <c r="K804" s="5">
        <v>802</v>
      </c>
      <c r="L804" s="73">
        <v>7.8000000000000629</v>
      </c>
    </row>
    <row r="805" spans="11:12" x14ac:dyDescent="0.4">
      <c r="K805" s="5">
        <v>803</v>
      </c>
      <c r="L805" s="73">
        <v>-31.699999999999939</v>
      </c>
    </row>
    <row r="806" spans="11:12" x14ac:dyDescent="0.4">
      <c r="K806" s="5">
        <v>804</v>
      </c>
      <c r="L806" s="73">
        <v>6.0396132539608516E-14</v>
      </c>
    </row>
    <row r="807" spans="11:12" x14ac:dyDescent="0.4">
      <c r="K807" s="5">
        <v>805</v>
      </c>
      <c r="L807" s="73">
        <v>42.300000000000054</v>
      </c>
    </row>
    <row r="808" spans="11:12" x14ac:dyDescent="0.4">
      <c r="K808" s="5">
        <v>806</v>
      </c>
      <c r="L808" s="73">
        <v>-2.9999999999999432</v>
      </c>
    </row>
    <row r="809" spans="11:12" x14ac:dyDescent="0.4">
      <c r="K809" s="5">
        <v>807</v>
      </c>
      <c r="L809" s="73">
        <v>5.6843418860808015E-14</v>
      </c>
    </row>
    <row r="810" spans="11:12" x14ac:dyDescent="0.4">
      <c r="K810" s="5">
        <v>808</v>
      </c>
      <c r="L810" s="73">
        <v>40.70000000000006</v>
      </c>
    </row>
    <row r="811" spans="11:12" x14ac:dyDescent="0.4">
      <c r="K811" s="5">
        <v>809</v>
      </c>
      <c r="L811" s="73">
        <v>13.00000000000006</v>
      </c>
    </row>
    <row r="812" spans="11:12" x14ac:dyDescent="0.4">
      <c r="K812" s="5">
        <v>810</v>
      </c>
      <c r="L812" s="73">
        <v>6.0396132539608516E-14</v>
      </c>
    </row>
    <row r="813" spans="11:12" x14ac:dyDescent="0.4">
      <c r="K813" s="5">
        <v>811</v>
      </c>
      <c r="L813" s="73">
        <v>0.1000000000000604</v>
      </c>
    </row>
    <row r="814" spans="11:12" x14ac:dyDescent="0.4">
      <c r="K814" s="5">
        <v>812</v>
      </c>
      <c r="L814" s="73">
        <v>8.60000000000006</v>
      </c>
    </row>
    <row r="815" spans="11:12" x14ac:dyDescent="0.4">
      <c r="K815" s="5">
        <v>813</v>
      </c>
      <c r="L815" s="73">
        <v>6.0396132539608516E-14</v>
      </c>
    </row>
    <row r="816" spans="11:12" x14ac:dyDescent="0.4">
      <c r="K816" s="5">
        <v>814</v>
      </c>
      <c r="L816" s="73">
        <v>12.20000000000006</v>
      </c>
    </row>
    <row r="817" spans="11:12" x14ac:dyDescent="0.4">
      <c r="K817" s="5">
        <v>815</v>
      </c>
      <c r="L817" s="73">
        <v>16.900000000000059</v>
      </c>
    </row>
    <row r="818" spans="11:12" x14ac:dyDescent="0.4">
      <c r="K818" s="5">
        <v>816</v>
      </c>
      <c r="L818" s="73">
        <v>6.0396132539608516E-14</v>
      </c>
    </row>
    <row r="819" spans="11:12" x14ac:dyDescent="0.4">
      <c r="K819" s="5">
        <v>817</v>
      </c>
      <c r="L819" s="73">
        <v>9.5000000000000604</v>
      </c>
    </row>
    <row r="820" spans="11:12" x14ac:dyDescent="0.4">
      <c r="K820" s="5">
        <v>818</v>
      </c>
      <c r="L820" s="73">
        <v>-1.0999999999999392</v>
      </c>
    </row>
    <row r="821" spans="11:12" x14ac:dyDescent="0.4">
      <c r="K821" s="5">
        <v>819</v>
      </c>
      <c r="L821" s="73">
        <v>6.0840221749458578E-14</v>
      </c>
    </row>
    <row r="822" spans="11:12" x14ac:dyDescent="0.4">
      <c r="K822" s="5">
        <v>820</v>
      </c>
      <c r="L822" s="73">
        <v>27.20000000000006</v>
      </c>
    </row>
    <row r="823" spans="11:12" x14ac:dyDescent="0.4">
      <c r="K823" s="5">
        <v>821</v>
      </c>
      <c r="L823" s="73">
        <v>33.000000000000057</v>
      </c>
    </row>
    <row r="824" spans="11:12" x14ac:dyDescent="0.4">
      <c r="K824" s="5">
        <v>822</v>
      </c>
      <c r="L824" s="73">
        <v>5.6843418860808015E-14</v>
      </c>
    </row>
    <row r="825" spans="11:12" x14ac:dyDescent="0.4">
      <c r="K825" s="5">
        <v>823</v>
      </c>
      <c r="L825" s="73">
        <v>-12.599999999999943</v>
      </c>
    </row>
    <row r="826" spans="11:12" x14ac:dyDescent="0.4">
      <c r="K826" s="5">
        <v>824</v>
      </c>
      <c r="L826" s="73">
        <v>7.5000000000000586</v>
      </c>
    </row>
    <row r="827" spans="11:12" x14ac:dyDescent="0.4">
      <c r="K827" s="5">
        <v>825</v>
      </c>
      <c r="L827" s="73">
        <v>5.8619775700208265E-14</v>
      </c>
    </row>
    <row r="828" spans="11:12" x14ac:dyDescent="0.4">
      <c r="K828" s="5">
        <v>826</v>
      </c>
      <c r="L828" s="73">
        <v>7.5000000000000586</v>
      </c>
    </row>
    <row r="829" spans="11:12" x14ac:dyDescent="0.4">
      <c r="K829" s="5">
        <v>827</v>
      </c>
      <c r="L829" s="73">
        <v>-17.599999999999945</v>
      </c>
    </row>
    <row r="830" spans="11:12" x14ac:dyDescent="0.4">
      <c r="K830" s="5">
        <v>828</v>
      </c>
      <c r="L830" s="73">
        <v>5.6843418860808015E-14</v>
      </c>
    </row>
    <row r="831" spans="11:12" x14ac:dyDescent="0.4">
      <c r="K831" s="5">
        <v>829</v>
      </c>
      <c r="L831" s="73">
        <v>-17.599999999999945</v>
      </c>
    </row>
    <row r="832" spans="11:12" x14ac:dyDescent="0.4">
      <c r="K832" s="5">
        <v>830</v>
      </c>
      <c r="L832" s="73">
        <v>8.0000000000000568</v>
      </c>
    </row>
    <row r="833" spans="11:12" x14ac:dyDescent="0.4">
      <c r="K833" s="5">
        <v>831</v>
      </c>
      <c r="L833" s="73">
        <v>5.6843418860808015E-14</v>
      </c>
    </row>
    <row r="834" spans="11:12" x14ac:dyDescent="0.4">
      <c r="K834" s="5">
        <v>832</v>
      </c>
      <c r="L834" s="73">
        <v>7.8000000000000567</v>
      </c>
    </row>
    <row r="835" spans="11:12" x14ac:dyDescent="0.4">
      <c r="K835" s="5">
        <v>833</v>
      </c>
      <c r="L835" s="73">
        <v>-6.5999999999999437</v>
      </c>
    </row>
    <row r="836" spans="11:12" x14ac:dyDescent="0.4">
      <c r="K836" s="5">
        <v>834</v>
      </c>
      <c r="L836" s="73">
        <v>5.595524044110789E-14</v>
      </c>
    </row>
    <row r="837" spans="11:12" x14ac:dyDescent="0.4">
      <c r="K837" s="5">
        <v>835</v>
      </c>
      <c r="L837" s="73">
        <v>46.900000000000055</v>
      </c>
    </row>
    <row r="838" spans="11:12" x14ac:dyDescent="0.4">
      <c r="K838" s="5">
        <v>836</v>
      </c>
      <c r="L838" s="73">
        <v>7.0000000000000568</v>
      </c>
    </row>
    <row r="839" spans="11:12" x14ac:dyDescent="0.4">
      <c r="K839" s="5">
        <v>837</v>
      </c>
      <c r="L839" s="73">
        <v>5.6843418860808015E-14</v>
      </c>
    </row>
    <row r="840" spans="11:12" x14ac:dyDescent="0.4">
      <c r="K840" s="5">
        <v>838</v>
      </c>
      <c r="L840" s="73">
        <v>6.3000000000000567</v>
      </c>
    </row>
    <row r="841" spans="11:12" x14ac:dyDescent="0.4">
      <c r="K841" s="5">
        <v>839</v>
      </c>
      <c r="L841" s="73">
        <v>6.0000000000000568</v>
      </c>
    </row>
    <row r="842" spans="11:12" x14ac:dyDescent="0.4">
      <c r="K842" s="5">
        <v>840</v>
      </c>
      <c r="L842" s="73">
        <v>5.6843418860808015E-14</v>
      </c>
    </row>
    <row r="843" spans="11:12" x14ac:dyDescent="0.4">
      <c r="K843" s="5">
        <v>841</v>
      </c>
      <c r="L843" s="73">
        <v>24.300000000000058</v>
      </c>
    </row>
    <row r="844" spans="11:12" x14ac:dyDescent="0.4">
      <c r="K844" s="5">
        <v>842</v>
      </c>
      <c r="L844" s="73">
        <v>-9.6999999999999424</v>
      </c>
    </row>
    <row r="845" spans="11:12" x14ac:dyDescent="0.4">
      <c r="K845" s="5">
        <v>843</v>
      </c>
      <c r="L845" s="73">
        <v>5.6843418860808015E-14</v>
      </c>
    </row>
    <row r="846" spans="11:12" x14ac:dyDescent="0.4">
      <c r="K846" s="5">
        <v>844</v>
      </c>
      <c r="L846" s="73">
        <v>-10.399999999999944</v>
      </c>
    </row>
    <row r="847" spans="11:12" x14ac:dyDescent="0.4">
      <c r="K847" s="5">
        <v>845</v>
      </c>
      <c r="L847" s="73">
        <v>-21.899999999999942</v>
      </c>
    </row>
    <row r="848" spans="11:12" x14ac:dyDescent="0.4">
      <c r="K848" s="5">
        <v>846</v>
      </c>
      <c r="L848" s="73">
        <v>5.6843418860808015E-14</v>
      </c>
    </row>
    <row r="849" spans="11:12" x14ac:dyDescent="0.4">
      <c r="K849" s="5">
        <v>847</v>
      </c>
      <c r="L849" s="73">
        <v>-17.199999999999942</v>
      </c>
    </row>
    <row r="850" spans="11:12" x14ac:dyDescent="0.4">
      <c r="K850" s="5">
        <v>848</v>
      </c>
      <c r="L850" s="73">
        <v>-26.499999999999943</v>
      </c>
    </row>
    <row r="851" spans="11:12" x14ac:dyDescent="0.4">
      <c r="K851" s="5">
        <v>849</v>
      </c>
      <c r="L851" s="73">
        <v>5.6843418860808015E-14</v>
      </c>
    </row>
    <row r="852" spans="11:12" x14ac:dyDescent="0.4">
      <c r="K852" s="5">
        <v>850</v>
      </c>
      <c r="L852" s="73">
        <v>-0.99999999999994316</v>
      </c>
    </row>
    <row r="853" spans="11:12" x14ac:dyDescent="0.4">
      <c r="K853" s="5">
        <v>851</v>
      </c>
      <c r="L853" s="73">
        <v>-17.999999999999943</v>
      </c>
    </row>
    <row r="854" spans="11:12" x14ac:dyDescent="0.4">
      <c r="K854" s="5">
        <v>852</v>
      </c>
      <c r="L854" s="73">
        <v>5.6843418860808015E-14</v>
      </c>
    </row>
    <row r="855" spans="11:12" x14ac:dyDescent="0.4">
      <c r="K855" s="5">
        <v>853</v>
      </c>
      <c r="L855" s="73">
        <v>19.800000000000058</v>
      </c>
    </row>
    <row r="856" spans="11:12" x14ac:dyDescent="0.4">
      <c r="K856" s="5">
        <v>854</v>
      </c>
      <c r="L856" s="73">
        <v>41.500000000000057</v>
      </c>
    </row>
    <row r="857" spans="11:12" x14ac:dyDescent="0.4">
      <c r="K857" s="5">
        <v>855</v>
      </c>
      <c r="L857" s="73">
        <v>5.6843418860808015E-14</v>
      </c>
    </row>
    <row r="858" spans="11:12" x14ac:dyDescent="0.4">
      <c r="K858" s="5">
        <v>856</v>
      </c>
      <c r="L858" s="73">
        <v>27.700000000000056</v>
      </c>
    </row>
    <row r="859" spans="11:12" x14ac:dyDescent="0.4">
      <c r="K859" s="5">
        <v>857</v>
      </c>
      <c r="L859" s="73">
        <v>25.900000000000055</v>
      </c>
    </row>
    <row r="860" spans="11:12" x14ac:dyDescent="0.4">
      <c r="K860" s="5">
        <v>858</v>
      </c>
      <c r="L860" s="73">
        <v>5.6843418860808015E-14</v>
      </c>
    </row>
    <row r="861" spans="11:12" x14ac:dyDescent="0.4">
      <c r="K861" s="5">
        <v>859</v>
      </c>
      <c r="L861" s="73">
        <v>7.5000000000000568</v>
      </c>
    </row>
    <row r="862" spans="11:12" x14ac:dyDescent="0.4">
      <c r="K862" s="5">
        <v>860</v>
      </c>
      <c r="L862" s="73">
        <v>45.500000000000057</v>
      </c>
    </row>
    <row r="863" spans="11:12" x14ac:dyDescent="0.4">
      <c r="K863" s="5">
        <v>861</v>
      </c>
      <c r="L863" s="73">
        <v>5.6843418860808015E-14</v>
      </c>
    </row>
    <row r="864" spans="11:12" x14ac:dyDescent="0.4">
      <c r="K864" s="5">
        <v>862</v>
      </c>
      <c r="L864" s="73">
        <v>31.500000000000057</v>
      </c>
    </row>
    <row r="865" spans="11:12" x14ac:dyDescent="0.4">
      <c r="K865" s="5">
        <v>863</v>
      </c>
      <c r="L865" s="73">
        <v>25.900000000000055</v>
      </c>
    </row>
    <row r="866" spans="11:12" x14ac:dyDescent="0.4">
      <c r="K866" s="5">
        <v>864</v>
      </c>
      <c r="L866" s="73">
        <v>5.6843418860808015E-14</v>
      </c>
    </row>
    <row r="867" spans="11:12" x14ac:dyDescent="0.4">
      <c r="K867" s="5">
        <v>865</v>
      </c>
      <c r="L867" s="73">
        <v>46.800000000000054</v>
      </c>
    </row>
    <row r="868" spans="11:12" x14ac:dyDescent="0.4">
      <c r="K868" s="5">
        <v>866</v>
      </c>
      <c r="L868" s="73">
        <v>26.300000000000054</v>
      </c>
    </row>
    <row r="869" spans="11:12" x14ac:dyDescent="0.4">
      <c r="K869" s="5">
        <v>867</v>
      </c>
      <c r="L869" s="73">
        <v>5.3290705182007514E-14</v>
      </c>
    </row>
    <row r="870" spans="11:12" x14ac:dyDescent="0.4">
      <c r="K870" s="5">
        <v>868</v>
      </c>
      <c r="L870" s="73">
        <v>52.500000000000057</v>
      </c>
    </row>
    <row r="871" spans="11:12" x14ac:dyDescent="0.4">
      <c r="K871" s="5">
        <v>869</v>
      </c>
      <c r="L871" s="73">
        <v>7.5000000000000568</v>
      </c>
    </row>
    <row r="872" spans="11:12" x14ac:dyDescent="0.4">
      <c r="K872" s="5">
        <v>870</v>
      </c>
      <c r="L872" s="73">
        <v>5.6843418860808015E-14</v>
      </c>
    </row>
    <row r="873" spans="11:12" x14ac:dyDescent="0.4">
      <c r="K873" s="5">
        <v>871</v>
      </c>
      <c r="L873" s="73">
        <v>-6.1999999999999433</v>
      </c>
    </row>
    <row r="874" spans="11:12" x14ac:dyDescent="0.4">
      <c r="K874" s="5">
        <v>872</v>
      </c>
      <c r="L874" s="73">
        <v>-44.699999999999946</v>
      </c>
    </row>
    <row r="875" spans="11:12" x14ac:dyDescent="0.4">
      <c r="K875" s="5">
        <v>873</v>
      </c>
      <c r="L875" s="73">
        <v>5.6843418860808015E-14</v>
      </c>
    </row>
    <row r="876" spans="11:12" x14ac:dyDescent="0.4">
      <c r="K876" s="5">
        <v>874</v>
      </c>
      <c r="L876" s="73">
        <v>-8.7999999999999439</v>
      </c>
    </row>
    <row r="877" spans="11:12" x14ac:dyDescent="0.4">
      <c r="K877" s="5">
        <v>875</v>
      </c>
      <c r="L877" s="73">
        <v>-44.199999999999946</v>
      </c>
    </row>
    <row r="878" spans="11:12" x14ac:dyDescent="0.4">
      <c r="K878" s="5">
        <v>876</v>
      </c>
      <c r="L878" s="73">
        <v>5.6843418860808015E-14</v>
      </c>
    </row>
    <row r="879" spans="11:12" x14ac:dyDescent="0.4">
      <c r="K879" s="5">
        <v>877</v>
      </c>
      <c r="L879" s="73">
        <v>18.500000000000057</v>
      </c>
    </row>
    <row r="880" spans="11:12" x14ac:dyDescent="0.4">
      <c r="K880" s="5">
        <v>878</v>
      </c>
      <c r="L880" s="73">
        <v>12.000000000000057</v>
      </c>
    </row>
    <row r="881" spans="11:12" x14ac:dyDescent="0.4">
      <c r="K881" s="5">
        <v>879</v>
      </c>
      <c r="L881" s="73">
        <v>5.6843418860808015E-14</v>
      </c>
    </row>
    <row r="882" spans="11:12" x14ac:dyDescent="0.4">
      <c r="K882" s="5">
        <v>880</v>
      </c>
      <c r="L882" s="73">
        <v>33.100000000000058</v>
      </c>
    </row>
    <row r="883" spans="11:12" x14ac:dyDescent="0.4">
      <c r="K883" s="5">
        <v>881</v>
      </c>
      <c r="L883" s="73">
        <v>24.600000000000058</v>
      </c>
    </row>
    <row r="884" spans="11:12" x14ac:dyDescent="0.4">
      <c r="K884" s="5">
        <v>882</v>
      </c>
      <c r="L884" s="73">
        <v>5.6843418860808015E-14</v>
      </c>
    </row>
    <row r="885" spans="11:12" x14ac:dyDescent="0.4">
      <c r="K885" s="5">
        <v>883</v>
      </c>
      <c r="L885" s="73">
        <v>68.000000000000057</v>
      </c>
    </row>
    <row r="886" spans="11:12" x14ac:dyDescent="0.4">
      <c r="K886" s="5">
        <v>884</v>
      </c>
      <c r="L886" s="73">
        <v>20.000000000000057</v>
      </c>
    </row>
    <row r="887" spans="11:12" x14ac:dyDescent="0.4">
      <c r="K887" s="5">
        <v>885</v>
      </c>
      <c r="L887" s="73">
        <v>5.6843418860808015E-14</v>
      </c>
    </row>
    <row r="888" spans="11:12" x14ac:dyDescent="0.4">
      <c r="K888" s="5">
        <v>886</v>
      </c>
      <c r="L888" s="73">
        <v>-21.899999999999942</v>
      </c>
    </row>
    <row r="889" spans="11:12" x14ac:dyDescent="0.4">
      <c r="K889" s="5">
        <v>887</v>
      </c>
      <c r="L889" s="73">
        <v>-7.3999999999999417</v>
      </c>
    </row>
    <row r="890" spans="11:12" x14ac:dyDescent="0.4">
      <c r="K890" s="5">
        <v>888</v>
      </c>
      <c r="L890" s="73">
        <v>5.8619775700208265E-14</v>
      </c>
    </row>
    <row r="891" spans="11:12" x14ac:dyDescent="0.4">
      <c r="K891" s="5">
        <v>889</v>
      </c>
      <c r="L891" s="73">
        <v>9.0000000000000586</v>
      </c>
    </row>
    <row r="892" spans="11:12" x14ac:dyDescent="0.4">
      <c r="K892" s="5">
        <v>890</v>
      </c>
      <c r="L892" s="73">
        <v>-17.199999999999939</v>
      </c>
    </row>
    <row r="893" spans="11:12" x14ac:dyDescent="0.4">
      <c r="K893" s="5">
        <v>891</v>
      </c>
      <c r="L893" s="73">
        <v>6.0396132539608516E-14</v>
      </c>
    </row>
    <row r="894" spans="11:12" x14ac:dyDescent="0.4">
      <c r="K894" s="5">
        <v>892</v>
      </c>
      <c r="L894" s="73">
        <v>18.70000000000006</v>
      </c>
    </row>
    <row r="895" spans="11:12" x14ac:dyDescent="0.4">
      <c r="K895" s="5">
        <v>893</v>
      </c>
      <c r="L895" s="73">
        <v>14.900000000000059</v>
      </c>
    </row>
    <row r="896" spans="11:12" x14ac:dyDescent="0.4">
      <c r="K896" s="5">
        <v>894</v>
      </c>
      <c r="L896" s="73">
        <v>5.8619775700208265E-14</v>
      </c>
    </row>
    <row r="897" spans="11:12" x14ac:dyDescent="0.4">
      <c r="K897" s="5">
        <v>895</v>
      </c>
      <c r="L897" s="73">
        <v>26.600000000000058</v>
      </c>
    </row>
    <row r="898" spans="11:12" x14ac:dyDescent="0.4">
      <c r="K898" s="5">
        <v>896</v>
      </c>
      <c r="L898" s="73">
        <v>7.7000000000000597</v>
      </c>
    </row>
    <row r="899" spans="11:12" x14ac:dyDescent="0.4">
      <c r="K899" s="5">
        <v>897</v>
      </c>
      <c r="L899" s="73">
        <v>5.9507954119908391E-14</v>
      </c>
    </row>
    <row r="900" spans="11:12" x14ac:dyDescent="0.4">
      <c r="K900" s="5">
        <v>898</v>
      </c>
      <c r="L900" s="73">
        <v>20.00000000000006</v>
      </c>
    </row>
    <row r="901" spans="11:12" x14ac:dyDescent="0.4">
      <c r="K901" s="5">
        <v>899</v>
      </c>
      <c r="L901" s="73">
        <v>1.400000000000059</v>
      </c>
    </row>
    <row r="902" spans="11:12" x14ac:dyDescent="0.4">
      <c r="K902" s="5">
        <v>900</v>
      </c>
      <c r="L902" s="73">
        <v>5.9063864910058328E-14</v>
      </c>
    </row>
    <row r="903" spans="11:12" x14ac:dyDescent="0.4">
      <c r="K903" s="5">
        <v>901</v>
      </c>
      <c r="L903" s="73">
        <v>-45.399999999999942</v>
      </c>
    </row>
    <row r="904" spans="11:12" x14ac:dyDescent="0.4">
      <c r="K904" s="5">
        <v>902</v>
      </c>
      <c r="L904" s="73">
        <v>-5.8999999999999417</v>
      </c>
    </row>
    <row r="905" spans="11:12" x14ac:dyDescent="0.4">
      <c r="K905" s="5">
        <v>903</v>
      </c>
      <c r="L905" s="73">
        <v>5.8619775700208265E-14</v>
      </c>
    </row>
    <row r="906" spans="11:12" x14ac:dyDescent="0.4">
      <c r="K906" s="5">
        <v>904</v>
      </c>
      <c r="L906" s="73">
        <v>-5.099999999999941</v>
      </c>
    </row>
    <row r="907" spans="11:12" x14ac:dyDescent="0.4">
      <c r="K907" s="5">
        <v>905</v>
      </c>
      <c r="L907" s="73">
        <v>40.400000000000055</v>
      </c>
    </row>
    <row r="908" spans="11:12" x14ac:dyDescent="0.4">
      <c r="K908" s="5">
        <v>906</v>
      </c>
      <c r="L908" s="73">
        <v>5.8619775700208265E-14</v>
      </c>
    </row>
    <row r="909" spans="11:12" x14ac:dyDescent="0.4">
      <c r="K909" s="5">
        <v>907</v>
      </c>
      <c r="L909" s="73">
        <v>2.2000000000000588</v>
      </c>
    </row>
    <row r="910" spans="11:12" x14ac:dyDescent="0.4">
      <c r="K910" s="5">
        <v>908</v>
      </c>
      <c r="L910" s="73">
        <v>-36.999999999999943</v>
      </c>
    </row>
    <row r="911" spans="11:12" x14ac:dyDescent="0.4">
      <c r="K911" s="5">
        <v>909</v>
      </c>
      <c r="L911" s="73">
        <v>5.8619775700208265E-14</v>
      </c>
    </row>
    <row r="912" spans="11:12" x14ac:dyDescent="0.4">
      <c r="K912" s="5">
        <v>910</v>
      </c>
      <c r="L912" s="73">
        <v>73.300000000000054</v>
      </c>
    </row>
    <row r="913" spans="11:12" x14ac:dyDescent="0.4">
      <c r="K913" s="5">
        <v>911</v>
      </c>
      <c r="L913" s="73">
        <v>19.700000000000053</v>
      </c>
    </row>
    <row r="914" spans="11:12" x14ac:dyDescent="0.4">
      <c r="K914" s="5">
        <v>912</v>
      </c>
      <c r="L914" s="73">
        <v>5.5067062021407764E-14</v>
      </c>
    </row>
    <row r="915" spans="11:12" x14ac:dyDescent="0.4">
      <c r="K915" s="5">
        <v>913</v>
      </c>
      <c r="L915" s="73">
        <v>40.100000000000051</v>
      </c>
    </row>
    <row r="916" spans="11:12" x14ac:dyDescent="0.4">
      <c r="K916" s="5">
        <v>914</v>
      </c>
      <c r="L916" s="73">
        <v>-11.09999999999995</v>
      </c>
    </row>
    <row r="917" spans="11:12" x14ac:dyDescent="0.4">
      <c r="K917" s="5">
        <v>915</v>
      </c>
      <c r="L917" s="73">
        <v>4.9737991503207013E-14</v>
      </c>
    </row>
    <row r="918" spans="11:12" x14ac:dyDescent="0.4">
      <c r="K918" s="5">
        <v>916</v>
      </c>
      <c r="L918" s="73">
        <v>-42.099999999999952</v>
      </c>
    </row>
    <row r="919" spans="11:12" x14ac:dyDescent="0.4">
      <c r="K919" s="5">
        <v>917</v>
      </c>
      <c r="L919" s="73">
        <v>18.800000000000047</v>
      </c>
    </row>
    <row r="920" spans="11:12" x14ac:dyDescent="0.4">
      <c r="K920" s="5">
        <v>918</v>
      </c>
      <c r="L920" s="73">
        <v>4.7961634663806763E-14</v>
      </c>
    </row>
    <row r="921" spans="11:12" x14ac:dyDescent="0.4">
      <c r="K921" s="5">
        <v>919</v>
      </c>
      <c r="L921" s="73">
        <v>90.900000000000048</v>
      </c>
    </row>
    <row r="922" spans="11:12" x14ac:dyDescent="0.4">
      <c r="K922" s="5">
        <v>920</v>
      </c>
      <c r="L922" s="73">
        <v>8.3000000000000558</v>
      </c>
    </row>
    <row r="923" spans="11:12" x14ac:dyDescent="0.4">
      <c r="K923" s="5">
        <v>921</v>
      </c>
      <c r="L923" s="73">
        <v>5.5067062021407764E-14</v>
      </c>
    </row>
    <row r="924" spans="11:12" x14ac:dyDescent="0.4">
      <c r="K924" s="5">
        <v>922</v>
      </c>
      <c r="L924" s="73">
        <v>31.000000000000057</v>
      </c>
    </row>
    <row r="925" spans="11:12" x14ac:dyDescent="0.4">
      <c r="K925" s="5">
        <v>923</v>
      </c>
      <c r="L925" s="73">
        <v>0.80000000000005578</v>
      </c>
    </row>
    <row r="926" spans="11:12" x14ac:dyDescent="0.4">
      <c r="K926" s="5">
        <v>924</v>
      </c>
      <c r="L926" s="73">
        <v>5.5733195836182858E-14</v>
      </c>
    </row>
    <row r="927" spans="11:12" x14ac:dyDescent="0.4">
      <c r="K927" s="5">
        <v>925</v>
      </c>
      <c r="L927" s="73">
        <v>23.700000000000053</v>
      </c>
    </row>
    <row r="928" spans="11:12" x14ac:dyDescent="0.4">
      <c r="K928" s="5">
        <v>926</v>
      </c>
      <c r="L928" s="73">
        <v>26.300000000000054</v>
      </c>
    </row>
    <row r="929" spans="11:12" x14ac:dyDescent="0.4">
      <c r="K929" s="5">
        <v>927</v>
      </c>
      <c r="L929" s="73">
        <v>5.5067062021407764E-14</v>
      </c>
    </row>
    <row r="930" spans="11:12" x14ac:dyDescent="0.4">
      <c r="K930" s="5">
        <v>928</v>
      </c>
      <c r="L930" s="73">
        <v>-31.299999999999947</v>
      </c>
    </row>
    <row r="931" spans="11:12" x14ac:dyDescent="0.4">
      <c r="K931" s="5">
        <v>929</v>
      </c>
      <c r="L931" s="73">
        <v>1.9000000000000572</v>
      </c>
    </row>
    <row r="932" spans="11:12" x14ac:dyDescent="0.4">
      <c r="K932" s="5">
        <v>930</v>
      </c>
      <c r="L932" s="73">
        <v>5.7287508070658077E-14</v>
      </c>
    </row>
    <row r="933" spans="11:12" x14ac:dyDescent="0.4">
      <c r="K933" s="5">
        <v>931</v>
      </c>
      <c r="L933" s="73">
        <v>-58.29999999999994</v>
      </c>
    </row>
    <row r="934" spans="11:12" x14ac:dyDescent="0.4">
      <c r="K934" s="5">
        <v>932</v>
      </c>
      <c r="L934" s="73">
        <v>-9.4999999999999414</v>
      </c>
    </row>
    <row r="935" spans="11:12" x14ac:dyDescent="0.4">
      <c r="K935" s="5">
        <v>933</v>
      </c>
      <c r="L935" s="73">
        <v>5.8619775700208265E-14</v>
      </c>
    </row>
    <row r="936" spans="11:12" x14ac:dyDescent="0.4">
      <c r="K936" s="5">
        <v>934</v>
      </c>
      <c r="L936" s="73">
        <v>29.100000000000058</v>
      </c>
    </row>
    <row r="937" spans="11:12" x14ac:dyDescent="0.4">
      <c r="K937" s="5">
        <v>935</v>
      </c>
      <c r="L937" s="73">
        <v>4.3000000000000593</v>
      </c>
    </row>
    <row r="938" spans="11:12" x14ac:dyDescent="0.4">
      <c r="K938" s="5">
        <v>936</v>
      </c>
      <c r="L938" s="73">
        <v>5.9507954119908391E-14</v>
      </c>
    </row>
    <row r="939" spans="11:12" x14ac:dyDescent="0.4">
      <c r="K939" s="5">
        <v>937</v>
      </c>
      <c r="L939" s="73">
        <v>-7.2999999999999403</v>
      </c>
    </row>
    <row r="940" spans="11:12" x14ac:dyDescent="0.4">
      <c r="K940" s="5">
        <v>938</v>
      </c>
      <c r="L940" s="73">
        <v>-37.199999999999939</v>
      </c>
    </row>
    <row r="941" spans="11:12" x14ac:dyDescent="0.4">
      <c r="K941" s="5">
        <v>939</v>
      </c>
      <c r="L941" s="73">
        <v>6.5725203057809267E-14</v>
      </c>
    </row>
    <row r="942" spans="11:12" x14ac:dyDescent="0.4">
      <c r="K942" s="5">
        <v>940</v>
      </c>
      <c r="L942" s="73">
        <v>-31.699999999999932</v>
      </c>
    </row>
    <row r="943" spans="11:12" x14ac:dyDescent="0.4">
      <c r="K943" s="5">
        <v>941</v>
      </c>
      <c r="L943" s="73">
        <v>-33.099999999999937</v>
      </c>
    </row>
    <row r="944" spans="11:12" x14ac:dyDescent="0.4">
      <c r="K944" s="5">
        <v>942</v>
      </c>
      <c r="L944" s="73">
        <v>6.5725203057809267E-14</v>
      </c>
    </row>
    <row r="945" spans="11:12" x14ac:dyDescent="0.4">
      <c r="K945" s="5">
        <v>943</v>
      </c>
      <c r="L945" s="73">
        <v>-39.699999999999939</v>
      </c>
    </row>
    <row r="946" spans="11:12" x14ac:dyDescent="0.4">
      <c r="K946" s="5">
        <v>944</v>
      </c>
      <c r="L946" s="73">
        <v>5.5000000000000657</v>
      </c>
    </row>
    <row r="947" spans="11:12" x14ac:dyDescent="0.4">
      <c r="K947" s="5">
        <v>945</v>
      </c>
      <c r="L947" s="73">
        <v>6.5725203057809267E-14</v>
      </c>
    </row>
    <row r="948" spans="11:12" x14ac:dyDescent="0.4">
      <c r="K948" s="5">
        <v>946</v>
      </c>
      <c r="L948" s="73">
        <v>87.100000000000051</v>
      </c>
    </row>
    <row r="949" spans="11:12" x14ac:dyDescent="0.4">
      <c r="K949" s="5">
        <v>947</v>
      </c>
      <c r="L949" s="73">
        <v>60.400000000000048</v>
      </c>
    </row>
    <row r="950" spans="11:12" x14ac:dyDescent="0.4">
      <c r="K950" s="5">
        <v>948</v>
      </c>
      <c r="L950" s="73">
        <v>5.1514348342607263E-14</v>
      </c>
    </row>
    <row r="951" spans="11:12" x14ac:dyDescent="0.4">
      <c r="K951" s="5">
        <v>949</v>
      </c>
      <c r="L951" s="73">
        <v>-47.99999999999995</v>
      </c>
    </row>
    <row r="952" spans="11:12" x14ac:dyDescent="0.4">
      <c r="K952" s="5">
        <v>950</v>
      </c>
      <c r="L952" s="73">
        <v>-49.599999999999952</v>
      </c>
    </row>
    <row r="953" spans="11:12" x14ac:dyDescent="0.4">
      <c r="K953" s="5">
        <v>951</v>
      </c>
      <c r="L953" s="73">
        <v>5.1514348342607263E-14</v>
      </c>
    </row>
    <row r="954" spans="11:12" x14ac:dyDescent="0.4">
      <c r="K954" s="5">
        <v>952</v>
      </c>
      <c r="L954" s="73">
        <v>38.400000000000048</v>
      </c>
    </row>
    <row r="955" spans="11:12" x14ac:dyDescent="0.4">
      <c r="K955" s="5">
        <v>953</v>
      </c>
      <c r="L955" s="73">
        <v>4.1000000000000529</v>
      </c>
    </row>
    <row r="956" spans="11:12" x14ac:dyDescent="0.4">
      <c r="K956" s="5">
        <v>954</v>
      </c>
      <c r="L956" s="73">
        <v>5.3290705182007514E-14</v>
      </c>
    </row>
    <row r="957" spans="11:12" x14ac:dyDescent="0.4">
      <c r="K957" s="5">
        <v>955</v>
      </c>
      <c r="L957" s="73">
        <v>27.800000000000054</v>
      </c>
    </row>
    <row r="958" spans="11:12" x14ac:dyDescent="0.4">
      <c r="K958" s="5">
        <v>956</v>
      </c>
      <c r="L958" s="73">
        <v>25.100000000000058</v>
      </c>
    </row>
    <row r="959" spans="11:12" x14ac:dyDescent="0.4">
      <c r="K959" s="5">
        <v>957</v>
      </c>
      <c r="L959" s="73">
        <v>5.5067062021407764E-14</v>
      </c>
    </row>
    <row r="960" spans="11:12" x14ac:dyDescent="0.4">
      <c r="K960" s="5">
        <v>958</v>
      </c>
      <c r="L960" s="73">
        <v>47.20000000000006</v>
      </c>
    </row>
    <row r="961" spans="11:12" x14ac:dyDescent="0.4">
      <c r="K961" s="5">
        <v>959</v>
      </c>
      <c r="L961" s="73">
        <v>-3.4999999999999414</v>
      </c>
    </row>
    <row r="962" spans="11:12" x14ac:dyDescent="0.4">
      <c r="K962" s="5">
        <v>960</v>
      </c>
      <c r="L962" s="73">
        <v>5.8619775700208265E-14</v>
      </c>
    </row>
    <row r="963" spans="11:12" x14ac:dyDescent="0.4">
      <c r="K963" s="5">
        <v>961</v>
      </c>
      <c r="L963" s="73">
        <v>-28.499999999999943</v>
      </c>
    </row>
    <row r="964" spans="11:12" x14ac:dyDescent="0.4">
      <c r="K964" s="5">
        <v>962</v>
      </c>
      <c r="L964" s="73">
        <v>-31.899999999999942</v>
      </c>
    </row>
    <row r="965" spans="11:12" x14ac:dyDescent="0.4">
      <c r="K965" s="5">
        <v>963</v>
      </c>
      <c r="L965" s="73">
        <v>5.8619775700208265E-14</v>
      </c>
    </row>
    <row r="966" spans="11:12" x14ac:dyDescent="0.4">
      <c r="K966" s="5">
        <v>964</v>
      </c>
      <c r="L966" s="73">
        <v>28.900000000000055</v>
      </c>
    </row>
    <row r="967" spans="11:12" x14ac:dyDescent="0.4">
      <c r="K967" s="5">
        <v>965</v>
      </c>
      <c r="L967" s="73">
        <v>3.5000000000000586</v>
      </c>
    </row>
    <row r="968" spans="11:12" x14ac:dyDescent="0.4">
      <c r="K968" s="5">
        <v>966</v>
      </c>
      <c r="L968" s="73">
        <v>5.8619775700208265E-14</v>
      </c>
    </row>
    <row r="969" spans="11:12" x14ac:dyDescent="0.4">
      <c r="K969" s="5">
        <v>967</v>
      </c>
      <c r="L969" s="73">
        <v>-15.299999999999942</v>
      </c>
    </row>
    <row r="970" spans="11:12" x14ac:dyDescent="0.4">
      <c r="K970" s="5">
        <v>968</v>
      </c>
      <c r="L970" s="73">
        <v>41.000000000000057</v>
      </c>
    </row>
    <row r="971" spans="11:12" x14ac:dyDescent="0.4">
      <c r="K971" s="5">
        <v>969</v>
      </c>
      <c r="L971" s="73">
        <v>5.8619775700208265E-14</v>
      </c>
    </row>
    <row r="972" spans="11:12" x14ac:dyDescent="0.4">
      <c r="K972" s="5">
        <v>970</v>
      </c>
      <c r="L972" s="73">
        <v>-15.799999999999942</v>
      </c>
    </row>
    <row r="973" spans="11:12" x14ac:dyDescent="0.4">
      <c r="K973" s="5">
        <v>971</v>
      </c>
      <c r="L973" s="73">
        <v>57.800000000000054</v>
      </c>
    </row>
    <row r="974" spans="11:12" x14ac:dyDescent="0.4">
      <c r="K974" s="5">
        <v>972</v>
      </c>
      <c r="L974" s="73">
        <v>5.8619775700208265E-14</v>
      </c>
    </row>
    <row r="975" spans="11:12" x14ac:dyDescent="0.4">
      <c r="K975" s="5">
        <v>973</v>
      </c>
      <c r="L975" s="73">
        <v>54.600000000000058</v>
      </c>
    </row>
    <row r="976" spans="11:12" x14ac:dyDescent="0.4">
      <c r="K976" s="5">
        <v>974</v>
      </c>
      <c r="L976" s="73">
        <v>14.60000000000006</v>
      </c>
    </row>
    <row r="977" spans="11:12" x14ac:dyDescent="0.4">
      <c r="K977" s="5">
        <v>975</v>
      </c>
      <c r="L977" s="73">
        <v>6.0396132539608516E-14</v>
      </c>
    </row>
    <row r="978" spans="11:12" x14ac:dyDescent="0.4">
      <c r="K978" s="5">
        <v>976</v>
      </c>
      <c r="L978" s="73">
        <v>-43.699999999999946</v>
      </c>
    </row>
    <row r="979" spans="11:12" x14ac:dyDescent="0.4">
      <c r="K979" s="5">
        <v>977</v>
      </c>
      <c r="L979" s="73">
        <v>6.3000000000000558</v>
      </c>
    </row>
    <row r="980" spans="11:12" x14ac:dyDescent="0.4">
      <c r="K980" s="5">
        <v>978</v>
      </c>
      <c r="L980" s="73">
        <v>5.595524044110789E-14</v>
      </c>
    </row>
    <row r="981" spans="11:12" x14ac:dyDescent="0.4">
      <c r="K981" s="5">
        <v>979</v>
      </c>
      <c r="L981" s="73">
        <v>-32.499999999999943</v>
      </c>
    </row>
    <row r="982" spans="11:12" x14ac:dyDescent="0.4">
      <c r="K982" s="5">
        <v>980</v>
      </c>
      <c r="L982" s="73">
        <v>-37.099999999999945</v>
      </c>
    </row>
    <row r="983" spans="11:12" x14ac:dyDescent="0.4">
      <c r="K983" s="5">
        <v>981</v>
      </c>
      <c r="L983" s="73">
        <v>5.8619775700208265E-14</v>
      </c>
    </row>
    <row r="984" spans="11:12" x14ac:dyDescent="0.4">
      <c r="K984" s="5">
        <v>982</v>
      </c>
      <c r="L984" s="73">
        <v>8.0000000000000586</v>
      </c>
    </row>
    <row r="985" spans="11:12" x14ac:dyDescent="0.4">
      <c r="K985" s="5">
        <v>983</v>
      </c>
      <c r="L985" s="73">
        <v>-29.29999999999994</v>
      </c>
    </row>
    <row r="986" spans="11:12" x14ac:dyDescent="0.4">
      <c r="K986" s="5">
        <v>984</v>
      </c>
      <c r="L986" s="73">
        <v>6.2172489379008766E-14</v>
      </c>
    </row>
    <row r="987" spans="11:12" x14ac:dyDescent="0.4">
      <c r="K987" s="5">
        <v>985</v>
      </c>
      <c r="L987" s="73">
        <v>-6.9999999999999378</v>
      </c>
    </row>
    <row r="988" spans="11:12" x14ac:dyDescent="0.4">
      <c r="K988" s="5">
        <v>986</v>
      </c>
      <c r="L988" s="73">
        <v>-38.499999999999943</v>
      </c>
    </row>
    <row r="989" spans="11:12" x14ac:dyDescent="0.4">
      <c r="K989" s="5">
        <v>987</v>
      </c>
      <c r="L989" s="73">
        <v>5.8619775700208265E-14</v>
      </c>
    </row>
    <row r="990" spans="11:12" x14ac:dyDescent="0.4">
      <c r="K990" s="5">
        <v>988</v>
      </c>
      <c r="L990" s="73">
        <v>52.900000000000055</v>
      </c>
    </row>
    <row r="991" spans="11:12" x14ac:dyDescent="0.4">
      <c r="K991" s="5">
        <v>989</v>
      </c>
      <c r="L991" s="73">
        <v>-3.0999999999999428</v>
      </c>
    </row>
    <row r="992" spans="11:12" x14ac:dyDescent="0.4">
      <c r="K992" s="5">
        <v>990</v>
      </c>
      <c r="L992" s="73">
        <v>5.7287508070658077E-14</v>
      </c>
    </row>
    <row r="993" spans="11:12" x14ac:dyDescent="0.4">
      <c r="K993" s="5">
        <v>991</v>
      </c>
      <c r="L993" s="73">
        <v>22.100000000000058</v>
      </c>
    </row>
    <row r="994" spans="11:12" x14ac:dyDescent="0.4">
      <c r="K994" s="5">
        <v>992</v>
      </c>
      <c r="L994" s="73">
        <v>24.000000000000057</v>
      </c>
    </row>
    <row r="995" spans="11:12" x14ac:dyDescent="0.4">
      <c r="K995" s="5">
        <v>993</v>
      </c>
      <c r="L995" s="73">
        <v>5.8619775700208265E-14</v>
      </c>
    </row>
    <row r="996" spans="11:12" x14ac:dyDescent="0.4">
      <c r="K996" s="5">
        <v>994</v>
      </c>
      <c r="L996" s="73">
        <v>22.100000000000058</v>
      </c>
    </row>
    <row r="997" spans="11:12" x14ac:dyDescent="0.4">
      <c r="K997" s="5">
        <v>995</v>
      </c>
      <c r="L997" s="73">
        <v>24.000000000000057</v>
      </c>
    </row>
    <row r="998" spans="11:12" x14ac:dyDescent="0.4">
      <c r="K998" s="5">
        <v>996</v>
      </c>
      <c r="L998" s="73">
        <v>5.8619775700208265E-14</v>
      </c>
    </row>
    <row r="999" spans="11:12" x14ac:dyDescent="0.4">
      <c r="K999" s="5">
        <v>997</v>
      </c>
      <c r="L999" s="73">
        <v>25.70000000000006</v>
      </c>
    </row>
    <row r="1000" spans="11:12" x14ac:dyDescent="0.4">
      <c r="K1000" s="5">
        <v>998</v>
      </c>
      <c r="L1000" s="73">
        <v>1.8000000000000593</v>
      </c>
    </row>
    <row r="1001" spans="11:12" x14ac:dyDescent="0.4">
      <c r="K1001" s="5">
        <v>999</v>
      </c>
      <c r="L1001" s="73">
        <v>5.9285909514983359E-14</v>
      </c>
    </row>
    <row r="1002" spans="11:12" x14ac:dyDescent="0.4">
      <c r="K1002" s="5">
        <v>1000</v>
      </c>
      <c r="L1002" s="73">
        <v>39.600000000000058</v>
      </c>
    </row>
    <row r="1003" spans="11:12" x14ac:dyDescent="0.4">
      <c r="K1003" s="5">
        <v>1001</v>
      </c>
      <c r="L1003" s="73">
        <v>-64.199999999999932</v>
      </c>
    </row>
    <row r="1004" spans="11:12" x14ac:dyDescent="0.4">
      <c r="K1004" s="5">
        <v>1002</v>
      </c>
      <c r="L1004" s="73">
        <v>7.2830630415410269E-14</v>
      </c>
    </row>
    <row r="1005" spans="11:12" x14ac:dyDescent="0.4">
      <c r="K1005" s="5">
        <v>1003</v>
      </c>
      <c r="L1005" s="73">
        <v>-74.499999999999929</v>
      </c>
    </row>
    <row r="1006" spans="11:12" x14ac:dyDescent="0.4">
      <c r="K1006" s="5">
        <v>1004</v>
      </c>
      <c r="L1006" s="73">
        <v>2.2000000000000757</v>
      </c>
    </row>
    <row r="1007" spans="11:12" x14ac:dyDescent="0.4">
      <c r="K1007" s="5">
        <v>1005</v>
      </c>
      <c r="L1007" s="73">
        <v>7.5495165674510645E-14</v>
      </c>
    </row>
    <row r="1008" spans="11:12" x14ac:dyDescent="0.4">
      <c r="K1008" s="5">
        <v>1006</v>
      </c>
      <c r="L1008" s="73">
        <v>-31.599999999999923</v>
      </c>
    </row>
    <row r="1009" spans="11:12" x14ac:dyDescent="0.4">
      <c r="K1009" s="5">
        <v>1007</v>
      </c>
      <c r="L1009" s="73">
        <v>-35.799999999999926</v>
      </c>
    </row>
    <row r="1010" spans="11:12" x14ac:dyDescent="0.4">
      <c r="K1010" s="5">
        <v>1008</v>
      </c>
      <c r="L1010" s="73">
        <v>7.2830630415410269E-14</v>
      </c>
    </row>
    <row r="1011" spans="11:12" x14ac:dyDescent="0.4">
      <c r="K1011" s="5">
        <v>1009</v>
      </c>
      <c r="L1011" s="73">
        <v>35.300000000000068</v>
      </c>
    </row>
    <row r="1012" spans="11:12" x14ac:dyDescent="0.4">
      <c r="K1012" s="5">
        <v>1010</v>
      </c>
      <c r="L1012" s="73">
        <v>34.000000000000071</v>
      </c>
    </row>
    <row r="1013" spans="11:12" x14ac:dyDescent="0.4">
      <c r="K1013" s="5">
        <v>1011</v>
      </c>
      <c r="L1013" s="73">
        <v>7.2830630415410269E-14</v>
      </c>
    </row>
    <row r="1014" spans="11:12" x14ac:dyDescent="0.4">
      <c r="K1014" s="5">
        <v>1012</v>
      </c>
      <c r="L1014" s="73">
        <v>6.1000000000000725</v>
      </c>
    </row>
    <row r="1015" spans="11:12" x14ac:dyDescent="0.4">
      <c r="K1015" s="5">
        <v>1013</v>
      </c>
      <c r="L1015" s="73">
        <v>57.000000000000071</v>
      </c>
    </row>
    <row r="1016" spans="11:12" x14ac:dyDescent="0.4">
      <c r="K1016" s="5">
        <v>1014</v>
      </c>
      <c r="L1016" s="73">
        <v>7.2830630415410269E-14</v>
      </c>
    </row>
    <row r="1017" spans="11:12" x14ac:dyDescent="0.4">
      <c r="K1017" s="5">
        <v>1015</v>
      </c>
      <c r="L1017" s="73">
        <v>-5.0999999999999268</v>
      </c>
    </row>
    <row r="1018" spans="11:12" x14ac:dyDescent="0.4">
      <c r="K1018" s="5">
        <v>1016</v>
      </c>
      <c r="L1018" s="73">
        <v>31.600000000000072</v>
      </c>
    </row>
    <row r="1019" spans="11:12" x14ac:dyDescent="0.4">
      <c r="K1019" s="5">
        <v>1017</v>
      </c>
      <c r="L1019" s="73">
        <v>7.2830630415410269E-14</v>
      </c>
    </row>
    <row r="1020" spans="11:12" x14ac:dyDescent="0.4">
      <c r="K1020" s="5">
        <v>1018</v>
      </c>
      <c r="L1020" s="73">
        <v>5.200000000000073</v>
      </c>
    </row>
    <row r="1021" spans="11:12" x14ac:dyDescent="0.4">
      <c r="K1021" s="5">
        <v>1019</v>
      </c>
      <c r="L1021" s="73">
        <v>41.500000000000071</v>
      </c>
    </row>
    <row r="1022" spans="11:12" x14ac:dyDescent="0.4">
      <c r="K1022" s="5">
        <v>1020</v>
      </c>
      <c r="L1022" s="73">
        <v>7.2830630415410269E-14</v>
      </c>
    </row>
    <row r="1023" spans="11:12" x14ac:dyDescent="0.4">
      <c r="K1023" s="5">
        <v>1021</v>
      </c>
      <c r="L1023" s="73">
        <v>-7.8999999999999275</v>
      </c>
    </row>
    <row r="1024" spans="11:12" x14ac:dyDescent="0.4">
      <c r="K1024" s="5">
        <v>1022</v>
      </c>
      <c r="L1024" s="73">
        <v>55.100000000000072</v>
      </c>
    </row>
    <row r="1025" spans="11:12" x14ac:dyDescent="0.4">
      <c r="K1025" s="5">
        <v>1023</v>
      </c>
      <c r="L1025" s="73">
        <v>7.2830630415410269E-14</v>
      </c>
    </row>
    <row r="1026" spans="11:12" x14ac:dyDescent="0.4">
      <c r="K1026" s="5">
        <v>1024</v>
      </c>
      <c r="L1026" s="73">
        <v>-0.99999999999992717</v>
      </c>
    </row>
    <row r="1027" spans="11:12" x14ac:dyDescent="0.4">
      <c r="K1027" s="5">
        <v>1025</v>
      </c>
      <c r="L1027" s="73">
        <v>-30.799999999999926</v>
      </c>
    </row>
    <row r="1028" spans="11:12" x14ac:dyDescent="0.4">
      <c r="K1028" s="5">
        <v>1026</v>
      </c>
      <c r="L1028" s="73">
        <v>7.2830630415410269E-14</v>
      </c>
    </row>
    <row r="1029" spans="11:12" x14ac:dyDescent="0.4">
      <c r="K1029" s="5">
        <v>1027</v>
      </c>
      <c r="L1029" s="73">
        <v>0.50000000000007283</v>
      </c>
    </row>
    <row r="1030" spans="11:12" x14ac:dyDescent="0.4">
      <c r="K1030" s="5">
        <v>1028</v>
      </c>
      <c r="L1030" s="73">
        <v>29.100000000000072</v>
      </c>
    </row>
    <row r="1031" spans="11:12" x14ac:dyDescent="0.4">
      <c r="K1031" s="5">
        <v>1029</v>
      </c>
      <c r="L1031" s="73">
        <v>7.2830630415410269E-14</v>
      </c>
    </row>
    <row r="1032" spans="11:12" x14ac:dyDescent="0.4">
      <c r="K1032" s="5">
        <v>1030</v>
      </c>
      <c r="L1032" s="73">
        <v>-45.299999999999926</v>
      </c>
    </row>
    <row r="1033" spans="11:12" x14ac:dyDescent="0.4">
      <c r="K1033" s="5">
        <v>1031</v>
      </c>
      <c r="L1033" s="73">
        <v>-59.299999999999926</v>
      </c>
    </row>
    <row r="1034" spans="11:12" x14ac:dyDescent="0.4">
      <c r="K1034" s="5">
        <v>1032</v>
      </c>
      <c r="L1034" s="73">
        <v>7.2830630415410269E-14</v>
      </c>
    </row>
    <row r="1035" spans="11:12" x14ac:dyDescent="0.4">
      <c r="K1035" s="5">
        <v>1033</v>
      </c>
      <c r="L1035" s="73">
        <v>-8.8999999999999275</v>
      </c>
    </row>
    <row r="1036" spans="11:12" x14ac:dyDescent="0.4">
      <c r="K1036" s="5">
        <v>1034</v>
      </c>
      <c r="L1036" s="73">
        <v>-47.499999999999929</v>
      </c>
    </row>
    <row r="1037" spans="11:12" x14ac:dyDescent="0.4">
      <c r="K1037" s="5">
        <v>1035</v>
      </c>
      <c r="L1037" s="73">
        <v>7.2830630415410269E-14</v>
      </c>
    </row>
    <row r="1038" spans="11:12" x14ac:dyDescent="0.4">
      <c r="K1038" s="5">
        <v>1036</v>
      </c>
      <c r="L1038" s="73">
        <v>-3.4999999999999272</v>
      </c>
    </row>
    <row r="1039" spans="11:12" x14ac:dyDescent="0.4">
      <c r="K1039" s="5">
        <v>1037</v>
      </c>
      <c r="L1039" s="73">
        <v>27.000000000000071</v>
      </c>
    </row>
    <row r="1040" spans="11:12" x14ac:dyDescent="0.4">
      <c r="K1040" s="5">
        <v>1038</v>
      </c>
      <c r="L1040" s="73">
        <v>7.2830630415410269E-14</v>
      </c>
    </row>
    <row r="1041" spans="11:12" x14ac:dyDescent="0.4">
      <c r="K1041" s="5">
        <v>1039</v>
      </c>
      <c r="L1041" s="73">
        <v>-55.199999999999932</v>
      </c>
    </row>
    <row r="1042" spans="11:12" x14ac:dyDescent="0.4">
      <c r="K1042" s="5">
        <v>1040</v>
      </c>
      <c r="L1042" s="73">
        <v>-80.699999999999932</v>
      </c>
    </row>
    <row r="1043" spans="11:12" x14ac:dyDescent="0.4">
      <c r="K1043" s="5">
        <v>1041</v>
      </c>
      <c r="L1043" s="73">
        <v>7.2830630415410269E-14</v>
      </c>
    </row>
    <row r="1044" spans="11:12" x14ac:dyDescent="0.4">
      <c r="K1044" s="5">
        <v>1042</v>
      </c>
      <c r="L1044" s="73">
        <v>8.0000000000000728</v>
      </c>
    </row>
    <row r="1045" spans="11:12" x14ac:dyDescent="0.4">
      <c r="K1045" s="5">
        <v>1043</v>
      </c>
      <c r="L1045" s="73">
        <v>-63.199999999999932</v>
      </c>
    </row>
    <row r="1046" spans="11:12" x14ac:dyDescent="0.4">
      <c r="K1046" s="5">
        <v>1044</v>
      </c>
      <c r="L1046" s="73">
        <v>7.2830630415410269E-14</v>
      </c>
    </row>
    <row r="1047" spans="11:12" x14ac:dyDescent="0.4">
      <c r="K1047" s="5">
        <v>1045</v>
      </c>
      <c r="L1047" s="73">
        <v>54.500000000000071</v>
      </c>
    </row>
    <row r="1048" spans="11:12" x14ac:dyDescent="0.4">
      <c r="K1048" s="5">
        <v>1046</v>
      </c>
      <c r="L1048" s="73">
        <v>8.5000000000000728</v>
      </c>
    </row>
    <row r="1049" spans="11:12" x14ac:dyDescent="0.4">
      <c r="K1049" s="5">
        <v>1047</v>
      </c>
      <c r="L1049" s="73">
        <v>7.2830630415410269E-14</v>
      </c>
    </row>
    <row r="1050" spans="11:12" x14ac:dyDescent="0.4">
      <c r="K1050" s="5">
        <v>1048</v>
      </c>
      <c r="L1050" s="73">
        <v>-10.599999999999927</v>
      </c>
    </row>
    <row r="1051" spans="11:12" x14ac:dyDescent="0.4">
      <c r="K1051" s="5">
        <v>1049</v>
      </c>
      <c r="L1051" s="73">
        <v>-61.799999999999933</v>
      </c>
    </row>
    <row r="1052" spans="11:12" x14ac:dyDescent="0.4">
      <c r="K1052" s="5">
        <v>1050</v>
      </c>
      <c r="L1052" s="73">
        <v>6.5725203057809267E-14</v>
      </c>
    </row>
    <row r="1053" spans="11:12" x14ac:dyDescent="0.4">
      <c r="K1053" s="5">
        <v>1051</v>
      </c>
      <c r="L1053" s="73">
        <v>4.6000000000000654</v>
      </c>
    </row>
    <row r="1054" spans="11:12" x14ac:dyDescent="0.4">
      <c r="K1054" s="5">
        <v>1052</v>
      </c>
      <c r="L1054" s="73">
        <v>-25.299999999999933</v>
      </c>
    </row>
    <row r="1055" spans="11:12" x14ac:dyDescent="0.4">
      <c r="K1055" s="5">
        <v>1053</v>
      </c>
      <c r="L1055" s="73">
        <v>6.9277916736609768E-14</v>
      </c>
    </row>
    <row r="1056" spans="11:12" x14ac:dyDescent="0.4">
      <c r="K1056" s="5">
        <v>1054</v>
      </c>
      <c r="L1056" s="73">
        <v>-2.4999999999999307</v>
      </c>
    </row>
    <row r="1057" spans="11:12" x14ac:dyDescent="0.4">
      <c r="K1057" s="5">
        <v>1055</v>
      </c>
      <c r="L1057" s="73">
        <v>-49.999999999999929</v>
      </c>
    </row>
    <row r="1058" spans="11:12" x14ac:dyDescent="0.4">
      <c r="K1058" s="5">
        <v>1056</v>
      </c>
      <c r="L1058" s="73">
        <v>7.2830630415410269E-14</v>
      </c>
    </row>
    <row r="1059" spans="11:12" x14ac:dyDescent="0.4">
      <c r="K1059" s="5">
        <v>1057</v>
      </c>
      <c r="L1059" s="73">
        <v>31.90000000000007</v>
      </c>
    </row>
    <row r="1060" spans="11:12" x14ac:dyDescent="0.4">
      <c r="K1060" s="5">
        <v>1058</v>
      </c>
      <c r="L1060" s="73">
        <v>28.100000000000072</v>
      </c>
    </row>
    <row r="1061" spans="11:12" x14ac:dyDescent="0.4">
      <c r="K1061" s="5">
        <v>1059</v>
      </c>
      <c r="L1061" s="73">
        <v>6.9277916736609768E-14</v>
      </c>
    </row>
    <row r="1062" spans="11:12" x14ac:dyDescent="0.4">
      <c r="K1062" s="5">
        <v>1060</v>
      </c>
      <c r="L1062" s="73">
        <v>-55.999999999999929</v>
      </c>
    </row>
    <row r="1063" spans="11:12" x14ac:dyDescent="0.4">
      <c r="K1063" s="5">
        <v>1061</v>
      </c>
      <c r="L1063" s="73">
        <v>13.000000000000073</v>
      </c>
    </row>
    <row r="1064" spans="11:12" x14ac:dyDescent="0.4">
      <c r="K1064" s="5">
        <v>1062</v>
      </c>
      <c r="L1064" s="73">
        <v>7.2830630415410269E-14</v>
      </c>
    </row>
    <row r="1065" spans="11:12" x14ac:dyDescent="0.4">
      <c r="K1065" s="5">
        <v>1063</v>
      </c>
      <c r="L1065" s="73">
        <v>12.400000000000073</v>
      </c>
    </row>
    <row r="1066" spans="11:12" x14ac:dyDescent="0.4">
      <c r="K1066" s="5">
        <v>1064</v>
      </c>
      <c r="L1066" s="73">
        <v>49.100000000000072</v>
      </c>
    </row>
    <row r="1067" spans="11:12" x14ac:dyDescent="0.4">
      <c r="K1067" s="5">
        <v>1065</v>
      </c>
      <c r="L1067" s="73">
        <v>7.2830630415410269E-14</v>
      </c>
    </row>
    <row r="1068" spans="11:12" x14ac:dyDescent="0.4">
      <c r="K1068" s="5">
        <v>1066</v>
      </c>
      <c r="L1068" s="73">
        <v>-60.299999999999926</v>
      </c>
    </row>
    <row r="1069" spans="11:12" x14ac:dyDescent="0.4">
      <c r="K1069" s="5">
        <v>1067</v>
      </c>
      <c r="L1069" s="73">
        <v>9.30000000000007</v>
      </c>
    </row>
    <row r="1070" spans="11:12" x14ac:dyDescent="0.4">
      <c r="K1070" s="5">
        <v>1068</v>
      </c>
      <c r="L1070" s="73">
        <v>6.9277916736609768E-14</v>
      </c>
    </row>
    <row r="1071" spans="11:12" x14ac:dyDescent="0.4">
      <c r="K1071" s="5">
        <v>1069</v>
      </c>
      <c r="L1071" s="73">
        <v>48.500000000000071</v>
      </c>
    </row>
    <row r="1072" spans="11:12" x14ac:dyDescent="0.4">
      <c r="K1072" s="5">
        <v>1070</v>
      </c>
      <c r="L1072" s="73">
        <v>68.000000000000071</v>
      </c>
    </row>
    <row r="1073" spans="11:12" x14ac:dyDescent="0.4">
      <c r="K1073" s="5">
        <v>1071</v>
      </c>
      <c r="L1073" s="73">
        <v>7.2830630415410269E-14</v>
      </c>
    </row>
    <row r="1074" spans="11:12" x14ac:dyDescent="0.4">
      <c r="K1074" s="5">
        <v>1072</v>
      </c>
      <c r="L1074" s="73">
        <v>-1.4999999999999272</v>
      </c>
    </row>
    <row r="1075" spans="11:12" x14ac:dyDescent="0.4">
      <c r="K1075" s="5">
        <v>1073</v>
      </c>
      <c r="L1075" s="73">
        <v>-32.59999999999993</v>
      </c>
    </row>
    <row r="1076" spans="11:12" x14ac:dyDescent="0.4">
      <c r="K1076" s="5">
        <v>1074</v>
      </c>
      <c r="L1076" s="73">
        <v>7.2830630415410269E-14</v>
      </c>
    </row>
    <row r="1077" spans="11:12" x14ac:dyDescent="0.4">
      <c r="K1077" s="5">
        <v>1075</v>
      </c>
      <c r="L1077" s="73">
        <v>47.40000000000007</v>
      </c>
    </row>
    <row r="1078" spans="11:12" x14ac:dyDescent="0.4">
      <c r="K1078" s="5">
        <v>1076</v>
      </c>
      <c r="L1078" s="73">
        <v>52.300000000000068</v>
      </c>
    </row>
    <row r="1079" spans="11:12" x14ac:dyDescent="0.4">
      <c r="K1079" s="5">
        <v>1077</v>
      </c>
      <c r="L1079" s="73">
        <v>7.2830630415410269E-14</v>
      </c>
    </row>
    <row r="1080" spans="11:12" x14ac:dyDescent="0.4">
      <c r="K1080" s="5">
        <v>1078</v>
      </c>
      <c r="L1080" s="73">
        <v>73.600000000000065</v>
      </c>
    </row>
    <row r="1081" spans="11:12" x14ac:dyDescent="0.4">
      <c r="K1081" s="5">
        <v>1079</v>
      </c>
      <c r="L1081" s="73">
        <v>7.30000000000007</v>
      </c>
    </row>
    <row r="1082" spans="11:12" x14ac:dyDescent="0.4">
      <c r="K1082" s="5">
        <v>1080</v>
      </c>
      <c r="L1082" s="73">
        <v>7.0166095156309893E-14</v>
      </c>
    </row>
    <row r="1083" spans="11:12" x14ac:dyDescent="0.4">
      <c r="K1083" s="5">
        <v>1081</v>
      </c>
      <c r="L1083" s="73">
        <v>-33.59999999999993</v>
      </c>
    </row>
    <row r="1084" spans="11:12" x14ac:dyDescent="0.4">
      <c r="K1084" s="5">
        <v>1082</v>
      </c>
      <c r="L1084" s="73">
        <v>-32.499999999999929</v>
      </c>
    </row>
    <row r="1085" spans="11:12" x14ac:dyDescent="0.4">
      <c r="K1085" s="5">
        <v>1083</v>
      </c>
      <c r="L1085" s="73">
        <v>7.2830630415410269E-14</v>
      </c>
    </row>
    <row r="1086" spans="11:12" x14ac:dyDescent="0.4">
      <c r="K1086" s="5">
        <v>1084</v>
      </c>
      <c r="L1086" s="73">
        <v>5.4000000000000732</v>
      </c>
    </row>
    <row r="1087" spans="11:12" x14ac:dyDescent="0.4">
      <c r="K1087" s="5">
        <v>1085</v>
      </c>
      <c r="L1087" s="73">
        <v>-26.899999999999928</v>
      </c>
    </row>
    <row r="1088" spans="11:12" x14ac:dyDescent="0.4">
      <c r="K1088" s="5">
        <v>1086</v>
      </c>
      <c r="L1088" s="73">
        <v>7.2830630415410269E-14</v>
      </c>
    </row>
    <row r="1089" spans="11:12" x14ac:dyDescent="0.4">
      <c r="K1089" s="5">
        <v>1087</v>
      </c>
      <c r="L1089" s="73">
        <v>15.100000000000072</v>
      </c>
    </row>
    <row r="1090" spans="11:12" x14ac:dyDescent="0.4">
      <c r="K1090" s="5">
        <v>1088</v>
      </c>
      <c r="L1090" s="73">
        <v>-35.199999999999925</v>
      </c>
    </row>
    <row r="1091" spans="11:12" x14ac:dyDescent="0.4">
      <c r="K1091" s="5">
        <v>1089</v>
      </c>
      <c r="L1091" s="73">
        <v>7.9936057773011271E-14</v>
      </c>
    </row>
    <row r="1092" spans="11:12" x14ac:dyDescent="0.4">
      <c r="K1092" s="5">
        <v>1090</v>
      </c>
      <c r="L1092" s="73">
        <v>-28.199999999999918</v>
      </c>
    </row>
    <row r="1093" spans="11:12" x14ac:dyDescent="0.4">
      <c r="K1093" s="5">
        <v>1091</v>
      </c>
      <c r="L1093" s="73">
        <v>-33.499999999999922</v>
      </c>
    </row>
    <row r="1094" spans="11:12" x14ac:dyDescent="0.4">
      <c r="K1094" s="5">
        <v>1092</v>
      </c>
      <c r="L1094" s="73">
        <v>7.9936057773011271E-14</v>
      </c>
    </row>
    <row r="1095" spans="11:12" x14ac:dyDescent="0.4">
      <c r="K1095" s="5">
        <v>1093</v>
      </c>
      <c r="L1095" s="73">
        <v>-60.89999999999992</v>
      </c>
    </row>
    <row r="1096" spans="11:12" x14ac:dyDescent="0.4">
      <c r="K1096" s="5">
        <v>1094</v>
      </c>
      <c r="L1096" s="73">
        <v>-57.39999999999992</v>
      </c>
    </row>
    <row r="1097" spans="11:12" x14ac:dyDescent="0.4">
      <c r="K1097" s="5">
        <v>1095</v>
      </c>
      <c r="L1097" s="73">
        <v>7.9936057773011271E-14</v>
      </c>
    </row>
    <row r="1098" spans="11:12" x14ac:dyDescent="0.4">
      <c r="K1098" s="5">
        <v>1096</v>
      </c>
      <c r="L1098" s="73">
        <v>-57.699999999999925</v>
      </c>
    </row>
    <row r="1099" spans="11:12" x14ac:dyDescent="0.4">
      <c r="K1099" s="5">
        <v>1097</v>
      </c>
      <c r="L1099" s="73">
        <v>-13.799999999999924</v>
      </c>
    </row>
    <row r="1100" spans="11:12" x14ac:dyDescent="0.4">
      <c r="K1100" s="5">
        <v>1098</v>
      </c>
      <c r="L1100" s="73">
        <v>7.638334409421077E-14</v>
      </c>
    </row>
    <row r="1101" spans="11:12" x14ac:dyDescent="0.4">
      <c r="K1101" s="5">
        <v>1099</v>
      </c>
      <c r="L1101" s="73">
        <v>-55.499999999999929</v>
      </c>
    </row>
    <row r="1102" spans="11:12" x14ac:dyDescent="0.4">
      <c r="K1102" s="5">
        <v>1100</v>
      </c>
      <c r="L1102" s="73">
        <v>1.5000000000000728</v>
      </c>
    </row>
    <row r="1103" spans="11:12" x14ac:dyDescent="0.4">
      <c r="K1103" s="5">
        <v>1101</v>
      </c>
      <c r="L1103" s="73">
        <v>7.2830630415410269E-14</v>
      </c>
    </row>
    <row r="1104" spans="11:12" x14ac:dyDescent="0.4">
      <c r="K1104" s="5">
        <v>1102</v>
      </c>
      <c r="L1104" s="73">
        <v>46.90000000000007</v>
      </c>
    </row>
    <row r="1105" spans="11:12" x14ac:dyDescent="0.4">
      <c r="K1105" s="5">
        <v>1103</v>
      </c>
      <c r="L1105" s="73">
        <v>12.500000000000073</v>
      </c>
    </row>
    <row r="1106" spans="11:12" x14ac:dyDescent="0.4">
      <c r="K1106" s="5">
        <v>1104</v>
      </c>
      <c r="L1106" s="73">
        <v>7.2830630415410269E-14</v>
      </c>
    </row>
    <row r="1107" spans="11:12" x14ac:dyDescent="0.4">
      <c r="K1107" s="5">
        <v>1105</v>
      </c>
      <c r="L1107" s="73">
        <v>-59.899999999999928</v>
      </c>
    </row>
    <row r="1108" spans="11:12" x14ac:dyDescent="0.4">
      <c r="K1108" s="5">
        <v>1106</v>
      </c>
      <c r="L1108" s="73">
        <v>4.4000000000000714</v>
      </c>
    </row>
    <row r="1109" spans="11:12" x14ac:dyDescent="0.4">
      <c r="K1109" s="5">
        <v>1107</v>
      </c>
      <c r="L1109" s="73">
        <v>7.1054273576010019E-14</v>
      </c>
    </row>
    <row r="1110" spans="11:12" x14ac:dyDescent="0.4">
      <c r="K1110" s="5">
        <v>1108</v>
      </c>
      <c r="L1110" s="73">
        <v>54.500000000000071</v>
      </c>
    </row>
    <row r="1111" spans="11:12" x14ac:dyDescent="0.4">
      <c r="K1111" s="5">
        <v>1109</v>
      </c>
      <c r="L1111" s="73">
        <v>-8.9999999999999272</v>
      </c>
    </row>
    <row r="1112" spans="11:12" x14ac:dyDescent="0.4">
      <c r="K1112" s="5">
        <v>1110</v>
      </c>
      <c r="L1112" s="73">
        <v>7.2830630415410269E-14</v>
      </c>
    </row>
    <row r="1113" spans="11:12" x14ac:dyDescent="0.4">
      <c r="K1113" s="5">
        <v>1111</v>
      </c>
      <c r="L1113" s="73">
        <v>-55.399999999999928</v>
      </c>
    </row>
    <row r="1114" spans="11:12" x14ac:dyDescent="0.4">
      <c r="K1114" s="5">
        <v>1112</v>
      </c>
      <c r="L1114" s="73">
        <v>-51.899999999999928</v>
      </c>
    </row>
    <row r="1115" spans="11:12" x14ac:dyDescent="0.4">
      <c r="K1115" s="5">
        <v>1113</v>
      </c>
      <c r="L1115" s="73">
        <v>7.2830630415410269E-14</v>
      </c>
    </row>
    <row r="1116" spans="11:12" x14ac:dyDescent="0.4">
      <c r="K1116" s="5">
        <v>1114</v>
      </c>
      <c r="L1116" s="73">
        <v>4.1000000000000725</v>
      </c>
    </row>
    <row r="1117" spans="11:12" x14ac:dyDescent="0.4">
      <c r="K1117" s="5">
        <v>1115</v>
      </c>
      <c r="L1117" s="73">
        <v>35.200000000000074</v>
      </c>
    </row>
    <row r="1118" spans="11:12" x14ac:dyDescent="0.4">
      <c r="K1118" s="5">
        <v>1116</v>
      </c>
      <c r="L1118" s="73">
        <v>7.2830630415410269E-14</v>
      </c>
    </row>
    <row r="1119" spans="11:12" x14ac:dyDescent="0.4">
      <c r="K1119" s="5">
        <v>1117</v>
      </c>
      <c r="L1119" s="73">
        <v>-5.1999999999999273</v>
      </c>
    </row>
    <row r="1120" spans="11:12" x14ac:dyDescent="0.4">
      <c r="K1120" s="5">
        <v>1118</v>
      </c>
      <c r="L1120" s="73">
        <v>-32.299999999999933</v>
      </c>
    </row>
    <row r="1121" spans="11:12" x14ac:dyDescent="0.4">
      <c r="K1121" s="5">
        <v>1119</v>
      </c>
      <c r="L1121" s="73">
        <v>6.5725203057809267E-14</v>
      </c>
    </row>
    <row r="1122" spans="11:12" x14ac:dyDescent="0.4">
      <c r="K1122" s="5">
        <v>1120</v>
      </c>
      <c r="L1122" s="73">
        <v>30.600000000000065</v>
      </c>
    </row>
    <row r="1123" spans="11:12" x14ac:dyDescent="0.4">
      <c r="K1123" s="5">
        <v>1121</v>
      </c>
      <c r="L1123" s="73">
        <v>-10.099999999999936</v>
      </c>
    </row>
    <row r="1124" spans="11:12" x14ac:dyDescent="0.4">
      <c r="K1124" s="5">
        <v>1122</v>
      </c>
      <c r="L1124" s="73">
        <v>6.3948846218409017E-14</v>
      </c>
    </row>
    <row r="1125" spans="11:12" x14ac:dyDescent="0.4">
      <c r="K1125" s="5">
        <v>1123</v>
      </c>
      <c r="L1125" s="73">
        <v>-28.599999999999937</v>
      </c>
    </row>
    <row r="1126" spans="11:12" x14ac:dyDescent="0.4">
      <c r="K1126" s="5">
        <v>1124</v>
      </c>
      <c r="L1126" s="73">
        <v>1.3000000000000629</v>
      </c>
    </row>
    <row r="1127" spans="11:12" x14ac:dyDescent="0.4">
      <c r="K1127" s="5">
        <v>1125</v>
      </c>
      <c r="L1127" s="73">
        <v>6.283862319378386E-14</v>
      </c>
    </row>
    <row r="1128" spans="11:12" x14ac:dyDescent="0.4">
      <c r="K1128" s="5">
        <v>1126</v>
      </c>
      <c r="L1128" s="73">
        <v>-26.29999999999994</v>
      </c>
    </row>
    <row r="1129" spans="11:12" x14ac:dyDescent="0.4">
      <c r="K1129" s="5">
        <v>1127</v>
      </c>
      <c r="L1129" s="73">
        <v>4.10000000000006</v>
      </c>
    </row>
    <row r="1130" spans="11:12" x14ac:dyDescent="0.4">
      <c r="K1130" s="5">
        <v>1128</v>
      </c>
      <c r="L1130" s="73">
        <v>6.0396132539608516E-14</v>
      </c>
    </row>
    <row r="1131" spans="11:12" x14ac:dyDescent="0.4">
      <c r="K1131" s="5">
        <v>1129</v>
      </c>
      <c r="L1131" s="73">
        <v>-39.499999999999943</v>
      </c>
    </row>
    <row r="1132" spans="11:12" x14ac:dyDescent="0.4">
      <c r="K1132" s="5">
        <v>1130</v>
      </c>
      <c r="L1132" s="73">
        <v>-33.699999999999946</v>
      </c>
    </row>
    <row r="1133" spans="11:12" x14ac:dyDescent="0.4">
      <c r="K1133" s="5">
        <v>1131</v>
      </c>
      <c r="L1133" s="73">
        <v>5.8619775700208265E-14</v>
      </c>
    </row>
    <row r="1134" spans="11:12" x14ac:dyDescent="0.4">
      <c r="K1134" s="5">
        <v>1132</v>
      </c>
      <c r="L1134" s="73">
        <v>4.1000000000000583</v>
      </c>
    </row>
    <row r="1135" spans="11:12" x14ac:dyDescent="0.4">
      <c r="K1135" s="5">
        <v>1133</v>
      </c>
      <c r="L1135" s="73">
        <v>-55.999999999999943</v>
      </c>
    </row>
    <row r="1136" spans="11:12" x14ac:dyDescent="0.4">
      <c r="K1136" s="5">
        <v>1134</v>
      </c>
      <c r="L1136" s="73">
        <v>5.8619775700208265E-14</v>
      </c>
    </row>
    <row r="1137" spans="11:12" x14ac:dyDescent="0.4">
      <c r="K1137" s="5">
        <v>1135</v>
      </c>
      <c r="L1137" s="73">
        <v>-20.999999999999943</v>
      </c>
    </row>
    <row r="1138" spans="11:12" x14ac:dyDescent="0.4">
      <c r="K1138" s="5">
        <v>1136</v>
      </c>
      <c r="L1138" s="73">
        <v>58.000000000000057</v>
      </c>
    </row>
    <row r="1139" spans="11:12" x14ac:dyDescent="0.4">
      <c r="K1139" s="5">
        <v>1137</v>
      </c>
      <c r="L1139" s="73">
        <v>5.8619775700208265E-14</v>
      </c>
    </row>
    <row r="1140" spans="11:12" x14ac:dyDescent="0.4">
      <c r="K1140" s="5">
        <v>1138</v>
      </c>
      <c r="L1140" s="73">
        <v>-33.999999999999943</v>
      </c>
    </row>
    <row r="1141" spans="11:12" x14ac:dyDescent="0.4">
      <c r="K1141" s="5">
        <v>1139</v>
      </c>
      <c r="L1141" s="73">
        <v>-100.99999999999994</v>
      </c>
    </row>
    <row r="1142" spans="11:12" x14ac:dyDescent="0.4">
      <c r="K1142" s="5">
        <v>1140</v>
      </c>
      <c r="L1142" s="73">
        <v>5.8619775700208265E-14</v>
      </c>
    </row>
    <row r="1143" spans="11:12" x14ac:dyDescent="0.4">
      <c r="K1143" s="5">
        <v>1141</v>
      </c>
      <c r="L1143" s="73">
        <v>-12.999999999999941</v>
      </c>
    </row>
    <row r="1144" spans="11:12" x14ac:dyDescent="0.4">
      <c r="K1144" s="5">
        <v>1142</v>
      </c>
      <c r="L1144" s="73">
        <v>-92.899999999999949</v>
      </c>
    </row>
    <row r="1145" spans="11:12" x14ac:dyDescent="0.4">
      <c r="K1145" s="5">
        <v>1143</v>
      </c>
      <c r="L1145" s="73">
        <v>5.8619775700208265E-14</v>
      </c>
    </row>
    <row r="1146" spans="11:12" x14ac:dyDescent="0.4">
      <c r="K1146" s="5">
        <v>1144</v>
      </c>
      <c r="L1146" s="73">
        <v>-3.0999999999999415</v>
      </c>
    </row>
    <row r="1147" spans="11:12" x14ac:dyDescent="0.4">
      <c r="K1147" s="5">
        <v>1145</v>
      </c>
      <c r="L1147" s="73">
        <v>30.300000000000054</v>
      </c>
    </row>
    <row r="1148" spans="11:12" x14ac:dyDescent="0.4">
      <c r="K1148" s="5">
        <v>1146</v>
      </c>
      <c r="L1148" s="73">
        <v>5.5067062021407764E-14</v>
      </c>
    </row>
    <row r="1149" spans="11:12" x14ac:dyDescent="0.4">
      <c r="K1149" s="5">
        <v>1147</v>
      </c>
      <c r="L1149" s="73">
        <v>5.4000000000000554</v>
      </c>
    </row>
    <row r="1150" spans="11:12" x14ac:dyDescent="0.4">
      <c r="K1150" s="5">
        <v>1148</v>
      </c>
      <c r="L1150" s="73">
        <v>-29.399999999999942</v>
      </c>
    </row>
    <row r="1151" spans="11:12" x14ac:dyDescent="0.4">
      <c r="K1151" s="5">
        <v>1149</v>
      </c>
      <c r="L1151" s="73">
        <v>5.8619775700208265E-14</v>
      </c>
    </row>
    <row r="1152" spans="11:12" x14ac:dyDescent="0.4">
      <c r="K1152" s="5">
        <v>1150</v>
      </c>
      <c r="L1152" s="73">
        <v>-61.199999999999946</v>
      </c>
    </row>
    <row r="1153" spans="11:12" x14ac:dyDescent="0.4">
      <c r="K1153" s="5">
        <v>1151</v>
      </c>
      <c r="L1153" s="73">
        <v>-8.9999999999999414</v>
      </c>
    </row>
    <row r="1154" spans="11:12" x14ac:dyDescent="0.4">
      <c r="K1154" s="5">
        <v>1152</v>
      </c>
      <c r="L1154" s="73">
        <v>5.8619775700208265E-14</v>
      </c>
    </row>
    <row r="1155" spans="11:12" x14ac:dyDescent="0.4">
      <c r="K1155" s="5">
        <v>1153</v>
      </c>
      <c r="L1155" s="73">
        <v>-15.599999999999941</v>
      </c>
    </row>
    <row r="1156" spans="11:12" x14ac:dyDescent="0.4">
      <c r="K1156" s="5">
        <v>1154</v>
      </c>
      <c r="L1156" s="73">
        <v>-74.29999999999994</v>
      </c>
    </row>
    <row r="1157" spans="11:12" x14ac:dyDescent="0.4">
      <c r="K1157" s="5">
        <v>1155</v>
      </c>
      <c r="L1157" s="73">
        <v>5.8619775700208265E-14</v>
      </c>
    </row>
    <row r="1158" spans="11:12" x14ac:dyDescent="0.4">
      <c r="K1158" s="5">
        <v>1156</v>
      </c>
      <c r="L1158" s="73">
        <v>7.7000000000000588</v>
      </c>
    </row>
    <row r="1159" spans="11:12" x14ac:dyDescent="0.4">
      <c r="K1159" s="5">
        <v>1157</v>
      </c>
      <c r="L1159" s="73">
        <v>38.500000000000057</v>
      </c>
    </row>
    <row r="1160" spans="11:12" x14ac:dyDescent="0.4">
      <c r="K1160" s="5">
        <v>1158</v>
      </c>
      <c r="L1160" s="73">
        <v>5.8619775700208265E-14</v>
      </c>
    </row>
    <row r="1161" spans="11:12" x14ac:dyDescent="0.4">
      <c r="K1161" s="5">
        <v>1159</v>
      </c>
      <c r="L1161" s="73">
        <v>3.4000000000000585</v>
      </c>
    </row>
    <row r="1162" spans="11:12" x14ac:dyDescent="0.4">
      <c r="K1162" s="5">
        <v>1160</v>
      </c>
      <c r="L1162" s="73">
        <v>-28.29999999999994</v>
      </c>
    </row>
    <row r="1163" spans="11:12" x14ac:dyDescent="0.4">
      <c r="K1163" s="5">
        <v>1161</v>
      </c>
      <c r="L1163" s="73">
        <v>5.8619775700208265E-14</v>
      </c>
    </row>
    <row r="1164" spans="11:12" x14ac:dyDescent="0.4">
      <c r="K1164" s="5">
        <v>1162</v>
      </c>
      <c r="L1164" s="73">
        <v>-42.29999999999994</v>
      </c>
    </row>
    <row r="1165" spans="11:12" x14ac:dyDescent="0.4">
      <c r="K1165" s="5">
        <v>1163</v>
      </c>
      <c r="L1165" s="73">
        <v>-2.4999999999999414</v>
      </c>
    </row>
    <row r="1166" spans="11:12" x14ac:dyDescent="0.4">
      <c r="K1166" s="5">
        <v>1164</v>
      </c>
      <c r="L1166" s="73">
        <v>5.8619775700208265E-14</v>
      </c>
    </row>
    <row r="1167" spans="11:12" x14ac:dyDescent="0.4">
      <c r="K1167" s="5">
        <v>1165</v>
      </c>
      <c r="L1167" s="73">
        <v>-28.79999999999994</v>
      </c>
    </row>
    <row r="1168" spans="11:12" x14ac:dyDescent="0.4">
      <c r="K1168" s="5">
        <v>1166</v>
      </c>
      <c r="L1168" s="73">
        <v>-36.399999999999942</v>
      </c>
    </row>
    <row r="1169" spans="11:12" x14ac:dyDescent="0.4">
      <c r="K1169" s="5">
        <v>1167</v>
      </c>
      <c r="L1169" s="73">
        <v>5.8619775700208265E-14</v>
      </c>
    </row>
    <row r="1170" spans="11:12" x14ac:dyDescent="0.4">
      <c r="K1170" s="5">
        <v>1168</v>
      </c>
      <c r="L1170" s="73">
        <v>-46.999999999999943</v>
      </c>
    </row>
    <row r="1171" spans="11:12" x14ac:dyDescent="0.4">
      <c r="K1171" s="5">
        <v>1169</v>
      </c>
      <c r="L1171" s="73">
        <v>-7.4999999999999414</v>
      </c>
    </row>
    <row r="1172" spans="11:12" x14ac:dyDescent="0.4">
      <c r="K1172" s="5">
        <v>1170</v>
      </c>
      <c r="L1172" s="73">
        <v>5.8619775700208265E-14</v>
      </c>
    </row>
    <row r="1173" spans="11:12" x14ac:dyDescent="0.4">
      <c r="K1173" s="5">
        <v>1171</v>
      </c>
      <c r="L1173" s="73">
        <v>2.9000000000000585</v>
      </c>
    </row>
    <row r="1174" spans="11:12" x14ac:dyDescent="0.4">
      <c r="K1174" s="5">
        <v>1172</v>
      </c>
      <c r="L1174" s="73">
        <v>32.100000000000058</v>
      </c>
    </row>
    <row r="1175" spans="11:12" x14ac:dyDescent="0.4">
      <c r="K1175" s="5">
        <v>1173</v>
      </c>
      <c r="L1175" s="73">
        <v>5.8619775700208265E-14</v>
      </c>
    </row>
    <row r="1176" spans="11:12" x14ac:dyDescent="0.4">
      <c r="K1176" s="5">
        <v>1174</v>
      </c>
      <c r="L1176" s="73">
        <v>-24.79999999999994</v>
      </c>
    </row>
    <row r="1177" spans="11:12" x14ac:dyDescent="0.4">
      <c r="K1177" s="5">
        <v>1175</v>
      </c>
      <c r="L1177" s="73">
        <v>-82.499999999999943</v>
      </c>
    </row>
    <row r="1178" spans="11:12" x14ac:dyDescent="0.4">
      <c r="K1178" s="5">
        <v>1176</v>
      </c>
      <c r="L1178" s="73">
        <v>5.8619775700208265E-14</v>
      </c>
    </row>
    <row r="1179" spans="11:12" x14ac:dyDescent="0.4">
      <c r="K1179" s="5">
        <v>1177</v>
      </c>
      <c r="L1179" s="73">
        <v>30.300000000000061</v>
      </c>
    </row>
    <row r="1180" spans="11:12" x14ac:dyDescent="0.4">
      <c r="K1180" s="5">
        <v>1178</v>
      </c>
      <c r="L1180" s="73">
        <v>27.500000000000057</v>
      </c>
    </row>
    <row r="1181" spans="11:12" x14ac:dyDescent="0.4">
      <c r="K1181" s="5">
        <v>1179</v>
      </c>
      <c r="L1181" s="73">
        <v>5.8619775700208265E-14</v>
      </c>
    </row>
    <row r="1182" spans="11:12" x14ac:dyDescent="0.4">
      <c r="K1182" s="5">
        <v>1180</v>
      </c>
      <c r="L1182" s="73">
        <v>-5.4999999999999414</v>
      </c>
    </row>
    <row r="1183" spans="11:12" x14ac:dyDescent="0.4">
      <c r="K1183" s="5">
        <v>1181</v>
      </c>
      <c r="L1183" s="73">
        <v>-66.599999999999937</v>
      </c>
    </row>
    <row r="1184" spans="11:12" x14ac:dyDescent="0.4">
      <c r="K1184" s="5">
        <v>1182</v>
      </c>
      <c r="L1184" s="73">
        <v>5.8619775700208265E-14</v>
      </c>
    </row>
    <row r="1185" spans="11:12" x14ac:dyDescent="0.4">
      <c r="K1185" s="5">
        <v>1183</v>
      </c>
      <c r="L1185" s="73">
        <v>-32.899999999999942</v>
      </c>
    </row>
    <row r="1186" spans="11:12" x14ac:dyDescent="0.4">
      <c r="K1186" s="5">
        <v>1184</v>
      </c>
      <c r="L1186" s="73">
        <v>12.500000000000059</v>
      </c>
    </row>
    <row r="1187" spans="11:12" x14ac:dyDescent="0.4">
      <c r="K1187" s="5">
        <v>1185</v>
      </c>
      <c r="L1187" s="73">
        <v>5.8619775700208265E-14</v>
      </c>
    </row>
    <row r="1188" spans="11:12" x14ac:dyDescent="0.4">
      <c r="K1188" s="5">
        <v>1186</v>
      </c>
      <c r="L1188" s="73">
        <v>45.100000000000058</v>
      </c>
    </row>
    <row r="1189" spans="11:12" x14ac:dyDescent="0.4">
      <c r="K1189" s="5">
        <v>1187</v>
      </c>
      <c r="L1189" s="73">
        <v>7.10000000000006</v>
      </c>
    </row>
    <row r="1190" spans="11:12" x14ac:dyDescent="0.4">
      <c r="K1190" s="5">
        <v>1188</v>
      </c>
      <c r="L1190" s="73">
        <v>6.0396132539608516E-14</v>
      </c>
    </row>
    <row r="1191" spans="11:12" x14ac:dyDescent="0.4">
      <c r="K1191" s="5">
        <v>1189</v>
      </c>
      <c r="L1191" s="73">
        <v>-56.399999999999942</v>
      </c>
    </row>
    <row r="1192" spans="11:12" x14ac:dyDescent="0.4">
      <c r="K1192" s="5">
        <v>1190</v>
      </c>
      <c r="L1192" s="73">
        <v>-51.099999999999945</v>
      </c>
    </row>
    <row r="1193" spans="11:12" x14ac:dyDescent="0.4">
      <c r="K1193" s="5">
        <v>1191</v>
      </c>
      <c r="L1193" s="73">
        <v>5.8619775700208265E-14</v>
      </c>
    </row>
    <row r="1194" spans="11:12" x14ac:dyDescent="0.4">
      <c r="K1194" s="5">
        <v>1192</v>
      </c>
      <c r="L1194" s="73">
        <v>45.400000000000055</v>
      </c>
    </row>
    <row r="1195" spans="11:12" x14ac:dyDescent="0.4">
      <c r="K1195" s="5">
        <v>1193</v>
      </c>
      <c r="L1195" s="73">
        <v>37.500000000000057</v>
      </c>
    </row>
    <row r="1196" spans="11:12" x14ac:dyDescent="0.4">
      <c r="K1196" s="5">
        <v>1194</v>
      </c>
      <c r="L1196" s="73">
        <v>5.8619775700208265E-14</v>
      </c>
    </row>
    <row r="1197" spans="11:12" x14ac:dyDescent="0.4">
      <c r="K1197" s="5">
        <v>1195</v>
      </c>
      <c r="L1197" s="73">
        <v>-58.699999999999946</v>
      </c>
    </row>
    <row r="1198" spans="11:12" x14ac:dyDescent="0.4">
      <c r="K1198" s="5">
        <v>1196</v>
      </c>
      <c r="L1198" s="73">
        <v>-59.199999999999946</v>
      </c>
    </row>
    <row r="1199" spans="11:12" x14ac:dyDescent="0.4">
      <c r="K1199" s="5">
        <v>1197</v>
      </c>
      <c r="L1199" s="73">
        <v>5.8619775700208265E-14</v>
      </c>
    </row>
    <row r="1200" spans="11:12" x14ac:dyDescent="0.4">
      <c r="K1200" s="5">
        <v>1198</v>
      </c>
      <c r="L1200" s="73">
        <v>6.7000000000000588</v>
      </c>
    </row>
    <row r="1201" spans="11:12" x14ac:dyDescent="0.4">
      <c r="K1201" s="5">
        <v>1199</v>
      </c>
      <c r="L1201" s="73">
        <v>-27.699999999999939</v>
      </c>
    </row>
    <row r="1202" spans="11:12" x14ac:dyDescent="0.4">
      <c r="K1202" s="5">
        <v>1200</v>
      </c>
      <c r="L1202" s="73">
        <v>5.8619775700208265E-14</v>
      </c>
    </row>
    <row r="1203" spans="11:12" x14ac:dyDescent="0.4">
      <c r="K1203" s="5">
        <v>1201</v>
      </c>
      <c r="L1203" s="73">
        <v>6.1000000000000583</v>
      </c>
    </row>
    <row r="1204" spans="11:12" x14ac:dyDescent="0.4">
      <c r="K1204" s="5">
        <v>1202</v>
      </c>
      <c r="L1204" s="73">
        <v>32.70000000000006</v>
      </c>
    </row>
    <row r="1205" spans="11:12" x14ac:dyDescent="0.4">
      <c r="K1205" s="5">
        <v>1203</v>
      </c>
      <c r="L1205" s="73">
        <v>5.8619775700208265E-14</v>
      </c>
    </row>
    <row r="1206" spans="11:12" x14ac:dyDescent="0.4">
      <c r="K1206" s="5">
        <v>1204</v>
      </c>
      <c r="L1206" s="73">
        <v>-54.899999999999942</v>
      </c>
    </row>
    <row r="1207" spans="11:12" x14ac:dyDescent="0.4">
      <c r="K1207" s="5">
        <v>1205</v>
      </c>
      <c r="L1207" s="73">
        <v>-9.1999999999999371</v>
      </c>
    </row>
    <row r="1208" spans="11:12" x14ac:dyDescent="0.4">
      <c r="K1208" s="5">
        <v>1206</v>
      </c>
      <c r="L1208" s="73">
        <v>6.2172489379008766E-14</v>
      </c>
    </row>
    <row r="1209" spans="11:12" x14ac:dyDescent="0.4">
      <c r="K1209" s="5">
        <v>1207</v>
      </c>
      <c r="L1209" s="73">
        <v>-52.79999999999994</v>
      </c>
    </row>
    <row r="1210" spans="11:12" x14ac:dyDescent="0.4">
      <c r="K1210" s="5">
        <v>1208</v>
      </c>
      <c r="L1210" s="73">
        <v>-70.899999999999949</v>
      </c>
    </row>
    <row r="1211" spans="11:12" x14ac:dyDescent="0.4">
      <c r="K1211" s="5">
        <v>1209</v>
      </c>
      <c r="L1211" s="73">
        <v>5.8619775700208265E-14</v>
      </c>
    </row>
    <row r="1212" spans="11:12" x14ac:dyDescent="0.4">
      <c r="K1212" s="5">
        <v>1210</v>
      </c>
      <c r="L1212" s="73">
        <v>82.300000000000054</v>
      </c>
    </row>
    <row r="1213" spans="11:12" x14ac:dyDescent="0.4">
      <c r="K1213" s="5">
        <v>1211</v>
      </c>
      <c r="L1213" s="73">
        <v>25.500000000000057</v>
      </c>
    </row>
    <row r="1214" spans="11:12" x14ac:dyDescent="0.4">
      <c r="K1214" s="5">
        <v>1212</v>
      </c>
      <c r="L1214" s="73">
        <v>5.8619775700208265E-14</v>
      </c>
    </row>
    <row r="1215" spans="11:12" x14ac:dyDescent="0.4">
      <c r="K1215" s="5">
        <v>1213</v>
      </c>
      <c r="L1215" s="73">
        <v>22.400000000000055</v>
      </c>
    </row>
    <row r="1216" spans="11:12" x14ac:dyDescent="0.4">
      <c r="K1216" s="5">
        <v>1214</v>
      </c>
      <c r="L1216" s="73">
        <v>23.500000000000057</v>
      </c>
    </row>
    <row r="1217" spans="11:12" x14ac:dyDescent="0.4">
      <c r="K1217" s="5">
        <v>1215</v>
      </c>
      <c r="L1217" s="73">
        <v>5.8619775700208265E-14</v>
      </c>
    </row>
    <row r="1218" spans="11:12" x14ac:dyDescent="0.4">
      <c r="K1218" s="5">
        <v>1216</v>
      </c>
      <c r="L1218" s="73">
        <v>-24.599999999999945</v>
      </c>
    </row>
    <row r="1219" spans="11:12" x14ac:dyDescent="0.4">
      <c r="K1219" s="5">
        <v>1217</v>
      </c>
      <c r="L1219" s="73">
        <v>-2.1999999999999442</v>
      </c>
    </row>
    <row r="1220" spans="11:12" x14ac:dyDescent="0.4">
      <c r="K1220" s="5">
        <v>1218</v>
      </c>
      <c r="L1220" s="73">
        <v>5.595524044110789E-14</v>
      </c>
    </row>
    <row r="1221" spans="11:12" x14ac:dyDescent="0.4">
      <c r="K1221" s="5">
        <v>1219</v>
      </c>
      <c r="L1221" s="73">
        <v>-5.2999999999999439</v>
      </c>
    </row>
    <row r="1222" spans="11:12" x14ac:dyDescent="0.4">
      <c r="K1222" s="5">
        <v>1220</v>
      </c>
      <c r="L1222" s="73">
        <v>76.600000000000065</v>
      </c>
    </row>
    <row r="1223" spans="11:12" x14ac:dyDescent="0.4">
      <c r="K1223" s="5">
        <v>1221</v>
      </c>
      <c r="L1223" s="73">
        <v>7.2830630415410269E-14</v>
      </c>
    </row>
    <row r="1224" spans="11:12" x14ac:dyDescent="0.4">
      <c r="K1224" s="5">
        <v>1222</v>
      </c>
      <c r="L1224" s="73">
        <v>-12.599999999999927</v>
      </c>
    </row>
    <row r="1225" spans="11:12" x14ac:dyDescent="0.4">
      <c r="K1225" s="5">
        <v>1223</v>
      </c>
      <c r="L1225" s="73">
        <v>35.100000000000072</v>
      </c>
    </row>
    <row r="1226" spans="11:12" x14ac:dyDescent="0.4">
      <c r="K1226" s="5">
        <v>1224</v>
      </c>
      <c r="L1226" s="73">
        <v>7.2830630415410269E-14</v>
      </c>
    </row>
    <row r="1227" spans="11:12" x14ac:dyDescent="0.4">
      <c r="K1227" s="5">
        <v>1225</v>
      </c>
      <c r="L1227" s="73">
        <v>66.200000000000074</v>
      </c>
    </row>
    <row r="1228" spans="11:12" x14ac:dyDescent="0.4">
      <c r="K1228" s="5">
        <v>1226</v>
      </c>
      <c r="L1228" s="73">
        <v>57.300000000000075</v>
      </c>
    </row>
    <row r="1229" spans="11:12" x14ac:dyDescent="0.4">
      <c r="K1229" s="5">
        <v>1227</v>
      </c>
      <c r="L1229" s="73">
        <v>7.9936057773011271E-14</v>
      </c>
    </row>
    <row r="1230" spans="11:12" x14ac:dyDescent="0.4">
      <c r="K1230" s="5">
        <v>1228</v>
      </c>
      <c r="L1230" s="73">
        <v>-35.599999999999923</v>
      </c>
    </row>
    <row r="1231" spans="11:12" x14ac:dyDescent="0.4">
      <c r="K1231" s="5">
        <v>1229</v>
      </c>
      <c r="L1231" s="73">
        <v>-38.599999999999923</v>
      </c>
    </row>
    <row r="1232" spans="11:12" x14ac:dyDescent="0.4">
      <c r="K1232" s="5">
        <v>1230</v>
      </c>
      <c r="L1232" s="73">
        <v>7.9936057773011271E-14</v>
      </c>
    </row>
    <row r="1233" spans="11:12" x14ac:dyDescent="0.4">
      <c r="K1233" s="5">
        <v>1231</v>
      </c>
      <c r="L1233" s="73">
        <v>32.500000000000078</v>
      </c>
    </row>
    <row r="1234" spans="11:12" x14ac:dyDescent="0.4">
      <c r="K1234" s="5">
        <v>1232</v>
      </c>
      <c r="L1234" s="73">
        <v>38.60000000000008</v>
      </c>
    </row>
    <row r="1235" spans="11:12" x14ac:dyDescent="0.4">
      <c r="K1235" s="5">
        <v>1233</v>
      </c>
      <c r="L1235" s="73">
        <v>7.9936057773011271E-14</v>
      </c>
    </row>
    <row r="1236" spans="11:12" x14ac:dyDescent="0.4">
      <c r="K1236" s="5">
        <v>1234</v>
      </c>
      <c r="L1236" s="73">
        <v>-36.799999999999919</v>
      </c>
    </row>
    <row r="1237" spans="11:12" x14ac:dyDescent="0.4">
      <c r="K1237" s="5">
        <v>1235</v>
      </c>
      <c r="L1237" s="73">
        <v>1.4000000000000856</v>
      </c>
    </row>
    <row r="1238" spans="11:12" x14ac:dyDescent="0.4">
      <c r="K1238" s="5">
        <v>1236</v>
      </c>
      <c r="L1238" s="73">
        <v>8.5709217501062085E-14</v>
      </c>
    </row>
    <row r="1239" spans="11:12" x14ac:dyDescent="0.4">
      <c r="K1239" s="5">
        <v>1237</v>
      </c>
      <c r="L1239" s="73">
        <v>10.000000000000085</v>
      </c>
    </row>
    <row r="1240" spans="11:12" x14ac:dyDescent="0.4">
      <c r="K1240" s="5">
        <v>1238</v>
      </c>
      <c r="L1240" s="73">
        <v>-39.699999999999918</v>
      </c>
    </row>
    <row r="1241" spans="11:12" x14ac:dyDescent="0.4">
      <c r="K1241" s="5">
        <v>1239</v>
      </c>
      <c r="L1241" s="73">
        <v>8.7041485130612273E-14</v>
      </c>
    </row>
    <row r="1242" spans="11:12" x14ac:dyDescent="0.4">
      <c r="K1242" s="5">
        <v>1240</v>
      </c>
      <c r="L1242" s="73">
        <v>42.500000000000085</v>
      </c>
    </row>
    <row r="1243" spans="11:12" x14ac:dyDescent="0.4">
      <c r="K1243" s="5">
        <v>1241</v>
      </c>
      <c r="L1243" s="73">
        <v>3.000000000000087</v>
      </c>
    </row>
    <row r="1244" spans="11:12" x14ac:dyDescent="0.4">
      <c r="K1244" s="5">
        <v>1242</v>
      </c>
      <c r="L1244" s="73">
        <v>8.7041485130612273E-14</v>
      </c>
    </row>
    <row r="1245" spans="11:12" x14ac:dyDescent="0.4">
      <c r="K1245" s="5">
        <v>1243</v>
      </c>
      <c r="L1245" s="73">
        <v>-6.999999999999913</v>
      </c>
    </row>
    <row r="1246" spans="11:12" x14ac:dyDescent="0.4">
      <c r="K1246" s="5">
        <v>1244</v>
      </c>
      <c r="L1246" s="73">
        <v>-41.799999999999912</v>
      </c>
    </row>
    <row r="1247" spans="11:12" x14ac:dyDescent="0.4">
      <c r="K1247" s="5">
        <v>1245</v>
      </c>
      <c r="L1247" s="73">
        <v>8.7041485130612273E-14</v>
      </c>
    </row>
    <row r="1248" spans="11:12" x14ac:dyDescent="0.4">
      <c r="K1248" s="5">
        <v>1246</v>
      </c>
      <c r="L1248" s="73">
        <v>-34.199999999999918</v>
      </c>
    </row>
    <row r="1249" spans="11:12" x14ac:dyDescent="0.4">
      <c r="K1249" s="5">
        <v>1247</v>
      </c>
      <c r="L1249" s="73">
        <v>0.3000000000000842</v>
      </c>
    </row>
    <row r="1250" spans="11:12" x14ac:dyDescent="0.4">
      <c r="K1250" s="5">
        <v>1248</v>
      </c>
      <c r="L1250" s="73">
        <v>8.4210416417818124E-14</v>
      </c>
    </row>
    <row r="1251" spans="11:12" x14ac:dyDescent="0.4">
      <c r="K1251" s="5">
        <v>1249</v>
      </c>
      <c r="L1251" s="73">
        <v>-58.499999999999915</v>
      </c>
    </row>
    <row r="1252" spans="11:12" x14ac:dyDescent="0.4">
      <c r="K1252" s="5">
        <v>1250</v>
      </c>
      <c r="L1252" s="73">
        <v>-44.999999999999915</v>
      </c>
    </row>
    <row r="1253" spans="11:12" x14ac:dyDescent="0.4">
      <c r="K1253" s="5">
        <v>1251</v>
      </c>
      <c r="L1253" s="73">
        <v>8.7041485130612273E-14</v>
      </c>
    </row>
    <row r="1254" spans="11:12" x14ac:dyDescent="0.4">
      <c r="K1254" s="5">
        <v>1252</v>
      </c>
      <c r="L1254" s="73">
        <v>-77.999999999999915</v>
      </c>
    </row>
    <row r="1255" spans="11:12" x14ac:dyDescent="0.4">
      <c r="K1255" s="5">
        <v>1253</v>
      </c>
      <c r="L1255" s="73">
        <v>-17.599999999999916</v>
      </c>
    </row>
    <row r="1256" spans="11:12" x14ac:dyDescent="0.4">
      <c r="K1256" s="5">
        <v>1254</v>
      </c>
      <c r="L1256" s="73">
        <v>8.7041485130612273E-14</v>
      </c>
    </row>
    <row r="1257" spans="11:12" x14ac:dyDescent="0.4">
      <c r="K1257" s="5">
        <v>1255</v>
      </c>
      <c r="L1257" s="73">
        <v>2.1000000000000871</v>
      </c>
    </row>
    <row r="1258" spans="11:12" x14ac:dyDescent="0.4">
      <c r="K1258" s="5">
        <v>1256</v>
      </c>
      <c r="L1258" s="73">
        <v>30.500000000000085</v>
      </c>
    </row>
    <row r="1259" spans="11:12" x14ac:dyDescent="0.4">
      <c r="K1259" s="5">
        <v>1257</v>
      </c>
      <c r="L1259" s="73">
        <v>8.7041485130612273E-14</v>
      </c>
    </row>
    <row r="1260" spans="11:12" x14ac:dyDescent="0.4">
      <c r="K1260" s="5">
        <v>1258</v>
      </c>
      <c r="L1260" s="73">
        <v>8.8000000000000878</v>
      </c>
    </row>
    <row r="1261" spans="11:12" x14ac:dyDescent="0.4">
      <c r="K1261" s="5">
        <v>1259</v>
      </c>
      <c r="L1261" s="73">
        <v>40.900000000000091</v>
      </c>
    </row>
    <row r="1262" spans="11:12" x14ac:dyDescent="0.4">
      <c r="K1262" s="5">
        <v>1260</v>
      </c>
      <c r="L1262" s="73">
        <v>9.4146912488213275E-14</v>
      </c>
    </row>
    <row r="1263" spans="11:12" x14ac:dyDescent="0.4">
      <c r="K1263" s="5">
        <v>1261</v>
      </c>
      <c r="L1263" s="73">
        <v>9.6000000000000938</v>
      </c>
    </row>
    <row r="1264" spans="11:12" x14ac:dyDescent="0.4">
      <c r="K1264" s="5">
        <v>1262</v>
      </c>
      <c r="L1264" s="73">
        <v>-30.699999999999903</v>
      </c>
    </row>
    <row r="1265" spans="11:12" x14ac:dyDescent="0.4">
      <c r="K1265" s="5">
        <v>1263</v>
      </c>
      <c r="L1265" s="73">
        <v>9.7699626167013776E-14</v>
      </c>
    </row>
    <row r="1266" spans="11:12" x14ac:dyDescent="0.4">
      <c r="K1266" s="5">
        <v>1264</v>
      </c>
      <c r="L1266" s="73">
        <v>-1.2999999999999023</v>
      </c>
    </row>
    <row r="1267" spans="11:12" x14ac:dyDescent="0.4">
      <c r="K1267" s="5">
        <v>1265</v>
      </c>
      <c r="L1267" s="73">
        <v>25.100000000000094</v>
      </c>
    </row>
    <row r="1268" spans="11:12" x14ac:dyDescent="0.4">
      <c r="K1268" s="5">
        <v>1266</v>
      </c>
      <c r="L1268" s="73">
        <v>9.4146912488213275E-14</v>
      </c>
    </row>
    <row r="1269" spans="11:12" x14ac:dyDescent="0.4">
      <c r="K1269" s="5">
        <v>1267</v>
      </c>
      <c r="L1269" s="73">
        <v>-65.099999999999909</v>
      </c>
    </row>
    <row r="1270" spans="11:12" x14ac:dyDescent="0.4">
      <c r="K1270" s="5">
        <v>1268</v>
      </c>
      <c r="L1270" s="73">
        <v>-9.1999999999999087</v>
      </c>
    </row>
    <row r="1271" spans="11:12" x14ac:dyDescent="0.4">
      <c r="K1271" s="5">
        <v>1269</v>
      </c>
      <c r="L1271" s="73">
        <v>9.0594198809412774E-14</v>
      </c>
    </row>
    <row r="1272" spans="11:12" x14ac:dyDescent="0.4">
      <c r="K1272" s="5">
        <v>1270</v>
      </c>
      <c r="L1272" s="73">
        <v>31.600000000000094</v>
      </c>
    </row>
    <row r="1273" spans="11:12" x14ac:dyDescent="0.4">
      <c r="K1273" s="5">
        <v>1271</v>
      </c>
      <c r="L1273" s="73">
        <v>4.600000000000092</v>
      </c>
    </row>
    <row r="1274" spans="11:12" x14ac:dyDescent="0.4">
      <c r="K1274" s="5">
        <v>1272</v>
      </c>
      <c r="L1274" s="73">
        <v>9.2370555648813024E-14</v>
      </c>
    </row>
    <row r="1275" spans="11:12" x14ac:dyDescent="0.4">
      <c r="K1275" s="5">
        <v>1273</v>
      </c>
      <c r="L1275" s="73">
        <v>-43.399999999999906</v>
      </c>
    </row>
    <row r="1276" spans="11:12" x14ac:dyDescent="0.4">
      <c r="K1276" s="5">
        <v>1274</v>
      </c>
      <c r="L1276" s="73">
        <v>0.30000000000009841</v>
      </c>
    </row>
    <row r="1277" spans="11:12" x14ac:dyDescent="0.4">
      <c r="K1277" s="5">
        <v>1275</v>
      </c>
      <c r="L1277" s="73">
        <v>9.8421271133020127E-14</v>
      </c>
    </row>
    <row r="1278" spans="11:12" x14ac:dyDescent="0.4">
      <c r="K1278" s="5">
        <v>1276</v>
      </c>
      <c r="L1278" s="73">
        <v>-31.699999999999903</v>
      </c>
    </row>
    <row r="1279" spans="11:12" x14ac:dyDescent="0.4">
      <c r="K1279" s="5">
        <v>1277</v>
      </c>
      <c r="L1279" s="73">
        <v>-34.799999999999905</v>
      </c>
    </row>
    <row r="1280" spans="11:12" x14ac:dyDescent="0.4">
      <c r="K1280" s="5">
        <v>1278</v>
      </c>
      <c r="L1280" s="73">
        <v>9.4146912488213275E-14</v>
      </c>
    </row>
    <row r="1281" spans="11:12" x14ac:dyDescent="0.4">
      <c r="K1281" s="5">
        <v>1279</v>
      </c>
      <c r="L1281" s="73">
        <v>63.100000000000094</v>
      </c>
    </row>
    <row r="1282" spans="11:12" x14ac:dyDescent="0.4">
      <c r="K1282" s="5">
        <v>1280</v>
      </c>
      <c r="L1282" s="73">
        <v>75.300000000000097</v>
      </c>
    </row>
    <row r="1283" spans="11:12" x14ac:dyDescent="0.4">
      <c r="K1283" s="5">
        <v>1281</v>
      </c>
      <c r="L1283" s="73">
        <v>1.0125233984581428E-13</v>
      </c>
    </row>
    <row r="1284" spans="11:12" x14ac:dyDescent="0.4">
      <c r="K1284" s="5">
        <v>1282</v>
      </c>
      <c r="L1284" s="73">
        <v>-10.499999999999899</v>
      </c>
    </row>
    <row r="1285" spans="11:12" x14ac:dyDescent="0.4">
      <c r="K1285" s="5">
        <v>1283</v>
      </c>
      <c r="L1285" s="73">
        <v>35.500000000000099</v>
      </c>
    </row>
    <row r="1286" spans="11:12" x14ac:dyDescent="0.4">
      <c r="K1286" s="5">
        <v>1284</v>
      </c>
      <c r="L1286" s="73">
        <v>1.0125233984581428E-13</v>
      </c>
    </row>
    <row r="1287" spans="11:12" x14ac:dyDescent="0.4">
      <c r="K1287" s="5">
        <v>1285</v>
      </c>
      <c r="L1287" s="73">
        <v>-57.599999999999902</v>
      </c>
    </row>
    <row r="1288" spans="11:12" x14ac:dyDescent="0.4">
      <c r="K1288" s="5">
        <v>1286</v>
      </c>
      <c r="L1288" s="73">
        <v>-4.9999999999998987</v>
      </c>
    </row>
    <row r="1289" spans="11:12" x14ac:dyDescent="0.4">
      <c r="K1289" s="5">
        <v>1287</v>
      </c>
      <c r="L1289" s="73">
        <v>1.0125233984581428E-13</v>
      </c>
    </row>
    <row r="1290" spans="11:12" x14ac:dyDescent="0.4">
      <c r="K1290" s="5">
        <v>1288</v>
      </c>
      <c r="L1290" s="73">
        <v>-33.299999999999898</v>
      </c>
    </row>
    <row r="1291" spans="11:12" x14ac:dyDescent="0.4">
      <c r="K1291" s="5">
        <v>1289</v>
      </c>
      <c r="L1291" s="73">
        <v>-2.6999999999998945</v>
      </c>
    </row>
    <row r="1292" spans="11:12" x14ac:dyDescent="0.4">
      <c r="K1292" s="5">
        <v>1290</v>
      </c>
      <c r="L1292" s="73">
        <v>1.056932319443149E-13</v>
      </c>
    </row>
    <row r="1293" spans="11:12" x14ac:dyDescent="0.4">
      <c r="K1293" s="5">
        <v>1291</v>
      </c>
      <c r="L1293" s="73">
        <v>-39.599999999999895</v>
      </c>
    </row>
    <row r="1294" spans="11:12" x14ac:dyDescent="0.4">
      <c r="K1294" s="5">
        <v>1292</v>
      </c>
      <c r="L1294" s="73">
        <v>-38.199999999999896</v>
      </c>
    </row>
    <row r="1295" spans="11:12" x14ac:dyDescent="0.4">
      <c r="K1295" s="5">
        <v>1293</v>
      </c>
      <c r="L1295" s="73">
        <v>1.0835776720341528E-13</v>
      </c>
    </row>
    <row r="1296" spans="11:12" x14ac:dyDescent="0.4">
      <c r="K1296" s="5">
        <v>1294</v>
      </c>
      <c r="L1296" s="73">
        <v>-29.799999999999891</v>
      </c>
    </row>
    <row r="1297" spans="11:12" x14ac:dyDescent="0.4">
      <c r="K1297" s="5">
        <v>1295</v>
      </c>
      <c r="L1297" s="73">
        <v>3.2000000000001076</v>
      </c>
    </row>
    <row r="1298" spans="11:12" x14ac:dyDescent="0.4">
      <c r="K1298" s="5">
        <v>1296</v>
      </c>
      <c r="L1298" s="73">
        <v>1.0746958878371515E-13</v>
      </c>
    </row>
    <row r="1299" spans="11:12" x14ac:dyDescent="0.4">
      <c r="K1299" s="5">
        <v>1297</v>
      </c>
      <c r="L1299" s="73">
        <v>-7.2999999999998924</v>
      </c>
    </row>
    <row r="1300" spans="11:12" x14ac:dyDescent="0.4">
      <c r="K1300" s="5">
        <v>1298</v>
      </c>
      <c r="L1300" s="73">
        <v>58.200000000000102</v>
      </c>
    </row>
    <row r="1301" spans="11:12" x14ac:dyDescent="0.4">
      <c r="K1301" s="5">
        <v>1299</v>
      </c>
      <c r="L1301" s="73">
        <v>1.0125233984581428E-13</v>
      </c>
    </row>
    <row r="1302" spans="11:12" x14ac:dyDescent="0.4">
      <c r="K1302" s="5">
        <v>1300</v>
      </c>
      <c r="L1302" s="73">
        <v>-35.999999999999901</v>
      </c>
    </row>
    <row r="1303" spans="11:12" x14ac:dyDescent="0.4">
      <c r="K1303" s="5">
        <v>1301</v>
      </c>
      <c r="L1303" s="73">
        <v>-34.399999999999899</v>
      </c>
    </row>
    <row r="1304" spans="11:12" x14ac:dyDescent="0.4">
      <c r="K1304" s="5">
        <v>1302</v>
      </c>
      <c r="L1304" s="73">
        <v>1.0125233984581428E-13</v>
      </c>
    </row>
    <row r="1305" spans="11:12" x14ac:dyDescent="0.4">
      <c r="K1305" s="5">
        <v>1303</v>
      </c>
      <c r="L1305" s="73">
        <v>-59.199999999999903</v>
      </c>
    </row>
    <row r="1306" spans="11:12" x14ac:dyDescent="0.4">
      <c r="K1306" s="5">
        <v>1304</v>
      </c>
      <c r="L1306" s="73">
        <v>-59.899999999999906</v>
      </c>
    </row>
    <row r="1307" spans="11:12" x14ac:dyDescent="0.4">
      <c r="K1307" s="5">
        <v>1305</v>
      </c>
      <c r="L1307" s="73">
        <v>9.4146912488213275E-14</v>
      </c>
    </row>
    <row r="1308" spans="11:12" x14ac:dyDescent="0.4">
      <c r="K1308" s="5">
        <v>1306</v>
      </c>
      <c r="L1308" s="73">
        <v>35.400000000000091</v>
      </c>
    </row>
    <row r="1309" spans="11:12" x14ac:dyDescent="0.4">
      <c r="K1309" s="5">
        <v>1307</v>
      </c>
      <c r="L1309" s="73">
        <v>46.100000000000094</v>
      </c>
    </row>
    <row r="1310" spans="11:12" x14ac:dyDescent="0.4">
      <c r="K1310" s="5">
        <v>1308</v>
      </c>
      <c r="L1310" s="73">
        <v>9.4146912488213275E-14</v>
      </c>
    </row>
    <row r="1311" spans="11:12" x14ac:dyDescent="0.4">
      <c r="K1311" s="5">
        <v>1309</v>
      </c>
      <c r="L1311" s="73">
        <v>42.900000000000091</v>
      </c>
    </row>
    <row r="1312" spans="11:12" x14ac:dyDescent="0.4">
      <c r="K1312" s="5">
        <v>1310</v>
      </c>
      <c r="L1312" s="73">
        <v>-13.29999999999991</v>
      </c>
    </row>
    <row r="1313" spans="11:12" x14ac:dyDescent="0.4">
      <c r="K1313" s="5">
        <v>1311</v>
      </c>
      <c r="L1313" s="73">
        <v>9.0594198809412774E-14</v>
      </c>
    </row>
    <row r="1314" spans="11:12" x14ac:dyDescent="0.4">
      <c r="K1314" s="5">
        <v>1312</v>
      </c>
      <c r="L1314" s="73">
        <v>-36.999999999999915</v>
      </c>
    </row>
    <row r="1315" spans="11:12" x14ac:dyDescent="0.4">
      <c r="K1315" s="5">
        <v>1313</v>
      </c>
      <c r="L1315" s="73">
        <v>-43.699999999999918</v>
      </c>
    </row>
    <row r="1316" spans="11:12" x14ac:dyDescent="0.4">
      <c r="K1316" s="5">
        <v>1314</v>
      </c>
      <c r="L1316" s="73">
        <v>8.7041485130612273E-14</v>
      </c>
    </row>
    <row r="1317" spans="11:12" x14ac:dyDescent="0.4">
      <c r="K1317" s="5">
        <v>1315</v>
      </c>
      <c r="L1317" s="73">
        <v>-57.499999999999915</v>
      </c>
    </row>
    <row r="1318" spans="11:12" x14ac:dyDescent="0.4">
      <c r="K1318" s="5">
        <v>1316</v>
      </c>
      <c r="L1318" s="73">
        <v>5.2000000000000899</v>
      </c>
    </row>
    <row r="1319" spans="11:12" x14ac:dyDescent="0.4">
      <c r="K1319" s="5">
        <v>1317</v>
      </c>
      <c r="L1319" s="73">
        <v>8.9706020389712648E-14</v>
      </c>
    </row>
    <row r="1320" spans="11:12" x14ac:dyDescent="0.4">
      <c r="K1320" s="5">
        <v>1318</v>
      </c>
      <c r="L1320" s="73">
        <v>-43.899999999999913</v>
      </c>
    </row>
    <row r="1321" spans="11:12" x14ac:dyDescent="0.4">
      <c r="K1321" s="5">
        <v>1319</v>
      </c>
      <c r="L1321" s="73">
        <v>-35.099999999999909</v>
      </c>
    </row>
    <row r="1322" spans="11:12" x14ac:dyDescent="0.4">
      <c r="K1322" s="5">
        <v>1320</v>
      </c>
      <c r="L1322" s="73">
        <v>9.4146912488213275E-14</v>
      </c>
    </row>
    <row r="1323" spans="11:12" x14ac:dyDescent="0.4">
      <c r="K1323" s="5">
        <v>1321</v>
      </c>
      <c r="L1323" s="73">
        <v>-0.29999999999990584</v>
      </c>
    </row>
    <row r="1324" spans="11:12" x14ac:dyDescent="0.4">
      <c r="K1324" s="5">
        <v>1322</v>
      </c>
      <c r="L1324" s="73">
        <v>-22.899999999999906</v>
      </c>
    </row>
    <row r="1325" spans="11:12" x14ac:dyDescent="0.4">
      <c r="K1325" s="5">
        <v>1323</v>
      </c>
      <c r="L1325" s="73">
        <v>9.0594198809412774E-14</v>
      </c>
    </row>
    <row r="1326" spans="11:12" x14ac:dyDescent="0.4">
      <c r="K1326" s="5">
        <v>1324</v>
      </c>
      <c r="L1326" s="73">
        <v>-34.299999999999912</v>
      </c>
    </row>
    <row r="1327" spans="11:12" x14ac:dyDescent="0.4">
      <c r="K1327" s="5">
        <v>1325</v>
      </c>
      <c r="L1327" s="73">
        <v>-7.0999999999999108</v>
      </c>
    </row>
    <row r="1328" spans="11:12" x14ac:dyDescent="0.4">
      <c r="K1328" s="5">
        <v>1326</v>
      </c>
      <c r="L1328" s="73">
        <v>8.8817841970012523E-14</v>
      </c>
    </row>
    <row r="1329" spans="11:12" x14ac:dyDescent="0.4">
      <c r="K1329" s="5">
        <v>1327</v>
      </c>
      <c r="L1329" s="73">
        <v>-38.899999999999913</v>
      </c>
    </row>
    <row r="1330" spans="11:12" x14ac:dyDescent="0.4">
      <c r="K1330" s="5">
        <v>1328</v>
      </c>
      <c r="L1330" s="73">
        <v>14.600000000000088</v>
      </c>
    </row>
    <row r="1331" spans="11:12" x14ac:dyDescent="0.4">
      <c r="K1331" s="5">
        <v>1329</v>
      </c>
      <c r="L1331" s="73">
        <v>8.8817841970012523E-14</v>
      </c>
    </row>
    <row r="1332" spans="11:12" x14ac:dyDescent="0.4">
      <c r="K1332" s="5">
        <v>1330</v>
      </c>
      <c r="L1332" s="73">
        <v>30.600000000000087</v>
      </c>
    </row>
    <row r="1333" spans="11:12" x14ac:dyDescent="0.4">
      <c r="K1333" s="5">
        <v>1331</v>
      </c>
      <c r="L1333" s="73">
        <v>33.600000000000087</v>
      </c>
    </row>
    <row r="1334" spans="11:12" x14ac:dyDescent="0.4">
      <c r="K1334" s="5">
        <v>1332</v>
      </c>
      <c r="L1334" s="73">
        <v>8.7041485130612273E-14</v>
      </c>
    </row>
    <row r="1335" spans="11:12" x14ac:dyDescent="0.4">
      <c r="K1335" s="5">
        <v>1333</v>
      </c>
      <c r="L1335" s="73">
        <v>-58.899999999999913</v>
      </c>
    </row>
    <row r="1336" spans="11:12" x14ac:dyDescent="0.4">
      <c r="K1336" s="5">
        <v>1334</v>
      </c>
      <c r="L1336" s="73">
        <v>-17.19999999999991</v>
      </c>
    </row>
    <row r="1337" spans="11:12" x14ac:dyDescent="0.4">
      <c r="K1337" s="5">
        <v>1335</v>
      </c>
      <c r="L1337" s="73">
        <v>9.0594198809412774E-14</v>
      </c>
    </row>
    <row r="1338" spans="11:12" x14ac:dyDescent="0.4">
      <c r="K1338" s="5">
        <v>1336</v>
      </c>
      <c r="L1338" s="73">
        <v>-56.299999999999912</v>
      </c>
    </row>
    <row r="1339" spans="11:12" x14ac:dyDescent="0.4">
      <c r="K1339" s="5">
        <v>1337</v>
      </c>
      <c r="L1339" s="73">
        <v>-13.899999999999912</v>
      </c>
    </row>
    <row r="1340" spans="11:12" x14ac:dyDescent="0.4">
      <c r="K1340" s="5">
        <v>1338</v>
      </c>
      <c r="L1340" s="73">
        <v>8.8817841970012523E-14</v>
      </c>
    </row>
    <row r="1341" spans="11:12" x14ac:dyDescent="0.4">
      <c r="K1341" s="5">
        <v>1339</v>
      </c>
      <c r="L1341" s="73">
        <v>-12.399999999999912</v>
      </c>
    </row>
    <row r="1342" spans="11:12" x14ac:dyDescent="0.4">
      <c r="K1342" s="5">
        <v>1340</v>
      </c>
      <c r="L1342" s="73">
        <v>-52.499999999999915</v>
      </c>
    </row>
    <row r="1343" spans="11:12" x14ac:dyDescent="0.4">
      <c r="K1343" s="5">
        <v>1341</v>
      </c>
      <c r="L1343" s="73">
        <v>8.7041485130612273E-14</v>
      </c>
    </row>
    <row r="1344" spans="11:12" x14ac:dyDescent="0.4">
      <c r="K1344" s="5">
        <v>1342</v>
      </c>
      <c r="L1344" s="73">
        <v>-36.199999999999918</v>
      </c>
    </row>
    <row r="1345" spans="11:12" x14ac:dyDescent="0.4">
      <c r="K1345" s="5">
        <v>1343</v>
      </c>
      <c r="L1345" s="73">
        <v>0.20000000000008278</v>
      </c>
    </row>
    <row r="1346" spans="11:12" x14ac:dyDescent="0.4">
      <c r="K1346" s="5">
        <v>1344</v>
      </c>
      <c r="L1346" s="73">
        <v>8.276712648580542E-14</v>
      </c>
    </row>
    <row r="1347" spans="11:12" x14ac:dyDescent="0.4">
      <c r="K1347" s="5">
        <v>1345</v>
      </c>
      <c r="L1347" s="73">
        <v>-14.499999999999917</v>
      </c>
    </row>
    <row r="1348" spans="11:12" x14ac:dyDescent="0.4">
      <c r="K1348" s="5">
        <v>1346</v>
      </c>
      <c r="L1348" s="73">
        <v>73.500000000000085</v>
      </c>
    </row>
    <row r="1349" spans="11:12" x14ac:dyDescent="0.4">
      <c r="K1349" s="5">
        <v>1347</v>
      </c>
      <c r="L1349" s="73">
        <v>8.7041485130612273E-14</v>
      </c>
    </row>
    <row r="1350" spans="11:12" x14ac:dyDescent="0.4">
      <c r="K1350" s="5">
        <v>1348</v>
      </c>
      <c r="L1350" s="73">
        <v>-57.399999999999913</v>
      </c>
    </row>
    <row r="1351" spans="11:12" x14ac:dyDescent="0.4">
      <c r="K1351" s="5">
        <v>1349</v>
      </c>
      <c r="L1351" s="73">
        <v>-11.399999999999912</v>
      </c>
    </row>
    <row r="1352" spans="11:12" x14ac:dyDescent="0.4">
      <c r="K1352" s="5">
        <v>1350</v>
      </c>
      <c r="L1352" s="73">
        <v>8.8817841970012523E-14</v>
      </c>
    </row>
    <row r="1353" spans="11:12" x14ac:dyDescent="0.4">
      <c r="K1353" s="5">
        <v>1351</v>
      </c>
      <c r="L1353" s="73">
        <v>34.300000000000082</v>
      </c>
    </row>
    <row r="1354" spans="11:12" x14ac:dyDescent="0.4">
      <c r="K1354" s="5">
        <v>1352</v>
      </c>
      <c r="L1354" s="73">
        <v>32.200000000000081</v>
      </c>
    </row>
    <row r="1355" spans="11:12" x14ac:dyDescent="0.4">
      <c r="K1355" s="5">
        <v>1353</v>
      </c>
      <c r="L1355" s="73">
        <v>7.9936057773011271E-14</v>
      </c>
    </row>
    <row r="1356" spans="11:12" x14ac:dyDescent="0.4">
      <c r="K1356" s="5">
        <v>1354</v>
      </c>
      <c r="L1356" s="73">
        <v>-56.199999999999925</v>
      </c>
    </row>
    <row r="1357" spans="11:12" x14ac:dyDescent="0.4">
      <c r="K1357" s="5">
        <v>1355</v>
      </c>
      <c r="L1357" s="73">
        <v>-14.599999999999921</v>
      </c>
    </row>
    <row r="1358" spans="11:12" x14ac:dyDescent="0.4">
      <c r="K1358" s="5">
        <v>1356</v>
      </c>
      <c r="L1358" s="73">
        <v>7.815970093361102E-14</v>
      </c>
    </row>
    <row r="1359" spans="11:12" x14ac:dyDescent="0.4">
      <c r="K1359" s="5">
        <v>1357</v>
      </c>
      <c r="L1359" s="73">
        <v>-50.599999999999923</v>
      </c>
    </row>
    <row r="1360" spans="11:12" x14ac:dyDescent="0.4">
      <c r="K1360" s="5">
        <v>1358</v>
      </c>
      <c r="L1360" s="73">
        <v>-66.299999999999926</v>
      </c>
    </row>
    <row r="1361" spans="11:12" x14ac:dyDescent="0.4">
      <c r="K1361" s="5">
        <v>1359</v>
      </c>
      <c r="L1361" s="73">
        <v>7.2830630415410269E-14</v>
      </c>
    </row>
    <row r="1362" spans="11:12" x14ac:dyDescent="0.4">
      <c r="K1362" s="5">
        <v>1360</v>
      </c>
      <c r="L1362" s="73">
        <v>69.600000000000065</v>
      </c>
    </row>
    <row r="1363" spans="11:12" x14ac:dyDescent="0.4">
      <c r="K1363" s="5">
        <v>1361</v>
      </c>
      <c r="L1363" s="73">
        <v>59.200000000000067</v>
      </c>
    </row>
    <row r="1364" spans="11:12" x14ac:dyDescent="0.4">
      <c r="K1364" s="5">
        <v>1362</v>
      </c>
      <c r="L1364" s="73">
        <v>6.5725203057809267E-14</v>
      </c>
    </row>
    <row r="1365" spans="11:12" x14ac:dyDescent="0.4">
      <c r="K1365" s="5">
        <v>1363</v>
      </c>
      <c r="L1365" s="73">
        <v>-18.699999999999932</v>
      </c>
    </row>
    <row r="1366" spans="11:12" x14ac:dyDescent="0.4">
      <c r="K1366" s="5">
        <v>1364</v>
      </c>
      <c r="L1366" s="73">
        <v>56.500000000000071</v>
      </c>
    </row>
    <row r="1367" spans="11:12" x14ac:dyDescent="0.4">
      <c r="K1367" s="5">
        <v>1365</v>
      </c>
      <c r="L1367" s="73">
        <v>7.2830630415410269E-14</v>
      </c>
    </row>
    <row r="1368" spans="11:12" x14ac:dyDescent="0.4">
      <c r="K1368" s="5">
        <v>1366</v>
      </c>
      <c r="L1368" s="73">
        <v>37.40000000000007</v>
      </c>
    </row>
    <row r="1369" spans="11:12" x14ac:dyDescent="0.4">
      <c r="K1369" s="5">
        <v>1367</v>
      </c>
      <c r="L1369" s="73">
        <v>6.80000000000007</v>
      </c>
    </row>
    <row r="1370" spans="11:12" x14ac:dyDescent="0.4">
      <c r="K1370" s="5">
        <v>1368</v>
      </c>
      <c r="L1370" s="73">
        <v>7.0166095156309893E-14</v>
      </c>
    </row>
    <row r="1371" spans="11:12" x14ac:dyDescent="0.4">
      <c r="K1371" s="5">
        <v>1369</v>
      </c>
      <c r="L1371" s="73">
        <v>-6.0999999999999295</v>
      </c>
    </row>
    <row r="1372" spans="11:12" x14ac:dyDescent="0.4">
      <c r="K1372" s="5">
        <v>1370</v>
      </c>
      <c r="L1372" s="73">
        <v>38.700000000000067</v>
      </c>
    </row>
    <row r="1373" spans="11:12" x14ac:dyDescent="0.4">
      <c r="K1373" s="5">
        <v>1371</v>
      </c>
      <c r="L1373" s="73">
        <v>6.5725203057809267E-14</v>
      </c>
    </row>
    <row r="1374" spans="11:12" x14ac:dyDescent="0.4">
      <c r="K1374" s="5">
        <v>1372</v>
      </c>
      <c r="L1374" s="73">
        <v>62.500000000000064</v>
      </c>
    </row>
    <row r="1375" spans="11:12" x14ac:dyDescent="0.4">
      <c r="K1375" s="5">
        <v>1373</v>
      </c>
      <c r="L1375" s="73">
        <v>2.5000000000000657</v>
      </c>
    </row>
    <row r="1376" spans="11:12" x14ac:dyDescent="0.4">
      <c r="K1376" s="5">
        <v>1374</v>
      </c>
      <c r="L1376" s="73">
        <v>6.5725203057809267E-14</v>
      </c>
    </row>
    <row r="1377" spans="11:12" x14ac:dyDescent="0.4">
      <c r="K1377" s="5">
        <v>1375</v>
      </c>
      <c r="L1377" s="73">
        <v>-37.699999999999939</v>
      </c>
    </row>
    <row r="1378" spans="11:12" x14ac:dyDescent="0.4">
      <c r="K1378" s="5">
        <v>1376</v>
      </c>
      <c r="L1378" s="73">
        <v>-47.599999999999937</v>
      </c>
    </row>
    <row r="1379" spans="11:12" x14ac:dyDescent="0.4">
      <c r="K1379" s="5">
        <v>1377</v>
      </c>
      <c r="L1379" s="73">
        <v>6.5725203057809267E-14</v>
      </c>
    </row>
    <row r="1380" spans="11:12" x14ac:dyDescent="0.4">
      <c r="K1380" s="5">
        <v>1378</v>
      </c>
      <c r="L1380" s="73">
        <v>20.500000000000064</v>
      </c>
    </row>
    <row r="1381" spans="11:12" x14ac:dyDescent="0.4">
      <c r="K1381" s="5">
        <v>1379</v>
      </c>
      <c r="L1381" s="73">
        <v>-45.399999999999942</v>
      </c>
    </row>
    <row r="1382" spans="11:12" x14ac:dyDescent="0.4">
      <c r="K1382" s="5">
        <v>1380</v>
      </c>
      <c r="L1382" s="73">
        <v>5.8619775700208265E-14</v>
      </c>
    </row>
    <row r="1383" spans="11:12" x14ac:dyDescent="0.4">
      <c r="K1383" s="5">
        <v>1381</v>
      </c>
      <c r="L1383" s="73">
        <v>51.800000000000054</v>
      </c>
    </row>
    <row r="1384" spans="11:12" x14ac:dyDescent="0.4">
      <c r="K1384" s="5">
        <v>1382</v>
      </c>
      <c r="L1384" s="73">
        <v>59.200000000000053</v>
      </c>
    </row>
    <row r="1385" spans="11:12" x14ac:dyDescent="0.4">
      <c r="K1385" s="5">
        <v>1383</v>
      </c>
      <c r="L1385" s="73">
        <v>5.1514348342607263E-14</v>
      </c>
    </row>
    <row r="1386" spans="11:12" x14ac:dyDescent="0.4">
      <c r="K1386" s="5">
        <v>1384</v>
      </c>
      <c r="L1386" s="73">
        <v>-56.899999999999949</v>
      </c>
    </row>
    <row r="1387" spans="11:12" x14ac:dyDescent="0.4">
      <c r="K1387" s="5">
        <v>1385</v>
      </c>
      <c r="L1387" s="73">
        <v>-67.699999999999946</v>
      </c>
    </row>
    <row r="1388" spans="11:12" x14ac:dyDescent="0.4">
      <c r="K1388" s="5">
        <v>1386</v>
      </c>
      <c r="L1388" s="73">
        <v>5.8619775700208265E-14</v>
      </c>
    </row>
    <row r="1389" spans="11:12" x14ac:dyDescent="0.4">
      <c r="K1389" s="5">
        <v>1387</v>
      </c>
      <c r="L1389" s="73">
        <v>36.300000000000054</v>
      </c>
    </row>
    <row r="1390" spans="11:12" x14ac:dyDescent="0.4">
      <c r="K1390" s="5">
        <v>1388</v>
      </c>
      <c r="L1390" s="73">
        <v>-1.4999999999999414</v>
      </c>
    </row>
    <row r="1391" spans="11:12" x14ac:dyDescent="0.4">
      <c r="K1391" s="5">
        <v>1389</v>
      </c>
      <c r="L1391" s="73">
        <v>5.8619775700208265E-14</v>
      </c>
    </row>
    <row r="1392" spans="11:12" x14ac:dyDescent="0.4">
      <c r="K1392" s="5">
        <v>1390</v>
      </c>
      <c r="L1392" s="73">
        <v>-30.499999999999943</v>
      </c>
    </row>
    <row r="1393" spans="11:12" x14ac:dyDescent="0.4">
      <c r="K1393" s="5">
        <v>1391</v>
      </c>
      <c r="L1393" s="73">
        <v>9.60000000000006</v>
      </c>
    </row>
    <row r="1394" spans="11:12" x14ac:dyDescent="0.4">
      <c r="K1394" s="5">
        <v>1392</v>
      </c>
      <c r="L1394" s="73">
        <v>6.0396132539608516E-14</v>
      </c>
    </row>
    <row r="1395" spans="11:12" x14ac:dyDescent="0.4">
      <c r="K1395" s="5">
        <v>1393</v>
      </c>
      <c r="L1395" s="73">
        <v>44.600000000000058</v>
      </c>
    </row>
    <row r="1396" spans="11:12" x14ac:dyDescent="0.4">
      <c r="K1396" s="5">
        <v>1394</v>
      </c>
      <c r="L1396" s="73">
        <v>51.800000000000061</v>
      </c>
    </row>
    <row r="1397" spans="11:12" x14ac:dyDescent="0.4">
      <c r="K1397" s="5">
        <v>1395</v>
      </c>
      <c r="L1397" s="73">
        <v>6.5725203057809267E-14</v>
      </c>
    </row>
    <row r="1398" spans="11:12" x14ac:dyDescent="0.4">
      <c r="K1398" s="5">
        <v>1396</v>
      </c>
      <c r="L1398" s="73">
        <v>-56.099999999999937</v>
      </c>
    </row>
    <row r="1399" spans="11:12" x14ac:dyDescent="0.4">
      <c r="K1399" s="5">
        <v>1397</v>
      </c>
      <c r="L1399" s="73">
        <v>15.400000000000064</v>
      </c>
    </row>
    <row r="1400" spans="11:12" x14ac:dyDescent="0.4">
      <c r="K1400" s="5">
        <v>1398</v>
      </c>
      <c r="L1400" s="73">
        <v>6.3948846218409017E-14</v>
      </c>
    </row>
    <row r="1401" spans="11:12" x14ac:dyDescent="0.4">
      <c r="K1401" s="5">
        <v>1399</v>
      </c>
      <c r="L1401" s="73">
        <v>-16.099999999999937</v>
      </c>
    </row>
    <row r="1402" spans="11:12" x14ac:dyDescent="0.4">
      <c r="K1402" s="5">
        <v>1400</v>
      </c>
      <c r="L1402" s="73">
        <v>-61.599999999999937</v>
      </c>
    </row>
    <row r="1403" spans="11:12" x14ac:dyDescent="0.4">
      <c r="K1403" s="5">
        <v>1401</v>
      </c>
      <c r="L1403" s="73">
        <v>6.5725203057809267E-14</v>
      </c>
    </row>
    <row r="1404" spans="11:12" x14ac:dyDescent="0.4">
      <c r="K1404" s="5">
        <v>1402</v>
      </c>
      <c r="L1404" s="73">
        <v>-58.999999999999936</v>
      </c>
    </row>
    <row r="1405" spans="11:12" x14ac:dyDescent="0.4">
      <c r="K1405" s="5">
        <v>1403</v>
      </c>
      <c r="L1405" s="73">
        <v>9.0000000000000657</v>
      </c>
    </row>
    <row r="1406" spans="11:12" x14ac:dyDescent="0.4">
      <c r="K1406" s="5">
        <v>1404</v>
      </c>
      <c r="L1406" s="73">
        <v>6.5725203057809267E-14</v>
      </c>
    </row>
    <row r="1407" spans="11:12" x14ac:dyDescent="0.4">
      <c r="K1407" s="5">
        <v>1405</v>
      </c>
      <c r="L1407" s="73">
        <v>74.800000000000068</v>
      </c>
    </row>
    <row r="1408" spans="11:12" x14ac:dyDescent="0.4">
      <c r="K1408" s="5">
        <v>1406</v>
      </c>
      <c r="L1408" s="73">
        <v>56.000000000000071</v>
      </c>
    </row>
    <row r="1409" spans="11:12" x14ac:dyDescent="0.4">
      <c r="K1409" s="5">
        <v>1407</v>
      </c>
      <c r="L1409" s="73">
        <v>7.2830630415410269E-14</v>
      </c>
    </row>
    <row r="1410" spans="11:12" x14ac:dyDescent="0.4">
      <c r="K1410" s="5">
        <v>1408</v>
      </c>
      <c r="L1410" s="73">
        <v>-63.399999999999928</v>
      </c>
    </row>
    <row r="1411" spans="11:12" x14ac:dyDescent="0.4">
      <c r="K1411" s="5">
        <v>1409</v>
      </c>
      <c r="L1411" s="73">
        <v>-65.199999999999932</v>
      </c>
    </row>
    <row r="1412" spans="11:12" x14ac:dyDescent="0.4">
      <c r="K1412" s="5">
        <v>1410</v>
      </c>
      <c r="L1412" s="73">
        <v>7.2830630415410269E-14</v>
      </c>
    </row>
    <row r="1413" spans="11:12" x14ac:dyDescent="0.4">
      <c r="K1413" s="5">
        <v>1411</v>
      </c>
      <c r="L1413" s="73">
        <v>-20.299999999999926</v>
      </c>
    </row>
    <row r="1414" spans="11:12" x14ac:dyDescent="0.4">
      <c r="K1414" s="5">
        <v>1412</v>
      </c>
      <c r="L1414" s="73">
        <v>-66.399999999999935</v>
      </c>
    </row>
    <row r="1415" spans="11:12" x14ac:dyDescent="0.4">
      <c r="K1415" s="5">
        <v>1413</v>
      </c>
      <c r="L1415" s="73">
        <v>7.2830630415410269E-14</v>
      </c>
    </row>
    <row r="1416" spans="11:12" x14ac:dyDescent="0.4">
      <c r="K1416" s="5">
        <v>1414</v>
      </c>
      <c r="L1416" s="73">
        <v>4.3000000000000727</v>
      </c>
    </row>
    <row r="1417" spans="11:12" x14ac:dyDescent="0.4">
      <c r="K1417" s="5">
        <v>1415</v>
      </c>
      <c r="L1417" s="73">
        <v>41.100000000000065</v>
      </c>
    </row>
    <row r="1418" spans="11:12" x14ac:dyDescent="0.4">
      <c r="K1418" s="5">
        <v>1416</v>
      </c>
      <c r="L1418" s="73">
        <v>6.5725203057809267E-14</v>
      </c>
    </row>
    <row r="1419" spans="11:12" x14ac:dyDescent="0.4">
      <c r="K1419" s="5">
        <v>1417</v>
      </c>
      <c r="L1419" s="73">
        <v>84.400000000000063</v>
      </c>
    </row>
    <row r="1420" spans="11:12" x14ac:dyDescent="0.4">
      <c r="K1420" s="5">
        <v>1418</v>
      </c>
      <c r="L1420" s="73">
        <v>20.900000000000063</v>
      </c>
    </row>
    <row r="1421" spans="11:12" x14ac:dyDescent="0.4">
      <c r="K1421" s="5">
        <v>1419</v>
      </c>
      <c r="L1421" s="73">
        <v>6.5725203057809267E-14</v>
      </c>
    </row>
    <row r="1422" spans="11:12" x14ac:dyDescent="0.4">
      <c r="K1422" s="5">
        <v>1420</v>
      </c>
      <c r="L1422" s="73">
        <v>40.600000000000065</v>
      </c>
    </row>
    <row r="1423" spans="11:12" x14ac:dyDescent="0.4">
      <c r="K1423" s="5">
        <v>1421</v>
      </c>
      <c r="L1423" s="73">
        <v>42.700000000000067</v>
      </c>
    </row>
    <row r="1424" spans="11:12" x14ac:dyDescent="0.4">
      <c r="K1424" s="5">
        <v>1422</v>
      </c>
      <c r="L1424" s="73">
        <v>6.5725203057809267E-14</v>
      </c>
    </row>
    <row r="1425" spans="11:12" x14ac:dyDescent="0.4">
      <c r="K1425" s="5">
        <v>1423</v>
      </c>
      <c r="L1425" s="73">
        <v>-57.999999999999936</v>
      </c>
    </row>
    <row r="1426" spans="11:12" x14ac:dyDescent="0.4">
      <c r="K1426" s="5">
        <v>1424</v>
      </c>
      <c r="L1426" s="73">
        <v>-1.9999999999999343</v>
      </c>
    </row>
    <row r="1427" spans="11:12" x14ac:dyDescent="0.4">
      <c r="K1427" s="5">
        <v>1425</v>
      </c>
      <c r="L1427" s="73">
        <v>6.5725203057809267E-14</v>
      </c>
    </row>
    <row r="1428" spans="11:12" x14ac:dyDescent="0.4">
      <c r="K1428" s="5">
        <v>1426</v>
      </c>
      <c r="L1428" s="73">
        <v>36.400000000000063</v>
      </c>
    </row>
    <row r="1429" spans="11:12" x14ac:dyDescent="0.4">
      <c r="K1429" s="5">
        <v>1427</v>
      </c>
      <c r="L1429" s="73">
        <v>45.900000000000063</v>
      </c>
    </row>
    <row r="1430" spans="11:12" x14ac:dyDescent="0.4">
      <c r="K1430" s="5">
        <v>1428</v>
      </c>
      <c r="L1430" s="73">
        <v>6.5725203057809267E-14</v>
      </c>
    </row>
    <row r="1431" spans="11:12" x14ac:dyDescent="0.4">
      <c r="K1431" s="5">
        <v>1429</v>
      </c>
      <c r="L1431" s="73">
        <v>-78.699999999999932</v>
      </c>
    </row>
    <row r="1432" spans="11:12" x14ac:dyDescent="0.4">
      <c r="K1432" s="5">
        <v>1430</v>
      </c>
      <c r="L1432" s="73">
        <v>-20.699999999999932</v>
      </c>
    </row>
    <row r="1433" spans="11:12" x14ac:dyDescent="0.4">
      <c r="K1433" s="5">
        <v>1431</v>
      </c>
      <c r="L1433" s="73">
        <v>6.9277916736609768E-14</v>
      </c>
    </row>
    <row r="1434" spans="11:12" x14ac:dyDescent="0.4">
      <c r="K1434" s="5">
        <v>1432</v>
      </c>
      <c r="L1434" s="73">
        <v>37.400000000000063</v>
      </c>
    </row>
    <row r="1435" spans="11:12" x14ac:dyDescent="0.4">
      <c r="K1435" s="5">
        <v>1433</v>
      </c>
      <c r="L1435" s="73">
        <v>-5.5999999999999357</v>
      </c>
    </row>
    <row r="1436" spans="11:12" x14ac:dyDescent="0.4">
      <c r="K1436" s="5">
        <v>1434</v>
      </c>
      <c r="L1436" s="73">
        <v>6.3948846218409017E-14</v>
      </c>
    </row>
    <row r="1437" spans="11:12" x14ac:dyDescent="0.4">
      <c r="K1437" s="5">
        <v>1435</v>
      </c>
      <c r="L1437" s="73">
        <v>6.3948846218409017E-14</v>
      </c>
    </row>
    <row r="1438" spans="11:12" x14ac:dyDescent="0.4">
      <c r="K1438" s="5">
        <v>1436</v>
      </c>
      <c r="L1438" s="73">
        <v>-56.999999999999936</v>
      </c>
    </row>
    <row r="1439" spans="11:12" x14ac:dyDescent="0.4">
      <c r="K1439" s="5">
        <v>1437</v>
      </c>
      <c r="L1439" s="73">
        <v>6.5725203057809267E-14</v>
      </c>
    </row>
    <row r="1440" spans="11:12" x14ac:dyDescent="0.4">
      <c r="K1440" s="5">
        <v>1438</v>
      </c>
      <c r="L1440" s="73">
        <v>-23.699999999999932</v>
      </c>
    </row>
    <row r="1441" spans="11:12" x14ac:dyDescent="0.4">
      <c r="K1441" s="5">
        <v>1439</v>
      </c>
      <c r="L1441" s="73">
        <v>-1.299999999999935</v>
      </c>
    </row>
    <row r="1442" spans="11:12" x14ac:dyDescent="0.4">
      <c r="K1442" s="5">
        <v>1440</v>
      </c>
      <c r="L1442" s="73">
        <v>6.5059069243034173E-14</v>
      </c>
    </row>
    <row r="1443" spans="11:12" x14ac:dyDescent="0.4">
      <c r="K1443" s="5">
        <v>1441</v>
      </c>
      <c r="L1443" s="73">
        <v>-2.9999999999999352</v>
      </c>
    </row>
    <row r="1444" spans="11:12" x14ac:dyDescent="0.4">
      <c r="K1444" s="5">
        <v>1442</v>
      </c>
      <c r="L1444" s="73">
        <v>43.000000000000064</v>
      </c>
    </row>
    <row r="1445" spans="11:12" x14ac:dyDescent="0.4">
      <c r="K1445" s="5">
        <v>1443</v>
      </c>
      <c r="L1445" s="73">
        <v>6.5725203057809267E-14</v>
      </c>
    </row>
    <row r="1446" spans="11:12" x14ac:dyDescent="0.4">
      <c r="K1446" s="5">
        <v>1444</v>
      </c>
      <c r="L1446" s="73">
        <v>-35.099999999999937</v>
      </c>
    </row>
    <row r="1447" spans="11:12" x14ac:dyDescent="0.4">
      <c r="K1447" s="5">
        <v>1445</v>
      </c>
      <c r="L1447" s="73">
        <v>-5.4999999999999343</v>
      </c>
    </row>
    <row r="1448" spans="11:12" x14ac:dyDescent="0.4">
      <c r="K1448" s="5">
        <v>1446</v>
      </c>
      <c r="L1448" s="73">
        <v>6.5725203057809267E-14</v>
      </c>
    </row>
    <row r="1449" spans="11:12" x14ac:dyDescent="0.4">
      <c r="K1449" s="5">
        <v>1447</v>
      </c>
      <c r="L1449" s="73">
        <v>-26.999999999999936</v>
      </c>
    </row>
    <row r="1450" spans="11:12" x14ac:dyDescent="0.4">
      <c r="K1450" s="5">
        <v>1448</v>
      </c>
      <c r="L1450" s="73">
        <v>6.5000000000000657</v>
      </c>
    </row>
    <row r="1451" spans="11:12" x14ac:dyDescent="0.4">
      <c r="K1451" s="5">
        <v>1449</v>
      </c>
      <c r="L1451" s="73">
        <v>6.5725203057809267E-14</v>
      </c>
    </row>
    <row r="1452" spans="11:12" x14ac:dyDescent="0.4">
      <c r="K1452" s="5">
        <v>1450</v>
      </c>
      <c r="L1452" s="73">
        <v>49.000000000000064</v>
      </c>
    </row>
    <row r="1453" spans="11:12" x14ac:dyDescent="0.4">
      <c r="K1453" s="5">
        <v>1451</v>
      </c>
      <c r="L1453" s="73">
        <v>57.100000000000065</v>
      </c>
    </row>
    <row r="1454" spans="11:12" x14ac:dyDescent="0.4">
      <c r="K1454" s="5">
        <v>1452</v>
      </c>
      <c r="L1454" s="73">
        <v>6.5725203057809267E-14</v>
      </c>
    </row>
    <row r="1455" spans="11:12" x14ac:dyDescent="0.4">
      <c r="K1455" s="5">
        <v>1453</v>
      </c>
      <c r="L1455" s="73">
        <v>-28.199999999999932</v>
      </c>
    </row>
    <row r="1456" spans="11:12" x14ac:dyDescent="0.4">
      <c r="K1456" s="5">
        <v>1454</v>
      </c>
      <c r="L1456" s="73">
        <v>2.200000000000065</v>
      </c>
    </row>
    <row r="1457" spans="11:12" x14ac:dyDescent="0.4">
      <c r="K1457" s="5">
        <v>1455</v>
      </c>
      <c r="L1457" s="73">
        <v>6.4837024638109142E-14</v>
      </c>
    </row>
    <row r="1458" spans="11:12" x14ac:dyDescent="0.4">
      <c r="K1458" s="5">
        <v>1456</v>
      </c>
      <c r="L1458" s="73">
        <v>6.1000000000000645</v>
      </c>
    </row>
    <row r="1459" spans="11:12" x14ac:dyDescent="0.4">
      <c r="K1459" s="5">
        <v>1457</v>
      </c>
      <c r="L1459" s="73">
        <v>-33.799999999999933</v>
      </c>
    </row>
    <row r="1460" spans="11:12" x14ac:dyDescent="0.4">
      <c r="K1460" s="5">
        <v>1458</v>
      </c>
      <c r="L1460" s="73">
        <v>6.5725203057809267E-14</v>
      </c>
    </row>
    <row r="1461" spans="11:12" x14ac:dyDescent="0.4">
      <c r="K1461" s="5">
        <v>1459</v>
      </c>
      <c r="L1461" s="73">
        <v>-62.999999999999936</v>
      </c>
    </row>
    <row r="1462" spans="11:12" x14ac:dyDescent="0.4">
      <c r="K1462" s="5">
        <v>1460</v>
      </c>
      <c r="L1462" s="73">
        <v>-44.999999999999936</v>
      </c>
    </row>
    <row r="1463" spans="11:12" x14ac:dyDescent="0.4">
      <c r="K1463" s="5">
        <v>1461</v>
      </c>
      <c r="L1463" s="73">
        <v>6.5725203057809267E-14</v>
      </c>
    </row>
    <row r="1464" spans="11:12" x14ac:dyDescent="0.4">
      <c r="K1464" s="5">
        <v>1462</v>
      </c>
      <c r="L1464" s="73">
        <v>100.90000000000006</v>
      </c>
    </row>
    <row r="1465" spans="11:12" x14ac:dyDescent="0.4">
      <c r="K1465" s="5">
        <v>1463</v>
      </c>
      <c r="L1465" s="73">
        <v>27.20000000000006</v>
      </c>
    </row>
    <row r="1466" spans="11:12" x14ac:dyDescent="0.4">
      <c r="K1466" s="5">
        <v>1464</v>
      </c>
      <c r="L1466" s="73">
        <v>6.2172489379008766E-14</v>
      </c>
    </row>
    <row r="1467" spans="11:12" x14ac:dyDescent="0.4">
      <c r="K1467" s="5">
        <v>1465</v>
      </c>
      <c r="L1467" s="73">
        <v>27.100000000000065</v>
      </c>
    </row>
    <row r="1468" spans="11:12" x14ac:dyDescent="0.4">
      <c r="K1468" s="5">
        <v>1466</v>
      </c>
      <c r="L1468" s="73">
        <v>31.800000000000061</v>
      </c>
    </row>
    <row r="1469" spans="11:12" x14ac:dyDescent="0.4">
      <c r="K1469" s="5">
        <v>1467</v>
      </c>
      <c r="L1469" s="73">
        <v>6.2172489379008766E-14</v>
      </c>
    </row>
    <row r="1470" spans="11:12" x14ac:dyDescent="0.4">
      <c r="K1470" s="5">
        <v>1468</v>
      </c>
      <c r="L1470" s="73">
        <v>-0.79999999999993787</v>
      </c>
    </row>
    <row r="1471" spans="11:12" x14ac:dyDescent="0.4">
      <c r="K1471" s="5">
        <v>1469</v>
      </c>
      <c r="L1471" s="73">
        <v>23.400000000000063</v>
      </c>
    </row>
    <row r="1472" spans="11:12" x14ac:dyDescent="0.4">
      <c r="K1472" s="5">
        <v>1470</v>
      </c>
      <c r="L1472" s="73">
        <v>6.2172489379008766E-14</v>
      </c>
    </row>
    <row r="1473" spans="11:12" x14ac:dyDescent="0.4">
      <c r="K1473" s="5">
        <v>1471</v>
      </c>
      <c r="L1473" s="73">
        <v>57.20000000000006</v>
      </c>
    </row>
    <row r="1474" spans="11:12" x14ac:dyDescent="0.4">
      <c r="K1474" s="5">
        <v>1472</v>
      </c>
      <c r="L1474" s="73">
        <v>69.500000000000057</v>
      </c>
    </row>
    <row r="1475" spans="11:12" x14ac:dyDescent="0.4">
      <c r="K1475" s="5">
        <v>1473</v>
      </c>
      <c r="L1475" s="73">
        <v>5.8619775700208265E-14</v>
      </c>
    </row>
    <row r="1476" spans="11:12" x14ac:dyDescent="0.4">
      <c r="K1476" s="5">
        <v>1474</v>
      </c>
      <c r="L1476" s="73">
        <v>-48.699999999999946</v>
      </c>
    </row>
    <row r="1477" spans="11:12" x14ac:dyDescent="0.4">
      <c r="K1477" s="5">
        <v>1475</v>
      </c>
      <c r="L1477" s="73">
        <v>-37.099999999999945</v>
      </c>
    </row>
    <row r="1478" spans="11:12" x14ac:dyDescent="0.4">
      <c r="K1478" s="5">
        <v>1476</v>
      </c>
      <c r="L1478" s="73">
        <v>5.8619775700208265E-14</v>
      </c>
    </row>
    <row r="1479" spans="11:12" x14ac:dyDescent="0.4">
      <c r="K1479" s="5">
        <v>1477</v>
      </c>
      <c r="L1479" s="73">
        <v>29.400000000000055</v>
      </c>
    </row>
    <row r="1480" spans="11:12" x14ac:dyDescent="0.4">
      <c r="K1480" s="5">
        <v>1478</v>
      </c>
      <c r="L1480" s="73">
        <v>-0.79999999999994209</v>
      </c>
    </row>
    <row r="1481" spans="11:12" x14ac:dyDescent="0.4">
      <c r="K1481" s="5">
        <v>1479</v>
      </c>
      <c r="L1481" s="73">
        <v>5.7953641885433171E-14</v>
      </c>
    </row>
    <row r="1482" spans="11:12" x14ac:dyDescent="0.4">
      <c r="K1482" s="5">
        <v>1480</v>
      </c>
      <c r="L1482" s="73">
        <v>79.600000000000051</v>
      </c>
    </row>
    <row r="1483" spans="11:12" x14ac:dyDescent="0.4">
      <c r="K1483" s="5">
        <v>1481</v>
      </c>
      <c r="L1483" s="73">
        <v>70.800000000000054</v>
      </c>
    </row>
    <row r="1484" spans="11:12" x14ac:dyDescent="0.4">
      <c r="K1484" s="5">
        <v>1482</v>
      </c>
      <c r="L1484" s="73">
        <v>5.8619775700208265E-14</v>
      </c>
    </row>
    <row r="1485" spans="11:12" x14ac:dyDescent="0.4">
      <c r="K1485" s="5">
        <v>1483</v>
      </c>
      <c r="L1485" s="73">
        <v>-55.699999999999946</v>
      </c>
    </row>
    <row r="1486" spans="11:12" x14ac:dyDescent="0.4">
      <c r="K1486" s="5">
        <v>1484</v>
      </c>
      <c r="L1486" s="73">
        <v>7.7000000000000544</v>
      </c>
    </row>
    <row r="1487" spans="11:12" x14ac:dyDescent="0.4">
      <c r="K1487" s="5">
        <v>1485</v>
      </c>
      <c r="L1487" s="73">
        <v>5.4178883601707639E-14</v>
      </c>
    </row>
    <row r="1488" spans="11:12" x14ac:dyDescent="0.4">
      <c r="K1488" s="5">
        <v>1486</v>
      </c>
      <c r="L1488" s="73">
        <v>40.600000000000051</v>
      </c>
    </row>
    <row r="1489" spans="11:12" x14ac:dyDescent="0.4">
      <c r="K1489" s="5">
        <v>1487</v>
      </c>
      <c r="L1489" s="73">
        <v>43.600000000000051</v>
      </c>
    </row>
    <row r="1490" spans="11:12" x14ac:dyDescent="0.4">
      <c r="K1490" s="5">
        <v>1488</v>
      </c>
      <c r="L1490" s="73">
        <v>5.1514348342607263E-14</v>
      </c>
    </row>
    <row r="1491" spans="11:12" x14ac:dyDescent="0.4">
      <c r="K1491" s="5">
        <v>1489</v>
      </c>
      <c r="L1491" s="73">
        <v>-50.49999999999995</v>
      </c>
    </row>
    <row r="1492" spans="11:12" x14ac:dyDescent="0.4">
      <c r="K1492" s="5">
        <v>1490</v>
      </c>
      <c r="L1492" s="73">
        <v>-47.899999999999949</v>
      </c>
    </row>
    <row r="1493" spans="11:12" x14ac:dyDescent="0.4">
      <c r="K1493" s="5">
        <v>1491</v>
      </c>
      <c r="L1493" s="73">
        <v>5.1514348342607263E-14</v>
      </c>
    </row>
    <row r="1494" spans="11:12" x14ac:dyDescent="0.4">
      <c r="K1494" s="5">
        <v>1492</v>
      </c>
      <c r="L1494" s="73">
        <v>-41.699999999999953</v>
      </c>
    </row>
    <row r="1495" spans="11:12" x14ac:dyDescent="0.4">
      <c r="K1495" s="5">
        <v>1493</v>
      </c>
      <c r="L1495" s="73">
        <v>-0.69999999999995133</v>
      </c>
    </row>
    <row r="1496" spans="11:12" x14ac:dyDescent="0.4">
      <c r="K1496" s="5">
        <v>1494</v>
      </c>
      <c r="L1496" s="73">
        <v>4.8627768478581856E-14</v>
      </c>
    </row>
    <row r="1497" spans="11:12" x14ac:dyDescent="0.4">
      <c r="K1497" s="5">
        <v>1495</v>
      </c>
      <c r="L1497" s="73">
        <v>-34.899999999999949</v>
      </c>
    </row>
    <row r="1498" spans="11:12" x14ac:dyDescent="0.4">
      <c r="K1498" s="5">
        <v>1496</v>
      </c>
      <c r="L1498" s="73">
        <v>-38.099999999999952</v>
      </c>
    </row>
    <row r="1499" spans="11:12" x14ac:dyDescent="0.4">
      <c r="K1499" s="5">
        <v>1497</v>
      </c>
      <c r="L1499" s="73">
        <v>5.1514348342607263E-14</v>
      </c>
    </row>
    <row r="1500" spans="11:12" x14ac:dyDescent="0.4">
      <c r="K1500" s="5">
        <v>1498</v>
      </c>
      <c r="L1500" s="73">
        <v>64.200000000000045</v>
      </c>
    </row>
    <row r="1501" spans="11:12" x14ac:dyDescent="0.4">
      <c r="K1501" s="5">
        <v>1499</v>
      </c>
      <c r="L1501" s="73">
        <v>58.000000000000043</v>
      </c>
    </row>
    <row r="1502" spans="11:12" x14ac:dyDescent="0.4">
      <c r="K1502" s="5">
        <v>1500</v>
      </c>
      <c r="L1502" s="73">
        <v>4.4408920985006262E-14</v>
      </c>
    </row>
    <row r="1503" spans="11:12" x14ac:dyDescent="0.4">
      <c r="K1503" s="5">
        <v>1501</v>
      </c>
      <c r="L1503" s="73">
        <v>60.30000000000004</v>
      </c>
    </row>
    <row r="1504" spans="11:12" x14ac:dyDescent="0.4">
      <c r="K1504" s="5">
        <v>1502</v>
      </c>
      <c r="L1504" s="73">
        <v>-1.6999999999999584</v>
      </c>
    </row>
    <row r="1505" spans="11:12" x14ac:dyDescent="0.4">
      <c r="K1505" s="5">
        <v>1503</v>
      </c>
      <c r="L1505" s="73">
        <v>4.1522341120980855E-14</v>
      </c>
    </row>
    <row r="1506" spans="11:12" x14ac:dyDescent="0.4">
      <c r="K1506" s="5">
        <v>1504</v>
      </c>
      <c r="L1506" s="73">
        <v>7.3000000000000416</v>
      </c>
    </row>
    <row r="1507" spans="11:12" x14ac:dyDescent="0.4">
      <c r="K1507" s="5">
        <v>1505</v>
      </c>
      <c r="L1507" s="73">
        <v>36.100000000000037</v>
      </c>
    </row>
    <row r="1508" spans="11:12" x14ac:dyDescent="0.4">
      <c r="K1508" s="5">
        <v>1506</v>
      </c>
      <c r="L1508" s="73">
        <v>3.730349362740526E-14</v>
      </c>
    </row>
    <row r="1509" spans="11:12" x14ac:dyDescent="0.4">
      <c r="K1509" s="5">
        <v>1507</v>
      </c>
      <c r="L1509" s="73">
        <v>-41.399999999999963</v>
      </c>
    </row>
    <row r="1510" spans="11:12" x14ac:dyDescent="0.4">
      <c r="K1510" s="5">
        <v>1508</v>
      </c>
      <c r="L1510" s="73">
        <v>-47.999999999999964</v>
      </c>
    </row>
    <row r="1511" spans="11:12" x14ac:dyDescent="0.4">
      <c r="K1511" s="5">
        <v>1509</v>
      </c>
      <c r="L1511" s="73">
        <v>3.730349362740526E-14</v>
      </c>
    </row>
    <row r="1512" spans="11:12" x14ac:dyDescent="0.4">
      <c r="K1512" s="5">
        <v>1510</v>
      </c>
      <c r="L1512" s="73">
        <v>31.900000000000034</v>
      </c>
    </row>
    <row r="1513" spans="11:12" x14ac:dyDescent="0.4">
      <c r="K1513" s="5">
        <v>1511</v>
      </c>
      <c r="L1513" s="73">
        <v>33.900000000000034</v>
      </c>
    </row>
    <row r="1514" spans="11:12" x14ac:dyDescent="0.4">
      <c r="K1514" s="5">
        <v>1512</v>
      </c>
      <c r="L1514" s="73">
        <v>3.730349362740526E-14</v>
      </c>
    </row>
    <row r="1515" spans="11:12" x14ac:dyDescent="0.4">
      <c r="K1515" s="5">
        <v>1513</v>
      </c>
      <c r="L1515" s="73">
        <v>-11.099999999999962</v>
      </c>
    </row>
    <row r="1516" spans="11:12" x14ac:dyDescent="0.4">
      <c r="K1516" s="5">
        <v>1514</v>
      </c>
      <c r="L1516" s="73">
        <v>56.700000000000031</v>
      </c>
    </row>
    <row r="1517" spans="11:12" x14ac:dyDescent="0.4">
      <c r="K1517" s="5">
        <v>1515</v>
      </c>
      <c r="L1517" s="73">
        <v>3.0198066269804258E-14</v>
      </c>
    </row>
    <row r="1518" spans="11:12" x14ac:dyDescent="0.4">
      <c r="K1518" s="5">
        <v>1516</v>
      </c>
      <c r="L1518" s="73">
        <v>-24.39999999999997</v>
      </c>
    </row>
    <row r="1519" spans="11:12" x14ac:dyDescent="0.4">
      <c r="K1519" s="5">
        <v>1517</v>
      </c>
      <c r="L1519" s="73">
        <v>-25.599999999999966</v>
      </c>
    </row>
    <row r="1520" spans="11:12" x14ac:dyDescent="0.4">
      <c r="K1520" s="5">
        <v>1518</v>
      </c>
      <c r="L1520" s="73">
        <v>3.3750779948604759E-14</v>
      </c>
    </row>
    <row r="1521" spans="11:12" x14ac:dyDescent="0.4">
      <c r="K1521" s="5">
        <v>1519</v>
      </c>
      <c r="L1521" s="73">
        <v>-44.599999999999966</v>
      </c>
    </row>
    <row r="1522" spans="11:12" x14ac:dyDescent="0.4">
      <c r="K1522" s="5">
        <v>1520</v>
      </c>
      <c r="L1522" s="73">
        <v>-34.899999999999963</v>
      </c>
    </row>
    <row r="1523" spans="11:12" x14ac:dyDescent="0.4">
      <c r="K1523" s="5">
        <v>1521</v>
      </c>
      <c r="L1523" s="73">
        <v>3.730349362740526E-14</v>
      </c>
    </row>
    <row r="1524" spans="11:12" x14ac:dyDescent="0.4">
      <c r="K1524" s="5">
        <v>1522</v>
      </c>
      <c r="L1524" s="73">
        <v>46.100000000000037</v>
      </c>
    </row>
    <row r="1525" spans="11:12" x14ac:dyDescent="0.4">
      <c r="K1525" s="5">
        <v>1523</v>
      </c>
      <c r="L1525" s="73">
        <v>54.600000000000037</v>
      </c>
    </row>
    <row r="1526" spans="11:12" x14ac:dyDescent="0.4">
      <c r="K1526" s="5">
        <v>1524</v>
      </c>
      <c r="L1526" s="73">
        <v>3.730349362740526E-14</v>
      </c>
    </row>
    <row r="1527" spans="11:12" x14ac:dyDescent="0.4">
      <c r="K1527" s="5">
        <v>1525</v>
      </c>
      <c r="L1527" s="73">
        <v>56.500000000000036</v>
      </c>
    </row>
    <row r="1528" spans="11:12" x14ac:dyDescent="0.4">
      <c r="K1528" s="5">
        <v>1526</v>
      </c>
      <c r="L1528" s="73">
        <v>64.700000000000031</v>
      </c>
    </row>
    <row r="1529" spans="11:12" x14ac:dyDescent="0.4">
      <c r="K1529" s="5">
        <v>1527</v>
      </c>
      <c r="L1529" s="73">
        <v>3.0198066269804258E-14</v>
      </c>
    </row>
    <row r="1530" spans="11:12" x14ac:dyDescent="0.4">
      <c r="K1530" s="5">
        <v>1528</v>
      </c>
      <c r="L1530" s="73">
        <v>23.700000000000031</v>
      </c>
    </row>
    <row r="1531" spans="11:12" x14ac:dyDescent="0.4">
      <c r="K1531" s="5">
        <v>1529</v>
      </c>
      <c r="L1531" s="73">
        <v>1.5000000000000302</v>
      </c>
    </row>
    <row r="1532" spans="11:12" x14ac:dyDescent="0.4">
      <c r="K1532" s="5">
        <v>1530</v>
      </c>
      <c r="L1532" s="73">
        <v>3.0198066269804258E-14</v>
      </c>
    </row>
    <row r="1533" spans="11:12" x14ac:dyDescent="0.4">
      <c r="K1533" s="5">
        <v>1531</v>
      </c>
      <c r="L1533" s="73">
        <v>27.700000000000031</v>
      </c>
    </row>
    <row r="1534" spans="11:12" x14ac:dyDescent="0.4">
      <c r="K1534" s="5">
        <v>1532</v>
      </c>
      <c r="L1534" s="73">
        <v>3.4000000000000288</v>
      </c>
    </row>
    <row r="1535" spans="11:12" x14ac:dyDescent="0.4">
      <c r="K1535" s="5">
        <v>1533</v>
      </c>
      <c r="L1535" s="73">
        <v>2.886579864025407E-14</v>
      </c>
    </row>
    <row r="1536" spans="11:12" x14ac:dyDescent="0.4">
      <c r="K1536" s="5">
        <v>1534</v>
      </c>
      <c r="L1536" s="73">
        <v>45.300000000000026</v>
      </c>
    </row>
    <row r="1537" spans="11:12" x14ac:dyDescent="0.4">
      <c r="K1537" s="5">
        <v>1535</v>
      </c>
      <c r="L1537" s="73">
        <v>-5.7999999999999741</v>
      </c>
    </row>
    <row r="1538" spans="11:12" x14ac:dyDescent="0.4">
      <c r="K1538" s="5">
        <v>1536</v>
      </c>
      <c r="L1538" s="73">
        <v>2.5757174171303632E-14</v>
      </c>
    </row>
    <row r="1539" spans="11:12" x14ac:dyDescent="0.4">
      <c r="K1539" s="5">
        <v>1537</v>
      </c>
      <c r="L1539" s="73">
        <v>9.0000000000000266</v>
      </c>
    </row>
    <row r="1540" spans="11:12" x14ac:dyDescent="0.4">
      <c r="K1540" s="5">
        <v>1538</v>
      </c>
      <c r="L1540" s="73">
        <v>57.300000000000026</v>
      </c>
    </row>
    <row r="1541" spans="11:12" x14ac:dyDescent="0.4">
      <c r="K1541" s="5">
        <v>1539</v>
      </c>
      <c r="L1541" s="73">
        <v>3.0198066269804258E-14</v>
      </c>
    </row>
    <row r="1542" spans="11:12" x14ac:dyDescent="0.4">
      <c r="K1542" s="5">
        <v>1540</v>
      </c>
      <c r="L1542" s="73">
        <v>-55.999999999999972</v>
      </c>
    </row>
    <row r="1543" spans="11:12" x14ac:dyDescent="0.4">
      <c r="K1543" s="5">
        <v>1541</v>
      </c>
      <c r="L1543" s="73">
        <v>-49.999999999999972</v>
      </c>
    </row>
    <row r="1544" spans="11:12" x14ac:dyDescent="0.4">
      <c r="K1544" s="5">
        <v>1542</v>
      </c>
      <c r="L1544" s="73">
        <v>3.0198066269804258E-14</v>
      </c>
    </row>
    <row r="1545" spans="11:12" x14ac:dyDescent="0.4">
      <c r="K1545" s="5">
        <v>1543</v>
      </c>
      <c r="L1545" s="73">
        <v>-56.199999999999974</v>
      </c>
    </row>
    <row r="1546" spans="11:12" x14ac:dyDescent="0.4">
      <c r="K1546" s="5">
        <v>1544</v>
      </c>
      <c r="L1546" s="73">
        <v>11.700000000000033</v>
      </c>
    </row>
    <row r="1547" spans="11:12" x14ac:dyDescent="0.4">
      <c r="K1547" s="5">
        <v>1545</v>
      </c>
      <c r="L1547" s="73">
        <v>3.3750779948604759E-14</v>
      </c>
    </row>
    <row r="1548" spans="11:12" x14ac:dyDescent="0.4">
      <c r="K1548" s="5">
        <v>1546</v>
      </c>
      <c r="L1548" s="73">
        <v>-31.799999999999969</v>
      </c>
    </row>
    <row r="1549" spans="11:12" x14ac:dyDescent="0.4">
      <c r="K1549" s="5">
        <v>1547</v>
      </c>
      <c r="L1549" s="73">
        <v>-42.699999999999967</v>
      </c>
    </row>
    <row r="1550" spans="11:12" x14ac:dyDescent="0.4">
      <c r="K1550" s="5">
        <v>1548</v>
      </c>
      <c r="L1550" s="73">
        <v>3.730349362740526E-14</v>
      </c>
    </row>
    <row r="1551" spans="11:12" x14ac:dyDescent="0.4">
      <c r="K1551" s="5">
        <v>1549</v>
      </c>
      <c r="L1551" s="73">
        <v>-7.2999999999999625</v>
      </c>
    </row>
    <row r="1552" spans="11:12" x14ac:dyDescent="0.4">
      <c r="K1552" s="5">
        <v>1550</v>
      </c>
      <c r="L1552" s="73">
        <v>47.000000000000036</v>
      </c>
    </row>
    <row r="1553" spans="11:12" x14ac:dyDescent="0.4">
      <c r="K1553" s="5">
        <v>1551</v>
      </c>
      <c r="L1553" s="73">
        <v>3.730349362740526E-14</v>
      </c>
    </row>
    <row r="1554" spans="11:12" x14ac:dyDescent="0.4">
      <c r="K1554" s="5">
        <v>1552</v>
      </c>
      <c r="L1554" s="73">
        <v>-14.299999999999963</v>
      </c>
    </row>
    <row r="1555" spans="11:12" x14ac:dyDescent="0.4">
      <c r="K1555" s="5">
        <v>1553</v>
      </c>
      <c r="L1555" s="73">
        <v>36.100000000000037</v>
      </c>
    </row>
    <row r="1556" spans="11:12" x14ac:dyDescent="0.4">
      <c r="K1556" s="5">
        <v>1554</v>
      </c>
      <c r="L1556" s="73">
        <v>3.730349362740526E-14</v>
      </c>
    </row>
    <row r="1557" spans="11:12" x14ac:dyDescent="0.4">
      <c r="K1557" s="5">
        <v>1555</v>
      </c>
      <c r="L1557" s="73">
        <v>-60.899999999999963</v>
      </c>
    </row>
    <row r="1558" spans="11:12" x14ac:dyDescent="0.4">
      <c r="K1558" s="5">
        <v>1556</v>
      </c>
      <c r="L1558" s="73">
        <v>3.5000000000000444</v>
      </c>
    </row>
    <row r="1559" spans="11:12" x14ac:dyDescent="0.4">
      <c r="K1559" s="5">
        <v>1557</v>
      </c>
      <c r="L1559" s="73">
        <v>4.4408920985006262E-14</v>
      </c>
    </row>
    <row r="1560" spans="11:12" x14ac:dyDescent="0.4">
      <c r="K1560" s="5">
        <v>1558</v>
      </c>
      <c r="L1560" s="73">
        <v>67.80000000000004</v>
      </c>
    </row>
    <row r="1561" spans="11:12" x14ac:dyDescent="0.4">
      <c r="K1561" s="5">
        <v>1559</v>
      </c>
      <c r="L1561" s="73">
        <v>55.900000000000041</v>
      </c>
    </row>
    <row r="1562" spans="11:12" x14ac:dyDescent="0.4">
      <c r="K1562" s="5">
        <v>1560</v>
      </c>
      <c r="L1562" s="73">
        <v>4.4408920985006262E-14</v>
      </c>
    </row>
    <row r="1563" spans="11:12" x14ac:dyDescent="0.4">
      <c r="K1563" s="5">
        <v>1561</v>
      </c>
      <c r="L1563" s="73">
        <v>-14.899999999999956</v>
      </c>
    </row>
    <row r="1564" spans="11:12" x14ac:dyDescent="0.4">
      <c r="K1564" s="5">
        <v>1562</v>
      </c>
      <c r="L1564" s="73">
        <v>-51.299999999999955</v>
      </c>
    </row>
    <row r="1565" spans="11:12" x14ac:dyDescent="0.4">
      <c r="K1565" s="5">
        <v>1563</v>
      </c>
      <c r="L1565" s="73">
        <v>4.4408920985006262E-14</v>
      </c>
    </row>
    <row r="1566" spans="11:12" x14ac:dyDescent="0.4">
      <c r="K1566" s="5">
        <v>1564</v>
      </c>
      <c r="L1566" s="73">
        <v>-57.69999999999996</v>
      </c>
    </row>
    <row r="1567" spans="11:12" x14ac:dyDescent="0.4">
      <c r="K1567" s="5">
        <v>1565</v>
      </c>
      <c r="L1567" s="73">
        <v>-40.099999999999959</v>
      </c>
    </row>
    <row r="1568" spans="11:12" x14ac:dyDescent="0.4">
      <c r="K1568" s="5">
        <v>1566</v>
      </c>
      <c r="L1568" s="73">
        <v>4.4408920985006262E-14</v>
      </c>
    </row>
    <row r="1569" spans="11:12" x14ac:dyDescent="0.4">
      <c r="K1569" s="5">
        <v>1567</v>
      </c>
      <c r="L1569" s="73">
        <v>-1.8999999999999555</v>
      </c>
    </row>
    <row r="1570" spans="11:12" x14ac:dyDescent="0.4">
      <c r="K1570" s="5">
        <v>1568</v>
      </c>
      <c r="L1570" s="73">
        <v>32.800000000000047</v>
      </c>
    </row>
    <row r="1571" spans="11:12" x14ac:dyDescent="0.4">
      <c r="K1571" s="5">
        <v>1569</v>
      </c>
      <c r="L1571" s="73">
        <v>5.1514348342607263E-14</v>
      </c>
    </row>
    <row r="1572" spans="11:12" x14ac:dyDescent="0.4">
      <c r="K1572" s="5">
        <v>1570</v>
      </c>
      <c r="L1572" s="73">
        <v>11.600000000000051</v>
      </c>
    </row>
    <row r="1573" spans="11:12" x14ac:dyDescent="0.4">
      <c r="K1573" s="5">
        <v>1571</v>
      </c>
      <c r="L1573" s="73">
        <v>-43.799999999999947</v>
      </c>
    </row>
    <row r="1574" spans="11:12" x14ac:dyDescent="0.4">
      <c r="K1574" s="5">
        <v>1572</v>
      </c>
      <c r="L1574" s="73">
        <v>5.1514348342607263E-14</v>
      </c>
    </row>
    <row r="1575" spans="11:12" x14ac:dyDescent="0.4">
      <c r="K1575" s="5">
        <v>1573</v>
      </c>
      <c r="L1575" s="73">
        <v>-0.99999999999994849</v>
      </c>
    </row>
    <row r="1576" spans="11:12" x14ac:dyDescent="0.4">
      <c r="K1576" s="5">
        <v>1574</v>
      </c>
      <c r="L1576" s="73">
        <v>-58.99999999999995</v>
      </c>
    </row>
    <row r="1577" spans="11:12" x14ac:dyDescent="0.4">
      <c r="K1577" s="5">
        <v>1575</v>
      </c>
      <c r="L1577" s="73">
        <v>5.1514348342607263E-14</v>
      </c>
    </row>
    <row r="1578" spans="11:12" x14ac:dyDescent="0.4">
      <c r="K1578" s="5">
        <v>1576</v>
      </c>
      <c r="L1578" s="73">
        <v>-1.2999999999999485</v>
      </c>
    </row>
    <row r="1579" spans="11:12" x14ac:dyDescent="0.4">
      <c r="K1579" s="5">
        <v>1577</v>
      </c>
      <c r="L1579" s="73">
        <v>34.700000000000053</v>
      </c>
    </row>
    <row r="1580" spans="11:12" x14ac:dyDescent="0.4">
      <c r="K1580" s="5">
        <v>1578</v>
      </c>
      <c r="L1580" s="73">
        <v>5.1514348342607263E-14</v>
      </c>
    </row>
    <row r="1581" spans="11:12" x14ac:dyDescent="0.4">
      <c r="K1581" s="5">
        <v>1579</v>
      </c>
      <c r="L1581" s="73">
        <v>-7.3999999999999488</v>
      </c>
    </row>
    <row r="1582" spans="11:12" x14ac:dyDescent="0.4">
      <c r="K1582" s="5">
        <v>1580</v>
      </c>
      <c r="L1582" s="73">
        <v>-71.099999999999952</v>
      </c>
    </row>
    <row r="1583" spans="11:12" x14ac:dyDescent="0.4">
      <c r="K1583" s="5">
        <v>1581</v>
      </c>
      <c r="L1583" s="73">
        <v>4.4408920985006262E-14</v>
      </c>
    </row>
    <row r="1584" spans="11:12" x14ac:dyDescent="0.4">
      <c r="K1584" s="5">
        <v>1582</v>
      </c>
      <c r="L1584" s="73">
        <v>77.000000000000043</v>
      </c>
    </row>
    <row r="1585" spans="11:12" x14ac:dyDescent="0.4">
      <c r="K1585" s="5">
        <v>1583</v>
      </c>
      <c r="L1585" s="73">
        <v>-4.9999999999999556</v>
      </c>
    </row>
    <row r="1586" spans="11:12" x14ac:dyDescent="0.4">
      <c r="K1586" s="5">
        <v>1584</v>
      </c>
      <c r="L1586" s="73">
        <v>4.4408920985006262E-14</v>
      </c>
    </row>
    <row r="1587" spans="11:12" x14ac:dyDescent="0.4">
      <c r="K1587" s="5">
        <v>1585</v>
      </c>
      <c r="L1587" s="73">
        <v>92.600000000000037</v>
      </c>
    </row>
    <row r="1588" spans="11:12" x14ac:dyDescent="0.4">
      <c r="K1588" s="5">
        <v>1586</v>
      </c>
      <c r="L1588" s="73">
        <v>62.30000000000004</v>
      </c>
    </row>
    <row r="1589" spans="11:12" x14ac:dyDescent="0.4">
      <c r="K1589" s="5">
        <v>1587</v>
      </c>
      <c r="L1589" s="73">
        <v>4.4408920985006262E-14</v>
      </c>
    </row>
    <row r="1590" spans="11:12" x14ac:dyDescent="0.4">
      <c r="K1590" s="5">
        <v>1588</v>
      </c>
      <c r="L1590" s="73">
        <v>49.700000000000045</v>
      </c>
    </row>
    <row r="1591" spans="11:12" x14ac:dyDescent="0.4">
      <c r="K1591" s="5">
        <v>1589</v>
      </c>
      <c r="L1591" s="73">
        <v>38.800000000000047</v>
      </c>
    </row>
    <row r="1592" spans="11:12" x14ac:dyDescent="0.4">
      <c r="K1592" s="5">
        <v>1590</v>
      </c>
      <c r="L1592" s="73">
        <v>5.1514348342607263E-14</v>
      </c>
    </row>
    <row r="1593" spans="11:12" x14ac:dyDescent="0.4">
      <c r="K1593" s="5">
        <v>1591</v>
      </c>
      <c r="L1593" s="73">
        <v>-28.399999999999949</v>
      </c>
    </row>
    <row r="1594" spans="11:12" x14ac:dyDescent="0.4">
      <c r="K1594" s="5">
        <v>1592</v>
      </c>
      <c r="L1594" s="73">
        <v>57.000000000000057</v>
      </c>
    </row>
    <row r="1595" spans="11:12" x14ac:dyDescent="0.4">
      <c r="K1595" s="5">
        <v>1593</v>
      </c>
      <c r="L1595" s="73">
        <v>5.8619775700208265E-14</v>
      </c>
    </row>
    <row r="1596" spans="11:12" x14ac:dyDescent="0.4">
      <c r="K1596" s="5">
        <v>1594</v>
      </c>
      <c r="L1596" s="73">
        <v>-47.699999999999946</v>
      </c>
    </row>
    <row r="1597" spans="11:12" x14ac:dyDescent="0.4">
      <c r="K1597" s="5">
        <v>1595</v>
      </c>
      <c r="L1597" s="73">
        <v>-69.299999999999955</v>
      </c>
    </row>
    <row r="1598" spans="11:12" x14ac:dyDescent="0.4">
      <c r="K1598" s="5">
        <v>1596</v>
      </c>
      <c r="L1598" s="73">
        <v>4.4408920985006262E-14</v>
      </c>
    </row>
    <row r="1599" spans="11:12" x14ac:dyDescent="0.4">
      <c r="K1599" s="5">
        <v>1597</v>
      </c>
      <c r="L1599" s="73">
        <v>-32.899999999999956</v>
      </c>
    </row>
    <row r="1600" spans="11:12" x14ac:dyDescent="0.4">
      <c r="K1600" s="5">
        <v>1598</v>
      </c>
      <c r="L1600" s="73">
        <v>-42.599999999999952</v>
      </c>
    </row>
    <row r="1601" spans="11:12" x14ac:dyDescent="0.4">
      <c r="K1601" s="5">
        <v>1599</v>
      </c>
      <c r="L1601" s="73">
        <v>5.1514348342607263E-14</v>
      </c>
    </row>
    <row r="1602" spans="11:12" x14ac:dyDescent="0.4">
      <c r="K1602" s="5">
        <v>1600</v>
      </c>
      <c r="L1602" s="73">
        <v>11.300000000000052</v>
      </c>
    </row>
    <row r="1603" spans="11:12" x14ac:dyDescent="0.4">
      <c r="K1603" s="5">
        <v>1601</v>
      </c>
      <c r="L1603" s="73">
        <v>56.300000000000054</v>
      </c>
    </row>
    <row r="1604" spans="11:12" x14ac:dyDescent="0.4">
      <c r="K1604" s="5">
        <v>1602</v>
      </c>
      <c r="L1604" s="73">
        <v>5.8619775700208265E-14</v>
      </c>
    </row>
    <row r="1605" spans="11:12" x14ac:dyDescent="0.4">
      <c r="K1605" s="5">
        <v>1603</v>
      </c>
      <c r="L1605" s="73">
        <v>15.000000000000059</v>
      </c>
    </row>
    <row r="1606" spans="11:12" x14ac:dyDescent="0.4">
      <c r="K1606" s="5">
        <v>1604</v>
      </c>
      <c r="L1606" s="73">
        <v>60.000000000000057</v>
      </c>
    </row>
    <row r="1607" spans="11:12" x14ac:dyDescent="0.4">
      <c r="K1607" s="5">
        <v>1605</v>
      </c>
      <c r="L1607" s="73">
        <v>5.8619775700208265E-14</v>
      </c>
    </row>
    <row r="1608" spans="11:12" x14ac:dyDescent="0.4">
      <c r="K1608" s="5">
        <v>1606</v>
      </c>
      <c r="L1608" s="73">
        <v>-50.899999999999942</v>
      </c>
    </row>
    <row r="1609" spans="11:12" x14ac:dyDescent="0.4">
      <c r="K1609" s="5">
        <v>1607</v>
      </c>
      <c r="L1609" s="73">
        <v>1.2000000000000615</v>
      </c>
    </row>
    <row r="1610" spans="11:12" x14ac:dyDescent="0.4">
      <c r="K1610" s="5">
        <v>1608</v>
      </c>
      <c r="L1610" s="73">
        <v>6.1506355564233672E-14</v>
      </c>
    </row>
    <row r="1611" spans="11:12" x14ac:dyDescent="0.4">
      <c r="K1611" s="5">
        <v>1609</v>
      </c>
      <c r="L1611" s="73">
        <v>-10.799999999999939</v>
      </c>
    </row>
    <row r="1612" spans="11:12" x14ac:dyDescent="0.4">
      <c r="K1612" s="5">
        <v>1610</v>
      </c>
      <c r="L1612" s="73">
        <v>-51.999999999999943</v>
      </c>
    </row>
    <row r="1613" spans="11:12" x14ac:dyDescent="0.4">
      <c r="K1613" s="5">
        <v>1611</v>
      </c>
      <c r="L1613" s="73">
        <v>5.8619775700208265E-14</v>
      </c>
    </row>
    <row r="1614" spans="11:12" x14ac:dyDescent="0.4">
      <c r="K1614" s="5">
        <v>1612</v>
      </c>
      <c r="L1614" s="73">
        <v>5.3000000000000584</v>
      </c>
    </row>
    <row r="1615" spans="11:12" x14ac:dyDescent="0.4">
      <c r="K1615" s="5">
        <v>1613</v>
      </c>
      <c r="L1615" s="73">
        <v>-26.79999999999994</v>
      </c>
    </row>
    <row r="1616" spans="11:12" x14ac:dyDescent="0.4">
      <c r="K1616" s="5">
        <v>1614</v>
      </c>
      <c r="L1616" s="73">
        <v>5.8619775700208265E-14</v>
      </c>
    </row>
    <row r="1617" spans="11:12" x14ac:dyDescent="0.4">
      <c r="K1617" s="5">
        <v>1615</v>
      </c>
      <c r="L1617" s="73">
        <v>9.400000000000059</v>
      </c>
    </row>
    <row r="1618" spans="11:12" x14ac:dyDescent="0.4">
      <c r="K1618" s="5">
        <v>1616</v>
      </c>
      <c r="L1618" s="73">
        <v>-36.399999999999942</v>
      </c>
    </row>
    <row r="1619" spans="11:12" x14ac:dyDescent="0.4">
      <c r="K1619" s="5">
        <v>1617</v>
      </c>
      <c r="L1619" s="73">
        <v>5.8619775700208265E-14</v>
      </c>
    </row>
    <row r="1620" spans="11:12" x14ac:dyDescent="0.4">
      <c r="K1620" s="5">
        <v>1618</v>
      </c>
      <c r="L1620" s="73">
        <v>-2.2999999999999412</v>
      </c>
    </row>
    <row r="1621" spans="11:12" x14ac:dyDescent="0.4">
      <c r="K1621" s="5">
        <v>1619</v>
      </c>
      <c r="L1621" s="73">
        <v>-58.899999999999942</v>
      </c>
    </row>
    <row r="1622" spans="11:12" x14ac:dyDescent="0.4">
      <c r="K1622" s="5">
        <v>1620</v>
      </c>
      <c r="L1622" s="73">
        <v>5.8619775700208265E-14</v>
      </c>
    </row>
    <row r="1623" spans="11:12" x14ac:dyDescent="0.4">
      <c r="K1623" s="5">
        <v>1621</v>
      </c>
      <c r="L1623" s="73">
        <v>-24.499999999999943</v>
      </c>
    </row>
    <row r="1624" spans="11:12" x14ac:dyDescent="0.4">
      <c r="K1624" s="5">
        <v>1622</v>
      </c>
      <c r="L1624" s="73">
        <v>56.500000000000057</v>
      </c>
    </row>
    <row r="1625" spans="11:12" x14ac:dyDescent="0.4">
      <c r="K1625" s="5">
        <v>1623</v>
      </c>
      <c r="L1625" s="73">
        <v>5.8619775700208265E-14</v>
      </c>
    </row>
    <row r="1626" spans="11:12" x14ac:dyDescent="0.4">
      <c r="K1626" s="5">
        <v>1624</v>
      </c>
      <c r="L1626" s="73">
        <v>39.20000000000006</v>
      </c>
    </row>
    <row r="1627" spans="11:12" x14ac:dyDescent="0.4">
      <c r="K1627" s="5">
        <v>1625</v>
      </c>
      <c r="L1627" s="73">
        <v>6.3000000000000629</v>
      </c>
    </row>
    <row r="1628" spans="11:12" x14ac:dyDescent="0.4">
      <c r="K1628" s="5">
        <v>1626</v>
      </c>
      <c r="L1628" s="73">
        <v>6.3060667798708891E-14</v>
      </c>
    </row>
    <row r="1629" spans="11:12" x14ac:dyDescent="0.4">
      <c r="K1629" s="5">
        <v>1627</v>
      </c>
      <c r="L1629" s="73">
        <v>-51.699999999999939</v>
      </c>
    </row>
    <row r="1630" spans="11:12" x14ac:dyDescent="0.4">
      <c r="K1630" s="5">
        <v>1628</v>
      </c>
      <c r="L1630" s="73">
        <v>-38.199999999999939</v>
      </c>
    </row>
    <row r="1631" spans="11:12" x14ac:dyDescent="0.4">
      <c r="K1631" s="5">
        <v>1629</v>
      </c>
      <c r="L1631" s="73">
        <v>6.5725203057809267E-14</v>
      </c>
    </row>
    <row r="1632" spans="11:12" x14ac:dyDescent="0.4">
      <c r="K1632" s="5">
        <v>1630</v>
      </c>
      <c r="L1632" s="73">
        <v>-61.699999999999939</v>
      </c>
    </row>
    <row r="1633" spans="11:12" x14ac:dyDescent="0.4">
      <c r="K1633" s="5">
        <v>1631</v>
      </c>
      <c r="L1633" s="73">
        <v>-91.29999999999994</v>
      </c>
    </row>
    <row r="1634" spans="11:12" x14ac:dyDescent="0.4">
      <c r="K1634" s="5">
        <v>1632</v>
      </c>
      <c r="L1634" s="73">
        <v>5.8619775700208265E-14</v>
      </c>
    </row>
    <row r="1635" spans="11:12" x14ac:dyDescent="0.4">
      <c r="K1635" s="5">
        <v>1633</v>
      </c>
      <c r="L1635" s="73">
        <v>41.600000000000058</v>
      </c>
    </row>
    <row r="1636" spans="11:12" x14ac:dyDescent="0.4">
      <c r="K1636" s="5">
        <v>1634</v>
      </c>
      <c r="L1636" s="73">
        <v>8.7000000000000615</v>
      </c>
    </row>
    <row r="1637" spans="11:12" x14ac:dyDescent="0.4">
      <c r="K1637" s="5">
        <v>1635</v>
      </c>
      <c r="L1637" s="73">
        <v>6.2172489379008766E-14</v>
      </c>
    </row>
    <row r="1638" spans="11:12" x14ac:dyDescent="0.4">
      <c r="K1638" s="5">
        <v>1636</v>
      </c>
      <c r="L1638" s="73">
        <v>-55.899999999999935</v>
      </c>
    </row>
    <row r="1639" spans="11:12" x14ac:dyDescent="0.4">
      <c r="K1639" s="5">
        <v>1637</v>
      </c>
      <c r="L1639" s="73">
        <v>-42.199999999999932</v>
      </c>
    </row>
    <row r="1640" spans="11:12" x14ac:dyDescent="0.4">
      <c r="K1640" s="5">
        <v>1638</v>
      </c>
      <c r="L1640" s="73">
        <v>7.2830630415410269E-14</v>
      </c>
    </row>
    <row r="1641" spans="11:12" x14ac:dyDescent="0.4">
      <c r="K1641" s="5">
        <v>1639</v>
      </c>
      <c r="L1641" s="73">
        <v>62.500000000000071</v>
      </c>
    </row>
    <row r="1642" spans="11:12" x14ac:dyDescent="0.4">
      <c r="K1642" s="5">
        <v>1640</v>
      </c>
      <c r="L1642" s="73">
        <v>5.0000000000000728</v>
      </c>
    </row>
    <row r="1643" spans="11:12" x14ac:dyDescent="0.4">
      <c r="K1643" s="5">
        <v>1641</v>
      </c>
      <c r="L1643" s="73">
        <v>7.2830630415410269E-14</v>
      </c>
    </row>
    <row r="1644" spans="11:12" x14ac:dyDescent="0.4">
      <c r="K1644" s="5">
        <v>1642</v>
      </c>
      <c r="L1644" s="73">
        <v>12.200000000000072</v>
      </c>
    </row>
    <row r="1645" spans="11:12" x14ac:dyDescent="0.4">
      <c r="K1645" s="5">
        <v>1643</v>
      </c>
      <c r="L1645" s="73">
        <v>55.100000000000065</v>
      </c>
    </row>
    <row r="1646" spans="11:12" x14ac:dyDescent="0.4">
      <c r="K1646" s="5">
        <v>1644</v>
      </c>
      <c r="L1646" s="73">
        <v>6.5725203057809267E-14</v>
      </c>
    </row>
    <row r="1647" spans="11:12" x14ac:dyDescent="0.4">
      <c r="K1647" s="5">
        <v>1645</v>
      </c>
      <c r="L1647" s="73">
        <v>9.0000000000000657</v>
      </c>
    </row>
    <row r="1648" spans="11:12" x14ac:dyDescent="0.4">
      <c r="K1648" s="5">
        <v>1646</v>
      </c>
      <c r="L1648" s="73">
        <v>-37.699999999999939</v>
      </c>
    </row>
    <row r="1649" spans="11:12" x14ac:dyDescent="0.4">
      <c r="K1649" s="5">
        <v>1647</v>
      </c>
      <c r="L1649" s="73">
        <v>6.5725203057809267E-14</v>
      </c>
    </row>
    <row r="1650" spans="11:12" x14ac:dyDescent="0.4">
      <c r="K1650" s="5">
        <v>1648</v>
      </c>
      <c r="L1650" s="73">
        <v>-11.999999999999934</v>
      </c>
    </row>
    <row r="1651" spans="11:12" x14ac:dyDescent="0.4">
      <c r="K1651" s="5">
        <v>1649</v>
      </c>
      <c r="L1651" s="73">
        <v>65.100000000000051</v>
      </c>
    </row>
    <row r="1652" spans="11:12" x14ac:dyDescent="0.4">
      <c r="K1652" s="5">
        <v>1650</v>
      </c>
      <c r="L1652" s="73">
        <v>5.8619775700208265E-14</v>
      </c>
    </row>
    <row r="1653" spans="11:12" x14ac:dyDescent="0.4">
      <c r="K1653" s="5">
        <v>1651</v>
      </c>
      <c r="L1653" s="73">
        <v>14.700000000000058</v>
      </c>
    </row>
    <row r="1654" spans="11:12" x14ac:dyDescent="0.4">
      <c r="K1654" s="5">
        <v>1652</v>
      </c>
      <c r="L1654" s="73">
        <v>75.20000000000006</v>
      </c>
    </row>
    <row r="1655" spans="11:12" x14ac:dyDescent="0.4">
      <c r="K1655" s="5">
        <v>1653</v>
      </c>
      <c r="L1655" s="73">
        <v>5.8619775700208265E-14</v>
      </c>
    </row>
    <row r="1656" spans="11:12" x14ac:dyDescent="0.4">
      <c r="K1656" s="5">
        <v>1654</v>
      </c>
      <c r="L1656" s="73">
        <v>-43.199999999999946</v>
      </c>
    </row>
    <row r="1657" spans="11:12" x14ac:dyDescent="0.4">
      <c r="K1657" s="5">
        <v>1655</v>
      </c>
      <c r="L1657" s="73">
        <v>-39.799999999999947</v>
      </c>
    </row>
    <row r="1658" spans="11:12" x14ac:dyDescent="0.4">
      <c r="K1658" s="5">
        <v>1656</v>
      </c>
      <c r="L1658" s="73">
        <v>5.1514348342607263E-14</v>
      </c>
    </row>
    <row r="1659" spans="11:12" x14ac:dyDescent="0.4">
      <c r="K1659" s="5">
        <v>1657</v>
      </c>
      <c r="L1659" s="73">
        <v>-53.299999999999947</v>
      </c>
    </row>
    <row r="1660" spans="11:12" x14ac:dyDescent="0.4">
      <c r="K1660" s="5">
        <v>1658</v>
      </c>
      <c r="L1660" s="73">
        <v>-61.599999999999952</v>
      </c>
    </row>
    <row r="1661" spans="11:12" x14ac:dyDescent="0.4">
      <c r="K1661" s="5">
        <v>1659</v>
      </c>
      <c r="L1661" s="73">
        <v>5.1514348342607263E-14</v>
      </c>
    </row>
    <row r="1662" spans="11:12" x14ac:dyDescent="0.4">
      <c r="K1662" s="5">
        <v>1660</v>
      </c>
      <c r="L1662" s="73">
        <v>31.700000000000053</v>
      </c>
    </row>
    <row r="1663" spans="11:12" x14ac:dyDescent="0.4">
      <c r="K1663" s="5">
        <v>1661</v>
      </c>
      <c r="L1663" s="73">
        <v>-10.099999999999946</v>
      </c>
    </row>
    <row r="1664" spans="11:12" x14ac:dyDescent="0.4">
      <c r="K1664" s="5">
        <v>1662</v>
      </c>
      <c r="L1664" s="73">
        <v>5.3290705182007514E-14</v>
      </c>
    </row>
    <row r="1665" spans="11:12" x14ac:dyDescent="0.4">
      <c r="K1665" s="5">
        <v>1663</v>
      </c>
      <c r="L1665" s="73">
        <v>42.700000000000053</v>
      </c>
    </row>
    <row r="1666" spans="11:12" x14ac:dyDescent="0.4">
      <c r="K1666" s="5">
        <v>1664</v>
      </c>
      <c r="L1666" s="73">
        <v>-2.5999999999999428</v>
      </c>
    </row>
    <row r="1667" spans="11:12" x14ac:dyDescent="0.4">
      <c r="K1667" s="5">
        <v>1665</v>
      </c>
      <c r="L1667" s="73">
        <v>5.7287508070658077E-14</v>
      </c>
    </row>
    <row r="1668" spans="11:12" x14ac:dyDescent="0.4">
      <c r="K1668" s="5">
        <v>1666</v>
      </c>
      <c r="L1668" s="73">
        <v>62.000000000000057</v>
      </c>
    </row>
    <row r="1669" spans="11:12" x14ac:dyDescent="0.4">
      <c r="K1669" s="5">
        <v>1667</v>
      </c>
      <c r="L1669" s="73">
        <v>3.9000000000000572</v>
      </c>
    </row>
    <row r="1670" spans="11:12" x14ac:dyDescent="0.4">
      <c r="K1670" s="5">
        <v>1668</v>
      </c>
      <c r="L1670" s="73">
        <v>5.7287508070658077E-14</v>
      </c>
    </row>
    <row r="1671" spans="11:12" x14ac:dyDescent="0.4">
      <c r="K1671" s="5">
        <v>1669</v>
      </c>
      <c r="L1671" s="73">
        <v>35.000000000000057</v>
      </c>
    </row>
    <row r="1672" spans="11:12" x14ac:dyDescent="0.4">
      <c r="K1672" s="5">
        <v>1670</v>
      </c>
      <c r="L1672" s="73">
        <v>-9.5999999999999428</v>
      </c>
    </row>
    <row r="1673" spans="11:12" x14ac:dyDescent="0.4">
      <c r="K1673" s="5">
        <v>1671</v>
      </c>
      <c r="L1673" s="73">
        <v>5.6843418860808015E-14</v>
      </c>
    </row>
    <row r="1674" spans="11:12" x14ac:dyDescent="0.4">
      <c r="K1674" s="5">
        <v>1672</v>
      </c>
      <c r="L1674" s="73">
        <v>39.300000000000054</v>
      </c>
    </row>
    <row r="1675" spans="11:12" x14ac:dyDescent="0.4">
      <c r="K1675" s="5">
        <v>1673</v>
      </c>
      <c r="L1675" s="73">
        <v>-18.999999999999943</v>
      </c>
    </row>
    <row r="1676" spans="11:12" x14ac:dyDescent="0.4">
      <c r="K1676" s="5">
        <v>1674</v>
      </c>
      <c r="L1676" s="73">
        <v>5.8619775700208265E-14</v>
      </c>
    </row>
    <row r="1677" spans="11:12" x14ac:dyDescent="0.4">
      <c r="K1677" s="5">
        <v>1675</v>
      </c>
      <c r="L1677" s="73">
        <v>1.1000000000000587</v>
      </c>
    </row>
    <row r="1678" spans="11:12" x14ac:dyDescent="0.4">
      <c r="K1678" s="5">
        <v>1676</v>
      </c>
      <c r="L1678" s="73">
        <v>-34.699999999999939</v>
      </c>
    </row>
    <row r="1679" spans="11:12" x14ac:dyDescent="0.4">
      <c r="K1679" s="5">
        <v>1677</v>
      </c>
      <c r="L1679" s="73">
        <v>6.5725203057809267E-14</v>
      </c>
    </row>
    <row r="1680" spans="11:12" x14ac:dyDescent="0.4">
      <c r="K1680" s="5">
        <v>1678</v>
      </c>
      <c r="L1680" s="73">
        <v>-32.099999999999937</v>
      </c>
    </row>
    <row r="1681" spans="11:12" x14ac:dyDescent="0.4">
      <c r="K1681" s="5">
        <v>1679</v>
      </c>
      <c r="L1681" s="73">
        <v>-36.399999999999935</v>
      </c>
    </row>
    <row r="1682" spans="11:12" x14ac:dyDescent="0.4">
      <c r="K1682" s="5">
        <v>1680</v>
      </c>
      <c r="L1682" s="73">
        <v>6.5725203057809267E-14</v>
      </c>
    </row>
    <row r="1683" spans="11:12" x14ac:dyDescent="0.4">
      <c r="K1683" s="5">
        <v>1681</v>
      </c>
      <c r="L1683" s="73">
        <v>-7.3999999999999346</v>
      </c>
    </row>
    <row r="1684" spans="11:12" x14ac:dyDescent="0.4">
      <c r="K1684" s="5">
        <v>1682</v>
      </c>
      <c r="L1684" s="73">
        <v>-65.999999999999943</v>
      </c>
    </row>
    <row r="1685" spans="11:12" x14ac:dyDescent="0.4">
      <c r="K1685" s="5">
        <v>1683</v>
      </c>
      <c r="L1685" s="73">
        <v>5.8619775700208265E-14</v>
      </c>
    </row>
    <row r="1686" spans="11:12" x14ac:dyDescent="0.4">
      <c r="K1686" s="5">
        <v>1684</v>
      </c>
      <c r="L1686" s="73">
        <v>-55.399999999999942</v>
      </c>
    </row>
    <row r="1687" spans="11:12" x14ac:dyDescent="0.4">
      <c r="K1687" s="5">
        <v>1685</v>
      </c>
      <c r="L1687" s="73">
        <v>-42.599999999999937</v>
      </c>
    </row>
    <row r="1688" spans="11:12" x14ac:dyDescent="0.4">
      <c r="K1688" s="5">
        <v>1686</v>
      </c>
      <c r="L1688" s="73">
        <v>6.5725203057809267E-14</v>
      </c>
    </row>
    <row r="1689" spans="11:12" x14ac:dyDescent="0.4">
      <c r="K1689" s="5">
        <v>1687</v>
      </c>
      <c r="L1689" s="73">
        <v>17.800000000000068</v>
      </c>
    </row>
    <row r="1690" spans="11:12" x14ac:dyDescent="0.4">
      <c r="K1690" s="5">
        <v>1688</v>
      </c>
      <c r="L1690" s="73">
        <v>-49.199999999999932</v>
      </c>
    </row>
    <row r="1691" spans="11:12" x14ac:dyDescent="0.4">
      <c r="K1691" s="5">
        <v>1689</v>
      </c>
      <c r="L1691" s="73">
        <v>7.2830630415410269E-14</v>
      </c>
    </row>
    <row r="1692" spans="11:12" x14ac:dyDescent="0.4">
      <c r="K1692" s="5">
        <v>1690</v>
      </c>
      <c r="L1692" s="73">
        <v>-17.899999999999928</v>
      </c>
    </row>
    <row r="1693" spans="11:12" x14ac:dyDescent="0.4">
      <c r="K1693" s="5">
        <v>1691</v>
      </c>
      <c r="L1693" s="73">
        <v>80.400000000000063</v>
      </c>
    </row>
    <row r="1694" spans="11:12" x14ac:dyDescent="0.4">
      <c r="K1694" s="5">
        <v>1692</v>
      </c>
      <c r="L1694" s="73">
        <v>5.8619775700208265E-14</v>
      </c>
    </row>
    <row r="1695" spans="11:12" x14ac:dyDescent="0.4">
      <c r="K1695" s="5">
        <v>1693</v>
      </c>
      <c r="L1695" s="73">
        <v>9.5000000000000586</v>
      </c>
    </row>
    <row r="1696" spans="11:12" x14ac:dyDescent="0.4">
      <c r="K1696" s="5">
        <v>1694</v>
      </c>
      <c r="L1696" s="73">
        <v>-49.999999999999943</v>
      </c>
    </row>
    <row r="1697" spans="11:12" x14ac:dyDescent="0.4">
      <c r="K1697" s="5">
        <v>1695</v>
      </c>
      <c r="L1697" s="73">
        <v>5.8619775700208265E-14</v>
      </c>
    </row>
    <row r="1698" spans="11:12" x14ac:dyDescent="0.4">
      <c r="K1698" s="5">
        <v>1696</v>
      </c>
      <c r="L1698" s="73">
        <v>-55.29999999999994</v>
      </c>
    </row>
    <row r="1699" spans="11:12" x14ac:dyDescent="0.4">
      <c r="K1699" s="5">
        <v>1697</v>
      </c>
      <c r="L1699" s="73">
        <v>3.5000000000000586</v>
      </c>
    </row>
    <row r="1700" spans="11:12" x14ac:dyDescent="0.4">
      <c r="K1700" s="5">
        <v>1698</v>
      </c>
      <c r="L1700" s="73">
        <v>5.8619775700208265E-14</v>
      </c>
    </row>
    <row r="1701" spans="11:12" x14ac:dyDescent="0.4">
      <c r="K1701" s="5">
        <v>1699</v>
      </c>
      <c r="L1701" s="73">
        <v>31.000000000000057</v>
      </c>
    </row>
    <row r="1702" spans="11:12" x14ac:dyDescent="0.4">
      <c r="K1702" s="5">
        <v>1700</v>
      </c>
      <c r="L1702" s="73">
        <v>-4.9999999999999414</v>
      </c>
    </row>
    <row r="1703" spans="11:12" x14ac:dyDescent="0.4">
      <c r="K1703" s="5">
        <v>1701</v>
      </c>
      <c r="L1703" s="73">
        <v>5.8619775700208265E-14</v>
      </c>
    </row>
    <row r="1704" spans="11:12" x14ac:dyDescent="0.4">
      <c r="K1704" s="5">
        <v>1702</v>
      </c>
      <c r="L1704" s="73">
        <v>-35.29999999999994</v>
      </c>
    </row>
    <row r="1705" spans="11:12" x14ac:dyDescent="0.4">
      <c r="K1705" s="5">
        <v>1703</v>
      </c>
      <c r="L1705" s="73">
        <v>-38.899999999999942</v>
      </c>
    </row>
    <row r="1706" spans="11:12" x14ac:dyDescent="0.4">
      <c r="K1706" s="5">
        <v>1704</v>
      </c>
      <c r="L1706" s="73">
        <v>5.8619775700208265E-14</v>
      </c>
    </row>
    <row r="1707" spans="11:12" x14ac:dyDescent="0.4">
      <c r="K1707" s="5">
        <v>1705</v>
      </c>
      <c r="L1707" s="73">
        <v>41.100000000000058</v>
      </c>
    </row>
    <row r="1708" spans="11:12" x14ac:dyDescent="0.4">
      <c r="K1708" s="5">
        <v>1706</v>
      </c>
      <c r="L1708" s="73">
        <v>52.000000000000057</v>
      </c>
    </row>
    <row r="1709" spans="11:12" x14ac:dyDescent="0.4">
      <c r="K1709" s="5">
        <v>1707</v>
      </c>
      <c r="L1709" s="73">
        <v>5.8619775700208265E-14</v>
      </c>
    </row>
    <row r="1710" spans="11:12" x14ac:dyDescent="0.4">
      <c r="K1710" s="5">
        <v>1708</v>
      </c>
      <c r="L1710" s="73">
        <v>54.600000000000058</v>
      </c>
    </row>
    <row r="1711" spans="11:12" x14ac:dyDescent="0.4">
      <c r="K1711" s="5">
        <v>1709</v>
      </c>
      <c r="L1711" s="73">
        <v>55.900000000000055</v>
      </c>
    </row>
    <row r="1712" spans="11:12" x14ac:dyDescent="0.4">
      <c r="K1712" s="5">
        <v>1710</v>
      </c>
      <c r="L1712" s="73">
        <v>5.8619775700208265E-14</v>
      </c>
    </row>
    <row r="1713" spans="11:12" x14ac:dyDescent="0.4">
      <c r="K1713" s="5">
        <v>1711</v>
      </c>
      <c r="L1713" s="73">
        <v>27.500000000000057</v>
      </c>
    </row>
    <row r="1714" spans="11:12" x14ac:dyDescent="0.4">
      <c r="K1714" s="5">
        <v>1712</v>
      </c>
      <c r="L1714" s="73">
        <v>28.500000000000057</v>
      </c>
    </row>
    <row r="1715" spans="11:12" x14ac:dyDescent="0.4">
      <c r="K1715" s="5">
        <v>1713</v>
      </c>
      <c r="L1715" s="73">
        <v>5.8619775700208265E-14</v>
      </c>
    </row>
    <row r="1716" spans="11:12" x14ac:dyDescent="0.4">
      <c r="K1716" s="5">
        <v>1714</v>
      </c>
      <c r="L1716" s="73">
        <v>33.400000000000055</v>
      </c>
    </row>
    <row r="1717" spans="11:12" x14ac:dyDescent="0.4">
      <c r="K1717" s="5">
        <v>1715</v>
      </c>
      <c r="L1717" s="73">
        <v>0.10000000000006004</v>
      </c>
    </row>
    <row r="1718" spans="11:12" x14ac:dyDescent="0.4">
      <c r="K1718" s="5">
        <v>1716</v>
      </c>
      <c r="L1718" s="73">
        <v>6.003531005660534E-14</v>
      </c>
    </row>
    <row r="1719" spans="11:12" x14ac:dyDescent="0.4">
      <c r="K1719" s="5">
        <v>1717</v>
      </c>
      <c r="L1719" s="73">
        <v>38.300000000000054</v>
      </c>
    </row>
    <row r="1720" spans="11:12" x14ac:dyDescent="0.4">
      <c r="K1720" s="5">
        <v>1718</v>
      </c>
      <c r="L1720" s="73">
        <v>-12.899999999999947</v>
      </c>
    </row>
    <row r="1721" spans="11:12" x14ac:dyDescent="0.4">
      <c r="K1721" s="5">
        <v>1719</v>
      </c>
      <c r="L1721" s="73">
        <v>5.3290705182007514E-14</v>
      </c>
    </row>
    <row r="1722" spans="11:12" x14ac:dyDescent="0.4">
      <c r="K1722" s="5">
        <v>1720</v>
      </c>
      <c r="L1722" s="73">
        <v>47.900000000000048</v>
      </c>
    </row>
    <row r="1723" spans="11:12" x14ac:dyDescent="0.4">
      <c r="K1723" s="5">
        <v>1721</v>
      </c>
      <c r="L1723" s="73">
        <v>-22.599999999999952</v>
      </c>
    </row>
    <row r="1724" spans="11:12" x14ac:dyDescent="0.4">
      <c r="K1724" s="5">
        <v>1722</v>
      </c>
      <c r="L1724" s="73">
        <v>5.1514348342607263E-14</v>
      </c>
    </row>
    <row r="1725" spans="11:12" x14ac:dyDescent="0.4">
      <c r="K1725" s="5">
        <v>1723</v>
      </c>
      <c r="L1725" s="73">
        <v>-7.5999999999999481</v>
      </c>
    </row>
    <row r="1726" spans="11:12" x14ac:dyDescent="0.4">
      <c r="K1726" s="5">
        <v>1724</v>
      </c>
      <c r="L1726" s="73">
        <v>-54.599999999999952</v>
      </c>
    </row>
    <row r="1727" spans="11:12" x14ac:dyDescent="0.4">
      <c r="K1727" s="5">
        <v>1725</v>
      </c>
      <c r="L1727" s="73">
        <v>5.1514348342607263E-14</v>
      </c>
    </row>
    <row r="1728" spans="11:12" x14ac:dyDescent="0.4">
      <c r="K1728" s="5">
        <v>1726</v>
      </c>
      <c r="L1728" s="73">
        <v>-34.599999999999952</v>
      </c>
    </row>
    <row r="1729" spans="11:12" x14ac:dyDescent="0.4">
      <c r="K1729" s="5">
        <v>1727</v>
      </c>
      <c r="L1729" s="73">
        <v>9.1000000000000529</v>
      </c>
    </row>
    <row r="1730" spans="11:12" x14ac:dyDescent="0.4">
      <c r="K1730" s="5">
        <v>1728</v>
      </c>
      <c r="L1730" s="73">
        <v>5.3290705182007514E-14</v>
      </c>
    </row>
    <row r="1731" spans="11:12" x14ac:dyDescent="0.4">
      <c r="K1731" s="5">
        <v>1729</v>
      </c>
      <c r="L1731" s="73">
        <v>-29.49999999999995</v>
      </c>
    </row>
    <row r="1732" spans="11:12" x14ac:dyDescent="0.4">
      <c r="K1732" s="5">
        <v>1730</v>
      </c>
      <c r="L1732" s="73">
        <v>-29.99999999999995</v>
      </c>
    </row>
    <row r="1733" spans="11:12" x14ac:dyDescent="0.4">
      <c r="K1733" s="5">
        <v>1731</v>
      </c>
      <c r="L1733" s="73">
        <v>5.1514348342607263E-14</v>
      </c>
    </row>
    <row r="1734" spans="11:12" x14ac:dyDescent="0.4">
      <c r="K1734" s="5">
        <v>1732</v>
      </c>
      <c r="L1734" s="73">
        <v>0.90000000000005154</v>
      </c>
    </row>
    <row r="1735" spans="11:12" x14ac:dyDescent="0.4">
      <c r="K1735" s="5">
        <v>1733</v>
      </c>
      <c r="L1735" s="73">
        <v>49.800000000000047</v>
      </c>
    </row>
    <row r="1736" spans="11:12" x14ac:dyDescent="0.4">
      <c r="K1736" s="5">
        <v>1734</v>
      </c>
      <c r="L1736" s="73">
        <v>5.1514348342607263E-14</v>
      </c>
    </row>
    <row r="1737" spans="11:12" x14ac:dyDescent="0.4">
      <c r="K1737" s="5">
        <v>1735</v>
      </c>
      <c r="L1737" s="73">
        <v>-23.699999999999946</v>
      </c>
    </row>
    <row r="1738" spans="11:12" x14ac:dyDescent="0.4">
      <c r="K1738" s="5">
        <v>1736</v>
      </c>
      <c r="L1738" s="73">
        <v>-0.59999999999994635</v>
      </c>
    </row>
    <row r="1739" spans="11:12" x14ac:dyDescent="0.4">
      <c r="K1739" s="5">
        <v>1737</v>
      </c>
      <c r="L1739" s="73">
        <v>5.3623772089395061E-14</v>
      </c>
    </row>
    <row r="1740" spans="11:12" x14ac:dyDescent="0.4">
      <c r="K1740" s="5">
        <v>1738</v>
      </c>
      <c r="L1740" s="73">
        <v>9.0000000000000533</v>
      </c>
    </row>
    <row r="1741" spans="11:12" x14ac:dyDescent="0.4">
      <c r="K1741" s="5">
        <v>1739</v>
      </c>
      <c r="L1741" s="73">
        <v>-31.49999999999995</v>
      </c>
    </row>
    <row r="1742" spans="11:12" x14ac:dyDescent="0.4">
      <c r="K1742" s="5">
        <v>1740</v>
      </c>
      <c r="L1742" s="73">
        <v>5.1514348342607263E-14</v>
      </c>
    </row>
    <row r="1743" spans="11:12" x14ac:dyDescent="0.4">
      <c r="K1743" s="5">
        <v>1741</v>
      </c>
      <c r="L1743" s="73">
        <v>26.900000000000048</v>
      </c>
    </row>
    <row r="1744" spans="11:12" x14ac:dyDescent="0.4">
      <c r="K1744" s="5">
        <v>1742</v>
      </c>
      <c r="L1744" s="73">
        <v>28.400000000000048</v>
      </c>
    </row>
    <row r="1745" spans="11:12" x14ac:dyDescent="0.4">
      <c r="K1745" s="5">
        <v>1743</v>
      </c>
      <c r="L1745" s="73">
        <v>5.1514348342607263E-14</v>
      </c>
    </row>
    <row r="1746" spans="11:12" x14ac:dyDescent="0.4">
      <c r="K1746" s="5">
        <v>1744</v>
      </c>
      <c r="L1746" s="73">
        <v>-33.799999999999947</v>
      </c>
    </row>
    <row r="1747" spans="11:12" x14ac:dyDescent="0.4">
      <c r="K1747" s="5">
        <v>1745</v>
      </c>
      <c r="L1747" s="73">
        <v>5.1000000000000529</v>
      </c>
    </row>
    <row r="1748" spans="11:12" x14ac:dyDescent="0.4">
      <c r="K1748" s="5">
        <v>1746</v>
      </c>
      <c r="L1748" s="73">
        <v>5.3290705182007514E-14</v>
      </c>
    </row>
    <row r="1749" spans="11:12" x14ac:dyDescent="0.4">
      <c r="K1749" s="5">
        <v>1747</v>
      </c>
      <c r="L1749" s="73">
        <v>-31.799999999999947</v>
      </c>
    </row>
    <row r="1750" spans="11:12" x14ac:dyDescent="0.4">
      <c r="K1750" s="5">
        <v>1748</v>
      </c>
      <c r="L1750" s="73">
        <v>-1.4999999999999449</v>
      </c>
    </row>
    <row r="1751" spans="11:12" x14ac:dyDescent="0.4">
      <c r="K1751" s="5">
        <v>1749</v>
      </c>
      <c r="L1751" s="73">
        <v>5.5067062021407764E-14</v>
      </c>
    </row>
    <row r="1752" spans="11:12" x14ac:dyDescent="0.4">
      <c r="K1752" s="5">
        <v>1750</v>
      </c>
      <c r="L1752" s="73">
        <v>-0.79999999999994498</v>
      </c>
    </row>
    <row r="1753" spans="11:12" x14ac:dyDescent="0.4">
      <c r="K1753" s="5">
        <v>1751</v>
      </c>
      <c r="L1753" s="73">
        <v>26.900000000000055</v>
      </c>
    </row>
    <row r="1754" spans="11:12" x14ac:dyDescent="0.4">
      <c r="K1754" s="5">
        <v>1752</v>
      </c>
      <c r="L1754" s="73">
        <v>5.5067062021407764E-14</v>
      </c>
    </row>
    <row r="1755" spans="11:12" x14ac:dyDescent="0.4">
      <c r="K1755" s="5">
        <v>1753</v>
      </c>
      <c r="L1755" s="73">
        <v>72.000000000000057</v>
      </c>
    </row>
    <row r="1756" spans="11:12" x14ac:dyDescent="0.4">
      <c r="K1756" s="5">
        <v>1754</v>
      </c>
      <c r="L1756" s="73">
        <v>62.000000000000057</v>
      </c>
    </row>
    <row r="1757" spans="11:12" x14ac:dyDescent="0.4">
      <c r="K1757" s="5">
        <v>1755</v>
      </c>
      <c r="L1757" s="73">
        <v>5.8619775700208265E-14</v>
      </c>
    </row>
    <row r="1758" spans="11:12" x14ac:dyDescent="0.4">
      <c r="K1758" s="5">
        <v>1756</v>
      </c>
      <c r="L1758" s="73">
        <v>-32.699999999999946</v>
      </c>
    </row>
    <row r="1759" spans="11:12" x14ac:dyDescent="0.4">
      <c r="K1759" s="5">
        <v>1757</v>
      </c>
      <c r="L1759" s="73">
        <v>-31.099999999999945</v>
      </c>
    </row>
    <row r="1760" spans="11:12" x14ac:dyDescent="0.4">
      <c r="K1760" s="5">
        <v>1758</v>
      </c>
      <c r="L1760" s="73">
        <v>5.8619775700208265E-14</v>
      </c>
    </row>
    <row r="1761" spans="11:12" x14ac:dyDescent="0.4">
      <c r="K1761" s="5">
        <v>1759</v>
      </c>
      <c r="L1761" s="73">
        <v>-36.599999999999945</v>
      </c>
    </row>
    <row r="1762" spans="11:12" x14ac:dyDescent="0.4">
      <c r="K1762" s="5">
        <v>1760</v>
      </c>
      <c r="L1762" s="73">
        <v>-0.79999999999994564</v>
      </c>
    </row>
    <row r="1763" spans="11:12" x14ac:dyDescent="0.4">
      <c r="K1763" s="5">
        <v>1761</v>
      </c>
      <c r="L1763" s="73">
        <v>5.440092820663267E-14</v>
      </c>
    </row>
    <row r="1764" spans="11:12" x14ac:dyDescent="0.4">
      <c r="K1764" s="5">
        <v>1762</v>
      </c>
      <c r="L1764" s="73">
        <v>-29.399999999999942</v>
      </c>
    </row>
    <row r="1765" spans="11:12" x14ac:dyDescent="0.4">
      <c r="K1765" s="5">
        <v>1763</v>
      </c>
      <c r="L1765" s="73">
        <v>-37.599999999999945</v>
      </c>
    </row>
    <row r="1766" spans="11:12" x14ac:dyDescent="0.4">
      <c r="K1766" s="5">
        <v>1764</v>
      </c>
      <c r="L1766" s="73">
        <v>5.8619775700208265E-14</v>
      </c>
    </row>
    <row r="1767" spans="11:12" x14ac:dyDescent="0.4">
      <c r="K1767" s="5">
        <v>1765</v>
      </c>
      <c r="L1767" s="73">
        <v>-48.29999999999994</v>
      </c>
    </row>
    <row r="1768" spans="11:12" x14ac:dyDescent="0.4">
      <c r="K1768" s="5">
        <v>1766</v>
      </c>
      <c r="L1768" s="73">
        <v>-53.199999999999939</v>
      </c>
    </row>
    <row r="1769" spans="11:12" x14ac:dyDescent="0.4">
      <c r="K1769" s="5">
        <v>1767</v>
      </c>
      <c r="L1769" s="73">
        <v>6.5725203057809267E-14</v>
      </c>
    </row>
    <row r="1770" spans="11:12" x14ac:dyDescent="0.4">
      <c r="K1770" s="5">
        <v>1768</v>
      </c>
      <c r="L1770" s="73">
        <v>-32.799999999999933</v>
      </c>
    </row>
    <row r="1771" spans="11:12" x14ac:dyDescent="0.4">
      <c r="K1771" s="5">
        <v>1769</v>
      </c>
      <c r="L1771" s="73">
        <v>3.30000000000007</v>
      </c>
    </row>
    <row r="1772" spans="11:12" x14ac:dyDescent="0.4">
      <c r="K1772" s="5">
        <v>1770</v>
      </c>
      <c r="L1772" s="73">
        <v>7.0166095156309893E-14</v>
      </c>
    </row>
    <row r="1773" spans="11:12" x14ac:dyDescent="0.4">
      <c r="K1773" s="5">
        <v>1771</v>
      </c>
      <c r="L1773" s="73">
        <v>-1.7999999999999299</v>
      </c>
    </row>
    <row r="1774" spans="11:12" x14ac:dyDescent="0.4">
      <c r="K1774" s="5">
        <v>1772</v>
      </c>
      <c r="L1774" s="73">
        <v>-28.199999999999932</v>
      </c>
    </row>
    <row r="1775" spans="11:12" x14ac:dyDescent="0.4">
      <c r="K1775" s="5">
        <v>1773</v>
      </c>
      <c r="L1775" s="73">
        <v>6.9277916736609768E-14</v>
      </c>
    </row>
    <row r="1776" spans="11:12" x14ac:dyDescent="0.4">
      <c r="K1776" s="5">
        <v>1774</v>
      </c>
      <c r="L1776" s="73">
        <v>-56.799999999999926</v>
      </c>
    </row>
    <row r="1777" spans="11:12" x14ac:dyDescent="0.4">
      <c r="K1777" s="5">
        <v>1775</v>
      </c>
      <c r="L1777" s="73">
        <v>4.2000000000000757</v>
      </c>
    </row>
    <row r="1778" spans="11:12" x14ac:dyDescent="0.4">
      <c r="K1778" s="5">
        <v>1776</v>
      </c>
      <c r="L1778" s="73">
        <v>7.5495165674510645E-14</v>
      </c>
    </row>
    <row r="1779" spans="11:12" x14ac:dyDescent="0.4">
      <c r="K1779" s="5">
        <v>1777</v>
      </c>
      <c r="L1779" s="73">
        <v>-32.499999999999929</v>
      </c>
    </row>
    <row r="1780" spans="11:12" x14ac:dyDescent="0.4">
      <c r="K1780" s="5">
        <v>1778</v>
      </c>
      <c r="L1780" s="73">
        <v>2.9000000000000714</v>
      </c>
    </row>
    <row r="1781" spans="11:12" x14ac:dyDescent="0.4">
      <c r="K1781" s="5">
        <v>1779</v>
      </c>
      <c r="L1781" s="73">
        <v>7.1498362785860081E-14</v>
      </c>
    </row>
    <row r="1782" spans="11:12" x14ac:dyDescent="0.4">
      <c r="K1782" s="5">
        <v>1780</v>
      </c>
      <c r="L1782" s="73">
        <v>-12.699999999999928</v>
      </c>
    </row>
    <row r="1783" spans="11:12" x14ac:dyDescent="0.4">
      <c r="K1783" s="5">
        <v>1781</v>
      </c>
      <c r="L1783" s="73">
        <v>42.800000000000068</v>
      </c>
    </row>
    <row r="1784" spans="11:12" x14ac:dyDescent="0.4">
      <c r="K1784" s="5">
        <v>1782</v>
      </c>
      <c r="L1784" s="73">
        <v>7.2830630415410269E-14</v>
      </c>
    </row>
    <row r="1785" spans="11:12" x14ac:dyDescent="0.4">
      <c r="K1785" s="5">
        <v>1783</v>
      </c>
      <c r="L1785" s="73">
        <v>-43.09999999999993</v>
      </c>
    </row>
    <row r="1786" spans="11:12" x14ac:dyDescent="0.4">
      <c r="K1786" s="5">
        <v>1784</v>
      </c>
      <c r="L1786" s="73">
        <v>-9.7999999999999314</v>
      </c>
    </row>
    <row r="1787" spans="11:12" x14ac:dyDescent="0.4">
      <c r="K1787" s="5">
        <v>1785</v>
      </c>
      <c r="L1787" s="73">
        <v>6.9277916736609768E-14</v>
      </c>
    </row>
    <row r="1788" spans="11:12" x14ac:dyDescent="0.4">
      <c r="K1788" s="5">
        <v>1786</v>
      </c>
      <c r="L1788" s="73">
        <v>26.500000000000071</v>
      </c>
    </row>
    <row r="1789" spans="11:12" x14ac:dyDescent="0.4">
      <c r="K1789" s="5">
        <v>1787</v>
      </c>
      <c r="L1789" s="73">
        <v>-0.29999999999993143</v>
      </c>
    </row>
    <row r="1790" spans="11:12" x14ac:dyDescent="0.4">
      <c r="K1790" s="5">
        <v>1788</v>
      </c>
      <c r="L1790" s="73">
        <v>6.8556271770603416E-14</v>
      </c>
    </row>
    <row r="1791" spans="11:12" x14ac:dyDescent="0.4">
      <c r="K1791" s="5">
        <v>1789</v>
      </c>
      <c r="L1791" s="73">
        <v>40.800000000000061</v>
      </c>
    </row>
    <row r="1792" spans="11:12" x14ac:dyDescent="0.4">
      <c r="K1792" s="5">
        <v>1790</v>
      </c>
      <c r="L1792" s="73">
        <v>34.100000000000058</v>
      </c>
    </row>
    <row r="1793" spans="11:12" x14ac:dyDescent="0.4">
      <c r="K1793" s="5">
        <v>1791</v>
      </c>
      <c r="L1793" s="73">
        <v>5.8619775700208265E-14</v>
      </c>
    </row>
    <row r="1794" spans="11:12" x14ac:dyDescent="0.4">
      <c r="K1794" s="5">
        <v>1792</v>
      </c>
      <c r="L1794" s="73">
        <v>-2.9999999999999414</v>
      </c>
    </row>
    <row r="1795" spans="11:12" x14ac:dyDescent="0.4">
      <c r="K1795" s="5">
        <v>1793</v>
      </c>
      <c r="L1795" s="73">
        <v>37.400000000000055</v>
      </c>
    </row>
    <row r="1796" spans="11:12" x14ac:dyDescent="0.4">
      <c r="K1796" s="5">
        <v>1794</v>
      </c>
      <c r="L1796" s="73">
        <v>5.8619775700208265E-14</v>
      </c>
    </row>
    <row r="1797" spans="11:12" x14ac:dyDescent="0.4">
      <c r="K1797" s="5">
        <v>1795</v>
      </c>
      <c r="L1797" s="73">
        <v>58.800000000000054</v>
      </c>
    </row>
    <row r="1798" spans="11:12" x14ac:dyDescent="0.4">
      <c r="K1798" s="5">
        <v>1796</v>
      </c>
      <c r="L1798" s="73">
        <v>0.80000000000005578</v>
      </c>
    </row>
    <row r="1799" spans="11:12" x14ac:dyDescent="0.4">
      <c r="K1799" s="5">
        <v>1797</v>
      </c>
      <c r="L1799" s="73">
        <v>5.5733195836182858E-14</v>
      </c>
    </row>
    <row r="1800" spans="11:12" x14ac:dyDescent="0.4">
      <c r="K1800" s="5">
        <v>1798</v>
      </c>
      <c r="L1800" s="73">
        <v>8.6000000000000547</v>
      </c>
    </row>
    <row r="1801" spans="11:12" x14ac:dyDescent="0.4">
      <c r="K1801" s="5">
        <v>1799</v>
      </c>
      <c r="L1801" s="73">
        <v>56.100000000000051</v>
      </c>
    </row>
    <row r="1802" spans="11:12" x14ac:dyDescent="0.4">
      <c r="K1802" s="5">
        <v>1800</v>
      </c>
      <c r="L1802" s="73">
        <v>5.1514348342607263E-14</v>
      </c>
    </row>
    <row r="1803" spans="11:12" x14ac:dyDescent="0.4">
      <c r="K1803" s="5">
        <v>1801</v>
      </c>
      <c r="L1803" s="73">
        <v>-35.699999999999953</v>
      </c>
    </row>
    <row r="1804" spans="11:12" x14ac:dyDescent="0.4">
      <c r="K1804" s="5">
        <v>1802</v>
      </c>
      <c r="L1804" s="73">
        <v>-37.599999999999952</v>
      </c>
    </row>
    <row r="1805" spans="11:12" x14ac:dyDescent="0.4">
      <c r="K1805" s="5">
        <v>1803</v>
      </c>
      <c r="L1805" s="73">
        <v>5.1514348342607263E-14</v>
      </c>
    </row>
    <row r="1806" spans="11:12" x14ac:dyDescent="0.4">
      <c r="K1806" s="5">
        <v>1804</v>
      </c>
      <c r="L1806" s="73">
        <v>5.2000000000000517</v>
      </c>
    </row>
    <row r="1807" spans="11:12" x14ac:dyDescent="0.4">
      <c r="K1807" s="5">
        <v>1805</v>
      </c>
      <c r="L1807" s="73">
        <v>59.600000000000051</v>
      </c>
    </row>
    <row r="1808" spans="11:12" x14ac:dyDescent="0.4">
      <c r="K1808" s="5">
        <v>1806</v>
      </c>
      <c r="L1808" s="73">
        <v>5.1514348342607263E-14</v>
      </c>
    </row>
    <row r="1809" spans="11:12" x14ac:dyDescent="0.4">
      <c r="K1809" s="5">
        <v>1807</v>
      </c>
      <c r="L1809" s="73">
        <v>29.600000000000051</v>
      </c>
    </row>
    <row r="1810" spans="11:12" x14ac:dyDescent="0.4">
      <c r="K1810" s="5">
        <v>1808</v>
      </c>
      <c r="L1810" s="73">
        <v>32.400000000000048</v>
      </c>
    </row>
    <row r="1811" spans="11:12" x14ac:dyDescent="0.4">
      <c r="K1811" s="5">
        <v>1809</v>
      </c>
      <c r="L1811" s="73">
        <v>5.1514348342607263E-14</v>
      </c>
    </row>
    <row r="1812" spans="11:12" x14ac:dyDescent="0.4">
      <c r="K1812" s="5">
        <v>1810</v>
      </c>
      <c r="L1812" s="73">
        <v>44.50000000000005</v>
      </c>
    </row>
    <row r="1813" spans="11:12" x14ac:dyDescent="0.4">
      <c r="K1813" s="5">
        <v>1811</v>
      </c>
      <c r="L1813" s="73">
        <v>41.400000000000048</v>
      </c>
    </row>
    <row r="1814" spans="11:12" x14ac:dyDescent="0.4">
      <c r="K1814" s="5">
        <v>1812</v>
      </c>
      <c r="L1814" s="73">
        <v>5.1514348342607263E-14</v>
      </c>
    </row>
    <row r="1815" spans="11:12" x14ac:dyDescent="0.4">
      <c r="K1815" s="5">
        <v>1813</v>
      </c>
      <c r="L1815" s="73">
        <v>7.0000000000000515</v>
      </c>
    </row>
    <row r="1816" spans="11:12" x14ac:dyDescent="0.4">
      <c r="K1816" s="5">
        <v>1814</v>
      </c>
      <c r="L1816" s="73">
        <v>-27.49999999999995</v>
      </c>
    </row>
    <row r="1817" spans="11:12" x14ac:dyDescent="0.4">
      <c r="K1817" s="5">
        <v>1815</v>
      </c>
      <c r="L1817" s="73">
        <v>5.1514348342607263E-14</v>
      </c>
    </row>
    <row r="1818" spans="11:12" x14ac:dyDescent="0.4">
      <c r="K1818" s="5">
        <v>1816</v>
      </c>
      <c r="L1818" s="73">
        <v>-4.5999999999999481</v>
      </c>
    </row>
    <row r="1819" spans="11:12" x14ac:dyDescent="0.4">
      <c r="K1819" s="5">
        <v>1817</v>
      </c>
      <c r="L1819" s="73">
        <v>46.50000000000005</v>
      </c>
    </row>
    <row r="1820" spans="11:12" x14ac:dyDescent="0.4">
      <c r="K1820" s="5">
        <v>1818</v>
      </c>
      <c r="L1820" s="73">
        <v>5.1514348342607263E-14</v>
      </c>
    </row>
    <row r="1821" spans="11:12" x14ac:dyDescent="0.4">
      <c r="K1821" s="5">
        <v>1819</v>
      </c>
      <c r="L1821" s="73">
        <v>-29.099999999999952</v>
      </c>
    </row>
    <row r="1822" spans="11:12" x14ac:dyDescent="0.4">
      <c r="K1822" s="5">
        <v>1820</v>
      </c>
      <c r="L1822" s="73">
        <v>-36.49999999999995</v>
      </c>
    </row>
    <row r="1823" spans="11:12" x14ac:dyDescent="0.4">
      <c r="K1823" s="5">
        <v>1821</v>
      </c>
      <c r="L1823" s="73">
        <v>5.1514348342607263E-14</v>
      </c>
    </row>
    <row r="1824" spans="11:12" x14ac:dyDescent="0.4">
      <c r="K1824" s="5">
        <v>1822</v>
      </c>
      <c r="L1824" s="73">
        <v>42.50000000000005</v>
      </c>
    </row>
    <row r="1825" spans="11:12" x14ac:dyDescent="0.4">
      <c r="K1825" s="5">
        <v>1823</v>
      </c>
      <c r="L1825" s="73">
        <v>34.600000000000051</v>
      </c>
    </row>
    <row r="1826" spans="11:12" x14ac:dyDescent="0.4">
      <c r="K1826" s="5">
        <v>1824</v>
      </c>
      <c r="L1826" s="73">
        <v>5.1514348342607263E-14</v>
      </c>
    </row>
    <row r="1827" spans="11:12" x14ac:dyDescent="0.4">
      <c r="K1827" s="5">
        <v>1825</v>
      </c>
      <c r="L1827" s="73">
        <v>-46.099999999999952</v>
      </c>
    </row>
    <row r="1828" spans="11:12" x14ac:dyDescent="0.4">
      <c r="K1828" s="5">
        <v>1826</v>
      </c>
      <c r="L1828" s="73">
        <v>-11.59999999999995</v>
      </c>
    </row>
    <row r="1829" spans="11:12" x14ac:dyDescent="0.4">
      <c r="K1829" s="5">
        <v>1827</v>
      </c>
      <c r="L1829" s="73">
        <v>4.9737991503207013E-14</v>
      </c>
    </row>
    <row r="1830" spans="11:12" x14ac:dyDescent="0.4">
      <c r="K1830" s="5">
        <v>1828</v>
      </c>
      <c r="L1830" s="73">
        <v>-53.99999999999995</v>
      </c>
    </row>
    <row r="1831" spans="11:12" x14ac:dyDescent="0.4">
      <c r="K1831" s="5">
        <v>1829</v>
      </c>
      <c r="L1831" s="73">
        <v>-67.299999999999955</v>
      </c>
    </row>
    <row r="1832" spans="11:12" x14ac:dyDescent="0.4">
      <c r="K1832" s="5">
        <v>1830</v>
      </c>
      <c r="L1832" s="73">
        <v>4.4408920985006262E-14</v>
      </c>
    </row>
    <row r="1833" spans="11:12" x14ac:dyDescent="0.4">
      <c r="K1833" s="5">
        <v>1831</v>
      </c>
      <c r="L1833" s="73">
        <v>-33.999999999999957</v>
      </c>
    </row>
    <row r="1834" spans="11:12" x14ac:dyDescent="0.4">
      <c r="K1834" s="5">
        <v>1832</v>
      </c>
      <c r="L1834" s="73">
        <v>-32.19999999999996</v>
      </c>
    </row>
    <row r="1835" spans="11:12" x14ac:dyDescent="0.4">
      <c r="K1835" s="5">
        <v>1833</v>
      </c>
      <c r="L1835" s="73">
        <v>4.4408920985006262E-14</v>
      </c>
    </row>
    <row r="1836" spans="11:12" x14ac:dyDescent="0.4">
      <c r="K1836" s="5">
        <v>1834</v>
      </c>
      <c r="L1836" s="73">
        <v>48.000000000000043</v>
      </c>
    </row>
    <row r="1837" spans="11:12" x14ac:dyDescent="0.4">
      <c r="K1837" s="5">
        <v>1835</v>
      </c>
      <c r="L1837" s="73">
        <v>44.30000000000004</v>
      </c>
    </row>
    <row r="1838" spans="11:12" x14ac:dyDescent="0.4">
      <c r="K1838" s="5">
        <v>1836</v>
      </c>
      <c r="L1838" s="73">
        <v>4.4408920985006262E-14</v>
      </c>
    </row>
    <row r="1839" spans="11:12" x14ac:dyDescent="0.4">
      <c r="K1839" s="5">
        <v>1837</v>
      </c>
      <c r="L1839" s="73">
        <v>55.100000000000044</v>
      </c>
    </row>
    <row r="1840" spans="11:12" x14ac:dyDescent="0.4">
      <c r="K1840" s="5">
        <v>1838</v>
      </c>
      <c r="L1840" s="73">
        <v>51.100000000000044</v>
      </c>
    </row>
    <row r="1841" spans="11:12" x14ac:dyDescent="0.4">
      <c r="K1841" s="5">
        <v>1839</v>
      </c>
      <c r="L1841" s="73">
        <v>4.4408920985006262E-14</v>
      </c>
    </row>
    <row r="1842" spans="11:12" x14ac:dyDescent="0.4">
      <c r="K1842" s="5">
        <v>1840</v>
      </c>
      <c r="L1842" s="73">
        <v>-16.599999999999959</v>
      </c>
    </row>
    <row r="1843" spans="11:12" x14ac:dyDescent="0.4">
      <c r="K1843" s="5">
        <v>1841</v>
      </c>
      <c r="L1843" s="73">
        <v>58.600000000000044</v>
      </c>
    </row>
    <row r="1844" spans="11:12" x14ac:dyDescent="0.4">
      <c r="K1844" s="5">
        <v>1842</v>
      </c>
      <c r="L1844" s="73">
        <v>4.4408920985006262E-14</v>
      </c>
    </row>
    <row r="1845" spans="11:12" x14ac:dyDescent="0.4">
      <c r="K1845" s="5">
        <v>1843</v>
      </c>
      <c r="L1845" s="73">
        <v>-36.399999999999956</v>
      </c>
    </row>
    <row r="1846" spans="11:12" x14ac:dyDescent="0.4">
      <c r="K1846" s="5">
        <v>1844</v>
      </c>
      <c r="L1846" s="73">
        <v>-0.89999999999995417</v>
      </c>
    </row>
    <row r="1847" spans="11:12" x14ac:dyDescent="0.4">
      <c r="K1847" s="5">
        <v>1845</v>
      </c>
      <c r="L1847" s="73">
        <v>4.5852210917018965E-14</v>
      </c>
    </row>
    <row r="1848" spans="11:12" x14ac:dyDescent="0.4">
      <c r="K1848" s="5">
        <v>1846</v>
      </c>
      <c r="L1848" s="73">
        <v>61.600000000000044</v>
      </c>
    </row>
    <row r="1849" spans="11:12" x14ac:dyDescent="0.4">
      <c r="K1849" s="5">
        <v>1847</v>
      </c>
      <c r="L1849" s="73">
        <v>16.800000000000047</v>
      </c>
    </row>
    <row r="1850" spans="11:12" x14ac:dyDescent="0.4">
      <c r="K1850" s="5">
        <v>1848</v>
      </c>
      <c r="L1850" s="73">
        <v>4.7961634663806763E-14</v>
      </c>
    </row>
    <row r="1851" spans="11:12" x14ac:dyDescent="0.4">
      <c r="K1851" s="5">
        <v>1849</v>
      </c>
      <c r="L1851" s="73">
        <v>-7.1999999999999522</v>
      </c>
    </row>
    <row r="1852" spans="11:12" x14ac:dyDescent="0.4">
      <c r="K1852" s="5">
        <v>1850</v>
      </c>
      <c r="L1852" s="73">
        <v>-79.799999999999955</v>
      </c>
    </row>
    <row r="1853" spans="11:12" x14ac:dyDescent="0.4">
      <c r="K1853" s="5">
        <v>1851</v>
      </c>
      <c r="L1853" s="73">
        <v>4.4408920985006262E-14</v>
      </c>
    </row>
    <row r="1854" spans="11:12" x14ac:dyDescent="0.4">
      <c r="K1854" s="5">
        <v>1852</v>
      </c>
      <c r="L1854" s="73">
        <v>47.30000000000004</v>
      </c>
    </row>
    <row r="1855" spans="11:12" x14ac:dyDescent="0.4">
      <c r="K1855" s="5">
        <v>1853</v>
      </c>
      <c r="L1855" s="73">
        <v>-8.4999999999999556</v>
      </c>
    </row>
    <row r="1856" spans="11:12" x14ac:dyDescent="0.4">
      <c r="K1856" s="5">
        <v>1854</v>
      </c>
      <c r="L1856" s="73">
        <v>4.4408920985006262E-14</v>
      </c>
    </row>
    <row r="1857" spans="11:12" x14ac:dyDescent="0.4">
      <c r="K1857" s="5">
        <v>1855</v>
      </c>
      <c r="L1857" s="73">
        <v>61.000000000000043</v>
      </c>
    </row>
    <row r="1858" spans="11:12" x14ac:dyDescent="0.4">
      <c r="K1858" s="5">
        <v>1856</v>
      </c>
      <c r="L1858" s="73">
        <v>13.400000000000043</v>
      </c>
    </row>
    <row r="1859" spans="11:12" x14ac:dyDescent="0.4">
      <c r="K1859" s="5">
        <v>1857</v>
      </c>
      <c r="L1859" s="73">
        <v>4.2632564145606011E-14</v>
      </c>
    </row>
    <row r="1860" spans="11:12" x14ac:dyDescent="0.4">
      <c r="K1860" s="5">
        <v>1858</v>
      </c>
      <c r="L1860" s="73">
        <v>44.900000000000041</v>
      </c>
    </row>
    <row r="1861" spans="11:12" x14ac:dyDescent="0.4">
      <c r="K1861" s="5">
        <v>1859</v>
      </c>
      <c r="L1861" s="73">
        <v>-19.599999999999959</v>
      </c>
    </row>
    <row r="1862" spans="11:12" x14ac:dyDescent="0.4">
      <c r="K1862" s="5">
        <v>1860</v>
      </c>
      <c r="L1862" s="73">
        <v>4.4408920985006262E-14</v>
      </c>
    </row>
    <row r="1863" spans="11:12" x14ac:dyDescent="0.4">
      <c r="K1863" s="5">
        <v>1861</v>
      </c>
      <c r="L1863" s="73">
        <v>52.000000000000043</v>
      </c>
    </row>
    <row r="1864" spans="11:12" x14ac:dyDescent="0.4">
      <c r="K1864" s="5">
        <v>1862</v>
      </c>
      <c r="L1864" s="73">
        <v>-7.3999999999999542</v>
      </c>
    </row>
    <row r="1865" spans="11:12" x14ac:dyDescent="0.4">
      <c r="K1865" s="5">
        <v>1863</v>
      </c>
      <c r="L1865" s="73">
        <v>4.6185277824406512E-14</v>
      </c>
    </row>
    <row r="1866" spans="11:12" x14ac:dyDescent="0.4">
      <c r="K1866" s="5">
        <v>1864</v>
      </c>
      <c r="L1866" s="73">
        <v>-64.999999999999957</v>
      </c>
    </row>
    <row r="1867" spans="11:12" x14ac:dyDescent="0.4">
      <c r="K1867" s="5">
        <v>1865</v>
      </c>
      <c r="L1867" s="73">
        <v>-64.999999999999957</v>
      </c>
    </row>
    <row r="1868" spans="11:12" x14ac:dyDescent="0.4">
      <c r="K1868" s="5">
        <v>1866</v>
      </c>
      <c r="L1868" s="73">
        <v>4.4408920985006262E-14</v>
      </c>
    </row>
    <row r="1869" spans="11:12" x14ac:dyDescent="0.4">
      <c r="K1869" s="5">
        <v>1867</v>
      </c>
      <c r="L1869" s="73">
        <v>-10.799999999999956</v>
      </c>
    </row>
    <row r="1870" spans="11:12" x14ac:dyDescent="0.4">
      <c r="K1870" s="5">
        <v>1868</v>
      </c>
      <c r="L1870" s="73">
        <v>-57.599999999999952</v>
      </c>
    </row>
    <row r="1871" spans="11:12" x14ac:dyDescent="0.4">
      <c r="K1871" s="5">
        <v>1869</v>
      </c>
      <c r="L1871" s="73">
        <v>5.1514348342607263E-14</v>
      </c>
    </row>
    <row r="1872" spans="11:12" x14ac:dyDescent="0.4">
      <c r="K1872" s="5">
        <v>1870</v>
      </c>
      <c r="L1872" s="73">
        <v>-66.499999999999943</v>
      </c>
    </row>
    <row r="1873" spans="11:12" x14ac:dyDescent="0.4">
      <c r="K1873" s="5">
        <v>1871</v>
      </c>
      <c r="L1873" s="73">
        <v>-19.499999999999943</v>
      </c>
    </row>
    <row r="1874" spans="11:12" x14ac:dyDescent="0.4">
      <c r="K1874" s="5">
        <v>1872</v>
      </c>
      <c r="L1874" s="73">
        <v>5.8619775700208265E-14</v>
      </c>
    </row>
    <row r="1875" spans="11:12" x14ac:dyDescent="0.4">
      <c r="K1875" s="5">
        <v>1873</v>
      </c>
      <c r="L1875" s="73">
        <v>11.100000000000058</v>
      </c>
    </row>
    <row r="1876" spans="11:12" x14ac:dyDescent="0.4">
      <c r="K1876" s="5">
        <v>1874</v>
      </c>
      <c r="L1876" s="73">
        <v>-35.899999999999942</v>
      </c>
    </row>
    <row r="1877" spans="11:12" x14ac:dyDescent="0.4">
      <c r="K1877" s="5">
        <v>1875</v>
      </c>
      <c r="L1877" s="73">
        <v>5.8619775700208265E-14</v>
      </c>
    </row>
    <row r="1878" spans="11:12" x14ac:dyDescent="0.4">
      <c r="K1878" s="5">
        <v>1876</v>
      </c>
      <c r="L1878" s="73">
        <v>-0.19999999999994139</v>
      </c>
    </row>
    <row r="1879" spans="11:12" x14ac:dyDescent="0.4">
      <c r="K1879" s="5">
        <v>1877</v>
      </c>
      <c r="L1879" s="73">
        <v>-26.499999999999943</v>
      </c>
    </row>
    <row r="1880" spans="11:12" x14ac:dyDescent="0.4">
      <c r="K1880" s="5">
        <v>1878</v>
      </c>
      <c r="L1880" s="73">
        <v>5.8619775700208265E-14</v>
      </c>
    </row>
    <row r="1881" spans="11:12" x14ac:dyDescent="0.4">
      <c r="K1881" s="5">
        <v>1879</v>
      </c>
      <c r="L1881" s="73">
        <v>-6.9999999999999414</v>
      </c>
    </row>
    <row r="1882" spans="11:12" x14ac:dyDescent="0.4">
      <c r="K1882" s="5">
        <v>1880</v>
      </c>
      <c r="L1882" s="73">
        <v>50.500000000000057</v>
      </c>
    </row>
    <row r="1883" spans="11:12" x14ac:dyDescent="0.4">
      <c r="K1883" s="5">
        <v>1881</v>
      </c>
      <c r="L1883" s="73">
        <v>5.8619775700208265E-14</v>
      </c>
    </row>
    <row r="1884" spans="11:12" x14ac:dyDescent="0.4">
      <c r="K1884" s="5">
        <v>1882</v>
      </c>
      <c r="L1884" s="73">
        <v>-0.3999999999999414</v>
      </c>
    </row>
    <row r="1885" spans="11:12" x14ac:dyDescent="0.4">
      <c r="K1885" s="5">
        <v>1883</v>
      </c>
      <c r="L1885" s="73">
        <v>24.400000000000063</v>
      </c>
    </row>
    <row r="1886" spans="11:12" x14ac:dyDescent="0.4">
      <c r="K1886" s="5">
        <v>1884</v>
      </c>
      <c r="L1886" s="73">
        <v>6.2172489379008766E-14</v>
      </c>
    </row>
    <row r="1887" spans="11:12" x14ac:dyDescent="0.4">
      <c r="K1887" s="5">
        <v>1885</v>
      </c>
      <c r="L1887" s="73">
        <v>-47.099999999999937</v>
      </c>
    </row>
    <row r="1888" spans="11:12" x14ac:dyDescent="0.4">
      <c r="K1888" s="5">
        <v>1886</v>
      </c>
      <c r="L1888" s="73">
        <v>-64.199999999999932</v>
      </c>
    </row>
    <row r="1889" spans="11:12" x14ac:dyDescent="0.4">
      <c r="K1889" s="5">
        <v>1887</v>
      </c>
      <c r="L1889" s="73">
        <v>7.2830630415410269E-14</v>
      </c>
    </row>
    <row r="1890" spans="11:12" x14ac:dyDescent="0.4">
      <c r="K1890" s="5">
        <v>1888</v>
      </c>
      <c r="L1890" s="73">
        <v>-37.699999999999932</v>
      </c>
    </row>
    <row r="1891" spans="11:12" x14ac:dyDescent="0.4">
      <c r="K1891" s="5">
        <v>1889</v>
      </c>
      <c r="L1891" s="73">
        <v>15.30000000000007</v>
      </c>
    </row>
    <row r="1892" spans="11:12" x14ac:dyDescent="0.4">
      <c r="K1892" s="5">
        <v>1890</v>
      </c>
      <c r="L1892" s="73">
        <v>6.9277916736609768E-14</v>
      </c>
    </row>
    <row r="1893" spans="11:12" x14ac:dyDescent="0.4">
      <c r="K1893" s="5">
        <v>1891</v>
      </c>
      <c r="L1893" s="73">
        <v>40.200000000000074</v>
      </c>
    </row>
    <row r="1894" spans="11:12" x14ac:dyDescent="0.4">
      <c r="K1894" s="5">
        <v>1892</v>
      </c>
      <c r="L1894" s="73">
        <v>34.800000000000075</v>
      </c>
    </row>
    <row r="1895" spans="11:12" x14ac:dyDescent="0.4">
      <c r="K1895" s="5">
        <v>1893</v>
      </c>
      <c r="L1895" s="73">
        <v>7.9936057773011271E-14</v>
      </c>
    </row>
    <row r="1896" spans="11:12" x14ac:dyDescent="0.4">
      <c r="K1896" s="5">
        <v>1894</v>
      </c>
      <c r="L1896" s="73">
        <v>0.90000000000007996</v>
      </c>
    </row>
    <row r="1897" spans="11:12" x14ac:dyDescent="0.4">
      <c r="K1897" s="5">
        <v>1895</v>
      </c>
      <c r="L1897" s="73">
        <v>-47.499999999999922</v>
      </c>
    </row>
    <row r="1898" spans="11:12" x14ac:dyDescent="0.4">
      <c r="K1898" s="5">
        <v>1896</v>
      </c>
      <c r="L1898" s="73">
        <v>7.9936057773011271E-14</v>
      </c>
    </row>
    <row r="1899" spans="11:12" x14ac:dyDescent="0.4">
      <c r="K1899" s="5">
        <v>1897</v>
      </c>
      <c r="L1899" s="73">
        <v>-61.599999999999923</v>
      </c>
    </row>
    <row r="1900" spans="11:12" x14ac:dyDescent="0.4">
      <c r="K1900" s="5">
        <v>1898</v>
      </c>
      <c r="L1900" s="73">
        <v>-49.499999999999922</v>
      </c>
    </row>
    <row r="1901" spans="11:12" x14ac:dyDescent="0.4">
      <c r="K1901" s="5">
        <v>1899</v>
      </c>
      <c r="L1901" s="73">
        <v>7.9936057773011271E-14</v>
      </c>
    </row>
    <row r="1902" spans="11:12" x14ac:dyDescent="0.4">
      <c r="K1902" s="5">
        <v>1900</v>
      </c>
      <c r="L1902" s="73">
        <v>-43.89999999999992</v>
      </c>
    </row>
    <row r="1903" spans="11:12" x14ac:dyDescent="0.4">
      <c r="K1903" s="5">
        <v>1901</v>
      </c>
      <c r="L1903" s="73">
        <v>-34.699999999999918</v>
      </c>
    </row>
    <row r="1904" spans="11:12" x14ac:dyDescent="0.4">
      <c r="K1904" s="5">
        <v>1902</v>
      </c>
      <c r="L1904" s="73">
        <v>8.7041485130612273E-14</v>
      </c>
    </row>
    <row r="1905" spans="11:12" x14ac:dyDescent="0.4">
      <c r="K1905" s="5">
        <v>1903</v>
      </c>
      <c r="L1905" s="73">
        <v>62.700000000000088</v>
      </c>
    </row>
    <row r="1906" spans="11:12" x14ac:dyDescent="0.4">
      <c r="K1906" s="5">
        <v>1904</v>
      </c>
      <c r="L1906" s="73">
        <v>13.900000000000093</v>
      </c>
    </row>
    <row r="1907" spans="11:12" x14ac:dyDescent="0.4">
      <c r="K1907" s="5">
        <v>1905</v>
      </c>
      <c r="L1907" s="73">
        <v>9.2370555648813024E-14</v>
      </c>
    </row>
    <row r="1908" spans="11:12" x14ac:dyDescent="0.4">
      <c r="K1908" s="5">
        <v>1906</v>
      </c>
      <c r="L1908" s="73">
        <v>10.700000000000092</v>
      </c>
    </row>
    <row r="1909" spans="11:12" x14ac:dyDescent="0.4">
      <c r="K1909" s="5">
        <v>1907</v>
      </c>
      <c r="L1909" s="73">
        <v>-46.999999999999915</v>
      </c>
    </row>
    <row r="1910" spans="11:12" x14ac:dyDescent="0.4">
      <c r="K1910" s="5">
        <v>1908</v>
      </c>
      <c r="L1910" s="73">
        <v>8.7041485130612273E-14</v>
      </c>
    </row>
    <row r="1911" spans="11:12" x14ac:dyDescent="0.4">
      <c r="K1911" s="5">
        <v>1909</v>
      </c>
      <c r="L1911" s="73">
        <v>35.700000000000088</v>
      </c>
    </row>
    <row r="1912" spans="11:12" x14ac:dyDescent="0.4">
      <c r="K1912" s="5">
        <v>1910</v>
      </c>
      <c r="L1912" s="73">
        <v>-1.0999999999999073</v>
      </c>
    </row>
    <row r="1913" spans="11:12" x14ac:dyDescent="0.4">
      <c r="K1913" s="5">
        <v>1911</v>
      </c>
      <c r="L1913" s="73">
        <v>9.2814644858663087E-14</v>
      </c>
    </row>
    <row r="1914" spans="11:12" x14ac:dyDescent="0.4">
      <c r="K1914" s="5">
        <v>1912</v>
      </c>
      <c r="L1914" s="73">
        <v>27.200000000000095</v>
      </c>
    </row>
    <row r="1915" spans="11:12" x14ac:dyDescent="0.4">
      <c r="K1915" s="5">
        <v>1913</v>
      </c>
      <c r="L1915" s="73">
        <v>25.300000000000097</v>
      </c>
    </row>
    <row r="1916" spans="11:12" x14ac:dyDescent="0.4">
      <c r="K1916" s="5">
        <v>1914</v>
      </c>
      <c r="L1916" s="73">
        <v>9.4146912488213275E-14</v>
      </c>
    </row>
    <row r="1917" spans="11:12" x14ac:dyDescent="0.4">
      <c r="K1917" s="5">
        <v>1915</v>
      </c>
      <c r="L1917" s="73">
        <v>15.800000000000095</v>
      </c>
    </row>
    <row r="1918" spans="11:12" x14ac:dyDescent="0.4">
      <c r="K1918" s="5">
        <v>1916</v>
      </c>
      <c r="L1918" s="73">
        <v>56.000000000000099</v>
      </c>
    </row>
    <row r="1919" spans="11:12" x14ac:dyDescent="0.4">
      <c r="K1919" s="5">
        <v>1917</v>
      </c>
      <c r="L1919" s="73">
        <v>1.0125233984581428E-13</v>
      </c>
    </row>
    <row r="1920" spans="11:12" x14ac:dyDescent="0.4">
      <c r="K1920" s="5">
        <v>1918</v>
      </c>
      <c r="L1920" s="73">
        <v>25.200000000000102</v>
      </c>
    </row>
    <row r="1921" spans="11:12" x14ac:dyDescent="0.4">
      <c r="K1921" s="5">
        <v>1919</v>
      </c>
      <c r="L1921" s="73">
        <v>-3.5999999999999002</v>
      </c>
    </row>
    <row r="1922" spans="11:12" x14ac:dyDescent="0.4">
      <c r="K1922" s="5">
        <v>1920</v>
      </c>
      <c r="L1922" s="73">
        <v>9.9920072216264089E-14</v>
      </c>
    </row>
    <row r="1923" spans="11:12" x14ac:dyDescent="0.4">
      <c r="K1923" s="5">
        <v>1921</v>
      </c>
      <c r="L1923" s="73">
        <v>-9.2999999999999012</v>
      </c>
    </row>
    <row r="1924" spans="11:12" x14ac:dyDescent="0.4">
      <c r="K1924" s="5">
        <v>1922</v>
      </c>
      <c r="L1924" s="73">
        <v>51.900000000000098</v>
      </c>
    </row>
    <row r="1925" spans="11:12" x14ac:dyDescent="0.4">
      <c r="K1925" s="5">
        <v>1923</v>
      </c>
      <c r="L1925" s="73">
        <v>1.0125233984581428E-13</v>
      </c>
    </row>
    <row r="1926" spans="11:12" x14ac:dyDescent="0.4">
      <c r="K1926" s="5">
        <v>1924</v>
      </c>
      <c r="L1926" s="73">
        <v>3.2000000000001014</v>
      </c>
    </row>
    <row r="1927" spans="11:12" x14ac:dyDescent="0.4">
      <c r="K1927" s="5">
        <v>1925</v>
      </c>
      <c r="L1927" s="73">
        <v>-27.599999999999902</v>
      </c>
    </row>
    <row r="1928" spans="11:12" x14ac:dyDescent="0.4">
      <c r="K1928" s="5">
        <v>1926</v>
      </c>
      <c r="L1928" s="73">
        <v>1.0125233984581428E-13</v>
      </c>
    </row>
    <row r="1929" spans="11:12" x14ac:dyDescent="0.4">
      <c r="K1929" s="5">
        <v>1927</v>
      </c>
      <c r="L1929" s="73">
        <v>-2.7999999999998986</v>
      </c>
    </row>
    <row r="1930" spans="11:12" x14ac:dyDescent="0.4">
      <c r="K1930" s="5">
        <v>1928</v>
      </c>
      <c r="L1930" s="73">
        <v>38.700000000000102</v>
      </c>
    </row>
    <row r="1931" spans="11:12" x14ac:dyDescent="0.4">
      <c r="K1931" s="5">
        <v>1929</v>
      </c>
      <c r="L1931" s="73">
        <v>1.0125233984581428E-13</v>
      </c>
    </row>
    <row r="1932" spans="11:12" x14ac:dyDescent="0.4">
      <c r="K1932" s="5">
        <v>1930</v>
      </c>
      <c r="L1932" s="73">
        <v>-4.5999999999998984</v>
      </c>
    </row>
    <row r="1933" spans="11:12" x14ac:dyDescent="0.4">
      <c r="K1933" s="5">
        <v>1931</v>
      </c>
      <c r="L1933" s="73">
        <v>45.600000000000101</v>
      </c>
    </row>
    <row r="1934" spans="11:12" x14ac:dyDescent="0.4">
      <c r="K1934" s="5">
        <v>1932</v>
      </c>
      <c r="L1934" s="73">
        <v>1.0125233984581428E-13</v>
      </c>
    </row>
    <row r="1935" spans="11:12" x14ac:dyDescent="0.4">
      <c r="K1935" s="5">
        <v>1933</v>
      </c>
      <c r="L1935" s="73">
        <v>24.500000000000099</v>
      </c>
    </row>
    <row r="1936" spans="11:12" x14ac:dyDescent="0.4">
      <c r="K1936" s="5">
        <v>1934</v>
      </c>
      <c r="L1936" s="73">
        <v>-11.299999999999896</v>
      </c>
    </row>
    <row r="1937" spans="11:12" x14ac:dyDescent="0.4">
      <c r="K1937" s="5">
        <v>1935</v>
      </c>
      <c r="L1937" s="73">
        <v>1.0480505352461478E-13</v>
      </c>
    </row>
    <row r="1938" spans="11:12" x14ac:dyDescent="0.4">
      <c r="K1938" s="5">
        <v>1936</v>
      </c>
      <c r="L1938" s="73">
        <v>-37.799999999999898</v>
      </c>
    </row>
    <row r="1939" spans="11:12" x14ac:dyDescent="0.4">
      <c r="K1939" s="5">
        <v>1937</v>
      </c>
      <c r="L1939" s="73">
        <v>-46.899999999999899</v>
      </c>
    </row>
    <row r="1940" spans="11:12" x14ac:dyDescent="0.4">
      <c r="K1940" s="5">
        <v>1938</v>
      </c>
      <c r="L1940" s="73">
        <v>1.0125233984581428E-13</v>
      </c>
    </row>
    <row r="1941" spans="11:12" x14ac:dyDescent="0.4">
      <c r="K1941" s="5">
        <v>1939</v>
      </c>
      <c r="L1941" s="73">
        <v>-11.999999999999899</v>
      </c>
    </row>
    <row r="1942" spans="11:12" x14ac:dyDescent="0.4">
      <c r="K1942" s="5">
        <v>1940</v>
      </c>
      <c r="L1942" s="73">
        <v>58.200000000000102</v>
      </c>
    </row>
    <row r="1943" spans="11:12" x14ac:dyDescent="0.4">
      <c r="K1943" s="5">
        <v>1941</v>
      </c>
      <c r="L1943" s="73">
        <v>1.0125233984581428E-13</v>
      </c>
    </row>
    <row r="1944" spans="11:12" x14ac:dyDescent="0.4">
      <c r="K1944" s="5">
        <v>1942</v>
      </c>
      <c r="L1944" s="73">
        <v>-1.6999999999998987</v>
      </c>
    </row>
    <row r="1945" spans="11:12" x14ac:dyDescent="0.4">
      <c r="K1945" s="5">
        <v>1943</v>
      </c>
      <c r="L1945" s="73">
        <v>24.300000000000104</v>
      </c>
    </row>
    <row r="1946" spans="11:12" x14ac:dyDescent="0.4">
      <c r="K1946" s="5">
        <v>1944</v>
      </c>
      <c r="L1946" s="73">
        <v>1.0125233984581428E-13</v>
      </c>
    </row>
    <row r="1947" spans="11:12" x14ac:dyDescent="0.4">
      <c r="K1947" s="5">
        <v>1945</v>
      </c>
      <c r="L1947" s="73">
        <v>-28.199999999999896</v>
      </c>
    </row>
    <row r="1948" spans="11:12" x14ac:dyDescent="0.4">
      <c r="K1948" s="5">
        <v>1946</v>
      </c>
      <c r="L1948" s="73">
        <v>-20.499999999999901</v>
      </c>
    </row>
    <row r="1949" spans="11:12" x14ac:dyDescent="0.4">
      <c r="K1949" s="5">
        <v>1947</v>
      </c>
      <c r="L1949" s="73">
        <v>1.0125233984581428E-13</v>
      </c>
    </row>
    <row r="1950" spans="11:12" x14ac:dyDescent="0.4">
      <c r="K1950" s="5">
        <v>1948</v>
      </c>
      <c r="L1950" s="73">
        <v>-22.399999999999899</v>
      </c>
    </row>
    <row r="1951" spans="11:12" x14ac:dyDescent="0.4">
      <c r="K1951" s="5">
        <v>1949</v>
      </c>
      <c r="L1951" s="73">
        <v>-61.199999999999896</v>
      </c>
    </row>
    <row r="1952" spans="11:12" x14ac:dyDescent="0.4">
      <c r="K1952" s="5">
        <v>1950</v>
      </c>
      <c r="L1952" s="73">
        <v>1.0835776720341528E-13</v>
      </c>
    </row>
    <row r="1953" spans="11:12" x14ac:dyDescent="0.4">
      <c r="K1953" s="5">
        <v>1951</v>
      </c>
      <c r="L1953" s="73">
        <v>-25.099999999999895</v>
      </c>
    </row>
    <row r="1954" spans="11:12" x14ac:dyDescent="0.4">
      <c r="K1954" s="5">
        <v>1952</v>
      </c>
      <c r="L1954" s="73">
        <v>-26.799999999999891</v>
      </c>
    </row>
    <row r="1955" spans="11:12" x14ac:dyDescent="0.4">
      <c r="K1955" s="5">
        <v>1953</v>
      </c>
      <c r="L1955" s="73">
        <v>1.0835776720341528E-13</v>
      </c>
    </row>
    <row r="1956" spans="11:12" x14ac:dyDescent="0.4">
      <c r="K1956" s="5">
        <v>1954</v>
      </c>
      <c r="L1956" s="73">
        <v>15.000000000000108</v>
      </c>
    </row>
    <row r="1957" spans="11:12" x14ac:dyDescent="0.4">
      <c r="K1957" s="5">
        <v>1955</v>
      </c>
      <c r="L1957" s="73">
        <v>0.600000000000108</v>
      </c>
    </row>
    <row r="1958" spans="11:12" x14ac:dyDescent="0.4">
      <c r="K1958" s="5">
        <v>1956</v>
      </c>
      <c r="L1958" s="73">
        <v>1.0802470029602773E-13</v>
      </c>
    </row>
    <row r="1959" spans="11:12" x14ac:dyDescent="0.4">
      <c r="K1959" s="5">
        <v>1957</v>
      </c>
      <c r="L1959" s="73">
        <v>-30.199999999999889</v>
      </c>
    </row>
    <row r="1960" spans="11:12" x14ac:dyDescent="0.4">
      <c r="K1960" s="5">
        <v>1958</v>
      </c>
      <c r="L1960" s="73">
        <v>-2.3999999999998902</v>
      </c>
    </row>
    <row r="1961" spans="11:12" x14ac:dyDescent="0.4">
      <c r="K1961" s="5">
        <v>1959</v>
      </c>
      <c r="L1961" s="73">
        <v>1.0969003483296547E-13</v>
      </c>
    </row>
    <row r="1962" spans="11:12" x14ac:dyDescent="0.4">
      <c r="K1962" s="5">
        <v>1960</v>
      </c>
      <c r="L1962" s="73">
        <v>12.50000000000011</v>
      </c>
    </row>
    <row r="1963" spans="11:12" x14ac:dyDescent="0.4">
      <c r="K1963" s="5">
        <v>1961</v>
      </c>
      <c r="L1963" s="73">
        <v>47.300000000000104</v>
      </c>
    </row>
    <row r="1964" spans="11:12" x14ac:dyDescent="0.4">
      <c r="K1964" s="5">
        <v>1962</v>
      </c>
      <c r="L1964" s="73">
        <v>1.0835776720341528E-13</v>
      </c>
    </row>
    <row r="1965" spans="11:12" x14ac:dyDescent="0.4">
      <c r="K1965" s="5">
        <v>1963</v>
      </c>
      <c r="L1965" s="73">
        <v>-5.899999999999892</v>
      </c>
    </row>
    <row r="1966" spans="11:12" x14ac:dyDescent="0.4">
      <c r="K1966" s="5">
        <v>1964</v>
      </c>
      <c r="L1966" s="73">
        <v>26.900000000000105</v>
      </c>
    </row>
    <row r="1967" spans="11:12" x14ac:dyDescent="0.4">
      <c r="K1967" s="5">
        <v>1965</v>
      </c>
      <c r="L1967" s="73">
        <v>1.0835776720341528E-13</v>
      </c>
    </row>
    <row r="1968" spans="11:12" x14ac:dyDescent="0.4">
      <c r="K1968" s="5">
        <v>1966</v>
      </c>
      <c r="L1968" s="73">
        <v>17.400000000000105</v>
      </c>
    </row>
    <row r="1969" spans="11:12" x14ac:dyDescent="0.4">
      <c r="K1969" s="5">
        <v>1967</v>
      </c>
      <c r="L1969" s="73">
        <v>-5.2999999999998924</v>
      </c>
    </row>
    <row r="1970" spans="11:12" x14ac:dyDescent="0.4">
      <c r="K1970" s="5">
        <v>1968</v>
      </c>
      <c r="L1970" s="73">
        <v>1.0746958878371515E-13</v>
      </c>
    </row>
    <row r="1971" spans="11:12" x14ac:dyDescent="0.4">
      <c r="K1971" s="5">
        <v>1969</v>
      </c>
      <c r="L1971" s="73">
        <v>10.300000000000109</v>
      </c>
    </row>
    <row r="1972" spans="11:12" x14ac:dyDescent="0.4">
      <c r="K1972" s="5">
        <v>1970</v>
      </c>
      <c r="L1972" s="73">
        <v>-26.999999999999886</v>
      </c>
    </row>
    <row r="1973" spans="11:12" x14ac:dyDescent="0.4">
      <c r="K1973" s="5">
        <v>1971</v>
      </c>
      <c r="L1973" s="73">
        <v>1.1191048088221578E-13</v>
      </c>
    </row>
    <row r="1974" spans="11:12" x14ac:dyDescent="0.4">
      <c r="K1974" s="5">
        <v>1972</v>
      </c>
      <c r="L1974" s="73">
        <v>-20.899999999999885</v>
      </c>
    </row>
    <row r="1975" spans="11:12" x14ac:dyDescent="0.4">
      <c r="K1975" s="5">
        <v>1973</v>
      </c>
      <c r="L1975" s="73">
        <v>0.30000000000011262</v>
      </c>
    </row>
    <row r="1976" spans="11:12" x14ac:dyDescent="0.4">
      <c r="K1976" s="5">
        <v>1974</v>
      </c>
      <c r="L1976" s="73">
        <v>1.1263212584822213E-13</v>
      </c>
    </row>
    <row r="1977" spans="11:12" x14ac:dyDescent="0.4">
      <c r="K1977" s="5">
        <v>1975</v>
      </c>
      <c r="L1977" s="73">
        <v>2.200000000000113</v>
      </c>
    </row>
    <row r="1978" spans="11:12" x14ac:dyDescent="0.4">
      <c r="K1978" s="5">
        <v>1976</v>
      </c>
      <c r="L1978" s="73">
        <v>-21.499999999999886</v>
      </c>
    </row>
    <row r="1979" spans="11:12" x14ac:dyDescent="0.4">
      <c r="K1979" s="5">
        <v>1977</v>
      </c>
      <c r="L1979" s="73">
        <v>1.1546319456101628E-13</v>
      </c>
    </row>
    <row r="1980" spans="11:12" x14ac:dyDescent="0.4">
      <c r="K1980" s="5">
        <v>1978</v>
      </c>
      <c r="L1980" s="73">
        <v>-51.599999999999888</v>
      </c>
    </row>
    <row r="1981" spans="11:12" x14ac:dyDescent="0.4">
      <c r="K1981" s="5">
        <v>1979</v>
      </c>
      <c r="L1981" s="73">
        <v>-33.699999999999889</v>
      </c>
    </row>
    <row r="1982" spans="11:12" x14ac:dyDescent="0.4">
      <c r="K1982" s="5">
        <v>1980</v>
      </c>
      <c r="L1982" s="73">
        <v>1.1546319456101628E-13</v>
      </c>
    </row>
    <row r="1983" spans="11:12" x14ac:dyDescent="0.4">
      <c r="K1983" s="5">
        <v>1981</v>
      </c>
      <c r="L1983" s="73">
        <v>-5.8999999999998849</v>
      </c>
    </row>
    <row r="1984" spans="11:12" x14ac:dyDescent="0.4">
      <c r="K1984" s="5">
        <v>1982</v>
      </c>
      <c r="L1984" s="73">
        <v>-29.399999999999885</v>
      </c>
    </row>
    <row r="1985" spans="11:12" x14ac:dyDescent="0.4">
      <c r="K1985" s="5">
        <v>1983</v>
      </c>
      <c r="L1985" s="73">
        <v>1.1546319456101628E-13</v>
      </c>
    </row>
    <row r="1986" spans="11:12" x14ac:dyDescent="0.4">
      <c r="K1986" s="5">
        <v>1984</v>
      </c>
      <c r="L1986" s="73">
        <v>-42.999999999999886</v>
      </c>
    </row>
    <row r="1987" spans="11:12" x14ac:dyDescent="0.4">
      <c r="K1987" s="5">
        <v>1985</v>
      </c>
      <c r="L1987" s="73">
        <v>-54.199999999999889</v>
      </c>
    </row>
    <row r="1988" spans="11:12" x14ac:dyDescent="0.4">
      <c r="K1988" s="5">
        <v>1986</v>
      </c>
      <c r="L1988" s="73">
        <v>1.1546319456101628E-13</v>
      </c>
    </row>
    <row r="1989" spans="11:12" x14ac:dyDescent="0.4">
      <c r="K1989" s="5">
        <v>1987</v>
      </c>
      <c r="L1989" s="73">
        <v>7.6000000000001151</v>
      </c>
    </row>
    <row r="1990" spans="11:12" x14ac:dyDescent="0.4">
      <c r="K1990" s="5">
        <v>1988</v>
      </c>
      <c r="L1990" s="73">
        <v>-35.399999999999885</v>
      </c>
    </row>
    <row r="1991" spans="11:12" x14ac:dyDescent="0.4">
      <c r="K1991" s="5">
        <v>1989</v>
      </c>
      <c r="L1991" s="73">
        <v>1.1546319456101628E-13</v>
      </c>
    </row>
    <row r="1992" spans="11:12" x14ac:dyDescent="0.4">
      <c r="K1992" s="5">
        <v>1990</v>
      </c>
      <c r="L1992" s="73">
        <v>66.800000000000111</v>
      </c>
    </row>
    <row r="1993" spans="11:12" x14ac:dyDescent="0.4">
      <c r="K1993" s="5">
        <v>1991</v>
      </c>
      <c r="L1993" s="73">
        <v>6.7000000000001112</v>
      </c>
    </row>
    <row r="1994" spans="11:12" x14ac:dyDescent="0.4">
      <c r="K1994" s="5">
        <v>1992</v>
      </c>
      <c r="L1994" s="73">
        <v>1.1102230246251565E-13</v>
      </c>
    </row>
    <row r="1995" spans="11:12" x14ac:dyDescent="0.4">
      <c r="K1995" s="5">
        <v>1993</v>
      </c>
      <c r="L1995" s="73">
        <v>-49.499999999999893</v>
      </c>
    </row>
    <row r="1996" spans="11:12" x14ac:dyDescent="0.4">
      <c r="K1996" s="5">
        <v>1994</v>
      </c>
      <c r="L1996" s="73">
        <v>-30.799999999999891</v>
      </c>
    </row>
    <row r="1997" spans="11:12" x14ac:dyDescent="0.4">
      <c r="K1997" s="5">
        <v>1995</v>
      </c>
      <c r="L1997" s="73">
        <v>1.0835776720341528E-13</v>
      </c>
    </row>
    <row r="1998" spans="11:12" x14ac:dyDescent="0.4">
      <c r="K1998" s="5">
        <v>1996</v>
      </c>
      <c r="L1998" s="73">
        <v>66.400000000000105</v>
      </c>
    </row>
    <row r="1999" spans="11:12" x14ac:dyDescent="0.4">
      <c r="K1999" s="5">
        <v>1997</v>
      </c>
      <c r="L1999" s="73">
        <v>17.700000000000102</v>
      </c>
    </row>
    <row r="2000" spans="11:12" x14ac:dyDescent="0.4">
      <c r="K2000" s="5">
        <v>1998</v>
      </c>
      <c r="L2000" s="73">
        <v>1.0480505352461478E-13</v>
      </c>
    </row>
    <row r="2001" spans="11:12" x14ac:dyDescent="0.4">
      <c r="K2001" s="5">
        <v>1999</v>
      </c>
      <c r="L2001" s="73">
        <v>17.700000000000102</v>
      </c>
    </row>
    <row r="2002" spans="11:12" x14ac:dyDescent="0.4">
      <c r="K2002" s="5">
        <v>2000</v>
      </c>
      <c r="L2002" s="73">
        <v>-28.799999999999898</v>
      </c>
    </row>
    <row r="2003" spans="11:12" x14ac:dyDescent="0.4">
      <c r="K2003" s="5">
        <v>2001</v>
      </c>
      <c r="L2003" s="73">
        <v>1.0480505352461478E-13</v>
      </c>
    </row>
    <row r="2004" spans="11:12" x14ac:dyDescent="0.4">
      <c r="K2004" s="5">
        <v>2002</v>
      </c>
      <c r="L2004" s="73">
        <v>7.5000000000001048</v>
      </c>
    </row>
    <row r="2005" spans="11:12" x14ac:dyDescent="0.4">
      <c r="K2005" s="5">
        <v>2003</v>
      </c>
      <c r="L2005" s="73">
        <v>28.600000000000108</v>
      </c>
    </row>
    <row r="2006" spans="11:12" x14ac:dyDescent="0.4">
      <c r="K2006" s="5">
        <v>2004</v>
      </c>
      <c r="L2006" s="73">
        <v>1.0480505352461478E-13</v>
      </c>
    </row>
    <row r="2007" spans="11:12" x14ac:dyDescent="0.4">
      <c r="K2007" s="5">
        <v>2005</v>
      </c>
      <c r="L2007" s="73">
        <v>39.500000000000099</v>
      </c>
    </row>
    <row r="2008" spans="11:12" x14ac:dyDescent="0.4">
      <c r="K2008" s="5">
        <v>2006</v>
      </c>
      <c r="L2008" s="73">
        <v>-6.9999999999998987</v>
      </c>
    </row>
    <row r="2009" spans="11:12" x14ac:dyDescent="0.4">
      <c r="K2009" s="5">
        <v>2007</v>
      </c>
      <c r="L2009" s="73">
        <v>1.0125233984581428E-13</v>
      </c>
    </row>
    <row r="2010" spans="11:12" x14ac:dyDescent="0.4">
      <c r="K2010" s="5">
        <v>2008</v>
      </c>
      <c r="L2010" s="73">
        <v>-45.099999999999902</v>
      </c>
    </row>
    <row r="2011" spans="11:12" x14ac:dyDescent="0.4">
      <c r="K2011" s="5">
        <v>2009</v>
      </c>
      <c r="L2011" s="73">
        <v>-39.199999999999903</v>
      </c>
    </row>
    <row r="2012" spans="11:12" x14ac:dyDescent="0.4">
      <c r="K2012" s="5">
        <v>2010</v>
      </c>
      <c r="L2012" s="73">
        <v>1.0125233984581428E-13</v>
      </c>
    </row>
    <row r="2013" spans="11:12" x14ac:dyDescent="0.4">
      <c r="K2013" s="5">
        <v>2011</v>
      </c>
      <c r="L2013" s="73">
        <v>17.700000000000102</v>
      </c>
    </row>
    <row r="2014" spans="11:12" x14ac:dyDescent="0.4">
      <c r="K2014" s="5">
        <v>2012</v>
      </c>
      <c r="L2014" s="73">
        <v>-28.799999999999898</v>
      </c>
    </row>
    <row r="2015" spans="11:12" x14ac:dyDescent="0.4">
      <c r="K2015" s="5">
        <v>2013</v>
      </c>
      <c r="L2015" s="73">
        <v>1.0125233984581428E-13</v>
      </c>
    </row>
    <row r="2016" spans="11:12" x14ac:dyDescent="0.4">
      <c r="K2016" s="5">
        <v>2014</v>
      </c>
      <c r="L2016" s="73">
        <v>42.900000000000098</v>
      </c>
    </row>
    <row r="2017" spans="11:12" x14ac:dyDescent="0.4">
      <c r="K2017" s="5">
        <v>2015</v>
      </c>
      <c r="L2017" s="73">
        <v>-0.79999999999990301</v>
      </c>
    </row>
    <row r="2018" spans="11:12" x14ac:dyDescent="0.4">
      <c r="K2018" s="5">
        <v>2016</v>
      </c>
      <c r="L2018" s="73">
        <v>9.7033492352238682E-14</v>
      </c>
    </row>
    <row r="2019" spans="11:12" x14ac:dyDescent="0.4">
      <c r="K2019" s="5">
        <v>2017</v>
      </c>
      <c r="L2019" s="73">
        <v>-57.999999999999908</v>
      </c>
    </row>
    <row r="2020" spans="11:12" x14ac:dyDescent="0.4">
      <c r="K2020" s="5">
        <v>2018</v>
      </c>
      <c r="L2020" s="73">
        <v>9.4146912488213275E-14</v>
      </c>
    </row>
    <row r="2021" spans="11:12" x14ac:dyDescent="0.4">
      <c r="K2021" s="5">
        <v>2019</v>
      </c>
      <c r="L2021" s="73">
        <v>9.4146912488213275E-14</v>
      </c>
    </row>
    <row r="2022" spans="11:12" x14ac:dyDescent="0.4">
      <c r="K2022" s="5">
        <v>2020</v>
      </c>
      <c r="L2022" s="73">
        <v>-26.399999999999906</v>
      </c>
    </row>
    <row r="2023" spans="11:12" x14ac:dyDescent="0.4">
      <c r="K2023" s="5">
        <v>2021</v>
      </c>
      <c r="L2023" s="73">
        <v>-26.899999999999906</v>
      </c>
    </row>
    <row r="2024" spans="11:12" x14ac:dyDescent="0.4">
      <c r="K2024" s="5">
        <v>2022</v>
      </c>
      <c r="L2024" s="73">
        <v>9.4146912488213275E-14</v>
      </c>
    </row>
    <row r="2025" spans="11:12" x14ac:dyDescent="0.4">
      <c r="K2025" s="5">
        <v>2023</v>
      </c>
      <c r="L2025" s="73">
        <v>-34.899999999999906</v>
      </c>
    </row>
    <row r="2026" spans="11:12" x14ac:dyDescent="0.4">
      <c r="K2026" s="5">
        <v>2024</v>
      </c>
      <c r="L2026" s="73">
        <v>-8.0999999999999037</v>
      </c>
    </row>
    <row r="2027" spans="11:12" x14ac:dyDescent="0.4">
      <c r="K2027" s="5">
        <v>2025</v>
      </c>
      <c r="L2027" s="73">
        <v>9.5923269327613525E-14</v>
      </c>
    </row>
    <row r="2028" spans="11:12" x14ac:dyDescent="0.4">
      <c r="K2028" s="5">
        <v>2026</v>
      </c>
      <c r="L2028" s="73">
        <v>34.30000000000009</v>
      </c>
    </row>
    <row r="2029" spans="11:12" x14ac:dyDescent="0.4">
      <c r="K2029" s="5">
        <v>2027</v>
      </c>
      <c r="L2029" s="73">
        <v>31.500000000000092</v>
      </c>
    </row>
    <row r="2030" spans="11:12" x14ac:dyDescent="0.4">
      <c r="K2030" s="5">
        <v>2028</v>
      </c>
      <c r="L2030" s="73">
        <v>9.0594198809412774E-14</v>
      </c>
    </row>
    <row r="2031" spans="11:12" x14ac:dyDescent="0.4">
      <c r="K2031" s="5">
        <v>2029</v>
      </c>
      <c r="L2031" s="73">
        <v>34.500000000000085</v>
      </c>
    </row>
    <row r="2032" spans="11:12" x14ac:dyDescent="0.4">
      <c r="K2032" s="5">
        <v>2030</v>
      </c>
      <c r="L2032" s="73">
        <v>46.900000000000084</v>
      </c>
    </row>
    <row r="2033" spans="11:12" x14ac:dyDescent="0.4">
      <c r="K2033" s="5">
        <v>2031</v>
      </c>
      <c r="L2033" s="73">
        <v>8.7041485130612273E-14</v>
      </c>
    </row>
    <row r="2034" spans="11:12" x14ac:dyDescent="0.4">
      <c r="K2034" s="5">
        <v>2032</v>
      </c>
      <c r="L2034" s="73">
        <v>-49.399999999999913</v>
      </c>
    </row>
    <row r="2035" spans="11:12" x14ac:dyDescent="0.4">
      <c r="K2035" s="5">
        <v>2033</v>
      </c>
      <c r="L2035" s="73">
        <v>-17.999999999999915</v>
      </c>
    </row>
    <row r="2036" spans="11:12" x14ac:dyDescent="0.4">
      <c r="K2036" s="5">
        <v>2034</v>
      </c>
      <c r="L2036" s="73">
        <v>8.7041485130612273E-14</v>
      </c>
    </row>
    <row r="2037" spans="11:12" x14ac:dyDescent="0.4">
      <c r="K2037" s="5">
        <v>2035</v>
      </c>
      <c r="L2037" s="73">
        <v>-10.799999999999914</v>
      </c>
    </row>
    <row r="2038" spans="11:12" x14ac:dyDescent="0.4">
      <c r="K2038" s="5">
        <v>2036</v>
      </c>
      <c r="L2038" s="73">
        <v>-56.89999999999992</v>
      </c>
    </row>
    <row r="2039" spans="11:12" x14ac:dyDescent="0.4">
      <c r="K2039" s="5">
        <v>2037</v>
      </c>
      <c r="L2039" s="73">
        <v>7.9936057773011271E-14</v>
      </c>
    </row>
    <row r="2040" spans="11:12" x14ac:dyDescent="0.4">
      <c r="K2040" s="5">
        <v>2038</v>
      </c>
      <c r="L2040" s="73">
        <v>7.7000000000000801</v>
      </c>
    </row>
    <row r="2041" spans="11:12" x14ac:dyDescent="0.4">
      <c r="K2041" s="5">
        <v>2039</v>
      </c>
      <c r="L2041" s="73">
        <v>-22.699999999999918</v>
      </c>
    </row>
    <row r="2042" spans="11:12" x14ac:dyDescent="0.4">
      <c r="K2042" s="5">
        <v>2040</v>
      </c>
      <c r="L2042" s="73">
        <v>7.9936057773011271E-14</v>
      </c>
    </row>
    <row r="2043" spans="11:12" x14ac:dyDescent="0.4">
      <c r="K2043" s="5">
        <v>2041</v>
      </c>
      <c r="L2043" s="73">
        <v>2.5000000000000799</v>
      </c>
    </row>
    <row r="2044" spans="11:12" x14ac:dyDescent="0.4">
      <c r="K2044" s="5">
        <v>2042</v>
      </c>
      <c r="L2044" s="73">
        <v>24.000000000000078</v>
      </c>
    </row>
    <row r="2045" spans="11:12" x14ac:dyDescent="0.4">
      <c r="K2045" s="5">
        <v>2043</v>
      </c>
      <c r="L2045" s="73">
        <v>7.9936057773011271E-14</v>
      </c>
    </row>
    <row r="2046" spans="11:12" x14ac:dyDescent="0.4">
      <c r="K2046" s="5">
        <v>2044</v>
      </c>
      <c r="L2046" s="73">
        <v>33.10000000000008</v>
      </c>
    </row>
    <row r="2047" spans="11:12" x14ac:dyDescent="0.4">
      <c r="K2047" s="5">
        <v>2045</v>
      </c>
      <c r="L2047" s="73">
        <v>6.7000000000000828</v>
      </c>
    </row>
    <row r="2048" spans="11:12" x14ac:dyDescent="0.4">
      <c r="K2048" s="5">
        <v>2046</v>
      </c>
      <c r="L2048" s="73">
        <v>8.2600593032111647E-14</v>
      </c>
    </row>
    <row r="2049" spans="11:12" x14ac:dyDescent="0.4">
      <c r="K2049" s="5">
        <v>2047</v>
      </c>
      <c r="L2049" s="73">
        <v>-44.199999999999925</v>
      </c>
    </row>
    <row r="2050" spans="11:12" x14ac:dyDescent="0.4">
      <c r="K2050" s="5">
        <v>2048</v>
      </c>
      <c r="L2050" s="73">
        <v>-30.799999999999926</v>
      </c>
    </row>
    <row r="2051" spans="11:12" x14ac:dyDescent="0.4">
      <c r="K2051" s="5">
        <v>2049</v>
      </c>
      <c r="L2051" s="73">
        <v>7.638334409421077E-14</v>
      </c>
    </row>
    <row r="2052" spans="11:12" x14ac:dyDescent="0.4">
      <c r="K2052" s="5">
        <v>2050</v>
      </c>
      <c r="L2052" s="73">
        <v>-55.799999999999926</v>
      </c>
    </row>
    <row r="2053" spans="11:12" x14ac:dyDescent="0.4">
      <c r="K2053" s="5">
        <v>2051</v>
      </c>
      <c r="L2053" s="73">
        <v>-50.499999999999929</v>
      </c>
    </row>
    <row r="2054" spans="11:12" x14ac:dyDescent="0.4">
      <c r="K2054" s="5">
        <v>2052</v>
      </c>
      <c r="L2054" s="73">
        <v>7.2830630415410269E-14</v>
      </c>
    </row>
    <row r="2055" spans="11:12" x14ac:dyDescent="0.4">
      <c r="K2055" s="5">
        <v>2053</v>
      </c>
      <c r="L2055" s="73">
        <v>31.700000000000074</v>
      </c>
    </row>
    <row r="2056" spans="11:12" x14ac:dyDescent="0.4">
      <c r="K2056" s="5">
        <v>2054</v>
      </c>
      <c r="L2056" s="73">
        <v>-8.599999999999925</v>
      </c>
    </row>
    <row r="2057" spans="11:12" x14ac:dyDescent="0.4">
      <c r="K2057" s="5">
        <v>2055</v>
      </c>
      <c r="L2057" s="73">
        <v>7.460698725481052E-14</v>
      </c>
    </row>
    <row r="2058" spans="11:12" x14ac:dyDescent="0.4">
      <c r="K2058" s="5">
        <v>2056</v>
      </c>
      <c r="L2058" s="73">
        <v>-3.3999999999999253</v>
      </c>
    </row>
    <row r="2059" spans="11:12" x14ac:dyDescent="0.4">
      <c r="K2059" s="5">
        <v>2057</v>
      </c>
      <c r="L2059" s="73">
        <v>-24.699999999999925</v>
      </c>
    </row>
    <row r="2060" spans="11:12" x14ac:dyDescent="0.4">
      <c r="K2060" s="5">
        <v>2058</v>
      </c>
      <c r="L2060" s="73">
        <v>7.2830630415410269E-14</v>
      </c>
    </row>
    <row r="2061" spans="11:12" x14ac:dyDescent="0.4">
      <c r="K2061" s="5">
        <v>2059</v>
      </c>
      <c r="L2061" s="73">
        <v>-16.699999999999925</v>
      </c>
    </row>
    <row r="2062" spans="11:12" x14ac:dyDescent="0.4">
      <c r="K2062" s="5">
        <v>2060</v>
      </c>
      <c r="L2062" s="73">
        <v>-15.099999999999927</v>
      </c>
    </row>
    <row r="2063" spans="11:12" x14ac:dyDescent="0.4">
      <c r="K2063" s="5">
        <v>2061</v>
      </c>
      <c r="L2063" s="73">
        <v>7.2830630415410269E-14</v>
      </c>
    </row>
    <row r="2064" spans="11:12" x14ac:dyDescent="0.4">
      <c r="K2064" s="5">
        <v>2062</v>
      </c>
      <c r="L2064" s="73">
        <v>-2.799999999999927</v>
      </c>
    </row>
    <row r="2065" spans="11:12" x14ac:dyDescent="0.4">
      <c r="K2065" s="5">
        <v>2063</v>
      </c>
      <c r="L2065" s="73">
        <v>14.100000000000071</v>
      </c>
    </row>
    <row r="2066" spans="11:12" x14ac:dyDescent="0.4">
      <c r="K2066" s="5">
        <v>2064</v>
      </c>
      <c r="L2066" s="73">
        <v>7.1054273576010019E-14</v>
      </c>
    </row>
    <row r="2067" spans="11:12" x14ac:dyDescent="0.4">
      <c r="K2067" s="5">
        <v>2065</v>
      </c>
      <c r="L2067" s="73">
        <v>-43.799999999999926</v>
      </c>
    </row>
    <row r="2068" spans="11:12" x14ac:dyDescent="0.4">
      <c r="K2068" s="5">
        <v>2066</v>
      </c>
      <c r="L2068" s="73">
        <v>6.2000000000000757</v>
      </c>
    </row>
    <row r="2069" spans="11:12" x14ac:dyDescent="0.4">
      <c r="K2069" s="5">
        <v>2067</v>
      </c>
      <c r="L2069" s="73">
        <v>7.5495165674510645E-14</v>
      </c>
    </row>
    <row r="2070" spans="11:12" x14ac:dyDescent="0.4">
      <c r="K2070" s="5">
        <v>2068</v>
      </c>
      <c r="L2070" s="73">
        <v>-35.299999999999926</v>
      </c>
    </row>
    <row r="2071" spans="11:12" x14ac:dyDescent="0.4">
      <c r="K2071" s="5">
        <v>2069</v>
      </c>
      <c r="L2071" s="73">
        <v>7.3000000000000771</v>
      </c>
    </row>
    <row r="2072" spans="11:12" x14ac:dyDescent="0.4">
      <c r="K2072" s="5">
        <v>2070</v>
      </c>
      <c r="L2072" s="73">
        <v>7.7271522513910895E-14</v>
      </c>
    </row>
    <row r="2073" spans="11:12" x14ac:dyDescent="0.4">
      <c r="K2073" s="5">
        <v>2071</v>
      </c>
      <c r="L2073" s="73">
        <v>60.10000000000008</v>
      </c>
    </row>
    <row r="2074" spans="11:12" x14ac:dyDescent="0.4">
      <c r="K2074" s="5">
        <v>2072</v>
      </c>
      <c r="L2074" s="73">
        <v>50.400000000000077</v>
      </c>
    </row>
    <row r="2075" spans="11:12" x14ac:dyDescent="0.4">
      <c r="K2075" s="5">
        <v>2073</v>
      </c>
      <c r="L2075" s="73">
        <v>7.9936057773011271E-14</v>
      </c>
    </row>
    <row r="2076" spans="11:12" x14ac:dyDescent="0.4">
      <c r="K2076" s="5">
        <v>2074</v>
      </c>
      <c r="L2076" s="73">
        <v>-53.099999999999923</v>
      </c>
    </row>
    <row r="2077" spans="11:12" x14ac:dyDescent="0.4">
      <c r="K2077" s="5">
        <v>2075</v>
      </c>
      <c r="L2077" s="73">
        <v>-53.199999999999925</v>
      </c>
    </row>
    <row r="2078" spans="11:12" x14ac:dyDescent="0.4">
      <c r="K2078" s="5">
        <v>2076</v>
      </c>
      <c r="L2078" s="73">
        <v>7.9936057773011271E-14</v>
      </c>
    </row>
    <row r="2079" spans="11:12" x14ac:dyDescent="0.4">
      <c r="K2079" s="5">
        <v>2077</v>
      </c>
      <c r="L2079" s="73">
        <v>-21.89999999999992</v>
      </c>
    </row>
    <row r="2080" spans="11:12" x14ac:dyDescent="0.4">
      <c r="K2080" s="5">
        <v>2078</v>
      </c>
      <c r="L2080" s="73">
        <v>8.0000000000000799</v>
      </c>
    </row>
    <row r="2081" spans="11:12" x14ac:dyDescent="0.4">
      <c r="K2081" s="5">
        <v>2079</v>
      </c>
      <c r="L2081" s="73">
        <v>7.9936057773011271E-14</v>
      </c>
    </row>
    <row r="2082" spans="11:12" x14ac:dyDescent="0.4">
      <c r="K2082" s="5">
        <v>2080</v>
      </c>
      <c r="L2082" s="73">
        <v>45.900000000000077</v>
      </c>
    </row>
    <row r="2083" spans="11:12" x14ac:dyDescent="0.4">
      <c r="K2083" s="5">
        <v>2081</v>
      </c>
      <c r="L2083" s="73">
        <v>45.700000000000074</v>
      </c>
    </row>
    <row r="2084" spans="11:12" x14ac:dyDescent="0.4">
      <c r="K2084" s="5">
        <v>2082</v>
      </c>
      <c r="L2084" s="73">
        <v>7.2830630415410269E-14</v>
      </c>
    </row>
    <row r="2085" spans="11:12" x14ac:dyDescent="0.4">
      <c r="K2085" s="5">
        <v>2083</v>
      </c>
      <c r="L2085" s="73">
        <v>-27.09999999999993</v>
      </c>
    </row>
    <row r="2086" spans="11:12" x14ac:dyDescent="0.4">
      <c r="K2086" s="5">
        <v>2084</v>
      </c>
      <c r="L2086" s="73">
        <v>-5.7999999999999279</v>
      </c>
    </row>
    <row r="2087" spans="11:12" x14ac:dyDescent="0.4">
      <c r="K2087" s="5">
        <v>2085</v>
      </c>
      <c r="L2087" s="73">
        <v>7.1942451995710144E-14</v>
      </c>
    </row>
    <row r="2088" spans="11:12" x14ac:dyDescent="0.4">
      <c r="K2088" s="5">
        <v>2086</v>
      </c>
      <c r="L2088" s="73">
        <v>11.400000000000071</v>
      </c>
    </row>
    <row r="2089" spans="11:12" x14ac:dyDescent="0.4">
      <c r="K2089" s="5">
        <v>2087</v>
      </c>
      <c r="L2089" s="73">
        <v>-25.299999999999933</v>
      </c>
    </row>
    <row r="2090" spans="11:12" x14ac:dyDescent="0.4">
      <c r="K2090" s="5">
        <v>2088</v>
      </c>
      <c r="L2090" s="73">
        <v>6.9277916736609768E-14</v>
      </c>
    </row>
    <row r="2091" spans="11:12" x14ac:dyDescent="0.4">
      <c r="K2091" s="5">
        <v>2089</v>
      </c>
      <c r="L2091" s="73">
        <v>22.000000000000071</v>
      </c>
    </row>
    <row r="2092" spans="11:12" x14ac:dyDescent="0.4">
      <c r="K2092" s="5">
        <v>2090</v>
      </c>
      <c r="L2092" s="73">
        <v>16.600000000000065</v>
      </c>
    </row>
    <row r="2093" spans="11:12" x14ac:dyDescent="0.4">
      <c r="K2093" s="5">
        <v>2091</v>
      </c>
      <c r="L2093" s="73">
        <v>6.5725203057809267E-14</v>
      </c>
    </row>
    <row r="2094" spans="11:12" x14ac:dyDescent="0.4">
      <c r="K2094" s="5">
        <v>2092</v>
      </c>
      <c r="L2094" s="73">
        <v>40.400000000000063</v>
      </c>
    </row>
    <row r="2095" spans="11:12" x14ac:dyDescent="0.4">
      <c r="K2095" s="5">
        <v>2093</v>
      </c>
      <c r="L2095" s="73">
        <v>45.800000000000061</v>
      </c>
    </row>
    <row r="2096" spans="11:12" x14ac:dyDescent="0.4">
      <c r="K2096" s="5">
        <v>2094</v>
      </c>
      <c r="L2096" s="73">
        <v>6.5725203057809267E-14</v>
      </c>
    </row>
    <row r="2097" spans="11:12" x14ac:dyDescent="0.4">
      <c r="K2097" s="5">
        <v>2095</v>
      </c>
      <c r="L2097" s="73">
        <v>-32.599999999999937</v>
      </c>
    </row>
    <row r="2098" spans="11:12" x14ac:dyDescent="0.4">
      <c r="K2098" s="5">
        <v>2096</v>
      </c>
      <c r="L2098" s="73">
        <v>-47.899999999999935</v>
      </c>
    </row>
    <row r="2099" spans="11:12" x14ac:dyDescent="0.4">
      <c r="K2099" s="5">
        <v>2097</v>
      </c>
      <c r="L2099" s="73">
        <v>6.5725203057809267E-14</v>
      </c>
    </row>
    <row r="2100" spans="11:12" x14ac:dyDescent="0.4">
      <c r="K2100" s="5">
        <v>2098</v>
      </c>
      <c r="L2100" s="73">
        <v>2.0000000000000657</v>
      </c>
    </row>
    <row r="2101" spans="11:12" x14ac:dyDescent="0.4">
      <c r="K2101" s="5">
        <v>2099</v>
      </c>
      <c r="L2101" s="73">
        <v>15.000000000000066</v>
      </c>
    </row>
    <row r="2102" spans="11:12" x14ac:dyDescent="0.4">
      <c r="K2102" s="5">
        <v>2100</v>
      </c>
      <c r="L2102" s="73">
        <v>6.5725203057809267E-14</v>
      </c>
    </row>
    <row r="2103" spans="11:12" x14ac:dyDescent="0.4">
      <c r="K2103" s="5">
        <v>2101</v>
      </c>
      <c r="L2103" s="73">
        <v>-0.49999999999993427</v>
      </c>
    </row>
    <row r="2104" spans="11:12" x14ac:dyDescent="0.4">
      <c r="K2104" s="5">
        <v>2102</v>
      </c>
      <c r="L2104" s="73">
        <v>34.900000000000063</v>
      </c>
    </row>
    <row r="2105" spans="11:12" x14ac:dyDescent="0.4">
      <c r="K2105" s="5">
        <v>2103</v>
      </c>
      <c r="L2105" s="73">
        <v>6.5725203057809267E-14</v>
      </c>
    </row>
    <row r="2106" spans="11:12" x14ac:dyDescent="0.4">
      <c r="K2106" s="5">
        <v>2104</v>
      </c>
      <c r="L2106" s="73">
        <v>4.9000000000000661</v>
      </c>
    </row>
    <row r="2107" spans="11:12" x14ac:dyDescent="0.4">
      <c r="K2107" s="5">
        <v>2105</v>
      </c>
      <c r="L2107" s="73">
        <v>49.20000000000006</v>
      </c>
    </row>
    <row r="2108" spans="11:12" x14ac:dyDescent="0.4">
      <c r="K2108" s="5">
        <v>2106</v>
      </c>
      <c r="L2108" s="73">
        <v>5.8619775700208265E-14</v>
      </c>
    </row>
    <row r="2109" spans="11:12" x14ac:dyDescent="0.4">
      <c r="K2109" s="5">
        <v>2107</v>
      </c>
      <c r="L2109" s="73">
        <v>-31.29999999999994</v>
      </c>
    </row>
    <row r="2110" spans="11:12" x14ac:dyDescent="0.4">
      <c r="K2110" s="5">
        <v>2108</v>
      </c>
      <c r="L2110" s="73">
        <v>-25.29999999999994</v>
      </c>
    </row>
    <row r="2111" spans="11:12" x14ac:dyDescent="0.4">
      <c r="K2111" s="5">
        <v>2109</v>
      </c>
      <c r="L2111" s="73">
        <v>5.8619775700208265E-14</v>
      </c>
    </row>
    <row r="2112" spans="11:12" x14ac:dyDescent="0.4">
      <c r="K2112" s="5">
        <v>2110</v>
      </c>
      <c r="L2112" s="73">
        <v>-23.899999999999942</v>
      </c>
    </row>
    <row r="2113" spans="11:12" x14ac:dyDescent="0.4">
      <c r="K2113" s="5">
        <v>2111</v>
      </c>
      <c r="L2113" s="73">
        <v>-21.999999999999943</v>
      </c>
    </row>
    <row r="2114" spans="11:12" x14ac:dyDescent="0.4">
      <c r="K2114" s="5">
        <v>2112</v>
      </c>
      <c r="L2114" s="73">
        <v>5.8619775700208265E-14</v>
      </c>
    </row>
    <row r="2115" spans="11:12" x14ac:dyDescent="0.4">
      <c r="K2115" s="5">
        <v>2113</v>
      </c>
      <c r="L2115" s="73">
        <v>-1.8999999999999413</v>
      </c>
    </row>
    <row r="2116" spans="11:12" x14ac:dyDescent="0.4">
      <c r="K2116" s="5">
        <v>2114</v>
      </c>
      <c r="L2116" s="73">
        <v>36.800000000000061</v>
      </c>
    </row>
    <row r="2117" spans="11:12" x14ac:dyDescent="0.4">
      <c r="K2117" s="5">
        <v>2115</v>
      </c>
      <c r="L2117" s="73">
        <v>6.5725203057809267E-14</v>
      </c>
    </row>
    <row r="2118" spans="11:12" x14ac:dyDescent="0.4">
      <c r="K2118" s="5">
        <v>2116</v>
      </c>
      <c r="L2118" s="73">
        <v>-40.699999999999939</v>
      </c>
    </row>
    <row r="2119" spans="11:12" x14ac:dyDescent="0.4">
      <c r="K2119" s="5">
        <v>2117</v>
      </c>
      <c r="L2119" s="73">
        <v>-33.399999999999942</v>
      </c>
    </row>
    <row r="2120" spans="11:12" x14ac:dyDescent="0.4">
      <c r="K2120" s="5">
        <v>2118</v>
      </c>
      <c r="L2120" s="73">
        <v>5.8619775700208265E-14</v>
      </c>
    </row>
    <row r="2121" spans="11:12" x14ac:dyDescent="0.4">
      <c r="K2121" s="5">
        <v>2119</v>
      </c>
      <c r="L2121" s="73">
        <v>-30.499999999999943</v>
      </c>
    </row>
    <row r="2122" spans="11:12" x14ac:dyDescent="0.4">
      <c r="K2122" s="5">
        <v>2120</v>
      </c>
      <c r="L2122" s="73">
        <v>0.30000000000005933</v>
      </c>
    </row>
    <row r="2123" spans="11:12" x14ac:dyDescent="0.4">
      <c r="K2123" s="5">
        <v>2121</v>
      </c>
      <c r="L2123" s="73">
        <v>5.9341420666214617E-14</v>
      </c>
    </row>
    <row r="2124" spans="11:12" x14ac:dyDescent="0.4">
      <c r="K2124" s="5">
        <v>2122</v>
      </c>
      <c r="L2124" s="73">
        <v>52.100000000000058</v>
      </c>
    </row>
    <row r="2125" spans="11:12" x14ac:dyDescent="0.4">
      <c r="K2125" s="5">
        <v>2123</v>
      </c>
      <c r="L2125" s="73">
        <v>49.300000000000061</v>
      </c>
    </row>
    <row r="2126" spans="11:12" x14ac:dyDescent="0.4">
      <c r="K2126" s="5">
        <v>2124</v>
      </c>
      <c r="L2126" s="73">
        <v>6.5725203057809267E-14</v>
      </c>
    </row>
    <row r="2127" spans="11:12" x14ac:dyDescent="0.4">
      <c r="K2127" s="5">
        <v>2125</v>
      </c>
      <c r="L2127" s="73">
        <v>-5.5999999999999339</v>
      </c>
    </row>
    <row r="2128" spans="11:12" x14ac:dyDescent="0.4">
      <c r="K2128" s="5">
        <v>2126</v>
      </c>
      <c r="L2128" s="73">
        <v>-28.199999999999939</v>
      </c>
    </row>
    <row r="2129" spans="11:12" x14ac:dyDescent="0.4">
      <c r="K2129" s="5">
        <v>2127</v>
      </c>
      <c r="L2129" s="73">
        <v>6.2172489379008766E-14</v>
      </c>
    </row>
    <row r="2130" spans="11:12" x14ac:dyDescent="0.4">
      <c r="K2130" s="5">
        <v>2128</v>
      </c>
      <c r="L2130" s="73">
        <v>-21.999999999999936</v>
      </c>
    </row>
    <row r="2131" spans="11:12" x14ac:dyDescent="0.4">
      <c r="K2131" s="5">
        <v>2129</v>
      </c>
      <c r="L2131" s="73">
        <v>-20.899999999999935</v>
      </c>
    </row>
    <row r="2132" spans="11:12" x14ac:dyDescent="0.4">
      <c r="K2132" s="5">
        <v>2130</v>
      </c>
      <c r="L2132" s="73">
        <v>6.2172489379008766E-14</v>
      </c>
    </row>
    <row r="2133" spans="11:12" x14ac:dyDescent="0.4">
      <c r="K2133" s="5">
        <v>2131</v>
      </c>
      <c r="L2133" s="73">
        <v>-0.99999999999993783</v>
      </c>
    </row>
    <row r="2134" spans="11:12" x14ac:dyDescent="0.4">
      <c r="K2134" s="5">
        <v>2132</v>
      </c>
      <c r="L2134" s="73">
        <v>18.400000000000063</v>
      </c>
    </row>
    <row r="2135" spans="11:12" x14ac:dyDescent="0.4">
      <c r="K2135" s="5">
        <v>2133</v>
      </c>
      <c r="L2135" s="73">
        <v>6.2172489379008766E-14</v>
      </c>
    </row>
    <row r="2136" spans="11:12" x14ac:dyDescent="0.4">
      <c r="K2136" s="5">
        <v>2134</v>
      </c>
      <c r="L2136" s="73">
        <v>-47.199999999999946</v>
      </c>
    </row>
    <row r="2137" spans="11:12" x14ac:dyDescent="0.4">
      <c r="K2137" s="5">
        <v>2135</v>
      </c>
      <c r="L2137" s="73">
        <v>-56.699999999999946</v>
      </c>
    </row>
    <row r="2138" spans="11:12" x14ac:dyDescent="0.4">
      <c r="K2138" s="5">
        <v>2136</v>
      </c>
      <c r="L2138" s="73">
        <v>5.8619775700208265E-14</v>
      </c>
    </row>
    <row r="2139" spans="11:12" x14ac:dyDescent="0.4">
      <c r="K2139" s="5">
        <v>2137</v>
      </c>
      <c r="L2139" s="73">
        <v>-45.499999999999943</v>
      </c>
    </row>
    <row r="2140" spans="11:12" x14ac:dyDescent="0.4">
      <c r="K2140" s="5">
        <v>2138</v>
      </c>
      <c r="L2140" s="73">
        <v>-7.39999999999994</v>
      </c>
    </row>
    <row r="2141" spans="11:12" x14ac:dyDescent="0.4">
      <c r="K2141" s="5">
        <v>2139</v>
      </c>
      <c r="L2141" s="73">
        <v>6.0396132539608516E-14</v>
      </c>
    </row>
    <row r="2142" spans="11:12" x14ac:dyDescent="0.4">
      <c r="K2142" s="5">
        <v>2140</v>
      </c>
      <c r="L2142" s="73">
        <v>-31.79999999999994</v>
      </c>
    </row>
    <row r="2143" spans="11:12" x14ac:dyDescent="0.4">
      <c r="K2143" s="5">
        <v>2141</v>
      </c>
      <c r="L2143" s="73">
        <v>-26.29999999999994</v>
      </c>
    </row>
    <row r="2144" spans="11:12" x14ac:dyDescent="0.4">
      <c r="K2144" s="5">
        <v>2142</v>
      </c>
      <c r="L2144" s="73">
        <v>6.2172489379008766E-14</v>
      </c>
    </row>
    <row r="2145" spans="11:12" x14ac:dyDescent="0.4">
      <c r="K2145" s="5">
        <v>2143</v>
      </c>
      <c r="L2145" s="73">
        <v>23.000000000000064</v>
      </c>
    </row>
    <row r="2146" spans="11:12" x14ac:dyDescent="0.4">
      <c r="K2146" s="5">
        <v>2144</v>
      </c>
      <c r="L2146" s="73">
        <v>22.600000000000065</v>
      </c>
    </row>
    <row r="2147" spans="11:12" x14ac:dyDescent="0.4">
      <c r="K2147" s="5">
        <v>2145</v>
      </c>
      <c r="L2147" s="73">
        <v>6.2172489379008766E-14</v>
      </c>
    </row>
    <row r="2148" spans="11:12" x14ac:dyDescent="0.4">
      <c r="K2148" s="5">
        <v>2146</v>
      </c>
      <c r="L2148" s="73">
        <v>-18.699999999999939</v>
      </c>
    </row>
    <row r="2149" spans="11:12" x14ac:dyDescent="0.4">
      <c r="K2149" s="5">
        <v>2147</v>
      </c>
      <c r="L2149" s="73">
        <v>31.400000000000063</v>
      </c>
    </row>
    <row r="2150" spans="11:12" x14ac:dyDescent="0.4">
      <c r="K2150" s="5">
        <v>2148</v>
      </c>
      <c r="L2150" s="73">
        <v>6.5725203057809267E-14</v>
      </c>
    </row>
    <row r="2151" spans="11:12" x14ac:dyDescent="0.4">
      <c r="K2151" s="5">
        <v>2149</v>
      </c>
      <c r="L2151" s="73">
        <v>11.500000000000066</v>
      </c>
    </row>
    <row r="2152" spans="11:12" x14ac:dyDescent="0.4">
      <c r="K2152" s="5">
        <v>2150</v>
      </c>
      <c r="L2152" s="73">
        <v>-1.299999999999935</v>
      </c>
    </row>
    <row r="2153" spans="11:12" x14ac:dyDescent="0.4">
      <c r="K2153" s="5">
        <v>2151</v>
      </c>
      <c r="L2153" s="73">
        <v>6.5059069243034173E-14</v>
      </c>
    </row>
    <row r="2154" spans="11:12" x14ac:dyDescent="0.4">
      <c r="K2154" s="5">
        <v>2152</v>
      </c>
      <c r="L2154" s="73">
        <v>-41.099999999999937</v>
      </c>
    </row>
    <row r="2155" spans="11:12" x14ac:dyDescent="0.4">
      <c r="K2155" s="5">
        <v>2153</v>
      </c>
      <c r="L2155" s="73">
        <v>-0.99999999999993427</v>
      </c>
    </row>
    <row r="2156" spans="11:12" x14ac:dyDescent="0.4">
      <c r="K2156" s="5">
        <v>2154</v>
      </c>
      <c r="L2156" s="73">
        <v>6.5725203057809267E-14</v>
      </c>
    </row>
    <row r="2157" spans="11:12" x14ac:dyDescent="0.4">
      <c r="K2157" s="5">
        <v>2155</v>
      </c>
      <c r="L2157" s="73">
        <v>61.900000000000063</v>
      </c>
    </row>
    <row r="2158" spans="11:12" x14ac:dyDescent="0.4">
      <c r="K2158" s="5">
        <v>2156</v>
      </c>
      <c r="L2158" s="73">
        <v>16.100000000000065</v>
      </c>
    </row>
    <row r="2159" spans="11:12" x14ac:dyDescent="0.4">
      <c r="K2159" s="5">
        <v>2157</v>
      </c>
      <c r="L2159" s="73">
        <v>6.5725203057809267E-14</v>
      </c>
    </row>
    <row r="2160" spans="11:12" x14ac:dyDescent="0.4">
      <c r="K2160" s="5">
        <v>2158</v>
      </c>
      <c r="L2160" s="73">
        <v>-30.699999999999932</v>
      </c>
    </row>
    <row r="2161" spans="11:12" x14ac:dyDescent="0.4">
      <c r="K2161" s="5">
        <v>2159</v>
      </c>
      <c r="L2161" s="73">
        <v>-8.8999999999999329</v>
      </c>
    </row>
    <row r="2162" spans="11:12" x14ac:dyDescent="0.4">
      <c r="K2162" s="5">
        <v>2160</v>
      </c>
      <c r="L2162" s="73">
        <v>6.7501559897209518E-14</v>
      </c>
    </row>
    <row r="2163" spans="11:12" x14ac:dyDescent="0.4">
      <c r="K2163" s="5">
        <v>2161</v>
      </c>
      <c r="L2163" s="73">
        <v>4.6000000000000671</v>
      </c>
    </row>
    <row r="2164" spans="11:12" x14ac:dyDescent="0.4">
      <c r="K2164" s="5">
        <v>2162</v>
      </c>
      <c r="L2164" s="73">
        <v>-43.799999999999933</v>
      </c>
    </row>
    <row r="2165" spans="11:12" x14ac:dyDescent="0.4">
      <c r="K2165" s="5">
        <v>2163</v>
      </c>
      <c r="L2165" s="73">
        <v>6.5725203057809267E-14</v>
      </c>
    </row>
    <row r="2166" spans="11:12" x14ac:dyDescent="0.4">
      <c r="K2166" s="5">
        <v>2164</v>
      </c>
      <c r="L2166" s="73">
        <v>2.8000000000000655</v>
      </c>
    </row>
    <row r="2167" spans="11:12" x14ac:dyDescent="0.4">
      <c r="K2167" s="5">
        <v>2165</v>
      </c>
      <c r="L2167" s="73">
        <v>-12.899999999999933</v>
      </c>
    </row>
    <row r="2168" spans="11:12" x14ac:dyDescent="0.4">
      <c r="K2168" s="5">
        <v>2166</v>
      </c>
      <c r="L2168" s="73">
        <v>6.7501559897209518E-14</v>
      </c>
    </row>
    <row r="2169" spans="11:12" x14ac:dyDescent="0.4">
      <c r="K2169" s="5">
        <v>2167</v>
      </c>
      <c r="L2169" s="73">
        <v>46.900000000000063</v>
      </c>
    </row>
    <row r="2170" spans="11:12" x14ac:dyDescent="0.4">
      <c r="K2170" s="5">
        <v>2168</v>
      </c>
      <c r="L2170" s="73">
        <v>49.300000000000061</v>
      </c>
    </row>
    <row r="2171" spans="11:12" x14ac:dyDescent="0.4">
      <c r="K2171" s="5">
        <v>2169</v>
      </c>
      <c r="L2171" s="73">
        <v>6.5725203057809267E-14</v>
      </c>
    </row>
    <row r="2172" spans="11:12" x14ac:dyDescent="0.4">
      <c r="K2172" s="5">
        <v>2170</v>
      </c>
      <c r="L2172" s="73">
        <v>10.500000000000066</v>
      </c>
    </row>
    <row r="2173" spans="11:12" x14ac:dyDescent="0.4">
      <c r="K2173" s="5">
        <v>2171</v>
      </c>
      <c r="L2173" s="73">
        <v>37.000000000000064</v>
      </c>
    </row>
    <row r="2174" spans="11:12" x14ac:dyDescent="0.4">
      <c r="K2174" s="5">
        <v>2172</v>
      </c>
      <c r="L2174" s="73">
        <v>6.5725203057809267E-14</v>
      </c>
    </row>
    <row r="2175" spans="11:12" x14ac:dyDescent="0.4">
      <c r="K2175" s="5">
        <v>2173</v>
      </c>
      <c r="L2175" s="73">
        <v>34.100000000000065</v>
      </c>
    </row>
    <row r="2176" spans="11:12" x14ac:dyDescent="0.4">
      <c r="K2176" s="5">
        <v>2174</v>
      </c>
      <c r="L2176" s="73">
        <v>47.800000000000068</v>
      </c>
    </row>
    <row r="2177" spans="11:12" x14ac:dyDescent="0.4">
      <c r="K2177" s="5">
        <v>2175</v>
      </c>
      <c r="L2177" s="73">
        <v>7.2830630415410269E-14</v>
      </c>
    </row>
    <row r="2178" spans="11:12" x14ac:dyDescent="0.4">
      <c r="K2178" s="5">
        <v>2176</v>
      </c>
      <c r="L2178" s="73">
        <v>-47.299999999999926</v>
      </c>
    </row>
    <row r="2179" spans="11:12" x14ac:dyDescent="0.4">
      <c r="K2179" s="5">
        <v>2177</v>
      </c>
      <c r="L2179" s="73">
        <v>-42.699999999999925</v>
      </c>
    </row>
    <row r="2180" spans="11:12" x14ac:dyDescent="0.4">
      <c r="K2180" s="5">
        <v>2178</v>
      </c>
      <c r="L2180" s="73">
        <v>7.9936057773011271E-14</v>
      </c>
    </row>
    <row r="2181" spans="11:12" x14ac:dyDescent="0.4">
      <c r="K2181" s="5">
        <v>2179</v>
      </c>
      <c r="L2181" s="73">
        <v>-32.299999999999919</v>
      </c>
    </row>
    <row r="2182" spans="11:12" x14ac:dyDescent="0.4">
      <c r="K2182" s="5">
        <v>2180</v>
      </c>
      <c r="L2182" s="73">
        <v>-5.1999999999999158</v>
      </c>
    </row>
    <row r="2183" spans="11:12" x14ac:dyDescent="0.4">
      <c r="K2183" s="5">
        <v>2181</v>
      </c>
      <c r="L2183" s="73">
        <v>8.4376949871511897E-14</v>
      </c>
    </row>
    <row r="2184" spans="11:12" x14ac:dyDescent="0.4">
      <c r="K2184" s="5">
        <v>2182</v>
      </c>
      <c r="L2184" s="73">
        <v>-2.8999999999999155</v>
      </c>
    </row>
    <row r="2185" spans="11:12" x14ac:dyDescent="0.4">
      <c r="K2185" s="5">
        <v>2183</v>
      </c>
      <c r="L2185" s="73">
        <v>15.100000000000085</v>
      </c>
    </row>
    <row r="2186" spans="11:12" x14ac:dyDescent="0.4">
      <c r="K2186" s="5">
        <v>2184</v>
      </c>
      <c r="L2186" s="73">
        <v>8.5265128291212022E-14</v>
      </c>
    </row>
    <row r="2187" spans="11:12" x14ac:dyDescent="0.4">
      <c r="K2187" s="5">
        <v>2185</v>
      </c>
      <c r="L2187" s="73">
        <v>-45.099999999999916</v>
      </c>
    </row>
    <row r="2188" spans="11:12" x14ac:dyDescent="0.4">
      <c r="K2188" s="5">
        <v>2186</v>
      </c>
      <c r="L2188" s="73">
        <v>8.4000000000000856</v>
      </c>
    </row>
    <row r="2189" spans="11:12" x14ac:dyDescent="0.4">
      <c r="K2189" s="5">
        <v>2187</v>
      </c>
      <c r="L2189" s="73">
        <v>8.5265128291212022E-14</v>
      </c>
    </row>
    <row r="2190" spans="11:12" x14ac:dyDescent="0.4">
      <c r="K2190" s="5">
        <v>2188</v>
      </c>
      <c r="L2190" s="73">
        <v>-27.499999999999915</v>
      </c>
    </row>
    <row r="2191" spans="11:12" x14ac:dyDescent="0.4">
      <c r="K2191" s="5">
        <v>2189</v>
      </c>
      <c r="L2191" s="73">
        <v>-6.999999999999913</v>
      </c>
    </row>
    <row r="2192" spans="11:12" x14ac:dyDescent="0.4">
      <c r="K2192" s="5">
        <v>2190</v>
      </c>
      <c r="L2192" s="73">
        <v>8.7041485130612273E-14</v>
      </c>
    </row>
    <row r="2193" spans="11:12" x14ac:dyDescent="0.4">
      <c r="K2193" s="5">
        <v>2191</v>
      </c>
      <c r="L2193" s="73">
        <v>6.1000000000000867</v>
      </c>
    </row>
    <row r="2194" spans="11:12" x14ac:dyDescent="0.4">
      <c r="K2194" s="5">
        <v>2192</v>
      </c>
      <c r="L2194" s="73">
        <v>-26.099999999999916</v>
      </c>
    </row>
    <row r="2195" spans="11:12" x14ac:dyDescent="0.4">
      <c r="K2195" s="5">
        <v>2193</v>
      </c>
      <c r="L2195" s="73">
        <v>8.7041485130612273E-14</v>
      </c>
    </row>
    <row r="2196" spans="11:12" x14ac:dyDescent="0.4">
      <c r="K2196" s="5">
        <v>2194</v>
      </c>
      <c r="L2196" s="73">
        <v>14.100000000000087</v>
      </c>
    </row>
    <row r="2197" spans="11:12" x14ac:dyDescent="0.4">
      <c r="K2197" s="5">
        <v>2195</v>
      </c>
      <c r="L2197" s="73">
        <v>16.500000000000085</v>
      </c>
    </row>
    <row r="2198" spans="11:12" x14ac:dyDescent="0.4">
      <c r="K2198" s="5">
        <v>2196</v>
      </c>
      <c r="L2198" s="73">
        <v>8.7041485130612273E-14</v>
      </c>
    </row>
    <row r="2199" spans="11:12" x14ac:dyDescent="0.4">
      <c r="K2199" s="5">
        <v>2197</v>
      </c>
      <c r="L2199" s="73">
        <v>4.500000000000087</v>
      </c>
    </row>
    <row r="2200" spans="11:12" x14ac:dyDescent="0.4">
      <c r="K2200" s="5">
        <v>2198</v>
      </c>
      <c r="L2200" s="73">
        <v>-21.099999999999916</v>
      </c>
    </row>
    <row r="2201" spans="11:12" x14ac:dyDescent="0.4">
      <c r="K2201" s="5">
        <v>2199</v>
      </c>
      <c r="L2201" s="73">
        <v>8.7041485130612273E-14</v>
      </c>
    </row>
    <row r="2202" spans="11:12" x14ac:dyDescent="0.4">
      <c r="K2202" s="5">
        <v>2200</v>
      </c>
      <c r="L2202" s="73">
        <v>-2.099999999999913</v>
      </c>
    </row>
    <row r="2203" spans="11:12" x14ac:dyDescent="0.4">
      <c r="K2203" s="5">
        <v>2201</v>
      </c>
      <c r="L2203" s="73">
        <v>-28.099999999999916</v>
      </c>
    </row>
    <row r="2204" spans="11:12" x14ac:dyDescent="0.4">
      <c r="K2204" s="5">
        <v>2202</v>
      </c>
      <c r="L2204" s="73">
        <v>8.7041485130612273E-14</v>
      </c>
    </row>
    <row r="2205" spans="11:12" x14ac:dyDescent="0.4">
      <c r="K2205" s="5">
        <v>2203</v>
      </c>
      <c r="L2205" s="73">
        <v>0.80000000000008709</v>
      </c>
    </row>
    <row r="2206" spans="11:12" x14ac:dyDescent="0.4">
      <c r="K2206" s="5">
        <v>2204</v>
      </c>
      <c r="L2206" s="73">
        <v>-26.19999999999991</v>
      </c>
    </row>
    <row r="2207" spans="11:12" x14ac:dyDescent="0.4">
      <c r="K2207" s="5">
        <v>2205</v>
      </c>
      <c r="L2207" s="73">
        <v>8.7041485130612273E-14</v>
      </c>
    </row>
    <row r="2208" spans="11:12" x14ac:dyDescent="0.4">
      <c r="K2208" s="5">
        <v>2206</v>
      </c>
      <c r="L2208" s="73">
        <v>-5.499999999999913</v>
      </c>
    </row>
    <row r="2209" spans="11:12" x14ac:dyDescent="0.4">
      <c r="K2209" s="5">
        <v>2207</v>
      </c>
      <c r="L2209" s="73">
        <v>-22.299999999999912</v>
      </c>
    </row>
    <row r="2210" spans="11:12" x14ac:dyDescent="0.4">
      <c r="K2210" s="5">
        <v>2208</v>
      </c>
      <c r="L2210" s="73">
        <v>8.7041485130612273E-14</v>
      </c>
    </row>
    <row r="2211" spans="11:12" x14ac:dyDescent="0.4">
      <c r="K2211" s="5">
        <v>2209</v>
      </c>
      <c r="L2211" s="73">
        <v>47.400000000000084</v>
      </c>
    </row>
    <row r="2212" spans="11:12" x14ac:dyDescent="0.4">
      <c r="K2212" s="5">
        <v>2210</v>
      </c>
      <c r="L2212" s="73">
        <v>51.500000000000085</v>
      </c>
    </row>
    <row r="2213" spans="11:12" x14ac:dyDescent="0.4">
      <c r="K2213" s="5">
        <v>2211</v>
      </c>
      <c r="L2213" s="73">
        <v>8.7041485130612273E-14</v>
      </c>
    </row>
    <row r="2214" spans="11:12" x14ac:dyDescent="0.4">
      <c r="K2214" s="5">
        <v>2212</v>
      </c>
      <c r="L2214" s="73">
        <v>6.8000000000000869</v>
      </c>
    </row>
    <row r="2215" spans="11:12" x14ac:dyDescent="0.4">
      <c r="K2215" s="5">
        <v>2213</v>
      </c>
      <c r="L2215" s="73">
        <v>-24.499999999999915</v>
      </c>
    </row>
    <row r="2216" spans="11:12" x14ac:dyDescent="0.4">
      <c r="K2216" s="5">
        <v>2214</v>
      </c>
      <c r="L2216" s="73">
        <v>8.7041485130612273E-14</v>
      </c>
    </row>
    <row r="2217" spans="11:12" x14ac:dyDescent="0.4">
      <c r="K2217" s="5">
        <v>2215</v>
      </c>
      <c r="L2217" s="73">
        <v>6.8000000000000869</v>
      </c>
    </row>
    <row r="2218" spans="11:12" x14ac:dyDescent="0.4">
      <c r="K2218" s="5">
        <v>2216</v>
      </c>
      <c r="L2218" s="73">
        <v>31.600000000000087</v>
      </c>
    </row>
    <row r="2219" spans="11:12" x14ac:dyDescent="0.4">
      <c r="K2219" s="5">
        <v>2217</v>
      </c>
      <c r="L2219" s="73">
        <v>8.7041485130612273E-14</v>
      </c>
    </row>
    <row r="2220" spans="11:12" x14ac:dyDescent="0.4">
      <c r="K2220" s="5">
        <v>2218</v>
      </c>
      <c r="L2220" s="73">
        <v>-16.099999999999916</v>
      </c>
    </row>
    <row r="2221" spans="11:12" x14ac:dyDescent="0.4">
      <c r="K2221" s="5">
        <v>2219</v>
      </c>
      <c r="L2221" s="73">
        <v>26.900000000000084</v>
      </c>
    </row>
    <row r="2222" spans="11:12" x14ac:dyDescent="0.4">
      <c r="K2222" s="5">
        <v>2220</v>
      </c>
      <c r="L2222" s="73">
        <v>8.7041485130612273E-14</v>
      </c>
    </row>
    <row r="2223" spans="11:12" x14ac:dyDescent="0.4">
      <c r="K2223" s="5">
        <v>2221</v>
      </c>
      <c r="L2223" s="73">
        <v>6.6000000000000867</v>
      </c>
    </row>
    <row r="2224" spans="11:12" x14ac:dyDescent="0.4">
      <c r="K2224" s="5">
        <v>2222</v>
      </c>
      <c r="L2224" s="73">
        <v>28.800000000000082</v>
      </c>
    </row>
    <row r="2225" spans="11:12" x14ac:dyDescent="0.4">
      <c r="K2225" s="5">
        <v>2223</v>
      </c>
      <c r="L2225" s="73">
        <v>8.3488771451811772E-14</v>
      </c>
    </row>
    <row r="2226" spans="11:12" x14ac:dyDescent="0.4">
      <c r="K2226" s="5">
        <v>2224</v>
      </c>
      <c r="L2226" s="73">
        <v>4.4000000000000838</v>
      </c>
    </row>
    <row r="2227" spans="11:12" x14ac:dyDescent="0.4">
      <c r="K2227" s="5">
        <v>2225</v>
      </c>
      <c r="L2227" s="73">
        <v>20.300000000000082</v>
      </c>
    </row>
    <row r="2228" spans="11:12" x14ac:dyDescent="0.4">
      <c r="K2228" s="5">
        <v>2226</v>
      </c>
      <c r="L2228" s="73">
        <v>8.3488771451811772E-14</v>
      </c>
    </row>
    <row r="2229" spans="11:12" x14ac:dyDescent="0.4">
      <c r="K2229" s="5">
        <v>2227</v>
      </c>
      <c r="L2229" s="73">
        <v>18.300000000000082</v>
      </c>
    </row>
    <row r="2230" spans="11:12" x14ac:dyDescent="0.4">
      <c r="K2230" s="5">
        <v>2228</v>
      </c>
      <c r="L2230" s="73">
        <v>16.700000000000081</v>
      </c>
    </row>
    <row r="2231" spans="11:12" x14ac:dyDescent="0.4">
      <c r="K2231" s="5">
        <v>2229</v>
      </c>
      <c r="L2231" s="73">
        <v>8.3488771451811772E-14</v>
      </c>
    </row>
    <row r="2232" spans="11:12" x14ac:dyDescent="0.4">
      <c r="K2232" s="5">
        <v>2230</v>
      </c>
      <c r="L2232" s="73">
        <v>19.200000000000081</v>
      </c>
    </row>
    <row r="2233" spans="11:12" x14ac:dyDescent="0.4">
      <c r="K2233" s="5">
        <v>2231</v>
      </c>
      <c r="L2233" s="73">
        <v>27.800000000000082</v>
      </c>
    </row>
    <row r="2234" spans="11:12" x14ac:dyDescent="0.4">
      <c r="K2234" s="5">
        <v>2232</v>
      </c>
      <c r="L2234" s="73">
        <v>8.3488771451811772E-14</v>
      </c>
    </row>
    <row r="2235" spans="11:12" x14ac:dyDescent="0.4">
      <c r="K2235" s="5">
        <v>2233</v>
      </c>
      <c r="L2235" s="73">
        <v>12.400000000000084</v>
      </c>
    </row>
    <row r="2236" spans="11:12" x14ac:dyDescent="0.4">
      <c r="K2236" s="5">
        <v>2234</v>
      </c>
      <c r="L2236" s="73">
        <v>13.000000000000083</v>
      </c>
    </row>
    <row r="2237" spans="11:12" x14ac:dyDescent="0.4">
      <c r="K2237" s="5">
        <v>2235</v>
      </c>
      <c r="L2237" s="73">
        <v>8.3488771451811772E-14</v>
      </c>
    </row>
    <row r="2238" spans="11:12" x14ac:dyDescent="0.4">
      <c r="K2238" s="5">
        <v>2236</v>
      </c>
      <c r="L2238" s="73">
        <v>61.500000000000085</v>
      </c>
    </row>
    <row r="2239" spans="11:12" x14ac:dyDescent="0.4">
      <c r="K2239" s="5">
        <v>2237</v>
      </c>
      <c r="L2239" s="73">
        <v>8.8000000000000842</v>
      </c>
    </row>
    <row r="2240" spans="11:12" x14ac:dyDescent="0.4">
      <c r="K2240" s="5">
        <v>2238</v>
      </c>
      <c r="L2240" s="73">
        <v>8.3488771451811772E-14</v>
      </c>
    </row>
    <row r="2241" spans="11:12" x14ac:dyDescent="0.4">
      <c r="K2241" s="5">
        <v>2239</v>
      </c>
      <c r="L2241" s="73">
        <v>-1.9999999999999165</v>
      </c>
    </row>
    <row r="2242" spans="11:12" x14ac:dyDescent="0.4">
      <c r="K2242" s="5">
        <v>2240</v>
      </c>
      <c r="L2242" s="73">
        <v>35.200000000000088</v>
      </c>
    </row>
    <row r="2243" spans="11:12" x14ac:dyDescent="0.4">
      <c r="K2243" s="5">
        <v>2241</v>
      </c>
      <c r="L2243" s="73">
        <v>8.7041485130612273E-14</v>
      </c>
    </row>
    <row r="2244" spans="11:12" x14ac:dyDescent="0.4">
      <c r="K2244" s="5">
        <v>2242</v>
      </c>
      <c r="L2244" s="73">
        <v>30.500000000000085</v>
      </c>
    </row>
    <row r="2245" spans="11:12" x14ac:dyDescent="0.4">
      <c r="K2245" s="5">
        <v>2243</v>
      </c>
      <c r="L2245" s="73">
        <v>34.900000000000084</v>
      </c>
    </row>
    <row r="2246" spans="11:12" x14ac:dyDescent="0.4">
      <c r="K2246" s="5">
        <v>2244</v>
      </c>
      <c r="L2246" s="73">
        <v>8.7041485130612273E-14</v>
      </c>
    </row>
    <row r="2247" spans="11:12" x14ac:dyDescent="0.4">
      <c r="K2247" s="5">
        <v>2245</v>
      </c>
      <c r="L2247" s="73">
        <v>12.200000000000086</v>
      </c>
    </row>
    <row r="2248" spans="11:12" x14ac:dyDescent="0.4">
      <c r="K2248" s="5">
        <v>2246</v>
      </c>
      <c r="L2248" s="73">
        <v>-40.599999999999909</v>
      </c>
    </row>
    <row r="2249" spans="11:12" x14ac:dyDescent="0.4">
      <c r="K2249" s="5">
        <v>2247</v>
      </c>
      <c r="L2249" s="73">
        <v>9.4146912488213275E-14</v>
      </c>
    </row>
    <row r="2250" spans="11:12" x14ac:dyDescent="0.4">
      <c r="K2250" s="5">
        <v>2248</v>
      </c>
      <c r="L2250" s="73">
        <v>32.400000000000091</v>
      </c>
    </row>
    <row r="2251" spans="11:12" x14ac:dyDescent="0.4">
      <c r="K2251" s="5">
        <v>2249</v>
      </c>
      <c r="L2251" s="73">
        <v>48.000000000000092</v>
      </c>
    </row>
    <row r="2252" spans="11:12" x14ac:dyDescent="0.4">
      <c r="K2252" s="5">
        <v>2250</v>
      </c>
      <c r="L2252" s="73">
        <v>9.4146912488213275E-14</v>
      </c>
    </row>
    <row r="2253" spans="11:12" x14ac:dyDescent="0.4">
      <c r="K2253" s="5">
        <v>2251</v>
      </c>
      <c r="L2253" s="73">
        <v>55.100000000000094</v>
      </c>
    </row>
    <row r="2254" spans="11:12" x14ac:dyDescent="0.4">
      <c r="K2254" s="5">
        <v>2252</v>
      </c>
      <c r="L2254" s="73">
        <v>35.100000000000094</v>
      </c>
    </row>
    <row r="2255" spans="11:12" x14ac:dyDescent="0.4">
      <c r="K2255" s="5">
        <v>2253</v>
      </c>
      <c r="L2255" s="73">
        <v>9.4146912488213275E-14</v>
      </c>
    </row>
    <row r="2256" spans="11:12" x14ac:dyDescent="0.4">
      <c r="K2256" s="5">
        <v>2254</v>
      </c>
      <c r="L2256" s="73">
        <v>40.900000000000091</v>
      </c>
    </row>
    <row r="2257" spans="11:12" x14ac:dyDescent="0.4">
      <c r="K2257" s="5">
        <v>2255</v>
      </c>
      <c r="L2257" s="73">
        <v>31.700000000000095</v>
      </c>
    </row>
    <row r="2258" spans="11:12" x14ac:dyDescent="0.4">
      <c r="K2258" s="5">
        <v>2256</v>
      </c>
      <c r="L2258" s="73">
        <v>9.4146912488213275E-14</v>
      </c>
    </row>
    <row r="2259" spans="11:12" x14ac:dyDescent="0.4">
      <c r="K2259" s="5">
        <v>2257</v>
      </c>
      <c r="L2259" s="73">
        <v>-1.3999999999999058</v>
      </c>
    </row>
    <row r="2260" spans="11:12" x14ac:dyDescent="0.4">
      <c r="K2260" s="5">
        <v>2258</v>
      </c>
      <c r="L2260" s="73">
        <v>-18.399999999999906</v>
      </c>
    </row>
    <row r="2261" spans="11:12" x14ac:dyDescent="0.4">
      <c r="K2261" s="5">
        <v>2259</v>
      </c>
      <c r="L2261" s="73">
        <v>9.4146912488213275E-14</v>
      </c>
    </row>
    <row r="2262" spans="11:12" x14ac:dyDescent="0.4">
      <c r="K2262" s="5">
        <v>2260</v>
      </c>
      <c r="L2262" s="73">
        <v>-8.6999999999999051</v>
      </c>
    </row>
    <row r="2263" spans="11:12" x14ac:dyDescent="0.4">
      <c r="K2263" s="5">
        <v>2261</v>
      </c>
      <c r="L2263" s="73">
        <v>-35.499999999999908</v>
      </c>
    </row>
    <row r="2264" spans="11:12" x14ac:dyDescent="0.4">
      <c r="K2264" s="5">
        <v>2262</v>
      </c>
      <c r="L2264" s="73">
        <v>9.4146912488213275E-14</v>
      </c>
    </row>
    <row r="2265" spans="11:12" x14ac:dyDescent="0.4">
      <c r="K2265" s="5">
        <v>2263</v>
      </c>
      <c r="L2265" s="73">
        <v>28.800000000000097</v>
      </c>
    </row>
    <row r="2266" spans="11:12" x14ac:dyDescent="0.4">
      <c r="K2266" s="5">
        <v>2264</v>
      </c>
      <c r="L2266" s="73">
        <v>41.400000000000091</v>
      </c>
    </row>
    <row r="2267" spans="11:12" x14ac:dyDescent="0.4">
      <c r="K2267" s="5">
        <v>2265</v>
      </c>
      <c r="L2267" s="73">
        <v>9.4146912488213275E-14</v>
      </c>
    </row>
    <row r="2268" spans="11:12" x14ac:dyDescent="0.4">
      <c r="K2268" s="5">
        <v>2266</v>
      </c>
      <c r="L2268" s="73">
        <v>12.600000000000094</v>
      </c>
    </row>
    <row r="2269" spans="11:12" x14ac:dyDescent="0.4">
      <c r="K2269" s="5">
        <v>2267</v>
      </c>
      <c r="L2269" s="73">
        <v>-28.699999999999903</v>
      </c>
    </row>
    <row r="2270" spans="11:12" x14ac:dyDescent="0.4">
      <c r="K2270" s="5">
        <v>2268</v>
      </c>
      <c r="L2270" s="73">
        <v>9.7699626167013776E-14</v>
      </c>
    </row>
    <row r="2271" spans="11:12" x14ac:dyDescent="0.4">
      <c r="K2271" s="5">
        <v>2269</v>
      </c>
      <c r="L2271" s="73">
        <v>14.900000000000098</v>
      </c>
    </row>
    <row r="2272" spans="11:12" x14ac:dyDescent="0.4">
      <c r="K2272" s="5">
        <v>2270</v>
      </c>
      <c r="L2272" s="73">
        <v>42.700000000000095</v>
      </c>
    </row>
    <row r="2273" spans="11:12" x14ac:dyDescent="0.4">
      <c r="K2273" s="5">
        <v>2271</v>
      </c>
      <c r="L2273" s="73">
        <v>9.4146912488213275E-14</v>
      </c>
    </row>
    <row r="2274" spans="11:12" x14ac:dyDescent="0.4">
      <c r="K2274" s="5">
        <v>2272</v>
      </c>
      <c r="L2274" s="73">
        <v>-23.999999999999908</v>
      </c>
    </row>
    <row r="2275" spans="11:12" x14ac:dyDescent="0.4">
      <c r="K2275" s="5">
        <v>2273</v>
      </c>
      <c r="L2275" s="73">
        <v>-25.599999999999909</v>
      </c>
    </row>
    <row r="2276" spans="11:12" x14ac:dyDescent="0.4">
      <c r="K2276" s="5">
        <v>2274</v>
      </c>
      <c r="L2276" s="73">
        <v>9.4146912488213275E-14</v>
      </c>
    </row>
    <row r="2277" spans="11:12" x14ac:dyDescent="0.4">
      <c r="K2277" s="5">
        <v>2275</v>
      </c>
      <c r="L2277" s="73">
        <v>4.0000000000000941</v>
      </c>
    </row>
    <row r="2278" spans="11:12" x14ac:dyDescent="0.4">
      <c r="K2278" s="5">
        <v>2276</v>
      </c>
      <c r="L2278" s="73">
        <v>-24.099999999999909</v>
      </c>
    </row>
    <row r="2279" spans="11:12" x14ac:dyDescent="0.4">
      <c r="K2279" s="5">
        <v>2277</v>
      </c>
      <c r="L2279" s="73">
        <v>9.4146912488213275E-14</v>
      </c>
    </row>
    <row r="2280" spans="11:12" x14ac:dyDescent="0.4">
      <c r="K2280" s="5">
        <v>2278</v>
      </c>
      <c r="L2280" s="73">
        <v>-4.4999999999999059</v>
      </c>
    </row>
    <row r="2281" spans="11:12" x14ac:dyDescent="0.4">
      <c r="K2281" s="5">
        <v>2279</v>
      </c>
      <c r="L2281" s="73">
        <v>-34.499999999999908</v>
      </c>
    </row>
    <row r="2282" spans="11:12" x14ac:dyDescent="0.4">
      <c r="K2282" s="5">
        <v>2280</v>
      </c>
      <c r="L2282" s="73">
        <v>9.4146912488213275E-14</v>
      </c>
    </row>
    <row r="2283" spans="11:12" x14ac:dyDescent="0.4">
      <c r="K2283" s="5">
        <v>2281</v>
      </c>
      <c r="L2283" s="73">
        <v>-30.499999999999908</v>
      </c>
    </row>
    <row r="2284" spans="11:12" x14ac:dyDescent="0.4">
      <c r="K2284" s="5">
        <v>2282</v>
      </c>
      <c r="L2284" s="73">
        <v>-33.799999999999905</v>
      </c>
    </row>
    <row r="2285" spans="11:12" x14ac:dyDescent="0.4">
      <c r="K2285" s="5">
        <v>2283</v>
      </c>
      <c r="L2285" s="73">
        <v>9.4146912488213275E-14</v>
      </c>
    </row>
    <row r="2286" spans="11:12" x14ac:dyDescent="0.4">
      <c r="K2286" s="5">
        <v>2284</v>
      </c>
      <c r="L2286" s="73">
        <v>-31.299999999999905</v>
      </c>
    </row>
    <row r="2287" spans="11:12" x14ac:dyDescent="0.4">
      <c r="K2287" s="5">
        <v>2285</v>
      </c>
      <c r="L2287" s="73">
        <v>-6.4999999999999059</v>
      </c>
    </row>
    <row r="2288" spans="11:12" x14ac:dyDescent="0.4">
      <c r="K2288" s="5">
        <v>2286</v>
      </c>
      <c r="L2288" s="73">
        <v>9.4146912488213275E-14</v>
      </c>
    </row>
    <row r="2289" spans="11:12" x14ac:dyDescent="0.4">
      <c r="K2289" s="5">
        <v>2287</v>
      </c>
      <c r="L2289" s="73">
        <v>-22.399999999999906</v>
      </c>
    </row>
    <row r="2290" spans="11:12" x14ac:dyDescent="0.4">
      <c r="K2290" s="5">
        <v>2288</v>
      </c>
      <c r="L2290" s="73">
        <v>3.1000000000000956</v>
      </c>
    </row>
    <row r="2291" spans="11:12" x14ac:dyDescent="0.4">
      <c r="K2291" s="5">
        <v>2289</v>
      </c>
      <c r="L2291" s="73">
        <v>9.5479180117763462E-14</v>
      </c>
    </row>
    <row r="2292" spans="11:12" x14ac:dyDescent="0.4">
      <c r="K2292" s="5">
        <v>2290</v>
      </c>
      <c r="L2292" s="73">
        <v>1.3000000000000955</v>
      </c>
    </row>
    <row r="2293" spans="11:12" x14ac:dyDescent="0.4">
      <c r="K2293" s="5">
        <v>2291</v>
      </c>
      <c r="L2293" s="73">
        <v>26.100000000000094</v>
      </c>
    </row>
    <row r="2294" spans="11:12" x14ac:dyDescent="0.4">
      <c r="K2294" s="5">
        <v>2292</v>
      </c>
      <c r="L2294" s="73">
        <v>9.4146912488213275E-14</v>
      </c>
    </row>
    <row r="2295" spans="11:12" x14ac:dyDescent="0.4">
      <c r="K2295" s="5">
        <v>2293</v>
      </c>
      <c r="L2295" s="73">
        <v>5.6000000000000938</v>
      </c>
    </row>
    <row r="2296" spans="11:12" x14ac:dyDescent="0.4">
      <c r="K2296" s="5">
        <v>2294</v>
      </c>
      <c r="L2296" s="73">
        <v>-19.399999999999906</v>
      </c>
    </row>
    <row r="2297" spans="11:12" x14ac:dyDescent="0.4">
      <c r="K2297" s="5">
        <v>2295</v>
      </c>
      <c r="L2297" s="73">
        <v>9.4146912488213275E-14</v>
      </c>
    </row>
    <row r="2298" spans="11:12" x14ac:dyDescent="0.4">
      <c r="K2298" s="5">
        <v>2296</v>
      </c>
      <c r="L2298" s="73">
        <v>14.800000000000095</v>
      </c>
    </row>
    <row r="2299" spans="11:12" x14ac:dyDescent="0.4">
      <c r="K2299" s="5">
        <v>2297</v>
      </c>
      <c r="L2299" s="73">
        <v>14.200000000000095</v>
      </c>
    </row>
    <row r="2300" spans="11:12" x14ac:dyDescent="0.4">
      <c r="K2300" s="5">
        <v>2298</v>
      </c>
      <c r="L2300" s="73">
        <v>9.5923269327613525E-14</v>
      </c>
    </row>
    <row r="2301" spans="11:12" x14ac:dyDescent="0.4">
      <c r="K2301" s="5">
        <v>2299</v>
      </c>
      <c r="L2301" s="73">
        <v>-42.299999999999905</v>
      </c>
    </row>
    <row r="2302" spans="11:12" x14ac:dyDescent="0.4">
      <c r="K2302" s="5">
        <v>2300</v>
      </c>
      <c r="L2302" s="73">
        <v>-49.099999999999902</v>
      </c>
    </row>
    <row r="2303" spans="11:12" x14ac:dyDescent="0.4">
      <c r="K2303" s="5">
        <v>2301</v>
      </c>
      <c r="L2303" s="73">
        <v>1.0125233984581428E-13</v>
      </c>
    </row>
    <row r="2304" spans="11:12" x14ac:dyDescent="0.4">
      <c r="K2304" s="5">
        <v>2302</v>
      </c>
      <c r="L2304" s="73">
        <v>11.400000000000102</v>
      </c>
    </row>
    <row r="2305" spans="11:12" x14ac:dyDescent="0.4">
      <c r="K2305" s="5">
        <v>2303</v>
      </c>
      <c r="L2305" s="73">
        <v>53.400000000000098</v>
      </c>
    </row>
    <row r="2306" spans="11:12" x14ac:dyDescent="0.4">
      <c r="K2306" s="5">
        <v>2304</v>
      </c>
      <c r="L2306" s="73">
        <v>1.0125233984581428E-13</v>
      </c>
    </row>
    <row r="2307" spans="11:12" x14ac:dyDescent="0.4">
      <c r="K2307" s="5">
        <v>2305</v>
      </c>
      <c r="L2307" s="73">
        <v>22.200000000000102</v>
      </c>
    </row>
    <row r="2308" spans="11:12" x14ac:dyDescent="0.4">
      <c r="K2308" s="5">
        <v>2306</v>
      </c>
      <c r="L2308" s="73">
        <v>-9.3999999999999009</v>
      </c>
    </row>
    <row r="2309" spans="11:12" x14ac:dyDescent="0.4">
      <c r="K2309" s="5">
        <v>2307</v>
      </c>
      <c r="L2309" s="73">
        <v>9.9475983006414026E-14</v>
      </c>
    </row>
    <row r="2310" spans="11:12" x14ac:dyDescent="0.4">
      <c r="K2310" s="5">
        <v>2308</v>
      </c>
      <c r="L2310" s="73">
        <v>9.1000000000000991</v>
      </c>
    </row>
    <row r="2311" spans="11:12" x14ac:dyDescent="0.4">
      <c r="K2311" s="5">
        <v>2309</v>
      </c>
      <c r="L2311" s="73">
        <v>-20.399999999999899</v>
      </c>
    </row>
    <row r="2312" spans="11:12" x14ac:dyDescent="0.4">
      <c r="K2312" s="5">
        <v>2310</v>
      </c>
      <c r="L2312" s="73">
        <v>9.7699626167013776E-14</v>
      </c>
    </row>
    <row r="2313" spans="11:12" x14ac:dyDescent="0.4">
      <c r="K2313" s="5">
        <v>2311</v>
      </c>
      <c r="L2313" s="73">
        <v>-36.099999999999909</v>
      </c>
    </row>
    <row r="2314" spans="11:12" x14ac:dyDescent="0.4">
      <c r="K2314" s="5">
        <v>2312</v>
      </c>
      <c r="L2314" s="73">
        <v>-7.2999999999999066</v>
      </c>
    </row>
    <row r="2315" spans="11:12" x14ac:dyDescent="0.4">
      <c r="K2315" s="5">
        <v>2313</v>
      </c>
      <c r="L2315" s="73">
        <v>9.3258734068513149E-14</v>
      </c>
    </row>
    <row r="2316" spans="11:12" x14ac:dyDescent="0.4">
      <c r="K2316" s="5">
        <v>2314</v>
      </c>
      <c r="L2316" s="73">
        <v>-2.9999999999999067</v>
      </c>
    </row>
    <row r="2317" spans="11:12" x14ac:dyDescent="0.4">
      <c r="K2317" s="5">
        <v>2315</v>
      </c>
      <c r="L2317" s="73">
        <v>-31.499999999999908</v>
      </c>
    </row>
    <row r="2318" spans="11:12" x14ac:dyDescent="0.4">
      <c r="K2318" s="5">
        <v>2316</v>
      </c>
      <c r="L2318" s="73">
        <v>9.4146912488213275E-14</v>
      </c>
    </row>
    <row r="2319" spans="11:12" x14ac:dyDescent="0.4">
      <c r="K2319" s="5">
        <v>2317</v>
      </c>
      <c r="L2319" s="73">
        <v>32.500000000000092</v>
      </c>
    </row>
    <row r="2320" spans="11:12" x14ac:dyDescent="0.4">
      <c r="K2320" s="5">
        <v>2318</v>
      </c>
      <c r="L2320" s="73">
        <v>21.300000000000097</v>
      </c>
    </row>
    <row r="2321" spans="11:12" x14ac:dyDescent="0.4">
      <c r="K2321" s="5">
        <v>2319</v>
      </c>
      <c r="L2321" s="73">
        <v>9.4146912488213275E-14</v>
      </c>
    </row>
    <row r="2322" spans="11:12" x14ac:dyDescent="0.4">
      <c r="K2322" s="5">
        <v>2320</v>
      </c>
      <c r="L2322" s="73">
        <v>-22.399999999999906</v>
      </c>
    </row>
    <row r="2323" spans="11:12" x14ac:dyDescent="0.4">
      <c r="K2323" s="5">
        <v>2321</v>
      </c>
      <c r="L2323" s="73">
        <v>-69.099999999999909</v>
      </c>
    </row>
    <row r="2324" spans="11:12" x14ac:dyDescent="0.4">
      <c r="K2324" s="5">
        <v>2322</v>
      </c>
      <c r="L2324" s="73">
        <v>8.7041485130612273E-14</v>
      </c>
    </row>
    <row r="2325" spans="11:12" x14ac:dyDescent="0.4">
      <c r="K2325" s="5">
        <v>2323</v>
      </c>
      <c r="L2325" s="73">
        <v>15.200000000000086</v>
      </c>
    </row>
    <row r="2326" spans="11:12" x14ac:dyDescent="0.4">
      <c r="K2326" s="5">
        <v>2324</v>
      </c>
      <c r="L2326" s="73">
        <v>18.30000000000009</v>
      </c>
    </row>
    <row r="2327" spans="11:12" x14ac:dyDescent="0.4">
      <c r="K2327" s="5">
        <v>2325</v>
      </c>
      <c r="L2327" s="73">
        <v>8.7041485130612273E-14</v>
      </c>
    </row>
    <row r="2328" spans="11:12" x14ac:dyDescent="0.4">
      <c r="K2328" s="5">
        <v>2326</v>
      </c>
      <c r="L2328" s="73">
        <v>1.6000000000000871</v>
      </c>
    </row>
    <row r="2329" spans="11:12" x14ac:dyDescent="0.4">
      <c r="K2329" s="5">
        <v>2327</v>
      </c>
      <c r="L2329" s="73">
        <v>-48.899999999999913</v>
      </c>
    </row>
    <row r="2330" spans="11:12" x14ac:dyDescent="0.4">
      <c r="K2330" s="5">
        <v>2328</v>
      </c>
      <c r="L2330" s="73">
        <v>8.7041485130612273E-14</v>
      </c>
    </row>
    <row r="2331" spans="11:12" x14ac:dyDescent="0.4">
      <c r="K2331" s="5">
        <v>2329</v>
      </c>
      <c r="L2331" s="73">
        <v>26.80000000000009</v>
      </c>
    </row>
    <row r="2332" spans="11:12" x14ac:dyDescent="0.4">
      <c r="K2332" s="5">
        <v>2330</v>
      </c>
      <c r="L2332" s="73">
        <v>40.100000000000087</v>
      </c>
    </row>
    <row r="2333" spans="11:12" x14ac:dyDescent="0.4">
      <c r="K2333" s="5">
        <v>2331</v>
      </c>
      <c r="L2333" s="73">
        <v>8.7041485130612273E-14</v>
      </c>
    </row>
    <row r="2334" spans="11:12" x14ac:dyDescent="0.4">
      <c r="K2334" s="5">
        <v>2332</v>
      </c>
      <c r="L2334" s="73">
        <v>-21.299999999999912</v>
      </c>
    </row>
    <row r="2335" spans="11:12" x14ac:dyDescent="0.4">
      <c r="K2335" s="5">
        <v>2333</v>
      </c>
      <c r="L2335" s="73">
        <v>-4.6999999999999122</v>
      </c>
    </row>
    <row r="2336" spans="11:12" x14ac:dyDescent="0.4">
      <c r="K2336" s="5">
        <v>2334</v>
      </c>
      <c r="L2336" s="73">
        <v>8.7929663550312398E-14</v>
      </c>
    </row>
    <row r="2337" spans="11:12" x14ac:dyDescent="0.4">
      <c r="K2337" s="5">
        <v>2335</v>
      </c>
      <c r="L2337" s="73">
        <v>-29.899999999999913</v>
      </c>
    </row>
    <row r="2338" spans="11:12" x14ac:dyDescent="0.4">
      <c r="K2338" s="5">
        <v>2336</v>
      </c>
      <c r="L2338" s="73">
        <v>-5.0999999999999108</v>
      </c>
    </row>
    <row r="2339" spans="11:12" x14ac:dyDescent="0.4">
      <c r="K2339" s="5">
        <v>2337</v>
      </c>
      <c r="L2339" s="73">
        <v>8.8817841970012523E-14</v>
      </c>
    </row>
    <row r="2340" spans="11:12" x14ac:dyDescent="0.4">
      <c r="K2340" s="5">
        <v>2338</v>
      </c>
      <c r="L2340" s="73">
        <v>-13.799999999999912</v>
      </c>
    </row>
    <row r="2341" spans="11:12" x14ac:dyDescent="0.4">
      <c r="K2341" s="5">
        <v>2339</v>
      </c>
      <c r="L2341" s="73">
        <v>-39.299999999999912</v>
      </c>
    </row>
    <row r="2342" spans="11:12" x14ac:dyDescent="0.4">
      <c r="K2342" s="5">
        <v>2340</v>
      </c>
      <c r="L2342" s="73">
        <v>8.7041485130612273E-14</v>
      </c>
    </row>
    <row r="2343" spans="11:12" x14ac:dyDescent="0.4">
      <c r="K2343" s="5">
        <v>2341</v>
      </c>
      <c r="L2343" s="73">
        <v>10.900000000000087</v>
      </c>
    </row>
    <row r="2344" spans="11:12" x14ac:dyDescent="0.4">
      <c r="K2344" s="5">
        <v>2342</v>
      </c>
      <c r="L2344" s="73">
        <v>55.900000000000084</v>
      </c>
    </row>
    <row r="2345" spans="11:12" x14ac:dyDescent="0.4">
      <c r="K2345" s="5">
        <v>2343</v>
      </c>
      <c r="L2345" s="73">
        <v>8.7041485130612273E-14</v>
      </c>
    </row>
    <row r="2346" spans="11:12" x14ac:dyDescent="0.4">
      <c r="K2346" s="5">
        <v>2344</v>
      </c>
      <c r="L2346" s="73">
        <v>6.000000000000087</v>
      </c>
    </row>
    <row r="2347" spans="11:12" x14ac:dyDescent="0.4">
      <c r="K2347" s="5">
        <v>2345</v>
      </c>
      <c r="L2347" s="73">
        <v>-23.599999999999916</v>
      </c>
    </row>
    <row r="2348" spans="11:12" x14ac:dyDescent="0.4">
      <c r="K2348" s="5">
        <v>2346</v>
      </c>
      <c r="L2348" s="73">
        <v>8.7041485130612273E-14</v>
      </c>
    </row>
    <row r="2349" spans="11:12" x14ac:dyDescent="0.4">
      <c r="K2349" s="5">
        <v>2347</v>
      </c>
      <c r="L2349" s="73">
        <v>-15.299999999999914</v>
      </c>
    </row>
    <row r="2350" spans="11:12" x14ac:dyDescent="0.4">
      <c r="K2350" s="5">
        <v>2348</v>
      </c>
      <c r="L2350" s="73">
        <v>1.8000000000000878</v>
      </c>
    </row>
    <row r="2351" spans="11:12" x14ac:dyDescent="0.4">
      <c r="K2351" s="5">
        <v>2349</v>
      </c>
      <c r="L2351" s="73">
        <v>8.7707618945387367E-14</v>
      </c>
    </row>
    <row r="2352" spans="11:12" x14ac:dyDescent="0.4">
      <c r="K2352" s="5">
        <v>2350</v>
      </c>
      <c r="L2352" s="73">
        <v>34.600000000000087</v>
      </c>
    </row>
    <row r="2353" spans="11:12" x14ac:dyDescent="0.4">
      <c r="K2353" s="5">
        <v>2351</v>
      </c>
      <c r="L2353" s="73">
        <v>-19.899999999999913</v>
      </c>
    </row>
    <row r="2354" spans="11:12" x14ac:dyDescent="0.4">
      <c r="K2354" s="5">
        <v>2352</v>
      </c>
      <c r="L2354" s="73">
        <v>8.7041485130612273E-14</v>
      </c>
    </row>
    <row r="2355" spans="11:12" x14ac:dyDescent="0.4">
      <c r="K2355" s="5">
        <v>2353</v>
      </c>
      <c r="L2355" s="73">
        <v>-6.499999999999913</v>
      </c>
    </row>
    <row r="2356" spans="11:12" x14ac:dyDescent="0.4">
      <c r="K2356" s="5">
        <v>2354</v>
      </c>
      <c r="L2356" s="73">
        <v>36.700000000000088</v>
      </c>
    </row>
    <row r="2357" spans="11:12" x14ac:dyDescent="0.4">
      <c r="K2357" s="5">
        <v>2355</v>
      </c>
      <c r="L2357" s="73">
        <v>8.7041485130612273E-14</v>
      </c>
    </row>
    <row r="2358" spans="11:12" x14ac:dyDescent="0.4">
      <c r="K2358" s="5">
        <v>2356</v>
      </c>
      <c r="L2358" s="73">
        <v>-25.299999999999912</v>
      </c>
    </row>
    <row r="2359" spans="11:12" x14ac:dyDescent="0.4">
      <c r="K2359" s="5">
        <v>2357</v>
      </c>
      <c r="L2359" s="73">
        <v>-20.599999999999916</v>
      </c>
    </row>
    <row r="2360" spans="11:12" x14ac:dyDescent="0.4">
      <c r="K2360" s="5">
        <v>2358</v>
      </c>
      <c r="L2360" s="73">
        <v>8.7041485130612273E-14</v>
      </c>
    </row>
    <row r="2361" spans="11:12" x14ac:dyDescent="0.4">
      <c r="K2361" s="5">
        <v>2359</v>
      </c>
      <c r="L2361" s="73">
        <v>-20.899999999999913</v>
      </c>
    </row>
    <row r="2362" spans="11:12" x14ac:dyDescent="0.4">
      <c r="K2362" s="5">
        <v>2360</v>
      </c>
      <c r="L2362" s="73">
        <v>-3.999999999999913</v>
      </c>
    </row>
    <row r="2363" spans="11:12" x14ac:dyDescent="0.4">
      <c r="K2363" s="5">
        <v>2361</v>
      </c>
      <c r="L2363" s="73">
        <v>8.7041485130612273E-14</v>
      </c>
    </row>
    <row r="2364" spans="11:12" x14ac:dyDescent="0.4">
      <c r="K2364" s="5">
        <v>2362</v>
      </c>
      <c r="L2364" s="73">
        <v>16.500000000000085</v>
      </c>
    </row>
    <row r="2365" spans="11:12" x14ac:dyDescent="0.4">
      <c r="K2365" s="5">
        <v>2363</v>
      </c>
      <c r="L2365" s="73">
        <v>0.60000000000008669</v>
      </c>
    </row>
    <row r="2366" spans="11:12" x14ac:dyDescent="0.4">
      <c r="K2366" s="5">
        <v>2364</v>
      </c>
      <c r="L2366" s="73">
        <v>8.6708418223224726E-14</v>
      </c>
    </row>
    <row r="2367" spans="11:12" x14ac:dyDescent="0.4">
      <c r="K2367" s="5">
        <v>2365</v>
      </c>
      <c r="L2367" s="73">
        <v>3.5000000000000866</v>
      </c>
    </row>
    <row r="2368" spans="11:12" x14ac:dyDescent="0.4">
      <c r="K2368" s="5">
        <v>2366</v>
      </c>
      <c r="L2368" s="73">
        <v>39.000000000000085</v>
      </c>
    </row>
    <row r="2369" spans="11:12" x14ac:dyDescent="0.4">
      <c r="K2369" s="5">
        <v>2367</v>
      </c>
      <c r="L2369" s="73">
        <v>8.7041485130612273E-14</v>
      </c>
    </row>
    <row r="2370" spans="11:12" x14ac:dyDescent="0.4">
      <c r="K2370" s="5">
        <v>2368</v>
      </c>
      <c r="L2370" s="73">
        <v>-32.999999999999915</v>
      </c>
    </row>
    <row r="2371" spans="11:12" x14ac:dyDescent="0.4">
      <c r="K2371" s="5">
        <v>2369</v>
      </c>
      <c r="L2371" s="73">
        <v>45.60000000000008</v>
      </c>
    </row>
    <row r="2372" spans="11:12" x14ac:dyDescent="0.4">
      <c r="K2372" s="5">
        <v>2370</v>
      </c>
      <c r="L2372" s="73">
        <v>7.9936057773011271E-14</v>
      </c>
    </row>
    <row r="2373" spans="11:12" x14ac:dyDescent="0.4">
      <c r="K2373" s="5">
        <v>2371</v>
      </c>
      <c r="L2373" s="73">
        <v>-24.099999999999923</v>
      </c>
    </row>
    <row r="2374" spans="11:12" x14ac:dyDescent="0.4">
      <c r="K2374" s="5">
        <v>2372</v>
      </c>
      <c r="L2374" s="73">
        <v>-23.799999999999919</v>
      </c>
    </row>
    <row r="2375" spans="11:12" x14ac:dyDescent="0.4">
      <c r="K2375" s="5">
        <v>2373</v>
      </c>
      <c r="L2375" s="73">
        <v>7.9936057773011271E-14</v>
      </c>
    </row>
    <row r="2376" spans="11:12" x14ac:dyDescent="0.4">
      <c r="K2376" s="5">
        <v>2374</v>
      </c>
      <c r="L2376" s="73">
        <v>10.300000000000081</v>
      </c>
    </row>
    <row r="2377" spans="11:12" x14ac:dyDescent="0.4">
      <c r="K2377" s="5">
        <v>2375</v>
      </c>
      <c r="L2377" s="73">
        <v>45.400000000000077</v>
      </c>
    </row>
    <row r="2378" spans="11:12" x14ac:dyDescent="0.4">
      <c r="K2378" s="5">
        <v>2376</v>
      </c>
      <c r="L2378" s="73">
        <v>7.9936057773011271E-14</v>
      </c>
    </row>
    <row r="2379" spans="11:12" x14ac:dyDescent="0.4">
      <c r="K2379" s="5">
        <v>2377</v>
      </c>
      <c r="L2379" s="73">
        <v>26.700000000000081</v>
      </c>
    </row>
    <row r="2380" spans="11:12" x14ac:dyDescent="0.4">
      <c r="K2380" s="5">
        <v>2378</v>
      </c>
      <c r="L2380" s="73">
        <v>22.300000000000075</v>
      </c>
    </row>
    <row r="2381" spans="11:12" x14ac:dyDescent="0.4">
      <c r="K2381" s="5">
        <v>2379</v>
      </c>
      <c r="L2381" s="73">
        <v>7.638334409421077E-14</v>
      </c>
    </row>
    <row r="2382" spans="11:12" x14ac:dyDescent="0.4">
      <c r="K2382" s="5">
        <v>2380</v>
      </c>
      <c r="L2382" s="73">
        <v>-28.89999999999992</v>
      </c>
    </row>
    <row r="2383" spans="11:12" x14ac:dyDescent="0.4">
      <c r="K2383" s="5">
        <v>2381</v>
      </c>
      <c r="L2383" s="73">
        <v>-43.099999999999923</v>
      </c>
    </row>
    <row r="2384" spans="11:12" x14ac:dyDescent="0.4">
      <c r="K2384" s="5">
        <v>2382</v>
      </c>
      <c r="L2384" s="73">
        <v>7.9936057773011271E-14</v>
      </c>
    </row>
    <row r="2385" spans="11:12" x14ac:dyDescent="0.4">
      <c r="K2385" s="5">
        <v>2383</v>
      </c>
      <c r="L2385" s="73">
        <v>21.500000000000078</v>
      </c>
    </row>
    <row r="2386" spans="11:12" x14ac:dyDescent="0.4">
      <c r="K2386" s="5">
        <v>2384</v>
      </c>
      <c r="L2386" s="73">
        <v>24.000000000000078</v>
      </c>
    </row>
    <row r="2387" spans="11:12" x14ac:dyDescent="0.4">
      <c r="K2387" s="5">
        <v>2385</v>
      </c>
      <c r="L2387" s="73">
        <v>7.9936057773011271E-14</v>
      </c>
    </row>
    <row r="2388" spans="11:12" x14ac:dyDescent="0.4">
      <c r="K2388" s="5">
        <v>2386</v>
      </c>
      <c r="L2388" s="73">
        <v>-25.099999999999923</v>
      </c>
    </row>
    <row r="2389" spans="11:12" x14ac:dyDescent="0.4">
      <c r="K2389" s="5">
        <v>2387</v>
      </c>
      <c r="L2389" s="73">
        <v>5.0000000000000799</v>
      </c>
    </row>
    <row r="2390" spans="11:12" x14ac:dyDescent="0.4">
      <c r="K2390" s="5">
        <v>2388</v>
      </c>
      <c r="L2390" s="73">
        <v>7.9936057773011271E-14</v>
      </c>
    </row>
    <row r="2391" spans="11:12" x14ac:dyDescent="0.4">
      <c r="K2391" s="5">
        <v>2389</v>
      </c>
      <c r="L2391" s="73">
        <v>3.0000000000000799</v>
      </c>
    </row>
    <row r="2392" spans="11:12" x14ac:dyDescent="0.4">
      <c r="K2392" s="5">
        <v>2390</v>
      </c>
      <c r="L2392" s="73">
        <v>37.10000000000008</v>
      </c>
    </row>
    <row r="2393" spans="11:12" x14ac:dyDescent="0.4">
      <c r="K2393" s="5">
        <v>2391</v>
      </c>
      <c r="L2393" s="73">
        <v>7.9936057773011271E-14</v>
      </c>
    </row>
    <row r="2394" spans="11:12" x14ac:dyDescent="0.4">
      <c r="K2394" s="5">
        <v>2392</v>
      </c>
      <c r="L2394" s="73">
        <v>-1.89999999999992</v>
      </c>
    </row>
    <row r="2395" spans="11:12" x14ac:dyDescent="0.4">
      <c r="K2395" s="5">
        <v>2393</v>
      </c>
      <c r="L2395" s="73">
        <v>-27.699999999999918</v>
      </c>
    </row>
    <row r="2396" spans="11:12" x14ac:dyDescent="0.4">
      <c r="K2396" s="5">
        <v>2394</v>
      </c>
      <c r="L2396" s="73">
        <v>7.9936057773011271E-14</v>
      </c>
    </row>
    <row r="2397" spans="11:12" x14ac:dyDescent="0.4">
      <c r="K2397" s="5">
        <v>2395</v>
      </c>
      <c r="L2397" s="73">
        <v>35.900000000000077</v>
      </c>
    </row>
    <row r="2398" spans="11:12" x14ac:dyDescent="0.4">
      <c r="K2398" s="5">
        <v>2396</v>
      </c>
      <c r="L2398" s="73">
        <v>45.200000000000074</v>
      </c>
    </row>
    <row r="2399" spans="11:12" x14ac:dyDescent="0.4">
      <c r="K2399" s="5">
        <v>2397</v>
      </c>
      <c r="L2399" s="73">
        <v>7.2830630415410269E-14</v>
      </c>
    </row>
    <row r="2400" spans="11:12" x14ac:dyDescent="0.4">
      <c r="K2400" s="5">
        <v>2398</v>
      </c>
      <c r="L2400" s="73">
        <v>37.40000000000007</v>
      </c>
    </row>
    <row r="2401" spans="11:12" x14ac:dyDescent="0.4">
      <c r="K2401" s="5">
        <v>2399</v>
      </c>
      <c r="L2401" s="73">
        <v>59.100000000000065</v>
      </c>
    </row>
    <row r="2402" spans="11:12" x14ac:dyDescent="0.4">
      <c r="K2402" s="5">
        <v>2400</v>
      </c>
      <c r="L2402" s="73">
        <v>6.5725203057809267E-14</v>
      </c>
    </row>
    <row r="2403" spans="11:12" x14ac:dyDescent="0.4">
      <c r="K2403" s="5">
        <v>2401</v>
      </c>
      <c r="L2403" s="73">
        <v>-3.4999999999999343</v>
      </c>
    </row>
    <row r="2404" spans="11:12" x14ac:dyDescent="0.4">
      <c r="K2404" s="5">
        <v>2402</v>
      </c>
      <c r="L2404" s="73">
        <v>16.000000000000064</v>
      </c>
    </row>
    <row r="2405" spans="11:12" x14ac:dyDescent="0.4">
      <c r="K2405" s="5">
        <v>2403</v>
      </c>
      <c r="L2405" s="73">
        <v>6.5725203057809267E-14</v>
      </c>
    </row>
    <row r="2406" spans="11:12" x14ac:dyDescent="0.4">
      <c r="K2406" s="5">
        <v>2404</v>
      </c>
      <c r="L2406" s="73">
        <v>28.100000000000065</v>
      </c>
    </row>
    <row r="2407" spans="11:12" x14ac:dyDescent="0.4">
      <c r="K2407" s="5">
        <v>2405</v>
      </c>
      <c r="L2407" s="73">
        <v>41.700000000000067</v>
      </c>
    </row>
    <row r="2408" spans="11:12" x14ac:dyDescent="0.4">
      <c r="K2408" s="5">
        <v>2406</v>
      </c>
      <c r="L2408" s="73">
        <v>6.5725203057809267E-14</v>
      </c>
    </row>
    <row r="2409" spans="11:12" x14ac:dyDescent="0.4">
      <c r="K2409" s="5">
        <v>2407</v>
      </c>
      <c r="L2409" s="73">
        <v>51.900000000000063</v>
      </c>
    </row>
    <row r="2410" spans="11:12" x14ac:dyDescent="0.4">
      <c r="K2410" s="5">
        <v>2408</v>
      </c>
      <c r="L2410" s="73">
        <v>2.4000000000000643</v>
      </c>
    </row>
    <row r="2411" spans="11:12" x14ac:dyDescent="0.4">
      <c r="K2411" s="5">
        <v>2409</v>
      </c>
      <c r="L2411" s="73">
        <v>6.4392935428259079E-14</v>
      </c>
    </row>
    <row r="2412" spans="11:12" x14ac:dyDescent="0.4">
      <c r="K2412" s="5">
        <v>2410</v>
      </c>
      <c r="L2412" s="73">
        <v>-17.099999999999937</v>
      </c>
    </row>
    <row r="2413" spans="11:12" x14ac:dyDescent="0.4">
      <c r="K2413" s="5">
        <v>2411</v>
      </c>
      <c r="L2413" s="73">
        <v>-21.899999999999935</v>
      </c>
    </row>
    <row r="2414" spans="11:12" x14ac:dyDescent="0.4">
      <c r="K2414" s="5">
        <v>2412</v>
      </c>
      <c r="L2414" s="73">
        <v>6.2172489379008766E-14</v>
      </c>
    </row>
    <row r="2415" spans="11:12" x14ac:dyDescent="0.4">
      <c r="K2415" s="5">
        <v>2413</v>
      </c>
      <c r="L2415" s="73">
        <v>-46.099999999999937</v>
      </c>
    </row>
    <row r="2416" spans="11:12" x14ac:dyDescent="0.4">
      <c r="K2416" s="5">
        <v>2414</v>
      </c>
      <c r="L2416" s="73">
        <v>-41.899999999999935</v>
      </c>
    </row>
    <row r="2417" spans="11:12" x14ac:dyDescent="0.4">
      <c r="K2417" s="5">
        <v>2415</v>
      </c>
      <c r="L2417" s="73">
        <v>6.5725203057809267E-14</v>
      </c>
    </row>
    <row r="2418" spans="11:12" x14ac:dyDescent="0.4">
      <c r="K2418" s="5">
        <v>2416</v>
      </c>
      <c r="L2418" s="73">
        <v>-30.299999999999933</v>
      </c>
    </row>
    <row r="2419" spans="11:12" x14ac:dyDescent="0.4">
      <c r="K2419" s="5">
        <v>2417</v>
      </c>
      <c r="L2419" s="73">
        <v>16.500000000000064</v>
      </c>
    </row>
    <row r="2420" spans="11:12" x14ac:dyDescent="0.4">
      <c r="K2420" s="5">
        <v>2418</v>
      </c>
      <c r="L2420" s="73">
        <v>6.2172489379008766E-14</v>
      </c>
    </row>
    <row r="2421" spans="11:12" x14ac:dyDescent="0.4">
      <c r="K2421" s="5">
        <v>2419</v>
      </c>
      <c r="L2421" s="73">
        <v>-36.599999999999937</v>
      </c>
    </row>
    <row r="2422" spans="11:12" x14ac:dyDescent="0.4">
      <c r="K2422" s="5">
        <v>2420</v>
      </c>
      <c r="L2422" s="73">
        <v>-48.999999999999936</v>
      </c>
    </row>
    <row r="2423" spans="11:12" x14ac:dyDescent="0.4">
      <c r="K2423" s="5">
        <v>2421</v>
      </c>
      <c r="L2423" s="73">
        <v>6.5725203057809267E-14</v>
      </c>
    </row>
    <row r="2424" spans="11:12" x14ac:dyDescent="0.4">
      <c r="K2424" s="5">
        <v>2422</v>
      </c>
      <c r="L2424" s="73">
        <v>-48.599999999999937</v>
      </c>
    </row>
    <row r="2425" spans="11:12" x14ac:dyDescent="0.4">
      <c r="K2425" s="5">
        <v>2423</v>
      </c>
      <c r="L2425" s="73">
        <v>-44.399999999999935</v>
      </c>
    </row>
    <row r="2426" spans="11:12" x14ac:dyDescent="0.4">
      <c r="K2426" s="5">
        <v>2424</v>
      </c>
      <c r="L2426" s="73">
        <v>6.5725203057809267E-14</v>
      </c>
    </row>
    <row r="2427" spans="11:12" x14ac:dyDescent="0.4">
      <c r="K2427" s="5">
        <v>2425</v>
      </c>
      <c r="L2427" s="73">
        <v>-9.5999999999999339</v>
      </c>
    </row>
    <row r="2428" spans="11:12" x14ac:dyDescent="0.4">
      <c r="K2428" s="5">
        <v>2426</v>
      </c>
      <c r="L2428" s="73">
        <v>40.20000000000006</v>
      </c>
    </row>
    <row r="2429" spans="11:12" x14ac:dyDescent="0.4">
      <c r="K2429" s="5">
        <v>2427</v>
      </c>
      <c r="L2429" s="73">
        <v>5.8619775700208265E-14</v>
      </c>
    </row>
    <row r="2430" spans="11:12" x14ac:dyDescent="0.4">
      <c r="K2430" s="5">
        <v>2428</v>
      </c>
      <c r="L2430" s="73">
        <v>-48.79999999999994</v>
      </c>
    </row>
    <row r="2431" spans="11:12" x14ac:dyDescent="0.4">
      <c r="K2431" s="5">
        <v>2429</v>
      </c>
      <c r="L2431" s="73">
        <v>-49.999999999999943</v>
      </c>
    </row>
    <row r="2432" spans="11:12" x14ac:dyDescent="0.4">
      <c r="K2432" s="5">
        <v>2430</v>
      </c>
      <c r="L2432" s="73">
        <v>5.8619775700208265E-14</v>
      </c>
    </row>
    <row r="2433" spans="11:12" x14ac:dyDescent="0.4">
      <c r="K2433" s="5">
        <v>2431</v>
      </c>
      <c r="L2433" s="73">
        <v>-11.399999999999942</v>
      </c>
    </row>
    <row r="2434" spans="11:12" x14ac:dyDescent="0.4">
      <c r="K2434" s="5">
        <v>2432</v>
      </c>
      <c r="L2434" s="73">
        <v>33.70000000000006</v>
      </c>
    </row>
    <row r="2435" spans="11:12" x14ac:dyDescent="0.4">
      <c r="K2435" s="5">
        <v>2433</v>
      </c>
      <c r="L2435" s="73">
        <v>5.8619775700208265E-14</v>
      </c>
    </row>
    <row r="2436" spans="11:12" x14ac:dyDescent="0.4">
      <c r="K2436" s="5">
        <v>2434</v>
      </c>
      <c r="L2436" s="73">
        <v>124.10000000000005</v>
      </c>
    </row>
    <row r="2437" spans="11:12" x14ac:dyDescent="0.4">
      <c r="K2437" s="5">
        <v>2435</v>
      </c>
      <c r="L2437" s="73">
        <v>132.90000000000006</v>
      </c>
    </row>
    <row r="2438" spans="11:12" x14ac:dyDescent="0.4">
      <c r="K2438" s="5">
        <v>2436</v>
      </c>
      <c r="L2438" s="73">
        <v>4.4408920985006262E-14</v>
      </c>
    </row>
    <row r="2439" spans="11:12" x14ac:dyDescent="0.4">
      <c r="K2439" s="5">
        <v>2437</v>
      </c>
      <c r="L2439" s="73">
        <v>22.400000000000041</v>
      </c>
    </row>
    <row r="2440" spans="11:12" x14ac:dyDescent="0.4">
      <c r="K2440" s="5">
        <v>2438</v>
      </c>
      <c r="L2440" s="73">
        <v>29.400000000000041</v>
      </c>
    </row>
    <row r="2441" spans="11:12" x14ac:dyDescent="0.4">
      <c r="K2441" s="5">
        <v>2439</v>
      </c>
      <c r="L2441" s="73">
        <v>4.4408920985006262E-14</v>
      </c>
    </row>
    <row r="2442" spans="11:12" x14ac:dyDescent="0.4">
      <c r="K2442" s="5">
        <v>2440</v>
      </c>
      <c r="L2442" s="73">
        <v>13.600000000000044</v>
      </c>
    </row>
    <row r="2443" spans="11:12" x14ac:dyDescent="0.4">
      <c r="K2443" s="5">
        <v>2441</v>
      </c>
      <c r="L2443" s="73">
        <v>-0.49999999999995559</v>
      </c>
    </row>
    <row r="2444" spans="11:12" x14ac:dyDescent="0.4">
      <c r="K2444" s="5">
        <v>2442</v>
      </c>
      <c r="L2444" s="73">
        <v>4.4408920985006262E-14</v>
      </c>
    </row>
    <row r="2445" spans="11:12" x14ac:dyDescent="0.4">
      <c r="K2445" s="5">
        <v>2443</v>
      </c>
      <c r="L2445" s="73">
        <v>-48.19999999999996</v>
      </c>
    </row>
    <row r="2446" spans="11:12" x14ac:dyDescent="0.4">
      <c r="K2446" s="5">
        <v>2444</v>
      </c>
      <c r="L2446" s="73">
        <v>-70.599999999999952</v>
      </c>
    </row>
    <row r="2447" spans="11:12" x14ac:dyDescent="0.4">
      <c r="K2447" s="5">
        <v>2445</v>
      </c>
      <c r="L2447" s="73">
        <v>4.4408920985006262E-14</v>
      </c>
    </row>
    <row r="2448" spans="11:12" x14ac:dyDescent="0.4">
      <c r="K2448" s="5">
        <v>2446</v>
      </c>
      <c r="L2448" s="73">
        <v>44.500000000000043</v>
      </c>
    </row>
    <row r="2449" spans="11:12" x14ac:dyDescent="0.4">
      <c r="K2449" s="5">
        <v>2447</v>
      </c>
      <c r="L2449" s="73">
        <v>31.000000000000043</v>
      </c>
    </row>
    <row r="2450" spans="11:12" x14ac:dyDescent="0.4">
      <c r="K2450" s="5">
        <v>2448</v>
      </c>
      <c r="L2450" s="73">
        <v>4.4408920985006262E-14</v>
      </c>
    </row>
    <row r="2451" spans="11:12" x14ac:dyDescent="0.4">
      <c r="K2451" s="5">
        <v>2449</v>
      </c>
      <c r="L2451" s="73">
        <v>17.000000000000043</v>
      </c>
    </row>
    <row r="2452" spans="11:12" x14ac:dyDescent="0.4">
      <c r="K2452" s="5">
        <v>2450</v>
      </c>
      <c r="L2452" s="73">
        <v>-6.599999999999957</v>
      </c>
    </row>
    <row r="2453" spans="11:12" x14ac:dyDescent="0.4">
      <c r="K2453" s="5">
        <v>2451</v>
      </c>
      <c r="L2453" s="73">
        <v>4.2632564145606011E-14</v>
      </c>
    </row>
    <row r="2454" spans="11:12" x14ac:dyDescent="0.4">
      <c r="K2454" s="5">
        <v>2452</v>
      </c>
      <c r="L2454" s="73">
        <v>3.2000000000000428</v>
      </c>
    </row>
    <row r="2455" spans="11:12" x14ac:dyDescent="0.4">
      <c r="K2455" s="5">
        <v>2453</v>
      </c>
      <c r="L2455" s="73">
        <v>-26.399999999999956</v>
      </c>
    </row>
    <row r="2456" spans="11:12" x14ac:dyDescent="0.4">
      <c r="K2456" s="5">
        <v>2454</v>
      </c>
      <c r="L2456" s="73">
        <v>4.0856207306205761E-14</v>
      </c>
    </row>
    <row r="2457" spans="11:12" x14ac:dyDescent="0.4">
      <c r="K2457" s="5">
        <v>2455</v>
      </c>
      <c r="L2457" s="73">
        <v>-52.299999999999955</v>
      </c>
    </row>
    <row r="2458" spans="11:12" x14ac:dyDescent="0.4">
      <c r="K2458" s="5">
        <v>2456</v>
      </c>
      <c r="L2458" s="73">
        <v>-11.499999999999956</v>
      </c>
    </row>
    <row r="2459" spans="11:12" x14ac:dyDescent="0.4">
      <c r="K2459" s="5">
        <v>2457</v>
      </c>
      <c r="L2459" s="73">
        <v>4.4408920985006262E-14</v>
      </c>
    </row>
    <row r="2460" spans="11:12" x14ac:dyDescent="0.4">
      <c r="K2460" s="5">
        <v>2458</v>
      </c>
      <c r="L2460" s="73">
        <v>-22.799999999999955</v>
      </c>
    </row>
    <row r="2461" spans="11:12" x14ac:dyDescent="0.4">
      <c r="K2461" s="5">
        <v>2459</v>
      </c>
      <c r="L2461" s="73">
        <v>-70.599999999999952</v>
      </c>
    </row>
    <row r="2462" spans="11:12" x14ac:dyDescent="0.4">
      <c r="K2462" s="5">
        <v>2460</v>
      </c>
      <c r="L2462" s="73">
        <v>4.4408920985006262E-14</v>
      </c>
    </row>
    <row r="2463" spans="11:12" x14ac:dyDescent="0.4">
      <c r="K2463" s="5">
        <v>2461</v>
      </c>
      <c r="L2463" s="73">
        <v>5.8000000000000442</v>
      </c>
    </row>
    <row r="2464" spans="11:12" x14ac:dyDescent="0.4">
      <c r="K2464" s="5">
        <v>2462</v>
      </c>
      <c r="L2464" s="73">
        <v>-16.299999999999955</v>
      </c>
    </row>
    <row r="2465" spans="11:12" x14ac:dyDescent="0.4">
      <c r="K2465" s="5">
        <v>2463</v>
      </c>
      <c r="L2465" s="73">
        <v>4.4408920985006262E-14</v>
      </c>
    </row>
    <row r="2466" spans="11:12" x14ac:dyDescent="0.4">
      <c r="K2466" s="5">
        <v>2464</v>
      </c>
      <c r="L2466" s="73">
        <v>-41.099999999999959</v>
      </c>
    </row>
    <row r="2467" spans="11:12" x14ac:dyDescent="0.4">
      <c r="K2467" s="5">
        <v>2465</v>
      </c>
      <c r="L2467" s="73">
        <v>5.8000000000000416</v>
      </c>
    </row>
    <row r="2468" spans="11:12" x14ac:dyDescent="0.4">
      <c r="K2468" s="5">
        <v>2466</v>
      </c>
      <c r="L2468" s="73">
        <v>4.1744385725905886E-14</v>
      </c>
    </row>
    <row r="2469" spans="11:12" x14ac:dyDescent="0.4">
      <c r="K2469" s="5">
        <v>2467</v>
      </c>
      <c r="L2469" s="73">
        <v>-56.399999999999956</v>
      </c>
    </row>
    <row r="2470" spans="11:12" x14ac:dyDescent="0.4">
      <c r="K2470" s="5">
        <v>2468</v>
      </c>
      <c r="L2470" s="73">
        <v>-7.3999999999999542</v>
      </c>
    </row>
    <row r="2471" spans="11:12" x14ac:dyDescent="0.4">
      <c r="K2471" s="5">
        <v>2469</v>
      </c>
      <c r="L2471" s="73">
        <v>4.6185277824406512E-14</v>
      </c>
    </row>
    <row r="2472" spans="11:12" x14ac:dyDescent="0.4">
      <c r="K2472" s="5">
        <v>2470</v>
      </c>
      <c r="L2472" s="73">
        <v>36.200000000000045</v>
      </c>
    </row>
    <row r="2473" spans="11:12" x14ac:dyDescent="0.4">
      <c r="K2473" s="5">
        <v>2471</v>
      </c>
      <c r="L2473" s="73">
        <v>43.300000000000047</v>
      </c>
    </row>
    <row r="2474" spans="11:12" x14ac:dyDescent="0.4">
      <c r="K2474" s="5">
        <v>2472</v>
      </c>
      <c r="L2474" s="73">
        <v>5.1514348342607263E-14</v>
      </c>
    </row>
    <row r="2475" spans="11:12" x14ac:dyDescent="0.4">
      <c r="K2475" s="5">
        <v>2473</v>
      </c>
      <c r="L2475" s="73">
        <v>-26.399999999999949</v>
      </c>
    </row>
    <row r="2476" spans="11:12" x14ac:dyDescent="0.4">
      <c r="K2476" s="5">
        <v>2474</v>
      </c>
      <c r="L2476" s="73">
        <v>-24.99999999999995</v>
      </c>
    </row>
    <row r="2477" spans="11:12" x14ac:dyDescent="0.4">
      <c r="K2477" s="5">
        <v>2475</v>
      </c>
      <c r="L2477" s="73">
        <v>5.1514348342607263E-14</v>
      </c>
    </row>
    <row r="2478" spans="11:12" x14ac:dyDescent="0.4">
      <c r="K2478" s="5">
        <v>2476</v>
      </c>
      <c r="L2478" s="73">
        <v>-13.099999999999948</v>
      </c>
    </row>
    <row r="2479" spans="11:12" x14ac:dyDescent="0.4">
      <c r="K2479" s="5">
        <v>2477</v>
      </c>
      <c r="L2479" s="73">
        <v>36.100000000000051</v>
      </c>
    </row>
    <row r="2480" spans="11:12" x14ac:dyDescent="0.4">
      <c r="K2480" s="5">
        <v>2478</v>
      </c>
      <c r="L2480" s="73">
        <v>5.1514348342607263E-14</v>
      </c>
    </row>
    <row r="2481" spans="11:12" x14ac:dyDescent="0.4">
      <c r="K2481" s="5">
        <v>2479</v>
      </c>
      <c r="L2481" s="73">
        <v>-3.8999999999999484</v>
      </c>
    </row>
    <row r="2482" spans="11:12" x14ac:dyDescent="0.4">
      <c r="K2482" s="5">
        <v>2480</v>
      </c>
      <c r="L2482" s="73">
        <v>-19.199999999999946</v>
      </c>
    </row>
    <row r="2483" spans="11:12" x14ac:dyDescent="0.4">
      <c r="K2483" s="5">
        <v>2481</v>
      </c>
      <c r="L2483" s="73">
        <v>5.1514348342607263E-14</v>
      </c>
    </row>
    <row r="2484" spans="11:12" x14ac:dyDescent="0.4">
      <c r="K2484" s="5">
        <v>2482</v>
      </c>
      <c r="L2484" s="73">
        <v>-48.99999999999995</v>
      </c>
    </row>
    <row r="2485" spans="11:12" x14ac:dyDescent="0.4">
      <c r="K2485" s="5">
        <v>2483</v>
      </c>
      <c r="L2485" s="73">
        <v>13.000000000000052</v>
      </c>
    </row>
    <row r="2486" spans="11:12" x14ac:dyDescent="0.4">
      <c r="K2486" s="5">
        <v>2484</v>
      </c>
      <c r="L2486" s="73">
        <v>5.1514348342607263E-14</v>
      </c>
    </row>
    <row r="2487" spans="11:12" x14ac:dyDescent="0.4">
      <c r="K2487" s="5">
        <v>2485</v>
      </c>
      <c r="L2487" s="73">
        <v>-19.49999999999995</v>
      </c>
    </row>
    <row r="2488" spans="11:12" x14ac:dyDescent="0.4">
      <c r="K2488" s="5">
        <v>2486</v>
      </c>
      <c r="L2488" s="73">
        <v>-16.799999999999947</v>
      </c>
    </row>
    <row r="2489" spans="11:12" x14ac:dyDescent="0.4">
      <c r="K2489" s="5">
        <v>2487</v>
      </c>
      <c r="L2489" s="73">
        <v>5.1514348342607263E-14</v>
      </c>
    </row>
    <row r="2490" spans="11:12" x14ac:dyDescent="0.4">
      <c r="K2490" s="5">
        <v>2488</v>
      </c>
      <c r="L2490" s="73">
        <v>37.800000000000047</v>
      </c>
    </row>
    <row r="2491" spans="11:12" x14ac:dyDescent="0.4">
      <c r="K2491" s="5">
        <v>2489</v>
      </c>
      <c r="L2491" s="73">
        <v>-7.6999999999999513</v>
      </c>
    </row>
    <row r="2492" spans="11:12" x14ac:dyDescent="0.4">
      <c r="K2492" s="5">
        <v>2490</v>
      </c>
      <c r="L2492" s="73">
        <v>4.8849813083506888E-14</v>
      </c>
    </row>
    <row r="2493" spans="11:12" x14ac:dyDescent="0.4">
      <c r="K2493" s="5">
        <v>2491</v>
      </c>
      <c r="L2493" s="73">
        <v>-18.399999999999949</v>
      </c>
    </row>
    <row r="2494" spans="11:12" x14ac:dyDescent="0.4">
      <c r="K2494" s="5">
        <v>2492</v>
      </c>
      <c r="L2494" s="73">
        <v>-59.199999999999946</v>
      </c>
    </row>
    <row r="2495" spans="11:12" x14ac:dyDescent="0.4">
      <c r="K2495" s="5">
        <v>2493</v>
      </c>
      <c r="L2495" s="73">
        <v>5.8619775700208265E-14</v>
      </c>
    </row>
    <row r="2496" spans="11:12" x14ac:dyDescent="0.4">
      <c r="K2496" s="5">
        <v>2494</v>
      </c>
      <c r="L2496" s="73">
        <v>1.1000000000000587</v>
      </c>
    </row>
    <row r="2497" spans="11:12" x14ac:dyDescent="0.4">
      <c r="K2497" s="5">
        <v>2495</v>
      </c>
      <c r="L2497" s="73">
        <v>44.800000000000061</v>
      </c>
    </row>
    <row r="2498" spans="11:12" x14ac:dyDescent="0.4">
      <c r="K2498" s="5">
        <v>2496</v>
      </c>
      <c r="L2498" s="73">
        <v>6.5725203057809267E-14</v>
      </c>
    </row>
    <row r="2499" spans="11:12" x14ac:dyDescent="0.4">
      <c r="K2499" s="5">
        <v>2497</v>
      </c>
      <c r="L2499" s="73">
        <v>1.1000000000000658</v>
      </c>
    </row>
    <row r="2500" spans="11:12" x14ac:dyDescent="0.4">
      <c r="K2500" s="5">
        <v>2498</v>
      </c>
      <c r="L2500" s="73">
        <v>25.100000000000065</v>
      </c>
    </row>
    <row r="2501" spans="11:12" x14ac:dyDescent="0.4">
      <c r="K2501" s="5">
        <v>2499</v>
      </c>
      <c r="L2501" s="73">
        <v>6.5725203057809267E-14</v>
      </c>
    </row>
    <row r="2502" spans="11:12" x14ac:dyDescent="0.4">
      <c r="K2502" s="5">
        <v>2500</v>
      </c>
      <c r="L2502" s="73">
        <v>-9.999999999993428E-2</v>
      </c>
    </row>
    <row r="2503" spans="11:12" x14ac:dyDescent="0.4">
      <c r="K2503" s="5">
        <v>2501</v>
      </c>
      <c r="L2503" s="73">
        <v>-35.79999999999994</v>
      </c>
    </row>
    <row r="2504" spans="11:12" x14ac:dyDescent="0.4">
      <c r="K2504" s="5">
        <v>2502</v>
      </c>
      <c r="L2504" s="73">
        <v>5.8619775700208265E-14</v>
      </c>
    </row>
    <row r="2505" spans="11:12" x14ac:dyDescent="0.4">
      <c r="K2505" s="5">
        <v>2503</v>
      </c>
      <c r="L2505" s="73">
        <v>-22.499999999999943</v>
      </c>
    </row>
    <row r="2506" spans="11:12" x14ac:dyDescent="0.4">
      <c r="K2506" s="5">
        <v>2504</v>
      </c>
      <c r="L2506" s="73">
        <v>-30.399999999999942</v>
      </c>
    </row>
    <row r="2507" spans="11:12" x14ac:dyDescent="0.4">
      <c r="K2507" s="5">
        <v>2505</v>
      </c>
      <c r="L2507" s="73">
        <v>5.8619775700208265E-14</v>
      </c>
    </row>
    <row r="2508" spans="11:12" x14ac:dyDescent="0.4">
      <c r="K2508" s="5">
        <v>2506</v>
      </c>
      <c r="L2508" s="73">
        <v>-87.399999999999949</v>
      </c>
    </row>
    <row r="2509" spans="11:12" x14ac:dyDescent="0.4">
      <c r="K2509" s="5">
        <v>2507</v>
      </c>
      <c r="L2509" s="73">
        <v>9.7000000000000473</v>
      </c>
    </row>
    <row r="2510" spans="11:12" x14ac:dyDescent="0.4">
      <c r="K2510" s="5">
        <v>2508</v>
      </c>
      <c r="L2510" s="73">
        <v>4.7961634663806763E-14</v>
      </c>
    </row>
    <row r="2511" spans="11:12" x14ac:dyDescent="0.4">
      <c r="K2511" s="5">
        <v>2509</v>
      </c>
      <c r="L2511" s="73">
        <v>25.900000000000048</v>
      </c>
    </row>
    <row r="2512" spans="11:12" x14ac:dyDescent="0.4">
      <c r="K2512" s="5">
        <v>2510</v>
      </c>
      <c r="L2512" s="73">
        <v>2.8000000000000451</v>
      </c>
    </row>
    <row r="2513" spans="11:12" x14ac:dyDescent="0.4">
      <c r="K2513" s="5">
        <v>2511</v>
      </c>
      <c r="L2513" s="73">
        <v>4.5297099404706387E-14</v>
      </c>
    </row>
    <row r="2514" spans="11:12" x14ac:dyDescent="0.4">
      <c r="K2514" s="5">
        <v>2512</v>
      </c>
      <c r="L2514" s="73">
        <v>-12.899999999999954</v>
      </c>
    </row>
    <row r="2515" spans="11:12" x14ac:dyDescent="0.4">
      <c r="K2515" s="5">
        <v>2513</v>
      </c>
      <c r="L2515" s="73">
        <v>32.300000000000047</v>
      </c>
    </row>
    <row r="2516" spans="11:12" x14ac:dyDescent="0.4">
      <c r="K2516" s="5">
        <v>2514</v>
      </c>
      <c r="L2516" s="73">
        <v>5.1514348342607263E-14</v>
      </c>
    </row>
    <row r="2517" spans="11:12" x14ac:dyDescent="0.4">
      <c r="K2517" s="5">
        <v>2515</v>
      </c>
      <c r="L2517" s="73">
        <v>36.00000000000005</v>
      </c>
    </row>
    <row r="2518" spans="11:12" x14ac:dyDescent="0.4">
      <c r="K2518" s="5">
        <v>2516</v>
      </c>
      <c r="L2518" s="73">
        <v>-12.799999999999946</v>
      </c>
    </row>
    <row r="2519" spans="11:12" x14ac:dyDescent="0.4">
      <c r="K2519" s="5">
        <v>2517</v>
      </c>
      <c r="L2519" s="73">
        <v>5.5067062021407764E-14</v>
      </c>
    </row>
    <row r="2520" spans="11:12" x14ac:dyDescent="0.4">
      <c r="K2520" s="5">
        <v>2518</v>
      </c>
      <c r="L2520" s="73">
        <v>20.400000000000055</v>
      </c>
    </row>
    <row r="2521" spans="11:12" x14ac:dyDescent="0.4">
      <c r="K2521" s="5">
        <v>2519</v>
      </c>
      <c r="L2521" s="73">
        <v>-30.699999999999946</v>
      </c>
    </row>
    <row r="2522" spans="11:12" x14ac:dyDescent="0.4">
      <c r="K2522" s="5">
        <v>2520</v>
      </c>
      <c r="L2522" s="73">
        <v>5.1514348342607263E-14</v>
      </c>
    </row>
    <row r="2523" spans="11:12" x14ac:dyDescent="0.4">
      <c r="K2523" s="5">
        <v>2521</v>
      </c>
      <c r="L2523" s="73">
        <v>-60.299999999999947</v>
      </c>
    </row>
    <row r="2524" spans="11:12" x14ac:dyDescent="0.4">
      <c r="K2524" s="5">
        <v>2522</v>
      </c>
      <c r="L2524" s="73">
        <v>-0.29999999999994564</v>
      </c>
    </row>
    <row r="2525" spans="11:12" x14ac:dyDescent="0.4">
      <c r="K2525" s="5">
        <v>2523</v>
      </c>
      <c r="L2525" s="73">
        <v>5.4345417055401413E-14</v>
      </c>
    </row>
    <row r="2526" spans="11:12" x14ac:dyDescent="0.4">
      <c r="K2526" s="5">
        <v>2524</v>
      </c>
      <c r="L2526" s="73">
        <v>-45.599999999999952</v>
      </c>
    </row>
    <row r="2527" spans="11:12" x14ac:dyDescent="0.4">
      <c r="K2527" s="5">
        <v>2525</v>
      </c>
      <c r="L2527" s="73">
        <v>9.6000000000000529</v>
      </c>
    </row>
    <row r="2528" spans="11:12" x14ac:dyDescent="0.4">
      <c r="K2528" s="5">
        <v>2526</v>
      </c>
      <c r="L2528" s="73">
        <v>5.3290705182007514E-14</v>
      </c>
    </row>
    <row r="2529" spans="11:12" x14ac:dyDescent="0.4">
      <c r="K2529" s="5">
        <v>2527</v>
      </c>
      <c r="L2529" s="73">
        <v>28.900000000000048</v>
      </c>
    </row>
    <row r="2530" spans="11:12" x14ac:dyDescent="0.4">
      <c r="K2530" s="5">
        <v>2528</v>
      </c>
      <c r="L2530" s="73">
        <v>27.900000000000048</v>
      </c>
    </row>
    <row r="2531" spans="11:12" x14ac:dyDescent="0.4">
      <c r="K2531" s="5">
        <v>2529</v>
      </c>
      <c r="L2531" s="73">
        <v>5.1514348342607263E-14</v>
      </c>
    </row>
    <row r="2532" spans="11:12" x14ac:dyDescent="0.4">
      <c r="K2532" s="5">
        <v>2530</v>
      </c>
      <c r="L2532" s="73">
        <v>-31.49999999999995</v>
      </c>
    </row>
    <row r="2533" spans="11:12" x14ac:dyDescent="0.4">
      <c r="K2533" s="5">
        <v>2531</v>
      </c>
      <c r="L2533" s="73">
        <v>-38.399999999999949</v>
      </c>
    </row>
    <row r="2534" spans="11:12" x14ac:dyDescent="0.4">
      <c r="K2534" s="5">
        <v>2532</v>
      </c>
      <c r="L2534" s="73">
        <v>5.1514348342607263E-14</v>
      </c>
    </row>
    <row r="2535" spans="11:12" x14ac:dyDescent="0.4">
      <c r="K2535" s="5">
        <v>2533</v>
      </c>
      <c r="L2535" s="73">
        <v>33.50000000000005</v>
      </c>
    </row>
    <row r="2536" spans="11:12" x14ac:dyDescent="0.4">
      <c r="K2536" s="5">
        <v>2534</v>
      </c>
      <c r="L2536" s="73">
        <v>0.70000000000005436</v>
      </c>
    </row>
    <row r="2537" spans="11:12" x14ac:dyDescent="0.4">
      <c r="K2537" s="5">
        <v>2535</v>
      </c>
      <c r="L2537" s="73">
        <v>5.440092820663267E-14</v>
      </c>
    </row>
    <row r="2538" spans="11:12" x14ac:dyDescent="0.4">
      <c r="K2538" s="5">
        <v>2536</v>
      </c>
      <c r="L2538" s="73">
        <v>12.000000000000055</v>
      </c>
    </row>
    <row r="2539" spans="11:12" x14ac:dyDescent="0.4">
      <c r="K2539" s="5">
        <v>2537</v>
      </c>
      <c r="L2539" s="73">
        <v>38.300000000000054</v>
      </c>
    </row>
    <row r="2540" spans="11:12" x14ac:dyDescent="0.4">
      <c r="K2540" s="5">
        <v>2538</v>
      </c>
      <c r="L2540" s="73">
        <v>5.8619775700208265E-14</v>
      </c>
    </row>
    <row r="2541" spans="11:12" x14ac:dyDescent="0.4">
      <c r="K2541" s="5">
        <v>2539</v>
      </c>
      <c r="L2541" s="73">
        <v>7.400000000000059</v>
      </c>
    </row>
    <row r="2542" spans="11:12" x14ac:dyDescent="0.4">
      <c r="K2542" s="5">
        <v>2540</v>
      </c>
      <c r="L2542" s="73">
        <v>26.800000000000054</v>
      </c>
    </row>
    <row r="2543" spans="11:12" x14ac:dyDescent="0.4">
      <c r="K2543" s="5">
        <v>2541</v>
      </c>
      <c r="L2543" s="73">
        <v>5.5067062021407764E-14</v>
      </c>
    </row>
    <row r="2544" spans="11:12" x14ac:dyDescent="0.4">
      <c r="K2544" s="5">
        <v>2542</v>
      </c>
      <c r="L2544" s="73">
        <v>-26.799999999999947</v>
      </c>
    </row>
    <row r="2545" spans="11:12" x14ac:dyDescent="0.4">
      <c r="K2545" s="5">
        <v>2543</v>
      </c>
      <c r="L2545" s="73">
        <v>-5.2999999999999456</v>
      </c>
    </row>
    <row r="2546" spans="11:12" x14ac:dyDescent="0.4">
      <c r="K2546" s="5">
        <v>2544</v>
      </c>
      <c r="L2546" s="73">
        <v>5.4178883601707639E-14</v>
      </c>
    </row>
    <row r="2547" spans="11:12" x14ac:dyDescent="0.4">
      <c r="K2547" s="5">
        <v>2545</v>
      </c>
      <c r="L2547" s="73">
        <v>-20.199999999999946</v>
      </c>
    </row>
    <row r="2548" spans="11:12" x14ac:dyDescent="0.4">
      <c r="K2548" s="5">
        <v>2546</v>
      </c>
      <c r="L2548" s="73">
        <v>-28.899999999999942</v>
      </c>
    </row>
    <row r="2549" spans="11:12" x14ac:dyDescent="0.4">
      <c r="K2549" s="5">
        <v>2547</v>
      </c>
      <c r="L2549" s="73">
        <v>5.5067062021407764E-14</v>
      </c>
    </row>
    <row r="2550" spans="11:12" x14ac:dyDescent="0.4">
      <c r="K2550" s="5">
        <v>2548</v>
      </c>
      <c r="L2550" s="73">
        <v>-22.599999999999945</v>
      </c>
    </row>
    <row r="2551" spans="11:12" x14ac:dyDescent="0.4">
      <c r="K2551" s="5">
        <v>2549</v>
      </c>
      <c r="L2551" s="73">
        <v>-19.999999999999943</v>
      </c>
    </row>
    <row r="2552" spans="11:12" x14ac:dyDescent="0.4">
      <c r="K2552" s="5">
        <v>2550</v>
      </c>
      <c r="L2552" s="73">
        <v>5.5067062021407764E-14</v>
      </c>
    </row>
    <row r="2553" spans="11:12" x14ac:dyDescent="0.4">
      <c r="K2553" s="5">
        <v>2551</v>
      </c>
      <c r="L2553" s="73">
        <v>42.300000000000054</v>
      </c>
    </row>
    <row r="2554" spans="11:12" x14ac:dyDescent="0.4">
      <c r="K2554" s="5">
        <v>2552</v>
      </c>
      <c r="L2554" s="73">
        <v>47.000000000000057</v>
      </c>
    </row>
    <row r="2555" spans="11:12" x14ac:dyDescent="0.4">
      <c r="K2555" s="5">
        <v>2553</v>
      </c>
      <c r="L2555" s="73">
        <v>5.8619775700208265E-14</v>
      </c>
    </row>
    <row r="2556" spans="11:12" x14ac:dyDescent="0.4">
      <c r="K2556" s="5">
        <v>2554</v>
      </c>
      <c r="L2556" s="73">
        <v>-21.599999999999945</v>
      </c>
    </row>
    <row r="2557" spans="11:12" x14ac:dyDescent="0.4">
      <c r="K2557" s="5">
        <v>2555</v>
      </c>
      <c r="L2557" s="73">
        <v>0.60000000000005649</v>
      </c>
    </row>
    <row r="2558" spans="11:12" x14ac:dyDescent="0.4">
      <c r="K2558" s="5">
        <v>2556</v>
      </c>
      <c r="L2558" s="73">
        <v>5.6510351953420468E-14</v>
      </c>
    </row>
    <row r="2559" spans="11:12" x14ac:dyDescent="0.4">
      <c r="K2559" s="5">
        <v>2557</v>
      </c>
      <c r="L2559" s="73">
        <v>1.1000000000000565</v>
      </c>
    </row>
    <row r="2560" spans="11:12" x14ac:dyDescent="0.4">
      <c r="K2560" s="5">
        <v>2558</v>
      </c>
      <c r="L2560" s="73">
        <v>-47.399999999999949</v>
      </c>
    </row>
    <row r="2561" spans="11:12" x14ac:dyDescent="0.4">
      <c r="K2561" s="5">
        <v>2559</v>
      </c>
      <c r="L2561" s="73">
        <v>5.1514348342607263E-14</v>
      </c>
    </row>
    <row r="2562" spans="11:12" x14ac:dyDescent="0.4">
      <c r="K2562" s="5">
        <v>2560</v>
      </c>
      <c r="L2562" s="73">
        <v>-55.49999999999995</v>
      </c>
    </row>
    <row r="2563" spans="11:12" x14ac:dyDescent="0.4">
      <c r="K2563" s="5">
        <v>2561</v>
      </c>
      <c r="L2563" s="73">
        <v>-66.199999999999946</v>
      </c>
    </row>
    <row r="2564" spans="11:12" x14ac:dyDescent="0.4">
      <c r="K2564" s="5">
        <v>2562</v>
      </c>
      <c r="L2564" s="73">
        <v>5.8619775700208265E-14</v>
      </c>
    </row>
    <row r="2565" spans="11:12" x14ac:dyDescent="0.4">
      <c r="K2565" s="5">
        <v>2563</v>
      </c>
      <c r="L2565" s="73">
        <v>54.20000000000006</v>
      </c>
    </row>
    <row r="2566" spans="11:12" x14ac:dyDescent="0.4">
      <c r="K2566" s="5">
        <v>2564</v>
      </c>
      <c r="L2566" s="73">
        <v>48.70000000000006</v>
      </c>
    </row>
    <row r="2567" spans="11:12" x14ac:dyDescent="0.4">
      <c r="K2567" s="5">
        <v>2565</v>
      </c>
      <c r="L2567" s="73">
        <v>5.8619775700208265E-14</v>
      </c>
    </row>
    <row r="2568" spans="11:12" x14ac:dyDescent="0.4">
      <c r="K2568" s="5">
        <v>2566</v>
      </c>
      <c r="L2568" s="73">
        <v>15.700000000000058</v>
      </c>
    </row>
    <row r="2569" spans="11:12" x14ac:dyDescent="0.4">
      <c r="K2569" s="5">
        <v>2567</v>
      </c>
      <c r="L2569" s="73">
        <v>18.300000000000061</v>
      </c>
    </row>
    <row r="2570" spans="11:12" x14ac:dyDescent="0.4">
      <c r="K2570" s="5">
        <v>2568</v>
      </c>
      <c r="L2570" s="73">
        <v>5.8619775700208265E-14</v>
      </c>
    </row>
    <row r="2571" spans="11:12" x14ac:dyDescent="0.4">
      <c r="K2571" s="5">
        <v>2569</v>
      </c>
      <c r="L2571" s="73">
        <v>26.800000000000061</v>
      </c>
    </row>
    <row r="2572" spans="11:12" x14ac:dyDescent="0.4">
      <c r="K2572" s="5">
        <v>2570</v>
      </c>
      <c r="L2572" s="73">
        <v>-14.899999999999944</v>
      </c>
    </row>
    <row r="2573" spans="11:12" x14ac:dyDescent="0.4">
      <c r="K2573" s="5">
        <v>2571</v>
      </c>
      <c r="L2573" s="73">
        <v>5.6843418860808015E-14</v>
      </c>
    </row>
    <row r="2574" spans="11:12" x14ac:dyDescent="0.4">
      <c r="K2574" s="5">
        <v>2572</v>
      </c>
      <c r="L2574" s="73">
        <v>57.800000000000054</v>
      </c>
    </row>
    <row r="2575" spans="11:12" x14ac:dyDescent="0.4">
      <c r="K2575" s="5">
        <v>2573</v>
      </c>
      <c r="L2575" s="73">
        <v>45.200000000000053</v>
      </c>
    </row>
    <row r="2576" spans="11:12" x14ac:dyDescent="0.4">
      <c r="K2576" s="5">
        <v>2574</v>
      </c>
      <c r="L2576" s="73">
        <v>5.1514348342607263E-14</v>
      </c>
    </row>
    <row r="2577" spans="11:12" x14ac:dyDescent="0.4">
      <c r="K2577" s="5">
        <v>2575</v>
      </c>
      <c r="L2577" s="73">
        <v>-4.4999999999999485</v>
      </c>
    </row>
    <row r="2578" spans="11:12" x14ac:dyDescent="0.4">
      <c r="K2578" s="5">
        <v>2576</v>
      </c>
      <c r="L2578" s="73">
        <v>-28.799999999999947</v>
      </c>
    </row>
    <row r="2579" spans="11:12" x14ac:dyDescent="0.4">
      <c r="K2579" s="5">
        <v>2577</v>
      </c>
      <c r="L2579" s="73">
        <v>5.1514348342607263E-14</v>
      </c>
    </row>
    <row r="2580" spans="11:12" x14ac:dyDescent="0.4">
      <c r="K2580" s="5">
        <v>2578</v>
      </c>
      <c r="L2580" s="73">
        <v>-19.699999999999946</v>
      </c>
    </row>
    <row r="2581" spans="11:12" x14ac:dyDescent="0.4">
      <c r="K2581" s="5">
        <v>2579</v>
      </c>
      <c r="L2581" s="73">
        <v>-1.5999999999999464</v>
      </c>
    </row>
    <row r="2582" spans="11:12" x14ac:dyDescent="0.4">
      <c r="K2582" s="5">
        <v>2580</v>
      </c>
      <c r="L2582" s="73">
        <v>5.3734794391857577E-14</v>
      </c>
    </row>
    <row r="2583" spans="11:12" x14ac:dyDescent="0.4">
      <c r="K2583" s="5">
        <v>2581</v>
      </c>
      <c r="L2583" s="73">
        <v>-46.799999999999947</v>
      </c>
    </row>
    <row r="2584" spans="11:12" x14ac:dyDescent="0.4">
      <c r="K2584" s="5">
        <v>2582</v>
      </c>
      <c r="L2584" s="73">
        <v>29.600000000000058</v>
      </c>
    </row>
    <row r="2585" spans="11:12" x14ac:dyDescent="0.4">
      <c r="K2585" s="5">
        <v>2583</v>
      </c>
      <c r="L2585" s="73">
        <v>5.8619775700208265E-14</v>
      </c>
    </row>
    <row r="2586" spans="11:12" x14ac:dyDescent="0.4">
      <c r="K2586" s="5">
        <v>2584</v>
      </c>
      <c r="L2586" s="73">
        <v>36.800000000000054</v>
      </c>
    </row>
    <row r="2587" spans="11:12" x14ac:dyDescent="0.4">
      <c r="K2587" s="5">
        <v>2585</v>
      </c>
      <c r="L2587" s="73">
        <v>0.9000000000000572</v>
      </c>
    </row>
    <row r="2588" spans="11:12" x14ac:dyDescent="0.4">
      <c r="K2588" s="5">
        <v>2586</v>
      </c>
      <c r="L2588" s="73">
        <v>5.7176485768195562E-14</v>
      </c>
    </row>
    <row r="2589" spans="11:12" x14ac:dyDescent="0.4">
      <c r="K2589" s="5">
        <v>2587</v>
      </c>
      <c r="L2589" s="73">
        <v>0.60000000000005715</v>
      </c>
    </row>
    <row r="2590" spans="11:12" x14ac:dyDescent="0.4">
      <c r="K2590" s="5">
        <v>2588</v>
      </c>
      <c r="L2590" s="73">
        <v>18.70000000000006</v>
      </c>
    </row>
    <row r="2591" spans="11:12" x14ac:dyDescent="0.4">
      <c r="K2591" s="5">
        <v>2589</v>
      </c>
      <c r="L2591" s="73">
        <v>5.8619775700208265E-14</v>
      </c>
    </row>
    <row r="2592" spans="11:12" x14ac:dyDescent="0.4">
      <c r="K2592" s="5">
        <v>2590</v>
      </c>
      <c r="L2592" s="73">
        <v>-18.499999999999943</v>
      </c>
    </row>
    <row r="2593" spans="11:12" x14ac:dyDescent="0.4">
      <c r="K2593" s="5">
        <v>2591</v>
      </c>
      <c r="L2593" s="73">
        <v>-63.599999999999945</v>
      </c>
    </row>
    <row r="2594" spans="11:12" x14ac:dyDescent="0.4">
      <c r="K2594" s="5">
        <v>2592</v>
      </c>
      <c r="L2594" s="73">
        <v>5.8619775700208265E-14</v>
      </c>
    </row>
    <row r="2595" spans="11:12" x14ac:dyDescent="0.4">
      <c r="K2595" s="5">
        <v>2593</v>
      </c>
      <c r="L2595" s="73">
        <v>35.20000000000006</v>
      </c>
    </row>
    <row r="2596" spans="11:12" x14ac:dyDescent="0.4">
      <c r="K2596" s="5">
        <v>2594</v>
      </c>
      <c r="L2596" s="73">
        <v>-11.499999999999941</v>
      </c>
    </row>
    <row r="2597" spans="11:12" x14ac:dyDescent="0.4">
      <c r="K2597" s="5">
        <v>2595</v>
      </c>
      <c r="L2597" s="73">
        <v>5.8619775700208265E-14</v>
      </c>
    </row>
    <row r="2598" spans="11:12" x14ac:dyDescent="0.4">
      <c r="K2598" s="5">
        <v>2596</v>
      </c>
      <c r="L2598" s="73">
        <v>28.900000000000055</v>
      </c>
    </row>
    <row r="2599" spans="11:12" x14ac:dyDescent="0.4">
      <c r="K2599" s="5">
        <v>2597</v>
      </c>
      <c r="L2599" s="73">
        <v>25.400000000000055</v>
      </c>
    </row>
    <row r="2600" spans="11:12" x14ac:dyDescent="0.4">
      <c r="K2600" s="5">
        <v>2598</v>
      </c>
      <c r="L2600" s="73">
        <v>5.8619775700208265E-14</v>
      </c>
    </row>
    <row r="2601" spans="11:12" x14ac:dyDescent="0.4">
      <c r="K2601" s="5">
        <v>2599</v>
      </c>
      <c r="L2601" s="73">
        <v>3.3000000000000584</v>
      </c>
    </row>
    <row r="2602" spans="11:12" x14ac:dyDescent="0.4">
      <c r="K2602" s="5">
        <v>2600</v>
      </c>
      <c r="L2602" s="73">
        <v>22.70000000000006</v>
      </c>
    </row>
    <row r="2603" spans="11:12" x14ac:dyDescent="0.4">
      <c r="K2603" s="5">
        <v>2601</v>
      </c>
      <c r="L2603" s="73">
        <v>5.8619775700208265E-14</v>
      </c>
    </row>
    <row r="2604" spans="11:12" x14ac:dyDescent="0.4">
      <c r="K2604" s="5">
        <v>2602</v>
      </c>
      <c r="L2604" s="73">
        <v>9.0000000000000586</v>
      </c>
    </row>
    <row r="2605" spans="11:12" x14ac:dyDescent="0.4">
      <c r="K2605" s="5">
        <v>2603</v>
      </c>
      <c r="L2605" s="73">
        <v>-43.599999999999945</v>
      </c>
    </row>
    <row r="2606" spans="11:12" x14ac:dyDescent="0.4">
      <c r="K2606" s="5">
        <v>2604</v>
      </c>
      <c r="L2606" s="73">
        <v>5.8619775700208265E-14</v>
      </c>
    </row>
    <row r="2607" spans="11:12" x14ac:dyDescent="0.4">
      <c r="K2607" s="5">
        <v>2605</v>
      </c>
      <c r="L2607" s="73">
        <v>27.400000000000055</v>
      </c>
    </row>
    <row r="2608" spans="11:12" x14ac:dyDescent="0.4">
      <c r="K2608" s="5">
        <v>2606</v>
      </c>
      <c r="L2608" s="73">
        <v>42.000000000000057</v>
      </c>
    </row>
    <row r="2609" spans="11:12" x14ac:dyDescent="0.4">
      <c r="K2609" s="5">
        <v>2607</v>
      </c>
      <c r="L2609" s="73">
        <v>5.8619775700208265E-14</v>
      </c>
    </row>
    <row r="2610" spans="11:12" x14ac:dyDescent="0.4">
      <c r="K2610" s="5">
        <v>2608</v>
      </c>
      <c r="L2610" s="73">
        <v>-22.29999999999994</v>
      </c>
    </row>
    <row r="2611" spans="11:12" x14ac:dyDescent="0.4">
      <c r="K2611" s="5">
        <v>2609</v>
      </c>
      <c r="L2611" s="73">
        <v>-17.099999999999945</v>
      </c>
    </row>
    <row r="2612" spans="11:12" x14ac:dyDescent="0.4">
      <c r="K2612" s="5">
        <v>2610</v>
      </c>
      <c r="L2612" s="73">
        <v>5.8619775700208265E-14</v>
      </c>
    </row>
    <row r="2613" spans="11:12" x14ac:dyDescent="0.4">
      <c r="K2613" s="5">
        <v>2611</v>
      </c>
      <c r="L2613" s="73">
        <v>-4.9999999999999414</v>
      </c>
    </row>
    <row r="2614" spans="11:12" x14ac:dyDescent="0.4">
      <c r="K2614" s="5">
        <v>2612</v>
      </c>
      <c r="L2614" s="73">
        <v>20.000000000000057</v>
      </c>
    </row>
    <row r="2615" spans="11:12" x14ac:dyDescent="0.4">
      <c r="K2615" s="5">
        <v>2613</v>
      </c>
      <c r="L2615" s="73">
        <v>5.8619775700208265E-14</v>
      </c>
    </row>
    <row r="2616" spans="11:12" x14ac:dyDescent="0.4">
      <c r="K2616" s="5">
        <v>2614</v>
      </c>
      <c r="L2616" s="73">
        <v>47.500000000000057</v>
      </c>
    </row>
    <row r="2617" spans="11:12" x14ac:dyDescent="0.4">
      <c r="K2617" s="5">
        <v>2615</v>
      </c>
      <c r="L2617" s="73">
        <v>45.500000000000057</v>
      </c>
    </row>
    <row r="2618" spans="11:12" x14ac:dyDescent="0.4">
      <c r="K2618" s="5">
        <v>2616</v>
      </c>
      <c r="L2618" s="73">
        <v>5.8619775700208265E-14</v>
      </c>
    </row>
    <row r="2619" spans="11:12" x14ac:dyDescent="0.4">
      <c r="K2619" s="5">
        <v>2617</v>
      </c>
      <c r="L2619" s="73">
        <v>4.2000000000000588</v>
      </c>
    </row>
    <row r="2620" spans="11:12" x14ac:dyDescent="0.4">
      <c r="K2620" s="5">
        <v>2618</v>
      </c>
      <c r="L2620" s="73">
        <v>26.20000000000006</v>
      </c>
    </row>
    <row r="2621" spans="11:12" x14ac:dyDescent="0.4">
      <c r="K2621" s="5">
        <v>2619</v>
      </c>
      <c r="L2621" s="73">
        <v>5.8619775700208265E-14</v>
      </c>
    </row>
    <row r="2622" spans="11:12" x14ac:dyDescent="0.4">
      <c r="K2622" s="5">
        <v>2620</v>
      </c>
      <c r="L2622" s="73">
        <v>46.20000000000006</v>
      </c>
    </row>
    <row r="2623" spans="11:12" x14ac:dyDescent="0.4">
      <c r="K2623" s="5">
        <v>2621</v>
      </c>
      <c r="L2623" s="73">
        <v>-5.2999999999999385</v>
      </c>
    </row>
    <row r="2624" spans="11:12" x14ac:dyDescent="0.4">
      <c r="K2624" s="5">
        <v>2622</v>
      </c>
      <c r="L2624" s="73">
        <v>6.1284310959308641E-14</v>
      </c>
    </row>
    <row r="2625" spans="11:12" x14ac:dyDescent="0.4">
      <c r="K2625" s="5">
        <v>2623</v>
      </c>
      <c r="L2625" s="73">
        <v>5.6000000000000609</v>
      </c>
    </row>
    <row r="2626" spans="11:12" x14ac:dyDescent="0.4">
      <c r="K2626" s="5">
        <v>2624</v>
      </c>
      <c r="L2626" s="73">
        <v>23.20000000000006</v>
      </c>
    </row>
    <row r="2627" spans="11:12" x14ac:dyDescent="0.4">
      <c r="K2627" s="5">
        <v>2625</v>
      </c>
      <c r="L2627" s="73">
        <v>6.2172489379008766E-14</v>
      </c>
    </row>
    <row r="2628" spans="11:12" x14ac:dyDescent="0.4">
      <c r="K2628" s="5">
        <v>2626</v>
      </c>
      <c r="L2628" s="73">
        <v>3.9000000000000621</v>
      </c>
    </row>
    <row r="2629" spans="11:12" x14ac:dyDescent="0.4">
      <c r="K2629" s="5">
        <v>2627</v>
      </c>
      <c r="L2629" s="73">
        <v>-36.29999999999994</v>
      </c>
    </row>
    <row r="2630" spans="11:12" x14ac:dyDescent="0.4">
      <c r="K2630" s="5">
        <v>2628</v>
      </c>
      <c r="L2630" s="73">
        <v>5.8619775700208265E-14</v>
      </c>
    </row>
    <row r="2631" spans="11:12" x14ac:dyDescent="0.4">
      <c r="K2631" s="5">
        <v>2629</v>
      </c>
      <c r="L2631" s="73">
        <v>-6.9999999999999414</v>
      </c>
    </row>
    <row r="2632" spans="11:12" x14ac:dyDescent="0.4">
      <c r="K2632" s="5">
        <v>2630</v>
      </c>
      <c r="L2632" s="73">
        <v>-35.699999999999946</v>
      </c>
    </row>
    <row r="2633" spans="11:12" x14ac:dyDescent="0.4">
      <c r="K2633" s="5">
        <v>2631</v>
      </c>
      <c r="L2633" s="73">
        <v>5.8619775700208265E-14</v>
      </c>
    </row>
    <row r="2634" spans="11:12" x14ac:dyDescent="0.4">
      <c r="K2634" s="5">
        <v>2632</v>
      </c>
      <c r="L2634" s="73">
        <v>-7.099999999999941</v>
      </c>
    </row>
    <row r="2635" spans="11:12" x14ac:dyDescent="0.4">
      <c r="K2635" s="5">
        <v>2633</v>
      </c>
      <c r="L2635" s="73">
        <v>17.600000000000058</v>
      </c>
    </row>
    <row r="2636" spans="11:12" x14ac:dyDescent="0.4">
      <c r="K2636" s="5">
        <v>2634</v>
      </c>
      <c r="L2636" s="73">
        <v>5.8619775700208265E-14</v>
      </c>
    </row>
    <row r="2637" spans="11:12" x14ac:dyDescent="0.4">
      <c r="K2637" s="5">
        <v>2635</v>
      </c>
      <c r="L2637" s="73">
        <v>33.000000000000057</v>
      </c>
    </row>
    <row r="2638" spans="11:12" x14ac:dyDescent="0.4">
      <c r="K2638" s="5">
        <v>2636</v>
      </c>
      <c r="L2638" s="73">
        <v>33.100000000000058</v>
      </c>
    </row>
    <row r="2639" spans="11:12" x14ac:dyDescent="0.4">
      <c r="K2639" s="5">
        <v>2637</v>
      </c>
      <c r="L2639" s="73">
        <v>5.8619775700208265E-14</v>
      </c>
    </row>
    <row r="2640" spans="11:12" x14ac:dyDescent="0.4">
      <c r="K2640" s="5">
        <v>2638</v>
      </c>
      <c r="L2640" s="73">
        <v>-12.099999999999941</v>
      </c>
    </row>
    <row r="2641" spans="11:12" x14ac:dyDescent="0.4">
      <c r="K2641" s="5">
        <v>2639</v>
      </c>
      <c r="L2641" s="73">
        <v>-12.79999999999994</v>
      </c>
    </row>
    <row r="2642" spans="11:12" x14ac:dyDescent="0.4">
      <c r="K2642" s="5">
        <v>2640</v>
      </c>
      <c r="L2642" s="73">
        <v>6.0396132539608516E-14</v>
      </c>
    </row>
    <row r="2643" spans="11:12" x14ac:dyDescent="0.4">
      <c r="K2643" s="5">
        <v>2641</v>
      </c>
      <c r="L2643" s="73">
        <v>-13.79999999999994</v>
      </c>
    </row>
    <row r="2644" spans="11:12" x14ac:dyDescent="0.4">
      <c r="K2644" s="5">
        <v>2642</v>
      </c>
      <c r="L2644" s="73">
        <v>0.5000000000000604</v>
      </c>
    </row>
    <row r="2645" spans="11:12" x14ac:dyDescent="0.4">
      <c r="K2645" s="5">
        <v>2643</v>
      </c>
      <c r="L2645" s="73">
        <v>6.0396132539608516E-14</v>
      </c>
    </row>
    <row r="2646" spans="11:12" x14ac:dyDescent="0.4">
      <c r="K2646" s="5">
        <v>2644</v>
      </c>
      <c r="L2646" s="73">
        <v>-2.7999999999999394</v>
      </c>
    </row>
    <row r="2647" spans="11:12" x14ac:dyDescent="0.4">
      <c r="K2647" s="5">
        <v>2645</v>
      </c>
      <c r="L2647" s="73">
        <v>-15.699999999999941</v>
      </c>
    </row>
    <row r="2648" spans="11:12" x14ac:dyDescent="0.4">
      <c r="K2648" s="5">
        <v>2646</v>
      </c>
      <c r="L2648" s="73">
        <v>5.8619775700208265E-14</v>
      </c>
    </row>
    <row r="2649" spans="11:12" x14ac:dyDescent="0.4">
      <c r="K2649" s="5">
        <v>2647</v>
      </c>
      <c r="L2649" s="73">
        <v>10.200000000000058</v>
      </c>
    </row>
    <row r="2650" spans="11:12" x14ac:dyDescent="0.4">
      <c r="K2650" s="5">
        <v>2648</v>
      </c>
      <c r="L2650" s="73">
        <v>-37.699999999999946</v>
      </c>
    </row>
    <row r="2651" spans="11:12" x14ac:dyDescent="0.4">
      <c r="K2651" s="5">
        <v>2649</v>
      </c>
      <c r="L2651" s="73">
        <v>5.8619775700208265E-14</v>
      </c>
    </row>
    <row r="2652" spans="11:12" x14ac:dyDescent="0.4">
      <c r="K2652" s="5">
        <v>2650</v>
      </c>
      <c r="L2652" s="73">
        <v>-30.899999999999942</v>
      </c>
    </row>
    <row r="2653" spans="11:12" x14ac:dyDescent="0.4">
      <c r="K2653" s="5">
        <v>2651</v>
      </c>
      <c r="L2653" s="73">
        <v>-9.1999999999999407</v>
      </c>
    </row>
    <row r="2654" spans="11:12" x14ac:dyDescent="0.4">
      <c r="K2654" s="5">
        <v>2652</v>
      </c>
      <c r="L2654" s="73">
        <v>5.8619775700208265E-14</v>
      </c>
    </row>
    <row r="2655" spans="11:12" x14ac:dyDescent="0.4">
      <c r="K2655" s="5">
        <v>2653</v>
      </c>
      <c r="L2655" s="73">
        <v>-49.499999999999943</v>
      </c>
    </row>
    <row r="2656" spans="11:12" x14ac:dyDescent="0.4">
      <c r="K2656" s="5">
        <v>2654</v>
      </c>
      <c r="L2656" s="73">
        <v>-56.899999999999942</v>
      </c>
    </row>
    <row r="2657" spans="11:12" x14ac:dyDescent="0.4">
      <c r="K2657" s="5">
        <v>2655</v>
      </c>
      <c r="L2657" s="73">
        <v>5.8619775700208265E-14</v>
      </c>
    </row>
    <row r="2658" spans="11:12" x14ac:dyDescent="0.4">
      <c r="K2658" s="5">
        <v>2656</v>
      </c>
      <c r="L2658" s="73">
        <v>-36.399999999999942</v>
      </c>
    </row>
    <row r="2659" spans="11:12" x14ac:dyDescent="0.4">
      <c r="K2659" s="5">
        <v>2657</v>
      </c>
      <c r="L2659" s="73">
        <v>-32.699999999999939</v>
      </c>
    </row>
    <row r="2660" spans="11:12" x14ac:dyDescent="0.4">
      <c r="K2660" s="5">
        <v>2658</v>
      </c>
      <c r="L2660" s="73">
        <v>6.5725203057809267E-14</v>
      </c>
    </row>
    <row r="2661" spans="11:12" x14ac:dyDescent="0.4">
      <c r="K2661" s="5">
        <v>2659</v>
      </c>
      <c r="L2661" s="73">
        <v>35.000000000000064</v>
      </c>
    </row>
    <row r="2662" spans="11:12" x14ac:dyDescent="0.4">
      <c r="K2662" s="5">
        <v>2660</v>
      </c>
      <c r="L2662" s="73">
        <v>-1.2999999999999314</v>
      </c>
    </row>
    <row r="2663" spans="11:12" x14ac:dyDescent="0.4">
      <c r="K2663" s="5">
        <v>2661</v>
      </c>
      <c r="L2663" s="73">
        <v>6.8611782921834674E-14</v>
      </c>
    </row>
    <row r="2664" spans="11:12" x14ac:dyDescent="0.4">
      <c r="K2664" s="5">
        <v>2662</v>
      </c>
      <c r="L2664" s="73">
        <v>-16.59999999999993</v>
      </c>
    </row>
    <row r="2665" spans="11:12" x14ac:dyDescent="0.4">
      <c r="K2665" s="5">
        <v>2663</v>
      </c>
      <c r="L2665" s="73">
        <v>-14.599999999999932</v>
      </c>
    </row>
    <row r="2666" spans="11:12" x14ac:dyDescent="0.4">
      <c r="K2666" s="5">
        <v>2664</v>
      </c>
      <c r="L2666" s="73">
        <v>6.7501559897209518E-14</v>
      </c>
    </row>
    <row r="2667" spans="11:12" x14ac:dyDescent="0.4">
      <c r="K2667" s="5">
        <v>2665</v>
      </c>
      <c r="L2667" s="73">
        <v>45.900000000000063</v>
      </c>
    </row>
    <row r="2668" spans="11:12" x14ac:dyDescent="0.4">
      <c r="K2668" s="5">
        <v>2666</v>
      </c>
      <c r="L2668" s="73">
        <v>10.500000000000066</v>
      </c>
    </row>
    <row r="2669" spans="11:12" x14ac:dyDescent="0.4">
      <c r="K2669" s="5">
        <v>2667</v>
      </c>
      <c r="L2669" s="73">
        <v>6.5725203057809267E-14</v>
      </c>
    </row>
    <row r="2670" spans="11:12" x14ac:dyDescent="0.4">
      <c r="K2670" s="5">
        <v>2668</v>
      </c>
      <c r="L2670" s="73">
        <v>45.600000000000065</v>
      </c>
    </row>
    <row r="2671" spans="11:12" x14ac:dyDescent="0.4">
      <c r="K2671" s="5">
        <v>2669</v>
      </c>
      <c r="L2671" s="73">
        <v>57.200000000000067</v>
      </c>
    </row>
    <row r="2672" spans="11:12" x14ac:dyDescent="0.4">
      <c r="K2672" s="5">
        <v>2670</v>
      </c>
      <c r="L2672" s="73">
        <v>6.5725203057809267E-14</v>
      </c>
    </row>
    <row r="2673" spans="11:12" x14ac:dyDescent="0.4">
      <c r="K2673" s="5">
        <v>2671</v>
      </c>
      <c r="L2673" s="73">
        <v>11.400000000000066</v>
      </c>
    </row>
    <row r="2674" spans="11:12" x14ac:dyDescent="0.4">
      <c r="K2674" s="5">
        <v>2672</v>
      </c>
      <c r="L2674" s="73">
        <v>49.500000000000064</v>
      </c>
    </row>
    <row r="2675" spans="11:12" x14ac:dyDescent="0.4">
      <c r="K2675" s="5">
        <v>2673</v>
      </c>
      <c r="L2675" s="73">
        <v>6.5725203057809267E-14</v>
      </c>
    </row>
    <row r="2676" spans="11:12" x14ac:dyDescent="0.4">
      <c r="K2676" s="5">
        <v>2674</v>
      </c>
      <c r="L2676" s="73">
        <v>-3.7999999999999341</v>
      </c>
    </row>
    <row r="2677" spans="11:12" x14ac:dyDescent="0.4">
      <c r="K2677" s="5">
        <v>2675</v>
      </c>
      <c r="L2677" s="73">
        <v>-28.299999999999933</v>
      </c>
    </row>
    <row r="2678" spans="11:12" x14ac:dyDescent="0.4">
      <c r="K2678" s="5">
        <v>2676</v>
      </c>
      <c r="L2678" s="73">
        <v>6.5725203057809267E-14</v>
      </c>
    </row>
    <row r="2679" spans="11:12" x14ac:dyDescent="0.4">
      <c r="K2679" s="5">
        <v>2677</v>
      </c>
      <c r="L2679" s="73">
        <v>42.500000000000064</v>
      </c>
    </row>
    <row r="2680" spans="11:12" x14ac:dyDescent="0.4">
      <c r="K2680" s="5">
        <v>2678</v>
      </c>
      <c r="L2680" s="73">
        <v>-3.8999999999999329</v>
      </c>
    </row>
    <row r="2681" spans="11:12" x14ac:dyDescent="0.4">
      <c r="K2681" s="5">
        <v>2679</v>
      </c>
      <c r="L2681" s="73">
        <v>6.7057470687359455E-14</v>
      </c>
    </row>
    <row r="2682" spans="11:12" x14ac:dyDescent="0.4">
      <c r="K2682" s="5">
        <v>2680</v>
      </c>
      <c r="L2682" s="73">
        <v>-25.199999999999932</v>
      </c>
    </row>
    <row r="2683" spans="11:12" x14ac:dyDescent="0.4">
      <c r="K2683" s="5">
        <v>2681</v>
      </c>
      <c r="L2683" s="73">
        <v>1.8000000000000664</v>
      </c>
    </row>
    <row r="2684" spans="11:12" x14ac:dyDescent="0.4">
      <c r="K2684" s="5">
        <v>2682</v>
      </c>
      <c r="L2684" s="73">
        <v>6.6391336872584361E-14</v>
      </c>
    </row>
    <row r="2685" spans="11:12" x14ac:dyDescent="0.4">
      <c r="K2685" s="5">
        <v>2683</v>
      </c>
      <c r="L2685" s="73">
        <v>44.400000000000063</v>
      </c>
    </row>
    <row r="2686" spans="11:12" x14ac:dyDescent="0.4">
      <c r="K2686" s="5">
        <v>2684</v>
      </c>
      <c r="L2686" s="73">
        <v>3.0000000000000657</v>
      </c>
    </row>
    <row r="2687" spans="11:12" x14ac:dyDescent="0.4">
      <c r="K2687" s="5">
        <v>2685</v>
      </c>
      <c r="L2687" s="73">
        <v>6.5725203057809267E-14</v>
      </c>
    </row>
    <row r="2688" spans="11:12" x14ac:dyDescent="0.4">
      <c r="K2688" s="5">
        <v>2686</v>
      </c>
      <c r="L2688" s="73">
        <v>26.200000000000067</v>
      </c>
    </row>
    <row r="2689" spans="11:12" x14ac:dyDescent="0.4">
      <c r="K2689" s="5">
        <v>2687</v>
      </c>
      <c r="L2689" s="73">
        <v>-15.399999999999936</v>
      </c>
    </row>
    <row r="2690" spans="11:12" x14ac:dyDescent="0.4">
      <c r="K2690" s="5">
        <v>2688</v>
      </c>
      <c r="L2690" s="73">
        <v>6.3948846218409017E-14</v>
      </c>
    </row>
    <row r="2691" spans="11:12" x14ac:dyDescent="0.4">
      <c r="K2691" s="5">
        <v>2689</v>
      </c>
      <c r="L2691" s="73">
        <v>0.90000000000006397</v>
      </c>
    </row>
    <row r="2692" spans="11:12" x14ac:dyDescent="0.4">
      <c r="K2692" s="5">
        <v>2690</v>
      </c>
      <c r="L2692" s="73">
        <v>41.800000000000061</v>
      </c>
    </row>
    <row r="2693" spans="11:12" x14ac:dyDescent="0.4">
      <c r="K2693" s="5">
        <v>2691</v>
      </c>
      <c r="L2693" s="73">
        <v>6.5725203057809267E-14</v>
      </c>
    </row>
    <row r="2694" spans="11:12" x14ac:dyDescent="0.4">
      <c r="K2694" s="5">
        <v>2692</v>
      </c>
      <c r="L2694" s="73">
        <v>34.500000000000064</v>
      </c>
    </row>
    <row r="2695" spans="11:12" x14ac:dyDescent="0.4">
      <c r="K2695" s="5">
        <v>2693</v>
      </c>
      <c r="L2695" s="73">
        <v>29.100000000000065</v>
      </c>
    </row>
    <row r="2696" spans="11:12" x14ac:dyDescent="0.4">
      <c r="K2696" s="5">
        <v>2694</v>
      </c>
      <c r="L2696" s="73">
        <v>6.5725203057809267E-14</v>
      </c>
    </row>
    <row r="2697" spans="11:12" x14ac:dyDescent="0.4">
      <c r="K2697" s="5">
        <v>2695</v>
      </c>
      <c r="L2697" s="73">
        <v>2.4000000000000656</v>
      </c>
    </row>
    <row r="2698" spans="11:12" x14ac:dyDescent="0.4">
      <c r="K2698" s="5">
        <v>2696</v>
      </c>
      <c r="L2698" s="73">
        <v>17.000000000000064</v>
      </c>
    </row>
    <row r="2699" spans="11:12" x14ac:dyDescent="0.4">
      <c r="K2699" s="5">
        <v>2697</v>
      </c>
      <c r="L2699" s="73">
        <v>6.5725203057809267E-14</v>
      </c>
    </row>
    <row r="2700" spans="11:12" x14ac:dyDescent="0.4">
      <c r="K2700" s="5">
        <v>2698</v>
      </c>
      <c r="L2700" s="73">
        <v>-7.1999999999999345</v>
      </c>
    </row>
    <row r="2701" spans="11:12" x14ac:dyDescent="0.4">
      <c r="K2701" s="5">
        <v>2699</v>
      </c>
      <c r="L2701" s="73">
        <v>-42.79999999999994</v>
      </c>
    </row>
    <row r="2702" spans="11:12" x14ac:dyDescent="0.4">
      <c r="K2702" s="5">
        <v>2700</v>
      </c>
      <c r="L2702" s="73">
        <v>5.8619775700208265E-14</v>
      </c>
    </row>
    <row r="2703" spans="11:12" x14ac:dyDescent="0.4">
      <c r="K2703" s="5">
        <v>2701</v>
      </c>
      <c r="L2703" s="73">
        <v>-26.699999999999939</v>
      </c>
    </row>
    <row r="2704" spans="11:12" x14ac:dyDescent="0.4">
      <c r="K2704" s="5">
        <v>2702</v>
      </c>
      <c r="L2704" s="73">
        <v>-34.79999999999994</v>
      </c>
    </row>
    <row r="2705" spans="11:12" x14ac:dyDescent="0.4">
      <c r="K2705" s="5">
        <v>2703</v>
      </c>
      <c r="L2705" s="73">
        <v>5.8619775700208265E-14</v>
      </c>
    </row>
    <row r="2706" spans="11:12" x14ac:dyDescent="0.4">
      <c r="K2706" s="5">
        <v>2704</v>
      </c>
      <c r="L2706" s="73">
        <v>-18.999999999999943</v>
      </c>
    </row>
    <row r="2707" spans="11:12" x14ac:dyDescent="0.4">
      <c r="K2707" s="5">
        <v>2705</v>
      </c>
      <c r="L2707" s="73">
        <v>5.8619775700208265E-14</v>
      </c>
    </row>
    <row r="2708" spans="11:12" x14ac:dyDescent="0.4">
      <c r="K2708" s="5">
        <v>2706</v>
      </c>
      <c r="L2708" s="73">
        <v>5.8619775700208265E-14</v>
      </c>
    </row>
    <row r="2709" spans="11:12" x14ac:dyDescent="0.4">
      <c r="K2709" s="5">
        <v>2707</v>
      </c>
      <c r="L2709" s="73">
        <v>6.6000000000000583</v>
      </c>
    </row>
    <row r="2710" spans="11:12" x14ac:dyDescent="0.4">
      <c r="K2710" s="5">
        <v>2708</v>
      </c>
      <c r="L2710" s="73">
        <v>-18.199999999999946</v>
      </c>
    </row>
    <row r="2711" spans="11:12" x14ac:dyDescent="0.4">
      <c r="K2711" s="5">
        <v>2709</v>
      </c>
      <c r="L2711" s="73">
        <v>5.5067062021407764E-14</v>
      </c>
    </row>
    <row r="2712" spans="11:12" x14ac:dyDescent="0.4">
      <c r="K2712" s="5">
        <v>2710</v>
      </c>
      <c r="L2712" s="73">
        <v>-36.599999999999952</v>
      </c>
    </row>
    <row r="2713" spans="11:12" x14ac:dyDescent="0.4">
      <c r="K2713" s="5">
        <v>2711</v>
      </c>
      <c r="L2713" s="73">
        <v>1.8000000000000487</v>
      </c>
    </row>
    <row r="2714" spans="11:12" x14ac:dyDescent="0.4">
      <c r="K2714" s="5">
        <v>2712</v>
      </c>
      <c r="L2714" s="73">
        <v>4.8627768478581856E-14</v>
      </c>
    </row>
    <row r="2715" spans="11:12" x14ac:dyDescent="0.4">
      <c r="K2715" s="5">
        <v>2713</v>
      </c>
      <c r="L2715" s="73">
        <v>23.50000000000005</v>
      </c>
    </row>
    <row r="2716" spans="11:12" x14ac:dyDescent="0.4">
      <c r="K2716" s="5">
        <v>2714</v>
      </c>
      <c r="L2716" s="73">
        <v>29.900000000000048</v>
      </c>
    </row>
    <row r="2717" spans="11:12" x14ac:dyDescent="0.4">
      <c r="K2717" s="5">
        <v>2715</v>
      </c>
      <c r="L2717" s="73">
        <v>5.1514348342607263E-14</v>
      </c>
    </row>
    <row r="2718" spans="11:12" x14ac:dyDescent="0.4">
      <c r="K2718" s="5">
        <v>2716</v>
      </c>
      <c r="L2718" s="73">
        <v>36.200000000000053</v>
      </c>
    </row>
    <row r="2719" spans="11:12" x14ac:dyDescent="0.4">
      <c r="K2719" s="5">
        <v>2717</v>
      </c>
      <c r="L2719" s="73">
        <v>9.9000000000000536</v>
      </c>
    </row>
    <row r="2720" spans="11:12" x14ac:dyDescent="0.4">
      <c r="K2720" s="5">
        <v>2718</v>
      </c>
      <c r="L2720" s="73">
        <v>5.3290705182007514E-14</v>
      </c>
    </row>
    <row r="2721" spans="11:12" x14ac:dyDescent="0.4">
      <c r="K2721" s="5">
        <v>2719</v>
      </c>
      <c r="L2721" s="73">
        <v>-32.49999999999995</v>
      </c>
    </row>
    <row r="2722" spans="11:12" x14ac:dyDescent="0.4">
      <c r="K2722" s="5">
        <v>2720</v>
      </c>
      <c r="L2722" s="73">
        <v>-30.399999999999949</v>
      </c>
    </row>
    <row r="2723" spans="11:12" x14ac:dyDescent="0.4">
      <c r="K2723" s="5">
        <v>2721</v>
      </c>
      <c r="L2723" s="73">
        <v>5.1514348342607263E-14</v>
      </c>
    </row>
    <row r="2724" spans="11:12" x14ac:dyDescent="0.4">
      <c r="K2724" s="5">
        <v>2722</v>
      </c>
      <c r="L2724" s="73">
        <v>42.400000000000048</v>
      </c>
    </row>
    <row r="2725" spans="11:12" x14ac:dyDescent="0.4">
      <c r="K2725" s="5">
        <v>2723</v>
      </c>
      <c r="L2725" s="73">
        <v>34.100000000000051</v>
      </c>
    </row>
    <row r="2726" spans="11:12" x14ac:dyDescent="0.4">
      <c r="K2726" s="5">
        <v>2724</v>
      </c>
      <c r="L2726" s="73">
        <v>5.1514348342607263E-14</v>
      </c>
    </row>
    <row r="2727" spans="11:12" x14ac:dyDescent="0.4">
      <c r="K2727" s="5">
        <v>2725</v>
      </c>
      <c r="L2727" s="73">
        <v>32.900000000000048</v>
      </c>
    </row>
    <row r="2728" spans="11:12" x14ac:dyDescent="0.4">
      <c r="K2728" s="5">
        <v>2726</v>
      </c>
      <c r="L2728" s="73">
        <v>37.100000000000051</v>
      </c>
    </row>
    <row r="2729" spans="11:12" x14ac:dyDescent="0.4">
      <c r="K2729" s="5">
        <v>2727</v>
      </c>
      <c r="L2729" s="73">
        <v>5.1514348342607263E-14</v>
      </c>
    </row>
    <row r="2730" spans="11:12" x14ac:dyDescent="0.4">
      <c r="K2730" s="5">
        <v>2728</v>
      </c>
      <c r="L2730" s="73">
        <v>-31.899999999999949</v>
      </c>
    </row>
    <row r="2731" spans="11:12" x14ac:dyDescent="0.4">
      <c r="K2731" s="5">
        <v>2729</v>
      </c>
      <c r="L2731" s="73">
        <v>-36.699999999999946</v>
      </c>
    </row>
    <row r="2732" spans="11:12" x14ac:dyDescent="0.4">
      <c r="K2732" s="5">
        <v>2730</v>
      </c>
      <c r="L2732" s="73">
        <v>5.8619775700208265E-14</v>
      </c>
    </row>
    <row r="2733" spans="11:12" x14ac:dyDescent="0.4">
      <c r="K2733" s="5">
        <v>2731</v>
      </c>
      <c r="L2733" s="73">
        <v>50.100000000000058</v>
      </c>
    </row>
    <row r="2734" spans="11:12" x14ac:dyDescent="0.4">
      <c r="K2734" s="5">
        <v>2732</v>
      </c>
      <c r="L2734" s="73">
        <v>39.600000000000058</v>
      </c>
    </row>
    <row r="2735" spans="11:12" x14ac:dyDescent="0.4">
      <c r="K2735" s="5">
        <v>2733</v>
      </c>
      <c r="L2735" s="73">
        <v>5.8619775700208265E-14</v>
      </c>
    </row>
    <row r="2736" spans="11:12" x14ac:dyDescent="0.4">
      <c r="K2736" s="5">
        <v>2734</v>
      </c>
      <c r="L2736" s="73">
        <v>6.400000000000059</v>
      </c>
    </row>
    <row r="2737" spans="11:12" x14ac:dyDescent="0.4">
      <c r="K2737" s="5">
        <v>2735</v>
      </c>
      <c r="L2737" s="73">
        <v>-23.499999999999943</v>
      </c>
    </row>
    <row r="2738" spans="11:12" x14ac:dyDescent="0.4">
      <c r="K2738" s="5">
        <v>2736</v>
      </c>
      <c r="L2738" s="73">
        <v>5.8619775700208265E-14</v>
      </c>
    </row>
    <row r="2739" spans="11:12" x14ac:dyDescent="0.4">
      <c r="K2739" s="5">
        <v>2737</v>
      </c>
      <c r="L2739" s="73">
        <v>-3.5999999999999415</v>
      </c>
    </row>
    <row r="2740" spans="11:12" x14ac:dyDescent="0.4">
      <c r="K2740" s="5">
        <v>2738</v>
      </c>
      <c r="L2740" s="73">
        <v>18.000000000000057</v>
      </c>
    </row>
    <row r="2741" spans="11:12" x14ac:dyDescent="0.4">
      <c r="K2741" s="5">
        <v>2739</v>
      </c>
      <c r="L2741" s="73">
        <v>5.8619775700208265E-14</v>
      </c>
    </row>
    <row r="2742" spans="11:12" x14ac:dyDescent="0.4">
      <c r="K2742" s="5">
        <v>2740</v>
      </c>
      <c r="L2742" s="73">
        <v>9.400000000000059</v>
      </c>
    </row>
    <row r="2743" spans="11:12" x14ac:dyDescent="0.4">
      <c r="K2743" s="5">
        <v>2741</v>
      </c>
      <c r="L2743" s="73">
        <v>47.300000000000054</v>
      </c>
    </row>
    <row r="2744" spans="11:12" x14ac:dyDescent="0.4">
      <c r="K2744" s="5">
        <v>2742</v>
      </c>
      <c r="L2744" s="73">
        <v>5.8619775700208265E-14</v>
      </c>
    </row>
    <row r="2745" spans="11:12" x14ac:dyDescent="0.4">
      <c r="K2745" s="5">
        <v>2743</v>
      </c>
      <c r="L2745" s="73">
        <v>-13.199999999999941</v>
      </c>
    </row>
    <row r="2746" spans="11:12" x14ac:dyDescent="0.4">
      <c r="K2746" s="5">
        <v>2744</v>
      </c>
      <c r="L2746" s="73">
        <v>-13.499999999999941</v>
      </c>
    </row>
    <row r="2747" spans="11:12" x14ac:dyDescent="0.4">
      <c r="K2747" s="5">
        <v>2745</v>
      </c>
      <c r="L2747" s="73">
        <v>5.8619775700208265E-14</v>
      </c>
    </row>
    <row r="2748" spans="11:12" x14ac:dyDescent="0.4">
      <c r="K2748" s="5">
        <v>2746</v>
      </c>
      <c r="L2748" s="73">
        <v>-28.999999999999943</v>
      </c>
    </row>
    <row r="2749" spans="11:12" x14ac:dyDescent="0.4">
      <c r="K2749" s="5">
        <v>2747</v>
      </c>
      <c r="L2749" s="73">
        <v>49.300000000000054</v>
      </c>
    </row>
    <row r="2750" spans="11:12" x14ac:dyDescent="0.4">
      <c r="K2750" s="5">
        <v>2748</v>
      </c>
      <c r="L2750" s="73">
        <v>5.8619775700208265E-14</v>
      </c>
    </row>
    <row r="2751" spans="11:12" x14ac:dyDescent="0.4">
      <c r="K2751" s="5">
        <v>2749</v>
      </c>
      <c r="L2751" s="73">
        <v>15.600000000000058</v>
      </c>
    </row>
    <row r="2752" spans="11:12" x14ac:dyDescent="0.4">
      <c r="K2752" s="5">
        <v>2750</v>
      </c>
      <c r="L2752" s="73">
        <v>52.500000000000057</v>
      </c>
    </row>
    <row r="2753" spans="11:12" x14ac:dyDescent="0.4">
      <c r="K2753" s="5">
        <v>2751</v>
      </c>
      <c r="L2753" s="73">
        <v>5.8619775700208265E-14</v>
      </c>
    </row>
    <row r="2754" spans="11:12" x14ac:dyDescent="0.4">
      <c r="K2754" s="5">
        <v>2752</v>
      </c>
      <c r="L2754" s="73">
        <v>-1.4999999999999414</v>
      </c>
    </row>
    <row r="2755" spans="11:12" x14ac:dyDescent="0.4">
      <c r="K2755" s="5">
        <v>2753</v>
      </c>
      <c r="L2755" s="73">
        <v>20.20000000000006</v>
      </c>
    </row>
    <row r="2756" spans="11:12" x14ac:dyDescent="0.4">
      <c r="K2756" s="5">
        <v>2754</v>
      </c>
      <c r="L2756" s="73">
        <v>5.8619775700208265E-14</v>
      </c>
    </row>
    <row r="2757" spans="11:12" x14ac:dyDescent="0.4">
      <c r="K2757" s="5">
        <v>2755</v>
      </c>
      <c r="L2757" s="73">
        <v>-29.999999999999943</v>
      </c>
    </row>
    <row r="2758" spans="11:12" x14ac:dyDescent="0.4">
      <c r="K2758" s="5">
        <v>2756</v>
      </c>
      <c r="L2758" s="73">
        <v>1.0000000000000586</v>
      </c>
    </row>
    <row r="2759" spans="11:12" x14ac:dyDescent="0.4">
      <c r="K2759" s="5">
        <v>2757</v>
      </c>
      <c r="L2759" s="73">
        <v>5.8619775700208265E-14</v>
      </c>
    </row>
    <row r="2760" spans="11:12" x14ac:dyDescent="0.4">
      <c r="K2760" s="5">
        <v>2758</v>
      </c>
      <c r="L2760" s="73">
        <v>-55.999999999999943</v>
      </c>
    </row>
    <row r="2761" spans="11:12" x14ac:dyDescent="0.4">
      <c r="K2761" s="5">
        <v>2759</v>
      </c>
      <c r="L2761" s="73">
        <v>-46.499999999999943</v>
      </c>
    </row>
    <row r="2762" spans="11:12" x14ac:dyDescent="0.4">
      <c r="K2762" s="5">
        <v>2760</v>
      </c>
      <c r="L2762" s="73">
        <v>5.8619775700208265E-14</v>
      </c>
    </row>
    <row r="2763" spans="11:12" x14ac:dyDescent="0.4">
      <c r="K2763" s="5">
        <v>2761</v>
      </c>
      <c r="L2763" s="73">
        <v>-22.29999999999994</v>
      </c>
    </row>
    <row r="2764" spans="11:12" x14ac:dyDescent="0.4">
      <c r="K2764" s="5">
        <v>2762</v>
      </c>
      <c r="L2764" s="73">
        <v>-19.099999999999945</v>
      </c>
    </row>
    <row r="2765" spans="11:12" x14ac:dyDescent="0.4">
      <c r="K2765" s="5">
        <v>2763</v>
      </c>
      <c r="L2765" s="73">
        <v>5.8619775700208265E-14</v>
      </c>
    </row>
    <row r="2766" spans="11:12" x14ac:dyDescent="0.4">
      <c r="K2766" s="5">
        <v>2764</v>
      </c>
      <c r="L2766" s="73">
        <v>-48.599999999999945</v>
      </c>
    </row>
    <row r="2767" spans="11:12" x14ac:dyDescent="0.4">
      <c r="K2767" s="5">
        <v>2765</v>
      </c>
      <c r="L2767" s="73">
        <v>-48.799999999999947</v>
      </c>
    </row>
    <row r="2768" spans="11:12" x14ac:dyDescent="0.4">
      <c r="K2768" s="5">
        <v>2766</v>
      </c>
      <c r="L2768" s="73">
        <v>5.1514348342607263E-14</v>
      </c>
    </row>
    <row r="2769" spans="11:12" x14ac:dyDescent="0.4">
      <c r="K2769" s="5">
        <v>2767</v>
      </c>
      <c r="L2769" s="73">
        <v>-29.199999999999946</v>
      </c>
    </row>
    <row r="2770" spans="11:12" x14ac:dyDescent="0.4">
      <c r="K2770" s="5">
        <v>2768</v>
      </c>
      <c r="L2770" s="73">
        <v>-30.699999999999946</v>
      </c>
    </row>
    <row r="2771" spans="11:12" x14ac:dyDescent="0.4">
      <c r="K2771" s="5">
        <v>2769</v>
      </c>
      <c r="L2771" s="73">
        <v>5.1514348342607263E-14</v>
      </c>
    </row>
    <row r="2772" spans="11:12" x14ac:dyDescent="0.4">
      <c r="K2772" s="5">
        <v>2770</v>
      </c>
      <c r="L2772" s="73">
        <v>-20.599999999999952</v>
      </c>
    </row>
    <row r="2773" spans="11:12" x14ac:dyDescent="0.4">
      <c r="K2773" s="5">
        <v>2771</v>
      </c>
      <c r="L2773" s="73">
        <v>39.600000000000051</v>
      </c>
    </row>
    <row r="2774" spans="11:12" x14ac:dyDescent="0.4">
      <c r="K2774" s="5">
        <v>2772</v>
      </c>
      <c r="L2774" s="73">
        <v>5.1514348342607263E-14</v>
      </c>
    </row>
    <row r="2775" spans="11:12" x14ac:dyDescent="0.4">
      <c r="K2775" s="5">
        <v>2773</v>
      </c>
      <c r="L2775" s="73">
        <v>34.400000000000048</v>
      </c>
    </row>
    <row r="2776" spans="11:12" x14ac:dyDescent="0.4">
      <c r="K2776" s="5">
        <v>2774</v>
      </c>
      <c r="L2776" s="73">
        <v>22.900000000000048</v>
      </c>
    </row>
    <row r="2777" spans="11:12" x14ac:dyDescent="0.4">
      <c r="K2777" s="5">
        <v>2775</v>
      </c>
      <c r="L2777" s="73">
        <v>5.1514348342607263E-14</v>
      </c>
    </row>
    <row r="2778" spans="11:12" x14ac:dyDescent="0.4">
      <c r="K2778" s="5">
        <v>2776</v>
      </c>
      <c r="L2778" s="73">
        <v>4.2000000000000517</v>
      </c>
    </row>
    <row r="2779" spans="11:12" x14ac:dyDescent="0.4">
      <c r="K2779" s="5">
        <v>2777</v>
      </c>
      <c r="L2779" s="73">
        <v>34.400000000000048</v>
      </c>
    </row>
    <row r="2780" spans="11:12" x14ac:dyDescent="0.4">
      <c r="K2780" s="5">
        <v>2778</v>
      </c>
      <c r="L2780" s="73">
        <v>5.1514348342607263E-14</v>
      </c>
    </row>
    <row r="2781" spans="11:12" x14ac:dyDescent="0.4">
      <c r="K2781" s="5">
        <v>2779</v>
      </c>
      <c r="L2781" s="73">
        <v>-28.799999999999947</v>
      </c>
    </row>
    <row r="2782" spans="11:12" x14ac:dyDescent="0.4">
      <c r="K2782" s="5">
        <v>2780</v>
      </c>
      <c r="L2782" s="73">
        <v>-87.099999999999952</v>
      </c>
    </row>
    <row r="2783" spans="11:12" x14ac:dyDescent="0.4">
      <c r="K2783" s="5">
        <v>2781</v>
      </c>
      <c r="L2783" s="73">
        <v>4.4408920985006262E-14</v>
      </c>
    </row>
    <row r="2784" spans="11:12" x14ac:dyDescent="0.4">
      <c r="K2784" s="5">
        <v>2782</v>
      </c>
      <c r="L2784" s="73">
        <v>2.8000000000000442</v>
      </c>
    </row>
    <row r="2785" spans="11:12" x14ac:dyDescent="0.4">
      <c r="K2785" s="5">
        <v>2783</v>
      </c>
      <c r="L2785" s="73">
        <v>33.30000000000004</v>
      </c>
    </row>
    <row r="2786" spans="11:12" x14ac:dyDescent="0.4">
      <c r="K2786" s="5">
        <v>2784</v>
      </c>
      <c r="L2786" s="73">
        <v>4.4408920985006262E-14</v>
      </c>
    </row>
    <row r="2787" spans="11:12" x14ac:dyDescent="0.4">
      <c r="K2787" s="5">
        <v>2785</v>
      </c>
      <c r="L2787" s="73">
        <v>-11.999999999999956</v>
      </c>
    </row>
    <row r="2788" spans="11:12" x14ac:dyDescent="0.4">
      <c r="K2788" s="5">
        <v>2786</v>
      </c>
      <c r="L2788" s="73">
        <v>-62.399999999999956</v>
      </c>
    </row>
    <row r="2789" spans="11:12" x14ac:dyDescent="0.4">
      <c r="K2789" s="5">
        <v>2787</v>
      </c>
      <c r="L2789" s="73">
        <v>4.4408920985006262E-14</v>
      </c>
    </row>
    <row r="2790" spans="11:12" x14ac:dyDescent="0.4">
      <c r="K2790" s="5">
        <v>2788</v>
      </c>
      <c r="L2790" s="73">
        <v>22.100000000000044</v>
      </c>
    </row>
    <row r="2791" spans="11:12" x14ac:dyDescent="0.4">
      <c r="K2791" s="5">
        <v>2789</v>
      </c>
      <c r="L2791" s="73">
        <v>23.400000000000048</v>
      </c>
    </row>
    <row r="2792" spans="11:12" x14ac:dyDescent="0.4">
      <c r="K2792" s="5">
        <v>2790</v>
      </c>
      <c r="L2792" s="73">
        <v>4.7961634663806763E-14</v>
      </c>
    </row>
    <row r="2793" spans="11:12" x14ac:dyDescent="0.4">
      <c r="K2793" s="5">
        <v>2791</v>
      </c>
      <c r="L2793" s="73">
        <v>60.600000000000051</v>
      </c>
    </row>
    <row r="2794" spans="11:12" x14ac:dyDescent="0.4">
      <c r="K2794" s="5">
        <v>2792</v>
      </c>
      <c r="L2794" s="73">
        <v>46.200000000000053</v>
      </c>
    </row>
    <row r="2795" spans="11:12" x14ac:dyDescent="0.4">
      <c r="K2795" s="5">
        <v>2793</v>
      </c>
      <c r="L2795" s="73">
        <v>5.1514348342607263E-14</v>
      </c>
    </row>
    <row r="2796" spans="11:12" x14ac:dyDescent="0.4">
      <c r="K2796" s="5">
        <v>2794</v>
      </c>
      <c r="L2796" s="73">
        <v>-38.49999999999995</v>
      </c>
    </row>
    <row r="2797" spans="11:12" x14ac:dyDescent="0.4">
      <c r="K2797" s="5">
        <v>2795</v>
      </c>
      <c r="L2797" s="73">
        <v>-26.299999999999947</v>
      </c>
    </row>
    <row r="2798" spans="11:12" x14ac:dyDescent="0.4">
      <c r="K2798" s="5">
        <v>2796</v>
      </c>
      <c r="L2798" s="73">
        <v>5.1514348342607263E-14</v>
      </c>
    </row>
    <row r="2799" spans="11:12" x14ac:dyDescent="0.4">
      <c r="K2799" s="5">
        <v>2797</v>
      </c>
      <c r="L2799" s="73">
        <v>39.800000000000047</v>
      </c>
    </row>
    <row r="2800" spans="11:12" x14ac:dyDescent="0.4">
      <c r="K2800" s="5">
        <v>2798</v>
      </c>
      <c r="L2800" s="73">
        <v>-10.699999999999951</v>
      </c>
    </row>
    <row r="2801" spans="11:12" x14ac:dyDescent="0.4">
      <c r="K2801" s="5">
        <v>2799</v>
      </c>
      <c r="L2801" s="73">
        <v>4.7961634663806763E-14</v>
      </c>
    </row>
    <row r="2802" spans="11:12" x14ac:dyDescent="0.4">
      <c r="K2802" s="5">
        <v>2800</v>
      </c>
      <c r="L2802" s="73">
        <v>-31.999999999999957</v>
      </c>
    </row>
    <row r="2803" spans="11:12" x14ac:dyDescent="0.4">
      <c r="K2803" s="5">
        <v>2801</v>
      </c>
      <c r="L2803" s="73">
        <v>1.900000000000043</v>
      </c>
    </row>
    <row r="2804" spans="11:12" x14ac:dyDescent="0.4">
      <c r="K2804" s="5">
        <v>2802</v>
      </c>
      <c r="L2804" s="73">
        <v>4.3076653355456074E-14</v>
      </c>
    </row>
    <row r="2805" spans="11:12" x14ac:dyDescent="0.4">
      <c r="K2805" s="5">
        <v>2803</v>
      </c>
      <c r="L2805" s="73">
        <v>-42.299999999999955</v>
      </c>
    </row>
    <row r="2806" spans="11:12" x14ac:dyDescent="0.4">
      <c r="K2806" s="5">
        <v>2804</v>
      </c>
      <c r="L2806" s="73">
        <v>-60.799999999999955</v>
      </c>
    </row>
    <row r="2807" spans="11:12" x14ac:dyDescent="0.4">
      <c r="K2807" s="5">
        <v>2805</v>
      </c>
      <c r="L2807" s="73">
        <v>4.4408920985006262E-14</v>
      </c>
    </row>
    <row r="2808" spans="11:12" x14ac:dyDescent="0.4">
      <c r="K2808" s="5">
        <v>2806</v>
      </c>
      <c r="L2808" s="73">
        <v>33.000000000000043</v>
      </c>
    </row>
    <row r="2809" spans="11:12" x14ac:dyDescent="0.4">
      <c r="K2809" s="5">
        <v>2807</v>
      </c>
      <c r="L2809" s="73">
        <v>-1.9999999999999556</v>
      </c>
    </row>
    <row r="2810" spans="11:12" x14ac:dyDescent="0.4">
      <c r="K2810" s="5">
        <v>2808</v>
      </c>
      <c r="L2810" s="73">
        <v>4.4408920985006262E-14</v>
      </c>
    </row>
    <row r="2811" spans="11:12" x14ac:dyDescent="0.4">
      <c r="K2811" s="5">
        <v>2809</v>
      </c>
      <c r="L2811" s="73">
        <v>26.800000000000047</v>
      </c>
    </row>
    <row r="2812" spans="11:12" x14ac:dyDescent="0.4">
      <c r="K2812" s="5">
        <v>2810</v>
      </c>
      <c r="L2812" s="73">
        <v>32.200000000000045</v>
      </c>
    </row>
    <row r="2813" spans="11:12" x14ac:dyDescent="0.4">
      <c r="K2813" s="5">
        <v>2811</v>
      </c>
      <c r="L2813" s="73">
        <v>4.4408920985006262E-14</v>
      </c>
    </row>
    <row r="2814" spans="11:12" x14ac:dyDescent="0.4">
      <c r="K2814" s="5">
        <v>2812</v>
      </c>
      <c r="L2814" s="73">
        <v>45.200000000000045</v>
      </c>
    </row>
    <row r="2815" spans="11:12" x14ac:dyDescent="0.4">
      <c r="K2815" s="5">
        <v>2813</v>
      </c>
      <c r="L2815" s="73">
        <v>10.200000000000047</v>
      </c>
    </row>
    <row r="2816" spans="11:12" x14ac:dyDescent="0.4">
      <c r="K2816" s="5">
        <v>2814</v>
      </c>
      <c r="L2816" s="73">
        <v>4.7961634663806763E-14</v>
      </c>
    </row>
    <row r="2817" spans="11:12" x14ac:dyDescent="0.4">
      <c r="K2817" s="5">
        <v>2815</v>
      </c>
      <c r="L2817" s="73">
        <v>-12.499999999999952</v>
      </c>
    </row>
    <row r="2818" spans="11:12" x14ac:dyDescent="0.4">
      <c r="K2818" s="5">
        <v>2816</v>
      </c>
      <c r="L2818" s="73">
        <v>-12.199999999999951</v>
      </c>
    </row>
    <row r="2819" spans="11:12" x14ac:dyDescent="0.4">
      <c r="K2819" s="5">
        <v>2817</v>
      </c>
      <c r="L2819" s="73">
        <v>4.7961634663806763E-14</v>
      </c>
    </row>
    <row r="2820" spans="11:12" x14ac:dyDescent="0.4">
      <c r="K2820" s="5">
        <v>2818</v>
      </c>
      <c r="L2820" s="73">
        <v>-65.499999999999957</v>
      </c>
    </row>
    <row r="2821" spans="11:12" x14ac:dyDescent="0.4">
      <c r="K2821" s="5">
        <v>2819</v>
      </c>
      <c r="L2821" s="73">
        <v>-11.999999999999956</v>
      </c>
    </row>
    <row r="2822" spans="11:12" x14ac:dyDescent="0.4">
      <c r="K2822" s="5">
        <v>2820</v>
      </c>
      <c r="L2822" s="73">
        <v>4.4408920985006262E-14</v>
      </c>
    </row>
    <row r="2823" spans="11:12" x14ac:dyDescent="0.4">
      <c r="K2823" s="5">
        <v>2821</v>
      </c>
      <c r="L2823" s="73">
        <v>-9.1999999999999549</v>
      </c>
    </row>
    <row r="2824" spans="11:12" x14ac:dyDescent="0.4">
      <c r="K2824" s="5">
        <v>2822</v>
      </c>
      <c r="L2824" s="73">
        <v>-39.69999999999996</v>
      </c>
    </row>
    <row r="2825" spans="11:12" x14ac:dyDescent="0.4">
      <c r="K2825" s="5">
        <v>2823</v>
      </c>
      <c r="L2825" s="73">
        <v>4.4408920985006262E-14</v>
      </c>
    </row>
    <row r="2826" spans="11:12" x14ac:dyDescent="0.4">
      <c r="K2826" s="5">
        <v>2824</v>
      </c>
      <c r="L2826" s="73">
        <v>-36.299999999999955</v>
      </c>
    </row>
    <row r="2827" spans="11:12" x14ac:dyDescent="0.4">
      <c r="K2827" s="5">
        <v>2825</v>
      </c>
      <c r="L2827" s="73">
        <v>-56.299999999999955</v>
      </c>
    </row>
    <row r="2828" spans="11:12" x14ac:dyDescent="0.4">
      <c r="K2828" s="5">
        <v>2826</v>
      </c>
      <c r="L2828" s="73">
        <v>4.4408920985006262E-14</v>
      </c>
    </row>
    <row r="2829" spans="11:12" x14ac:dyDescent="0.4">
      <c r="K2829" s="5">
        <v>2827</v>
      </c>
      <c r="L2829" s="73">
        <v>-37.19999999999996</v>
      </c>
    </row>
    <row r="2830" spans="11:12" x14ac:dyDescent="0.4">
      <c r="K2830" s="5">
        <v>2828</v>
      </c>
      <c r="L2830" s="73">
        <v>-8.3999999999999577</v>
      </c>
    </row>
    <row r="2831" spans="11:12" x14ac:dyDescent="0.4">
      <c r="K2831" s="5">
        <v>2829</v>
      </c>
      <c r="L2831" s="73">
        <v>4.2632564145606011E-14</v>
      </c>
    </row>
    <row r="2832" spans="11:12" x14ac:dyDescent="0.4">
      <c r="K2832" s="5">
        <v>2830</v>
      </c>
      <c r="L2832" s="73">
        <v>-27.399999999999956</v>
      </c>
    </row>
    <row r="2833" spans="11:12" x14ac:dyDescent="0.4">
      <c r="K2833" s="5">
        <v>2831</v>
      </c>
      <c r="L2833" s="73">
        <v>-35.69999999999996</v>
      </c>
    </row>
    <row r="2834" spans="11:12" x14ac:dyDescent="0.4">
      <c r="K2834" s="5">
        <v>2832</v>
      </c>
      <c r="L2834" s="73">
        <v>4.4408920985006262E-14</v>
      </c>
    </row>
    <row r="2835" spans="11:12" x14ac:dyDescent="0.4">
      <c r="K2835" s="5">
        <v>2833</v>
      </c>
      <c r="L2835" s="73">
        <v>-3.3999999999999555</v>
      </c>
    </row>
    <row r="2836" spans="11:12" x14ac:dyDescent="0.4">
      <c r="K2836" s="5">
        <v>2834</v>
      </c>
      <c r="L2836" s="73">
        <v>17.600000000000044</v>
      </c>
    </row>
    <row r="2837" spans="11:12" x14ac:dyDescent="0.4">
      <c r="K2837" s="5">
        <v>2835</v>
      </c>
      <c r="L2837" s="73">
        <v>4.4408920985006262E-14</v>
      </c>
    </row>
    <row r="2838" spans="11:12" x14ac:dyDescent="0.4">
      <c r="K2838" s="5">
        <v>2836</v>
      </c>
      <c r="L2838" s="73">
        <v>-10.999999999999956</v>
      </c>
    </row>
    <row r="2839" spans="11:12" x14ac:dyDescent="0.4">
      <c r="K2839" s="5">
        <v>2837</v>
      </c>
      <c r="L2839" s="73">
        <v>27.200000000000045</v>
      </c>
    </row>
    <row r="2840" spans="11:12" x14ac:dyDescent="0.4">
      <c r="K2840" s="5">
        <v>2838</v>
      </c>
      <c r="L2840" s="73">
        <v>4.7961634663806763E-14</v>
      </c>
    </row>
    <row r="2841" spans="11:12" x14ac:dyDescent="0.4">
      <c r="K2841" s="5">
        <v>2839</v>
      </c>
      <c r="L2841" s="73">
        <v>-28.699999999999953</v>
      </c>
    </row>
    <row r="2842" spans="11:12" x14ac:dyDescent="0.4">
      <c r="K2842" s="5">
        <v>2840</v>
      </c>
      <c r="L2842" s="73">
        <v>-27.899999999999949</v>
      </c>
    </row>
    <row r="2843" spans="11:12" x14ac:dyDescent="0.4">
      <c r="K2843" s="5">
        <v>2841</v>
      </c>
      <c r="L2843" s="73">
        <v>4.7961634663806763E-14</v>
      </c>
    </row>
    <row r="2844" spans="11:12" x14ac:dyDescent="0.4">
      <c r="K2844" s="5">
        <v>2842</v>
      </c>
      <c r="L2844" s="73">
        <v>-43.999999999999957</v>
      </c>
    </row>
    <row r="2845" spans="11:12" x14ac:dyDescent="0.4">
      <c r="K2845" s="5">
        <v>2843</v>
      </c>
      <c r="L2845" s="73">
        <v>0.80000000000004157</v>
      </c>
    </row>
    <row r="2846" spans="11:12" x14ac:dyDescent="0.4">
      <c r="K2846" s="5">
        <v>2844</v>
      </c>
      <c r="L2846" s="73">
        <v>4.1522341120980855E-14</v>
      </c>
    </row>
    <row r="2847" spans="11:12" x14ac:dyDescent="0.4">
      <c r="K2847" s="5">
        <v>2845</v>
      </c>
      <c r="L2847" s="73">
        <v>-18.899999999999956</v>
      </c>
    </row>
    <row r="2848" spans="11:12" x14ac:dyDescent="0.4">
      <c r="K2848" s="5">
        <v>2846</v>
      </c>
      <c r="L2848" s="73">
        <v>-56.399999999999963</v>
      </c>
    </row>
    <row r="2849" spans="11:12" x14ac:dyDescent="0.4">
      <c r="K2849" s="5">
        <v>2847</v>
      </c>
      <c r="L2849" s="73">
        <v>3.730349362740526E-14</v>
      </c>
    </row>
    <row r="2850" spans="11:12" x14ac:dyDescent="0.4">
      <c r="K2850" s="5">
        <v>2848</v>
      </c>
      <c r="L2850" s="73">
        <v>12.200000000000037</v>
      </c>
    </row>
    <row r="2851" spans="11:12" x14ac:dyDescent="0.4">
      <c r="K2851" s="5">
        <v>2849</v>
      </c>
      <c r="L2851" s="73">
        <v>34.500000000000036</v>
      </c>
    </row>
    <row r="2852" spans="11:12" x14ac:dyDescent="0.4">
      <c r="K2852" s="5">
        <v>2850</v>
      </c>
      <c r="L2852" s="73">
        <v>3.730349362740526E-14</v>
      </c>
    </row>
    <row r="2853" spans="11:12" x14ac:dyDescent="0.4">
      <c r="K2853" s="5">
        <v>2851</v>
      </c>
      <c r="L2853" s="73">
        <v>-46.999999999999964</v>
      </c>
    </row>
    <row r="2854" spans="11:12" x14ac:dyDescent="0.4">
      <c r="K2854" s="5">
        <v>2852</v>
      </c>
      <c r="L2854" s="73">
        <v>-47.299999999999962</v>
      </c>
    </row>
    <row r="2855" spans="11:12" x14ac:dyDescent="0.4">
      <c r="K2855" s="5">
        <v>2853</v>
      </c>
      <c r="L2855" s="73">
        <v>3.730349362740526E-14</v>
      </c>
    </row>
    <row r="2856" spans="11:12" x14ac:dyDescent="0.4">
      <c r="K2856" s="5">
        <v>2854</v>
      </c>
      <c r="L2856" s="73">
        <v>-34.499999999999964</v>
      </c>
    </row>
    <row r="2857" spans="11:12" x14ac:dyDescent="0.4">
      <c r="K2857" s="5">
        <v>2855</v>
      </c>
      <c r="L2857" s="73">
        <v>-47.499999999999964</v>
      </c>
    </row>
    <row r="2858" spans="11:12" x14ac:dyDescent="0.4">
      <c r="K2858" s="5">
        <v>2856</v>
      </c>
      <c r="L2858" s="73">
        <v>3.730349362740526E-14</v>
      </c>
    </row>
    <row r="2859" spans="11:12" x14ac:dyDescent="0.4">
      <c r="K2859" s="5">
        <v>2857</v>
      </c>
      <c r="L2859" s="73">
        <v>-21.999999999999964</v>
      </c>
    </row>
    <row r="2860" spans="11:12" x14ac:dyDescent="0.4">
      <c r="K2860" s="5">
        <v>2858</v>
      </c>
      <c r="L2860" s="73">
        <v>-60.699999999999967</v>
      </c>
    </row>
    <row r="2861" spans="11:12" x14ac:dyDescent="0.4">
      <c r="K2861" s="5">
        <v>2859</v>
      </c>
      <c r="L2861" s="73">
        <v>3.730349362740526E-14</v>
      </c>
    </row>
    <row r="2862" spans="11:12" x14ac:dyDescent="0.4">
      <c r="K2862" s="5">
        <v>2860</v>
      </c>
      <c r="L2862" s="73">
        <v>31.200000000000038</v>
      </c>
    </row>
    <row r="2863" spans="11:12" x14ac:dyDescent="0.4">
      <c r="K2863" s="5">
        <v>2861</v>
      </c>
      <c r="L2863" s="73">
        <v>6.7000000000000366</v>
      </c>
    </row>
    <row r="2864" spans="11:12" x14ac:dyDescent="0.4">
      <c r="K2864" s="5">
        <v>2862</v>
      </c>
      <c r="L2864" s="73">
        <v>3.6415315207705135E-14</v>
      </c>
    </row>
    <row r="2865" spans="11:12" x14ac:dyDescent="0.4">
      <c r="K2865" s="5">
        <v>2863</v>
      </c>
      <c r="L2865" s="73">
        <v>-45.299999999999962</v>
      </c>
    </row>
    <row r="2866" spans="11:12" x14ac:dyDescent="0.4">
      <c r="K2866" s="5">
        <v>2864</v>
      </c>
      <c r="L2866" s="73">
        <v>-4.4999999999999627</v>
      </c>
    </row>
    <row r="2867" spans="11:12" x14ac:dyDescent="0.4">
      <c r="K2867" s="5">
        <v>2865</v>
      </c>
      <c r="L2867" s="73">
        <v>3.730349362740526E-14</v>
      </c>
    </row>
    <row r="2868" spans="11:12" x14ac:dyDescent="0.4">
      <c r="K2868" s="5">
        <v>2866</v>
      </c>
      <c r="L2868" s="73">
        <v>-31.69999999999996</v>
      </c>
    </row>
    <row r="2869" spans="11:12" x14ac:dyDescent="0.4">
      <c r="K2869" s="5">
        <v>2867</v>
      </c>
      <c r="L2869" s="73">
        <v>-25.19999999999996</v>
      </c>
    </row>
    <row r="2870" spans="11:12" x14ac:dyDescent="0.4">
      <c r="K2870" s="5">
        <v>2868</v>
      </c>
      <c r="L2870" s="73">
        <v>3.730349362740526E-14</v>
      </c>
    </row>
    <row r="2871" spans="11:12" x14ac:dyDescent="0.4">
      <c r="K2871" s="5">
        <v>2869</v>
      </c>
      <c r="L2871" s="73">
        <v>-61.299999999999962</v>
      </c>
    </row>
    <row r="2872" spans="11:12" x14ac:dyDescent="0.4">
      <c r="K2872" s="5">
        <v>2870</v>
      </c>
      <c r="L2872" s="73">
        <v>-20.099999999999959</v>
      </c>
    </row>
    <row r="2873" spans="11:12" x14ac:dyDescent="0.4">
      <c r="K2873" s="5">
        <v>2871</v>
      </c>
      <c r="L2873" s="73">
        <v>4.4408920985006262E-14</v>
      </c>
    </row>
    <row r="2874" spans="11:12" x14ac:dyDescent="0.4">
      <c r="K2874" s="5">
        <v>2872</v>
      </c>
      <c r="L2874" s="73">
        <v>-25.699999999999953</v>
      </c>
    </row>
    <row r="2875" spans="11:12" x14ac:dyDescent="0.4">
      <c r="K2875" s="5">
        <v>2873</v>
      </c>
      <c r="L2875" s="73">
        <v>7.7000000000000437</v>
      </c>
    </row>
    <row r="2876" spans="11:12" x14ac:dyDescent="0.4">
      <c r="K2876" s="5">
        <v>2874</v>
      </c>
      <c r="L2876" s="73">
        <v>4.3520742565306136E-14</v>
      </c>
    </row>
    <row r="2877" spans="11:12" x14ac:dyDescent="0.4">
      <c r="K2877" s="5">
        <v>2875</v>
      </c>
      <c r="L2877" s="73">
        <v>-31.799999999999955</v>
      </c>
    </row>
    <row r="2878" spans="11:12" x14ac:dyDescent="0.4">
      <c r="K2878" s="5">
        <v>2876</v>
      </c>
      <c r="L2878" s="73">
        <v>-24.19999999999996</v>
      </c>
    </row>
    <row r="2879" spans="11:12" x14ac:dyDescent="0.4">
      <c r="K2879" s="5">
        <v>2877</v>
      </c>
      <c r="L2879" s="73">
        <v>4.0856207306205761E-14</v>
      </c>
    </row>
    <row r="2880" spans="11:12" x14ac:dyDescent="0.4">
      <c r="K2880" s="5">
        <v>2878</v>
      </c>
      <c r="L2880" s="73">
        <v>-0.59999999999995912</v>
      </c>
    </row>
    <row r="2881" spans="11:12" x14ac:dyDescent="0.4">
      <c r="K2881" s="5">
        <v>2879</v>
      </c>
      <c r="L2881" s="73">
        <v>-25.19999999999996</v>
      </c>
    </row>
    <row r="2882" spans="11:12" x14ac:dyDescent="0.4">
      <c r="K2882" s="5">
        <v>2880</v>
      </c>
      <c r="L2882" s="73">
        <v>3.730349362740526E-14</v>
      </c>
    </row>
    <row r="2883" spans="11:12" x14ac:dyDescent="0.4">
      <c r="K2883" s="5">
        <v>2881</v>
      </c>
      <c r="L2883" s="73">
        <v>31.700000000000038</v>
      </c>
    </row>
    <row r="2884" spans="11:12" x14ac:dyDescent="0.4">
      <c r="K2884" s="5">
        <v>2882</v>
      </c>
      <c r="L2884" s="73">
        <v>23.800000000000033</v>
      </c>
    </row>
    <row r="2885" spans="11:12" x14ac:dyDescent="0.4">
      <c r="K2885" s="5">
        <v>2883</v>
      </c>
      <c r="L2885" s="73">
        <v>3.3750779948604759E-14</v>
      </c>
    </row>
    <row r="2886" spans="11:12" x14ac:dyDescent="0.4">
      <c r="K2886" s="5">
        <v>2884</v>
      </c>
      <c r="L2886" s="73">
        <v>-7.7999999999999661</v>
      </c>
    </row>
    <row r="2887" spans="11:12" x14ac:dyDescent="0.4">
      <c r="K2887" s="5">
        <v>2885</v>
      </c>
      <c r="L2887" s="73">
        <v>-32.199999999999967</v>
      </c>
    </row>
    <row r="2888" spans="11:12" x14ac:dyDescent="0.4">
      <c r="K2888" s="5">
        <v>2886</v>
      </c>
      <c r="L2888" s="73">
        <v>3.730349362740526E-14</v>
      </c>
    </row>
    <row r="2889" spans="11:12" x14ac:dyDescent="0.4">
      <c r="K2889" s="5">
        <v>2887</v>
      </c>
      <c r="L2889" s="73">
        <v>-2.8999999999999626</v>
      </c>
    </row>
    <row r="2890" spans="11:12" x14ac:dyDescent="0.4">
      <c r="K2890" s="5">
        <v>2888</v>
      </c>
      <c r="L2890" s="73">
        <v>33.100000000000037</v>
      </c>
    </row>
    <row r="2891" spans="11:12" x14ac:dyDescent="0.4">
      <c r="K2891" s="5">
        <v>2889</v>
      </c>
      <c r="L2891" s="73">
        <v>3.730349362740526E-14</v>
      </c>
    </row>
    <row r="2892" spans="11:12" x14ac:dyDescent="0.4">
      <c r="K2892" s="5">
        <v>2890</v>
      </c>
      <c r="L2892" s="73">
        <v>32.000000000000036</v>
      </c>
    </row>
    <row r="2893" spans="11:12" x14ac:dyDescent="0.4">
      <c r="K2893" s="5">
        <v>2891</v>
      </c>
      <c r="L2893" s="73">
        <v>38.000000000000036</v>
      </c>
    </row>
    <row r="2894" spans="11:12" x14ac:dyDescent="0.4">
      <c r="K2894" s="5">
        <v>2892</v>
      </c>
      <c r="L2894" s="73">
        <v>3.730349362740526E-14</v>
      </c>
    </row>
    <row r="2895" spans="11:12" x14ac:dyDescent="0.4">
      <c r="K2895" s="5">
        <v>2893</v>
      </c>
      <c r="L2895" s="73">
        <v>-52.999999999999964</v>
      </c>
    </row>
    <row r="2896" spans="11:12" x14ac:dyDescent="0.4">
      <c r="K2896" s="5">
        <v>2894</v>
      </c>
      <c r="L2896" s="73">
        <v>-11.499999999999963</v>
      </c>
    </row>
    <row r="2897" spans="11:12" x14ac:dyDescent="0.4">
      <c r="K2897" s="5">
        <v>2895</v>
      </c>
      <c r="L2897" s="73">
        <v>3.730349362740526E-14</v>
      </c>
    </row>
    <row r="2898" spans="11:12" x14ac:dyDescent="0.4">
      <c r="K2898" s="5">
        <v>2896</v>
      </c>
      <c r="L2898" s="73">
        <v>-53.199999999999967</v>
      </c>
    </row>
    <row r="2899" spans="11:12" x14ac:dyDescent="0.4">
      <c r="K2899" s="5">
        <v>2897</v>
      </c>
      <c r="L2899" s="73">
        <v>-16.599999999999966</v>
      </c>
    </row>
    <row r="2900" spans="11:12" x14ac:dyDescent="0.4">
      <c r="K2900" s="5">
        <v>2898</v>
      </c>
      <c r="L2900" s="73">
        <v>3.730349362740526E-14</v>
      </c>
    </row>
    <row r="2901" spans="11:12" x14ac:dyDescent="0.4">
      <c r="K2901" s="5">
        <v>2899</v>
      </c>
      <c r="L2901" s="73">
        <v>-23.19999999999996</v>
      </c>
    </row>
    <row r="2902" spans="11:12" x14ac:dyDescent="0.4">
      <c r="K2902" s="5">
        <v>2900</v>
      </c>
      <c r="L2902" s="73">
        <v>-31.899999999999963</v>
      </c>
    </row>
    <row r="2903" spans="11:12" x14ac:dyDescent="0.4">
      <c r="K2903" s="5">
        <v>2901</v>
      </c>
      <c r="L2903" s="73">
        <v>3.730349362740526E-14</v>
      </c>
    </row>
    <row r="2904" spans="11:12" x14ac:dyDescent="0.4">
      <c r="K2904" s="5">
        <v>2902</v>
      </c>
      <c r="L2904" s="73">
        <v>-47.399999999999963</v>
      </c>
    </row>
    <row r="2905" spans="11:12" x14ac:dyDescent="0.4">
      <c r="K2905" s="5">
        <v>2903</v>
      </c>
      <c r="L2905" s="73">
        <v>-41.499999999999964</v>
      </c>
    </row>
    <row r="2906" spans="11:12" x14ac:dyDescent="0.4">
      <c r="K2906" s="5">
        <v>2904</v>
      </c>
      <c r="L2906" s="73">
        <v>3.730349362740526E-14</v>
      </c>
    </row>
    <row r="2907" spans="11:12" x14ac:dyDescent="0.4">
      <c r="K2907" s="5">
        <v>2905</v>
      </c>
      <c r="L2907" s="73">
        <v>-10.899999999999963</v>
      </c>
    </row>
    <row r="2908" spans="11:12" x14ac:dyDescent="0.4">
      <c r="K2908" s="5">
        <v>2906</v>
      </c>
      <c r="L2908" s="73">
        <v>-49.599999999999966</v>
      </c>
    </row>
    <row r="2909" spans="11:12" x14ac:dyDescent="0.4">
      <c r="K2909" s="5">
        <v>2907</v>
      </c>
      <c r="L2909" s="73">
        <v>3.730349362740526E-14</v>
      </c>
    </row>
    <row r="2910" spans="11:12" x14ac:dyDescent="0.4">
      <c r="K2910" s="5">
        <v>2908</v>
      </c>
      <c r="L2910" s="73">
        <v>9.2000000000000366</v>
      </c>
    </row>
    <row r="2911" spans="11:12" x14ac:dyDescent="0.4">
      <c r="K2911" s="5">
        <v>2909</v>
      </c>
      <c r="L2911" s="73">
        <v>45.500000000000028</v>
      </c>
    </row>
    <row r="2912" spans="11:12" x14ac:dyDescent="0.4">
      <c r="K2912" s="5">
        <v>2910</v>
      </c>
      <c r="L2912" s="73">
        <v>3.0198066269804258E-14</v>
      </c>
    </row>
    <row r="2913" spans="11:12" x14ac:dyDescent="0.4">
      <c r="K2913" s="5">
        <v>2911</v>
      </c>
      <c r="L2913" s="73">
        <v>30.300000000000033</v>
      </c>
    </row>
    <row r="2914" spans="11:12" x14ac:dyDescent="0.4">
      <c r="K2914" s="5">
        <v>2912</v>
      </c>
      <c r="L2914" s="73">
        <v>46.500000000000028</v>
      </c>
    </row>
    <row r="2915" spans="11:12" x14ac:dyDescent="0.4">
      <c r="K2915" s="5">
        <v>2913</v>
      </c>
      <c r="L2915" s="73">
        <v>3.0198066269804258E-14</v>
      </c>
    </row>
    <row r="2916" spans="11:12" x14ac:dyDescent="0.4">
      <c r="K2916" s="5">
        <v>2914</v>
      </c>
      <c r="L2916" s="73">
        <v>30.400000000000027</v>
      </c>
    </row>
    <row r="2917" spans="11:12" x14ac:dyDescent="0.4">
      <c r="K2917" s="5">
        <v>2915</v>
      </c>
      <c r="L2917" s="73">
        <v>45.500000000000028</v>
      </c>
    </row>
    <row r="2918" spans="11:12" x14ac:dyDescent="0.4">
      <c r="K2918" s="5">
        <v>2916</v>
      </c>
      <c r="L2918" s="73">
        <v>3.0198066269804258E-14</v>
      </c>
    </row>
    <row r="2919" spans="11:12" x14ac:dyDescent="0.4">
      <c r="K2919" s="5">
        <v>2917</v>
      </c>
      <c r="L2919" s="73">
        <v>34.60000000000003</v>
      </c>
    </row>
    <row r="2920" spans="11:12" x14ac:dyDescent="0.4">
      <c r="K2920" s="5">
        <v>2918</v>
      </c>
      <c r="L2920" s="73">
        <v>-11.49999999999997</v>
      </c>
    </row>
    <row r="2921" spans="11:12" x14ac:dyDescent="0.4">
      <c r="K2921" s="5">
        <v>2919</v>
      </c>
      <c r="L2921" s="73">
        <v>3.0198066269804258E-14</v>
      </c>
    </row>
    <row r="2922" spans="11:12" x14ac:dyDescent="0.4">
      <c r="K2922" s="5">
        <v>2920</v>
      </c>
      <c r="L2922" s="73">
        <v>1.3000000000000302</v>
      </c>
    </row>
    <row r="2923" spans="11:12" x14ac:dyDescent="0.4">
      <c r="K2923" s="5">
        <v>2921</v>
      </c>
      <c r="L2923" s="73">
        <v>-15.799999999999971</v>
      </c>
    </row>
    <row r="2924" spans="11:12" x14ac:dyDescent="0.4">
      <c r="K2924" s="5">
        <v>2922</v>
      </c>
      <c r="L2924" s="73">
        <v>3.0198066269804258E-14</v>
      </c>
    </row>
    <row r="2925" spans="11:12" x14ac:dyDescent="0.4">
      <c r="K2925" s="5">
        <v>2923</v>
      </c>
      <c r="L2925" s="73">
        <v>74.100000000000023</v>
      </c>
    </row>
    <row r="2926" spans="11:12" x14ac:dyDescent="0.4">
      <c r="K2926" s="5">
        <v>2924</v>
      </c>
      <c r="L2926" s="73">
        <v>27.500000000000021</v>
      </c>
    </row>
    <row r="2927" spans="11:12" x14ac:dyDescent="0.4">
      <c r="K2927" s="5">
        <v>2925</v>
      </c>
      <c r="L2927" s="73">
        <v>2.3092638912203256E-14</v>
      </c>
    </row>
    <row r="2928" spans="11:12" x14ac:dyDescent="0.4">
      <c r="K2928" s="5">
        <v>2926</v>
      </c>
      <c r="L2928" s="73">
        <v>62.600000000000023</v>
      </c>
    </row>
    <row r="2929" spans="11:12" x14ac:dyDescent="0.4">
      <c r="K2929" s="5">
        <v>2927</v>
      </c>
      <c r="L2929" s="73">
        <v>9.5000000000000231</v>
      </c>
    </row>
    <row r="2930" spans="11:12" x14ac:dyDescent="0.4">
      <c r="K2930" s="5">
        <v>2928</v>
      </c>
      <c r="L2930" s="73">
        <v>2.3092638912203256E-14</v>
      </c>
    </row>
    <row r="2931" spans="11:12" x14ac:dyDescent="0.4">
      <c r="K2931" s="5">
        <v>2929</v>
      </c>
      <c r="L2931" s="73">
        <v>-51.999999999999979</v>
      </c>
    </row>
    <row r="2932" spans="11:12" x14ac:dyDescent="0.4">
      <c r="K2932" s="5">
        <v>2930</v>
      </c>
      <c r="L2932" s="73">
        <v>-55.499999999999979</v>
      </c>
    </row>
    <row r="2933" spans="11:12" x14ac:dyDescent="0.4">
      <c r="K2933" s="5">
        <v>2931</v>
      </c>
      <c r="L2933" s="73">
        <v>2.3092638912203256E-14</v>
      </c>
    </row>
    <row r="2934" spans="11:12" x14ac:dyDescent="0.4">
      <c r="K2934" s="5">
        <v>2932</v>
      </c>
      <c r="L2934" s="73">
        <v>-45.199999999999982</v>
      </c>
    </row>
    <row r="2935" spans="11:12" x14ac:dyDescent="0.4">
      <c r="K2935" s="5">
        <v>2933</v>
      </c>
      <c r="L2935" s="73">
        <v>-28.199999999999982</v>
      </c>
    </row>
    <row r="2936" spans="11:12" x14ac:dyDescent="0.4">
      <c r="K2936" s="5">
        <v>2934</v>
      </c>
      <c r="L2936" s="73">
        <v>1.9539925233402755E-14</v>
      </c>
    </row>
    <row r="2937" spans="11:12" x14ac:dyDescent="0.4">
      <c r="K2937" s="5">
        <v>2935</v>
      </c>
      <c r="L2937" s="73">
        <v>24.100000000000023</v>
      </c>
    </row>
    <row r="2938" spans="11:12" x14ac:dyDescent="0.4">
      <c r="K2938" s="5">
        <v>2936</v>
      </c>
      <c r="L2938" s="73">
        <v>24.90000000000002</v>
      </c>
    </row>
    <row r="2939" spans="11:12" x14ac:dyDescent="0.4">
      <c r="K2939" s="5">
        <v>2937</v>
      </c>
      <c r="L2939" s="73">
        <v>2.3092638912203256E-14</v>
      </c>
    </row>
    <row r="2940" spans="11:12" x14ac:dyDescent="0.4">
      <c r="K2940" s="5">
        <v>2938</v>
      </c>
      <c r="L2940" s="73">
        <v>22.40000000000002</v>
      </c>
    </row>
    <row r="2941" spans="11:12" x14ac:dyDescent="0.4">
      <c r="K2941" s="5">
        <v>2939</v>
      </c>
      <c r="L2941" s="73">
        <v>17.40000000000002</v>
      </c>
    </row>
    <row r="2942" spans="11:12" x14ac:dyDescent="0.4">
      <c r="K2942" s="5">
        <v>2940</v>
      </c>
      <c r="L2942" s="73">
        <v>2.3092638912203256E-14</v>
      </c>
    </row>
    <row r="2943" spans="11:12" x14ac:dyDescent="0.4">
      <c r="K2943" s="5">
        <v>2941</v>
      </c>
      <c r="L2943" s="73">
        <v>-35.999999999999979</v>
      </c>
    </row>
    <row r="2944" spans="11:12" x14ac:dyDescent="0.4">
      <c r="K2944" s="5">
        <v>2942</v>
      </c>
      <c r="L2944" s="73">
        <v>4.7000000000000259</v>
      </c>
    </row>
    <row r="2945" spans="11:12" x14ac:dyDescent="0.4">
      <c r="K2945" s="5">
        <v>2943</v>
      </c>
      <c r="L2945" s="73">
        <v>2.5757174171303632E-14</v>
      </c>
    </row>
    <row r="2946" spans="11:12" x14ac:dyDescent="0.4">
      <c r="K2946" s="5">
        <v>2944</v>
      </c>
      <c r="L2946" s="73">
        <v>-13.299999999999974</v>
      </c>
    </row>
    <row r="2947" spans="11:12" x14ac:dyDescent="0.4">
      <c r="K2947" s="5">
        <v>2945</v>
      </c>
      <c r="L2947" s="73">
        <v>-13.999999999999973</v>
      </c>
    </row>
    <row r="2948" spans="11:12" x14ac:dyDescent="0.4">
      <c r="K2948" s="5">
        <v>2946</v>
      </c>
      <c r="L2948" s="73">
        <v>2.6645352591003757E-14</v>
      </c>
    </row>
    <row r="2949" spans="11:12" x14ac:dyDescent="0.4">
      <c r="K2949" s="5">
        <v>2947</v>
      </c>
      <c r="L2949" s="73">
        <v>6.8000000000000265</v>
      </c>
    </row>
    <row r="2950" spans="11:12" x14ac:dyDescent="0.4">
      <c r="K2950" s="5">
        <v>2948</v>
      </c>
      <c r="L2950" s="73">
        <v>35.800000000000026</v>
      </c>
    </row>
    <row r="2951" spans="11:12" x14ac:dyDescent="0.4">
      <c r="K2951" s="5">
        <v>2949</v>
      </c>
      <c r="L2951" s="73">
        <v>3.0198066269804258E-14</v>
      </c>
    </row>
    <row r="2952" spans="11:12" x14ac:dyDescent="0.4">
      <c r="K2952" s="5">
        <v>2950</v>
      </c>
      <c r="L2952" s="73">
        <v>-47.599999999999973</v>
      </c>
    </row>
    <row r="2953" spans="11:12" x14ac:dyDescent="0.4">
      <c r="K2953" s="5">
        <v>2951</v>
      </c>
      <c r="L2953" s="73">
        <v>19.300000000000033</v>
      </c>
    </row>
    <row r="2954" spans="11:12" x14ac:dyDescent="0.4">
      <c r="K2954" s="5">
        <v>2952</v>
      </c>
      <c r="L2954" s="73">
        <v>3.3750779948604759E-14</v>
      </c>
    </row>
    <row r="2955" spans="11:12" x14ac:dyDescent="0.4">
      <c r="K2955" s="5">
        <v>2953</v>
      </c>
      <c r="L2955" s="73">
        <v>16.700000000000031</v>
      </c>
    </row>
    <row r="2956" spans="11:12" x14ac:dyDescent="0.4">
      <c r="K2956" s="5">
        <v>2954</v>
      </c>
      <c r="L2956" s="73">
        <v>46.700000000000031</v>
      </c>
    </row>
    <row r="2957" spans="11:12" x14ac:dyDescent="0.4">
      <c r="K2957" s="5">
        <v>2955</v>
      </c>
      <c r="L2957" s="73">
        <v>3.0198066269804258E-14</v>
      </c>
    </row>
    <row r="2958" spans="11:12" x14ac:dyDescent="0.4">
      <c r="K2958" s="5">
        <v>2956</v>
      </c>
      <c r="L2958" s="73">
        <v>-62.199999999999974</v>
      </c>
    </row>
    <row r="2959" spans="11:12" x14ac:dyDescent="0.4">
      <c r="K2959" s="5">
        <v>2957</v>
      </c>
      <c r="L2959" s="73">
        <v>-3.1999999999999726</v>
      </c>
    </row>
    <row r="2960" spans="11:12" x14ac:dyDescent="0.4">
      <c r="K2960" s="5">
        <v>2958</v>
      </c>
      <c r="L2960" s="73">
        <v>2.7533531010703882E-14</v>
      </c>
    </row>
    <row r="2961" spans="11:12" x14ac:dyDescent="0.4">
      <c r="K2961" s="5">
        <v>2959</v>
      </c>
      <c r="L2961" s="73">
        <v>16.500000000000028</v>
      </c>
    </row>
    <row r="2962" spans="11:12" x14ac:dyDescent="0.4">
      <c r="K2962" s="5">
        <v>2960</v>
      </c>
      <c r="L2962" s="73">
        <v>16.200000000000024</v>
      </c>
    </row>
    <row r="2963" spans="11:12" x14ac:dyDescent="0.4">
      <c r="K2963" s="5">
        <v>2961</v>
      </c>
      <c r="L2963" s="73">
        <v>2.6645352591003757E-14</v>
      </c>
    </row>
    <row r="2964" spans="11:12" x14ac:dyDescent="0.4">
      <c r="K2964" s="5">
        <v>2962</v>
      </c>
      <c r="L2964" s="73">
        <v>-54.699999999999974</v>
      </c>
    </row>
    <row r="2965" spans="11:12" x14ac:dyDescent="0.4">
      <c r="K2965" s="5">
        <v>2963</v>
      </c>
      <c r="L2965" s="73">
        <v>-14.799999999999974</v>
      </c>
    </row>
    <row r="2966" spans="11:12" x14ac:dyDescent="0.4">
      <c r="K2966" s="5">
        <v>2964</v>
      </c>
      <c r="L2966" s="73">
        <v>2.6645352591003757E-14</v>
      </c>
    </row>
  </sheetData>
  <sortState xmlns:xlrd2="http://schemas.microsoft.com/office/spreadsheetml/2017/richdata2" ref="N15:Q3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BB2A0-F061-4C10-9765-C75A8EAD150F}">
  <sheetPr codeName="Sheet4"/>
  <dimension ref="A1:Q685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195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683</v>
      </c>
      <c r="C2" s="128"/>
      <c r="E2" s="43" t="s">
        <v>66</v>
      </c>
      <c r="F2" s="25" t="s">
        <v>22</v>
      </c>
      <c r="G2" s="13">
        <v>1260</v>
      </c>
      <c r="H2" s="106">
        <f>IF(B$51=0,0,G2/B$51)</f>
        <v>0.72622478386167144</v>
      </c>
      <c r="I2" s="67">
        <v>7</v>
      </c>
      <c r="K2" s="3">
        <v>0</v>
      </c>
      <c r="L2" s="72">
        <v>0</v>
      </c>
      <c r="N2" s="88" t="s">
        <v>126</v>
      </c>
      <c r="O2" s="95">
        <f t="shared" ref="O2:O7" si="0">IF(P2=0,0,Q2/P2)</f>
        <v>1367.208271787297</v>
      </c>
      <c r="P2" s="92">
        <v>677</v>
      </c>
      <c r="Q2" s="76">
        <v>925600</v>
      </c>
    </row>
    <row r="3" spans="1:17" x14ac:dyDescent="0.4">
      <c r="A3" s="37" t="s">
        <v>8</v>
      </c>
      <c r="B3" s="129">
        <v>5462</v>
      </c>
      <c r="C3" s="130"/>
      <c r="E3" s="44" t="s">
        <v>72</v>
      </c>
      <c r="F3" s="41" t="s">
        <v>27</v>
      </c>
      <c r="G3" s="34">
        <v>948</v>
      </c>
      <c r="H3" s="107">
        <f>IF(B$51=0,0,G3/B$51)</f>
        <v>0.54639769452449571</v>
      </c>
      <c r="I3" s="68">
        <v>8</v>
      </c>
      <c r="K3" s="5">
        <v>1</v>
      </c>
      <c r="L3" s="73">
        <v>15</v>
      </c>
      <c r="N3" s="89" t="s">
        <v>127</v>
      </c>
      <c r="O3" s="96">
        <f t="shared" si="0"/>
        <v>1360.3030303030303</v>
      </c>
      <c r="P3" s="93">
        <v>660</v>
      </c>
      <c r="Q3" s="77">
        <v>897800</v>
      </c>
    </row>
    <row r="4" spans="1:17" x14ac:dyDescent="0.4">
      <c r="A4" s="37" t="s">
        <v>6</v>
      </c>
      <c r="B4" s="131">
        <v>6614.0999999999995</v>
      </c>
      <c r="C4" s="132"/>
      <c r="E4" s="44" t="s">
        <v>64</v>
      </c>
      <c r="F4" s="41" t="s">
        <v>20</v>
      </c>
      <c r="G4" s="34">
        <v>835</v>
      </c>
      <c r="H4" s="107">
        <f>IF(B$51=0,0,G4/B$51)</f>
        <v>0.48126801152737753</v>
      </c>
      <c r="I4" s="68">
        <v>13</v>
      </c>
      <c r="K4" s="5">
        <v>2</v>
      </c>
      <c r="L4" s="73">
        <v>14</v>
      </c>
      <c r="N4" s="89" t="s">
        <v>128</v>
      </c>
      <c r="O4" s="96">
        <f t="shared" si="0"/>
        <v>1342.2647527910685</v>
      </c>
      <c r="P4" s="93">
        <v>627</v>
      </c>
      <c r="Q4" s="77">
        <v>841600</v>
      </c>
    </row>
    <row r="5" spans="1:17" x14ac:dyDescent="0.4">
      <c r="A5" s="37" t="s">
        <v>7</v>
      </c>
      <c r="B5" s="133">
        <f>IF(B$2=0,0,B$4/B$2)</f>
        <v>9.6838945827232781</v>
      </c>
      <c r="C5" s="134"/>
      <c r="E5" s="44" t="s">
        <v>68</v>
      </c>
      <c r="F5" s="41" t="s">
        <v>12</v>
      </c>
      <c r="G5" s="34">
        <v>494</v>
      </c>
      <c r="H5" s="107">
        <f>IF(B$51=0,0,G5/B$51)</f>
        <v>0.28472622478386167</v>
      </c>
      <c r="I5" s="68">
        <v>13</v>
      </c>
      <c r="K5" s="5">
        <v>3</v>
      </c>
      <c r="L5" s="73">
        <v>29.1</v>
      </c>
      <c r="N5" s="89" t="s">
        <v>129</v>
      </c>
      <c r="O5" s="96">
        <f t="shared" si="0"/>
        <v>1563.9372822299651</v>
      </c>
      <c r="P5" s="93">
        <v>574</v>
      </c>
      <c r="Q5" s="77">
        <v>897700</v>
      </c>
    </row>
    <row r="6" spans="1:17" x14ac:dyDescent="0.4">
      <c r="A6" s="37" t="s">
        <v>1</v>
      </c>
      <c r="B6" s="141">
        <f>IF(B$2=0,0,(B$7*1+B$8*2+B$9*3)/B$2)</f>
        <v>1.7554904831625182</v>
      </c>
      <c r="C6" s="142"/>
      <c r="E6" s="44" t="s">
        <v>67</v>
      </c>
      <c r="F6" s="41" t="s">
        <v>23</v>
      </c>
      <c r="G6" s="34">
        <v>492</v>
      </c>
      <c r="H6" s="107">
        <f>IF(B$51=0,0,G6/B$51)</f>
        <v>0.28357348703170027</v>
      </c>
      <c r="I6" s="68">
        <v>11</v>
      </c>
      <c r="K6" s="5">
        <v>4</v>
      </c>
      <c r="L6" s="73">
        <v>114.30000000000001</v>
      </c>
      <c r="N6" s="89" t="s">
        <v>130</v>
      </c>
      <c r="O6" s="96">
        <f t="shared" si="0"/>
        <v>1424.4660194174758</v>
      </c>
      <c r="P6" s="93">
        <v>515</v>
      </c>
      <c r="Q6" s="77">
        <v>733600</v>
      </c>
    </row>
    <row r="7" spans="1:17" x14ac:dyDescent="0.4">
      <c r="A7" s="37" t="s">
        <v>2</v>
      </c>
      <c r="B7" s="34">
        <v>320</v>
      </c>
      <c r="C7" s="31">
        <f t="shared" ref="C7:C14" si="1">IF(B$2=0,0,B7/B$2)</f>
        <v>0.46852122986822842</v>
      </c>
      <c r="E7" s="44" t="s">
        <v>157</v>
      </c>
      <c r="F7" s="41" t="s">
        <v>158</v>
      </c>
      <c r="G7" s="34">
        <v>471</v>
      </c>
      <c r="H7" s="107">
        <f>IF(B$51=0,0,G7/B$51)</f>
        <v>0.27146974063400575</v>
      </c>
      <c r="I7" s="68">
        <v>12</v>
      </c>
      <c r="K7" s="5">
        <v>5</v>
      </c>
      <c r="L7" s="73">
        <v>145.80000000000001</v>
      </c>
      <c r="N7" s="90" t="s">
        <v>131</v>
      </c>
      <c r="O7" s="97">
        <f t="shared" si="0"/>
        <v>1677.9859484777517</v>
      </c>
      <c r="P7" s="94">
        <v>427</v>
      </c>
      <c r="Q7" s="78">
        <v>716500</v>
      </c>
    </row>
    <row r="8" spans="1:17" x14ac:dyDescent="0.4">
      <c r="A8" s="37" t="s">
        <v>3</v>
      </c>
      <c r="B8" s="34">
        <v>210</v>
      </c>
      <c r="C8" s="31">
        <f t="shared" si="1"/>
        <v>0.3074670571010249</v>
      </c>
      <c r="E8" s="44" t="s">
        <v>89</v>
      </c>
      <c r="F8" s="41" t="s">
        <v>44</v>
      </c>
      <c r="G8" s="34">
        <v>287</v>
      </c>
      <c r="H8" s="107">
        <f>IF(B$51=0,0,G8/B$51)</f>
        <v>0.16541786743515849</v>
      </c>
      <c r="I8" s="68">
        <v>4</v>
      </c>
      <c r="K8" s="5">
        <v>6</v>
      </c>
      <c r="L8" s="73">
        <v>97.800000000000011</v>
      </c>
      <c r="N8" s="33"/>
      <c r="O8" s="101"/>
      <c r="P8" s="85"/>
      <c r="Q8" s="83"/>
    </row>
    <row r="9" spans="1:17" x14ac:dyDescent="0.4">
      <c r="A9" s="38" t="s">
        <v>4</v>
      </c>
      <c r="B9" s="35">
        <v>153</v>
      </c>
      <c r="C9" s="7">
        <f t="shared" si="1"/>
        <v>0.22401171303074671</v>
      </c>
      <c r="E9" s="44" t="s">
        <v>69</v>
      </c>
      <c r="F9" s="41" t="s">
        <v>24</v>
      </c>
      <c r="G9" s="34">
        <v>253</v>
      </c>
      <c r="H9" s="107">
        <f>IF(B$51=0,0,G9/B$51)</f>
        <v>0.14582132564841499</v>
      </c>
      <c r="I9" s="68">
        <v>8</v>
      </c>
      <c r="K9" s="5">
        <v>7</v>
      </c>
      <c r="L9" s="73">
        <v>91.700000000000017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49">
        <f>IF(B7=0,0,C10/B7)</f>
        <v>37.409374999999997</v>
      </c>
      <c r="C10" s="150">
        <v>11970.999999999998</v>
      </c>
      <c r="E10" s="44" t="s">
        <v>65</v>
      </c>
      <c r="F10" s="41" t="s">
        <v>21</v>
      </c>
      <c r="G10" s="34">
        <v>204</v>
      </c>
      <c r="H10" s="107">
        <f>IF(B$51=0,0,G10/B$51)</f>
        <v>0.11757925072046109</v>
      </c>
      <c r="I10" s="68">
        <v>9</v>
      </c>
      <c r="K10" s="5">
        <v>8</v>
      </c>
      <c r="L10" s="73">
        <v>55.700000000000017</v>
      </c>
      <c r="N10" s="88" t="s">
        <v>149</v>
      </c>
      <c r="O10" s="98">
        <f>IF(P10=0,0,Q10/P10)</f>
        <v>13.308743169398909</v>
      </c>
      <c r="P10" s="92">
        <v>183</v>
      </c>
      <c r="Q10" s="80">
        <v>2435.5000000000005</v>
      </c>
    </row>
    <row r="11" spans="1:17" x14ac:dyDescent="0.4">
      <c r="A11" s="38" t="s">
        <v>204</v>
      </c>
      <c r="B11" s="149">
        <f>IF(B8=0,0,C11/B8)</f>
        <v>0.16047619047618999</v>
      </c>
      <c r="C11" s="150">
        <v>33.699999999999896</v>
      </c>
      <c r="E11" s="44" t="s">
        <v>70</v>
      </c>
      <c r="F11" s="41" t="s">
        <v>25</v>
      </c>
      <c r="G11" s="34">
        <v>131</v>
      </c>
      <c r="H11" s="107">
        <f>IF(B$51=0,0,G11/B$51)</f>
        <v>7.5504322766570611E-2</v>
      </c>
      <c r="I11" s="68">
        <v>14</v>
      </c>
      <c r="K11" s="5">
        <v>9</v>
      </c>
      <c r="L11" s="73">
        <v>14.700000000000017</v>
      </c>
      <c r="N11" s="89" t="s">
        <v>150</v>
      </c>
      <c r="O11" s="99">
        <f>IF(P11=0,0,Q11/P11)</f>
        <v>7.3723502304147477</v>
      </c>
      <c r="P11" s="93">
        <v>217</v>
      </c>
      <c r="Q11" s="81">
        <v>1599.8000000000002</v>
      </c>
    </row>
    <row r="12" spans="1:17" x14ac:dyDescent="0.4">
      <c r="A12" s="38" t="s">
        <v>205</v>
      </c>
      <c r="B12" s="149">
        <f>IF(B9=0,0,C12/B9)</f>
        <v>-35.232679738562105</v>
      </c>
      <c r="C12" s="150">
        <v>-5390.6000000000022</v>
      </c>
      <c r="E12" s="44" t="s">
        <v>86</v>
      </c>
      <c r="F12" s="41" t="s">
        <v>41</v>
      </c>
      <c r="G12" s="34">
        <v>116</v>
      </c>
      <c r="H12" s="107">
        <f>IF(B$51=0,0,G12/B$51)</f>
        <v>6.6858789625360224E-2</v>
      </c>
      <c r="I12" s="68">
        <v>5</v>
      </c>
      <c r="K12" s="5">
        <v>10</v>
      </c>
      <c r="L12" s="73">
        <v>-16.799999999999983</v>
      </c>
      <c r="N12" s="90" t="s">
        <v>151</v>
      </c>
      <c r="O12" s="100">
        <f>IF(P12=0,0,Q12/P12)</f>
        <v>9.1114285714285721</v>
      </c>
      <c r="P12" s="94">
        <v>280</v>
      </c>
      <c r="Q12" s="82">
        <v>2551.2000000000003</v>
      </c>
    </row>
    <row r="13" spans="1:17" x14ac:dyDescent="0.4">
      <c r="A13" s="38" t="s">
        <v>206</v>
      </c>
      <c r="B13" s="133">
        <f>AVERAGE(B10:B12)</f>
        <v>0.77905715063802694</v>
      </c>
      <c r="C13" s="134"/>
      <c r="E13" s="44" t="s">
        <v>71</v>
      </c>
      <c r="F13" s="41" t="s">
        <v>26</v>
      </c>
      <c r="G13" s="34">
        <v>113</v>
      </c>
      <c r="H13" s="107">
        <f>IF(B$51=0,0,G13/B$51)</f>
        <v>6.512968299711816E-2</v>
      </c>
      <c r="I13" s="68">
        <v>9</v>
      </c>
      <c r="K13" s="5">
        <v>11</v>
      </c>
      <c r="L13" s="73">
        <v>1.5000000000000178</v>
      </c>
      <c r="N13" s="28"/>
      <c r="O13" s="84"/>
      <c r="P13" s="86"/>
      <c r="Q13" s="84"/>
    </row>
    <row r="14" spans="1:17" x14ac:dyDescent="0.4">
      <c r="A14" s="39" t="s">
        <v>18</v>
      </c>
      <c r="B14" s="36">
        <v>52</v>
      </c>
      <c r="C14" s="32">
        <f t="shared" si="1"/>
        <v>7.6134699853587118E-2</v>
      </c>
      <c r="E14" s="44" t="s">
        <v>83</v>
      </c>
      <c r="F14" s="41" t="s">
        <v>38</v>
      </c>
      <c r="G14" s="34">
        <v>78</v>
      </c>
      <c r="H14" s="107">
        <f>IF(B$51=0,0,G14/B$51)</f>
        <v>4.4956772334293946E-2</v>
      </c>
      <c r="I14" s="68">
        <v>10</v>
      </c>
      <c r="K14" s="5">
        <v>12</v>
      </c>
      <c r="L14" s="73">
        <v>14.300000000000018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1450</v>
      </c>
      <c r="C15" s="11">
        <f>IF(B$50=0,0,B15/B$50)</f>
        <v>0.28965241709948064</v>
      </c>
      <c r="E15" s="44" t="s">
        <v>78</v>
      </c>
      <c r="F15" s="41" t="s">
        <v>33</v>
      </c>
      <c r="G15" s="34">
        <v>43</v>
      </c>
      <c r="H15" s="107">
        <f>IF(B$51=0,0,G15/B$51)</f>
        <v>2.4783861671469742E-2</v>
      </c>
      <c r="I15" s="68">
        <v>10</v>
      </c>
      <c r="K15" s="5">
        <v>13</v>
      </c>
      <c r="L15" s="73">
        <v>71.300000000000011</v>
      </c>
      <c r="N15" s="88" t="s">
        <v>185</v>
      </c>
      <c r="O15" s="98">
        <f>IF(P15=0,0,Q15/P15)</f>
        <v>125.9</v>
      </c>
      <c r="P15" s="92">
        <v>1</v>
      </c>
      <c r="Q15" s="80">
        <v>125.9</v>
      </c>
    </row>
    <row r="16" spans="1:17" x14ac:dyDescent="0.4">
      <c r="A16" s="37" t="s">
        <v>118</v>
      </c>
      <c r="B16" s="34">
        <v>1116</v>
      </c>
      <c r="C16" s="31">
        <f>IF(B$50=0,0,B16/B$50)</f>
        <v>0.22293248102277266</v>
      </c>
      <c r="E16" s="44" t="s">
        <v>153</v>
      </c>
      <c r="F16" s="41" t="s">
        <v>154</v>
      </c>
      <c r="G16" s="34">
        <v>40</v>
      </c>
      <c r="H16" s="107">
        <f>IF(B$51=0,0,G16/B$51)</f>
        <v>2.3054755043227664E-2</v>
      </c>
      <c r="I16" s="68">
        <v>3</v>
      </c>
      <c r="K16" s="5">
        <v>14</v>
      </c>
      <c r="L16" s="73">
        <v>27.300000000000011</v>
      </c>
      <c r="N16" s="89" t="s">
        <v>184</v>
      </c>
      <c r="O16" s="99">
        <f>IF(P16=0,0,Q16/P16)</f>
        <v>71.75</v>
      </c>
      <c r="P16" s="93">
        <v>4</v>
      </c>
      <c r="Q16" s="81">
        <v>287</v>
      </c>
    </row>
    <row r="17" spans="1:17" x14ac:dyDescent="0.4">
      <c r="A17" s="19" t="s">
        <v>123</v>
      </c>
      <c r="B17" s="13">
        <v>879</v>
      </c>
      <c r="C17" s="4">
        <f>IF(B$15=0,0,B17/B$15)</f>
        <v>0.60620689655172411</v>
      </c>
      <c r="E17" s="44" t="s">
        <v>81</v>
      </c>
      <c r="F17" s="41" t="s">
        <v>36</v>
      </c>
      <c r="G17" s="34">
        <v>32</v>
      </c>
      <c r="H17" s="107">
        <f>IF(B$51=0,0,G17/B$51)</f>
        <v>1.8443804034582133E-2</v>
      </c>
      <c r="I17" s="68">
        <v>12</v>
      </c>
      <c r="K17" s="5">
        <v>15</v>
      </c>
      <c r="L17" s="73">
        <v>-9.6999999999999886</v>
      </c>
      <c r="N17" s="89" t="s">
        <v>196</v>
      </c>
      <c r="O17" s="99">
        <f>IF(P17=0,0,Q17/P17)</f>
        <v>69.2</v>
      </c>
      <c r="P17" s="93">
        <v>1</v>
      </c>
      <c r="Q17" s="81">
        <v>69.2</v>
      </c>
    </row>
    <row r="18" spans="1:17" x14ac:dyDescent="0.4">
      <c r="A18" s="19" t="s">
        <v>124</v>
      </c>
      <c r="B18" s="13">
        <v>549</v>
      </c>
      <c r="C18" s="4">
        <f>IF(B$16=0,0,B18/B$16)</f>
        <v>0.49193548387096775</v>
      </c>
      <c r="E18" s="44" t="s">
        <v>91</v>
      </c>
      <c r="F18" s="41" t="s">
        <v>46</v>
      </c>
      <c r="G18" s="34">
        <v>28</v>
      </c>
      <c r="H18" s="107">
        <f>IF(B$51=0,0,G18/B$51)</f>
        <v>1.6138328530259365E-2</v>
      </c>
      <c r="I18" s="68">
        <v>10</v>
      </c>
      <c r="K18" s="5">
        <v>16</v>
      </c>
      <c r="L18" s="73">
        <v>-8.099999999999989</v>
      </c>
      <c r="N18" s="89" t="s">
        <v>189</v>
      </c>
      <c r="O18" s="99">
        <f>IF(P18=0,0,Q18/P18)</f>
        <v>37.757142857142853</v>
      </c>
      <c r="P18" s="93">
        <v>7</v>
      </c>
      <c r="Q18" s="81">
        <v>264.29999999999995</v>
      </c>
    </row>
    <row r="19" spans="1:17" x14ac:dyDescent="0.4">
      <c r="A19" s="19" t="s">
        <v>10</v>
      </c>
      <c r="B19" s="13">
        <v>1891</v>
      </c>
      <c r="C19" s="4">
        <f>IF(B$3=0,0,B19/B$3)</f>
        <v>0.34621017942145732</v>
      </c>
      <c r="E19" s="44" t="s">
        <v>79</v>
      </c>
      <c r="F19" s="41" t="s">
        <v>34</v>
      </c>
      <c r="G19" s="34">
        <v>18</v>
      </c>
      <c r="H19" s="107">
        <f>IF(B$51=0,0,G19/B$51)</f>
        <v>1.0374639769452449E-2</v>
      </c>
      <c r="I19" s="68">
        <v>13</v>
      </c>
      <c r="K19" s="5">
        <v>17</v>
      </c>
      <c r="L19" s="73">
        <v>-29.499999999999986</v>
      </c>
      <c r="N19" s="89" t="s">
        <v>200</v>
      </c>
      <c r="O19" s="99">
        <f>IF(P19=0,0,Q19/P19)</f>
        <v>29.599999999999998</v>
      </c>
      <c r="P19" s="93">
        <v>1</v>
      </c>
      <c r="Q19" s="81">
        <v>29.599999999999998</v>
      </c>
    </row>
    <row r="20" spans="1:17" x14ac:dyDescent="0.4">
      <c r="A20" s="37" t="s">
        <v>13</v>
      </c>
      <c r="B20" s="34">
        <v>754</v>
      </c>
      <c r="C20" s="31">
        <f>IF(B$3=0,0,B20/B$3)</f>
        <v>0.13804467228121567</v>
      </c>
      <c r="E20" s="44" t="s">
        <v>85</v>
      </c>
      <c r="F20" s="41" t="s">
        <v>40</v>
      </c>
      <c r="G20" s="34">
        <v>13</v>
      </c>
      <c r="H20" s="107">
        <f>IF(B$51=0,0,G20/B$51)</f>
        <v>7.492795389048991E-3</v>
      </c>
      <c r="I20" s="68">
        <v>3</v>
      </c>
      <c r="K20" s="5">
        <v>18</v>
      </c>
      <c r="L20" s="73">
        <v>-14.599999999999985</v>
      </c>
      <c r="N20" s="89" t="s">
        <v>197</v>
      </c>
      <c r="O20" s="99">
        <f>IF(P20=0,0,Q20/P20)</f>
        <v>28.71200000000001</v>
      </c>
      <c r="P20" s="93">
        <v>25</v>
      </c>
      <c r="Q20" s="81">
        <v>717.8000000000003</v>
      </c>
    </row>
    <row r="21" spans="1:17" x14ac:dyDescent="0.4">
      <c r="A21" s="37" t="s">
        <v>12</v>
      </c>
      <c r="B21" s="34">
        <v>770</v>
      </c>
      <c r="C21" s="31">
        <f>IF(B$19=0,0,B21/B$19)</f>
        <v>0.40719196192490748</v>
      </c>
      <c r="E21" s="44" t="s">
        <v>92</v>
      </c>
      <c r="F21" s="41" t="s">
        <v>47</v>
      </c>
      <c r="G21" s="34">
        <v>13</v>
      </c>
      <c r="H21" s="107">
        <f>IF(B$51=0,0,G21/B$51)</f>
        <v>7.492795389048991E-3</v>
      </c>
      <c r="I21" s="68">
        <v>3</v>
      </c>
      <c r="K21" s="5">
        <v>19</v>
      </c>
      <c r="L21" s="73">
        <v>42.600000000000016</v>
      </c>
      <c r="N21" s="89" t="s">
        <v>186</v>
      </c>
      <c r="O21" s="99">
        <f>IF(P21=0,0,Q21/P21)</f>
        <v>28.514285714285716</v>
      </c>
      <c r="P21" s="93">
        <v>49</v>
      </c>
      <c r="Q21" s="81">
        <v>1397.2</v>
      </c>
    </row>
    <row r="22" spans="1:17" x14ac:dyDescent="0.4">
      <c r="A22" s="37" t="s">
        <v>11</v>
      </c>
      <c r="B22" s="34">
        <v>1121</v>
      </c>
      <c r="C22" s="31">
        <f>IF(B$19=0,0,B22/B$19)</f>
        <v>0.59280803807509252</v>
      </c>
      <c r="E22" s="44" t="s">
        <v>77</v>
      </c>
      <c r="F22" s="41" t="s">
        <v>32</v>
      </c>
      <c r="G22" s="34">
        <v>11</v>
      </c>
      <c r="H22" s="107">
        <f>IF(B$51=0,0,G22/B$51)</f>
        <v>6.3400576368876083E-3</v>
      </c>
      <c r="I22" s="68">
        <v>4</v>
      </c>
      <c r="K22" s="5">
        <v>20</v>
      </c>
      <c r="L22" s="73">
        <v>68.800000000000011</v>
      </c>
      <c r="N22" s="89" t="s">
        <v>188</v>
      </c>
      <c r="O22" s="99">
        <f>IF(P22=0,0,Q22/P22)</f>
        <v>19.56073619631902</v>
      </c>
      <c r="P22" s="93">
        <v>163</v>
      </c>
      <c r="Q22" s="81">
        <v>3188.4</v>
      </c>
    </row>
    <row r="23" spans="1:17" x14ac:dyDescent="0.4">
      <c r="A23" s="37" t="s">
        <v>180</v>
      </c>
      <c r="B23" s="34">
        <v>879</v>
      </c>
      <c r="C23" s="31">
        <f>IF(B$19=0,0,B23/B$19)</f>
        <v>0.46483342147012163</v>
      </c>
      <c r="E23" s="44" t="s">
        <v>75</v>
      </c>
      <c r="F23" s="41" t="s">
        <v>30</v>
      </c>
      <c r="G23" s="34">
        <v>10</v>
      </c>
      <c r="H23" s="107">
        <f>IF(B$51=0,0,G23/B$51)</f>
        <v>5.763688760806916E-3</v>
      </c>
      <c r="I23" s="68">
        <v>8</v>
      </c>
      <c r="K23" s="5">
        <v>21</v>
      </c>
      <c r="L23" s="73">
        <v>125.30000000000001</v>
      </c>
      <c r="N23" s="89" t="s">
        <v>187</v>
      </c>
      <c r="O23" s="99">
        <f>IF(P23=0,0,Q23/P23)</f>
        <v>18.331372549019608</v>
      </c>
      <c r="P23" s="93">
        <v>153</v>
      </c>
      <c r="Q23" s="81">
        <v>2804.7000000000003</v>
      </c>
    </row>
    <row r="24" spans="1:17" x14ac:dyDescent="0.4">
      <c r="A24" s="37" t="s">
        <v>178</v>
      </c>
      <c r="B24" s="34">
        <v>549</v>
      </c>
      <c r="C24" s="31">
        <f>IF(B$19=0,0,B24/B$19)</f>
        <v>0.29032258064516131</v>
      </c>
      <c r="E24" s="44" t="s">
        <v>73</v>
      </c>
      <c r="F24" s="41" t="s">
        <v>28</v>
      </c>
      <c r="G24" s="34">
        <v>7</v>
      </c>
      <c r="H24" s="107">
        <f>IF(B$51=0,0,G24/B$51)</f>
        <v>4.0345821325648411E-3</v>
      </c>
      <c r="I24" s="68">
        <v>10</v>
      </c>
      <c r="K24" s="5">
        <v>22</v>
      </c>
      <c r="L24" s="73">
        <v>99.800000000000011</v>
      </c>
      <c r="N24" s="89" t="s">
        <v>190</v>
      </c>
      <c r="O24" s="99">
        <f>IF(P24=0,0,Q24/P24)</f>
        <v>15.063513513513511</v>
      </c>
      <c r="P24" s="93">
        <v>296</v>
      </c>
      <c r="Q24" s="81">
        <v>4458.7999999999993</v>
      </c>
    </row>
    <row r="25" spans="1:17" x14ac:dyDescent="0.4">
      <c r="A25" s="37" t="s">
        <v>179</v>
      </c>
      <c r="B25" s="34">
        <v>463</v>
      </c>
      <c r="C25" s="31">
        <f>IF(B$19=0,0,B25/B$19)</f>
        <v>0.24484399788471709</v>
      </c>
      <c r="E25" s="44" t="s">
        <v>90</v>
      </c>
      <c r="F25" s="41" t="s">
        <v>45</v>
      </c>
      <c r="G25" s="34">
        <v>5</v>
      </c>
      <c r="H25" s="107">
        <f>IF(B$51=0,0,G25/B$51)</f>
        <v>2.881844380403458E-3</v>
      </c>
      <c r="I25" s="68">
        <v>3</v>
      </c>
      <c r="K25" s="5">
        <v>23</v>
      </c>
      <c r="L25" s="73">
        <v>124.50000000000001</v>
      </c>
      <c r="N25" s="89" t="s">
        <v>193</v>
      </c>
      <c r="O25" s="99">
        <f>IF(P25=0,0,Q25/P25)</f>
        <v>13.601829268292688</v>
      </c>
      <c r="P25" s="93">
        <v>328</v>
      </c>
      <c r="Q25" s="81">
        <v>4461.4000000000015</v>
      </c>
    </row>
    <row r="26" spans="1:17" x14ac:dyDescent="0.4">
      <c r="A26" s="37" t="s">
        <v>5</v>
      </c>
      <c r="B26" s="17">
        <f>IF(B$19=0,0,C26/B$19)</f>
        <v>9190.5869910100482</v>
      </c>
      <c r="C26" s="8">
        <v>17379400</v>
      </c>
      <c r="E26" s="44" t="s">
        <v>74</v>
      </c>
      <c r="F26" s="41" t="s">
        <v>29</v>
      </c>
      <c r="G26" s="34">
        <v>4</v>
      </c>
      <c r="H26" s="107">
        <f>IF(B$51=0,0,G26/B$51)</f>
        <v>2.3054755043227667E-3</v>
      </c>
      <c r="I26" s="68">
        <v>8</v>
      </c>
      <c r="K26" s="5">
        <v>24</v>
      </c>
      <c r="L26" s="73">
        <v>118.00000000000001</v>
      </c>
      <c r="N26" s="89" t="s">
        <v>191</v>
      </c>
      <c r="O26" s="99">
        <f>IF(P26=0,0,Q26/P26)</f>
        <v>6.4097457627118635</v>
      </c>
      <c r="P26" s="93">
        <v>236</v>
      </c>
      <c r="Q26" s="81">
        <v>1512.6999999999998</v>
      </c>
    </row>
    <row r="27" spans="1:17" x14ac:dyDescent="0.4">
      <c r="A27" s="38" t="s">
        <v>162</v>
      </c>
      <c r="B27" s="114">
        <f>IF($B$19-B$18=0,0,C27/($B$19-B$18))</f>
        <v>9585.9910581222048</v>
      </c>
      <c r="C27" s="115">
        <v>12864400</v>
      </c>
      <c r="E27" s="44" t="s">
        <v>84</v>
      </c>
      <c r="F27" s="41" t="s">
        <v>39</v>
      </c>
      <c r="G27" s="34">
        <v>4</v>
      </c>
      <c r="H27" s="107">
        <f>IF(B$51=0,0,G27/B$51)</f>
        <v>2.3054755043227667E-3</v>
      </c>
      <c r="I27" s="68">
        <v>5</v>
      </c>
      <c r="K27" s="5">
        <v>25</v>
      </c>
      <c r="L27" s="73">
        <v>84.300000000000011</v>
      </c>
      <c r="N27" s="89" t="s">
        <v>194</v>
      </c>
      <c r="O27" s="99">
        <f>IF(P27=0,0,Q27/P27)</f>
        <v>5.6242857142857137</v>
      </c>
      <c r="P27" s="93">
        <v>70</v>
      </c>
      <c r="Q27" s="81">
        <v>393.69999999999993</v>
      </c>
    </row>
    <row r="28" spans="1:17" x14ac:dyDescent="0.4">
      <c r="A28" s="38" t="s">
        <v>163</v>
      </c>
      <c r="B28" s="114">
        <f>IF(B$18=0,0,C28/B$18)</f>
        <v>8224.043715846994</v>
      </c>
      <c r="C28" s="115">
        <v>4515000</v>
      </c>
      <c r="E28" s="44" t="s">
        <v>87</v>
      </c>
      <c r="F28" s="41" t="s">
        <v>42</v>
      </c>
      <c r="G28" s="34">
        <v>4</v>
      </c>
      <c r="H28" s="107">
        <f>IF(B$51=0,0,G28/B$51)</f>
        <v>2.3054755043227667E-3</v>
      </c>
      <c r="I28" s="68">
        <v>6</v>
      </c>
      <c r="K28" s="5">
        <v>26</v>
      </c>
      <c r="L28" s="73">
        <v>108.20000000000002</v>
      </c>
      <c r="N28" s="89" t="s">
        <v>192</v>
      </c>
      <c r="O28" s="99">
        <f>IF(P28=0,0,Q28/P28)</f>
        <v>5.283333333333335</v>
      </c>
      <c r="P28" s="93">
        <v>30</v>
      </c>
      <c r="Q28" s="81">
        <v>158.50000000000006</v>
      </c>
    </row>
    <row r="29" spans="1:17" x14ac:dyDescent="0.4">
      <c r="A29" s="38" t="s">
        <v>161</v>
      </c>
      <c r="B29" s="114">
        <f>IF(B$20=0,0,C29/B$20)</f>
        <v>-8432.2281167108758</v>
      </c>
      <c r="C29" s="115">
        <v>-6357900</v>
      </c>
      <c r="E29" s="44" t="s">
        <v>88</v>
      </c>
      <c r="F29" s="41" t="s">
        <v>43</v>
      </c>
      <c r="G29" s="34">
        <v>4</v>
      </c>
      <c r="H29" s="107">
        <f>IF(B$51=0,0,G29/B$51)</f>
        <v>2.3054755043227667E-3</v>
      </c>
      <c r="I29" s="68">
        <v>4</v>
      </c>
      <c r="K29" s="5">
        <v>27</v>
      </c>
      <c r="L29" s="73">
        <v>71.200000000000017</v>
      </c>
      <c r="N29" s="89" t="s">
        <v>199</v>
      </c>
      <c r="O29" s="99">
        <f>IF(P29=0,0,Q29/P29)</f>
        <v>-13.45</v>
      </c>
      <c r="P29" s="93">
        <v>2</v>
      </c>
      <c r="Q29" s="81">
        <v>-26.9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95</v>
      </c>
      <c r="F30" s="41" t="s">
        <v>50</v>
      </c>
      <c r="G30" s="34">
        <v>4</v>
      </c>
      <c r="H30" s="107">
        <f>IF(B$51=0,0,G30/B$51)</f>
        <v>2.3054755043227667E-3</v>
      </c>
      <c r="I30" s="68">
        <v>2</v>
      </c>
      <c r="K30" s="5">
        <v>28</v>
      </c>
      <c r="L30" s="73">
        <v>129.20000000000002</v>
      </c>
    </row>
    <row r="31" spans="1:17" x14ac:dyDescent="0.4">
      <c r="A31" s="37" t="s">
        <v>156</v>
      </c>
      <c r="B31" s="34">
        <v>43</v>
      </c>
      <c r="C31" s="109">
        <v>0</v>
      </c>
      <c r="E31" s="44" t="s">
        <v>93</v>
      </c>
      <c r="F31" s="41" t="s">
        <v>48</v>
      </c>
      <c r="G31" s="34">
        <v>3</v>
      </c>
      <c r="H31" s="107">
        <f>IF(B$51=0,0,G31/B$51)</f>
        <v>1.7291066282420749E-3</v>
      </c>
      <c r="I31" s="68">
        <v>7</v>
      </c>
      <c r="K31" s="5">
        <v>29</v>
      </c>
      <c r="L31" s="73">
        <v>120.80000000000001</v>
      </c>
    </row>
    <row r="32" spans="1:17" x14ac:dyDescent="0.4">
      <c r="A32" s="64" t="s">
        <v>134</v>
      </c>
      <c r="B32" s="139">
        <v>10</v>
      </c>
      <c r="C32" s="140"/>
      <c r="E32" s="44" t="s">
        <v>106</v>
      </c>
      <c r="F32" s="41" t="s">
        <v>113</v>
      </c>
      <c r="G32" s="34">
        <v>2</v>
      </c>
      <c r="H32" s="107">
        <f>IF(B$51=0,0,G32/B$51)</f>
        <v>1.1527377521613833E-3</v>
      </c>
      <c r="I32" s="68">
        <v>2</v>
      </c>
      <c r="K32" s="5">
        <v>30</v>
      </c>
      <c r="L32" s="73">
        <v>174.10000000000002</v>
      </c>
    </row>
    <row r="33" spans="1:12" x14ac:dyDescent="0.4">
      <c r="A33" s="40" t="s">
        <v>177</v>
      </c>
      <c r="B33" s="137">
        <v>149100</v>
      </c>
      <c r="C33" s="138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160.10000000000002</v>
      </c>
    </row>
    <row r="34" spans="1:12" x14ac:dyDescent="0.4">
      <c r="A34" s="39" t="s">
        <v>135</v>
      </c>
      <c r="B34" s="27">
        <v>5</v>
      </c>
      <c r="C34" s="32">
        <f>IF(B$3=0,0,B34/B$3)</f>
        <v>9.1541559868180155E-4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220.8</v>
      </c>
    </row>
    <row r="35" spans="1:12" x14ac:dyDescent="0.4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270.8</v>
      </c>
    </row>
    <row r="36" spans="1:12" x14ac:dyDescent="0.4">
      <c r="A36" s="64" t="s">
        <v>168</v>
      </c>
      <c r="B36" s="121">
        <v>120</v>
      </c>
      <c r="C36" s="119">
        <f>IF(B$19=0,0,B36/B$19)</f>
        <v>6.3458487572712857E-2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256.8</v>
      </c>
    </row>
    <row r="37" spans="1:12" x14ac:dyDescent="0.4">
      <c r="A37" s="37" t="s">
        <v>164</v>
      </c>
      <c r="B37" s="34">
        <v>246</v>
      </c>
      <c r="C37" s="31">
        <f t="shared" ref="C37:C48" si="2">IF(B$19=0,0,B37/B$19)</f>
        <v>0.13008989952406133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253.4</v>
      </c>
    </row>
    <row r="38" spans="1:12" x14ac:dyDescent="0.4">
      <c r="A38" s="37" t="s">
        <v>165</v>
      </c>
      <c r="B38" s="124">
        <v>328</v>
      </c>
      <c r="C38" s="31">
        <f>IF(B$19=0,0,B38/B$19)</f>
        <v>0.17345319936541512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236.3</v>
      </c>
    </row>
    <row r="39" spans="1:12" x14ac:dyDescent="0.4">
      <c r="A39" s="37" t="s">
        <v>166</v>
      </c>
      <c r="B39" s="124">
        <v>342</v>
      </c>
      <c r="C39" s="31">
        <f t="shared" si="2"/>
        <v>0.18085668958223161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257.40000000000003</v>
      </c>
    </row>
    <row r="40" spans="1:12" x14ac:dyDescent="0.4">
      <c r="A40" s="37" t="s">
        <v>167</v>
      </c>
      <c r="B40" s="124">
        <v>255</v>
      </c>
      <c r="C40" s="31">
        <f t="shared" si="2"/>
        <v>0.1348492860920148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206.80000000000004</v>
      </c>
    </row>
    <row r="41" spans="1:12" x14ac:dyDescent="0.4">
      <c r="A41" s="37" t="s">
        <v>169</v>
      </c>
      <c r="B41" s="124">
        <v>186</v>
      </c>
      <c r="C41" s="31">
        <f t="shared" si="2"/>
        <v>9.8360655737704916E-2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198.60000000000005</v>
      </c>
    </row>
    <row r="42" spans="1:12" x14ac:dyDescent="0.4">
      <c r="A42" s="37" t="s">
        <v>170</v>
      </c>
      <c r="B42" s="124">
        <v>116</v>
      </c>
      <c r="C42" s="31">
        <f t="shared" si="2"/>
        <v>6.1343204653622425E-2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191.60000000000005</v>
      </c>
    </row>
    <row r="43" spans="1:12" x14ac:dyDescent="0.4">
      <c r="A43" s="37" t="s">
        <v>171</v>
      </c>
      <c r="B43" s="124">
        <v>55</v>
      </c>
      <c r="C43" s="31">
        <f t="shared" si="2"/>
        <v>2.9085140137493391E-2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155.20000000000005</v>
      </c>
    </row>
    <row r="44" spans="1:12" x14ac:dyDescent="0.4">
      <c r="A44" s="37" t="s">
        <v>172</v>
      </c>
      <c r="B44" s="124">
        <v>34</v>
      </c>
      <c r="C44" s="31">
        <f t="shared" si="2"/>
        <v>1.7979904812268643E-2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146.70000000000005</v>
      </c>
    </row>
    <row r="45" spans="1:12" x14ac:dyDescent="0.4">
      <c r="A45" s="37" t="s">
        <v>173</v>
      </c>
      <c r="B45" s="124">
        <v>15</v>
      </c>
      <c r="C45" s="31">
        <f t="shared" si="2"/>
        <v>7.9323109465891072E-3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155.10000000000005</v>
      </c>
    </row>
    <row r="46" spans="1:12" x14ac:dyDescent="0.4">
      <c r="A46" s="37" t="s">
        <v>174</v>
      </c>
      <c r="B46" s="124">
        <v>8</v>
      </c>
      <c r="C46" s="31">
        <f t="shared" si="2"/>
        <v>4.2305658381808567E-3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144.70000000000005</v>
      </c>
    </row>
    <row r="47" spans="1:12" x14ac:dyDescent="0.4">
      <c r="A47" s="37" t="s">
        <v>175</v>
      </c>
      <c r="B47" s="124">
        <v>3</v>
      </c>
      <c r="C47" s="31">
        <f t="shared" si="2"/>
        <v>1.5864621893178213E-3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172.60000000000005</v>
      </c>
    </row>
    <row r="48" spans="1:12" x14ac:dyDescent="0.4">
      <c r="A48" s="39" t="s">
        <v>176</v>
      </c>
      <c r="B48" s="120">
        <v>27</v>
      </c>
      <c r="C48" s="32">
        <f t="shared" si="2"/>
        <v>1.4278159703860392E-2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152.10000000000005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121.00000000000006</v>
      </c>
    </row>
    <row r="50" spans="1:12" x14ac:dyDescent="0.4">
      <c r="A50" s="64" t="s">
        <v>181</v>
      </c>
      <c r="B50" s="127">
        <v>5006</v>
      </c>
      <c r="C50" s="128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137.20000000000005</v>
      </c>
    </row>
    <row r="51" spans="1:12" x14ac:dyDescent="0.4">
      <c r="A51" s="39" t="s">
        <v>182</v>
      </c>
      <c r="B51" s="135">
        <v>1735</v>
      </c>
      <c r="C51" s="136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132.30000000000004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145.10000000000005</v>
      </c>
    </row>
    <row r="53" spans="1:12" x14ac:dyDescent="0.4">
      <c r="K53" s="5">
        <v>51</v>
      </c>
      <c r="L53" s="73">
        <v>145.80000000000004</v>
      </c>
    </row>
    <row r="54" spans="1:12" x14ac:dyDescent="0.4">
      <c r="K54" s="5">
        <v>52</v>
      </c>
      <c r="L54" s="73">
        <v>139.10000000000005</v>
      </c>
    </row>
    <row r="55" spans="1:12" x14ac:dyDescent="0.4">
      <c r="K55" s="5">
        <v>53</v>
      </c>
      <c r="L55" s="73">
        <v>111.10000000000005</v>
      </c>
    </row>
    <row r="56" spans="1:12" x14ac:dyDescent="0.4">
      <c r="K56" s="5">
        <v>54</v>
      </c>
      <c r="L56" s="73">
        <v>127.80000000000005</v>
      </c>
    </row>
    <row r="57" spans="1:12" x14ac:dyDescent="0.4">
      <c r="K57" s="5">
        <v>55</v>
      </c>
      <c r="L57" s="73">
        <v>120.80000000000005</v>
      </c>
    </row>
    <row r="58" spans="1:12" x14ac:dyDescent="0.4">
      <c r="K58" s="5">
        <v>56</v>
      </c>
      <c r="L58" s="73">
        <v>152.40000000000006</v>
      </c>
    </row>
    <row r="59" spans="1:12" x14ac:dyDescent="0.4">
      <c r="K59" s="5">
        <v>57</v>
      </c>
      <c r="L59" s="73">
        <v>168.20000000000007</v>
      </c>
    </row>
    <row r="60" spans="1:12" x14ac:dyDescent="0.4">
      <c r="K60" s="5">
        <v>58</v>
      </c>
      <c r="L60" s="73">
        <v>225.20000000000007</v>
      </c>
    </row>
    <row r="61" spans="1:12" x14ac:dyDescent="0.4">
      <c r="K61" s="5">
        <v>59</v>
      </c>
      <c r="L61" s="73">
        <v>230.50000000000009</v>
      </c>
    </row>
    <row r="62" spans="1:12" x14ac:dyDescent="0.4">
      <c r="K62" s="5">
        <v>60</v>
      </c>
      <c r="L62" s="73">
        <v>184.40000000000009</v>
      </c>
    </row>
    <row r="63" spans="1:12" x14ac:dyDescent="0.4">
      <c r="K63" s="5">
        <v>61</v>
      </c>
      <c r="L63" s="73">
        <v>205.50000000000009</v>
      </c>
    </row>
    <row r="64" spans="1:12" x14ac:dyDescent="0.4">
      <c r="K64" s="5">
        <v>62</v>
      </c>
      <c r="L64" s="73">
        <v>139.50000000000009</v>
      </c>
    </row>
    <row r="65" spans="11:12" x14ac:dyDescent="0.4">
      <c r="K65" s="5">
        <v>63</v>
      </c>
      <c r="L65" s="73">
        <v>134.50000000000009</v>
      </c>
    </row>
    <row r="66" spans="11:12" x14ac:dyDescent="0.4">
      <c r="K66" s="5">
        <v>64</v>
      </c>
      <c r="L66" s="73">
        <v>135.50000000000009</v>
      </c>
    </row>
    <row r="67" spans="11:12" x14ac:dyDescent="0.4">
      <c r="K67" s="5">
        <v>65</v>
      </c>
      <c r="L67" s="73">
        <v>167.10000000000008</v>
      </c>
    </row>
    <row r="68" spans="11:12" x14ac:dyDescent="0.4">
      <c r="K68" s="5">
        <v>66</v>
      </c>
      <c r="L68" s="73">
        <v>148.10000000000008</v>
      </c>
    </row>
    <row r="69" spans="11:12" x14ac:dyDescent="0.4">
      <c r="K69" s="5">
        <v>67</v>
      </c>
      <c r="L69" s="73">
        <v>138.20000000000007</v>
      </c>
    </row>
    <row r="70" spans="11:12" x14ac:dyDescent="0.4">
      <c r="K70" s="5">
        <v>68</v>
      </c>
      <c r="L70" s="73">
        <v>139.10000000000008</v>
      </c>
    </row>
    <row r="71" spans="11:12" x14ac:dyDescent="0.4">
      <c r="K71" s="5">
        <v>69</v>
      </c>
      <c r="L71" s="73">
        <v>171.40000000000009</v>
      </c>
    </row>
    <row r="72" spans="11:12" x14ac:dyDescent="0.4">
      <c r="K72" s="5">
        <v>70</v>
      </c>
      <c r="L72" s="73">
        <v>199.8000000000001</v>
      </c>
    </row>
    <row r="73" spans="11:12" x14ac:dyDescent="0.4">
      <c r="K73" s="5">
        <v>71</v>
      </c>
      <c r="L73" s="73">
        <v>192.40000000000009</v>
      </c>
    </row>
    <row r="74" spans="11:12" x14ac:dyDescent="0.4">
      <c r="K74" s="5">
        <v>72</v>
      </c>
      <c r="L74" s="73">
        <v>210.7000000000001</v>
      </c>
    </row>
    <row r="75" spans="11:12" x14ac:dyDescent="0.4">
      <c r="K75" s="5">
        <v>73</v>
      </c>
      <c r="L75" s="73">
        <v>196.8000000000001</v>
      </c>
    </row>
    <row r="76" spans="11:12" x14ac:dyDescent="0.4">
      <c r="K76" s="5">
        <v>74</v>
      </c>
      <c r="L76" s="73">
        <v>236.8000000000001</v>
      </c>
    </row>
    <row r="77" spans="11:12" x14ac:dyDescent="0.4">
      <c r="K77" s="5">
        <v>75</v>
      </c>
      <c r="L77" s="73">
        <v>242.00000000000009</v>
      </c>
    </row>
    <row r="78" spans="11:12" x14ac:dyDescent="0.4">
      <c r="K78" s="5">
        <v>76</v>
      </c>
      <c r="L78" s="73">
        <v>228.3000000000001</v>
      </c>
    </row>
    <row r="79" spans="11:12" x14ac:dyDescent="0.4">
      <c r="K79" s="5">
        <v>77</v>
      </c>
      <c r="L79" s="73">
        <v>233.40000000000009</v>
      </c>
    </row>
    <row r="80" spans="11:12" x14ac:dyDescent="0.4">
      <c r="K80" s="5">
        <v>78</v>
      </c>
      <c r="L80" s="73">
        <v>265.30000000000007</v>
      </c>
    </row>
    <row r="81" spans="11:12" x14ac:dyDescent="0.4">
      <c r="K81" s="5">
        <v>79</v>
      </c>
      <c r="L81" s="73">
        <v>305.30000000000007</v>
      </c>
    </row>
    <row r="82" spans="11:12" x14ac:dyDescent="0.4">
      <c r="K82" s="5">
        <v>80</v>
      </c>
      <c r="L82" s="73">
        <v>327.80000000000007</v>
      </c>
    </row>
    <row r="83" spans="11:12" x14ac:dyDescent="0.4">
      <c r="K83" s="5">
        <v>81</v>
      </c>
      <c r="L83" s="73">
        <v>359.30000000000007</v>
      </c>
    </row>
    <row r="84" spans="11:12" x14ac:dyDescent="0.4">
      <c r="K84" s="5">
        <v>82</v>
      </c>
      <c r="L84" s="73">
        <v>419.10000000000008</v>
      </c>
    </row>
    <row r="85" spans="11:12" x14ac:dyDescent="0.4">
      <c r="K85" s="5">
        <v>83</v>
      </c>
      <c r="L85" s="73">
        <v>430.2000000000001</v>
      </c>
    </row>
    <row r="86" spans="11:12" x14ac:dyDescent="0.4">
      <c r="K86" s="5">
        <v>84</v>
      </c>
      <c r="L86" s="73">
        <v>431.80000000000013</v>
      </c>
    </row>
    <row r="87" spans="11:12" x14ac:dyDescent="0.4">
      <c r="K87" s="5">
        <v>85</v>
      </c>
      <c r="L87" s="73">
        <v>410.40000000000015</v>
      </c>
    </row>
    <row r="88" spans="11:12" x14ac:dyDescent="0.4">
      <c r="K88" s="5">
        <v>86</v>
      </c>
      <c r="L88" s="73">
        <v>413.90000000000015</v>
      </c>
    </row>
    <row r="89" spans="11:12" x14ac:dyDescent="0.4">
      <c r="K89" s="5">
        <v>87</v>
      </c>
      <c r="L89" s="73">
        <v>368.40000000000015</v>
      </c>
    </row>
    <row r="90" spans="11:12" x14ac:dyDescent="0.4">
      <c r="K90" s="5">
        <v>88</v>
      </c>
      <c r="L90" s="73">
        <v>367.80000000000013</v>
      </c>
    </row>
    <row r="91" spans="11:12" x14ac:dyDescent="0.4">
      <c r="K91" s="5">
        <v>89</v>
      </c>
      <c r="L91" s="73">
        <v>394.2000000000001</v>
      </c>
    </row>
    <row r="92" spans="11:12" x14ac:dyDescent="0.4">
      <c r="K92" s="5">
        <v>90</v>
      </c>
      <c r="L92" s="73">
        <v>403.90000000000009</v>
      </c>
    </row>
    <row r="93" spans="11:12" x14ac:dyDescent="0.4">
      <c r="K93" s="5">
        <v>91</v>
      </c>
      <c r="L93" s="73">
        <v>425.00000000000011</v>
      </c>
    </row>
    <row r="94" spans="11:12" x14ac:dyDescent="0.4">
      <c r="K94" s="5">
        <v>92</v>
      </c>
      <c r="L94" s="73">
        <v>468.10000000000014</v>
      </c>
    </row>
    <row r="95" spans="11:12" x14ac:dyDescent="0.4">
      <c r="K95" s="5">
        <v>93</v>
      </c>
      <c r="L95" s="73">
        <v>462.10000000000014</v>
      </c>
    </row>
    <row r="96" spans="11:12" x14ac:dyDescent="0.4">
      <c r="K96" s="5">
        <v>94</v>
      </c>
      <c r="L96" s="73">
        <v>424.60000000000014</v>
      </c>
    </row>
    <row r="97" spans="11:12" x14ac:dyDescent="0.4">
      <c r="K97" s="5">
        <v>95</v>
      </c>
      <c r="L97" s="73">
        <v>385.10000000000014</v>
      </c>
    </row>
    <row r="98" spans="11:12" x14ac:dyDescent="0.4">
      <c r="K98" s="5">
        <v>96</v>
      </c>
      <c r="L98" s="73">
        <v>396.20000000000016</v>
      </c>
    </row>
    <row r="99" spans="11:12" x14ac:dyDescent="0.4">
      <c r="K99" s="5">
        <v>97</v>
      </c>
      <c r="L99" s="73">
        <v>394.20000000000016</v>
      </c>
    </row>
    <row r="100" spans="11:12" x14ac:dyDescent="0.4">
      <c r="K100" s="5">
        <v>98</v>
      </c>
      <c r="L100" s="73">
        <v>437.70000000000016</v>
      </c>
    </row>
    <row r="101" spans="11:12" x14ac:dyDescent="0.4">
      <c r="K101" s="5">
        <v>99</v>
      </c>
      <c r="L101" s="73">
        <v>432.10000000000014</v>
      </c>
    </row>
    <row r="102" spans="11:12" x14ac:dyDescent="0.4">
      <c r="K102" s="5">
        <v>100</v>
      </c>
      <c r="L102" s="73">
        <v>424.70000000000016</v>
      </c>
    </row>
    <row r="103" spans="11:12" x14ac:dyDescent="0.4">
      <c r="K103" s="5">
        <v>101</v>
      </c>
      <c r="L103" s="73">
        <v>386.70000000000016</v>
      </c>
    </row>
    <row r="104" spans="11:12" x14ac:dyDescent="0.4">
      <c r="K104" s="5">
        <v>102</v>
      </c>
      <c r="L104" s="73">
        <v>367.90000000000015</v>
      </c>
    </row>
    <row r="105" spans="11:12" x14ac:dyDescent="0.4">
      <c r="K105" s="5">
        <v>103</v>
      </c>
      <c r="L105" s="73">
        <v>394.90000000000015</v>
      </c>
    </row>
    <row r="106" spans="11:12" x14ac:dyDescent="0.4">
      <c r="K106" s="5">
        <v>104</v>
      </c>
      <c r="L106" s="73">
        <v>439.50000000000017</v>
      </c>
    </row>
    <row r="107" spans="11:12" x14ac:dyDescent="0.4">
      <c r="K107" s="5">
        <v>105</v>
      </c>
      <c r="L107" s="73">
        <v>446.50000000000017</v>
      </c>
    </row>
    <row r="108" spans="11:12" x14ac:dyDescent="0.4">
      <c r="K108" s="5">
        <v>106</v>
      </c>
      <c r="L108" s="73">
        <v>435.20000000000016</v>
      </c>
    </row>
    <row r="109" spans="11:12" x14ac:dyDescent="0.4">
      <c r="K109" s="5">
        <v>107</v>
      </c>
      <c r="L109" s="73">
        <v>419.70000000000016</v>
      </c>
    </row>
    <row r="110" spans="11:12" x14ac:dyDescent="0.4">
      <c r="K110" s="5">
        <v>108</v>
      </c>
      <c r="L110" s="73">
        <v>400.40000000000015</v>
      </c>
    </row>
    <row r="111" spans="11:12" x14ac:dyDescent="0.4">
      <c r="K111" s="5">
        <v>109</v>
      </c>
      <c r="L111" s="73">
        <v>424.40000000000015</v>
      </c>
    </row>
    <row r="112" spans="11:12" x14ac:dyDescent="0.4">
      <c r="K112" s="5">
        <v>110</v>
      </c>
      <c r="L112" s="73">
        <v>443.90000000000015</v>
      </c>
    </row>
    <row r="113" spans="11:12" x14ac:dyDescent="0.4">
      <c r="K113" s="5">
        <v>111</v>
      </c>
      <c r="L113" s="73">
        <v>438.50000000000017</v>
      </c>
    </row>
    <row r="114" spans="11:12" x14ac:dyDescent="0.4">
      <c r="K114" s="5">
        <v>112</v>
      </c>
      <c r="L114" s="73">
        <v>494.50000000000017</v>
      </c>
    </row>
    <row r="115" spans="11:12" x14ac:dyDescent="0.4">
      <c r="K115" s="5">
        <v>113</v>
      </c>
      <c r="L115" s="73">
        <v>511.60000000000019</v>
      </c>
    </row>
    <row r="116" spans="11:12" x14ac:dyDescent="0.4">
      <c r="K116" s="5">
        <v>114</v>
      </c>
      <c r="L116" s="73">
        <v>473.60000000000019</v>
      </c>
    </row>
    <row r="117" spans="11:12" x14ac:dyDescent="0.4">
      <c r="K117" s="5">
        <v>115</v>
      </c>
      <c r="L117" s="73">
        <v>490.10000000000019</v>
      </c>
    </row>
    <row r="118" spans="11:12" x14ac:dyDescent="0.4">
      <c r="K118" s="5">
        <v>116</v>
      </c>
      <c r="L118" s="73">
        <v>505.4000000000002</v>
      </c>
    </row>
    <row r="119" spans="11:12" x14ac:dyDescent="0.4">
      <c r="K119" s="5">
        <v>117</v>
      </c>
      <c r="L119" s="73">
        <v>517.00000000000023</v>
      </c>
    </row>
    <row r="120" spans="11:12" x14ac:dyDescent="0.4">
      <c r="K120" s="5">
        <v>118</v>
      </c>
      <c r="L120" s="73">
        <v>533.9000000000002</v>
      </c>
    </row>
    <row r="121" spans="11:12" x14ac:dyDescent="0.4">
      <c r="K121" s="5">
        <v>119</v>
      </c>
      <c r="L121" s="73">
        <v>496.4000000000002</v>
      </c>
    </row>
    <row r="122" spans="11:12" x14ac:dyDescent="0.4">
      <c r="K122" s="5">
        <v>120</v>
      </c>
      <c r="L122" s="73">
        <v>534.9000000000002</v>
      </c>
    </row>
    <row r="123" spans="11:12" x14ac:dyDescent="0.4">
      <c r="K123" s="5">
        <v>121</v>
      </c>
      <c r="L123" s="73">
        <v>488.4000000000002</v>
      </c>
    </row>
    <row r="124" spans="11:12" x14ac:dyDescent="0.4">
      <c r="K124" s="5">
        <v>122</v>
      </c>
      <c r="L124" s="73">
        <v>501.60000000000019</v>
      </c>
    </row>
    <row r="125" spans="11:12" x14ac:dyDescent="0.4">
      <c r="K125" s="5">
        <v>123</v>
      </c>
      <c r="L125" s="73">
        <v>482.10000000000019</v>
      </c>
    </row>
    <row r="126" spans="11:12" x14ac:dyDescent="0.4">
      <c r="K126" s="5">
        <v>124</v>
      </c>
      <c r="L126" s="73">
        <v>523.50000000000023</v>
      </c>
    </row>
    <row r="127" spans="11:12" x14ac:dyDescent="0.4">
      <c r="K127" s="5">
        <v>125</v>
      </c>
      <c r="L127" s="73">
        <v>550.60000000000025</v>
      </c>
    </row>
    <row r="128" spans="11:12" x14ac:dyDescent="0.4">
      <c r="K128" s="5">
        <v>126</v>
      </c>
      <c r="L128" s="73">
        <v>559.10000000000025</v>
      </c>
    </row>
    <row r="129" spans="11:12" x14ac:dyDescent="0.4">
      <c r="K129" s="5">
        <v>127</v>
      </c>
      <c r="L129" s="73">
        <v>602.4000000000002</v>
      </c>
    </row>
    <row r="130" spans="11:12" x14ac:dyDescent="0.4">
      <c r="K130" s="5">
        <v>128</v>
      </c>
      <c r="L130" s="73">
        <v>628.4000000000002</v>
      </c>
    </row>
    <row r="131" spans="11:12" x14ac:dyDescent="0.4">
      <c r="K131" s="5">
        <v>129</v>
      </c>
      <c r="L131" s="73">
        <v>639.4000000000002</v>
      </c>
    </row>
    <row r="132" spans="11:12" x14ac:dyDescent="0.4">
      <c r="K132" s="5">
        <v>130</v>
      </c>
      <c r="L132" s="73">
        <v>680.4000000000002</v>
      </c>
    </row>
    <row r="133" spans="11:12" x14ac:dyDescent="0.4">
      <c r="K133" s="5">
        <v>131</v>
      </c>
      <c r="L133" s="73">
        <v>660.60000000000025</v>
      </c>
    </row>
    <row r="134" spans="11:12" x14ac:dyDescent="0.4">
      <c r="K134" s="5">
        <v>132</v>
      </c>
      <c r="L134" s="73">
        <v>698.20000000000027</v>
      </c>
    </row>
    <row r="135" spans="11:12" x14ac:dyDescent="0.4">
      <c r="K135" s="5">
        <v>133</v>
      </c>
      <c r="L135" s="73">
        <v>706.00000000000023</v>
      </c>
    </row>
    <row r="136" spans="11:12" x14ac:dyDescent="0.4">
      <c r="K136" s="5">
        <v>134</v>
      </c>
      <c r="L136" s="73">
        <v>774.10000000000025</v>
      </c>
    </row>
    <row r="137" spans="11:12" x14ac:dyDescent="0.4">
      <c r="K137" s="5">
        <v>135</v>
      </c>
      <c r="L137" s="73">
        <v>779.3000000000003</v>
      </c>
    </row>
    <row r="138" spans="11:12" x14ac:dyDescent="0.4">
      <c r="K138" s="5">
        <v>136</v>
      </c>
      <c r="L138" s="73">
        <v>795.50000000000034</v>
      </c>
    </row>
    <row r="139" spans="11:12" x14ac:dyDescent="0.4">
      <c r="K139" s="5">
        <v>137</v>
      </c>
      <c r="L139" s="73">
        <v>819.70000000000039</v>
      </c>
    </row>
    <row r="140" spans="11:12" x14ac:dyDescent="0.4">
      <c r="K140" s="5">
        <v>138</v>
      </c>
      <c r="L140" s="73">
        <v>840.30000000000041</v>
      </c>
    </row>
    <row r="141" spans="11:12" x14ac:dyDescent="0.4">
      <c r="K141" s="5">
        <v>139</v>
      </c>
      <c r="L141" s="73">
        <v>847.60000000000036</v>
      </c>
    </row>
    <row r="142" spans="11:12" x14ac:dyDescent="0.4">
      <c r="K142" s="5">
        <v>140</v>
      </c>
      <c r="L142" s="73">
        <v>852.40000000000032</v>
      </c>
    </row>
    <row r="143" spans="11:12" x14ac:dyDescent="0.4">
      <c r="K143" s="5">
        <v>141</v>
      </c>
      <c r="L143" s="73">
        <v>856.50000000000034</v>
      </c>
    </row>
    <row r="144" spans="11:12" x14ac:dyDescent="0.4">
      <c r="K144" s="5">
        <v>142</v>
      </c>
      <c r="L144" s="73">
        <v>844.50000000000034</v>
      </c>
    </row>
    <row r="145" spans="11:12" x14ac:dyDescent="0.4">
      <c r="K145" s="5">
        <v>143</v>
      </c>
      <c r="L145" s="73">
        <v>857.00000000000034</v>
      </c>
    </row>
    <row r="146" spans="11:12" x14ac:dyDescent="0.4">
      <c r="K146" s="5">
        <v>144</v>
      </c>
      <c r="L146" s="73">
        <v>844.10000000000036</v>
      </c>
    </row>
    <row r="147" spans="11:12" x14ac:dyDescent="0.4">
      <c r="K147" s="5">
        <v>145</v>
      </c>
      <c r="L147" s="73">
        <v>859.70000000000039</v>
      </c>
    </row>
    <row r="148" spans="11:12" x14ac:dyDescent="0.4">
      <c r="K148" s="5">
        <v>146</v>
      </c>
      <c r="L148" s="73">
        <v>875.30000000000041</v>
      </c>
    </row>
    <row r="149" spans="11:12" x14ac:dyDescent="0.4">
      <c r="K149" s="5">
        <v>147</v>
      </c>
      <c r="L149" s="73">
        <v>839.30000000000041</v>
      </c>
    </row>
    <row r="150" spans="11:12" x14ac:dyDescent="0.4">
      <c r="K150" s="5">
        <v>148</v>
      </c>
      <c r="L150" s="73">
        <v>809.70000000000039</v>
      </c>
    </row>
    <row r="151" spans="11:12" x14ac:dyDescent="0.4">
      <c r="K151" s="5">
        <v>149</v>
      </c>
      <c r="L151" s="73">
        <v>816.50000000000034</v>
      </c>
    </row>
    <row r="152" spans="11:12" x14ac:dyDescent="0.4">
      <c r="K152" s="5">
        <v>150</v>
      </c>
      <c r="L152" s="73">
        <v>802.50000000000034</v>
      </c>
    </row>
    <row r="153" spans="11:12" x14ac:dyDescent="0.4">
      <c r="K153" s="5">
        <v>151</v>
      </c>
      <c r="L153" s="73">
        <v>792.50000000000034</v>
      </c>
    </row>
    <row r="154" spans="11:12" x14ac:dyDescent="0.4">
      <c r="K154" s="5">
        <v>152</v>
      </c>
      <c r="L154" s="73">
        <v>837.10000000000036</v>
      </c>
    </row>
    <row r="155" spans="11:12" x14ac:dyDescent="0.4">
      <c r="K155" s="5">
        <v>153</v>
      </c>
      <c r="L155" s="73">
        <v>832.40000000000032</v>
      </c>
    </row>
    <row r="156" spans="11:12" x14ac:dyDescent="0.4">
      <c r="K156" s="5">
        <v>154</v>
      </c>
      <c r="L156" s="73">
        <v>846.8000000000003</v>
      </c>
    </row>
    <row r="157" spans="11:12" x14ac:dyDescent="0.4">
      <c r="K157" s="5">
        <v>155</v>
      </c>
      <c r="L157" s="73">
        <v>832.8000000000003</v>
      </c>
    </row>
    <row r="158" spans="11:12" x14ac:dyDescent="0.4">
      <c r="K158" s="5">
        <v>156</v>
      </c>
      <c r="L158" s="73">
        <v>839.90000000000032</v>
      </c>
    </row>
    <row r="159" spans="11:12" x14ac:dyDescent="0.4">
      <c r="K159" s="5">
        <v>157</v>
      </c>
      <c r="L159" s="73">
        <v>859.60000000000036</v>
      </c>
    </row>
    <row r="160" spans="11:12" x14ac:dyDescent="0.4">
      <c r="K160" s="5">
        <v>158</v>
      </c>
      <c r="L160" s="73">
        <v>883.40000000000032</v>
      </c>
    </row>
    <row r="161" spans="11:12" x14ac:dyDescent="0.4">
      <c r="K161" s="5">
        <v>159</v>
      </c>
      <c r="L161" s="73">
        <v>878.60000000000036</v>
      </c>
    </row>
    <row r="162" spans="11:12" x14ac:dyDescent="0.4">
      <c r="K162" s="5">
        <v>160</v>
      </c>
      <c r="L162" s="73">
        <v>911.10000000000036</v>
      </c>
    </row>
    <row r="163" spans="11:12" x14ac:dyDescent="0.4">
      <c r="K163" s="5">
        <v>161</v>
      </c>
      <c r="L163" s="73">
        <v>928.20000000000039</v>
      </c>
    </row>
    <row r="164" spans="11:12" x14ac:dyDescent="0.4">
      <c r="K164" s="5">
        <v>162</v>
      </c>
      <c r="L164" s="73">
        <v>940.50000000000034</v>
      </c>
    </row>
    <row r="165" spans="11:12" x14ac:dyDescent="0.4">
      <c r="K165" s="5">
        <v>163</v>
      </c>
      <c r="L165" s="73">
        <v>964.8000000000003</v>
      </c>
    </row>
    <row r="166" spans="11:12" x14ac:dyDescent="0.4">
      <c r="K166" s="5">
        <v>164</v>
      </c>
      <c r="L166" s="73">
        <v>952.60000000000025</v>
      </c>
    </row>
    <row r="167" spans="11:12" x14ac:dyDescent="0.4">
      <c r="K167" s="5">
        <v>165</v>
      </c>
      <c r="L167" s="73">
        <v>950.60000000000025</v>
      </c>
    </row>
    <row r="168" spans="11:12" x14ac:dyDescent="0.4">
      <c r="K168" s="5">
        <v>166</v>
      </c>
      <c r="L168" s="73">
        <v>910.00000000000023</v>
      </c>
    </row>
    <row r="169" spans="11:12" x14ac:dyDescent="0.4">
      <c r="K169" s="5">
        <v>167</v>
      </c>
      <c r="L169" s="73">
        <v>931.70000000000027</v>
      </c>
    </row>
    <row r="170" spans="11:12" x14ac:dyDescent="0.4">
      <c r="K170" s="5">
        <v>168</v>
      </c>
      <c r="L170" s="73">
        <v>972.40000000000032</v>
      </c>
    </row>
    <row r="171" spans="11:12" x14ac:dyDescent="0.4">
      <c r="K171" s="5">
        <v>169</v>
      </c>
      <c r="L171" s="73">
        <v>980.40000000000032</v>
      </c>
    </row>
    <row r="172" spans="11:12" x14ac:dyDescent="0.4">
      <c r="K172" s="5">
        <v>170</v>
      </c>
      <c r="L172" s="73">
        <v>988.10000000000036</v>
      </c>
    </row>
    <row r="173" spans="11:12" x14ac:dyDescent="0.4">
      <c r="K173" s="5">
        <v>171</v>
      </c>
      <c r="L173" s="73">
        <v>919.10000000000036</v>
      </c>
    </row>
    <row r="174" spans="11:12" x14ac:dyDescent="0.4">
      <c r="K174" s="5">
        <v>172</v>
      </c>
      <c r="L174" s="73">
        <v>916.10000000000036</v>
      </c>
    </row>
    <row r="175" spans="11:12" x14ac:dyDescent="0.4">
      <c r="K175" s="5">
        <v>173</v>
      </c>
      <c r="L175" s="73">
        <v>913.50000000000034</v>
      </c>
    </row>
    <row r="176" spans="11:12" x14ac:dyDescent="0.4">
      <c r="K176" s="5">
        <v>174</v>
      </c>
      <c r="L176" s="73">
        <v>972.50000000000034</v>
      </c>
    </row>
    <row r="177" spans="11:12" x14ac:dyDescent="0.4">
      <c r="K177" s="5">
        <v>175</v>
      </c>
      <c r="L177" s="73">
        <v>972.50000000000034</v>
      </c>
    </row>
    <row r="178" spans="11:12" x14ac:dyDescent="0.4">
      <c r="K178" s="5">
        <v>176</v>
      </c>
      <c r="L178" s="73">
        <v>952.00000000000034</v>
      </c>
    </row>
    <row r="179" spans="11:12" x14ac:dyDescent="0.4">
      <c r="K179" s="5">
        <v>177</v>
      </c>
      <c r="L179" s="73">
        <v>948.60000000000036</v>
      </c>
    </row>
    <row r="180" spans="11:12" x14ac:dyDescent="0.4">
      <c r="K180" s="5">
        <v>178</v>
      </c>
      <c r="L180" s="73">
        <v>988.10000000000036</v>
      </c>
    </row>
    <row r="181" spans="11:12" x14ac:dyDescent="0.4">
      <c r="K181" s="5">
        <v>179</v>
      </c>
      <c r="L181" s="73">
        <v>1049.1000000000004</v>
      </c>
    </row>
    <row r="182" spans="11:12" x14ac:dyDescent="0.4">
      <c r="K182" s="5">
        <v>180</v>
      </c>
      <c r="L182" s="73">
        <v>1060.8000000000004</v>
      </c>
    </row>
    <row r="183" spans="11:12" x14ac:dyDescent="0.4">
      <c r="K183" s="5">
        <v>181</v>
      </c>
      <c r="L183" s="73">
        <v>1076.9000000000003</v>
      </c>
    </row>
    <row r="184" spans="11:12" x14ac:dyDescent="0.4">
      <c r="K184" s="5">
        <v>182</v>
      </c>
      <c r="L184" s="73">
        <v>1134.4000000000003</v>
      </c>
    </row>
    <row r="185" spans="11:12" x14ac:dyDescent="0.4">
      <c r="K185" s="5">
        <v>183</v>
      </c>
      <c r="L185" s="73">
        <v>1121.9000000000003</v>
      </c>
    </row>
    <row r="186" spans="11:12" x14ac:dyDescent="0.4">
      <c r="K186" s="5">
        <v>184</v>
      </c>
      <c r="L186" s="73">
        <v>1132.6000000000004</v>
      </c>
    </row>
    <row r="187" spans="11:12" x14ac:dyDescent="0.4">
      <c r="K187" s="5">
        <v>185</v>
      </c>
      <c r="L187" s="73">
        <v>1163.7000000000003</v>
      </c>
    </row>
    <row r="188" spans="11:12" x14ac:dyDescent="0.4">
      <c r="K188" s="5">
        <v>186</v>
      </c>
      <c r="L188" s="73">
        <v>1173.9000000000003</v>
      </c>
    </row>
    <row r="189" spans="11:12" x14ac:dyDescent="0.4">
      <c r="K189" s="5">
        <v>187</v>
      </c>
      <c r="L189" s="73">
        <v>1182.2000000000003</v>
      </c>
    </row>
    <row r="190" spans="11:12" x14ac:dyDescent="0.4">
      <c r="K190" s="5">
        <v>188</v>
      </c>
      <c r="L190" s="73">
        <v>1180.3000000000002</v>
      </c>
    </row>
    <row r="191" spans="11:12" x14ac:dyDescent="0.4">
      <c r="K191" s="5">
        <v>189</v>
      </c>
      <c r="L191" s="73">
        <v>1180.8000000000002</v>
      </c>
    </row>
    <row r="192" spans="11:12" x14ac:dyDescent="0.4">
      <c r="K192" s="5">
        <v>190</v>
      </c>
      <c r="L192" s="73">
        <v>1228.8000000000002</v>
      </c>
    </row>
    <row r="193" spans="11:12" x14ac:dyDescent="0.4">
      <c r="K193" s="5">
        <v>191</v>
      </c>
      <c r="L193" s="73">
        <v>1251.6000000000001</v>
      </c>
    </row>
    <row r="194" spans="11:12" x14ac:dyDescent="0.4">
      <c r="K194" s="5">
        <v>192</v>
      </c>
      <c r="L194" s="73">
        <v>1257.6000000000001</v>
      </c>
    </row>
    <row r="195" spans="11:12" x14ac:dyDescent="0.4">
      <c r="K195" s="5">
        <v>193</v>
      </c>
      <c r="L195" s="73">
        <v>1240.6000000000001</v>
      </c>
    </row>
    <row r="196" spans="11:12" x14ac:dyDescent="0.4">
      <c r="K196" s="5">
        <v>194</v>
      </c>
      <c r="L196" s="73">
        <v>1221.7</v>
      </c>
    </row>
    <row r="197" spans="11:12" x14ac:dyDescent="0.4">
      <c r="K197" s="5">
        <v>195</v>
      </c>
      <c r="L197" s="73">
        <v>1258.4000000000001</v>
      </c>
    </row>
    <row r="198" spans="11:12" x14ac:dyDescent="0.4">
      <c r="K198" s="5">
        <v>196</v>
      </c>
      <c r="L198" s="73">
        <v>1270.8000000000002</v>
      </c>
    </row>
    <row r="199" spans="11:12" x14ac:dyDescent="0.4">
      <c r="K199" s="5">
        <v>197</v>
      </c>
      <c r="L199" s="73">
        <v>1284.8000000000002</v>
      </c>
    </row>
    <row r="200" spans="11:12" x14ac:dyDescent="0.4">
      <c r="K200" s="5">
        <v>198</v>
      </c>
      <c r="L200" s="73">
        <v>1291.6000000000001</v>
      </c>
    </row>
    <row r="201" spans="11:12" x14ac:dyDescent="0.4">
      <c r="K201" s="5">
        <v>199</v>
      </c>
      <c r="L201" s="73">
        <v>1284.0000000000002</v>
      </c>
    </row>
    <row r="202" spans="11:12" x14ac:dyDescent="0.4">
      <c r="K202" s="5">
        <v>200</v>
      </c>
      <c r="L202" s="73">
        <v>1297.7000000000003</v>
      </c>
    </row>
    <row r="203" spans="11:12" x14ac:dyDescent="0.4">
      <c r="K203" s="5">
        <v>201</v>
      </c>
      <c r="L203" s="73">
        <v>1298.0000000000002</v>
      </c>
    </row>
    <row r="204" spans="11:12" x14ac:dyDescent="0.4">
      <c r="K204" s="5">
        <v>202</v>
      </c>
      <c r="L204" s="73">
        <v>1292.6000000000001</v>
      </c>
    </row>
    <row r="205" spans="11:12" x14ac:dyDescent="0.4">
      <c r="K205" s="5">
        <v>203</v>
      </c>
      <c r="L205" s="73">
        <v>1249.4000000000001</v>
      </c>
    </row>
    <row r="206" spans="11:12" x14ac:dyDescent="0.4">
      <c r="K206" s="5">
        <v>204</v>
      </c>
      <c r="L206" s="73">
        <v>1267.6000000000001</v>
      </c>
    </row>
    <row r="207" spans="11:12" x14ac:dyDescent="0.4">
      <c r="K207" s="5">
        <v>205</v>
      </c>
      <c r="L207" s="73">
        <v>1290.4000000000001</v>
      </c>
    </row>
    <row r="208" spans="11:12" x14ac:dyDescent="0.4">
      <c r="K208" s="5">
        <v>206</v>
      </c>
      <c r="L208" s="73">
        <v>1298.5</v>
      </c>
    </row>
    <row r="209" spans="11:12" x14ac:dyDescent="0.4">
      <c r="K209" s="5">
        <v>207</v>
      </c>
      <c r="L209" s="73">
        <v>1303.5</v>
      </c>
    </row>
    <row r="210" spans="11:12" x14ac:dyDescent="0.4">
      <c r="K210" s="5">
        <v>208</v>
      </c>
      <c r="L210" s="73">
        <v>1264.5</v>
      </c>
    </row>
    <row r="211" spans="11:12" x14ac:dyDescent="0.4">
      <c r="K211" s="5">
        <v>209</v>
      </c>
      <c r="L211" s="73">
        <v>1272.7</v>
      </c>
    </row>
    <row r="212" spans="11:12" x14ac:dyDescent="0.4">
      <c r="K212" s="5">
        <v>210</v>
      </c>
      <c r="L212" s="73">
        <v>1285.7</v>
      </c>
    </row>
    <row r="213" spans="11:12" x14ac:dyDescent="0.4">
      <c r="K213" s="5">
        <v>211</v>
      </c>
      <c r="L213" s="73">
        <v>1295.8</v>
      </c>
    </row>
    <row r="214" spans="11:12" x14ac:dyDescent="0.4">
      <c r="K214" s="5">
        <v>212</v>
      </c>
      <c r="L214" s="73">
        <v>1317.5</v>
      </c>
    </row>
    <row r="215" spans="11:12" x14ac:dyDescent="0.4">
      <c r="K215" s="5">
        <v>213</v>
      </c>
      <c r="L215" s="73">
        <v>1277.0999999999999</v>
      </c>
    </row>
    <row r="216" spans="11:12" x14ac:dyDescent="0.4">
      <c r="K216" s="5">
        <v>214</v>
      </c>
      <c r="L216" s="73">
        <v>1329.1999999999998</v>
      </c>
    </row>
    <row r="217" spans="11:12" x14ac:dyDescent="0.4">
      <c r="K217" s="5">
        <v>215</v>
      </c>
      <c r="L217" s="73">
        <v>1333.6999999999998</v>
      </c>
    </row>
    <row r="218" spans="11:12" x14ac:dyDescent="0.4">
      <c r="K218" s="5">
        <v>216</v>
      </c>
      <c r="L218" s="73">
        <v>1318.6999999999998</v>
      </c>
    </row>
    <row r="219" spans="11:12" x14ac:dyDescent="0.4">
      <c r="K219" s="5">
        <v>217</v>
      </c>
      <c r="L219" s="73">
        <v>1326.4999999999998</v>
      </c>
    </row>
    <row r="220" spans="11:12" x14ac:dyDescent="0.4">
      <c r="K220" s="5">
        <v>218</v>
      </c>
      <c r="L220" s="73">
        <v>1345.0999999999997</v>
      </c>
    </row>
    <row r="221" spans="11:12" x14ac:dyDescent="0.4">
      <c r="K221" s="5">
        <v>219</v>
      </c>
      <c r="L221" s="73">
        <v>1351.2999999999997</v>
      </c>
    </row>
    <row r="222" spans="11:12" x14ac:dyDescent="0.4">
      <c r="K222" s="5">
        <v>220</v>
      </c>
      <c r="L222" s="73">
        <v>1363.8999999999996</v>
      </c>
    </row>
    <row r="223" spans="11:12" x14ac:dyDescent="0.4">
      <c r="K223" s="5">
        <v>221</v>
      </c>
      <c r="L223" s="73">
        <v>1377.2999999999997</v>
      </c>
    </row>
    <row r="224" spans="11:12" x14ac:dyDescent="0.4">
      <c r="K224" s="5">
        <v>222</v>
      </c>
      <c r="L224" s="73">
        <v>1383.3999999999996</v>
      </c>
    </row>
    <row r="225" spans="11:12" x14ac:dyDescent="0.4">
      <c r="K225" s="5">
        <v>223</v>
      </c>
      <c r="L225" s="73">
        <v>1450.0999999999997</v>
      </c>
    </row>
    <row r="226" spans="11:12" x14ac:dyDescent="0.4">
      <c r="K226" s="5">
        <v>224</v>
      </c>
      <c r="L226" s="73">
        <v>1411.9999999999998</v>
      </c>
    </row>
    <row r="227" spans="11:12" x14ac:dyDescent="0.4">
      <c r="K227" s="5">
        <v>225</v>
      </c>
      <c r="L227" s="73">
        <v>1434.9999999999998</v>
      </c>
    </row>
    <row r="228" spans="11:12" x14ac:dyDescent="0.4">
      <c r="K228" s="5">
        <v>226</v>
      </c>
      <c r="L228" s="73">
        <v>1444.4999999999998</v>
      </c>
    </row>
    <row r="229" spans="11:12" x14ac:dyDescent="0.4">
      <c r="K229" s="5">
        <v>227</v>
      </c>
      <c r="L229" s="73">
        <v>1449.4999999999998</v>
      </c>
    </row>
    <row r="230" spans="11:12" x14ac:dyDescent="0.4">
      <c r="K230" s="5">
        <v>228</v>
      </c>
      <c r="L230" s="73">
        <v>1457.2999999999997</v>
      </c>
    </row>
    <row r="231" spans="11:12" x14ac:dyDescent="0.4">
      <c r="K231" s="5">
        <v>229</v>
      </c>
      <c r="L231" s="73">
        <v>1499.5999999999997</v>
      </c>
    </row>
    <row r="232" spans="11:12" x14ac:dyDescent="0.4">
      <c r="K232" s="5">
        <v>230</v>
      </c>
      <c r="L232" s="73">
        <v>1540.2999999999997</v>
      </c>
    </row>
    <row r="233" spans="11:12" x14ac:dyDescent="0.4">
      <c r="K233" s="5">
        <v>231</v>
      </c>
      <c r="L233" s="73">
        <v>1540.3999999999996</v>
      </c>
    </row>
    <row r="234" spans="11:12" x14ac:dyDescent="0.4">
      <c r="K234" s="5">
        <v>232</v>
      </c>
      <c r="L234" s="73">
        <v>1552.5999999999997</v>
      </c>
    </row>
    <row r="235" spans="11:12" x14ac:dyDescent="0.4">
      <c r="K235" s="5">
        <v>233</v>
      </c>
      <c r="L235" s="73">
        <v>1562.0999999999997</v>
      </c>
    </row>
    <row r="236" spans="11:12" x14ac:dyDescent="0.4">
      <c r="K236" s="5">
        <v>234</v>
      </c>
      <c r="L236" s="73">
        <v>1589.2999999999997</v>
      </c>
    </row>
    <row r="237" spans="11:12" x14ac:dyDescent="0.4">
      <c r="K237" s="5">
        <v>235</v>
      </c>
      <c r="L237" s="73">
        <v>1576.6999999999998</v>
      </c>
    </row>
    <row r="238" spans="11:12" x14ac:dyDescent="0.4">
      <c r="K238" s="5">
        <v>236</v>
      </c>
      <c r="L238" s="73">
        <v>1584.1999999999998</v>
      </c>
    </row>
    <row r="239" spans="11:12" x14ac:dyDescent="0.4">
      <c r="K239" s="5">
        <v>237</v>
      </c>
      <c r="L239" s="73">
        <v>1591.9999999999998</v>
      </c>
    </row>
    <row r="240" spans="11:12" x14ac:dyDescent="0.4">
      <c r="K240" s="5">
        <v>238</v>
      </c>
      <c r="L240" s="73">
        <v>1638.8999999999999</v>
      </c>
    </row>
    <row r="241" spans="11:12" x14ac:dyDescent="0.4">
      <c r="K241" s="5">
        <v>239</v>
      </c>
      <c r="L241" s="73">
        <v>1645.1999999999998</v>
      </c>
    </row>
    <row r="242" spans="11:12" x14ac:dyDescent="0.4">
      <c r="K242" s="5">
        <v>240</v>
      </c>
      <c r="L242" s="73">
        <v>1669.4999999999998</v>
      </c>
    </row>
    <row r="243" spans="11:12" x14ac:dyDescent="0.4">
      <c r="K243" s="5">
        <v>241</v>
      </c>
      <c r="L243" s="73">
        <v>1659.0999999999997</v>
      </c>
    </row>
    <row r="244" spans="11:12" x14ac:dyDescent="0.4">
      <c r="K244" s="5">
        <v>242</v>
      </c>
      <c r="L244" s="73">
        <v>1658.0999999999997</v>
      </c>
    </row>
    <row r="245" spans="11:12" x14ac:dyDescent="0.4">
      <c r="K245" s="5">
        <v>243</v>
      </c>
      <c r="L245" s="73">
        <v>1677.8999999999996</v>
      </c>
    </row>
    <row r="246" spans="11:12" x14ac:dyDescent="0.4">
      <c r="K246" s="5">
        <v>244</v>
      </c>
      <c r="L246" s="73">
        <v>1705.5999999999997</v>
      </c>
    </row>
    <row r="247" spans="11:12" x14ac:dyDescent="0.4">
      <c r="K247" s="5">
        <v>245</v>
      </c>
      <c r="L247" s="73">
        <v>1713.0999999999997</v>
      </c>
    </row>
    <row r="248" spans="11:12" x14ac:dyDescent="0.4">
      <c r="K248" s="5">
        <v>246</v>
      </c>
      <c r="L248" s="73">
        <v>1744.5999999999997</v>
      </c>
    </row>
    <row r="249" spans="11:12" x14ac:dyDescent="0.4">
      <c r="K249" s="5">
        <v>247</v>
      </c>
      <c r="L249" s="73">
        <v>1797.0999999999997</v>
      </c>
    </row>
    <row r="250" spans="11:12" x14ac:dyDescent="0.4">
      <c r="K250" s="5">
        <v>248</v>
      </c>
      <c r="L250" s="73">
        <v>1790.8999999999996</v>
      </c>
    </row>
    <row r="251" spans="11:12" x14ac:dyDescent="0.4">
      <c r="K251" s="5">
        <v>249</v>
      </c>
      <c r="L251" s="73">
        <v>1782.0999999999997</v>
      </c>
    </row>
    <row r="252" spans="11:12" x14ac:dyDescent="0.4">
      <c r="K252" s="5">
        <v>250</v>
      </c>
      <c r="L252" s="73">
        <v>1800.5999999999997</v>
      </c>
    </row>
    <row r="253" spans="11:12" x14ac:dyDescent="0.4">
      <c r="K253" s="5">
        <v>251</v>
      </c>
      <c r="L253" s="73">
        <v>1833.6999999999996</v>
      </c>
    </row>
    <row r="254" spans="11:12" x14ac:dyDescent="0.4">
      <c r="K254" s="5">
        <v>252</v>
      </c>
      <c r="L254" s="73">
        <v>1901.6999999999996</v>
      </c>
    </row>
    <row r="255" spans="11:12" x14ac:dyDescent="0.4">
      <c r="K255" s="5">
        <v>253</v>
      </c>
      <c r="L255" s="73">
        <v>1879.7999999999995</v>
      </c>
    </row>
    <row r="256" spans="11:12" x14ac:dyDescent="0.4">
      <c r="K256" s="5">
        <v>254</v>
      </c>
      <c r="L256" s="73">
        <v>1888.7999999999995</v>
      </c>
    </row>
    <row r="257" spans="11:12" x14ac:dyDescent="0.4">
      <c r="K257" s="5">
        <v>255</v>
      </c>
      <c r="L257" s="73">
        <v>1915.3999999999994</v>
      </c>
    </row>
    <row r="258" spans="11:12" x14ac:dyDescent="0.4">
      <c r="K258" s="5">
        <v>256</v>
      </c>
      <c r="L258" s="73">
        <v>1935.3999999999994</v>
      </c>
    </row>
    <row r="259" spans="11:12" x14ac:dyDescent="0.4">
      <c r="K259" s="5">
        <v>257</v>
      </c>
      <c r="L259" s="73">
        <v>1889.9999999999993</v>
      </c>
    </row>
    <row r="260" spans="11:12" x14ac:dyDescent="0.4">
      <c r="K260" s="5">
        <v>258</v>
      </c>
      <c r="L260" s="73">
        <v>1884.8999999999994</v>
      </c>
    </row>
    <row r="261" spans="11:12" x14ac:dyDescent="0.4">
      <c r="K261" s="5">
        <v>259</v>
      </c>
      <c r="L261" s="73">
        <v>1887.0999999999992</v>
      </c>
    </row>
    <row r="262" spans="11:12" x14ac:dyDescent="0.4">
      <c r="K262" s="5">
        <v>260</v>
      </c>
      <c r="L262" s="73">
        <v>1960.3999999999994</v>
      </c>
    </row>
    <row r="263" spans="11:12" x14ac:dyDescent="0.4">
      <c r="K263" s="5">
        <v>261</v>
      </c>
      <c r="L263" s="73">
        <v>2000.4999999999993</v>
      </c>
    </row>
    <row r="264" spans="11:12" x14ac:dyDescent="0.4">
      <c r="K264" s="5">
        <v>262</v>
      </c>
      <c r="L264" s="73">
        <v>2091.3999999999992</v>
      </c>
    </row>
    <row r="265" spans="11:12" x14ac:dyDescent="0.4">
      <c r="K265" s="5">
        <v>263</v>
      </c>
      <c r="L265" s="73">
        <v>2122.3999999999992</v>
      </c>
    </row>
    <row r="266" spans="11:12" x14ac:dyDescent="0.4">
      <c r="K266" s="5">
        <v>264</v>
      </c>
      <c r="L266" s="73">
        <v>2146.0999999999995</v>
      </c>
    </row>
    <row r="267" spans="11:12" x14ac:dyDescent="0.4">
      <c r="K267" s="5">
        <v>265</v>
      </c>
      <c r="L267" s="73">
        <v>2175.1999999999994</v>
      </c>
    </row>
    <row r="268" spans="11:12" x14ac:dyDescent="0.4">
      <c r="K268" s="5">
        <v>266</v>
      </c>
      <c r="L268" s="73">
        <v>2167.8999999999992</v>
      </c>
    </row>
    <row r="269" spans="11:12" x14ac:dyDescent="0.4">
      <c r="K269" s="5">
        <v>267</v>
      </c>
      <c r="L269" s="73">
        <v>2136.1999999999994</v>
      </c>
    </row>
    <row r="270" spans="11:12" x14ac:dyDescent="0.4">
      <c r="K270" s="5">
        <v>268</v>
      </c>
      <c r="L270" s="73">
        <v>2223.2999999999993</v>
      </c>
    </row>
    <row r="271" spans="11:12" x14ac:dyDescent="0.4">
      <c r="K271" s="5">
        <v>269</v>
      </c>
      <c r="L271" s="73">
        <v>2261.6999999999994</v>
      </c>
    </row>
    <row r="272" spans="11:12" x14ac:dyDescent="0.4">
      <c r="K272" s="5">
        <v>270</v>
      </c>
      <c r="L272" s="73">
        <v>2308.8999999999992</v>
      </c>
    </row>
    <row r="273" spans="11:12" x14ac:dyDescent="0.4">
      <c r="K273" s="5">
        <v>271</v>
      </c>
      <c r="L273" s="73">
        <v>2363.4999999999995</v>
      </c>
    </row>
    <row r="274" spans="11:12" x14ac:dyDescent="0.4">
      <c r="K274" s="5">
        <v>272</v>
      </c>
      <c r="L274" s="73">
        <v>2371.4999999999995</v>
      </c>
    </row>
    <row r="275" spans="11:12" x14ac:dyDescent="0.4">
      <c r="K275" s="5">
        <v>273</v>
      </c>
      <c r="L275" s="73">
        <v>2315.4999999999995</v>
      </c>
    </row>
    <row r="276" spans="11:12" x14ac:dyDescent="0.4">
      <c r="K276" s="5">
        <v>274</v>
      </c>
      <c r="L276" s="73">
        <v>2317.3999999999992</v>
      </c>
    </row>
    <row r="277" spans="11:12" x14ac:dyDescent="0.4">
      <c r="K277" s="5">
        <v>275</v>
      </c>
      <c r="L277" s="73">
        <v>2319.2999999999993</v>
      </c>
    </row>
    <row r="278" spans="11:12" x14ac:dyDescent="0.4">
      <c r="K278" s="5">
        <v>276</v>
      </c>
      <c r="L278" s="73">
        <v>2295.3999999999992</v>
      </c>
    </row>
    <row r="279" spans="11:12" x14ac:dyDescent="0.4">
      <c r="K279" s="5">
        <v>277</v>
      </c>
      <c r="L279" s="73">
        <v>2359.5999999999995</v>
      </c>
    </row>
    <row r="280" spans="11:12" x14ac:dyDescent="0.4">
      <c r="K280" s="5">
        <v>278</v>
      </c>
      <c r="L280" s="73">
        <v>2358.2999999999993</v>
      </c>
    </row>
    <row r="281" spans="11:12" x14ac:dyDescent="0.4">
      <c r="K281" s="5">
        <v>279</v>
      </c>
      <c r="L281" s="73">
        <v>2409.1999999999994</v>
      </c>
    </row>
    <row r="282" spans="11:12" x14ac:dyDescent="0.4">
      <c r="K282" s="5">
        <v>280</v>
      </c>
      <c r="L282" s="73">
        <v>2445.8999999999996</v>
      </c>
    </row>
    <row r="283" spans="11:12" x14ac:dyDescent="0.4">
      <c r="K283" s="5">
        <v>281</v>
      </c>
      <c r="L283" s="73">
        <v>2482.1999999999994</v>
      </c>
    </row>
    <row r="284" spans="11:12" x14ac:dyDescent="0.4">
      <c r="K284" s="5">
        <v>282</v>
      </c>
      <c r="L284" s="73">
        <v>2545.1999999999994</v>
      </c>
    </row>
    <row r="285" spans="11:12" x14ac:dyDescent="0.4">
      <c r="K285" s="5">
        <v>283</v>
      </c>
      <c r="L285" s="73">
        <v>2515.3999999999996</v>
      </c>
    </row>
    <row r="286" spans="11:12" x14ac:dyDescent="0.4">
      <c r="K286" s="5">
        <v>284</v>
      </c>
      <c r="L286" s="73">
        <v>2486.2999999999993</v>
      </c>
    </row>
    <row r="287" spans="11:12" x14ac:dyDescent="0.4">
      <c r="K287" s="5">
        <v>285</v>
      </c>
      <c r="L287" s="73">
        <v>2545.5999999999995</v>
      </c>
    </row>
    <row r="288" spans="11:12" x14ac:dyDescent="0.4">
      <c r="K288" s="5">
        <v>286</v>
      </c>
      <c r="L288" s="73">
        <v>2593.0999999999995</v>
      </c>
    </row>
    <row r="289" spans="11:12" x14ac:dyDescent="0.4">
      <c r="K289" s="5">
        <v>287</v>
      </c>
      <c r="L289" s="73">
        <v>2623.5999999999995</v>
      </c>
    </row>
    <row r="290" spans="11:12" x14ac:dyDescent="0.4">
      <c r="K290" s="5">
        <v>288</v>
      </c>
      <c r="L290" s="73">
        <v>2686.7999999999993</v>
      </c>
    </row>
    <row r="291" spans="11:12" x14ac:dyDescent="0.4">
      <c r="K291" s="5">
        <v>289</v>
      </c>
      <c r="L291" s="73">
        <v>2678.2999999999993</v>
      </c>
    </row>
    <row r="292" spans="11:12" x14ac:dyDescent="0.4">
      <c r="K292" s="5">
        <v>290</v>
      </c>
      <c r="L292" s="73">
        <v>2740.0999999999995</v>
      </c>
    </row>
    <row r="293" spans="11:12" x14ac:dyDescent="0.4">
      <c r="K293" s="5">
        <v>291</v>
      </c>
      <c r="L293" s="73">
        <v>2765.3999999999992</v>
      </c>
    </row>
    <row r="294" spans="11:12" x14ac:dyDescent="0.4">
      <c r="K294" s="5">
        <v>292</v>
      </c>
      <c r="L294" s="73">
        <v>2797.2999999999993</v>
      </c>
    </row>
    <row r="295" spans="11:12" x14ac:dyDescent="0.4">
      <c r="K295" s="5">
        <v>293</v>
      </c>
      <c r="L295" s="73">
        <v>2866.2999999999993</v>
      </c>
    </row>
    <row r="296" spans="11:12" x14ac:dyDescent="0.4">
      <c r="K296" s="5">
        <v>294</v>
      </c>
      <c r="L296" s="73">
        <v>2902.9999999999991</v>
      </c>
    </row>
    <row r="297" spans="11:12" x14ac:dyDescent="0.4">
      <c r="K297" s="5">
        <v>295</v>
      </c>
      <c r="L297" s="73">
        <v>2972.5999999999995</v>
      </c>
    </row>
    <row r="298" spans="11:12" x14ac:dyDescent="0.4">
      <c r="K298" s="5">
        <v>296</v>
      </c>
      <c r="L298" s="73">
        <v>3021.0999999999995</v>
      </c>
    </row>
    <row r="299" spans="11:12" x14ac:dyDescent="0.4">
      <c r="K299" s="5">
        <v>297</v>
      </c>
      <c r="L299" s="73">
        <v>2968.7999999999993</v>
      </c>
    </row>
    <row r="300" spans="11:12" x14ac:dyDescent="0.4">
      <c r="K300" s="5">
        <v>298</v>
      </c>
      <c r="L300" s="73">
        <v>3003.9999999999991</v>
      </c>
    </row>
    <row r="301" spans="11:12" x14ac:dyDescent="0.4">
      <c r="K301" s="5">
        <v>299</v>
      </c>
      <c r="L301" s="73">
        <v>3037.4999999999991</v>
      </c>
    </row>
    <row r="302" spans="11:12" x14ac:dyDescent="0.4">
      <c r="K302" s="5">
        <v>300</v>
      </c>
      <c r="L302" s="73">
        <v>3040.9999999999991</v>
      </c>
    </row>
    <row r="303" spans="11:12" x14ac:dyDescent="0.4">
      <c r="K303" s="5">
        <v>301</v>
      </c>
      <c r="L303" s="73">
        <v>3097.9999999999991</v>
      </c>
    </row>
    <row r="304" spans="11:12" x14ac:dyDescent="0.4">
      <c r="K304" s="5">
        <v>302</v>
      </c>
      <c r="L304" s="73">
        <v>3093.5999999999995</v>
      </c>
    </row>
    <row r="305" spans="11:12" x14ac:dyDescent="0.4">
      <c r="K305" s="5">
        <v>303</v>
      </c>
      <c r="L305" s="73">
        <v>3102.5999999999995</v>
      </c>
    </row>
    <row r="306" spans="11:12" x14ac:dyDescent="0.4">
      <c r="K306" s="5">
        <v>304</v>
      </c>
      <c r="L306" s="73">
        <v>3154.4999999999991</v>
      </c>
    </row>
    <row r="307" spans="11:12" x14ac:dyDescent="0.4">
      <c r="K307" s="5">
        <v>305</v>
      </c>
      <c r="L307" s="73">
        <v>3149.2999999999993</v>
      </c>
    </row>
    <row r="308" spans="11:12" x14ac:dyDescent="0.4">
      <c r="K308" s="5">
        <v>306</v>
      </c>
      <c r="L308" s="73">
        <v>3179.8999999999992</v>
      </c>
    </row>
    <row r="309" spans="11:12" x14ac:dyDescent="0.4">
      <c r="K309" s="5">
        <v>307</v>
      </c>
      <c r="L309" s="73">
        <v>3178.5999999999995</v>
      </c>
    </row>
    <row r="310" spans="11:12" x14ac:dyDescent="0.4">
      <c r="K310" s="5">
        <v>308</v>
      </c>
      <c r="L310" s="73">
        <v>3174.4999999999991</v>
      </c>
    </row>
    <row r="311" spans="11:12" x14ac:dyDescent="0.4">
      <c r="K311" s="5">
        <v>309</v>
      </c>
      <c r="L311" s="73">
        <v>3208.1999999999994</v>
      </c>
    </row>
    <row r="312" spans="11:12" x14ac:dyDescent="0.4">
      <c r="K312" s="5">
        <v>310</v>
      </c>
      <c r="L312" s="73">
        <v>3264.1999999999994</v>
      </c>
    </row>
    <row r="313" spans="11:12" x14ac:dyDescent="0.4">
      <c r="K313" s="5">
        <v>311</v>
      </c>
      <c r="L313" s="73">
        <v>3206.1999999999994</v>
      </c>
    </row>
    <row r="314" spans="11:12" x14ac:dyDescent="0.4">
      <c r="K314" s="5">
        <v>312</v>
      </c>
      <c r="L314" s="73">
        <v>3307.1999999999994</v>
      </c>
    </row>
    <row r="315" spans="11:12" x14ac:dyDescent="0.4">
      <c r="K315" s="5">
        <v>313</v>
      </c>
      <c r="L315" s="73">
        <v>3400.0999999999995</v>
      </c>
    </row>
    <row r="316" spans="11:12" x14ac:dyDescent="0.4">
      <c r="K316" s="5">
        <v>314</v>
      </c>
      <c r="L316" s="73">
        <v>3369.7999999999993</v>
      </c>
    </row>
    <row r="317" spans="11:12" x14ac:dyDescent="0.4">
      <c r="K317" s="5">
        <v>315</v>
      </c>
      <c r="L317" s="73">
        <v>3399.2</v>
      </c>
    </row>
    <row r="318" spans="11:12" x14ac:dyDescent="0.4">
      <c r="K318" s="5">
        <v>316</v>
      </c>
      <c r="L318" s="73">
        <v>3408.2</v>
      </c>
    </row>
    <row r="319" spans="11:12" x14ac:dyDescent="0.4">
      <c r="K319" s="5">
        <v>317</v>
      </c>
      <c r="L319" s="73">
        <v>3438.9999999999995</v>
      </c>
    </row>
    <row r="320" spans="11:12" x14ac:dyDescent="0.4">
      <c r="K320" s="5">
        <v>318</v>
      </c>
      <c r="L320" s="73">
        <v>3475.3999999999996</v>
      </c>
    </row>
    <row r="321" spans="11:12" x14ac:dyDescent="0.4">
      <c r="K321" s="5">
        <v>319</v>
      </c>
      <c r="L321" s="73">
        <v>3514.8999999999996</v>
      </c>
    </row>
    <row r="322" spans="11:12" x14ac:dyDescent="0.4">
      <c r="K322" s="5">
        <v>320</v>
      </c>
      <c r="L322" s="73">
        <v>3544.0999999999995</v>
      </c>
    </row>
    <row r="323" spans="11:12" x14ac:dyDescent="0.4">
      <c r="K323" s="5">
        <v>321</v>
      </c>
      <c r="L323" s="73">
        <v>3519.2999999999997</v>
      </c>
    </row>
    <row r="324" spans="11:12" x14ac:dyDescent="0.4">
      <c r="K324" s="5">
        <v>322</v>
      </c>
      <c r="L324" s="73">
        <v>3516.5</v>
      </c>
    </row>
    <row r="325" spans="11:12" x14ac:dyDescent="0.4">
      <c r="K325" s="5">
        <v>323</v>
      </c>
      <c r="L325" s="73">
        <v>3455.3999999999996</v>
      </c>
    </row>
    <row r="326" spans="11:12" x14ac:dyDescent="0.4">
      <c r="K326" s="5">
        <v>324</v>
      </c>
      <c r="L326" s="73">
        <v>3500.8</v>
      </c>
    </row>
    <row r="327" spans="11:12" x14ac:dyDescent="0.4">
      <c r="K327" s="5">
        <v>325</v>
      </c>
      <c r="L327" s="73">
        <v>3462.8</v>
      </c>
    </row>
    <row r="328" spans="11:12" x14ac:dyDescent="0.4">
      <c r="K328" s="5">
        <v>326</v>
      </c>
      <c r="L328" s="73">
        <v>3462.3</v>
      </c>
    </row>
    <row r="329" spans="11:12" x14ac:dyDescent="0.4">
      <c r="K329" s="5">
        <v>327</v>
      </c>
      <c r="L329" s="73">
        <v>3488.8999999999996</v>
      </c>
    </row>
    <row r="330" spans="11:12" x14ac:dyDescent="0.4">
      <c r="K330" s="5">
        <v>328</v>
      </c>
      <c r="L330" s="73">
        <v>3534.6</v>
      </c>
    </row>
    <row r="331" spans="11:12" x14ac:dyDescent="0.4">
      <c r="K331" s="5">
        <v>329</v>
      </c>
      <c r="L331" s="73">
        <v>3477.8</v>
      </c>
    </row>
    <row r="332" spans="11:12" x14ac:dyDescent="0.4">
      <c r="K332" s="5">
        <v>330</v>
      </c>
      <c r="L332" s="73">
        <v>3478.8999999999996</v>
      </c>
    </row>
    <row r="333" spans="11:12" x14ac:dyDescent="0.4">
      <c r="K333" s="5">
        <v>331</v>
      </c>
      <c r="L333" s="73">
        <v>3443.8</v>
      </c>
    </row>
    <row r="334" spans="11:12" x14ac:dyDescent="0.4">
      <c r="K334" s="5">
        <v>332</v>
      </c>
      <c r="L334" s="73">
        <v>3386.5</v>
      </c>
    </row>
    <row r="335" spans="11:12" x14ac:dyDescent="0.4">
      <c r="K335" s="5">
        <v>333</v>
      </c>
      <c r="L335" s="73">
        <v>3425.1</v>
      </c>
    </row>
    <row r="336" spans="11:12" x14ac:dyDescent="0.4">
      <c r="K336" s="5">
        <v>334</v>
      </c>
      <c r="L336" s="73">
        <v>3386.5</v>
      </c>
    </row>
    <row r="337" spans="11:12" x14ac:dyDescent="0.4">
      <c r="K337" s="5">
        <v>335</v>
      </c>
      <c r="L337" s="73">
        <v>3424.7</v>
      </c>
    </row>
    <row r="338" spans="11:12" x14ac:dyDescent="0.4">
      <c r="K338" s="5">
        <v>336</v>
      </c>
      <c r="L338" s="73">
        <v>3375</v>
      </c>
    </row>
    <row r="339" spans="11:12" x14ac:dyDescent="0.4">
      <c r="K339" s="5">
        <v>337</v>
      </c>
      <c r="L339" s="73">
        <v>3372</v>
      </c>
    </row>
    <row r="340" spans="11:12" x14ac:dyDescent="0.4">
      <c r="K340" s="5">
        <v>338</v>
      </c>
      <c r="L340" s="73">
        <v>3413.8</v>
      </c>
    </row>
    <row r="341" spans="11:12" x14ac:dyDescent="0.4">
      <c r="K341" s="5">
        <v>339</v>
      </c>
      <c r="L341" s="73">
        <v>3442.2</v>
      </c>
    </row>
    <row r="342" spans="11:12" x14ac:dyDescent="0.4">
      <c r="K342" s="5">
        <v>340</v>
      </c>
      <c r="L342" s="73">
        <v>3401.9</v>
      </c>
    </row>
    <row r="343" spans="11:12" x14ac:dyDescent="0.4">
      <c r="K343" s="5">
        <v>341</v>
      </c>
      <c r="L343" s="73">
        <v>3400.6000000000004</v>
      </c>
    </row>
    <row r="344" spans="11:12" x14ac:dyDescent="0.4">
      <c r="K344" s="5">
        <v>342</v>
      </c>
      <c r="L344" s="73">
        <v>3456.5</v>
      </c>
    </row>
    <row r="345" spans="11:12" x14ac:dyDescent="0.4">
      <c r="K345" s="5">
        <v>343</v>
      </c>
      <c r="L345" s="73">
        <v>3500.2000000000003</v>
      </c>
    </row>
    <row r="346" spans="11:12" x14ac:dyDescent="0.4">
      <c r="K346" s="5">
        <v>344</v>
      </c>
      <c r="L346" s="73">
        <v>3552.8</v>
      </c>
    </row>
    <row r="347" spans="11:12" x14ac:dyDescent="0.4">
      <c r="K347" s="5">
        <v>345</v>
      </c>
      <c r="L347" s="73">
        <v>3554.2000000000003</v>
      </c>
    </row>
    <row r="348" spans="11:12" x14ac:dyDescent="0.4">
      <c r="K348" s="5">
        <v>346</v>
      </c>
      <c r="L348" s="73">
        <v>3546.9000000000005</v>
      </c>
    </row>
    <row r="349" spans="11:12" x14ac:dyDescent="0.4">
      <c r="K349" s="5">
        <v>347</v>
      </c>
      <c r="L349" s="73">
        <v>3510.9000000000005</v>
      </c>
    </row>
    <row r="350" spans="11:12" x14ac:dyDescent="0.4">
      <c r="K350" s="5">
        <v>348</v>
      </c>
      <c r="L350" s="73">
        <v>3570.8</v>
      </c>
    </row>
    <row r="351" spans="11:12" x14ac:dyDescent="0.4">
      <c r="K351" s="5">
        <v>349</v>
      </c>
      <c r="L351" s="73">
        <v>3524.7000000000007</v>
      </c>
    </row>
    <row r="352" spans="11:12" x14ac:dyDescent="0.4">
      <c r="K352" s="5">
        <v>350</v>
      </c>
      <c r="L352" s="73">
        <v>3567.6000000000004</v>
      </c>
    </row>
    <row r="353" spans="11:12" x14ac:dyDescent="0.4">
      <c r="K353" s="5">
        <v>351</v>
      </c>
      <c r="L353" s="73">
        <v>3562.4000000000005</v>
      </c>
    </row>
    <row r="354" spans="11:12" x14ac:dyDescent="0.4">
      <c r="K354" s="5">
        <v>352</v>
      </c>
      <c r="L354" s="73">
        <v>3571.2000000000007</v>
      </c>
    </row>
    <row r="355" spans="11:12" x14ac:dyDescent="0.4">
      <c r="K355" s="5">
        <v>353</v>
      </c>
      <c r="L355" s="73">
        <v>3570.9000000000005</v>
      </c>
    </row>
    <row r="356" spans="11:12" x14ac:dyDescent="0.4">
      <c r="K356" s="5">
        <v>354</v>
      </c>
      <c r="L356" s="73">
        <v>3624.4000000000005</v>
      </c>
    </row>
    <row r="357" spans="11:12" x14ac:dyDescent="0.4">
      <c r="K357" s="5">
        <v>355</v>
      </c>
      <c r="L357" s="73">
        <v>3627.4000000000005</v>
      </c>
    </row>
    <row r="358" spans="11:12" x14ac:dyDescent="0.4">
      <c r="K358" s="5">
        <v>356</v>
      </c>
      <c r="L358" s="73">
        <v>3568.5000000000005</v>
      </c>
    </row>
    <row r="359" spans="11:12" x14ac:dyDescent="0.4">
      <c r="K359" s="5">
        <v>357</v>
      </c>
      <c r="L359" s="73">
        <v>3512.2000000000007</v>
      </c>
    </row>
    <row r="360" spans="11:12" x14ac:dyDescent="0.4">
      <c r="K360" s="5">
        <v>358</v>
      </c>
      <c r="L360" s="73">
        <v>3454.8</v>
      </c>
    </row>
    <row r="361" spans="11:12" x14ac:dyDescent="0.4">
      <c r="K361" s="5">
        <v>359</v>
      </c>
      <c r="L361" s="73">
        <v>3524.4000000000005</v>
      </c>
    </row>
    <row r="362" spans="11:12" x14ac:dyDescent="0.4">
      <c r="K362" s="5">
        <v>360</v>
      </c>
      <c r="L362" s="73">
        <v>3505.7000000000003</v>
      </c>
    </row>
    <row r="363" spans="11:12" x14ac:dyDescent="0.4">
      <c r="K363" s="5">
        <v>361</v>
      </c>
      <c r="L363" s="73">
        <v>3543.1000000000004</v>
      </c>
    </row>
    <row r="364" spans="11:12" x14ac:dyDescent="0.4">
      <c r="K364" s="5">
        <v>362</v>
      </c>
      <c r="L364" s="73">
        <v>3483.1000000000004</v>
      </c>
    </row>
    <row r="365" spans="11:12" x14ac:dyDescent="0.4">
      <c r="K365" s="5">
        <v>363</v>
      </c>
      <c r="L365" s="73">
        <v>3473.2000000000003</v>
      </c>
    </row>
    <row r="366" spans="11:12" x14ac:dyDescent="0.4">
      <c r="K366" s="5">
        <v>364</v>
      </c>
      <c r="L366" s="73">
        <v>3407.3</v>
      </c>
    </row>
    <row r="367" spans="11:12" x14ac:dyDescent="0.4">
      <c r="K367" s="5">
        <v>365</v>
      </c>
      <c r="L367" s="73">
        <v>3459.1000000000004</v>
      </c>
    </row>
    <row r="368" spans="11:12" x14ac:dyDescent="0.4">
      <c r="K368" s="5">
        <v>366</v>
      </c>
      <c r="L368" s="73">
        <v>3402.2</v>
      </c>
    </row>
    <row r="369" spans="11:12" x14ac:dyDescent="0.4">
      <c r="K369" s="5">
        <v>367</v>
      </c>
      <c r="L369" s="73">
        <v>3403.7</v>
      </c>
    </row>
    <row r="370" spans="11:12" x14ac:dyDescent="0.4">
      <c r="K370" s="5">
        <v>368</v>
      </c>
      <c r="L370" s="73">
        <v>3351.9</v>
      </c>
    </row>
    <row r="371" spans="11:12" x14ac:dyDescent="0.4">
      <c r="K371" s="5">
        <v>369</v>
      </c>
      <c r="L371" s="73">
        <v>3295.8</v>
      </c>
    </row>
    <row r="372" spans="11:12" x14ac:dyDescent="0.4">
      <c r="K372" s="5">
        <v>370</v>
      </c>
      <c r="L372" s="73">
        <v>3236.8</v>
      </c>
    </row>
    <row r="373" spans="11:12" x14ac:dyDescent="0.4">
      <c r="K373" s="5">
        <v>371</v>
      </c>
      <c r="L373" s="73">
        <v>3241.1000000000004</v>
      </c>
    </row>
    <row r="374" spans="11:12" x14ac:dyDescent="0.4">
      <c r="K374" s="5">
        <v>372</v>
      </c>
      <c r="L374" s="73">
        <v>3325.5</v>
      </c>
    </row>
    <row r="375" spans="11:12" x14ac:dyDescent="0.4">
      <c r="K375" s="5">
        <v>373</v>
      </c>
      <c r="L375" s="73">
        <v>3361.9000000000005</v>
      </c>
    </row>
    <row r="376" spans="11:12" x14ac:dyDescent="0.4">
      <c r="K376" s="5">
        <v>374</v>
      </c>
      <c r="L376" s="73">
        <v>3382.6000000000004</v>
      </c>
    </row>
    <row r="377" spans="11:12" x14ac:dyDescent="0.4">
      <c r="K377" s="5">
        <v>375</v>
      </c>
      <c r="L377" s="73">
        <v>3420.0000000000005</v>
      </c>
    </row>
    <row r="378" spans="11:12" x14ac:dyDescent="0.4">
      <c r="K378" s="5">
        <v>376</v>
      </c>
      <c r="L378" s="73">
        <v>3420.0000000000005</v>
      </c>
    </row>
    <row r="379" spans="11:12" x14ac:dyDescent="0.4">
      <c r="K379" s="5">
        <v>377</v>
      </c>
      <c r="L379" s="73">
        <v>3417.0000000000005</v>
      </c>
    </row>
    <row r="380" spans="11:12" x14ac:dyDescent="0.4">
      <c r="K380" s="5">
        <v>378</v>
      </c>
      <c r="L380" s="73">
        <v>3446.6000000000004</v>
      </c>
    </row>
    <row r="381" spans="11:12" x14ac:dyDescent="0.4">
      <c r="K381" s="5">
        <v>379</v>
      </c>
      <c r="L381" s="73">
        <v>3480.1000000000004</v>
      </c>
    </row>
    <row r="382" spans="11:12" x14ac:dyDescent="0.4">
      <c r="K382" s="5">
        <v>380</v>
      </c>
      <c r="L382" s="73">
        <v>3488.2000000000003</v>
      </c>
    </row>
    <row r="383" spans="11:12" x14ac:dyDescent="0.4">
      <c r="K383" s="5">
        <v>381</v>
      </c>
      <c r="L383" s="73">
        <v>3518.6000000000004</v>
      </c>
    </row>
    <row r="384" spans="11:12" x14ac:dyDescent="0.4">
      <c r="K384" s="5">
        <v>382</v>
      </c>
      <c r="L384" s="73">
        <v>3455.6000000000004</v>
      </c>
    </row>
    <row r="385" spans="11:12" x14ac:dyDescent="0.4">
      <c r="K385" s="5">
        <v>383</v>
      </c>
      <c r="L385" s="73">
        <v>3556.5000000000005</v>
      </c>
    </row>
    <row r="386" spans="11:12" x14ac:dyDescent="0.4">
      <c r="K386" s="5">
        <v>384</v>
      </c>
      <c r="L386" s="73">
        <v>3533.1000000000004</v>
      </c>
    </row>
    <row r="387" spans="11:12" x14ac:dyDescent="0.4">
      <c r="K387" s="5">
        <v>385</v>
      </c>
      <c r="L387" s="73">
        <v>3463.6000000000004</v>
      </c>
    </row>
    <row r="388" spans="11:12" x14ac:dyDescent="0.4">
      <c r="K388" s="5">
        <v>386</v>
      </c>
      <c r="L388" s="73">
        <v>3493.0000000000005</v>
      </c>
    </row>
    <row r="389" spans="11:12" x14ac:dyDescent="0.4">
      <c r="K389" s="5">
        <v>387</v>
      </c>
      <c r="L389" s="73">
        <v>3572.6000000000004</v>
      </c>
    </row>
    <row r="390" spans="11:12" x14ac:dyDescent="0.4">
      <c r="K390" s="5">
        <v>388</v>
      </c>
      <c r="L390" s="73">
        <v>3522.1000000000004</v>
      </c>
    </row>
    <row r="391" spans="11:12" x14ac:dyDescent="0.4">
      <c r="K391" s="5">
        <v>389</v>
      </c>
      <c r="L391" s="73">
        <v>3480.4000000000005</v>
      </c>
    </row>
    <row r="392" spans="11:12" x14ac:dyDescent="0.4">
      <c r="K392" s="5">
        <v>390</v>
      </c>
      <c r="L392" s="73">
        <v>3445.5</v>
      </c>
    </row>
    <row r="393" spans="11:12" x14ac:dyDescent="0.4">
      <c r="K393" s="5">
        <v>391</v>
      </c>
      <c r="L393" s="73">
        <v>3439.3</v>
      </c>
    </row>
    <row r="394" spans="11:12" x14ac:dyDescent="0.4">
      <c r="K394" s="5">
        <v>392</v>
      </c>
      <c r="L394" s="73">
        <v>3499.6000000000004</v>
      </c>
    </row>
    <row r="395" spans="11:12" x14ac:dyDescent="0.4">
      <c r="K395" s="5">
        <v>393</v>
      </c>
      <c r="L395" s="73">
        <v>3528.4</v>
      </c>
    </row>
    <row r="396" spans="11:12" x14ac:dyDescent="0.4">
      <c r="K396" s="5">
        <v>394</v>
      </c>
      <c r="L396" s="73">
        <v>3521.8</v>
      </c>
    </row>
    <row r="397" spans="11:12" x14ac:dyDescent="0.4">
      <c r="K397" s="5">
        <v>395</v>
      </c>
      <c r="L397" s="73">
        <v>3523.8</v>
      </c>
    </row>
    <row r="398" spans="11:12" x14ac:dyDescent="0.4">
      <c r="K398" s="5">
        <v>396</v>
      </c>
      <c r="L398" s="73">
        <v>3591.6000000000004</v>
      </c>
    </row>
    <row r="399" spans="11:12" x14ac:dyDescent="0.4">
      <c r="K399" s="5">
        <v>397</v>
      </c>
      <c r="L399" s="73">
        <v>3590.4</v>
      </c>
    </row>
    <row r="400" spans="11:12" x14ac:dyDescent="0.4">
      <c r="K400" s="5">
        <v>398</v>
      </c>
      <c r="L400" s="73">
        <v>3614.1000000000004</v>
      </c>
    </row>
    <row r="401" spans="11:12" x14ac:dyDescent="0.4">
      <c r="K401" s="5">
        <v>399</v>
      </c>
      <c r="L401" s="73">
        <v>3641.8</v>
      </c>
    </row>
    <row r="402" spans="11:12" x14ac:dyDescent="0.4">
      <c r="K402" s="5">
        <v>400</v>
      </c>
      <c r="L402" s="73">
        <v>3687.1000000000004</v>
      </c>
    </row>
    <row r="403" spans="11:12" x14ac:dyDescent="0.4">
      <c r="K403" s="5">
        <v>401</v>
      </c>
      <c r="L403" s="73">
        <v>3696.1000000000004</v>
      </c>
    </row>
    <row r="404" spans="11:12" x14ac:dyDescent="0.4">
      <c r="K404" s="5">
        <v>402</v>
      </c>
      <c r="L404" s="73">
        <v>3664.3</v>
      </c>
    </row>
    <row r="405" spans="11:12" x14ac:dyDescent="0.4">
      <c r="K405" s="5">
        <v>403</v>
      </c>
      <c r="L405" s="73">
        <v>3657</v>
      </c>
    </row>
    <row r="406" spans="11:12" x14ac:dyDescent="0.4">
      <c r="K406" s="5">
        <v>404</v>
      </c>
      <c r="L406" s="73">
        <v>3653.5</v>
      </c>
    </row>
    <row r="407" spans="11:12" x14ac:dyDescent="0.4">
      <c r="K407" s="5">
        <v>405</v>
      </c>
      <c r="L407" s="73">
        <v>3617.1000000000004</v>
      </c>
    </row>
    <row r="408" spans="11:12" x14ac:dyDescent="0.4">
      <c r="K408" s="5">
        <v>406</v>
      </c>
      <c r="L408" s="73">
        <v>3634.7</v>
      </c>
    </row>
    <row r="409" spans="11:12" x14ac:dyDescent="0.4">
      <c r="K409" s="5">
        <v>407</v>
      </c>
      <c r="L409" s="73">
        <v>3678.5</v>
      </c>
    </row>
    <row r="410" spans="11:12" x14ac:dyDescent="0.4">
      <c r="K410" s="5">
        <v>408</v>
      </c>
      <c r="L410" s="73">
        <v>3737.5</v>
      </c>
    </row>
    <row r="411" spans="11:12" x14ac:dyDescent="0.4">
      <c r="K411" s="5">
        <v>409</v>
      </c>
      <c r="L411" s="73">
        <v>3702.8</v>
      </c>
    </row>
    <row r="412" spans="11:12" x14ac:dyDescent="0.4">
      <c r="K412" s="5">
        <v>410</v>
      </c>
      <c r="L412" s="73">
        <v>3695.3999999999996</v>
      </c>
    </row>
    <row r="413" spans="11:12" x14ac:dyDescent="0.4">
      <c r="K413" s="5">
        <v>411</v>
      </c>
      <c r="L413" s="73">
        <v>3745.1</v>
      </c>
    </row>
    <row r="414" spans="11:12" x14ac:dyDescent="0.4">
      <c r="K414" s="5">
        <v>412</v>
      </c>
      <c r="L414" s="73">
        <v>3830.5</v>
      </c>
    </row>
    <row r="415" spans="11:12" x14ac:dyDescent="0.4">
      <c r="K415" s="5">
        <v>413</v>
      </c>
      <c r="L415" s="73">
        <v>3899.8</v>
      </c>
    </row>
    <row r="416" spans="11:12" x14ac:dyDescent="0.4">
      <c r="K416" s="5">
        <v>414</v>
      </c>
      <c r="L416" s="73">
        <v>3914.8</v>
      </c>
    </row>
    <row r="417" spans="11:12" x14ac:dyDescent="0.4">
      <c r="K417" s="5">
        <v>415</v>
      </c>
      <c r="L417" s="73">
        <v>3863.8999999999996</v>
      </c>
    </row>
    <row r="418" spans="11:12" x14ac:dyDescent="0.4">
      <c r="K418" s="5">
        <v>416</v>
      </c>
      <c r="L418" s="73">
        <v>3822.7</v>
      </c>
    </row>
    <row r="419" spans="11:12" x14ac:dyDescent="0.4">
      <c r="K419" s="5">
        <v>417</v>
      </c>
      <c r="L419" s="73">
        <v>3789.7999999999997</v>
      </c>
    </row>
    <row r="420" spans="11:12" x14ac:dyDescent="0.4">
      <c r="K420" s="5">
        <v>418</v>
      </c>
      <c r="L420" s="73">
        <v>3803.2999999999997</v>
      </c>
    </row>
    <row r="421" spans="11:12" x14ac:dyDescent="0.4">
      <c r="K421" s="5">
        <v>419</v>
      </c>
      <c r="L421" s="73">
        <v>3845.5</v>
      </c>
    </row>
    <row r="422" spans="11:12" x14ac:dyDescent="0.4">
      <c r="K422" s="5">
        <v>420</v>
      </c>
      <c r="L422" s="73">
        <v>3840.5</v>
      </c>
    </row>
    <row r="423" spans="11:12" x14ac:dyDescent="0.4">
      <c r="K423" s="5">
        <v>421</v>
      </c>
      <c r="L423" s="73">
        <v>3875.5</v>
      </c>
    </row>
    <row r="424" spans="11:12" x14ac:dyDescent="0.4">
      <c r="K424" s="5">
        <v>422</v>
      </c>
      <c r="L424" s="73">
        <v>3885</v>
      </c>
    </row>
    <row r="425" spans="11:12" x14ac:dyDescent="0.4">
      <c r="K425" s="5">
        <v>423</v>
      </c>
      <c r="L425" s="73">
        <v>3829.7</v>
      </c>
    </row>
    <row r="426" spans="11:12" x14ac:dyDescent="0.4">
      <c r="K426" s="5">
        <v>424</v>
      </c>
      <c r="L426" s="73">
        <v>3860.7</v>
      </c>
    </row>
    <row r="427" spans="11:12" x14ac:dyDescent="0.4">
      <c r="K427" s="5">
        <v>425</v>
      </c>
      <c r="L427" s="73">
        <v>3825.3999999999996</v>
      </c>
    </row>
    <row r="428" spans="11:12" x14ac:dyDescent="0.4">
      <c r="K428" s="5">
        <v>426</v>
      </c>
      <c r="L428" s="73">
        <v>3866.5</v>
      </c>
    </row>
    <row r="429" spans="11:12" x14ac:dyDescent="0.4">
      <c r="K429" s="5">
        <v>427</v>
      </c>
      <c r="L429" s="73">
        <v>3921.0999999999995</v>
      </c>
    </row>
    <row r="430" spans="11:12" x14ac:dyDescent="0.4">
      <c r="K430" s="5">
        <v>428</v>
      </c>
      <c r="L430" s="73">
        <v>3921</v>
      </c>
    </row>
    <row r="431" spans="11:12" x14ac:dyDescent="0.4">
      <c r="K431" s="5">
        <v>429</v>
      </c>
      <c r="L431" s="73">
        <v>3933.8999999999996</v>
      </c>
    </row>
    <row r="432" spans="11:12" x14ac:dyDescent="0.4">
      <c r="K432" s="5">
        <v>430</v>
      </c>
      <c r="L432" s="73">
        <v>3956.5</v>
      </c>
    </row>
    <row r="433" spans="11:12" x14ac:dyDescent="0.4">
      <c r="K433" s="5">
        <v>431</v>
      </c>
      <c r="L433" s="73">
        <v>4011.0999999999995</v>
      </c>
    </row>
    <row r="434" spans="11:12" x14ac:dyDescent="0.4">
      <c r="K434" s="5">
        <v>432</v>
      </c>
      <c r="L434" s="73">
        <v>3977.2999999999993</v>
      </c>
    </row>
    <row r="435" spans="11:12" x14ac:dyDescent="0.4">
      <c r="K435" s="5">
        <v>433</v>
      </c>
      <c r="L435" s="73">
        <v>3945.4999999999991</v>
      </c>
    </row>
    <row r="436" spans="11:12" x14ac:dyDescent="0.4">
      <c r="K436" s="5">
        <v>434</v>
      </c>
      <c r="L436" s="73">
        <v>3983.0999999999995</v>
      </c>
    </row>
    <row r="437" spans="11:12" x14ac:dyDescent="0.4">
      <c r="K437" s="5">
        <v>435</v>
      </c>
      <c r="L437" s="73">
        <v>4036.2999999999993</v>
      </c>
    </row>
    <row r="438" spans="11:12" x14ac:dyDescent="0.4">
      <c r="K438" s="5">
        <v>436</v>
      </c>
      <c r="L438" s="73">
        <v>4072.3999999999987</v>
      </c>
    </row>
    <row r="439" spans="11:12" x14ac:dyDescent="0.4">
      <c r="K439" s="5">
        <v>437</v>
      </c>
      <c r="L439" s="73">
        <v>4045.9999999999991</v>
      </c>
    </row>
    <row r="440" spans="11:12" x14ac:dyDescent="0.4">
      <c r="K440" s="5">
        <v>438</v>
      </c>
      <c r="L440" s="73">
        <v>4106.9999999999991</v>
      </c>
    </row>
    <row r="441" spans="11:12" x14ac:dyDescent="0.4">
      <c r="K441" s="5">
        <v>439</v>
      </c>
      <c r="L441" s="73">
        <v>4142.3999999999987</v>
      </c>
    </row>
    <row r="442" spans="11:12" x14ac:dyDescent="0.4">
      <c r="K442" s="5">
        <v>440</v>
      </c>
      <c r="L442" s="73">
        <v>4197.8999999999987</v>
      </c>
    </row>
    <row r="443" spans="11:12" x14ac:dyDescent="0.4">
      <c r="K443" s="5">
        <v>441</v>
      </c>
      <c r="L443" s="73">
        <v>4231.1999999999989</v>
      </c>
    </row>
    <row r="444" spans="11:12" x14ac:dyDescent="0.4">
      <c r="K444" s="5">
        <v>442</v>
      </c>
      <c r="L444" s="73">
        <v>4204.3999999999987</v>
      </c>
    </row>
    <row r="445" spans="11:12" x14ac:dyDescent="0.4">
      <c r="K445" s="5">
        <v>443</v>
      </c>
      <c r="L445" s="73">
        <v>4197.6999999999989</v>
      </c>
    </row>
    <row r="446" spans="11:12" x14ac:dyDescent="0.4">
      <c r="K446" s="5">
        <v>444</v>
      </c>
      <c r="L446" s="73">
        <v>4238.0999999999995</v>
      </c>
    </row>
    <row r="447" spans="11:12" x14ac:dyDescent="0.4">
      <c r="K447" s="5">
        <v>445</v>
      </c>
      <c r="L447" s="73">
        <v>4180.0999999999995</v>
      </c>
    </row>
    <row r="448" spans="11:12" x14ac:dyDescent="0.4">
      <c r="K448" s="5">
        <v>446</v>
      </c>
      <c r="L448" s="73">
        <v>4227.5999999999995</v>
      </c>
    </row>
    <row r="449" spans="11:12" x14ac:dyDescent="0.4">
      <c r="K449" s="5">
        <v>447</v>
      </c>
      <c r="L449" s="73">
        <v>4225.6999999999989</v>
      </c>
    </row>
    <row r="450" spans="11:12" x14ac:dyDescent="0.4">
      <c r="K450" s="5">
        <v>448</v>
      </c>
      <c r="L450" s="73">
        <v>4280.0999999999995</v>
      </c>
    </row>
    <row r="451" spans="11:12" x14ac:dyDescent="0.4">
      <c r="K451" s="5">
        <v>449</v>
      </c>
      <c r="L451" s="73">
        <v>4282.8999999999996</v>
      </c>
    </row>
    <row r="452" spans="11:12" x14ac:dyDescent="0.4">
      <c r="K452" s="5">
        <v>450</v>
      </c>
      <c r="L452" s="73">
        <v>4279.7999999999993</v>
      </c>
    </row>
    <row r="453" spans="11:12" x14ac:dyDescent="0.4">
      <c r="K453" s="5">
        <v>451</v>
      </c>
      <c r="L453" s="73">
        <v>4245.2999999999993</v>
      </c>
    </row>
    <row r="454" spans="11:12" x14ac:dyDescent="0.4">
      <c r="K454" s="5">
        <v>452</v>
      </c>
      <c r="L454" s="73">
        <v>4296.3999999999996</v>
      </c>
    </row>
    <row r="455" spans="11:12" x14ac:dyDescent="0.4">
      <c r="K455" s="5">
        <v>453</v>
      </c>
      <c r="L455" s="73">
        <v>4332.8999999999996</v>
      </c>
    </row>
    <row r="456" spans="11:12" x14ac:dyDescent="0.4">
      <c r="K456" s="5">
        <v>454</v>
      </c>
      <c r="L456" s="73">
        <v>4375.3999999999996</v>
      </c>
    </row>
    <row r="457" spans="11:12" x14ac:dyDescent="0.4">
      <c r="K457" s="5">
        <v>455</v>
      </c>
      <c r="L457" s="73">
        <v>4409.8999999999996</v>
      </c>
    </row>
    <row r="458" spans="11:12" x14ac:dyDescent="0.4">
      <c r="K458" s="5">
        <v>456</v>
      </c>
      <c r="L458" s="73">
        <v>4393.2999999999993</v>
      </c>
    </row>
    <row r="459" spans="11:12" x14ac:dyDescent="0.4">
      <c r="K459" s="5">
        <v>457</v>
      </c>
      <c r="L459" s="73">
        <v>4356.8999999999996</v>
      </c>
    </row>
    <row r="460" spans="11:12" x14ac:dyDescent="0.4">
      <c r="K460" s="5">
        <v>458</v>
      </c>
      <c r="L460" s="73">
        <v>4418.4999999999991</v>
      </c>
    </row>
    <row r="461" spans="11:12" x14ac:dyDescent="0.4">
      <c r="K461" s="5">
        <v>459</v>
      </c>
      <c r="L461" s="73">
        <v>4411.2999999999993</v>
      </c>
    </row>
    <row r="462" spans="11:12" x14ac:dyDescent="0.4">
      <c r="K462" s="5">
        <v>460</v>
      </c>
      <c r="L462" s="73">
        <v>4458.5999999999995</v>
      </c>
    </row>
    <row r="463" spans="11:12" x14ac:dyDescent="0.4">
      <c r="K463" s="5">
        <v>461</v>
      </c>
      <c r="L463" s="73">
        <v>4519.5999999999995</v>
      </c>
    </row>
    <row r="464" spans="11:12" x14ac:dyDescent="0.4">
      <c r="K464" s="5">
        <v>462</v>
      </c>
      <c r="L464" s="73">
        <v>4564.5</v>
      </c>
    </row>
    <row r="465" spans="11:12" x14ac:dyDescent="0.4">
      <c r="K465" s="5">
        <v>463</v>
      </c>
      <c r="L465" s="73">
        <v>4616.5</v>
      </c>
    </row>
    <row r="466" spans="11:12" x14ac:dyDescent="0.4">
      <c r="K466" s="5">
        <v>464</v>
      </c>
      <c r="L466" s="73">
        <v>4551.5</v>
      </c>
    </row>
    <row r="467" spans="11:12" x14ac:dyDescent="0.4">
      <c r="K467" s="5">
        <v>465</v>
      </c>
      <c r="L467" s="73">
        <v>4504.7</v>
      </c>
    </row>
    <row r="468" spans="11:12" x14ac:dyDescent="0.4">
      <c r="K468" s="5">
        <v>466</v>
      </c>
      <c r="L468" s="73">
        <v>4551.7</v>
      </c>
    </row>
    <row r="469" spans="11:12" x14ac:dyDescent="0.4">
      <c r="K469" s="5">
        <v>467</v>
      </c>
      <c r="L469" s="73">
        <v>4504.7</v>
      </c>
    </row>
    <row r="470" spans="11:12" x14ac:dyDescent="0.4">
      <c r="K470" s="5">
        <v>468</v>
      </c>
      <c r="L470" s="73">
        <v>4478.3999999999996</v>
      </c>
    </row>
    <row r="471" spans="11:12" x14ac:dyDescent="0.4">
      <c r="K471" s="5">
        <v>469</v>
      </c>
      <c r="L471" s="73">
        <v>4535.8999999999996</v>
      </c>
    </row>
    <row r="472" spans="11:12" x14ac:dyDescent="0.4">
      <c r="K472" s="5">
        <v>470</v>
      </c>
      <c r="L472" s="73">
        <v>4560.7</v>
      </c>
    </row>
    <row r="473" spans="11:12" x14ac:dyDescent="0.4">
      <c r="K473" s="5">
        <v>471</v>
      </c>
      <c r="L473" s="73">
        <v>4513.5999999999995</v>
      </c>
    </row>
    <row r="474" spans="11:12" x14ac:dyDescent="0.4">
      <c r="K474" s="5">
        <v>472</v>
      </c>
      <c r="L474" s="73">
        <v>4566.5999999999995</v>
      </c>
    </row>
    <row r="475" spans="11:12" x14ac:dyDescent="0.4">
      <c r="K475" s="5">
        <v>473</v>
      </c>
      <c r="L475" s="73">
        <v>4561.2</v>
      </c>
    </row>
    <row r="476" spans="11:12" x14ac:dyDescent="0.4">
      <c r="K476" s="5">
        <v>474</v>
      </c>
      <c r="L476" s="73">
        <v>4562.0999999999995</v>
      </c>
    </row>
    <row r="477" spans="11:12" x14ac:dyDescent="0.4">
      <c r="K477" s="5">
        <v>475</v>
      </c>
      <c r="L477" s="73">
        <v>4574.2</v>
      </c>
    </row>
    <row r="478" spans="11:12" x14ac:dyDescent="0.4">
      <c r="K478" s="5">
        <v>476</v>
      </c>
      <c r="L478" s="73">
        <v>4636.8999999999996</v>
      </c>
    </row>
    <row r="479" spans="11:12" x14ac:dyDescent="0.4">
      <c r="K479" s="5">
        <v>477</v>
      </c>
      <c r="L479" s="73">
        <v>4687.0999999999995</v>
      </c>
    </row>
    <row r="480" spans="11:12" x14ac:dyDescent="0.4">
      <c r="K480" s="5">
        <v>478</v>
      </c>
      <c r="L480" s="73">
        <v>4651.2999999999993</v>
      </c>
    </row>
    <row r="481" spans="11:12" x14ac:dyDescent="0.4">
      <c r="K481" s="5">
        <v>479</v>
      </c>
      <c r="L481" s="73">
        <v>4677.2999999999993</v>
      </c>
    </row>
    <row r="482" spans="11:12" x14ac:dyDescent="0.4">
      <c r="K482" s="5">
        <v>480</v>
      </c>
      <c r="L482" s="73">
        <v>4738.5</v>
      </c>
    </row>
    <row r="483" spans="11:12" x14ac:dyDescent="0.4">
      <c r="K483" s="5">
        <v>481</v>
      </c>
      <c r="L483" s="73">
        <v>4736.7999999999993</v>
      </c>
    </row>
    <row r="484" spans="11:12" x14ac:dyDescent="0.4">
      <c r="K484" s="5">
        <v>482</v>
      </c>
      <c r="L484" s="73">
        <v>4722.3999999999996</v>
      </c>
    </row>
    <row r="485" spans="11:12" x14ac:dyDescent="0.4">
      <c r="K485" s="5">
        <v>483</v>
      </c>
      <c r="L485" s="73">
        <v>4750.2</v>
      </c>
    </row>
    <row r="486" spans="11:12" x14ac:dyDescent="0.4">
      <c r="K486" s="5">
        <v>484</v>
      </c>
      <c r="L486" s="73">
        <v>4785</v>
      </c>
    </row>
    <row r="487" spans="11:12" x14ac:dyDescent="0.4">
      <c r="K487" s="5">
        <v>485</v>
      </c>
      <c r="L487" s="73">
        <v>4817.7999999999993</v>
      </c>
    </row>
    <row r="488" spans="11:12" x14ac:dyDescent="0.4">
      <c r="K488" s="5">
        <v>486</v>
      </c>
      <c r="L488" s="73">
        <v>4795.0999999999995</v>
      </c>
    </row>
    <row r="489" spans="11:12" x14ac:dyDescent="0.4">
      <c r="K489" s="5">
        <v>487</v>
      </c>
      <c r="L489" s="73">
        <v>4822.0999999999995</v>
      </c>
    </row>
    <row r="490" spans="11:12" x14ac:dyDescent="0.4">
      <c r="K490" s="5">
        <v>488</v>
      </c>
      <c r="L490" s="73">
        <v>4821.7999999999993</v>
      </c>
    </row>
    <row r="491" spans="11:12" x14ac:dyDescent="0.4">
      <c r="K491" s="5">
        <v>489</v>
      </c>
      <c r="L491" s="73">
        <v>4843.2999999999993</v>
      </c>
    </row>
    <row r="492" spans="11:12" x14ac:dyDescent="0.4">
      <c r="K492" s="5">
        <v>490</v>
      </c>
      <c r="L492" s="73">
        <v>4877</v>
      </c>
    </row>
    <row r="493" spans="11:12" x14ac:dyDescent="0.4">
      <c r="K493" s="5">
        <v>491</v>
      </c>
      <c r="L493" s="73">
        <v>4906.3999999999996</v>
      </c>
    </row>
    <row r="494" spans="11:12" x14ac:dyDescent="0.4">
      <c r="K494" s="5">
        <v>492</v>
      </c>
      <c r="L494" s="73">
        <v>4960.5999999999995</v>
      </c>
    </row>
    <row r="495" spans="11:12" x14ac:dyDescent="0.4">
      <c r="K495" s="5">
        <v>493</v>
      </c>
      <c r="L495" s="73">
        <v>4996</v>
      </c>
    </row>
    <row r="496" spans="11:12" x14ac:dyDescent="0.4">
      <c r="K496" s="5">
        <v>494</v>
      </c>
      <c r="L496" s="73">
        <v>4989.2999999999993</v>
      </c>
    </row>
    <row r="497" spans="11:12" x14ac:dyDescent="0.4">
      <c r="K497" s="5">
        <v>495</v>
      </c>
      <c r="L497" s="73">
        <v>5020.0999999999995</v>
      </c>
    </row>
    <row r="498" spans="11:12" x14ac:dyDescent="0.4">
      <c r="K498" s="5">
        <v>496</v>
      </c>
      <c r="L498" s="73">
        <v>5002.3999999999996</v>
      </c>
    </row>
    <row r="499" spans="11:12" x14ac:dyDescent="0.4">
      <c r="K499" s="5">
        <v>497</v>
      </c>
      <c r="L499" s="73">
        <v>5008.2999999999993</v>
      </c>
    </row>
    <row r="500" spans="11:12" x14ac:dyDescent="0.4">
      <c r="K500" s="5">
        <v>498</v>
      </c>
      <c r="L500" s="73">
        <v>5051.2</v>
      </c>
    </row>
    <row r="501" spans="11:12" x14ac:dyDescent="0.4">
      <c r="K501" s="5">
        <v>499</v>
      </c>
      <c r="L501" s="73">
        <v>4993.2</v>
      </c>
    </row>
    <row r="502" spans="11:12" x14ac:dyDescent="0.4">
      <c r="K502" s="5">
        <v>500</v>
      </c>
      <c r="L502" s="73">
        <v>4966.7999999999993</v>
      </c>
    </row>
    <row r="503" spans="11:12" x14ac:dyDescent="0.4">
      <c r="K503" s="5">
        <v>501</v>
      </c>
      <c r="L503" s="73">
        <v>4931.8999999999996</v>
      </c>
    </row>
    <row r="504" spans="11:12" x14ac:dyDescent="0.4">
      <c r="K504" s="5">
        <v>502</v>
      </c>
      <c r="L504" s="73">
        <v>4966.2</v>
      </c>
    </row>
    <row r="505" spans="11:12" x14ac:dyDescent="0.4">
      <c r="K505" s="5">
        <v>503</v>
      </c>
      <c r="L505" s="73">
        <v>4999.2999999999993</v>
      </c>
    </row>
    <row r="506" spans="11:12" x14ac:dyDescent="0.4">
      <c r="K506" s="5">
        <v>504</v>
      </c>
      <c r="L506" s="73">
        <v>5012.7</v>
      </c>
    </row>
    <row r="507" spans="11:12" x14ac:dyDescent="0.4">
      <c r="K507" s="5">
        <v>505</v>
      </c>
      <c r="L507" s="73">
        <v>5018</v>
      </c>
    </row>
    <row r="508" spans="11:12" x14ac:dyDescent="0.4">
      <c r="K508" s="5">
        <v>506</v>
      </c>
      <c r="L508" s="73">
        <v>4977.7</v>
      </c>
    </row>
    <row r="509" spans="11:12" x14ac:dyDescent="0.4">
      <c r="K509" s="5">
        <v>507</v>
      </c>
      <c r="L509" s="73">
        <v>4956.3999999999996</v>
      </c>
    </row>
    <row r="510" spans="11:12" x14ac:dyDescent="0.4">
      <c r="K510" s="5">
        <v>508</v>
      </c>
      <c r="L510" s="73">
        <v>4986.2999999999993</v>
      </c>
    </row>
    <row r="511" spans="11:12" x14ac:dyDescent="0.4">
      <c r="K511" s="5">
        <v>509</v>
      </c>
      <c r="L511" s="73">
        <v>4986.0999999999995</v>
      </c>
    </row>
    <row r="512" spans="11:12" x14ac:dyDescent="0.4">
      <c r="K512" s="5">
        <v>510</v>
      </c>
      <c r="L512" s="73">
        <v>5011.3999999999996</v>
      </c>
    </row>
    <row r="513" spans="11:12" x14ac:dyDescent="0.4">
      <c r="K513" s="5">
        <v>511</v>
      </c>
      <c r="L513" s="73">
        <v>4994.7999999999993</v>
      </c>
    </row>
    <row r="514" spans="11:12" x14ac:dyDescent="0.4">
      <c r="K514" s="5">
        <v>512</v>
      </c>
      <c r="L514" s="73">
        <v>4949</v>
      </c>
    </row>
    <row r="515" spans="11:12" x14ac:dyDescent="0.4">
      <c r="K515" s="5">
        <v>513</v>
      </c>
      <c r="L515" s="73">
        <v>4962</v>
      </c>
    </row>
    <row r="516" spans="11:12" x14ac:dyDescent="0.4">
      <c r="K516" s="5">
        <v>514</v>
      </c>
      <c r="L516" s="73">
        <v>4997.3999999999996</v>
      </c>
    </row>
    <row r="517" spans="11:12" x14ac:dyDescent="0.4">
      <c r="K517" s="5">
        <v>515</v>
      </c>
      <c r="L517" s="73">
        <v>5002.2999999999993</v>
      </c>
    </row>
    <row r="518" spans="11:12" x14ac:dyDescent="0.4">
      <c r="K518" s="5">
        <v>516</v>
      </c>
      <c r="L518" s="73">
        <v>5035.7</v>
      </c>
    </row>
    <row r="519" spans="11:12" x14ac:dyDescent="0.4">
      <c r="K519" s="5">
        <v>517</v>
      </c>
      <c r="L519" s="73">
        <v>5036.7999999999993</v>
      </c>
    </row>
    <row r="520" spans="11:12" x14ac:dyDescent="0.4">
      <c r="K520" s="5">
        <v>518</v>
      </c>
      <c r="L520" s="73">
        <v>5056.2</v>
      </c>
    </row>
    <row r="521" spans="11:12" x14ac:dyDescent="0.4">
      <c r="K521" s="5">
        <v>519</v>
      </c>
      <c r="L521" s="73">
        <v>5061.7</v>
      </c>
    </row>
    <row r="522" spans="11:12" x14ac:dyDescent="0.4">
      <c r="K522" s="5">
        <v>520</v>
      </c>
      <c r="L522" s="73">
        <v>5061.2999999999993</v>
      </c>
    </row>
    <row r="523" spans="11:12" x14ac:dyDescent="0.4">
      <c r="K523" s="5">
        <v>521</v>
      </c>
      <c r="L523" s="73">
        <v>5062.5999999999995</v>
      </c>
    </row>
    <row r="524" spans="11:12" x14ac:dyDescent="0.4">
      <c r="K524" s="5">
        <v>522</v>
      </c>
      <c r="L524" s="73">
        <v>5102.7</v>
      </c>
    </row>
    <row r="525" spans="11:12" x14ac:dyDescent="0.4">
      <c r="K525" s="5">
        <v>523</v>
      </c>
      <c r="L525" s="73">
        <v>5056.8999999999996</v>
      </c>
    </row>
    <row r="526" spans="11:12" x14ac:dyDescent="0.4">
      <c r="K526" s="5">
        <v>524</v>
      </c>
      <c r="L526" s="73">
        <v>5061.5</v>
      </c>
    </row>
    <row r="527" spans="11:12" x14ac:dyDescent="0.4">
      <c r="K527" s="5">
        <v>525</v>
      </c>
      <c r="L527" s="73">
        <v>5064.2999999999993</v>
      </c>
    </row>
    <row r="528" spans="11:12" x14ac:dyDescent="0.4">
      <c r="K528" s="5">
        <v>526</v>
      </c>
      <c r="L528" s="73">
        <v>5111.2</v>
      </c>
    </row>
    <row r="529" spans="11:12" x14ac:dyDescent="0.4">
      <c r="K529" s="5">
        <v>527</v>
      </c>
      <c r="L529" s="73">
        <v>5137.7</v>
      </c>
    </row>
    <row r="530" spans="11:12" x14ac:dyDescent="0.4">
      <c r="K530" s="5">
        <v>528</v>
      </c>
      <c r="L530" s="73">
        <v>5171.7999999999993</v>
      </c>
    </row>
    <row r="531" spans="11:12" x14ac:dyDescent="0.4">
      <c r="K531" s="5">
        <v>529</v>
      </c>
      <c r="L531" s="73">
        <v>5176.3999999999996</v>
      </c>
    </row>
    <row r="532" spans="11:12" x14ac:dyDescent="0.4">
      <c r="K532" s="5">
        <v>530</v>
      </c>
      <c r="L532" s="73">
        <v>5203.5</v>
      </c>
    </row>
    <row r="533" spans="11:12" x14ac:dyDescent="0.4">
      <c r="K533" s="5">
        <v>531</v>
      </c>
      <c r="L533" s="73">
        <v>5221.5</v>
      </c>
    </row>
    <row r="534" spans="11:12" x14ac:dyDescent="0.4">
      <c r="K534" s="5">
        <v>532</v>
      </c>
      <c r="L534" s="73">
        <v>5227.5999999999995</v>
      </c>
    </row>
    <row r="535" spans="11:12" x14ac:dyDescent="0.4">
      <c r="K535" s="5">
        <v>533</v>
      </c>
      <c r="L535" s="73">
        <v>5230</v>
      </c>
    </row>
    <row r="536" spans="11:12" x14ac:dyDescent="0.4">
      <c r="K536" s="5">
        <v>534</v>
      </c>
      <c r="L536" s="73">
        <v>5234.5</v>
      </c>
    </row>
    <row r="537" spans="11:12" x14ac:dyDescent="0.4">
      <c r="K537" s="5">
        <v>535</v>
      </c>
      <c r="L537" s="73">
        <v>5208.5</v>
      </c>
    </row>
    <row r="538" spans="11:12" x14ac:dyDescent="0.4">
      <c r="K538" s="5">
        <v>536</v>
      </c>
      <c r="L538" s="73">
        <v>5181.5</v>
      </c>
    </row>
    <row r="539" spans="11:12" x14ac:dyDescent="0.4">
      <c r="K539" s="5">
        <v>537</v>
      </c>
      <c r="L539" s="73">
        <v>5164.7</v>
      </c>
    </row>
    <row r="540" spans="11:12" x14ac:dyDescent="0.4">
      <c r="K540" s="5">
        <v>538</v>
      </c>
      <c r="L540" s="73">
        <v>5168.7999999999993</v>
      </c>
    </row>
    <row r="541" spans="11:12" x14ac:dyDescent="0.4">
      <c r="K541" s="5">
        <v>539</v>
      </c>
      <c r="L541" s="73">
        <v>5137.5</v>
      </c>
    </row>
    <row r="542" spans="11:12" x14ac:dyDescent="0.4">
      <c r="K542" s="5">
        <v>540</v>
      </c>
      <c r="L542" s="73">
        <v>5155.7999999999993</v>
      </c>
    </row>
    <row r="543" spans="11:12" x14ac:dyDescent="0.4">
      <c r="K543" s="5">
        <v>541</v>
      </c>
      <c r="L543" s="73">
        <v>5175</v>
      </c>
    </row>
    <row r="544" spans="11:12" x14ac:dyDescent="0.4">
      <c r="K544" s="5">
        <v>542</v>
      </c>
      <c r="L544" s="73">
        <v>5175.5999999999995</v>
      </c>
    </row>
    <row r="545" spans="11:12" x14ac:dyDescent="0.4">
      <c r="K545" s="5">
        <v>543</v>
      </c>
      <c r="L545" s="73">
        <v>5140.3999999999996</v>
      </c>
    </row>
    <row r="546" spans="11:12" x14ac:dyDescent="0.4">
      <c r="K546" s="5">
        <v>544</v>
      </c>
      <c r="L546" s="73">
        <v>5181</v>
      </c>
    </row>
    <row r="547" spans="11:12" x14ac:dyDescent="0.4">
      <c r="K547" s="5">
        <v>545</v>
      </c>
      <c r="L547" s="73">
        <v>5213.3999999999996</v>
      </c>
    </row>
    <row r="548" spans="11:12" x14ac:dyDescent="0.4">
      <c r="K548" s="5">
        <v>546</v>
      </c>
      <c r="L548" s="73">
        <v>5181.7</v>
      </c>
    </row>
    <row r="549" spans="11:12" x14ac:dyDescent="0.4">
      <c r="K549" s="5">
        <v>547</v>
      </c>
      <c r="L549" s="73">
        <v>5139</v>
      </c>
    </row>
    <row r="550" spans="11:12" x14ac:dyDescent="0.4">
      <c r="K550" s="5">
        <v>548</v>
      </c>
      <c r="L550" s="73">
        <v>5163.0999999999995</v>
      </c>
    </row>
    <row r="551" spans="11:12" x14ac:dyDescent="0.4">
      <c r="K551" s="5">
        <v>549</v>
      </c>
      <c r="L551" s="73">
        <v>5187.8999999999996</v>
      </c>
    </row>
    <row r="552" spans="11:12" x14ac:dyDescent="0.4">
      <c r="K552" s="5">
        <v>550</v>
      </c>
      <c r="L552" s="73">
        <v>5213.3999999999996</v>
      </c>
    </row>
    <row r="553" spans="11:12" x14ac:dyDescent="0.4">
      <c r="K553" s="5">
        <v>551</v>
      </c>
      <c r="L553" s="73">
        <v>5238.2</v>
      </c>
    </row>
    <row r="554" spans="11:12" x14ac:dyDescent="0.4">
      <c r="K554" s="5">
        <v>552</v>
      </c>
      <c r="L554" s="73">
        <v>5213.2</v>
      </c>
    </row>
    <row r="555" spans="11:12" x14ac:dyDescent="0.4">
      <c r="K555" s="5">
        <v>553</v>
      </c>
      <c r="L555" s="73">
        <v>5183.7</v>
      </c>
    </row>
    <row r="556" spans="11:12" x14ac:dyDescent="0.4">
      <c r="K556" s="5">
        <v>554</v>
      </c>
      <c r="L556" s="73">
        <v>5216.2</v>
      </c>
    </row>
    <row r="557" spans="11:12" x14ac:dyDescent="0.4">
      <c r="K557" s="5">
        <v>555</v>
      </c>
      <c r="L557" s="73">
        <v>5193.7999999999993</v>
      </c>
    </row>
    <row r="558" spans="11:12" x14ac:dyDescent="0.4">
      <c r="K558" s="5">
        <v>556</v>
      </c>
      <c r="L558" s="73">
        <v>5209</v>
      </c>
    </row>
    <row r="559" spans="11:12" x14ac:dyDescent="0.4">
      <c r="K559" s="5">
        <v>557</v>
      </c>
      <c r="L559" s="73">
        <v>5158.5</v>
      </c>
    </row>
    <row r="560" spans="11:12" x14ac:dyDescent="0.4">
      <c r="K560" s="5">
        <v>558</v>
      </c>
      <c r="L560" s="73">
        <v>5185.2999999999993</v>
      </c>
    </row>
    <row r="561" spans="11:12" x14ac:dyDescent="0.4">
      <c r="K561" s="5">
        <v>559</v>
      </c>
      <c r="L561" s="73">
        <v>5183.5</v>
      </c>
    </row>
    <row r="562" spans="11:12" x14ac:dyDescent="0.4">
      <c r="K562" s="5">
        <v>560</v>
      </c>
      <c r="L562" s="73">
        <v>5203.3999999999996</v>
      </c>
    </row>
    <row r="563" spans="11:12" x14ac:dyDescent="0.4">
      <c r="K563" s="5">
        <v>561</v>
      </c>
      <c r="L563" s="73">
        <v>5166.7</v>
      </c>
    </row>
    <row r="564" spans="11:12" x14ac:dyDescent="0.4">
      <c r="K564" s="5">
        <v>562</v>
      </c>
      <c r="L564" s="73">
        <v>5187.2999999999993</v>
      </c>
    </row>
    <row r="565" spans="11:12" x14ac:dyDescent="0.4">
      <c r="K565" s="5">
        <v>563</v>
      </c>
      <c r="L565" s="73">
        <v>5191.2999999999993</v>
      </c>
    </row>
    <row r="566" spans="11:12" x14ac:dyDescent="0.4">
      <c r="K566" s="5">
        <v>564</v>
      </c>
      <c r="L566" s="73">
        <v>5207.7999999999993</v>
      </c>
    </row>
    <row r="567" spans="11:12" x14ac:dyDescent="0.4">
      <c r="K567" s="5">
        <v>565</v>
      </c>
      <c r="L567" s="73">
        <v>5168.7999999999993</v>
      </c>
    </row>
    <row r="568" spans="11:12" x14ac:dyDescent="0.4">
      <c r="K568" s="5">
        <v>566</v>
      </c>
      <c r="L568" s="73">
        <v>5123.2</v>
      </c>
    </row>
    <row r="569" spans="11:12" x14ac:dyDescent="0.4">
      <c r="K569" s="5">
        <v>567</v>
      </c>
      <c r="L569" s="73">
        <v>5157.2999999999993</v>
      </c>
    </row>
    <row r="570" spans="11:12" x14ac:dyDescent="0.4">
      <c r="K570" s="5">
        <v>568</v>
      </c>
      <c r="L570" s="73">
        <v>5185</v>
      </c>
    </row>
    <row r="571" spans="11:12" x14ac:dyDescent="0.4">
      <c r="K571" s="5">
        <v>569</v>
      </c>
      <c r="L571" s="73">
        <v>5220.8999999999996</v>
      </c>
    </row>
    <row r="572" spans="11:12" x14ac:dyDescent="0.4">
      <c r="K572" s="5">
        <v>570</v>
      </c>
      <c r="L572" s="73">
        <v>5242.5999999999995</v>
      </c>
    </row>
    <row r="573" spans="11:12" x14ac:dyDescent="0.4">
      <c r="K573" s="5">
        <v>571</v>
      </c>
      <c r="L573" s="73">
        <v>5262.0999999999995</v>
      </c>
    </row>
    <row r="574" spans="11:12" x14ac:dyDescent="0.4">
      <c r="K574" s="5">
        <v>572</v>
      </c>
      <c r="L574" s="73">
        <v>5275.7</v>
      </c>
    </row>
    <row r="575" spans="11:12" x14ac:dyDescent="0.4">
      <c r="K575" s="5">
        <v>573</v>
      </c>
      <c r="L575" s="73">
        <v>5317.5999999999995</v>
      </c>
    </row>
    <row r="576" spans="11:12" x14ac:dyDescent="0.4">
      <c r="K576" s="5">
        <v>574</v>
      </c>
      <c r="L576" s="73">
        <v>5301.0999999999995</v>
      </c>
    </row>
    <row r="577" spans="11:12" x14ac:dyDescent="0.4">
      <c r="K577" s="5">
        <v>575</v>
      </c>
      <c r="L577" s="73">
        <v>5350.0999999999995</v>
      </c>
    </row>
    <row r="578" spans="11:12" x14ac:dyDescent="0.4">
      <c r="K578" s="5">
        <v>576</v>
      </c>
      <c r="L578" s="73">
        <v>5394.5</v>
      </c>
    </row>
    <row r="579" spans="11:12" x14ac:dyDescent="0.4">
      <c r="K579" s="5">
        <v>577</v>
      </c>
      <c r="L579" s="73">
        <v>5354.2999999999993</v>
      </c>
    </row>
    <row r="580" spans="11:12" x14ac:dyDescent="0.4">
      <c r="K580" s="5">
        <v>578</v>
      </c>
      <c r="L580" s="73">
        <v>5404.2999999999993</v>
      </c>
    </row>
    <row r="581" spans="11:12" x14ac:dyDescent="0.4">
      <c r="K581" s="5">
        <v>579</v>
      </c>
      <c r="L581" s="73">
        <v>5528.4</v>
      </c>
    </row>
    <row r="582" spans="11:12" x14ac:dyDescent="0.4">
      <c r="K582" s="5">
        <v>580</v>
      </c>
      <c r="L582" s="73">
        <v>5535.4</v>
      </c>
    </row>
    <row r="583" spans="11:12" x14ac:dyDescent="0.4">
      <c r="K583" s="5">
        <v>581</v>
      </c>
      <c r="L583" s="73">
        <v>5521.2999999999993</v>
      </c>
    </row>
    <row r="584" spans="11:12" x14ac:dyDescent="0.4">
      <c r="K584" s="5">
        <v>582</v>
      </c>
      <c r="L584" s="73">
        <v>5591.9</v>
      </c>
    </row>
    <row r="585" spans="11:12" x14ac:dyDescent="0.4">
      <c r="K585" s="5">
        <v>583</v>
      </c>
      <c r="L585" s="73">
        <v>5560.9</v>
      </c>
    </row>
    <row r="586" spans="11:12" x14ac:dyDescent="0.4">
      <c r="K586" s="5">
        <v>584</v>
      </c>
      <c r="L586" s="73">
        <v>5537.2999999999993</v>
      </c>
    </row>
    <row r="587" spans="11:12" x14ac:dyDescent="0.4">
      <c r="K587" s="5">
        <v>585</v>
      </c>
      <c r="L587" s="73">
        <v>5540.5</v>
      </c>
    </row>
    <row r="588" spans="11:12" x14ac:dyDescent="0.4">
      <c r="K588" s="5">
        <v>586</v>
      </c>
      <c r="L588" s="73">
        <v>5552</v>
      </c>
    </row>
    <row r="589" spans="11:12" x14ac:dyDescent="0.4">
      <c r="K589" s="5">
        <v>587</v>
      </c>
      <c r="L589" s="73">
        <v>5622.5999999999995</v>
      </c>
    </row>
    <row r="590" spans="11:12" x14ac:dyDescent="0.4">
      <c r="K590" s="5">
        <v>588</v>
      </c>
      <c r="L590" s="73">
        <v>5628.4</v>
      </c>
    </row>
    <row r="591" spans="11:12" x14ac:dyDescent="0.4">
      <c r="K591" s="5">
        <v>589</v>
      </c>
      <c r="L591" s="73">
        <v>5675.2999999999993</v>
      </c>
    </row>
    <row r="592" spans="11:12" x14ac:dyDescent="0.4">
      <c r="K592" s="5">
        <v>590</v>
      </c>
      <c r="L592" s="73">
        <v>5682.7</v>
      </c>
    </row>
    <row r="593" spans="11:12" x14ac:dyDescent="0.4">
      <c r="K593" s="5">
        <v>591</v>
      </c>
      <c r="L593" s="73">
        <v>5684.0999999999995</v>
      </c>
    </row>
    <row r="594" spans="11:12" x14ac:dyDescent="0.4">
      <c r="K594" s="5">
        <v>592</v>
      </c>
      <c r="L594" s="73">
        <v>5680.2</v>
      </c>
    </row>
    <row r="595" spans="11:12" x14ac:dyDescent="0.4">
      <c r="K595" s="5">
        <v>593</v>
      </c>
      <c r="L595" s="73">
        <v>5697</v>
      </c>
    </row>
    <row r="596" spans="11:12" x14ac:dyDescent="0.4">
      <c r="K596" s="5">
        <v>594</v>
      </c>
      <c r="L596" s="73">
        <v>5704.7</v>
      </c>
    </row>
    <row r="597" spans="11:12" x14ac:dyDescent="0.4">
      <c r="K597" s="5">
        <v>595</v>
      </c>
      <c r="L597" s="73">
        <v>5663.9</v>
      </c>
    </row>
    <row r="598" spans="11:12" x14ac:dyDescent="0.4">
      <c r="K598" s="5">
        <v>596</v>
      </c>
      <c r="L598" s="73">
        <v>5707.5999999999995</v>
      </c>
    </row>
    <row r="599" spans="11:12" x14ac:dyDescent="0.4">
      <c r="K599" s="5">
        <v>597</v>
      </c>
      <c r="L599" s="73">
        <v>5708.7</v>
      </c>
    </row>
    <row r="600" spans="11:12" x14ac:dyDescent="0.4">
      <c r="K600" s="5">
        <v>598</v>
      </c>
      <c r="L600" s="73">
        <v>5747.0999999999995</v>
      </c>
    </row>
    <row r="601" spans="11:12" x14ac:dyDescent="0.4">
      <c r="K601" s="5">
        <v>599</v>
      </c>
      <c r="L601" s="73">
        <v>5714.2999999999993</v>
      </c>
    </row>
    <row r="602" spans="11:12" x14ac:dyDescent="0.4">
      <c r="K602" s="5">
        <v>600</v>
      </c>
      <c r="L602" s="73">
        <v>5740.5999999999995</v>
      </c>
    </row>
    <row r="603" spans="11:12" x14ac:dyDescent="0.4">
      <c r="K603" s="5">
        <v>601</v>
      </c>
      <c r="L603" s="73">
        <v>5762.0999999999995</v>
      </c>
    </row>
    <row r="604" spans="11:12" x14ac:dyDescent="0.4">
      <c r="K604" s="5">
        <v>602</v>
      </c>
      <c r="L604" s="73">
        <v>5753.4</v>
      </c>
    </row>
    <row r="605" spans="11:12" x14ac:dyDescent="0.4">
      <c r="K605" s="5">
        <v>603</v>
      </c>
      <c r="L605" s="73">
        <v>5730.7999999999993</v>
      </c>
    </row>
    <row r="606" spans="11:12" x14ac:dyDescent="0.4">
      <c r="K606" s="5">
        <v>604</v>
      </c>
      <c r="L606" s="73">
        <v>5735.5</v>
      </c>
    </row>
    <row r="607" spans="11:12" x14ac:dyDescent="0.4">
      <c r="K607" s="5">
        <v>605</v>
      </c>
      <c r="L607" s="73">
        <v>5757.7</v>
      </c>
    </row>
    <row r="608" spans="11:12" x14ac:dyDescent="0.4">
      <c r="K608" s="5">
        <v>606</v>
      </c>
      <c r="L608" s="73">
        <v>5709.2</v>
      </c>
    </row>
    <row r="609" spans="11:12" x14ac:dyDescent="0.4">
      <c r="K609" s="5">
        <v>607</v>
      </c>
      <c r="L609" s="73">
        <v>5775.4</v>
      </c>
    </row>
    <row r="610" spans="11:12" x14ac:dyDescent="0.4">
      <c r="K610" s="5">
        <v>608</v>
      </c>
      <c r="L610" s="73">
        <v>5829.6</v>
      </c>
    </row>
    <row r="611" spans="11:12" x14ac:dyDescent="0.4">
      <c r="K611" s="5">
        <v>609</v>
      </c>
      <c r="L611" s="73">
        <v>5845.3</v>
      </c>
    </row>
    <row r="612" spans="11:12" x14ac:dyDescent="0.4">
      <c r="K612" s="5">
        <v>610</v>
      </c>
      <c r="L612" s="73">
        <v>5803.6</v>
      </c>
    </row>
    <row r="613" spans="11:12" x14ac:dyDescent="0.4">
      <c r="K613" s="5">
        <v>611</v>
      </c>
      <c r="L613" s="73">
        <v>5791</v>
      </c>
    </row>
    <row r="614" spans="11:12" x14ac:dyDescent="0.4">
      <c r="K614" s="5">
        <v>612</v>
      </c>
      <c r="L614" s="73">
        <v>5766.7</v>
      </c>
    </row>
    <row r="615" spans="11:12" x14ac:dyDescent="0.4">
      <c r="K615" s="5">
        <v>613</v>
      </c>
      <c r="L615" s="73">
        <v>5748</v>
      </c>
    </row>
    <row r="616" spans="11:12" x14ac:dyDescent="0.4">
      <c r="K616" s="5">
        <v>614</v>
      </c>
      <c r="L616" s="73">
        <v>5811.6</v>
      </c>
    </row>
    <row r="617" spans="11:12" x14ac:dyDescent="0.4">
      <c r="K617" s="5">
        <v>615</v>
      </c>
      <c r="L617" s="73">
        <v>5855.2</v>
      </c>
    </row>
    <row r="618" spans="11:12" x14ac:dyDescent="0.4">
      <c r="K618" s="5">
        <v>616</v>
      </c>
      <c r="L618" s="73">
        <v>5882.6</v>
      </c>
    </row>
    <row r="619" spans="11:12" x14ac:dyDescent="0.4">
      <c r="K619" s="5">
        <v>617</v>
      </c>
      <c r="L619" s="73">
        <v>5899.7</v>
      </c>
    </row>
    <row r="620" spans="11:12" x14ac:dyDescent="0.4">
      <c r="K620" s="5">
        <v>618</v>
      </c>
      <c r="L620" s="73">
        <v>5879.7</v>
      </c>
    </row>
    <row r="621" spans="11:12" x14ac:dyDescent="0.4">
      <c r="K621" s="5">
        <v>619</v>
      </c>
      <c r="L621" s="73">
        <v>5834.2</v>
      </c>
    </row>
    <row r="622" spans="11:12" x14ac:dyDescent="0.4">
      <c r="K622" s="5">
        <v>620</v>
      </c>
      <c r="L622" s="73">
        <v>5808</v>
      </c>
    </row>
    <row r="623" spans="11:12" x14ac:dyDescent="0.4">
      <c r="K623" s="5">
        <v>621</v>
      </c>
      <c r="L623" s="73">
        <v>5811.9</v>
      </c>
    </row>
    <row r="624" spans="11:12" x14ac:dyDescent="0.4">
      <c r="K624" s="5">
        <v>622</v>
      </c>
      <c r="L624" s="73">
        <v>5809.1</v>
      </c>
    </row>
    <row r="625" spans="11:12" x14ac:dyDescent="0.4">
      <c r="K625" s="5">
        <v>623</v>
      </c>
      <c r="L625" s="73">
        <v>5778.2</v>
      </c>
    </row>
    <row r="626" spans="11:12" x14ac:dyDescent="0.4">
      <c r="K626" s="5">
        <v>624</v>
      </c>
      <c r="L626" s="73">
        <v>5781.9</v>
      </c>
    </row>
    <row r="627" spans="11:12" x14ac:dyDescent="0.4">
      <c r="K627" s="5">
        <v>625</v>
      </c>
      <c r="L627" s="73">
        <v>5796.5</v>
      </c>
    </row>
    <row r="628" spans="11:12" x14ac:dyDescent="0.4">
      <c r="K628" s="5">
        <v>626</v>
      </c>
      <c r="L628" s="73">
        <v>5807.9</v>
      </c>
    </row>
    <row r="629" spans="11:12" x14ac:dyDescent="0.4">
      <c r="K629" s="5">
        <v>627</v>
      </c>
      <c r="L629" s="73">
        <v>5850.4</v>
      </c>
    </row>
    <row r="630" spans="11:12" x14ac:dyDescent="0.4">
      <c r="K630" s="5">
        <v>628</v>
      </c>
      <c r="L630" s="73">
        <v>5884.9</v>
      </c>
    </row>
    <row r="631" spans="11:12" x14ac:dyDescent="0.4">
      <c r="K631" s="5">
        <v>629</v>
      </c>
      <c r="L631" s="73">
        <v>5887.3</v>
      </c>
    </row>
    <row r="632" spans="11:12" x14ac:dyDescent="0.4">
      <c r="K632" s="5">
        <v>630</v>
      </c>
      <c r="L632" s="73">
        <v>5860.6</v>
      </c>
    </row>
    <row r="633" spans="11:12" x14ac:dyDescent="0.4">
      <c r="K633" s="5">
        <v>631</v>
      </c>
      <c r="L633" s="73">
        <v>5850.7</v>
      </c>
    </row>
    <row r="634" spans="11:12" x14ac:dyDescent="0.4">
      <c r="K634" s="5">
        <v>632</v>
      </c>
      <c r="L634" s="73">
        <v>5900.7999999999993</v>
      </c>
    </row>
    <row r="635" spans="11:12" x14ac:dyDescent="0.4">
      <c r="K635" s="5">
        <v>633</v>
      </c>
      <c r="L635" s="73">
        <v>5924.2999999999993</v>
      </c>
    </row>
    <row r="636" spans="11:12" x14ac:dyDescent="0.4">
      <c r="K636" s="5">
        <v>634</v>
      </c>
      <c r="L636" s="73">
        <v>5945.9</v>
      </c>
    </row>
    <row r="637" spans="11:12" x14ac:dyDescent="0.4">
      <c r="K637" s="5">
        <v>635</v>
      </c>
      <c r="L637" s="73">
        <v>5982.7999999999993</v>
      </c>
    </row>
    <row r="638" spans="11:12" x14ac:dyDescent="0.4">
      <c r="K638" s="5">
        <v>636</v>
      </c>
      <c r="L638" s="73">
        <v>5981.2999999999993</v>
      </c>
    </row>
    <row r="639" spans="11:12" x14ac:dyDescent="0.4">
      <c r="K639" s="5">
        <v>637</v>
      </c>
      <c r="L639" s="73">
        <v>6012.2999999999993</v>
      </c>
    </row>
    <row r="640" spans="11:12" x14ac:dyDescent="0.4">
      <c r="K640" s="5">
        <v>638</v>
      </c>
      <c r="L640" s="73">
        <v>6058.7999999999993</v>
      </c>
    </row>
    <row r="641" spans="11:12" x14ac:dyDescent="0.4">
      <c r="K641" s="5">
        <v>639</v>
      </c>
      <c r="L641" s="73">
        <v>6062</v>
      </c>
    </row>
    <row r="642" spans="11:12" x14ac:dyDescent="0.4">
      <c r="K642" s="5">
        <v>640</v>
      </c>
      <c r="L642" s="73">
        <v>6039.0999999999995</v>
      </c>
    </row>
    <row r="643" spans="11:12" x14ac:dyDescent="0.4">
      <c r="K643" s="5">
        <v>641</v>
      </c>
      <c r="L643" s="73">
        <v>6069.2999999999993</v>
      </c>
    </row>
    <row r="644" spans="11:12" x14ac:dyDescent="0.4">
      <c r="K644" s="5">
        <v>642</v>
      </c>
      <c r="L644" s="73">
        <v>6091.4</v>
      </c>
    </row>
    <row r="645" spans="11:12" x14ac:dyDescent="0.4">
      <c r="K645" s="5">
        <v>643</v>
      </c>
      <c r="L645" s="73">
        <v>6045.2</v>
      </c>
    </row>
    <row r="646" spans="11:12" x14ac:dyDescent="0.4">
      <c r="K646" s="5">
        <v>644</v>
      </c>
      <c r="L646" s="73">
        <v>6071.5</v>
      </c>
    </row>
    <row r="647" spans="11:12" x14ac:dyDescent="0.4">
      <c r="K647" s="5">
        <v>645</v>
      </c>
      <c r="L647" s="73">
        <v>6111.2999999999993</v>
      </c>
    </row>
    <row r="648" spans="11:12" x14ac:dyDescent="0.4">
      <c r="K648" s="5">
        <v>646</v>
      </c>
      <c r="L648" s="73">
        <v>6109.4</v>
      </c>
    </row>
    <row r="649" spans="11:12" x14ac:dyDescent="0.4">
      <c r="K649" s="5">
        <v>647</v>
      </c>
      <c r="L649" s="73">
        <v>6170.1999999999989</v>
      </c>
    </row>
    <row r="650" spans="11:12" x14ac:dyDescent="0.4">
      <c r="K650" s="5">
        <v>648</v>
      </c>
      <c r="L650" s="73">
        <v>6172.1999999999989</v>
      </c>
    </row>
    <row r="651" spans="11:12" x14ac:dyDescent="0.4">
      <c r="K651" s="5">
        <v>649</v>
      </c>
      <c r="L651" s="73">
        <v>6139.9999999999991</v>
      </c>
    </row>
    <row r="652" spans="11:12" x14ac:dyDescent="0.4">
      <c r="K652" s="5">
        <v>650</v>
      </c>
      <c r="L652" s="73">
        <v>6185.1999999999989</v>
      </c>
    </row>
    <row r="653" spans="11:12" x14ac:dyDescent="0.4">
      <c r="K653" s="5">
        <v>651</v>
      </c>
      <c r="L653" s="73">
        <v>6172.6999999999989</v>
      </c>
    </row>
    <row r="654" spans="11:12" x14ac:dyDescent="0.4">
      <c r="K654" s="5">
        <v>652</v>
      </c>
      <c r="L654" s="73">
        <v>6201.4999999999991</v>
      </c>
    </row>
    <row r="655" spans="11:12" x14ac:dyDescent="0.4">
      <c r="K655" s="5">
        <v>653</v>
      </c>
      <c r="L655" s="73">
        <v>6174.0999999999995</v>
      </c>
    </row>
    <row r="656" spans="11:12" x14ac:dyDescent="0.4">
      <c r="K656" s="5">
        <v>654</v>
      </c>
      <c r="L656" s="73">
        <v>6163.0999999999995</v>
      </c>
    </row>
    <row r="657" spans="11:12" x14ac:dyDescent="0.4">
      <c r="K657" s="5">
        <v>655</v>
      </c>
      <c r="L657" s="73">
        <v>6190.9999999999991</v>
      </c>
    </row>
    <row r="658" spans="11:12" x14ac:dyDescent="0.4">
      <c r="K658" s="5">
        <v>656</v>
      </c>
      <c r="L658" s="73">
        <v>6190.1999999999989</v>
      </c>
    </row>
    <row r="659" spans="11:12" x14ac:dyDescent="0.4">
      <c r="K659" s="5">
        <v>657</v>
      </c>
      <c r="L659" s="73">
        <v>6189.9</v>
      </c>
    </row>
    <row r="660" spans="11:12" x14ac:dyDescent="0.4">
      <c r="K660" s="5">
        <v>658</v>
      </c>
      <c r="L660" s="73">
        <v>6237.4</v>
      </c>
    </row>
    <row r="661" spans="11:12" x14ac:dyDescent="0.4">
      <c r="K661" s="5">
        <v>659</v>
      </c>
      <c r="L661" s="73">
        <v>6215.4</v>
      </c>
    </row>
    <row r="662" spans="11:12" x14ac:dyDescent="0.4">
      <c r="K662" s="5">
        <v>660</v>
      </c>
      <c r="L662" s="73">
        <v>6190.9</v>
      </c>
    </row>
    <row r="663" spans="11:12" x14ac:dyDescent="0.4">
      <c r="K663" s="5">
        <v>661</v>
      </c>
      <c r="L663" s="73">
        <v>6231.6999999999989</v>
      </c>
    </row>
    <row r="664" spans="11:12" x14ac:dyDescent="0.4">
      <c r="K664" s="5">
        <v>662</v>
      </c>
      <c r="L664" s="73">
        <v>6272.9</v>
      </c>
    </row>
    <row r="665" spans="11:12" x14ac:dyDescent="0.4">
      <c r="K665" s="5">
        <v>663</v>
      </c>
      <c r="L665" s="73">
        <v>6265.1999999999989</v>
      </c>
    </row>
    <row r="666" spans="11:12" x14ac:dyDescent="0.4">
      <c r="K666" s="5">
        <v>664</v>
      </c>
      <c r="L666" s="73">
        <v>6296.9</v>
      </c>
    </row>
    <row r="667" spans="11:12" x14ac:dyDescent="0.4">
      <c r="K667" s="5">
        <v>665</v>
      </c>
      <c r="L667" s="73">
        <v>6329.0999999999995</v>
      </c>
    </row>
    <row r="668" spans="11:12" x14ac:dyDescent="0.4">
      <c r="K668" s="5">
        <v>666</v>
      </c>
      <c r="L668" s="73">
        <v>6326.1999999999989</v>
      </c>
    </row>
    <row r="669" spans="11:12" x14ac:dyDescent="0.4">
      <c r="K669" s="5">
        <v>667</v>
      </c>
      <c r="L669" s="73">
        <v>6358.1999999999989</v>
      </c>
    </row>
    <row r="670" spans="11:12" x14ac:dyDescent="0.4">
      <c r="K670" s="5">
        <v>668</v>
      </c>
      <c r="L670" s="73">
        <v>6399.6999999999989</v>
      </c>
    </row>
    <row r="671" spans="11:12" x14ac:dyDescent="0.4">
      <c r="K671" s="5">
        <v>669</v>
      </c>
      <c r="L671" s="73">
        <v>6436.2999999999993</v>
      </c>
    </row>
    <row r="672" spans="11:12" x14ac:dyDescent="0.4">
      <c r="K672" s="5">
        <v>670</v>
      </c>
      <c r="L672" s="73">
        <v>6468.1999999999989</v>
      </c>
    </row>
    <row r="673" spans="11:12" x14ac:dyDescent="0.4">
      <c r="K673" s="5">
        <v>671</v>
      </c>
      <c r="L673" s="73">
        <v>6509.6999999999989</v>
      </c>
    </row>
    <row r="674" spans="11:12" x14ac:dyDescent="0.4">
      <c r="K674" s="5">
        <v>672</v>
      </c>
      <c r="L674" s="73">
        <v>6470.9999999999991</v>
      </c>
    </row>
    <row r="675" spans="11:12" x14ac:dyDescent="0.4">
      <c r="K675" s="5">
        <v>673</v>
      </c>
      <c r="L675" s="73">
        <v>6425.4999999999991</v>
      </c>
    </row>
    <row r="676" spans="11:12" x14ac:dyDescent="0.4">
      <c r="K676" s="5">
        <v>674</v>
      </c>
      <c r="L676" s="73">
        <v>6441.6999999999989</v>
      </c>
    </row>
    <row r="677" spans="11:12" x14ac:dyDescent="0.4">
      <c r="K677" s="5">
        <v>675</v>
      </c>
      <c r="L677" s="73">
        <v>6442.9999999999991</v>
      </c>
    </row>
    <row r="678" spans="11:12" x14ac:dyDescent="0.4">
      <c r="K678" s="5">
        <v>676</v>
      </c>
      <c r="L678" s="73">
        <v>6467.0999999999995</v>
      </c>
    </row>
    <row r="679" spans="11:12" x14ac:dyDescent="0.4">
      <c r="K679" s="5">
        <v>677</v>
      </c>
      <c r="L679" s="73">
        <v>6449.6999999999989</v>
      </c>
    </row>
    <row r="680" spans="11:12" x14ac:dyDescent="0.4">
      <c r="K680" s="5">
        <v>678</v>
      </c>
      <c r="L680" s="73">
        <v>6490.4</v>
      </c>
    </row>
    <row r="681" spans="11:12" x14ac:dyDescent="0.4">
      <c r="K681" s="5">
        <v>679</v>
      </c>
      <c r="L681" s="73">
        <v>6504.4</v>
      </c>
    </row>
    <row r="682" spans="11:12" x14ac:dyDescent="0.4">
      <c r="K682" s="5">
        <v>680</v>
      </c>
      <c r="L682" s="73">
        <v>6571.2999999999993</v>
      </c>
    </row>
    <row r="683" spans="11:12" x14ac:dyDescent="0.4">
      <c r="K683" s="5">
        <v>681</v>
      </c>
      <c r="L683" s="73">
        <v>6574.4999999999991</v>
      </c>
    </row>
    <row r="684" spans="11:12" x14ac:dyDescent="0.4">
      <c r="K684" s="5">
        <v>682</v>
      </c>
      <c r="L684" s="73">
        <v>6574.1999999999989</v>
      </c>
    </row>
    <row r="685" spans="11:12" x14ac:dyDescent="0.4">
      <c r="K685" s="5">
        <v>683</v>
      </c>
      <c r="L685" s="73">
        <v>6614.0999999999995</v>
      </c>
    </row>
  </sheetData>
  <sortState xmlns:xlrd2="http://schemas.microsoft.com/office/spreadsheetml/2017/richdata2" ref="N15:Q2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E4733-0307-4772-89B6-F1265A8CFAF3}">
  <sheetPr codeName="Sheet5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184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4</v>
      </c>
      <c r="C2" s="128"/>
      <c r="E2" s="43" t="s">
        <v>64</v>
      </c>
      <c r="F2" s="25" t="s">
        <v>20</v>
      </c>
      <c r="G2" s="13">
        <v>0</v>
      </c>
      <c r="H2" s="106">
        <f>IF(B$51=0,0,G2/B$51)</f>
        <v>0</v>
      </c>
      <c r="I2" s="67">
        <v>20</v>
      </c>
      <c r="K2" s="3">
        <v>0</v>
      </c>
      <c r="L2" s="72">
        <v>0</v>
      </c>
      <c r="N2" s="88" t="s">
        <v>126</v>
      </c>
      <c r="O2" s="95">
        <f t="shared" ref="O2:O7" si="0">IF(P2=0,0,Q2/P2)</f>
        <v>-9250</v>
      </c>
      <c r="P2" s="92">
        <v>4</v>
      </c>
      <c r="Q2" s="76">
        <v>-37000</v>
      </c>
    </row>
    <row r="3" spans="1:17" x14ac:dyDescent="0.4">
      <c r="A3" s="37" t="s">
        <v>8</v>
      </c>
      <c r="B3" s="129">
        <v>25</v>
      </c>
      <c r="C3" s="130"/>
      <c r="E3" s="44" t="s">
        <v>65</v>
      </c>
      <c r="F3" s="41" t="s">
        <v>21</v>
      </c>
      <c r="G3" s="34">
        <v>0</v>
      </c>
      <c r="H3" s="107">
        <f>IF(B$51=0,0,G3/B$51)</f>
        <v>0</v>
      </c>
      <c r="I3" s="68">
        <v>19</v>
      </c>
      <c r="K3" s="5">
        <v>1</v>
      </c>
      <c r="L3" s="73">
        <v>-22</v>
      </c>
      <c r="N3" s="89" t="s">
        <v>127</v>
      </c>
      <c r="O3" s="96">
        <f t="shared" si="0"/>
        <v>-7225</v>
      </c>
      <c r="P3" s="93">
        <v>4</v>
      </c>
      <c r="Q3" s="77">
        <v>-28900</v>
      </c>
    </row>
    <row r="4" spans="1:17" x14ac:dyDescent="0.4">
      <c r="A4" s="37" t="s">
        <v>6</v>
      </c>
      <c r="B4" s="131">
        <v>-132.1</v>
      </c>
      <c r="C4" s="132"/>
      <c r="E4" s="44" t="s">
        <v>66</v>
      </c>
      <c r="F4" s="41" t="s">
        <v>22</v>
      </c>
      <c r="G4" s="34">
        <v>0</v>
      </c>
      <c r="H4" s="107">
        <f>IF(B$51=0,0,G4/B$51)</f>
        <v>0</v>
      </c>
      <c r="I4" s="68">
        <v>20</v>
      </c>
      <c r="K4" s="5">
        <v>2</v>
      </c>
      <c r="L4" s="73">
        <v>-60.4</v>
      </c>
      <c r="N4" s="89" t="s">
        <v>128</v>
      </c>
      <c r="O4" s="96">
        <f t="shared" si="0"/>
        <v>-10875</v>
      </c>
      <c r="P4" s="93">
        <v>4</v>
      </c>
      <c r="Q4" s="77">
        <v>-43500</v>
      </c>
    </row>
    <row r="5" spans="1:17" x14ac:dyDescent="0.4">
      <c r="A5" s="37" t="s">
        <v>7</v>
      </c>
      <c r="B5" s="133">
        <f>IF(B$2=0,0,B$4/B$2)</f>
        <v>-33.024999999999999</v>
      </c>
      <c r="C5" s="134"/>
      <c r="E5" s="44" t="s">
        <v>67</v>
      </c>
      <c r="F5" s="41" t="s">
        <v>23</v>
      </c>
      <c r="G5" s="34">
        <v>0</v>
      </c>
      <c r="H5" s="107">
        <f>IF(B$51=0,0,G5/B$51)</f>
        <v>0</v>
      </c>
      <c r="I5" s="68">
        <v>20</v>
      </c>
      <c r="K5" s="5">
        <v>3</v>
      </c>
      <c r="L5" s="73">
        <v>-85.6</v>
      </c>
      <c r="N5" s="89" t="s">
        <v>129</v>
      </c>
      <c r="O5" s="96">
        <f t="shared" si="0"/>
        <v>-2850</v>
      </c>
      <c r="P5" s="93">
        <v>2</v>
      </c>
      <c r="Q5" s="77">
        <v>-5700</v>
      </c>
    </row>
    <row r="6" spans="1:17" x14ac:dyDescent="0.4">
      <c r="A6" s="37" t="s">
        <v>1</v>
      </c>
      <c r="B6" s="141">
        <f>IF(B$2=0,0,(B$7*1+B$8*2+B$9*3)/B$2)</f>
        <v>3</v>
      </c>
      <c r="C6" s="142"/>
      <c r="E6" s="44" t="s">
        <v>68</v>
      </c>
      <c r="F6" s="41" t="s">
        <v>12</v>
      </c>
      <c r="G6" s="34">
        <v>0</v>
      </c>
      <c r="H6" s="107">
        <f>IF(B$51=0,0,G6/B$51)</f>
        <v>0</v>
      </c>
      <c r="I6" s="68">
        <v>20</v>
      </c>
      <c r="K6" s="5">
        <v>4</v>
      </c>
      <c r="L6" s="73">
        <v>-132.1</v>
      </c>
      <c r="N6" s="89" t="s">
        <v>130</v>
      </c>
      <c r="O6" s="96">
        <f t="shared" si="0"/>
        <v>-6000</v>
      </c>
      <c r="P6" s="93">
        <v>2</v>
      </c>
      <c r="Q6" s="77">
        <v>-12000</v>
      </c>
    </row>
    <row r="7" spans="1:17" x14ac:dyDescent="0.4">
      <c r="A7" s="37" t="s">
        <v>2</v>
      </c>
      <c r="B7" s="34">
        <v>0</v>
      </c>
      <c r="C7" s="31">
        <f t="shared" ref="C7:C14" si="1">IF(B$2=0,0,B7/B$2)</f>
        <v>0</v>
      </c>
      <c r="E7" s="44" t="s">
        <v>69</v>
      </c>
      <c r="F7" s="41" t="s">
        <v>24</v>
      </c>
      <c r="G7" s="34">
        <v>0</v>
      </c>
      <c r="H7" s="107">
        <f>IF(B$51=0,0,G7/B$51)</f>
        <v>0</v>
      </c>
      <c r="I7" s="68">
        <v>19</v>
      </c>
      <c r="N7" s="90" t="s">
        <v>131</v>
      </c>
      <c r="O7" s="97">
        <f t="shared" si="0"/>
        <v>-5000</v>
      </c>
      <c r="P7" s="94">
        <v>1</v>
      </c>
      <c r="Q7" s="78">
        <v>-5000</v>
      </c>
    </row>
    <row r="8" spans="1:17" x14ac:dyDescent="0.4">
      <c r="A8" s="37" t="s">
        <v>3</v>
      </c>
      <c r="B8" s="34">
        <v>0</v>
      </c>
      <c r="C8" s="31">
        <f t="shared" si="1"/>
        <v>0</v>
      </c>
      <c r="E8" s="44" t="s">
        <v>70</v>
      </c>
      <c r="F8" s="41" t="s">
        <v>25</v>
      </c>
      <c r="G8" s="34">
        <v>0</v>
      </c>
      <c r="H8" s="107">
        <f>IF(B$51=0,0,G8/B$51)</f>
        <v>0</v>
      </c>
      <c r="I8" s="68">
        <v>16</v>
      </c>
      <c r="N8" s="33"/>
      <c r="O8" s="101"/>
      <c r="P8" s="85"/>
      <c r="Q8" s="83"/>
    </row>
    <row r="9" spans="1:17" x14ac:dyDescent="0.4">
      <c r="A9" s="38" t="s">
        <v>4</v>
      </c>
      <c r="B9" s="35">
        <v>4</v>
      </c>
      <c r="C9" s="7">
        <f t="shared" si="1"/>
        <v>1</v>
      </c>
      <c r="E9" s="44" t="s">
        <v>71</v>
      </c>
      <c r="F9" s="41" t="s">
        <v>26</v>
      </c>
      <c r="G9" s="34">
        <v>0</v>
      </c>
      <c r="H9" s="107">
        <f>IF(B$51=0,0,G9/B$51)</f>
        <v>0</v>
      </c>
      <c r="I9" s="68">
        <v>16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49">
        <f>IF(B7=0,0,C10/B7)</f>
        <v>0</v>
      </c>
      <c r="C10" s="150">
        <v>0</v>
      </c>
      <c r="E10" s="44" t="s">
        <v>72</v>
      </c>
      <c r="F10" s="41" t="s">
        <v>27</v>
      </c>
      <c r="G10" s="34">
        <v>0</v>
      </c>
      <c r="H10" s="107">
        <f>IF(B$51=0,0,G10/B$51)</f>
        <v>0</v>
      </c>
      <c r="I10" s="68">
        <v>19</v>
      </c>
      <c r="N10" s="88" t="s">
        <v>149</v>
      </c>
      <c r="O10" s="98">
        <f>IF(P10=0,0,Q10/P10)</f>
        <v>-30.2</v>
      </c>
      <c r="P10" s="92">
        <v>2</v>
      </c>
      <c r="Q10" s="80">
        <v>-60.4</v>
      </c>
    </row>
    <row r="11" spans="1:17" x14ac:dyDescent="0.4">
      <c r="A11" s="38" t="s">
        <v>204</v>
      </c>
      <c r="B11" s="149">
        <f>IF(B8=0,0,C11/B8)</f>
        <v>0</v>
      </c>
      <c r="C11" s="150">
        <v>0</v>
      </c>
      <c r="E11" s="44" t="s">
        <v>73</v>
      </c>
      <c r="F11" s="41" t="s">
        <v>28</v>
      </c>
      <c r="G11" s="34">
        <v>0</v>
      </c>
      <c r="H11" s="107">
        <f>IF(B$51=0,0,G11/B$51)</f>
        <v>0</v>
      </c>
      <c r="I11" s="68">
        <v>12</v>
      </c>
      <c r="N11" s="89" t="s">
        <v>150</v>
      </c>
      <c r="O11" s="99">
        <f>IF(P11=0,0,Q11/P11)</f>
        <v>-25.2</v>
      </c>
      <c r="P11" s="93">
        <v>1</v>
      </c>
      <c r="Q11" s="81">
        <v>-25.2</v>
      </c>
    </row>
    <row r="12" spans="1:17" x14ac:dyDescent="0.4">
      <c r="A12" s="38" t="s">
        <v>205</v>
      </c>
      <c r="B12" s="149">
        <f>IF(B9=0,0,C12/B9)</f>
        <v>-33.024999999999999</v>
      </c>
      <c r="C12" s="150">
        <v>-132.1</v>
      </c>
      <c r="E12" s="44" t="s">
        <v>74</v>
      </c>
      <c r="F12" s="41" t="s">
        <v>29</v>
      </c>
      <c r="G12" s="34">
        <v>0</v>
      </c>
      <c r="H12" s="107">
        <f>IF(B$51=0,0,G12/B$51)</f>
        <v>0</v>
      </c>
      <c r="I12" s="68">
        <v>10</v>
      </c>
      <c r="N12" s="90" t="s">
        <v>151</v>
      </c>
      <c r="O12" s="100">
        <f>IF(P12=0,0,Q12/P12)</f>
        <v>-46.5</v>
      </c>
      <c r="P12" s="94">
        <v>1</v>
      </c>
      <c r="Q12" s="82">
        <v>-46.5</v>
      </c>
    </row>
    <row r="13" spans="1:17" x14ac:dyDescent="0.4">
      <c r="A13" s="38" t="s">
        <v>206</v>
      </c>
      <c r="B13" s="133">
        <f>AVERAGE(B10:B12)</f>
        <v>-11.008333333333333</v>
      </c>
      <c r="C13" s="134"/>
      <c r="E13" s="44" t="s">
        <v>75</v>
      </c>
      <c r="F13" s="41" t="s">
        <v>30</v>
      </c>
      <c r="G13" s="34">
        <v>0</v>
      </c>
      <c r="H13" s="107">
        <f>IF(B$51=0,0,G13/B$51)</f>
        <v>0</v>
      </c>
      <c r="I13" s="68">
        <v>11</v>
      </c>
      <c r="N13" s="28"/>
      <c r="O13" s="84"/>
      <c r="P13" s="86"/>
      <c r="Q13" s="84"/>
    </row>
    <row r="14" spans="1:17" x14ac:dyDescent="0.4">
      <c r="A14" s="39" t="s">
        <v>18</v>
      </c>
      <c r="B14" s="36">
        <v>2</v>
      </c>
      <c r="C14" s="32">
        <f t="shared" si="1"/>
        <v>0.5</v>
      </c>
      <c r="E14" s="44" t="s">
        <v>76</v>
      </c>
      <c r="F14" s="41" t="s">
        <v>31</v>
      </c>
      <c r="G14" s="34">
        <v>0</v>
      </c>
      <c r="H14" s="107">
        <f>IF(B$51=0,0,G14/B$51)</f>
        <v>0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0</v>
      </c>
      <c r="C15" s="11">
        <f>IF(B$50=0,0,B15/B$50)</f>
        <v>0</v>
      </c>
      <c r="E15" s="44" t="s">
        <v>77</v>
      </c>
      <c r="F15" s="41" t="s">
        <v>32</v>
      </c>
      <c r="G15" s="34">
        <v>0</v>
      </c>
      <c r="H15" s="107">
        <f>IF(B$51=0,0,G15/B$51)</f>
        <v>0</v>
      </c>
      <c r="I15" s="68">
        <v>9</v>
      </c>
      <c r="N15" s="88" t="s">
        <v>194</v>
      </c>
      <c r="O15" s="98">
        <f>IF(P15=0,0,Q15/P15)</f>
        <v>-26.766666666666666</v>
      </c>
      <c r="P15" s="92">
        <v>3</v>
      </c>
      <c r="Q15" s="80">
        <v>-80.3</v>
      </c>
    </row>
    <row r="16" spans="1:17" x14ac:dyDescent="0.4">
      <c r="A16" s="37" t="s">
        <v>118</v>
      </c>
      <c r="B16" s="34">
        <v>0</v>
      </c>
      <c r="C16" s="31">
        <f>IF(B$50=0,0,B16/B$50)</f>
        <v>0</v>
      </c>
      <c r="E16" s="44" t="s">
        <v>78</v>
      </c>
      <c r="F16" s="41" t="s">
        <v>33</v>
      </c>
      <c r="G16" s="34">
        <v>0</v>
      </c>
      <c r="H16" s="107">
        <f>IF(B$51=0,0,G16/B$51)</f>
        <v>0</v>
      </c>
      <c r="I16" s="68">
        <v>14</v>
      </c>
      <c r="N16" s="89" t="s">
        <v>189</v>
      </c>
      <c r="O16" s="99">
        <f>IF(P16=0,0,Q16/P16)</f>
        <v>-29</v>
      </c>
      <c r="P16" s="93">
        <v>1</v>
      </c>
      <c r="Q16" s="81">
        <v>-29</v>
      </c>
    </row>
    <row r="17" spans="1:17" x14ac:dyDescent="0.4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41" t="s">
        <v>34</v>
      </c>
      <c r="G17" s="34">
        <v>0</v>
      </c>
      <c r="H17" s="107">
        <f>IF(B$51=0,0,G17/B$51)</f>
        <v>0</v>
      </c>
      <c r="I17" s="68">
        <v>15</v>
      </c>
      <c r="N17" s="89" t="s">
        <v>195</v>
      </c>
      <c r="O17" s="99">
        <f>IF(P17=0,0,Q17/P17)</f>
        <v>-71.75</v>
      </c>
      <c r="P17" s="93">
        <v>4</v>
      </c>
      <c r="Q17" s="81">
        <v>-287</v>
      </c>
    </row>
    <row r="18" spans="1:17" x14ac:dyDescent="0.4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41" t="s">
        <v>35</v>
      </c>
      <c r="G18" s="34">
        <v>0</v>
      </c>
      <c r="H18" s="107">
        <f>IF(B$51=0,0,G18/B$51)</f>
        <v>0</v>
      </c>
      <c r="I18" s="68">
        <v>3</v>
      </c>
    </row>
    <row r="19" spans="1:17" x14ac:dyDescent="0.4">
      <c r="A19" s="19" t="s">
        <v>10</v>
      </c>
      <c r="B19" s="13">
        <v>1</v>
      </c>
      <c r="C19" s="4">
        <f>IF(B$3=0,0,B19/B$3)</f>
        <v>0.04</v>
      </c>
      <c r="E19" s="44" t="s">
        <v>81</v>
      </c>
      <c r="F19" s="41" t="s">
        <v>36</v>
      </c>
      <c r="G19" s="34">
        <v>0</v>
      </c>
      <c r="H19" s="107">
        <f>IF(B$51=0,0,G19/B$51)</f>
        <v>0</v>
      </c>
      <c r="I19" s="68">
        <v>15</v>
      </c>
    </row>
    <row r="20" spans="1:17" x14ac:dyDescent="0.4">
      <c r="A20" s="37" t="s">
        <v>13</v>
      </c>
      <c r="B20" s="34">
        <v>10</v>
      </c>
      <c r="C20" s="31">
        <f>IF(B$3=0,0,B20/B$3)</f>
        <v>0.4</v>
      </c>
      <c r="E20" s="44" t="s">
        <v>82</v>
      </c>
      <c r="F20" s="41" t="s">
        <v>37</v>
      </c>
      <c r="G20" s="34">
        <v>0</v>
      </c>
      <c r="H20" s="107">
        <f>IF(B$51=0,0,G20/B$51)</f>
        <v>0</v>
      </c>
      <c r="I20" s="68">
        <v>1</v>
      </c>
    </row>
    <row r="21" spans="1:17" x14ac:dyDescent="0.4">
      <c r="A21" s="37" t="s">
        <v>12</v>
      </c>
      <c r="B21" s="34">
        <v>1</v>
      </c>
      <c r="C21" s="31">
        <f>IF(B$19=0,0,B21/B$19)</f>
        <v>1</v>
      </c>
      <c r="E21" s="44" t="s">
        <v>83</v>
      </c>
      <c r="F21" s="41" t="s">
        <v>38</v>
      </c>
      <c r="G21" s="34">
        <v>0</v>
      </c>
      <c r="H21" s="107">
        <f>IF(B$51=0,0,G21/B$51)</f>
        <v>0</v>
      </c>
      <c r="I21" s="68">
        <v>15</v>
      </c>
    </row>
    <row r="22" spans="1:17" x14ac:dyDescent="0.4">
      <c r="A22" s="37" t="s">
        <v>11</v>
      </c>
      <c r="B22" s="34">
        <v>0</v>
      </c>
      <c r="C22" s="31">
        <f>IF(B$19=0,0,B22/B$19)</f>
        <v>0</v>
      </c>
      <c r="E22" s="44" t="s">
        <v>84</v>
      </c>
      <c r="F22" s="41" t="s">
        <v>39</v>
      </c>
      <c r="G22" s="34">
        <v>0</v>
      </c>
      <c r="H22" s="107">
        <f>IF(B$51=0,0,G22/B$51)</f>
        <v>0</v>
      </c>
      <c r="I22" s="68">
        <v>7</v>
      </c>
    </row>
    <row r="23" spans="1:17" x14ac:dyDescent="0.4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41" t="s">
        <v>40</v>
      </c>
      <c r="G23" s="34">
        <v>0</v>
      </c>
      <c r="H23" s="107">
        <f>IF(B$51=0,0,G23/B$51)</f>
        <v>0</v>
      </c>
      <c r="I23" s="68">
        <v>9</v>
      </c>
    </row>
    <row r="24" spans="1:17" x14ac:dyDescent="0.4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41" t="s">
        <v>41</v>
      </c>
      <c r="G24" s="34">
        <v>0</v>
      </c>
      <c r="H24" s="107">
        <f>IF(B$51=0,0,G24/B$51)</f>
        <v>0</v>
      </c>
      <c r="I24" s="68">
        <v>17</v>
      </c>
    </row>
    <row r="25" spans="1:17" x14ac:dyDescent="0.4">
      <c r="A25" s="37" t="s">
        <v>179</v>
      </c>
      <c r="B25" s="34">
        <v>1</v>
      </c>
      <c r="C25" s="31">
        <f>IF(B$19=0,0,B25/B$19)</f>
        <v>1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">
      <c r="A26" s="37" t="s">
        <v>5</v>
      </c>
      <c r="B26" s="17">
        <f>IF(B$19=0,0,C26/B$19)</f>
        <v>7800</v>
      </c>
      <c r="C26" s="8">
        <v>7800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">
      <c r="A27" s="38" t="s">
        <v>162</v>
      </c>
      <c r="B27" s="114">
        <f>IF($B$19-B$18=0,0,C27/($B$19-B$18))</f>
        <v>7800</v>
      </c>
      <c r="C27" s="115">
        <v>7800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">
      <c r="A29" s="38" t="s">
        <v>161</v>
      </c>
      <c r="B29" s="114">
        <f>IF(B$20=0,0,C29/B$20)</f>
        <v>-8240</v>
      </c>
      <c r="C29" s="115">
        <v>-82400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">
      <c r="A30" s="37" t="s">
        <v>155</v>
      </c>
      <c r="B30" s="34">
        <v>1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">
      <c r="A31" s="37" t="s">
        <v>156</v>
      </c>
      <c r="B31" s="34">
        <v>4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39">
        <v>0</v>
      </c>
      <c r="C32" s="140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">
      <c r="A33" s="40" t="s">
        <v>177</v>
      </c>
      <c r="B33" s="137">
        <v>13000</v>
      </c>
      <c r="C33" s="138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">
      <c r="A36" s="64" t="s">
        <v>168</v>
      </c>
      <c r="B36" s="121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4">
        <v>0</v>
      </c>
      <c r="C38" s="31">
        <f>IF(B$19=0,0,B38/B$19)</f>
        <v>0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4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">
      <c r="A40" s="37" t="s">
        <v>167</v>
      </c>
      <c r="B40" s="124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1</v>
      </c>
    </row>
    <row r="41" spans="1:9" x14ac:dyDescent="0.4">
      <c r="A41" s="37" t="s">
        <v>169</v>
      </c>
      <c r="B41" s="124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4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4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4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">
      <c r="A45" s="37" t="s">
        <v>173</v>
      </c>
      <c r="B45" s="124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">
      <c r="A46" s="37" t="s">
        <v>174</v>
      </c>
      <c r="B46" s="124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4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0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7">
        <v>0</v>
      </c>
      <c r="C50" s="128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">
      <c r="A51" s="39" t="s">
        <v>182</v>
      </c>
      <c r="B51" s="135">
        <v>0</v>
      </c>
      <c r="C51" s="136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19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6F701-FACE-4B31-8697-59EF2E342C38}">
  <sheetPr codeName="Sheet6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189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22</v>
      </c>
      <c r="C2" s="128"/>
      <c r="E2" s="43" t="s">
        <v>66</v>
      </c>
      <c r="F2" s="25" t="s">
        <v>22</v>
      </c>
      <c r="G2" s="13">
        <v>37</v>
      </c>
      <c r="H2" s="106">
        <f>IF(B$51=0,0,G2/B$51)</f>
        <v>0.63793103448275867</v>
      </c>
      <c r="I2" s="67">
        <v>13</v>
      </c>
      <c r="K2" s="3">
        <v>0</v>
      </c>
      <c r="L2" s="72">
        <v>0</v>
      </c>
      <c r="N2" s="88" t="s">
        <v>126</v>
      </c>
      <c r="O2" s="95">
        <f t="shared" ref="O2:O7" si="0">IF(P2=0,0,Q2/P2)</f>
        <v>-3113.6363636363635</v>
      </c>
      <c r="P2" s="92">
        <v>22</v>
      </c>
      <c r="Q2" s="76">
        <v>-68500</v>
      </c>
    </row>
    <row r="3" spans="1:17" x14ac:dyDescent="0.4">
      <c r="A3" s="37" t="s">
        <v>8</v>
      </c>
      <c r="B3" s="129">
        <v>179</v>
      </c>
      <c r="C3" s="130"/>
      <c r="E3" s="44" t="s">
        <v>64</v>
      </c>
      <c r="F3" s="41" t="s">
        <v>20</v>
      </c>
      <c r="G3" s="34">
        <v>34</v>
      </c>
      <c r="H3" s="107">
        <f>IF(B$51=0,0,G3/B$51)</f>
        <v>0.58620689655172409</v>
      </c>
      <c r="I3" s="68">
        <v>6</v>
      </c>
      <c r="K3" s="5">
        <v>1</v>
      </c>
      <c r="L3" s="73">
        <v>7</v>
      </c>
      <c r="N3" s="89" t="s">
        <v>127</v>
      </c>
      <c r="O3" s="96">
        <f t="shared" si="0"/>
        <v>-614.28571428571433</v>
      </c>
      <c r="P3" s="93">
        <v>21</v>
      </c>
      <c r="Q3" s="77">
        <v>-12900</v>
      </c>
    </row>
    <row r="4" spans="1:17" x14ac:dyDescent="0.4">
      <c r="A4" s="37" t="s">
        <v>6</v>
      </c>
      <c r="B4" s="131">
        <v>-71.099999999999994</v>
      </c>
      <c r="C4" s="132"/>
      <c r="E4" s="44" t="s">
        <v>67</v>
      </c>
      <c r="F4" s="41" t="s">
        <v>23</v>
      </c>
      <c r="G4" s="34">
        <v>28</v>
      </c>
      <c r="H4" s="107">
        <f>IF(B$51=0,0,G4/B$51)</f>
        <v>0.48275862068965519</v>
      </c>
      <c r="I4" s="68">
        <v>3</v>
      </c>
      <c r="K4" s="5">
        <v>2</v>
      </c>
      <c r="L4" s="73">
        <v>-24.5</v>
      </c>
      <c r="N4" s="89" t="s">
        <v>128</v>
      </c>
      <c r="O4" s="96">
        <f t="shared" si="0"/>
        <v>-2495.2380952380954</v>
      </c>
      <c r="P4" s="93">
        <v>21</v>
      </c>
      <c r="Q4" s="77">
        <v>-52400</v>
      </c>
    </row>
    <row r="5" spans="1:17" x14ac:dyDescent="0.4">
      <c r="A5" s="37" t="s">
        <v>7</v>
      </c>
      <c r="B5" s="133">
        <f>IF(B$2=0,0,B$4/B$2)</f>
        <v>-3.2318181818181815</v>
      </c>
      <c r="C5" s="134"/>
      <c r="E5" s="44" t="s">
        <v>72</v>
      </c>
      <c r="F5" s="41" t="s">
        <v>27</v>
      </c>
      <c r="G5" s="34">
        <v>26</v>
      </c>
      <c r="H5" s="107">
        <f>IF(B$51=0,0,G5/B$51)</f>
        <v>0.44827586206896552</v>
      </c>
      <c r="I5" s="68">
        <v>15</v>
      </c>
      <c r="K5" s="5">
        <v>3</v>
      </c>
      <c r="L5" s="73">
        <v>-26.5</v>
      </c>
      <c r="N5" s="89" t="s">
        <v>129</v>
      </c>
      <c r="O5" s="96">
        <f t="shared" si="0"/>
        <v>1911.1111111111111</v>
      </c>
      <c r="P5" s="93">
        <v>18</v>
      </c>
      <c r="Q5" s="77">
        <v>34400</v>
      </c>
    </row>
    <row r="6" spans="1:17" x14ac:dyDescent="0.4">
      <c r="A6" s="37" t="s">
        <v>1</v>
      </c>
      <c r="B6" s="141">
        <f>IF(B$2=0,0,(B$7*1+B$8*2+B$9*3)/B$2)</f>
        <v>2.0454545454545454</v>
      </c>
      <c r="C6" s="142"/>
      <c r="E6" s="44" t="s">
        <v>68</v>
      </c>
      <c r="F6" s="41" t="s">
        <v>12</v>
      </c>
      <c r="G6" s="34">
        <v>23</v>
      </c>
      <c r="H6" s="107">
        <f>IF(B$51=0,0,G6/B$51)</f>
        <v>0.39655172413793105</v>
      </c>
      <c r="I6" s="68">
        <v>3</v>
      </c>
      <c r="K6" s="5">
        <v>4</v>
      </c>
      <c r="L6" s="73">
        <v>-15.5</v>
      </c>
      <c r="N6" s="89" t="s">
        <v>130</v>
      </c>
      <c r="O6" s="96">
        <f t="shared" si="0"/>
        <v>1681.25</v>
      </c>
      <c r="P6" s="93">
        <v>16</v>
      </c>
      <c r="Q6" s="77">
        <v>26900</v>
      </c>
    </row>
    <row r="7" spans="1:17" x14ac:dyDescent="0.4">
      <c r="A7" s="37" t="s">
        <v>2</v>
      </c>
      <c r="B7" s="34">
        <v>7</v>
      </c>
      <c r="C7" s="31">
        <f t="shared" ref="C7:C14" si="1">IF(B$2=0,0,B7/B$2)</f>
        <v>0.31818181818181818</v>
      </c>
      <c r="E7" s="44" t="s">
        <v>157</v>
      </c>
      <c r="F7" s="41" t="s">
        <v>158</v>
      </c>
      <c r="G7" s="34">
        <v>14</v>
      </c>
      <c r="H7" s="107">
        <f>IF(B$51=0,0,G7/B$51)</f>
        <v>0.2413793103448276</v>
      </c>
      <c r="I7" s="68">
        <v>14</v>
      </c>
      <c r="K7" s="5">
        <v>5</v>
      </c>
      <c r="L7" s="73">
        <v>2.1000000000000014</v>
      </c>
      <c r="N7" s="90" t="s">
        <v>131</v>
      </c>
      <c r="O7" s="97">
        <f t="shared" si="0"/>
        <v>978.57142857142856</v>
      </c>
      <c r="P7" s="94">
        <v>14</v>
      </c>
      <c r="Q7" s="78">
        <v>13700</v>
      </c>
    </row>
    <row r="8" spans="1:17" x14ac:dyDescent="0.4">
      <c r="A8" s="37" t="s">
        <v>3</v>
      </c>
      <c r="B8" s="34">
        <v>7</v>
      </c>
      <c r="C8" s="31">
        <f t="shared" si="1"/>
        <v>0.31818181818181818</v>
      </c>
      <c r="E8" s="44" t="s">
        <v>65</v>
      </c>
      <c r="F8" s="41" t="s">
        <v>21</v>
      </c>
      <c r="G8" s="34">
        <v>9</v>
      </c>
      <c r="H8" s="107">
        <f>IF(B$51=0,0,G8/B$51)</f>
        <v>0.15517241379310345</v>
      </c>
      <c r="I8" s="68">
        <v>2</v>
      </c>
      <c r="K8" s="5">
        <v>6</v>
      </c>
      <c r="L8" s="73">
        <v>12.3</v>
      </c>
      <c r="N8" s="33"/>
      <c r="O8" s="101"/>
      <c r="P8" s="85"/>
      <c r="Q8" s="83"/>
    </row>
    <row r="9" spans="1:17" x14ac:dyDescent="0.4">
      <c r="A9" s="38" t="s">
        <v>4</v>
      </c>
      <c r="B9" s="35">
        <v>8</v>
      </c>
      <c r="C9" s="7">
        <f t="shared" si="1"/>
        <v>0.36363636363636365</v>
      </c>
      <c r="E9" s="44" t="s">
        <v>69</v>
      </c>
      <c r="F9" s="41" t="s">
        <v>24</v>
      </c>
      <c r="G9" s="34">
        <v>6</v>
      </c>
      <c r="H9" s="107">
        <f>IF(B$51=0,0,G9/B$51)</f>
        <v>0.10344827586206896</v>
      </c>
      <c r="I9" s="68">
        <v>16</v>
      </c>
      <c r="K9" s="5">
        <v>7</v>
      </c>
      <c r="L9" s="73">
        <v>4.8999999999999986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49">
        <f>IF(B7=0,0,C10/B7)</f>
        <v>27.028571428571432</v>
      </c>
      <c r="C10" s="150">
        <v>189.20000000000002</v>
      </c>
      <c r="E10" s="44" t="s">
        <v>70</v>
      </c>
      <c r="F10" s="41" t="s">
        <v>25</v>
      </c>
      <c r="G10" s="34">
        <v>6</v>
      </c>
      <c r="H10" s="107">
        <f>IF(B$51=0,0,G10/B$51)</f>
        <v>0.10344827586206896</v>
      </c>
      <c r="I10" s="68">
        <v>8</v>
      </c>
      <c r="K10" s="5">
        <v>8</v>
      </c>
      <c r="L10" s="73">
        <v>37.6</v>
      </c>
      <c r="N10" s="88" t="s">
        <v>149</v>
      </c>
      <c r="O10" s="98">
        <f>IF(P10=0,0,Q10/P10)</f>
        <v>-13.719999999999999</v>
      </c>
      <c r="P10" s="92">
        <v>5</v>
      </c>
      <c r="Q10" s="80">
        <v>-68.599999999999994</v>
      </c>
    </row>
    <row r="11" spans="1:17" x14ac:dyDescent="0.4">
      <c r="A11" s="38" t="s">
        <v>204</v>
      </c>
      <c r="B11" s="149">
        <f>IF(B8=0,0,C11/B8)</f>
        <v>2.5428571428571423</v>
      </c>
      <c r="C11" s="150">
        <v>17.799999999999997</v>
      </c>
      <c r="E11" s="44" t="s">
        <v>89</v>
      </c>
      <c r="F11" s="41" t="s">
        <v>44</v>
      </c>
      <c r="G11" s="34">
        <v>5</v>
      </c>
      <c r="H11" s="107">
        <f>IF(B$51=0,0,G11/B$51)</f>
        <v>8.6206896551724144E-2</v>
      </c>
      <c r="I11" s="68">
        <v>15</v>
      </c>
      <c r="K11" s="5">
        <v>9</v>
      </c>
      <c r="L11" s="73">
        <v>13.100000000000001</v>
      </c>
      <c r="N11" s="89" t="s">
        <v>150</v>
      </c>
      <c r="O11" s="99">
        <f>IF(P11=0,0,Q11/P11)</f>
        <v>0.2700000000000003</v>
      </c>
      <c r="P11" s="93">
        <v>10</v>
      </c>
      <c r="Q11" s="81">
        <v>2.7000000000000028</v>
      </c>
    </row>
    <row r="12" spans="1:17" x14ac:dyDescent="0.4">
      <c r="A12" s="38" t="s">
        <v>205</v>
      </c>
      <c r="B12" s="149">
        <f>IF(B9=0,0,C12/B9)</f>
        <v>-34.762500000000003</v>
      </c>
      <c r="C12" s="150">
        <v>-278.10000000000002</v>
      </c>
      <c r="E12" s="44" t="s">
        <v>83</v>
      </c>
      <c r="F12" s="41" t="s">
        <v>38</v>
      </c>
      <c r="G12" s="34">
        <v>3</v>
      </c>
      <c r="H12" s="107">
        <f>IF(B$51=0,0,G12/B$51)</f>
        <v>5.1724137931034482E-2</v>
      </c>
      <c r="I12" s="68">
        <v>7</v>
      </c>
      <c r="K12" s="5">
        <v>10</v>
      </c>
      <c r="L12" s="73">
        <v>-33.299999999999997</v>
      </c>
      <c r="N12" s="90" t="s">
        <v>151</v>
      </c>
      <c r="O12" s="100">
        <f>IF(P12=0,0,Q12/P12)</f>
        <v>-0.74285714285714322</v>
      </c>
      <c r="P12" s="94">
        <v>7</v>
      </c>
      <c r="Q12" s="82">
        <v>-5.2000000000000028</v>
      </c>
    </row>
    <row r="13" spans="1:17" x14ac:dyDescent="0.4">
      <c r="A13" s="38" t="s">
        <v>206</v>
      </c>
      <c r="B13" s="133">
        <f>AVERAGE(B10:B12)</f>
        <v>-1.7303571428571434</v>
      </c>
      <c r="C13" s="134"/>
      <c r="E13" s="44" t="s">
        <v>71</v>
      </c>
      <c r="F13" s="41" t="s">
        <v>26</v>
      </c>
      <c r="G13" s="34">
        <v>2</v>
      </c>
      <c r="H13" s="107">
        <f>IF(B$51=0,0,G13/B$51)</f>
        <v>3.4482758620689655E-2</v>
      </c>
      <c r="I13" s="68">
        <v>14</v>
      </c>
      <c r="K13" s="5">
        <v>11</v>
      </c>
      <c r="L13" s="73">
        <v>7.6000000000000014</v>
      </c>
      <c r="N13" s="28"/>
      <c r="O13" s="84"/>
      <c r="P13" s="86"/>
      <c r="Q13" s="84"/>
    </row>
    <row r="14" spans="1:17" x14ac:dyDescent="0.4">
      <c r="A14" s="39" t="s">
        <v>18</v>
      </c>
      <c r="B14" s="36">
        <v>3</v>
      </c>
      <c r="C14" s="32">
        <f t="shared" si="1"/>
        <v>0.13636363636363635</v>
      </c>
      <c r="E14" s="44" t="s">
        <v>75</v>
      </c>
      <c r="F14" s="41" t="s">
        <v>30</v>
      </c>
      <c r="G14" s="34">
        <v>2</v>
      </c>
      <c r="H14" s="107">
        <f>IF(B$51=0,0,G14/B$51)</f>
        <v>3.4482758620689655E-2</v>
      </c>
      <c r="I14" s="68">
        <v>1</v>
      </c>
      <c r="K14" s="5">
        <v>12</v>
      </c>
      <c r="L14" s="73">
        <v>25.799999999999997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62</v>
      </c>
      <c r="C15" s="11">
        <f>IF(B$50=0,0,B15/B$50)</f>
        <v>0.35632183908045978</v>
      </c>
      <c r="E15" s="44" t="s">
        <v>79</v>
      </c>
      <c r="F15" s="41" t="s">
        <v>34</v>
      </c>
      <c r="G15" s="34">
        <v>2</v>
      </c>
      <c r="H15" s="107">
        <f>IF(B$51=0,0,G15/B$51)</f>
        <v>3.4482758620689655E-2</v>
      </c>
      <c r="I15" s="68">
        <v>2</v>
      </c>
      <c r="K15" s="5">
        <v>13</v>
      </c>
      <c r="L15" s="73">
        <v>64.199999999999989</v>
      </c>
      <c r="N15" s="88" t="s">
        <v>187</v>
      </c>
      <c r="O15" s="98">
        <f>IF(P15=0,0,Q15/P15)</f>
        <v>32.325000000000003</v>
      </c>
      <c r="P15" s="92">
        <v>4</v>
      </c>
      <c r="Q15" s="80">
        <v>129.30000000000001</v>
      </c>
    </row>
    <row r="16" spans="1:17" x14ac:dyDescent="0.4">
      <c r="A16" s="37" t="s">
        <v>118</v>
      </c>
      <c r="B16" s="34">
        <v>21</v>
      </c>
      <c r="C16" s="31">
        <f>IF(B$50=0,0,B16/B$50)</f>
        <v>0.1206896551724138</v>
      </c>
      <c r="E16" s="44" t="s">
        <v>85</v>
      </c>
      <c r="F16" s="41" t="s">
        <v>40</v>
      </c>
      <c r="G16" s="34">
        <v>2</v>
      </c>
      <c r="H16" s="107">
        <f>IF(B$51=0,0,G16/B$51)</f>
        <v>3.4482758620689655E-2</v>
      </c>
      <c r="I16" s="68">
        <v>1</v>
      </c>
      <c r="K16" s="5">
        <v>14</v>
      </c>
      <c r="L16" s="73">
        <v>70.599999999999994</v>
      </c>
      <c r="N16" s="89" t="s">
        <v>184</v>
      </c>
      <c r="O16" s="99">
        <f>IF(P16=0,0,Q16/P16)</f>
        <v>29</v>
      </c>
      <c r="P16" s="93">
        <v>1</v>
      </c>
      <c r="Q16" s="81">
        <v>29</v>
      </c>
    </row>
    <row r="17" spans="1:17" x14ac:dyDescent="0.4">
      <c r="A17" s="19" t="s">
        <v>123</v>
      </c>
      <c r="B17" s="13">
        <v>33</v>
      </c>
      <c r="C17" s="4">
        <f>IF(B$15=0,0,B17/B$15)</f>
        <v>0.532258064516129</v>
      </c>
      <c r="E17" s="44" t="s">
        <v>86</v>
      </c>
      <c r="F17" s="41" t="s">
        <v>41</v>
      </c>
      <c r="G17" s="34">
        <v>2</v>
      </c>
      <c r="H17" s="107">
        <f>IF(B$51=0,0,G17/B$51)</f>
        <v>3.4482758620689655E-2</v>
      </c>
      <c r="I17" s="68">
        <v>14</v>
      </c>
      <c r="K17" s="5">
        <v>15</v>
      </c>
      <c r="L17" s="73">
        <v>38.699999999999996</v>
      </c>
      <c r="N17" s="89" t="s">
        <v>197</v>
      </c>
      <c r="O17" s="99">
        <f>IF(P17=0,0,Q17/P17)</f>
        <v>12.000000000000002</v>
      </c>
      <c r="P17" s="93">
        <v>1</v>
      </c>
      <c r="Q17" s="81">
        <v>12.000000000000002</v>
      </c>
    </row>
    <row r="18" spans="1:17" x14ac:dyDescent="0.4">
      <c r="A18" s="19" t="s">
        <v>124</v>
      </c>
      <c r="B18" s="13">
        <v>15</v>
      </c>
      <c r="C18" s="4">
        <f>IF(B$16=0,0,B18/B$16)</f>
        <v>0.7142857142857143</v>
      </c>
      <c r="E18" s="44" t="s">
        <v>73</v>
      </c>
      <c r="F18" s="41" t="s">
        <v>28</v>
      </c>
      <c r="G18" s="34">
        <v>0</v>
      </c>
      <c r="H18" s="107">
        <f>IF(B$51=0,0,G18/B$51)</f>
        <v>0</v>
      </c>
      <c r="I18" s="68">
        <v>12</v>
      </c>
      <c r="K18" s="5">
        <v>16</v>
      </c>
      <c r="L18" s="73">
        <v>-10.600000000000001</v>
      </c>
      <c r="N18" s="89" t="s">
        <v>191</v>
      </c>
      <c r="O18" s="99">
        <f>IF(P18=0,0,Q18/P18)</f>
        <v>3.1538461538461542</v>
      </c>
      <c r="P18" s="93">
        <v>13</v>
      </c>
      <c r="Q18" s="81">
        <v>41.000000000000007</v>
      </c>
    </row>
    <row r="19" spans="1:17" x14ac:dyDescent="0.4">
      <c r="A19" s="19" t="s">
        <v>10</v>
      </c>
      <c r="B19" s="13">
        <v>60</v>
      </c>
      <c r="C19" s="4">
        <f>IF(B$3=0,0,B19/B$3)</f>
        <v>0.33519553072625696</v>
      </c>
      <c r="E19" s="44" t="s">
        <v>74</v>
      </c>
      <c r="F19" s="41" t="s">
        <v>29</v>
      </c>
      <c r="G19" s="34">
        <v>0</v>
      </c>
      <c r="H19" s="107">
        <f>IF(B$51=0,0,G19/B$51)</f>
        <v>0</v>
      </c>
      <c r="I19" s="68">
        <v>10</v>
      </c>
      <c r="K19" s="5">
        <v>17</v>
      </c>
      <c r="L19" s="73">
        <v>-63.1</v>
      </c>
      <c r="N19" s="89" t="s">
        <v>193</v>
      </c>
      <c r="O19" s="99">
        <f>IF(P19=0,0,Q19/P19)</f>
        <v>2.8600000000000012</v>
      </c>
      <c r="P19" s="93">
        <v>5</v>
      </c>
      <c r="Q19" s="81">
        <v>14.300000000000006</v>
      </c>
    </row>
    <row r="20" spans="1:17" x14ac:dyDescent="0.4">
      <c r="A20" s="37" t="s">
        <v>13</v>
      </c>
      <c r="B20" s="34">
        <v>29</v>
      </c>
      <c r="C20" s="31">
        <f>IF(B$3=0,0,B20/B$3)</f>
        <v>0.16201117318435754</v>
      </c>
      <c r="E20" s="44" t="s">
        <v>76</v>
      </c>
      <c r="F20" s="41" t="s">
        <v>31</v>
      </c>
      <c r="G20" s="34">
        <v>0</v>
      </c>
      <c r="H20" s="107">
        <f>IF(B$51=0,0,G20/B$51)</f>
        <v>0</v>
      </c>
      <c r="I20" s="68">
        <v>1</v>
      </c>
      <c r="K20" s="5">
        <v>18</v>
      </c>
      <c r="L20" s="73">
        <v>-71</v>
      </c>
      <c r="N20" s="89" t="s">
        <v>186</v>
      </c>
      <c r="O20" s="99">
        <f>IF(P20=0,0,Q20/P20)</f>
        <v>-0.16666666666666882</v>
      </c>
      <c r="P20" s="93">
        <v>3</v>
      </c>
      <c r="Q20" s="81">
        <v>-0.50000000000000644</v>
      </c>
    </row>
    <row r="21" spans="1:17" x14ac:dyDescent="0.4">
      <c r="A21" s="37" t="s">
        <v>12</v>
      </c>
      <c r="B21" s="34">
        <v>31</v>
      </c>
      <c r="C21" s="31">
        <f>IF(B$19=0,0,B21/B$19)</f>
        <v>0.51666666666666672</v>
      </c>
      <c r="E21" s="44" t="s">
        <v>77</v>
      </c>
      <c r="F21" s="41" t="s">
        <v>32</v>
      </c>
      <c r="G21" s="34">
        <v>0</v>
      </c>
      <c r="H21" s="107">
        <f>IF(B$51=0,0,G21/B$51)</f>
        <v>0</v>
      </c>
      <c r="I21" s="68">
        <v>9</v>
      </c>
      <c r="K21" s="5">
        <v>19</v>
      </c>
      <c r="L21" s="73">
        <v>-40.6</v>
      </c>
      <c r="N21" s="89" t="s">
        <v>190</v>
      </c>
      <c r="O21" s="99">
        <f>IF(P21=0,0,Q21/P21)</f>
        <v>-0.34285714285714569</v>
      </c>
      <c r="P21" s="93">
        <v>7</v>
      </c>
      <c r="Q21" s="81">
        <v>-2.4000000000000199</v>
      </c>
    </row>
    <row r="22" spans="1:17" x14ac:dyDescent="0.4">
      <c r="A22" s="37" t="s">
        <v>11</v>
      </c>
      <c r="B22" s="34">
        <v>29</v>
      </c>
      <c r="C22" s="31">
        <f>IF(B$19=0,0,B22/B$19)</f>
        <v>0.48333333333333334</v>
      </c>
      <c r="E22" s="44" t="s">
        <v>78</v>
      </c>
      <c r="F22" s="41" t="s">
        <v>33</v>
      </c>
      <c r="G22" s="34">
        <v>0</v>
      </c>
      <c r="H22" s="107">
        <f>IF(B$51=0,0,G22/B$51)</f>
        <v>0</v>
      </c>
      <c r="I22" s="68">
        <v>14</v>
      </c>
      <c r="K22" s="5">
        <v>20</v>
      </c>
      <c r="L22" s="73">
        <v>-29.1</v>
      </c>
      <c r="N22" s="89" t="s">
        <v>195</v>
      </c>
      <c r="O22" s="99">
        <f>IF(P22=0,0,Q22/P22)</f>
        <v>-37.75714285714286</v>
      </c>
      <c r="P22" s="93">
        <v>7</v>
      </c>
      <c r="Q22" s="81">
        <v>-264.3</v>
      </c>
    </row>
    <row r="23" spans="1:17" x14ac:dyDescent="0.4">
      <c r="A23" s="37" t="s">
        <v>180</v>
      </c>
      <c r="B23" s="34">
        <v>33</v>
      </c>
      <c r="C23" s="31">
        <f>IF(B$19=0,0,B23/B$19)</f>
        <v>0.55000000000000004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-46.2</v>
      </c>
      <c r="N23" s="89" t="s">
        <v>188</v>
      </c>
      <c r="O23" s="99">
        <f>IF(P23=0,0,Q23/P23)</f>
        <v>-57.233333333333327</v>
      </c>
      <c r="P23" s="93">
        <v>3</v>
      </c>
      <c r="Q23" s="81">
        <v>-171.7</v>
      </c>
    </row>
    <row r="24" spans="1:17" x14ac:dyDescent="0.4">
      <c r="A24" s="37" t="s">
        <v>178</v>
      </c>
      <c r="B24" s="34">
        <v>15</v>
      </c>
      <c r="C24" s="31">
        <f>IF(B$19=0,0,B24/B$19)</f>
        <v>0.25</v>
      </c>
      <c r="E24" s="44" t="s">
        <v>81</v>
      </c>
      <c r="F24" s="41" t="s">
        <v>36</v>
      </c>
      <c r="G24" s="34">
        <v>0</v>
      </c>
      <c r="H24" s="107">
        <f>IF(B$51=0,0,G24/B$51)</f>
        <v>0</v>
      </c>
      <c r="I24" s="68">
        <v>15</v>
      </c>
      <c r="K24" s="5">
        <v>22</v>
      </c>
      <c r="L24" s="73">
        <v>-71.099999999999994</v>
      </c>
    </row>
    <row r="25" spans="1:17" x14ac:dyDescent="0.4">
      <c r="A25" s="37" t="s">
        <v>179</v>
      </c>
      <c r="B25" s="34">
        <v>12</v>
      </c>
      <c r="C25" s="31">
        <f>IF(B$19=0,0,B25/B$19)</f>
        <v>0.2</v>
      </c>
      <c r="E25" s="44" t="s">
        <v>82</v>
      </c>
      <c r="F25" s="41" t="s">
        <v>37</v>
      </c>
      <c r="G25" s="34">
        <v>0</v>
      </c>
      <c r="H25" s="107">
        <f>IF(B$51=0,0,G25/B$51)</f>
        <v>0</v>
      </c>
      <c r="I25" s="68">
        <v>1</v>
      </c>
    </row>
    <row r="26" spans="1:17" x14ac:dyDescent="0.4">
      <c r="A26" s="37" t="s">
        <v>5</v>
      </c>
      <c r="B26" s="17">
        <f>IF(B$19=0,0,C26/B$19)</f>
        <v>7216.666666666667</v>
      </c>
      <c r="C26" s="8">
        <v>433000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</row>
    <row r="27" spans="1:17" x14ac:dyDescent="0.4">
      <c r="A27" s="38" t="s">
        <v>162</v>
      </c>
      <c r="B27" s="114">
        <f>IF($B$19-B$18=0,0,C27/($B$19-B$18))</f>
        <v>7697.7777777777774</v>
      </c>
      <c r="C27" s="115">
        <v>346400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</row>
    <row r="28" spans="1:17" x14ac:dyDescent="0.4">
      <c r="A28" s="38" t="s">
        <v>163</v>
      </c>
      <c r="B28" s="114">
        <f>IF(B$18=0,0,C28/B$18)</f>
        <v>5773.333333333333</v>
      </c>
      <c r="C28" s="115">
        <v>86600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17" x14ac:dyDescent="0.4">
      <c r="A29" s="38" t="s">
        <v>161</v>
      </c>
      <c r="B29" s="114">
        <f>IF(B$20=0,0,C29/B$20)</f>
        <v>-8741.3793103448279</v>
      </c>
      <c r="C29" s="115">
        <v>-253500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17" x14ac:dyDescent="0.4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17" x14ac:dyDescent="0.4">
      <c r="A31" s="37" t="s">
        <v>156</v>
      </c>
      <c r="B31" s="34">
        <v>20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39">
        <v>7</v>
      </c>
      <c r="C32" s="140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7">
        <v>65900</v>
      </c>
      <c r="C33" s="138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2</v>
      </c>
      <c r="C34" s="32">
        <f>IF(B$3=0,0,B34/B$3)</f>
        <v>1.11731843575419E-2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1">
        <v>6</v>
      </c>
      <c r="C36" s="119">
        <f>IF(B$19=0,0,B36/B$19)</f>
        <v>0.1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15</v>
      </c>
      <c r="C37" s="31">
        <f t="shared" ref="C37:C48" si="2">IF(B$19=0,0,B37/B$19)</f>
        <v>0.25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4">
        <v>8</v>
      </c>
      <c r="C38" s="31">
        <f>IF(B$19=0,0,B38/B$19)</f>
        <v>0.13333333333333333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4">
        <v>9</v>
      </c>
      <c r="C39" s="31">
        <f t="shared" si="2"/>
        <v>0.15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4">
        <v>11</v>
      </c>
      <c r="C40" s="31">
        <f t="shared" si="2"/>
        <v>0.18333333333333332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4">
        <v>3</v>
      </c>
      <c r="C41" s="31">
        <f t="shared" si="2"/>
        <v>0.05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4">
        <v>3</v>
      </c>
      <c r="C42" s="31">
        <f t="shared" si="2"/>
        <v>0.05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4">
        <v>1</v>
      </c>
      <c r="C43" s="31">
        <f t="shared" si="2"/>
        <v>1.6666666666666666E-2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4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4">
        <v>2</v>
      </c>
      <c r="C45" s="31">
        <f t="shared" si="2"/>
        <v>3.3333333333333333E-2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4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4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0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7">
        <v>174</v>
      </c>
      <c r="C50" s="128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35">
        <v>58</v>
      </c>
      <c r="C51" s="136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3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194BF-2A7D-4EFA-B365-B64AE5F26FEF}">
  <sheetPr codeName="Sheet7"/>
  <dimension ref="A1:Q409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190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407</v>
      </c>
      <c r="C2" s="128"/>
      <c r="E2" s="43" t="s">
        <v>66</v>
      </c>
      <c r="F2" s="25" t="s">
        <v>22</v>
      </c>
      <c r="G2" s="13">
        <v>601</v>
      </c>
      <c r="H2" s="106">
        <f>IF(B$51=0,0,G2/B$51)</f>
        <v>0.72235576923076927</v>
      </c>
      <c r="I2" s="67">
        <v>8</v>
      </c>
      <c r="K2" s="3">
        <v>0</v>
      </c>
      <c r="L2" s="72">
        <v>0</v>
      </c>
      <c r="N2" s="88" t="s">
        <v>126</v>
      </c>
      <c r="O2" s="95">
        <f t="shared" ref="O2:O7" si="0">IF(P2=0,0,Q2/P2)</f>
        <v>-266.33663366336634</v>
      </c>
      <c r="P2" s="92">
        <v>404</v>
      </c>
      <c r="Q2" s="76">
        <v>-107600</v>
      </c>
    </row>
    <row r="3" spans="1:17" x14ac:dyDescent="0.4">
      <c r="A3" s="37" t="s">
        <v>8</v>
      </c>
      <c r="B3" s="129">
        <v>3325</v>
      </c>
      <c r="C3" s="130"/>
      <c r="E3" s="44" t="s">
        <v>64</v>
      </c>
      <c r="F3" s="41" t="s">
        <v>20</v>
      </c>
      <c r="G3" s="34">
        <v>489</v>
      </c>
      <c r="H3" s="107">
        <f>IF(B$51=0,0,G3/B$51)</f>
        <v>0.58774038461538458</v>
      </c>
      <c r="I3" s="68">
        <v>5</v>
      </c>
      <c r="K3" s="5">
        <v>1</v>
      </c>
      <c r="L3" s="73">
        <v>40.9</v>
      </c>
      <c r="N3" s="89" t="s">
        <v>127</v>
      </c>
      <c r="O3" s="96">
        <f t="shared" si="0"/>
        <v>-1242.7848101265822</v>
      </c>
      <c r="P3" s="93">
        <v>395</v>
      </c>
      <c r="Q3" s="77">
        <v>-490900</v>
      </c>
    </row>
    <row r="4" spans="1:17" x14ac:dyDescent="0.4">
      <c r="A4" s="37" t="s">
        <v>6</v>
      </c>
      <c r="B4" s="131">
        <v>-1836.8999999999996</v>
      </c>
      <c r="C4" s="132"/>
      <c r="E4" s="44" t="s">
        <v>72</v>
      </c>
      <c r="F4" s="41" t="s">
        <v>27</v>
      </c>
      <c r="G4" s="34">
        <v>396</v>
      </c>
      <c r="H4" s="107">
        <f>IF(B$51=0,0,G4/B$51)</f>
        <v>0.47596153846153844</v>
      </c>
      <c r="I4" s="68">
        <v>13</v>
      </c>
      <c r="K4" s="5">
        <v>2</v>
      </c>
      <c r="L4" s="73">
        <v>-0.89999999999999858</v>
      </c>
      <c r="N4" s="89" t="s">
        <v>128</v>
      </c>
      <c r="O4" s="96">
        <f t="shared" si="0"/>
        <v>337.66578249336868</v>
      </c>
      <c r="P4" s="93">
        <v>377</v>
      </c>
      <c r="Q4" s="77">
        <v>127300</v>
      </c>
    </row>
    <row r="5" spans="1:17" x14ac:dyDescent="0.4">
      <c r="A5" s="37" t="s">
        <v>7</v>
      </c>
      <c r="B5" s="133">
        <f>IF(B$2=0,0,B$4/B$2)</f>
        <v>-4.5132678132678121</v>
      </c>
      <c r="C5" s="134"/>
      <c r="E5" s="44" t="s">
        <v>68</v>
      </c>
      <c r="F5" s="41" t="s">
        <v>12</v>
      </c>
      <c r="G5" s="34">
        <v>301</v>
      </c>
      <c r="H5" s="107">
        <f>IF(B$51=0,0,G5/B$51)</f>
        <v>0.36177884615384615</v>
      </c>
      <c r="I5" s="68">
        <v>4</v>
      </c>
      <c r="K5" s="5">
        <v>3</v>
      </c>
      <c r="L5" s="73">
        <v>-36.4</v>
      </c>
      <c r="N5" s="89" t="s">
        <v>129</v>
      </c>
      <c r="O5" s="96">
        <f t="shared" si="0"/>
        <v>-676.87861271676297</v>
      </c>
      <c r="P5" s="93">
        <v>346</v>
      </c>
      <c r="Q5" s="77">
        <v>-234200</v>
      </c>
    </row>
    <row r="6" spans="1:17" x14ac:dyDescent="0.4">
      <c r="A6" s="37" t="s">
        <v>1</v>
      </c>
      <c r="B6" s="141">
        <f>IF(B$2=0,0,(B$7*1+B$8*2+B$9*3)/B$2)</f>
        <v>2.117936117936118</v>
      </c>
      <c r="C6" s="142"/>
      <c r="E6" s="44" t="s">
        <v>67</v>
      </c>
      <c r="F6" s="41" t="s">
        <v>23</v>
      </c>
      <c r="G6" s="34">
        <v>281</v>
      </c>
      <c r="H6" s="107">
        <f>IF(B$51=0,0,G6/B$51)</f>
        <v>0.33774038461538464</v>
      </c>
      <c r="I6" s="68">
        <v>8</v>
      </c>
      <c r="K6" s="5">
        <v>4</v>
      </c>
      <c r="L6" s="73">
        <v>3.6000000000000014</v>
      </c>
      <c r="N6" s="89" t="s">
        <v>130</v>
      </c>
      <c r="O6" s="96">
        <f t="shared" si="0"/>
        <v>-1288.0258899676376</v>
      </c>
      <c r="P6" s="93">
        <v>309</v>
      </c>
      <c r="Q6" s="77">
        <v>-398000</v>
      </c>
    </row>
    <row r="7" spans="1:17" x14ac:dyDescent="0.4">
      <c r="A7" s="37" t="s">
        <v>2</v>
      </c>
      <c r="B7" s="34">
        <v>106</v>
      </c>
      <c r="C7" s="31">
        <f t="shared" ref="C7:C14" si="1">IF(B$2=0,0,B7/B$2)</f>
        <v>0.26044226044226043</v>
      </c>
      <c r="E7" s="44" t="s">
        <v>157</v>
      </c>
      <c r="F7" s="41" t="s">
        <v>158</v>
      </c>
      <c r="G7" s="34">
        <v>255</v>
      </c>
      <c r="H7" s="107">
        <f>IF(B$51=0,0,G7/B$51)</f>
        <v>0.30649038461538464</v>
      </c>
      <c r="I7" s="68">
        <v>10</v>
      </c>
      <c r="K7" s="5">
        <v>5</v>
      </c>
      <c r="L7" s="73">
        <v>14.600000000000001</v>
      </c>
      <c r="N7" s="90" t="s">
        <v>131</v>
      </c>
      <c r="O7" s="97">
        <f t="shared" si="0"/>
        <v>-1065.909090909091</v>
      </c>
      <c r="P7" s="94">
        <v>264</v>
      </c>
      <c r="Q7" s="78">
        <v>-281400</v>
      </c>
    </row>
    <row r="8" spans="1:17" x14ac:dyDescent="0.4">
      <c r="A8" s="37" t="s">
        <v>3</v>
      </c>
      <c r="B8" s="34">
        <v>147</v>
      </c>
      <c r="C8" s="31">
        <f t="shared" si="1"/>
        <v>0.36117936117936117</v>
      </c>
      <c r="E8" s="44" t="s">
        <v>69</v>
      </c>
      <c r="F8" s="41" t="s">
        <v>24</v>
      </c>
      <c r="G8" s="34">
        <v>150</v>
      </c>
      <c r="H8" s="107">
        <f>IF(B$51=0,0,G8/B$51)</f>
        <v>0.18028846153846154</v>
      </c>
      <c r="I8" s="68">
        <v>3</v>
      </c>
      <c r="K8" s="5">
        <v>6</v>
      </c>
      <c r="L8" s="73">
        <v>47.6</v>
      </c>
      <c r="N8" s="33"/>
      <c r="O8" s="101"/>
      <c r="P8" s="85"/>
      <c r="Q8" s="83"/>
    </row>
    <row r="9" spans="1:17" x14ac:dyDescent="0.4">
      <c r="A9" s="38" t="s">
        <v>4</v>
      </c>
      <c r="B9" s="35">
        <v>154</v>
      </c>
      <c r="C9" s="7">
        <f t="shared" si="1"/>
        <v>0.3783783783783784</v>
      </c>
      <c r="E9" s="44" t="s">
        <v>65</v>
      </c>
      <c r="F9" s="41" t="s">
        <v>21</v>
      </c>
      <c r="G9" s="34">
        <v>114</v>
      </c>
      <c r="H9" s="107">
        <f>IF(B$51=0,0,G9/B$51)</f>
        <v>0.13701923076923078</v>
      </c>
      <c r="I9" s="68">
        <v>4</v>
      </c>
      <c r="K9" s="5">
        <v>7</v>
      </c>
      <c r="L9" s="73">
        <v>100.1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49">
        <f>IF(B7=0,0,C10/B7)</f>
        <v>36.354716981132071</v>
      </c>
      <c r="C10" s="150">
        <v>3853.6</v>
      </c>
      <c r="E10" s="44" t="s">
        <v>89</v>
      </c>
      <c r="F10" s="41" t="s">
        <v>44</v>
      </c>
      <c r="G10" s="34">
        <v>109</v>
      </c>
      <c r="H10" s="107">
        <f>IF(B$51=0,0,G10/B$51)</f>
        <v>0.13100961538461539</v>
      </c>
      <c r="I10" s="68">
        <v>9</v>
      </c>
      <c r="K10" s="5">
        <v>8</v>
      </c>
      <c r="L10" s="73">
        <v>60.199999999999996</v>
      </c>
      <c r="N10" s="88" t="s">
        <v>149</v>
      </c>
      <c r="O10" s="98">
        <f>IF(P10=0,0,Q10/P10)</f>
        <v>-6.8351515151515159</v>
      </c>
      <c r="P10" s="92">
        <v>165</v>
      </c>
      <c r="Q10" s="80">
        <v>-1127.8000000000002</v>
      </c>
    </row>
    <row r="11" spans="1:17" x14ac:dyDescent="0.4">
      <c r="A11" s="38" t="s">
        <v>204</v>
      </c>
      <c r="B11" s="149">
        <f>IF(B8=0,0,C11/B8)</f>
        <v>-0.7292517006802719</v>
      </c>
      <c r="C11" s="150">
        <v>-107.19999999999997</v>
      </c>
      <c r="E11" s="44" t="s">
        <v>70</v>
      </c>
      <c r="F11" s="41" t="s">
        <v>25</v>
      </c>
      <c r="G11" s="34">
        <v>107</v>
      </c>
      <c r="H11" s="107">
        <f>IF(B$51=0,0,G11/B$51)</f>
        <v>0.12860576923076922</v>
      </c>
      <c r="I11" s="68">
        <v>3</v>
      </c>
      <c r="K11" s="5">
        <v>9</v>
      </c>
      <c r="L11" s="73">
        <v>24.4</v>
      </c>
      <c r="N11" s="89" t="s">
        <v>150</v>
      </c>
      <c r="O11" s="99">
        <f>IF(P11=0,0,Q11/P11)</f>
        <v>-4.6377952755905509</v>
      </c>
      <c r="P11" s="93">
        <v>127</v>
      </c>
      <c r="Q11" s="81">
        <v>-589</v>
      </c>
    </row>
    <row r="12" spans="1:17" x14ac:dyDescent="0.4">
      <c r="A12" s="38" t="s">
        <v>205</v>
      </c>
      <c r="B12" s="149">
        <f>IF(B9=0,0,C12/B9)</f>
        <v>-36.255194805194797</v>
      </c>
      <c r="C12" s="150">
        <v>-5583.2999999999993</v>
      </c>
      <c r="E12" s="44" t="s">
        <v>86</v>
      </c>
      <c r="F12" s="41" t="s">
        <v>41</v>
      </c>
      <c r="G12" s="34">
        <v>50</v>
      </c>
      <c r="H12" s="107">
        <f>IF(B$51=0,0,G12/B$51)</f>
        <v>6.0096153846153848E-2</v>
      </c>
      <c r="I12" s="68">
        <v>8</v>
      </c>
      <c r="K12" s="5">
        <v>10</v>
      </c>
      <c r="L12" s="73">
        <v>-20.100000000000001</v>
      </c>
      <c r="N12" s="90" t="s">
        <v>151</v>
      </c>
      <c r="O12" s="100">
        <f>IF(P12=0,0,Q12/P12)</f>
        <v>-1.4921052631578944</v>
      </c>
      <c r="P12" s="94">
        <v>114</v>
      </c>
      <c r="Q12" s="82">
        <v>-170.09999999999997</v>
      </c>
    </row>
    <row r="13" spans="1:17" x14ac:dyDescent="0.4">
      <c r="A13" s="38" t="s">
        <v>206</v>
      </c>
      <c r="B13" s="133">
        <f>AVERAGE(B10:B12)</f>
        <v>-0.20990984158099954</v>
      </c>
      <c r="C13" s="134"/>
      <c r="E13" s="44" t="s">
        <v>83</v>
      </c>
      <c r="F13" s="41" t="s">
        <v>38</v>
      </c>
      <c r="G13" s="34">
        <v>45</v>
      </c>
      <c r="H13" s="107">
        <f>IF(B$51=0,0,G13/B$51)</f>
        <v>5.4086538461538464E-2</v>
      </c>
      <c r="I13" s="68">
        <v>5</v>
      </c>
      <c r="K13" s="5">
        <v>11</v>
      </c>
      <c r="L13" s="73">
        <v>-3.6000000000000014</v>
      </c>
      <c r="N13" s="28"/>
      <c r="O13" s="84"/>
      <c r="P13" s="86"/>
      <c r="Q13" s="84"/>
    </row>
    <row r="14" spans="1:17" x14ac:dyDescent="0.4">
      <c r="A14" s="39" t="s">
        <v>18</v>
      </c>
      <c r="B14" s="36">
        <v>57</v>
      </c>
      <c r="C14" s="32">
        <f t="shared" si="1"/>
        <v>0.14004914004914004</v>
      </c>
      <c r="E14" s="44" t="s">
        <v>71</v>
      </c>
      <c r="F14" s="41" t="s">
        <v>26</v>
      </c>
      <c r="G14" s="34">
        <v>34</v>
      </c>
      <c r="H14" s="107">
        <f>IF(B$51=0,0,G14/B$51)</f>
        <v>4.0865384615384616E-2</v>
      </c>
      <c r="I14" s="68">
        <v>13</v>
      </c>
      <c r="K14" s="5">
        <v>12</v>
      </c>
      <c r="L14" s="73">
        <v>-12.000000000000002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883</v>
      </c>
      <c r="C15" s="11">
        <f>IF(B$50=0,0,B15/B$50)</f>
        <v>0.28818537859007831</v>
      </c>
      <c r="E15" s="44" t="s">
        <v>81</v>
      </c>
      <c r="F15" s="41" t="s">
        <v>36</v>
      </c>
      <c r="G15" s="34">
        <v>26</v>
      </c>
      <c r="H15" s="107">
        <f>IF(B$51=0,0,G15/B$51)</f>
        <v>3.125E-2</v>
      </c>
      <c r="I15" s="68">
        <v>7</v>
      </c>
      <c r="K15" s="5">
        <v>13</v>
      </c>
      <c r="L15" s="73">
        <v>49.5</v>
      </c>
      <c r="N15" s="88" t="s">
        <v>197</v>
      </c>
      <c r="O15" s="98">
        <f>IF(P15=0,0,Q15/P15)</f>
        <v>21.183333333333334</v>
      </c>
      <c r="P15" s="92">
        <v>6</v>
      </c>
      <c r="Q15" s="80">
        <v>127.1</v>
      </c>
    </row>
    <row r="16" spans="1:17" x14ac:dyDescent="0.4">
      <c r="A16" s="37" t="s">
        <v>118</v>
      </c>
      <c r="B16" s="34">
        <v>549</v>
      </c>
      <c r="C16" s="31">
        <f>IF(B$50=0,0,B16/B$50)</f>
        <v>0.179177545691906</v>
      </c>
      <c r="E16" s="44" t="s">
        <v>78</v>
      </c>
      <c r="F16" s="41" t="s">
        <v>33</v>
      </c>
      <c r="G16" s="34">
        <v>21</v>
      </c>
      <c r="H16" s="107">
        <f>IF(B$51=0,0,G16/B$51)</f>
        <v>2.5240384615384616E-2</v>
      </c>
      <c r="I16" s="68">
        <v>9</v>
      </c>
      <c r="K16" s="5">
        <v>14</v>
      </c>
      <c r="L16" s="73">
        <v>33</v>
      </c>
      <c r="N16" s="89" t="s">
        <v>186</v>
      </c>
      <c r="O16" s="99">
        <f>IF(P16=0,0,Q16/P16)</f>
        <v>8.3615384615384603</v>
      </c>
      <c r="P16" s="93">
        <v>39</v>
      </c>
      <c r="Q16" s="81">
        <v>326.09999999999997</v>
      </c>
    </row>
    <row r="17" spans="1:17" x14ac:dyDescent="0.4">
      <c r="A17" s="19" t="s">
        <v>123</v>
      </c>
      <c r="B17" s="13">
        <v>504</v>
      </c>
      <c r="C17" s="4">
        <f>IF(B$15=0,0,B17/B$15)</f>
        <v>0.57078142695356737</v>
      </c>
      <c r="E17" s="44" t="s">
        <v>91</v>
      </c>
      <c r="F17" s="41" t="s">
        <v>46</v>
      </c>
      <c r="G17" s="34">
        <v>15</v>
      </c>
      <c r="H17" s="107">
        <f>IF(B$51=0,0,G17/B$51)</f>
        <v>1.8028846153846152E-2</v>
      </c>
      <c r="I17" s="68">
        <v>8</v>
      </c>
      <c r="K17" s="5">
        <v>15</v>
      </c>
      <c r="L17" s="73">
        <v>38.5</v>
      </c>
      <c r="N17" s="89" t="s">
        <v>188</v>
      </c>
      <c r="O17" s="99">
        <f>IF(P17=0,0,Q17/P17)</f>
        <v>6.5337662337662348</v>
      </c>
      <c r="P17" s="93">
        <v>77</v>
      </c>
      <c r="Q17" s="81">
        <v>503.10000000000008</v>
      </c>
    </row>
    <row r="18" spans="1:17" x14ac:dyDescent="0.4">
      <c r="A18" s="19" t="s">
        <v>124</v>
      </c>
      <c r="B18" s="13">
        <v>198</v>
      </c>
      <c r="C18" s="4">
        <f>IF(B$16=0,0,B18/B$16)</f>
        <v>0.36065573770491804</v>
      </c>
      <c r="E18" s="44" t="s">
        <v>79</v>
      </c>
      <c r="F18" s="41" t="s">
        <v>34</v>
      </c>
      <c r="G18" s="34">
        <v>14</v>
      </c>
      <c r="H18" s="107">
        <f>IF(B$51=0,0,G18/B$51)</f>
        <v>1.6826923076923076E-2</v>
      </c>
      <c r="I18" s="68">
        <v>8</v>
      </c>
      <c r="K18" s="5">
        <v>16</v>
      </c>
      <c r="L18" s="73">
        <v>14.600000000000001</v>
      </c>
      <c r="N18" s="89" t="s">
        <v>191</v>
      </c>
      <c r="O18" s="99">
        <f>IF(P18=0,0,Q18/P18)</f>
        <v>1.9090909090909103</v>
      </c>
      <c r="P18" s="93">
        <v>110</v>
      </c>
      <c r="Q18" s="81">
        <v>210.00000000000014</v>
      </c>
    </row>
    <row r="19" spans="1:17" x14ac:dyDescent="0.4">
      <c r="A19" s="19" t="s">
        <v>10</v>
      </c>
      <c r="B19" s="13">
        <v>893</v>
      </c>
      <c r="C19" s="4">
        <f>IF(B$3=0,0,B19/B$3)</f>
        <v>0.26857142857142857</v>
      </c>
      <c r="E19" s="44" t="s">
        <v>153</v>
      </c>
      <c r="F19" s="41" t="s">
        <v>154</v>
      </c>
      <c r="G19" s="34">
        <v>12</v>
      </c>
      <c r="H19" s="107">
        <f>IF(B$51=0,0,G19/B$51)</f>
        <v>1.4423076923076924E-2</v>
      </c>
      <c r="I19" s="68">
        <v>5</v>
      </c>
      <c r="K19" s="5">
        <v>17</v>
      </c>
      <c r="L19" s="73">
        <v>13.900000000000002</v>
      </c>
      <c r="N19" s="89" t="s">
        <v>189</v>
      </c>
      <c r="O19" s="99">
        <f>IF(P19=0,0,Q19/P19)</f>
        <v>0.34285714285714369</v>
      </c>
      <c r="P19" s="93">
        <v>7</v>
      </c>
      <c r="Q19" s="81">
        <v>2.4000000000000057</v>
      </c>
    </row>
    <row r="20" spans="1:17" x14ac:dyDescent="0.4">
      <c r="A20" s="37" t="s">
        <v>13</v>
      </c>
      <c r="B20" s="34">
        <v>616</v>
      </c>
      <c r="C20" s="31">
        <f>IF(B$3=0,0,B20/B$3)</f>
        <v>0.18526315789473685</v>
      </c>
      <c r="E20" s="44" t="s">
        <v>75</v>
      </c>
      <c r="F20" s="41" t="s">
        <v>30</v>
      </c>
      <c r="G20" s="34">
        <v>8</v>
      </c>
      <c r="H20" s="107">
        <f>IF(B$51=0,0,G20/B$51)</f>
        <v>9.6153846153846159E-3</v>
      </c>
      <c r="I20" s="68">
        <v>2</v>
      </c>
      <c r="K20" s="5">
        <v>18</v>
      </c>
      <c r="L20" s="73">
        <v>-21.999999999999996</v>
      </c>
      <c r="N20" s="89" t="s">
        <v>192</v>
      </c>
      <c r="O20" s="99">
        <f>IF(P20=0,0,Q20/P20)</f>
        <v>-0.14444444444444493</v>
      </c>
      <c r="P20" s="93">
        <v>9</v>
      </c>
      <c r="Q20" s="81">
        <v>-1.3000000000000043</v>
      </c>
    </row>
    <row r="21" spans="1:17" x14ac:dyDescent="0.4">
      <c r="A21" s="37" t="s">
        <v>12</v>
      </c>
      <c r="B21" s="34">
        <v>407</v>
      </c>
      <c r="C21" s="31">
        <f>IF(B$19=0,0,B21/B$19)</f>
        <v>0.45576707726763716</v>
      </c>
      <c r="E21" s="44" t="s">
        <v>73</v>
      </c>
      <c r="F21" s="41" t="s">
        <v>28</v>
      </c>
      <c r="G21" s="34">
        <v>4</v>
      </c>
      <c r="H21" s="107">
        <f>IF(B$51=0,0,G21/B$51)</f>
        <v>4.807692307692308E-3</v>
      </c>
      <c r="I21" s="68">
        <v>9</v>
      </c>
      <c r="K21" s="5">
        <v>19</v>
      </c>
      <c r="L21" s="73">
        <v>-26.699999999999996</v>
      </c>
      <c r="N21" s="89" t="s">
        <v>187</v>
      </c>
      <c r="O21" s="99">
        <f>IF(P21=0,0,Q21/P21)</f>
        <v>-6.8016129032258066</v>
      </c>
      <c r="P21" s="93">
        <v>62</v>
      </c>
      <c r="Q21" s="81">
        <v>-421.7</v>
      </c>
    </row>
    <row r="22" spans="1:17" x14ac:dyDescent="0.4">
      <c r="A22" s="37" t="s">
        <v>11</v>
      </c>
      <c r="B22" s="34">
        <v>486</v>
      </c>
      <c r="C22" s="31">
        <f>IF(B$19=0,0,B22/B$19)</f>
        <v>0.54423292273236279</v>
      </c>
      <c r="E22" s="44" t="s">
        <v>74</v>
      </c>
      <c r="F22" s="41" t="s">
        <v>29</v>
      </c>
      <c r="G22" s="34">
        <v>3</v>
      </c>
      <c r="H22" s="107">
        <f>IF(B$51=0,0,G22/B$51)</f>
        <v>3.605769230769231E-3</v>
      </c>
      <c r="I22" s="68">
        <v>6</v>
      </c>
      <c r="K22" s="5">
        <v>20</v>
      </c>
      <c r="L22" s="73">
        <v>-57.899999999999991</v>
      </c>
      <c r="N22" s="89" t="s">
        <v>193</v>
      </c>
      <c r="O22" s="99">
        <f>IF(P22=0,0,Q22/P22)</f>
        <v>-8.0346405228758151</v>
      </c>
      <c r="P22" s="93">
        <v>153</v>
      </c>
      <c r="Q22" s="81">
        <v>-1229.2999999999997</v>
      </c>
    </row>
    <row r="23" spans="1:17" x14ac:dyDescent="0.4">
      <c r="A23" s="37" t="s">
        <v>180</v>
      </c>
      <c r="B23" s="34">
        <v>504</v>
      </c>
      <c r="C23" s="31">
        <f>IF(B$19=0,0,B23/B$19)</f>
        <v>0.56438969764837621</v>
      </c>
      <c r="E23" s="44" t="s">
        <v>84</v>
      </c>
      <c r="F23" s="41" t="s">
        <v>39</v>
      </c>
      <c r="G23" s="34">
        <v>3</v>
      </c>
      <c r="H23" s="107">
        <f>IF(B$51=0,0,G23/B$51)</f>
        <v>3.605769230769231E-3</v>
      </c>
      <c r="I23" s="68">
        <v>2</v>
      </c>
      <c r="K23" s="5">
        <v>21</v>
      </c>
      <c r="L23" s="73">
        <v>-82.699999999999989</v>
      </c>
      <c r="N23" s="89" t="s">
        <v>194</v>
      </c>
      <c r="O23" s="99">
        <f>IF(P23=0,0,Q23/P23)</f>
        <v>-8.4020408163265241</v>
      </c>
      <c r="P23" s="93">
        <v>49</v>
      </c>
      <c r="Q23" s="81">
        <v>-411.6999999999997</v>
      </c>
    </row>
    <row r="24" spans="1:17" x14ac:dyDescent="0.4">
      <c r="A24" s="37" t="s">
        <v>178</v>
      </c>
      <c r="B24" s="34">
        <v>198</v>
      </c>
      <c r="C24" s="31">
        <f>IF(B$19=0,0,B24/B$19)</f>
        <v>0.22172452407614782</v>
      </c>
      <c r="E24" s="44" t="s">
        <v>85</v>
      </c>
      <c r="F24" s="41" t="s">
        <v>40</v>
      </c>
      <c r="G24" s="34">
        <v>3</v>
      </c>
      <c r="H24" s="107">
        <f>IF(B$51=0,0,G24/B$51)</f>
        <v>3.605769230769231E-3</v>
      </c>
      <c r="I24" s="68">
        <v>7</v>
      </c>
      <c r="K24" s="5">
        <v>22</v>
      </c>
      <c r="L24" s="73">
        <v>-94.6</v>
      </c>
      <c r="N24" s="89" t="s">
        <v>195</v>
      </c>
      <c r="O24" s="99">
        <f>IF(P24=0,0,Q24/P24)</f>
        <v>-15.063513513513511</v>
      </c>
      <c r="P24" s="93">
        <v>296</v>
      </c>
      <c r="Q24" s="81">
        <v>-4458.7999999999993</v>
      </c>
    </row>
    <row r="25" spans="1:17" x14ac:dyDescent="0.4">
      <c r="A25" s="37" t="s">
        <v>179</v>
      </c>
      <c r="B25" s="34">
        <v>191</v>
      </c>
      <c r="C25" s="31">
        <f>IF(B$19=0,0,B25/B$19)</f>
        <v>0.21388577827547592</v>
      </c>
      <c r="E25" s="44" t="s">
        <v>92</v>
      </c>
      <c r="F25" s="41" t="s">
        <v>47</v>
      </c>
      <c r="G25" s="34">
        <v>3</v>
      </c>
      <c r="H25" s="107">
        <f>IF(B$51=0,0,G25/B$51)</f>
        <v>3.605769230769231E-3</v>
      </c>
      <c r="I25" s="68">
        <v>7</v>
      </c>
      <c r="K25" s="5">
        <v>23</v>
      </c>
      <c r="L25" s="73">
        <v>-111.3</v>
      </c>
      <c r="N25" s="89" t="s">
        <v>199</v>
      </c>
      <c r="O25" s="99">
        <f>IF(P25=0,0,Q25/P25)</f>
        <v>-22.533333333333335</v>
      </c>
      <c r="P25" s="93">
        <v>3</v>
      </c>
      <c r="Q25" s="81">
        <v>-67.600000000000009</v>
      </c>
    </row>
    <row r="26" spans="1:17" x14ac:dyDescent="0.4">
      <c r="A26" s="37" t="s">
        <v>5</v>
      </c>
      <c r="B26" s="17">
        <f>IF(B$19=0,0,C26/B$19)</f>
        <v>9245.9126539753634</v>
      </c>
      <c r="C26" s="8">
        <v>8256600</v>
      </c>
      <c r="E26" s="44" t="s">
        <v>88</v>
      </c>
      <c r="F26" s="41" t="s">
        <v>43</v>
      </c>
      <c r="G26" s="34">
        <v>2</v>
      </c>
      <c r="H26" s="107">
        <f>IF(B$51=0,0,G26/B$51)</f>
        <v>2.403846153846154E-3</v>
      </c>
      <c r="I26" s="68">
        <v>3</v>
      </c>
      <c r="K26" s="5">
        <v>24</v>
      </c>
      <c r="L26" s="73">
        <v>-68.099999999999994</v>
      </c>
      <c r="N26" s="89" t="s">
        <v>196</v>
      </c>
      <c r="O26" s="99">
        <f>IF(P26=0,0,Q26/P26)</f>
        <v>-29.666666666666668</v>
      </c>
      <c r="P26" s="93">
        <v>3</v>
      </c>
      <c r="Q26" s="81">
        <v>-89</v>
      </c>
    </row>
    <row r="27" spans="1:17" x14ac:dyDescent="0.4">
      <c r="A27" s="38" t="s">
        <v>162</v>
      </c>
      <c r="B27" s="114">
        <f>IF($B$19-B$18=0,0,C27/($B$19-B$18))</f>
        <v>9632.9496402877703</v>
      </c>
      <c r="C27" s="115">
        <v>6694900</v>
      </c>
      <c r="E27" s="44" t="s">
        <v>77</v>
      </c>
      <c r="F27" s="41" t="s">
        <v>32</v>
      </c>
      <c r="G27" s="34">
        <v>1</v>
      </c>
      <c r="H27" s="107">
        <f>IF(B$51=0,0,G27/B$51)</f>
        <v>1.201923076923077E-3</v>
      </c>
      <c r="I27" s="68">
        <v>8</v>
      </c>
      <c r="K27" s="5">
        <v>25</v>
      </c>
      <c r="L27" s="73">
        <v>-70.899999999999991</v>
      </c>
    </row>
    <row r="28" spans="1:17" x14ac:dyDescent="0.4">
      <c r="A28" s="38" t="s">
        <v>163</v>
      </c>
      <c r="B28" s="114">
        <f>IF(B$18=0,0,C28/B$18)</f>
        <v>7887.3737373737376</v>
      </c>
      <c r="C28" s="115">
        <v>1561700</v>
      </c>
      <c r="E28" s="44" t="s">
        <v>80</v>
      </c>
      <c r="F28" s="41" t="s">
        <v>35</v>
      </c>
      <c r="G28" s="34">
        <v>1</v>
      </c>
      <c r="H28" s="107">
        <f>IF(B$51=0,0,G28/B$51)</f>
        <v>1.201923076923077E-3</v>
      </c>
      <c r="I28" s="68">
        <v>1</v>
      </c>
      <c r="K28" s="5">
        <v>26</v>
      </c>
      <c r="L28" s="73">
        <v>-125.89999999999999</v>
      </c>
    </row>
    <row r="29" spans="1:17" x14ac:dyDescent="0.4">
      <c r="A29" s="38" t="s">
        <v>161</v>
      </c>
      <c r="B29" s="114">
        <f>IF(B$20=0,0,C29/B$20)</f>
        <v>-8372.7272727272721</v>
      </c>
      <c r="C29" s="115">
        <v>-5157600</v>
      </c>
      <c r="E29" s="44" t="s">
        <v>87</v>
      </c>
      <c r="F29" s="41" t="s">
        <v>42</v>
      </c>
      <c r="G29" s="34">
        <v>1</v>
      </c>
      <c r="H29" s="107">
        <f>IF(B$51=0,0,G29/B$51)</f>
        <v>1.201923076923077E-3</v>
      </c>
      <c r="I29" s="68">
        <v>9</v>
      </c>
      <c r="K29" s="5">
        <v>27</v>
      </c>
      <c r="L29" s="73">
        <v>-163.6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93</v>
      </c>
      <c r="F30" s="41" t="s">
        <v>48</v>
      </c>
      <c r="G30" s="34">
        <v>1</v>
      </c>
      <c r="H30" s="107">
        <f>IF(B$51=0,0,G30/B$51)</f>
        <v>1.201923076923077E-3</v>
      </c>
      <c r="I30" s="68">
        <v>8</v>
      </c>
      <c r="K30" s="5">
        <v>28</v>
      </c>
      <c r="L30" s="73">
        <v>-169.5</v>
      </c>
    </row>
    <row r="31" spans="1:17" x14ac:dyDescent="0.4">
      <c r="A31" s="37" t="s">
        <v>156</v>
      </c>
      <c r="B31" s="34">
        <v>31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1.201923076923077E-3</v>
      </c>
      <c r="I31" s="68">
        <v>3</v>
      </c>
      <c r="K31" s="5">
        <v>29</v>
      </c>
      <c r="L31" s="73">
        <v>-163.30000000000001</v>
      </c>
    </row>
    <row r="32" spans="1:17" x14ac:dyDescent="0.4">
      <c r="A32" s="64" t="s">
        <v>134</v>
      </c>
      <c r="B32" s="139">
        <v>10</v>
      </c>
      <c r="C32" s="140"/>
      <c r="E32" s="44" t="s">
        <v>76</v>
      </c>
      <c r="F32" s="41" t="s">
        <v>31</v>
      </c>
      <c r="G32" s="34">
        <v>0</v>
      </c>
      <c r="H32" s="107">
        <f>IF(B$51=0,0,G32/B$51)</f>
        <v>0</v>
      </c>
      <c r="I32" s="68">
        <v>1</v>
      </c>
      <c r="K32" s="5">
        <v>30</v>
      </c>
      <c r="L32" s="73">
        <v>-209.4</v>
      </c>
    </row>
    <row r="33" spans="1:12" x14ac:dyDescent="0.4">
      <c r="A33" s="40" t="s">
        <v>177</v>
      </c>
      <c r="B33" s="137">
        <v>107600</v>
      </c>
      <c r="C33" s="138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-259.89999999999998</v>
      </c>
    </row>
    <row r="34" spans="1:12" x14ac:dyDescent="0.4">
      <c r="A34" s="39" t="s">
        <v>135</v>
      </c>
      <c r="B34" s="27">
        <v>13</v>
      </c>
      <c r="C34" s="32">
        <f>IF(B$3=0,0,B34/B$3)</f>
        <v>3.909774436090226E-3</v>
      </c>
      <c r="E34" s="44" t="s">
        <v>90</v>
      </c>
      <c r="F34" s="41" t="s">
        <v>45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-253.59999999999997</v>
      </c>
    </row>
    <row r="35" spans="1:12" x14ac:dyDescent="0.4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-234.89999999999998</v>
      </c>
    </row>
    <row r="36" spans="1:12" x14ac:dyDescent="0.4">
      <c r="A36" s="64" t="s">
        <v>168</v>
      </c>
      <c r="B36" s="121">
        <v>47</v>
      </c>
      <c r="C36" s="119">
        <f>IF(B$19=0,0,B36/B$19)</f>
        <v>5.2631578947368418E-2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-229.79999999999998</v>
      </c>
    </row>
    <row r="37" spans="1:12" x14ac:dyDescent="0.4">
      <c r="A37" s="37" t="s">
        <v>164</v>
      </c>
      <c r="B37" s="34">
        <v>108</v>
      </c>
      <c r="C37" s="31">
        <f t="shared" ref="C37:C48" si="2">IF(B$19=0,0,B37/B$19)</f>
        <v>0.12094064949608063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-254.29999999999998</v>
      </c>
    </row>
    <row r="38" spans="1:12" x14ac:dyDescent="0.4">
      <c r="A38" s="37" t="s">
        <v>165</v>
      </c>
      <c r="B38" s="124">
        <v>165</v>
      </c>
      <c r="C38" s="31">
        <f>IF(B$19=0,0,B38/B$19)</f>
        <v>0.18477043673012317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-204.29999999999998</v>
      </c>
    </row>
    <row r="39" spans="1:12" x14ac:dyDescent="0.4">
      <c r="A39" s="37" t="s">
        <v>166</v>
      </c>
      <c r="B39" s="124">
        <v>150</v>
      </c>
      <c r="C39" s="31">
        <f t="shared" si="2"/>
        <v>0.16797312430011199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-249.29999999999998</v>
      </c>
    </row>
    <row r="40" spans="1:12" x14ac:dyDescent="0.4">
      <c r="A40" s="37" t="s">
        <v>167</v>
      </c>
      <c r="B40" s="124">
        <v>139</v>
      </c>
      <c r="C40" s="31">
        <f t="shared" si="2"/>
        <v>0.15565509518477044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-242.49999999999997</v>
      </c>
    </row>
    <row r="41" spans="1:12" x14ac:dyDescent="0.4">
      <c r="A41" s="37" t="s">
        <v>169</v>
      </c>
      <c r="B41" s="124">
        <v>97</v>
      </c>
      <c r="C41" s="31">
        <f t="shared" si="2"/>
        <v>0.10862262038073908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-244.59999999999997</v>
      </c>
    </row>
    <row r="42" spans="1:12" x14ac:dyDescent="0.4">
      <c r="A42" s="37" t="s">
        <v>170</v>
      </c>
      <c r="B42" s="124">
        <v>60</v>
      </c>
      <c r="C42" s="31">
        <f t="shared" si="2"/>
        <v>6.7189249720044794E-2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-279.7</v>
      </c>
    </row>
    <row r="43" spans="1:12" x14ac:dyDescent="0.4">
      <c r="A43" s="37" t="s">
        <v>171</v>
      </c>
      <c r="B43" s="124">
        <v>30</v>
      </c>
      <c r="C43" s="31">
        <f t="shared" si="2"/>
        <v>3.3594624860022397E-2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-320.09999999999997</v>
      </c>
    </row>
    <row r="44" spans="1:12" x14ac:dyDescent="0.4">
      <c r="A44" s="37" t="s">
        <v>172</v>
      </c>
      <c r="B44" s="124">
        <v>14</v>
      </c>
      <c r="C44" s="31">
        <f t="shared" si="2"/>
        <v>1.5677491601343786E-2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-314.29999999999995</v>
      </c>
    </row>
    <row r="45" spans="1:12" x14ac:dyDescent="0.4">
      <c r="A45" s="37" t="s">
        <v>173</v>
      </c>
      <c r="B45" s="124">
        <v>6</v>
      </c>
      <c r="C45" s="31">
        <f t="shared" si="2"/>
        <v>6.7189249720044789E-3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-284.79999999999995</v>
      </c>
    </row>
    <row r="46" spans="1:12" x14ac:dyDescent="0.4">
      <c r="A46" s="37" t="s">
        <v>174</v>
      </c>
      <c r="B46" s="124">
        <v>3</v>
      </c>
      <c r="C46" s="31">
        <f t="shared" si="2"/>
        <v>3.3594624860022394E-3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-239.89999999999995</v>
      </c>
    </row>
    <row r="47" spans="1:12" x14ac:dyDescent="0.4">
      <c r="A47" s="37" t="s">
        <v>175</v>
      </c>
      <c r="B47" s="124">
        <v>5</v>
      </c>
      <c r="C47" s="31">
        <f t="shared" si="2"/>
        <v>5.5991041433370659E-3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-256.29999999999995</v>
      </c>
    </row>
    <row r="48" spans="1:12" x14ac:dyDescent="0.4">
      <c r="A48" s="39" t="s">
        <v>176</v>
      </c>
      <c r="B48" s="120">
        <v>8</v>
      </c>
      <c r="C48" s="32">
        <f t="shared" si="2"/>
        <v>8.9585666293393058E-3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-280.59999999999997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-264.59999999999997</v>
      </c>
    </row>
    <row r="50" spans="1:12" x14ac:dyDescent="0.4">
      <c r="A50" s="64" t="s">
        <v>181</v>
      </c>
      <c r="B50" s="127">
        <v>3064</v>
      </c>
      <c r="C50" s="128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-288.79999999999995</v>
      </c>
    </row>
    <row r="51" spans="1:12" x14ac:dyDescent="0.4">
      <c r="A51" s="39" t="s">
        <v>182</v>
      </c>
      <c r="B51" s="135">
        <v>832</v>
      </c>
      <c r="C51" s="136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-282.99999999999994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-287.09999999999997</v>
      </c>
    </row>
    <row r="53" spans="1:12" x14ac:dyDescent="0.4">
      <c r="K53" s="5">
        <v>51</v>
      </c>
      <c r="L53" s="73">
        <v>-269.59999999999997</v>
      </c>
    </row>
    <row r="54" spans="1:12" x14ac:dyDescent="0.4">
      <c r="K54" s="5">
        <v>52</v>
      </c>
      <c r="L54" s="73">
        <v>-308.09999999999997</v>
      </c>
    </row>
    <row r="55" spans="1:12" x14ac:dyDescent="0.4">
      <c r="K55" s="5">
        <v>53</v>
      </c>
      <c r="L55" s="73">
        <v>-336.49999999999994</v>
      </c>
    </row>
    <row r="56" spans="1:12" x14ac:dyDescent="0.4">
      <c r="K56" s="5">
        <v>54</v>
      </c>
      <c r="L56" s="73">
        <v>-378.89999999999992</v>
      </c>
    </row>
    <row r="57" spans="1:12" x14ac:dyDescent="0.4">
      <c r="K57" s="5">
        <v>55</v>
      </c>
      <c r="L57" s="73">
        <v>-364.2999999999999</v>
      </c>
    </row>
    <row r="58" spans="1:12" x14ac:dyDescent="0.4">
      <c r="K58" s="5">
        <v>56</v>
      </c>
      <c r="L58" s="73">
        <v>-316.2999999999999</v>
      </c>
    </row>
    <row r="59" spans="1:12" x14ac:dyDescent="0.4">
      <c r="K59" s="5">
        <v>57</v>
      </c>
      <c r="L59" s="73">
        <v>-312.49999999999989</v>
      </c>
    </row>
    <row r="60" spans="1:12" x14ac:dyDescent="0.4">
      <c r="K60" s="5">
        <v>58</v>
      </c>
      <c r="L60" s="73">
        <v>-254.59999999999988</v>
      </c>
    </row>
    <row r="61" spans="1:12" x14ac:dyDescent="0.4">
      <c r="K61" s="5">
        <v>59</v>
      </c>
      <c r="L61" s="73">
        <v>-205.09999999999988</v>
      </c>
    </row>
    <row r="62" spans="1:12" x14ac:dyDescent="0.4">
      <c r="K62" s="5">
        <v>60</v>
      </c>
      <c r="L62" s="73">
        <v>-214.59999999999988</v>
      </c>
    </row>
    <row r="63" spans="1:12" x14ac:dyDescent="0.4">
      <c r="K63" s="5">
        <v>61</v>
      </c>
      <c r="L63" s="73">
        <v>-211.89999999999989</v>
      </c>
    </row>
    <row r="64" spans="1:12" x14ac:dyDescent="0.4">
      <c r="K64" s="5">
        <v>62</v>
      </c>
      <c r="L64" s="73">
        <v>-250.89999999999989</v>
      </c>
    </row>
    <row r="65" spans="11:12" x14ac:dyDescent="0.4">
      <c r="K65" s="5">
        <v>63</v>
      </c>
      <c r="L65" s="73">
        <v>-290.99999999999989</v>
      </c>
    </row>
    <row r="66" spans="11:12" x14ac:dyDescent="0.4">
      <c r="K66" s="5">
        <v>64</v>
      </c>
      <c r="L66" s="73">
        <v>-356.99999999999989</v>
      </c>
    </row>
    <row r="67" spans="11:12" x14ac:dyDescent="0.4">
      <c r="K67" s="5">
        <v>65</v>
      </c>
      <c r="L67" s="73">
        <v>-381.09999999999991</v>
      </c>
    </row>
    <row r="68" spans="11:12" x14ac:dyDescent="0.4">
      <c r="K68" s="5">
        <v>66</v>
      </c>
      <c r="L68" s="73">
        <v>-378.49999999999989</v>
      </c>
    </row>
    <row r="69" spans="11:12" x14ac:dyDescent="0.4">
      <c r="K69" s="5">
        <v>67</v>
      </c>
      <c r="L69" s="73">
        <v>-371.19999999999987</v>
      </c>
    </row>
    <row r="70" spans="11:12" x14ac:dyDescent="0.4">
      <c r="K70" s="5">
        <v>68</v>
      </c>
      <c r="L70" s="73">
        <v>-407.2999999999999</v>
      </c>
    </row>
    <row r="71" spans="11:12" x14ac:dyDescent="0.4">
      <c r="K71" s="5">
        <v>69</v>
      </c>
      <c r="L71" s="73">
        <v>-412.49999999999989</v>
      </c>
    </row>
    <row r="72" spans="11:12" x14ac:dyDescent="0.4">
      <c r="K72" s="5">
        <v>70</v>
      </c>
      <c r="L72" s="73">
        <v>-379.49999999999989</v>
      </c>
    </row>
    <row r="73" spans="11:12" x14ac:dyDescent="0.4">
      <c r="K73" s="5">
        <v>71</v>
      </c>
      <c r="L73" s="73">
        <v>-374.2999999999999</v>
      </c>
    </row>
    <row r="74" spans="11:12" x14ac:dyDescent="0.4">
      <c r="K74" s="5">
        <v>72</v>
      </c>
      <c r="L74" s="73">
        <v>-409.7999999999999</v>
      </c>
    </row>
    <row r="75" spans="11:12" x14ac:dyDescent="0.4">
      <c r="K75" s="5">
        <v>73</v>
      </c>
      <c r="L75" s="73">
        <v>-393.59999999999991</v>
      </c>
    </row>
    <row r="76" spans="11:12" x14ac:dyDescent="0.4">
      <c r="K76" s="5">
        <v>74</v>
      </c>
      <c r="L76" s="73">
        <v>-399.49999999999989</v>
      </c>
    </row>
    <row r="77" spans="11:12" x14ac:dyDescent="0.4">
      <c r="K77" s="5">
        <v>75</v>
      </c>
      <c r="L77" s="73">
        <v>-419.69999999999987</v>
      </c>
    </row>
    <row r="78" spans="11:12" x14ac:dyDescent="0.4">
      <c r="K78" s="5">
        <v>76</v>
      </c>
      <c r="L78" s="73">
        <v>-369.69999999999987</v>
      </c>
    </row>
    <row r="79" spans="11:12" x14ac:dyDescent="0.4">
      <c r="K79" s="5">
        <v>77</v>
      </c>
      <c r="L79" s="73">
        <v>-381.7999999999999</v>
      </c>
    </row>
    <row r="80" spans="11:12" x14ac:dyDescent="0.4">
      <c r="K80" s="5">
        <v>78</v>
      </c>
      <c r="L80" s="73">
        <v>-365.99999999999989</v>
      </c>
    </row>
    <row r="81" spans="11:12" x14ac:dyDescent="0.4">
      <c r="K81" s="5">
        <v>79</v>
      </c>
      <c r="L81" s="73">
        <v>-383.99999999999989</v>
      </c>
    </row>
    <row r="82" spans="11:12" x14ac:dyDescent="0.4">
      <c r="K82" s="5">
        <v>80</v>
      </c>
      <c r="L82" s="73">
        <v>-390.7999999999999</v>
      </c>
    </row>
    <row r="83" spans="11:12" x14ac:dyDescent="0.4">
      <c r="K83" s="5">
        <v>81</v>
      </c>
      <c r="L83" s="73">
        <v>-378.99999999999989</v>
      </c>
    </row>
    <row r="84" spans="11:12" x14ac:dyDescent="0.4">
      <c r="K84" s="5">
        <v>82</v>
      </c>
      <c r="L84" s="73">
        <v>-398.59999999999991</v>
      </c>
    </row>
    <row r="85" spans="11:12" x14ac:dyDescent="0.4">
      <c r="K85" s="5">
        <v>83</v>
      </c>
      <c r="L85" s="73">
        <v>-397.39999999999992</v>
      </c>
    </row>
    <row r="86" spans="11:12" x14ac:dyDescent="0.4">
      <c r="K86" s="5">
        <v>84</v>
      </c>
      <c r="L86" s="73">
        <v>-371.89999999999992</v>
      </c>
    </row>
    <row r="87" spans="11:12" x14ac:dyDescent="0.4">
      <c r="K87" s="5">
        <v>85</v>
      </c>
      <c r="L87" s="73">
        <v>-409.89999999999992</v>
      </c>
    </row>
    <row r="88" spans="11:12" x14ac:dyDescent="0.4">
      <c r="K88" s="5">
        <v>86</v>
      </c>
      <c r="L88" s="73">
        <v>-386.39999999999992</v>
      </c>
    </row>
    <row r="89" spans="11:12" x14ac:dyDescent="0.4">
      <c r="K89" s="5">
        <v>87</v>
      </c>
      <c r="L89" s="73">
        <v>-360.69999999999993</v>
      </c>
    </row>
    <row r="90" spans="11:12" x14ac:dyDescent="0.4">
      <c r="K90" s="5">
        <v>88</v>
      </c>
      <c r="L90" s="73">
        <v>-377.49999999999994</v>
      </c>
    </row>
    <row r="91" spans="11:12" x14ac:dyDescent="0.4">
      <c r="K91" s="5">
        <v>89</v>
      </c>
      <c r="L91" s="73">
        <v>-410.29999999999995</v>
      </c>
    </row>
    <row r="92" spans="11:12" x14ac:dyDescent="0.4">
      <c r="K92" s="5">
        <v>90</v>
      </c>
      <c r="L92" s="73">
        <v>-405.79999999999995</v>
      </c>
    </row>
    <row r="93" spans="11:12" x14ac:dyDescent="0.4">
      <c r="K93" s="5">
        <v>91</v>
      </c>
      <c r="L93" s="73">
        <v>-395.29999999999995</v>
      </c>
    </row>
    <row r="94" spans="11:12" x14ac:dyDescent="0.4">
      <c r="K94" s="5">
        <v>92</v>
      </c>
      <c r="L94" s="73">
        <v>-365.49999999999994</v>
      </c>
    </row>
    <row r="95" spans="11:12" x14ac:dyDescent="0.4">
      <c r="K95" s="5">
        <v>93</v>
      </c>
      <c r="L95" s="73">
        <v>-401.99999999999994</v>
      </c>
    </row>
    <row r="96" spans="11:12" x14ac:dyDescent="0.4">
      <c r="K96" s="5">
        <v>94</v>
      </c>
      <c r="L96" s="73">
        <v>-372.59999999999997</v>
      </c>
    </row>
    <row r="97" spans="11:12" x14ac:dyDescent="0.4">
      <c r="K97" s="5">
        <v>95</v>
      </c>
      <c r="L97" s="73">
        <v>-399.4</v>
      </c>
    </row>
    <row r="98" spans="11:12" x14ac:dyDescent="0.4">
      <c r="K98" s="5">
        <v>96</v>
      </c>
      <c r="L98" s="73">
        <v>-381</v>
      </c>
    </row>
    <row r="99" spans="11:12" x14ac:dyDescent="0.4">
      <c r="K99" s="5">
        <v>97</v>
      </c>
      <c r="L99" s="73">
        <v>-393.5</v>
      </c>
    </row>
    <row r="100" spans="11:12" x14ac:dyDescent="0.4">
      <c r="K100" s="5">
        <v>98</v>
      </c>
      <c r="L100" s="73">
        <v>-333</v>
      </c>
    </row>
    <row r="101" spans="11:12" x14ac:dyDescent="0.4">
      <c r="K101" s="5">
        <v>99</v>
      </c>
      <c r="L101" s="73">
        <v>-362.5</v>
      </c>
    </row>
    <row r="102" spans="11:12" x14ac:dyDescent="0.4">
      <c r="K102" s="5">
        <v>100</v>
      </c>
      <c r="L102" s="73">
        <v>-376.4</v>
      </c>
    </row>
    <row r="103" spans="11:12" x14ac:dyDescent="0.4">
      <c r="K103" s="5">
        <v>101</v>
      </c>
      <c r="L103" s="73">
        <v>-374.7</v>
      </c>
    </row>
    <row r="104" spans="11:12" x14ac:dyDescent="0.4">
      <c r="K104" s="5">
        <v>102</v>
      </c>
      <c r="L104" s="73">
        <v>-401.4</v>
      </c>
    </row>
    <row r="105" spans="11:12" x14ac:dyDescent="0.4">
      <c r="K105" s="5">
        <v>103</v>
      </c>
      <c r="L105" s="73">
        <v>-426.9</v>
      </c>
    </row>
    <row r="106" spans="11:12" x14ac:dyDescent="0.4">
      <c r="K106" s="5">
        <v>104</v>
      </c>
      <c r="L106" s="73">
        <v>-436.4</v>
      </c>
    </row>
    <row r="107" spans="11:12" x14ac:dyDescent="0.4">
      <c r="K107" s="5">
        <v>105</v>
      </c>
      <c r="L107" s="73">
        <v>-425.59999999999997</v>
      </c>
    </row>
    <row r="108" spans="11:12" x14ac:dyDescent="0.4">
      <c r="K108" s="5">
        <v>106</v>
      </c>
      <c r="L108" s="73">
        <v>-438.49999999999994</v>
      </c>
    </row>
    <row r="109" spans="11:12" x14ac:dyDescent="0.4">
      <c r="K109" s="5">
        <v>107</v>
      </c>
      <c r="L109" s="73">
        <v>-433.59999999999997</v>
      </c>
    </row>
    <row r="110" spans="11:12" x14ac:dyDescent="0.4">
      <c r="K110" s="5">
        <v>108</v>
      </c>
      <c r="L110" s="73">
        <v>-426.99999999999994</v>
      </c>
    </row>
    <row r="111" spans="11:12" x14ac:dyDescent="0.4">
      <c r="K111" s="5">
        <v>109</v>
      </c>
      <c r="L111" s="73">
        <v>-462.89999999999992</v>
      </c>
    </row>
    <row r="112" spans="11:12" x14ac:dyDescent="0.4">
      <c r="K112" s="5">
        <v>110</v>
      </c>
      <c r="L112" s="73">
        <v>-486.2999999999999</v>
      </c>
    </row>
    <row r="113" spans="11:12" x14ac:dyDescent="0.4">
      <c r="K113" s="5">
        <v>111</v>
      </c>
      <c r="L113" s="73">
        <v>-468.39999999999992</v>
      </c>
    </row>
    <row r="114" spans="11:12" x14ac:dyDescent="0.4">
      <c r="K114" s="5">
        <v>112</v>
      </c>
      <c r="L114" s="73">
        <v>-447.69999999999993</v>
      </c>
    </row>
    <row r="115" spans="11:12" x14ac:dyDescent="0.4">
      <c r="K115" s="5">
        <v>113</v>
      </c>
      <c r="L115" s="73">
        <v>-384.99999999999994</v>
      </c>
    </row>
    <row r="116" spans="11:12" x14ac:dyDescent="0.4">
      <c r="K116" s="5">
        <v>114</v>
      </c>
      <c r="L116" s="73">
        <v>-372.69999999999993</v>
      </c>
    </row>
    <row r="117" spans="11:12" x14ac:dyDescent="0.4">
      <c r="K117" s="5">
        <v>115</v>
      </c>
      <c r="L117" s="73">
        <v>-388.19999999999993</v>
      </c>
    </row>
    <row r="118" spans="11:12" x14ac:dyDescent="0.4">
      <c r="K118" s="5">
        <v>116</v>
      </c>
      <c r="L118" s="73">
        <v>-383.99999999999994</v>
      </c>
    </row>
    <row r="119" spans="11:12" x14ac:dyDescent="0.4">
      <c r="K119" s="5">
        <v>117</v>
      </c>
      <c r="L119" s="73">
        <v>-374.39999999999992</v>
      </c>
    </row>
    <row r="120" spans="11:12" x14ac:dyDescent="0.4">
      <c r="K120" s="5">
        <v>118</v>
      </c>
      <c r="L120" s="73">
        <v>-374.2999999999999</v>
      </c>
    </row>
    <row r="121" spans="11:12" x14ac:dyDescent="0.4">
      <c r="K121" s="5">
        <v>119</v>
      </c>
      <c r="L121" s="73">
        <v>-394.7999999999999</v>
      </c>
    </row>
    <row r="122" spans="11:12" x14ac:dyDescent="0.4">
      <c r="K122" s="5">
        <v>120</v>
      </c>
      <c r="L122" s="73">
        <v>-433.89999999999992</v>
      </c>
    </row>
    <row r="123" spans="11:12" x14ac:dyDescent="0.4">
      <c r="K123" s="5">
        <v>121</v>
      </c>
      <c r="L123" s="73">
        <v>-396.99999999999994</v>
      </c>
    </row>
    <row r="124" spans="11:12" x14ac:dyDescent="0.4">
      <c r="K124" s="5">
        <v>122</v>
      </c>
      <c r="L124" s="73">
        <v>-408.49999999999994</v>
      </c>
    </row>
    <row r="125" spans="11:12" x14ac:dyDescent="0.4">
      <c r="K125" s="5">
        <v>123</v>
      </c>
      <c r="L125" s="73">
        <v>-451.69999999999993</v>
      </c>
    </row>
    <row r="126" spans="11:12" x14ac:dyDescent="0.4">
      <c r="K126" s="5">
        <v>124</v>
      </c>
      <c r="L126" s="73">
        <v>-442.69999999999993</v>
      </c>
    </row>
    <row r="127" spans="11:12" x14ac:dyDescent="0.4">
      <c r="K127" s="5">
        <v>125</v>
      </c>
      <c r="L127" s="73">
        <v>-444.69999999999993</v>
      </c>
    </row>
    <row r="128" spans="11:12" x14ac:dyDescent="0.4">
      <c r="K128" s="5">
        <v>126</v>
      </c>
      <c r="L128" s="73">
        <v>-411.39999999999992</v>
      </c>
    </row>
    <row r="129" spans="11:12" x14ac:dyDescent="0.4">
      <c r="K129" s="5">
        <v>127</v>
      </c>
      <c r="L129" s="73">
        <v>-410.89999999999992</v>
      </c>
    </row>
    <row r="130" spans="11:12" x14ac:dyDescent="0.4">
      <c r="K130" s="5">
        <v>128</v>
      </c>
      <c r="L130" s="73">
        <v>-416.19999999999993</v>
      </c>
    </row>
    <row r="131" spans="11:12" x14ac:dyDescent="0.4">
      <c r="K131" s="5">
        <v>129</v>
      </c>
      <c r="L131" s="73">
        <v>-423.99999999999994</v>
      </c>
    </row>
    <row r="132" spans="11:12" x14ac:dyDescent="0.4">
      <c r="K132" s="5">
        <v>130</v>
      </c>
      <c r="L132" s="73">
        <v>-426.59999999999997</v>
      </c>
    </row>
    <row r="133" spans="11:12" x14ac:dyDescent="0.4">
      <c r="K133" s="5">
        <v>131</v>
      </c>
      <c r="L133" s="73">
        <v>-441.09999999999997</v>
      </c>
    </row>
    <row r="134" spans="11:12" x14ac:dyDescent="0.4">
      <c r="K134" s="5">
        <v>132</v>
      </c>
      <c r="L134" s="73">
        <v>-449.7</v>
      </c>
    </row>
    <row r="135" spans="11:12" x14ac:dyDescent="0.4">
      <c r="K135" s="5">
        <v>133</v>
      </c>
      <c r="L135" s="73">
        <v>-489.59999999999997</v>
      </c>
    </row>
    <row r="136" spans="11:12" x14ac:dyDescent="0.4">
      <c r="K136" s="5">
        <v>134</v>
      </c>
      <c r="L136" s="73">
        <v>-489.9</v>
      </c>
    </row>
    <row r="137" spans="11:12" x14ac:dyDescent="0.4">
      <c r="K137" s="5">
        <v>135</v>
      </c>
      <c r="L137" s="73">
        <v>-480.2</v>
      </c>
    </row>
    <row r="138" spans="11:12" x14ac:dyDescent="0.4">
      <c r="K138" s="5">
        <v>136</v>
      </c>
      <c r="L138" s="73">
        <v>-497.4</v>
      </c>
    </row>
    <row r="139" spans="11:12" x14ac:dyDescent="0.4">
      <c r="K139" s="5">
        <v>137</v>
      </c>
      <c r="L139" s="73">
        <v>-505.9</v>
      </c>
    </row>
    <row r="140" spans="11:12" x14ac:dyDescent="0.4">
      <c r="K140" s="5">
        <v>138</v>
      </c>
      <c r="L140" s="73">
        <v>-553.9</v>
      </c>
    </row>
    <row r="141" spans="11:12" x14ac:dyDescent="0.4">
      <c r="K141" s="5">
        <v>139</v>
      </c>
      <c r="L141" s="73">
        <v>-539.4</v>
      </c>
    </row>
    <row r="142" spans="11:12" x14ac:dyDescent="0.4">
      <c r="K142" s="5">
        <v>140</v>
      </c>
      <c r="L142" s="73">
        <v>-522.19999999999993</v>
      </c>
    </row>
    <row r="143" spans="11:12" x14ac:dyDescent="0.4">
      <c r="K143" s="5">
        <v>141</v>
      </c>
      <c r="L143" s="73">
        <v>-537.09999999999991</v>
      </c>
    </row>
    <row r="144" spans="11:12" x14ac:dyDescent="0.4">
      <c r="K144" s="5">
        <v>142</v>
      </c>
      <c r="L144" s="73">
        <v>-538.49999999999989</v>
      </c>
    </row>
    <row r="145" spans="11:12" x14ac:dyDescent="0.4">
      <c r="K145" s="5">
        <v>143</v>
      </c>
      <c r="L145" s="73">
        <v>-492.99999999999989</v>
      </c>
    </row>
    <row r="146" spans="11:12" x14ac:dyDescent="0.4">
      <c r="K146" s="5">
        <v>144</v>
      </c>
      <c r="L146" s="73">
        <v>-532.19999999999993</v>
      </c>
    </row>
    <row r="147" spans="11:12" x14ac:dyDescent="0.4">
      <c r="K147" s="5">
        <v>145</v>
      </c>
      <c r="L147" s="73">
        <v>-585.79999999999984</v>
      </c>
    </row>
    <row r="148" spans="11:12" x14ac:dyDescent="0.4">
      <c r="K148" s="5">
        <v>146</v>
      </c>
      <c r="L148" s="73">
        <v>-524.89999999999986</v>
      </c>
    </row>
    <row r="149" spans="11:12" x14ac:dyDescent="0.4">
      <c r="K149" s="5">
        <v>147</v>
      </c>
      <c r="L149" s="73">
        <v>-555.09999999999991</v>
      </c>
    </row>
    <row r="150" spans="11:12" x14ac:dyDescent="0.4">
      <c r="K150" s="5">
        <v>148</v>
      </c>
      <c r="L150" s="73">
        <v>-552.49999999999989</v>
      </c>
    </row>
    <row r="151" spans="11:12" x14ac:dyDescent="0.4">
      <c r="K151" s="5">
        <v>149</v>
      </c>
      <c r="L151" s="73">
        <v>-583.79999999999984</v>
      </c>
    </row>
    <row r="152" spans="11:12" x14ac:dyDescent="0.4">
      <c r="K152" s="5">
        <v>150</v>
      </c>
      <c r="L152" s="73">
        <v>-588.09999999999991</v>
      </c>
    </row>
    <row r="153" spans="11:12" x14ac:dyDescent="0.4">
      <c r="K153" s="5">
        <v>151</v>
      </c>
      <c r="L153" s="73">
        <v>-617.99999999999989</v>
      </c>
    </row>
    <row r="154" spans="11:12" x14ac:dyDescent="0.4">
      <c r="K154" s="5">
        <v>152</v>
      </c>
      <c r="L154" s="73">
        <v>-619.39999999999986</v>
      </c>
    </row>
    <row r="155" spans="11:12" x14ac:dyDescent="0.4">
      <c r="K155" s="5">
        <v>153</v>
      </c>
      <c r="L155" s="73">
        <v>-591.59999999999991</v>
      </c>
    </row>
    <row r="156" spans="11:12" x14ac:dyDescent="0.4">
      <c r="K156" s="5">
        <v>154</v>
      </c>
      <c r="L156" s="73">
        <v>-594.99999999999989</v>
      </c>
    </row>
    <row r="157" spans="11:12" x14ac:dyDescent="0.4">
      <c r="K157" s="5">
        <v>155</v>
      </c>
      <c r="L157" s="73">
        <v>-620.39999999999986</v>
      </c>
    </row>
    <row r="158" spans="11:12" x14ac:dyDescent="0.4">
      <c r="K158" s="5">
        <v>156</v>
      </c>
      <c r="L158" s="73">
        <v>-564.09999999999991</v>
      </c>
    </row>
    <row r="159" spans="11:12" x14ac:dyDescent="0.4">
      <c r="K159" s="5">
        <v>157</v>
      </c>
      <c r="L159" s="73">
        <v>-490.49999999999989</v>
      </c>
    </row>
    <row r="160" spans="11:12" x14ac:dyDescent="0.4">
      <c r="K160" s="5">
        <v>158</v>
      </c>
      <c r="L160" s="73">
        <v>-496.7999999999999</v>
      </c>
    </row>
    <row r="161" spans="11:12" x14ac:dyDescent="0.4">
      <c r="K161" s="5">
        <v>159</v>
      </c>
      <c r="L161" s="73">
        <v>-443.89999999999986</v>
      </c>
    </row>
    <row r="162" spans="11:12" x14ac:dyDescent="0.4">
      <c r="K162" s="5">
        <v>160</v>
      </c>
      <c r="L162" s="73">
        <v>-421.7999999999999</v>
      </c>
    </row>
    <row r="163" spans="11:12" x14ac:dyDescent="0.4">
      <c r="K163" s="5">
        <v>161</v>
      </c>
      <c r="L163" s="73">
        <v>-399.69999999999993</v>
      </c>
    </row>
    <row r="164" spans="11:12" x14ac:dyDescent="0.4">
      <c r="K164" s="5">
        <v>162</v>
      </c>
      <c r="L164" s="73">
        <v>-373.99999999999989</v>
      </c>
    </row>
    <row r="165" spans="11:12" x14ac:dyDescent="0.4">
      <c r="K165" s="5">
        <v>163</v>
      </c>
      <c r="L165" s="73">
        <v>-334.39999999999992</v>
      </c>
    </row>
    <row r="166" spans="11:12" x14ac:dyDescent="0.4">
      <c r="K166" s="5">
        <v>164</v>
      </c>
      <c r="L166" s="73">
        <v>-299.09999999999991</v>
      </c>
    </row>
    <row r="167" spans="11:12" x14ac:dyDescent="0.4">
      <c r="K167" s="5">
        <v>165</v>
      </c>
      <c r="L167" s="73">
        <v>-292.99999999999989</v>
      </c>
    </row>
    <row r="168" spans="11:12" x14ac:dyDescent="0.4">
      <c r="K168" s="5">
        <v>166</v>
      </c>
      <c r="L168" s="73">
        <v>-298.09999999999991</v>
      </c>
    </row>
    <row r="169" spans="11:12" x14ac:dyDescent="0.4">
      <c r="K169" s="5">
        <v>167</v>
      </c>
      <c r="L169" s="73">
        <v>-292.89999999999992</v>
      </c>
    </row>
    <row r="170" spans="11:12" x14ac:dyDescent="0.4">
      <c r="K170" s="5">
        <v>168</v>
      </c>
      <c r="L170" s="73">
        <v>-300.79999999999995</v>
      </c>
    </row>
    <row r="171" spans="11:12" x14ac:dyDescent="0.4">
      <c r="K171" s="5">
        <v>169</v>
      </c>
      <c r="L171" s="73">
        <v>-301.79999999999995</v>
      </c>
    </row>
    <row r="172" spans="11:12" x14ac:dyDescent="0.4">
      <c r="K172" s="5">
        <v>170</v>
      </c>
      <c r="L172" s="73">
        <v>-347.09999999999991</v>
      </c>
    </row>
    <row r="173" spans="11:12" x14ac:dyDescent="0.4">
      <c r="K173" s="5">
        <v>171</v>
      </c>
      <c r="L173" s="73">
        <v>-355.99999999999989</v>
      </c>
    </row>
    <row r="174" spans="11:12" x14ac:dyDescent="0.4">
      <c r="K174" s="5">
        <v>172</v>
      </c>
      <c r="L174" s="73">
        <v>-359.49999999999989</v>
      </c>
    </row>
    <row r="175" spans="11:12" x14ac:dyDescent="0.4">
      <c r="K175" s="5">
        <v>173</v>
      </c>
      <c r="L175" s="73">
        <v>-351.49999999999989</v>
      </c>
    </row>
    <row r="176" spans="11:12" x14ac:dyDescent="0.4">
      <c r="K176" s="5">
        <v>174</v>
      </c>
      <c r="L176" s="73">
        <v>-296.99999999999989</v>
      </c>
    </row>
    <row r="177" spans="11:12" x14ac:dyDescent="0.4">
      <c r="K177" s="5">
        <v>175</v>
      </c>
      <c r="L177" s="73">
        <v>-307.59999999999991</v>
      </c>
    </row>
    <row r="178" spans="11:12" x14ac:dyDescent="0.4">
      <c r="K178" s="5">
        <v>176</v>
      </c>
      <c r="L178" s="73">
        <v>-302.99999999999989</v>
      </c>
    </row>
    <row r="179" spans="11:12" x14ac:dyDescent="0.4">
      <c r="K179" s="5">
        <v>177</v>
      </c>
      <c r="L179" s="73">
        <v>-305.49999999999989</v>
      </c>
    </row>
    <row r="180" spans="11:12" x14ac:dyDescent="0.4">
      <c r="K180" s="5">
        <v>178</v>
      </c>
      <c r="L180" s="73">
        <v>-361.49999999999989</v>
      </c>
    </row>
    <row r="181" spans="11:12" x14ac:dyDescent="0.4">
      <c r="K181" s="5">
        <v>179</v>
      </c>
      <c r="L181" s="73">
        <v>-349.09999999999991</v>
      </c>
    </row>
    <row r="182" spans="11:12" x14ac:dyDescent="0.4">
      <c r="K182" s="5">
        <v>180</v>
      </c>
      <c r="L182" s="73">
        <v>-409.39999999999992</v>
      </c>
    </row>
    <row r="183" spans="11:12" x14ac:dyDescent="0.4">
      <c r="K183" s="5">
        <v>181</v>
      </c>
      <c r="L183" s="73">
        <v>-410.89999999999992</v>
      </c>
    </row>
    <row r="184" spans="11:12" x14ac:dyDescent="0.4">
      <c r="K184" s="5">
        <v>182</v>
      </c>
      <c r="L184" s="73">
        <v>-363.49999999999989</v>
      </c>
    </row>
    <row r="185" spans="11:12" x14ac:dyDescent="0.4">
      <c r="K185" s="5">
        <v>183</v>
      </c>
      <c r="L185" s="73">
        <v>-289.89999999999992</v>
      </c>
    </row>
    <row r="186" spans="11:12" x14ac:dyDescent="0.4">
      <c r="K186" s="5">
        <v>184</v>
      </c>
      <c r="L186" s="73">
        <v>-323.49999999999989</v>
      </c>
    </row>
    <row r="187" spans="11:12" x14ac:dyDescent="0.4">
      <c r="K187" s="5">
        <v>185</v>
      </c>
      <c r="L187" s="73">
        <v>-308.39999999999992</v>
      </c>
    </row>
    <row r="188" spans="11:12" x14ac:dyDescent="0.4">
      <c r="K188" s="5">
        <v>186</v>
      </c>
      <c r="L188" s="73">
        <v>-369.29999999999995</v>
      </c>
    </row>
    <row r="189" spans="11:12" x14ac:dyDescent="0.4">
      <c r="K189" s="5">
        <v>187</v>
      </c>
      <c r="L189" s="73">
        <v>-426.99999999999994</v>
      </c>
    </row>
    <row r="190" spans="11:12" x14ac:dyDescent="0.4">
      <c r="K190" s="5">
        <v>188</v>
      </c>
      <c r="L190" s="73">
        <v>-482.49999999999994</v>
      </c>
    </row>
    <row r="191" spans="11:12" x14ac:dyDescent="0.4">
      <c r="K191" s="5">
        <v>189</v>
      </c>
      <c r="L191" s="73">
        <v>-542.4</v>
      </c>
    </row>
    <row r="192" spans="11:12" x14ac:dyDescent="0.4">
      <c r="K192" s="5">
        <v>190</v>
      </c>
      <c r="L192" s="73">
        <v>-487.89999999999992</v>
      </c>
    </row>
    <row r="193" spans="11:12" x14ac:dyDescent="0.4">
      <c r="K193" s="5">
        <v>191</v>
      </c>
      <c r="L193" s="73">
        <v>-543.29999999999995</v>
      </c>
    </row>
    <row r="194" spans="11:12" x14ac:dyDescent="0.4">
      <c r="K194" s="5">
        <v>192</v>
      </c>
      <c r="L194" s="73">
        <v>-539.19999999999993</v>
      </c>
    </row>
    <row r="195" spans="11:12" x14ac:dyDescent="0.4">
      <c r="K195" s="5">
        <v>193</v>
      </c>
      <c r="L195" s="73">
        <v>-567.79999999999995</v>
      </c>
    </row>
    <row r="196" spans="11:12" x14ac:dyDescent="0.4">
      <c r="K196" s="5">
        <v>194</v>
      </c>
      <c r="L196" s="73">
        <v>-594.09999999999991</v>
      </c>
    </row>
    <row r="197" spans="11:12" x14ac:dyDescent="0.4">
      <c r="K197" s="5">
        <v>195</v>
      </c>
      <c r="L197" s="73">
        <v>-633.59999999999991</v>
      </c>
    </row>
    <row r="198" spans="11:12" x14ac:dyDescent="0.4">
      <c r="K198" s="5">
        <v>196</v>
      </c>
      <c r="L198" s="73">
        <v>-629.49999999999989</v>
      </c>
    </row>
    <row r="199" spans="11:12" x14ac:dyDescent="0.4">
      <c r="K199" s="5">
        <v>197</v>
      </c>
      <c r="L199" s="73">
        <v>-550.49999999999989</v>
      </c>
    </row>
    <row r="200" spans="11:12" x14ac:dyDescent="0.4">
      <c r="K200" s="5">
        <v>198</v>
      </c>
      <c r="L200" s="73">
        <v>-584.49999999999989</v>
      </c>
    </row>
    <row r="201" spans="11:12" x14ac:dyDescent="0.4">
      <c r="K201" s="5">
        <v>199</v>
      </c>
      <c r="L201" s="73">
        <v>-597.49999999999989</v>
      </c>
    </row>
    <row r="202" spans="11:12" x14ac:dyDescent="0.4">
      <c r="K202" s="5">
        <v>200</v>
      </c>
      <c r="L202" s="73">
        <v>-600.59999999999991</v>
      </c>
    </row>
    <row r="203" spans="11:12" x14ac:dyDescent="0.4">
      <c r="K203" s="5">
        <v>201</v>
      </c>
      <c r="L203" s="73">
        <v>-595.19999999999993</v>
      </c>
    </row>
    <row r="204" spans="11:12" x14ac:dyDescent="0.4">
      <c r="K204" s="5">
        <v>202</v>
      </c>
      <c r="L204" s="73">
        <v>-656.4</v>
      </c>
    </row>
    <row r="205" spans="11:12" x14ac:dyDescent="0.4">
      <c r="K205" s="5">
        <v>203</v>
      </c>
      <c r="L205" s="73">
        <v>-628.09999999999991</v>
      </c>
    </row>
    <row r="206" spans="11:12" x14ac:dyDescent="0.4">
      <c r="K206" s="5">
        <v>204</v>
      </c>
      <c r="L206" s="73">
        <v>-635.69999999999993</v>
      </c>
    </row>
    <row r="207" spans="11:12" x14ac:dyDescent="0.4">
      <c r="K207" s="5">
        <v>205</v>
      </c>
      <c r="L207" s="73">
        <v>-682.69999999999993</v>
      </c>
    </row>
    <row r="208" spans="11:12" x14ac:dyDescent="0.4">
      <c r="K208" s="5">
        <v>206</v>
      </c>
      <c r="L208" s="73">
        <v>-679.8</v>
      </c>
    </row>
    <row r="209" spans="11:12" x14ac:dyDescent="0.4">
      <c r="K209" s="5">
        <v>207</v>
      </c>
      <c r="L209" s="73">
        <v>-649.49999999999989</v>
      </c>
    </row>
    <row r="210" spans="11:12" x14ac:dyDescent="0.4">
      <c r="K210" s="5">
        <v>208</v>
      </c>
      <c r="L210" s="73">
        <v>-654.99999999999989</v>
      </c>
    </row>
    <row r="211" spans="11:12" x14ac:dyDescent="0.4">
      <c r="K211" s="5">
        <v>209</v>
      </c>
      <c r="L211" s="73">
        <v>-687.89999999999986</v>
      </c>
    </row>
    <row r="212" spans="11:12" x14ac:dyDescent="0.4">
      <c r="K212" s="5">
        <v>210</v>
      </c>
      <c r="L212" s="73">
        <v>-642.79999999999995</v>
      </c>
    </row>
    <row r="213" spans="11:12" x14ac:dyDescent="0.4">
      <c r="K213" s="5">
        <v>211</v>
      </c>
      <c r="L213" s="73">
        <v>-597.4</v>
      </c>
    </row>
    <row r="214" spans="11:12" x14ac:dyDescent="0.4">
      <c r="K214" s="5">
        <v>212</v>
      </c>
      <c r="L214" s="73">
        <v>-656.09999999999991</v>
      </c>
    </row>
    <row r="215" spans="11:12" x14ac:dyDescent="0.4">
      <c r="K215" s="5">
        <v>213</v>
      </c>
      <c r="L215" s="73">
        <v>-649.4</v>
      </c>
    </row>
    <row r="216" spans="11:12" x14ac:dyDescent="0.4">
      <c r="K216" s="5">
        <v>214</v>
      </c>
      <c r="L216" s="73">
        <v>-643.29999999999995</v>
      </c>
    </row>
    <row r="217" spans="11:12" x14ac:dyDescent="0.4">
      <c r="K217" s="5">
        <v>215</v>
      </c>
      <c r="L217" s="73">
        <v>-696.09999999999991</v>
      </c>
    </row>
    <row r="218" spans="11:12" x14ac:dyDescent="0.4">
      <c r="K218" s="5">
        <v>216</v>
      </c>
      <c r="L218" s="73">
        <v>-613.79999999999995</v>
      </c>
    </row>
    <row r="219" spans="11:12" x14ac:dyDescent="0.4">
      <c r="K219" s="5">
        <v>217</v>
      </c>
      <c r="L219" s="73">
        <v>-591.4</v>
      </c>
    </row>
    <row r="220" spans="11:12" x14ac:dyDescent="0.4">
      <c r="K220" s="5">
        <v>218</v>
      </c>
      <c r="L220" s="73">
        <v>-616</v>
      </c>
    </row>
    <row r="221" spans="11:12" x14ac:dyDescent="0.4">
      <c r="K221" s="5">
        <v>219</v>
      </c>
      <c r="L221" s="73">
        <v>-621.29999999999995</v>
      </c>
    </row>
    <row r="222" spans="11:12" x14ac:dyDescent="0.4">
      <c r="K222" s="5">
        <v>220</v>
      </c>
      <c r="L222" s="73">
        <v>-633.9</v>
      </c>
    </row>
    <row r="223" spans="11:12" x14ac:dyDescent="0.4">
      <c r="K223" s="5">
        <v>221</v>
      </c>
      <c r="L223" s="73">
        <v>-567.69999999999993</v>
      </c>
    </row>
    <row r="224" spans="11:12" x14ac:dyDescent="0.4">
      <c r="K224" s="5">
        <v>222</v>
      </c>
      <c r="L224" s="73">
        <v>-603.29999999999995</v>
      </c>
    </row>
    <row r="225" spans="11:12" x14ac:dyDescent="0.4">
      <c r="K225" s="5">
        <v>223</v>
      </c>
      <c r="L225" s="73">
        <v>-640.09999999999991</v>
      </c>
    </row>
    <row r="226" spans="11:12" x14ac:dyDescent="0.4">
      <c r="K226" s="5">
        <v>224</v>
      </c>
      <c r="L226" s="73">
        <v>-630.09999999999991</v>
      </c>
    </row>
    <row r="227" spans="11:12" x14ac:dyDescent="0.4">
      <c r="K227" s="5">
        <v>225</v>
      </c>
      <c r="L227" s="73">
        <v>-587.59999999999991</v>
      </c>
    </row>
    <row r="228" spans="11:12" x14ac:dyDescent="0.4">
      <c r="K228" s="5">
        <v>226</v>
      </c>
      <c r="L228" s="73">
        <v>-594.59999999999991</v>
      </c>
    </row>
    <row r="229" spans="11:12" x14ac:dyDescent="0.4">
      <c r="K229" s="5">
        <v>227</v>
      </c>
      <c r="L229" s="73">
        <v>-628.79999999999995</v>
      </c>
    </row>
    <row r="230" spans="11:12" x14ac:dyDescent="0.4">
      <c r="K230" s="5">
        <v>228</v>
      </c>
      <c r="L230" s="73">
        <v>-687.3</v>
      </c>
    </row>
    <row r="231" spans="11:12" x14ac:dyDescent="0.4">
      <c r="K231" s="5">
        <v>229</v>
      </c>
      <c r="L231" s="73">
        <v>-765.3</v>
      </c>
    </row>
    <row r="232" spans="11:12" x14ac:dyDescent="0.4">
      <c r="K232" s="5">
        <v>230</v>
      </c>
      <c r="L232" s="73">
        <v>-756.49999999999989</v>
      </c>
    </row>
    <row r="233" spans="11:12" x14ac:dyDescent="0.4">
      <c r="K233" s="5">
        <v>231</v>
      </c>
      <c r="L233" s="73">
        <v>-746.89999999999986</v>
      </c>
    </row>
    <row r="234" spans="11:12" x14ac:dyDescent="0.4">
      <c r="K234" s="5">
        <v>232</v>
      </c>
      <c r="L234" s="73">
        <v>-811.99999999999989</v>
      </c>
    </row>
    <row r="235" spans="11:12" x14ac:dyDescent="0.4">
      <c r="K235" s="5">
        <v>233</v>
      </c>
      <c r="L235" s="73">
        <v>-780.39999999999986</v>
      </c>
    </row>
    <row r="236" spans="11:12" x14ac:dyDescent="0.4">
      <c r="K236" s="5">
        <v>234</v>
      </c>
      <c r="L236" s="73">
        <v>-812.09999999999991</v>
      </c>
    </row>
    <row r="237" spans="11:12" x14ac:dyDescent="0.4">
      <c r="K237" s="5">
        <v>235</v>
      </c>
      <c r="L237" s="73">
        <v>-748.99999999999989</v>
      </c>
    </row>
    <row r="238" spans="11:12" x14ac:dyDescent="0.4">
      <c r="K238" s="5">
        <v>236</v>
      </c>
      <c r="L238" s="73">
        <v>-759.49999999999989</v>
      </c>
    </row>
    <row r="239" spans="11:12" x14ac:dyDescent="0.4">
      <c r="K239" s="5">
        <v>237</v>
      </c>
      <c r="L239" s="73">
        <v>-792.8</v>
      </c>
    </row>
    <row r="240" spans="11:12" x14ac:dyDescent="0.4">
      <c r="K240" s="5">
        <v>238</v>
      </c>
      <c r="L240" s="73">
        <v>-832.39999999999986</v>
      </c>
    </row>
    <row r="241" spans="11:12" x14ac:dyDescent="0.4">
      <c r="K241" s="5">
        <v>239</v>
      </c>
      <c r="L241" s="73">
        <v>-862.19999999999993</v>
      </c>
    </row>
    <row r="242" spans="11:12" x14ac:dyDescent="0.4">
      <c r="K242" s="5">
        <v>240</v>
      </c>
      <c r="L242" s="73">
        <v>-921.39999999999986</v>
      </c>
    </row>
    <row r="243" spans="11:12" x14ac:dyDescent="0.4">
      <c r="K243" s="5">
        <v>241</v>
      </c>
      <c r="L243" s="73">
        <v>-886</v>
      </c>
    </row>
    <row r="244" spans="11:12" x14ac:dyDescent="0.4">
      <c r="K244" s="5">
        <v>242</v>
      </c>
      <c r="L244" s="73">
        <v>-943.5</v>
      </c>
    </row>
    <row r="245" spans="11:12" x14ac:dyDescent="0.4">
      <c r="K245" s="5">
        <v>243</v>
      </c>
      <c r="L245" s="73">
        <v>-916.3</v>
      </c>
    </row>
    <row r="246" spans="11:12" x14ac:dyDescent="0.4">
      <c r="K246" s="5">
        <v>244</v>
      </c>
      <c r="L246" s="73">
        <v>-952.5</v>
      </c>
    </row>
    <row r="247" spans="11:12" x14ac:dyDescent="0.4">
      <c r="K247" s="5">
        <v>245</v>
      </c>
      <c r="L247" s="73">
        <v>-967</v>
      </c>
    </row>
    <row r="248" spans="11:12" x14ac:dyDescent="0.4">
      <c r="K248" s="5">
        <v>246</v>
      </c>
      <c r="L248" s="73">
        <v>-977.39999999999986</v>
      </c>
    </row>
    <row r="249" spans="11:12" x14ac:dyDescent="0.4">
      <c r="K249" s="5">
        <v>247</v>
      </c>
      <c r="L249" s="73">
        <v>-902.19999999999993</v>
      </c>
    </row>
    <row r="250" spans="11:12" x14ac:dyDescent="0.4">
      <c r="K250" s="5">
        <v>248</v>
      </c>
      <c r="L250" s="73">
        <v>-932.8</v>
      </c>
    </row>
    <row r="251" spans="11:12" x14ac:dyDescent="0.4">
      <c r="K251" s="5">
        <v>249</v>
      </c>
      <c r="L251" s="73">
        <v>-888</v>
      </c>
    </row>
    <row r="252" spans="11:12" x14ac:dyDescent="0.4">
      <c r="K252" s="5">
        <v>250</v>
      </c>
      <c r="L252" s="73">
        <v>-825.5</v>
      </c>
    </row>
    <row r="253" spans="11:12" x14ac:dyDescent="0.4">
      <c r="K253" s="5">
        <v>251</v>
      </c>
      <c r="L253" s="73">
        <v>-863.19999999999993</v>
      </c>
    </row>
    <row r="254" spans="11:12" x14ac:dyDescent="0.4">
      <c r="K254" s="5">
        <v>252</v>
      </c>
      <c r="L254" s="73">
        <v>-842.69999999999993</v>
      </c>
    </row>
    <row r="255" spans="11:12" x14ac:dyDescent="0.4">
      <c r="K255" s="5">
        <v>253</v>
      </c>
      <c r="L255" s="73">
        <v>-835.3</v>
      </c>
    </row>
    <row r="256" spans="11:12" x14ac:dyDescent="0.4">
      <c r="K256" s="5">
        <v>254</v>
      </c>
      <c r="L256" s="73">
        <v>-846.09999999999991</v>
      </c>
    </row>
    <row r="257" spans="11:12" x14ac:dyDescent="0.4">
      <c r="K257" s="5">
        <v>255</v>
      </c>
      <c r="L257" s="73">
        <v>-862.2</v>
      </c>
    </row>
    <row r="258" spans="11:12" x14ac:dyDescent="0.4">
      <c r="K258" s="5">
        <v>256</v>
      </c>
      <c r="L258" s="73">
        <v>-787.4</v>
      </c>
    </row>
    <row r="259" spans="11:12" x14ac:dyDescent="0.4">
      <c r="K259" s="5">
        <v>257</v>
      </c>
      <c r="L259" s="73">
        <v>-866.09999999999991</v>
      </c>
    </row>
    <row r="260" spans="11:12" x14ac:dyDescent="0.4">
      <c r="K260" s="5">
        <v>258</v>
      </c>
      <c r="L260" s="73">
        <v>-854.5</v>
      </c>
    </row>
    <row r="261" spans="11:12" x14ac:dyDescent="0.4">
      <c r="K261" s="5">
        <v>259</v>
      </c>
      <c r="L261" s="73">
        <v>-851.89999999999986</v>
      </c>
    </row>
    <row r="262" spans="11:12" x14ac:dyDescent="0.4">
      <c r="K262" s="5">
        <v>260</v>
      </c>
      <c r="L262" s="73">
        <v>-863</v>
      </c>
    </row>
    <row r="263" spans="11:12" x14ac:dyDescent="0.4">
      <c r="K263" s="5">
        <v>261</v>
      </c>
      <c r="L263" s="73">
        <v>-885.19999999999993</v>
      </c>
    </row>
    <row r="264" spans="11:12" x14ac:dyDescent="0.4">
      <c r="K264" s="5">
        <v>262</v>
      </c>
      <c r="L264" s="73">
        <v>-909.5</v>
      </c>
    </row>
    <row r="265" spans="11:12" x14ac:dyDescent="0.4">
      <c r="K265" s="5">
        <v>263</v>
      </c>
      <c r="L265" s="73">
        <v>-960.59999999999991</v>
      </c>
    </row>
    <row r="266" spans="11:12" x14ac:dyDescent="0.4">
      <c r="K266" s="5">
        <v>264</v>
      </c>
      <c r="L266" s="73">
        <v>-1016.5</v>
      </c>
    </row>
    <row r="267" spans="11:12" x14ac:dyDescent="0.4">
      <c r="K267" s="5">
        <v>265</v>
      </c>
      <c r="L267" s="73">
        <v>-965.19999999999993</v>
      </c>
    </row>
    <row r="268" spans="11:12" x14ac:dyDescent="0.4">
      <c r="K268" s="5">
        <v>266</v>
      </c>
      <c r="L268" s="73">
        <v>-1022.8999999999999</v>
      </c>
    </row>
    <row r="269" spans="11:12" x14ac:dyDescent="0.4">
      <c r="K269" s="5">
        <v>267</v>
      </c>
      <c r="L269" s="73">
        <v>-988.19999999999993</v>
      </c>
    </row>
    <row r="270" spans="11:12" x14ac:dyDescent="0.4">
      <c r="K270" s="5">
        <v>268</v>
      </c>
      <c r="L270" s="73">
        <v>-976.59999999999991</v>
      </c>
    </row>
    <row r="271" spans="11:12" x14ac:dyDescent="0.4">
      <c r="K271" s="5">
        <v>269</v>
      </c>
      <c r="L271" s="73">
        <v>-883.99999999999989</v>
      </c>
    </row>
    <row r="272" spans="11:12" x14ac:dyDescent="0.4">
      <c r="K272" s="5">
        <v>270</v>
      </c>
      <c r="L272" s="73">
        <v>-893.69999999999982</v>
      </c>
    </row>
    <row r="273" spans="11:12" x14ac:dyDescent="0.4">
      <c r="K273" s="5">
        <v>271</v>
      </c>
      <c r="L273" s="73">
        <v>-848.69999999999982</v>
      </c>
    </row>
    <row r="274" spans="11:12" x14ac:dyDescent="0.4">
      <c r="K274" s="5">
        <v>272</v>
      </c>
      <c r="L274" s="73">
        <v>-859.49999999999989</v>
      </c>
    </row>
    <row r="275" spans="11:12" x14ac:dyDescent="0.4">
      <c r="K275" s="5">
        <v>273</v>
      </c>
      <c r="L275" s="73">
        <v>-861.8</v>
      </c>
    </row>
    <row r="276" spans="11:12" x14ac:dyDescent="0.4">
      <c r="K276" s="5">
        <v>274</v>
      </c>
      <c r="L276" s="73">
        <v>-886.3</v>
      </c>
    </row>
    <row r="277" spans="11:12" x14ac:dyDescent="0.4">
      <c r="K277" s="5">
        <v>275</v>
      </c>
      <c r="L277" s="73">
        <v>-942.19999999999982</v>
      </c>
    </row>
    <row r="278" spans="11:12" x14ac:dyDescent="0.4">
      <c r="K278" s="5">
        <v>276</v>
      </c>
      <c r="L278" s="73">
        <v>-879.69999999999982</v>
      </c>
    </row>
    <row r="279" spans="11:12" x14ac:dyDescent="0.4">
      <c r="K279" s="5">
        <v>277</v>
      </c>
      <c r="L279" s="73">
        <v>-911.8</v>
      </c>
    </row>
    <row r="280" spans="11:12" x14ac:dyDescent="0.4">
      <c r="K280" s="5">
        <v>278</v>
      </c>
      <c r="L280" s="73">
        <v>-919.19999999999982</v>
      </c>
    </row>
    <row r="281" spans="11:12" x14ac:dyDescent="0.4">
      <c r="K281" s="5">
        <v>279</v>
      </c>
      <c r="L281" s="73">
        <v>-978.69999999999982</v>
      </c>
    </row>
    <row r="282" spans="11:12" x14ac:dyDescent="0.4">
      <c r="K282" s="5">
        <v>280</v>
      </c>
      <c r="L282" s="73">
        <v>-919.89999999999986</v>
      </c>
    </row>
    <row r="283" spans="11:12" x14ac:dyDescent="0.4">
      <c r="K283" s="5">
        <v>281</v>
      </c>
      <c r="L283" s="73">
        <v>-955.89999999999986</v>
      </c>
    </row>
    <row r="284" spans="11:12" x14ac:dyDescent="0.4">
      <c r="K284" s="5">
        <v>282</v>
      </c>
      <c r="L284" s="73">
        <v>-959.49999999999989</v>
      </c>
    </row>
    <row r="285" spans="11:12" x14ac:dyDescent="0.4">
      <c r="K285" s="5">
        <v>283</v>
      </c>
      <c r="L285" s="73">
        <v>-931.99999999999989</v>
      </c>
    </row>
    <row r="286" spans="11:12" x14ac:dyDescent="0.4">
      <c r="K286" s="5">
        <v>284</v>
      </c>
      <c r="L286" s="73">
        <v>-898.59999999999991</v>
      </c>
    </row>
    <row r="287" spans="11:12" x14ac:dyDescent="0.4">
      <c r="K287" s="5">
        <v>285</v>
      </c>
      <c r="L287" s="73">
        <v>-906.19999999999993</v>
      </c>
    </row>
    <row r="288" spans="11:12" x14ac:dyDescent="0.4">
      <c r="K288" s="5">
        <v>286</v>
      </c>
      <c r="L288" s="73">
        <v>-862.5</v>
      </c>
    </row>
    <row r="289" spans="11:12" x14ac:dyDescent="0.4">
      <c r="K289" s="5">
        <v>287</v>
      </c>
      <c r="L289" s="73">
        <v>-863</v>
      </c>
    </row>
    <row r="290" spans="11:12" x14ac:dyDescent="0.4">
      <c r="K290" s="5">
        <v>288</v>
      </c>
      <c r="L290" s="73">
        <v>-895.8</v>
      </c>
    </row>
    <row r="291" spans="11:12" x14ac:dyDescent="0.4">
      <c r="K291" s="5">
        <v>289</v>
      </c>
      <c r="L291" s="73">
        <v>-897.59999999999991</v>
      </c>
    </row>
    <row r="292" spans="11:12" x14ac:dyDescent="0.4">
      <c r="K292" s="5">
        <v>290</v>
      </c>
      <c r="L292" s="73">
        <v>-954.4</v>
      </c>
    </row>
    <row r="293" spans="11:12" x14ac:dyDescent="0.4">
      <c r="K293" s="5">
        <v>291</v>
      </c>
      <c r="L293" s="73">
        <v>-986.9</v>
      </c>
    </row>
    <row r="294" spans="11:12" x14ac:dyDescent="0.4">
      <c r="K294" s="5">
        <v>292</v>
      </c>
      <c r="L294" s="73">
        <v>-999.59999999999991</v>
      </c>
    </row>
    <row r="295" spans="11:12" x14ac:dyDescent="0.4">
      <c r="K295" s="5">
        <v>293</v>
      </c>
      <c r="L295" s="73">
        <v>-1042.7</v>
      </c>
    </row>
    <row r="296" spans="11:12" x14ac:dyDescent="0.4">
      <c r="K296" s="5">
        <v>294</v>
      </c>
      <c r="L296" s="73">
        <v>-1016.2</v>
      </c>
    </row>
    <row r="297" spans="11:12" x14ac:dyDescent="0.4">
      <c r="K297" s="5">
        <v>295</v>
      </c>
      <c r="L297" s="73">
        <v>-975.4</v>
      </c>
    </row>
    <row r="298" spans="11:12" x14ac:dyDescent="0.4">
      <c r="K298" s="5">
        <v>296</v>
      </c>
      <c r="L298" s="73">
        <v>-978.4</v>
      </c>
    </row>
    <row r="299" spans="11:12" x14ac:dyDescent="0.4">
      <c r="K299" s="5">
        <v>297</v>
      </c>
      <c r="L299" s="73">
        <v>-919.59999999999991</v>
      </c>
    </row>
    <row r="300" spans="11:12" x14ac:dyDescent="0.4">
      <c r="K300" s="5">
        <v>298</v>
      </c>
      <c r="L300" s="73">
        <v>-911</v>
      </c>
    </row>
    <row r="301" spans="11:12" x14ac:dyDescent="0.4">
      <c r="K301" s="5">
        <v>299</v>
      </c>
      <c r="L301" s="73">
        <v>-946.69999999999993</v>
      </c>
    </row>
    <row r="302" spans="11:12" x14ac:dyDescent="0.4">
      <c r="K302" s="5">
        <v>300</v>
      </c>
      <c r="L302" s="73">
        <v>-941.5</v>
      </c>
    </row>
    <row r="303" spans="11:12" x14ac:dyDescent="0.4">
      <c r="K303" s="5">
        <v>301</v>
      </c>
      <c r="L303" s="73">
        <v>-948.89999999999986</v>
      </c>
    </row>
    <row r="304" spans="11:12" x14ac:dyDescent="0.4">
      <c r="K304" s="5">
        <v>302</v>
      </c>
      <c r="L304" s="73">
        <v>-900.89999999999986</v>
      </c>
    </row>
    <row r="305" spans="11:12" x14ac:dyDescent="0.4">
      <c r="K305" s="5">
        <v>303</v>
      </c>
      <c r="L305" s="73">
        <v>-973.49999999999989</v>
      </c>
    </row>
    <row r="306" spans="11:12" x14ac:dyDescent="0.4">
      <c r="K306" s="5">
        <v>304</v>
      </c>
      <c r="L306" s="73">
        <v>-1029.3</v>
      </c>
    </row>
    <row r="307" spans="11:12" x14ac:dyDescent="0.4">
      <c r="K307" s="5">
        <v>305</v>
      </c>
      <c r="L307" s="73">
        <v>-1077.6999999999998</v>
      </c>
    </row>
    <row r="308" spans="11:12" x14ac:dyDescent="0.4">
      <c r="K308" s="5">
        <v>306</v>
      </c>
      <c r="L308" s="73">
        <v>-1115.4999999999998</v>
      </c>
    </row>
    <row r="309" spans="11:12" x14ac:dyDescent="0.4">
      <c r="K309" s="5">
        <v>307</v>
      </c>
      <c r="L309" s="73">
        <v>-1107.7999999999997</v>
      </c>
    </row>
    <row r="310" spans="11:12" x14ac:dyDescent="0.4">
      <c r="K310" s="5">
        <v>308</v>
      </c>
      <c r="L310" s="73">
        <v>-1095.2999999999997</v>
      </c>
    </row>
    <row r="311" spans="11:12" x14ac:dyDescent="0.4">
      <c r="K311" s="5">
        <v>309</v>
      </c>
      <c r="L311" s="73">
        <v>-1132.5999999999999</v>
      </c>
    </row>
    <row r="312" spans="11:12" x14ac:dyDescent="0.4">
      <c r="K312" s="5">
        <v>310</v>
      </c>
      <c r="L312" s="73">
        <v>-1111.3999999999999</v>
      </c>
    </row>
    <row r="313" spans="11:12" x14ac:dyDescent="0.4">
      <c r="K313" s="5">
        <v>311</v>
      </c>
      <c r="L313" s="73">
        <v>-1135.0999999999999</v>
      </c>
    </row>
    <row r="314" spans="11:12" x14ac:dyDescent="0.4">
      <c r="K314" s="5">
        <v>312</v>
      </c>
      <c r="L314" s="73">
        <v>-1117.1999999999998</v>
      </c>
    </row>
    <row r="315" spans="11:12" x14ac:dyDescent="0.4">
      <c r="K315" s="5">
        <v>313</v>
      </c>
      <c r="L315" s="73">
        <v>-1140.6999999999998</v>
      </c>
    </row>
    <row r="316" spans="11:12" x14ac:dyDescent="0.4">
      <c r="K316" s="5">
        <v>314</v>
      </c>
      <c r="L316" s="73">
        <v>-1151.8999999999999</v>
      </c>
    </row>
    <row r="317" spans="11:12" x14ac:dyDescent="0.4">
      <c r="K317" s="5">
        <v>315</v>
      </c>
      <c r="L317" s="73">
        <v>-1194.8999999999999</v>
      </c>
    </row>
    <row r="318" spans="11:12" x14ac:dyDescent="0.4">
      <c r="K318" s="5">
        <v>316</v>
      </c>
      <c r="L318" s="73">
        <v>-1254.9999999999998</v>
      </c>
    </row>
    <row r="319" spans="11:12" x14ac:dyDescent="0.4">
      <c r="K319" s="5">
        <v>317</v>
      </c>
      <c r="L319" s="73">
        <v>-1236.2999999999997</v>
      </c>
    </row>
    <row r="320" spans="11:12" x14ac:dyDescent="0.4">
      <c r="K320" s="5">
        <v>318</v>
      </c>
      <c r="L320" s="73">
        <v>-1284.9999999999998</v>
      </c>
    </row>
    <row r="321" spans="11:12" x14ac:dyDescent="0.4">
      <c r="K321" s="5">
        <v>319</v>
      </c>
      <c r="L321" s="73">
        <v>-1282.4999999999998</v>
      </c>
    </row>
    <row r="322" spans="11:12" x14ac:dyDescent="0.4">
      <c r="K322" s="5">
        <v>320</v>
      </c>
      <c r="L322" s="73">
        <v>-1299.1999999999998</v>
      </c>
    </row>
    <row r="323" spans="11:12" x14ac:dyDescent="0.4">
      <c r="K323" s="5">
        <v>321</v>
      </c>
      <c r="L323" s="73">
        <v>-1301.9999999999998</v>
      </c>
    </row>
    <row r="324" spans="11:12" x14ac:dyDescent="0.4">
      <c r="K324" s="5">
        <v>322</v>
      </c>
      <c r="L324" s="73">
        <v>-1329.1</v>
      </c>
    </row>
    <row r="325" spans="11:12" x14ac:dyDescent="0.4">
      <c r="K325" s="5">
        <v>323</v>
      </c>
      <c r="L325" s="73">
        <v>-1317.6999999999998</v>
      </c>
    </row>
    <row r="326" spans="11:12" x14ac:dyDescent="0.4">
      <c r="K326" s="5">
        <v>324</v>
      </c>
      <c r="L326" s="73">
        <v>-1295.6999999999998</v>
      </c>
    </row>
    <row r="327" spans="11:12" x14ac:dyDescent="0.4">
      <c r="K327" s="5">
        <v>325</v>
      </c>
      <c r="L327" s="73">
        <v>-1255.2999999999997</v>
      </c>
    </row>
    <row r="328" spans="11:12" x14ac:dyDescent="0.4">
      <c r="K328" s="5">
        <v>326</v>
      </c>
      <c r="L328" s="73">
        <v>-1210.9999999999998</v>
      </c>
    </row>
    <row r="329" spans="11:12" x14ac:dyDescent="0.4">
      <c r="K329" s="5">
        <v>327</v>
      </c>
      <c r="L329" s="73">
        <v>-1242.2999999999997</v>
      </c>
    </row>
    <row r="330" spans="11:12" x14ac:dyDescent="0.4">
      <c r="K330" s="5">
        <v>328</v>
      </c>
      <c r="L330" s="73">
        <v>-1240.3999999999999</v>
      </c>
    </row>
    <row r="331" spans="11:12" x14ac:dyDescent="0.4">
      <c r="K331" s="5">
        <v>329</v>
      </c>
      <c r="L331" s="73">
        <v>-1240.6999999999998</v>
      </c>
    </row>
    <row r="332" spans="11:12" x14ac:dyDescent="0.4">
      <c r="K332" s="5">
        <v>330</v>
      </c>
      <c r="L332" s="73">
        <v>-1262.6999999999998</v>
      </c>
    </row>
    <row r="333" spans="11:12" x14ac:dyDescent="0.4">
      <c r="K333" s="5">
        <v>331</v>
      </c>
      <c r="L333" s="73">
        <v>-1263.6999999999998</v>
      </c>
    </row>
    <row r="334" spans="11:12" x14ac:dyDescent="0.4">
      <c r="K334" s="5">
        <v>332</v>
      </c>
      <c r="L334" s="73">
        <v>-1240.6999999999998</v>
      </c>
    </row>
    <row r="335" spans="11:12" x14ac:dyDescent="0.4">
      <c r="K335" s="5">
        <v>333</v>
      </c>
      <c r="L335" s="73">
        <v>-1259.3999999999999</v>
      </c>
    </row>
    <row r="336" spans="11:12" x14ac:dyDescent="0.4">
      <c r="K336" s="5">
        <v>334</v>
      </c>
      <c r="L336" s="73">
        <v>-1237.5999999999999</v>
      </c>
    </row>
    <row r="337" spans="11:12" x14ac:dyDescent="0.4">
      <c r="K337" s="5">
        <v>335</v>
      </c>
      <c r="L337" s="73">
        <v>-1253.2999999999997</v>
      </c>
    </row>
    <row r="338" spans="11:12" x14ac:dyDescent="0.4">
      <c r="K338" s="5">
        <v>336</v>
      </c>
      <c r="L338" s="73">
        <v>-1290.2999999999997</v>
      </c>
    </row>
    <row r="339" spans="11:12" x14ac:dyDescent="0.4">
      <c r="K339" s="5">
        <v>337</v>
      </c>
      <c r="L339" s="73">
        <v>-1322.4999999999998</v>
      </c>
    </row>
    <row r="340" spans="11:12" x14ac:dyDescent="0.4">
      <c r="K340" s="5">
        <v>338</v>
      </c>
      <c r="L340" s="73">
        <v>-1338.9999999999998</v>
      </c>
    </row>
    <row r="341" spans="11:12" x14ac:dyDescent="0.4">
      <c r="K341" s="5">
        <v>339</v>
      </c>
      <c r="L341" s="73">
        <v>-1314.4999999999998</v>
      </c>
    </row>
    <row r="342" spans="11:12" x14ac:dyDescent="0.4">
      <c r="K342" s="5">
        <v>340</v>
      </c>
      <c r="L342" s="73">
        <v>-1342.2999999999997</v>
      </c>
    </row>
    <row r="343" spans="11:12" x14ac:dyDescent="0.4">
      <c r="K343" s="5">
        <v>341</v>
      </c>
      <c r="L343" s="73">
        <v>-1329.8999999999999</v>
      </c>
    </row>
    <row r="344" spans="11:12" x14ac:dyDescent="0.4">
      <c r="K344" s="5">
        <v>342</v>
      </c>
      <c r="L344" s="73">
        <v>-1338.6999999999998</v>
      </c>
    </row>
    <row r="345" spans="11:12" x14ac:dyDescent="0.4">
      <c r="K345" s="5">
        <v>343</v>
      </c>
      <c r="L345" s="73">
        <v>-1323.1</v>
      </c>
    </row>
    <row r="346" spans="11:12" x14ac:dyDescent="0.4">
      <c r="K346" s="5">
        <v>344</v>
      </c>
      <c r="L346" s="73">
        <v>-1304.6999999999998</v>
      </c>
    </row>
    <row r="347" spans="11:12" x14ac:dyDescent="0.4">
      <c r="K347" s="5">
        <v>345</v>
      </c>
      <c r="L347" s="73">
        <v>-1346.1</v>
      </c>
    </row>
    <row r="348" spans="11:12" x14ac:dyDescent="0.4">
      <c r="K348" s="5">
        <v>346</v>
      </c>
      <c r="L348" s="73">
        <v>-1342.1</v>
      </c>
    </row>
    <row r="349" spans="11:12" x14ac:dyDescent="0.4">
      <c r="K349" s="5">
        <v>347</v>
      </c>
      <c r="L349" s="73">
        <v>-1346.6</v>
      </c>
    </row>
    <row r="350" spans="11:12" x14ac:dyDescent="0.4">
      <c r="K350" s="5">
        <v>348</v>
      </c>
      <c r="L350" s="73">
        <v>-1377.1</v>
      </c>
    </row>
    <row r="351" spans="11:12" x14ac:dyDescent="0.4">
      <c r="K351" s="5">
        <v>349</v>
      </c>
      <c r="L351" s="73">
        <v>-1408.3999999999999</v>
      </c>
    </row>
    <row r="352" spans="11:12" x14ac:dyDescent="0.4">
      <c r="K352" s="5">
        <v>350</v>
      </c>
      <c r="L352" s="73">
        <v>-1430.7999999999997</v>
      </c>
    </row>
    <row r="353" spans="11:12" x14ac:dyDescent="0.4">
      <c r="K353" s="5">
        <v>351</v>
      </c>
      <c r="L353" s="73">
        <v>-1429.4999999999998</v>
      </c>
    </row>
    <row r="354" spans="11:12" x14ac:dyDescent="0.4">
      <c r="K354" s="5">
        <v>352</v>
      </c>
      <c r="L354" s="73">
        <v>-1423.8999999999996</v>
      </c>
    </row>
    <row r="355" spans="11:12" x14ac:dyDescent="0.4">
      <c r="K355" s="5">
        <v>353</v>
      </c>
      <c r="L355" s="73">
        <v>-1435.0999999999997</v>
      </c>
    </row>
    <row r="356" spans="11:12" x14ac:dyDescent="0.4">
      <c r="K356" s="5">
        <v>354</v>
      </c>
      <c r="L356" s="73">
        <v>-1481.7999999999997</v>
      </c>
    </row>
    <row r="357" spans="11:12" x14ac:dyDescent="0.4">
      <c r="K357" s="5">
        <v>355</v>
      </c>
      <c r="L357" s="73">
        <v>-1478.6999999999998</v>
      </c>
    </row>
    <row r="358" spans="11:12" x14ac:dyDescent="0.4">
      <c r="K358" s="5">
        <v>356</v>
      </c>
      <c r="L358" s="73">
        <v>-1492.4999999999998</v>
      </c>
    </row>
    <row r="359" spans="11:12" x14ac:dyDescent="0.4">
      <c r="K359" s="5">
        <v>357</v>
      </c>
      <c r="L359" s="73">
        <v>-1481.5999999999997</v>
      </c>
    </row>
    <row r="360" spans="11:12" x14ac:dyDescent="0.4">
      <c r="K360" s="5">
        <v>358</v>
      </c>
      <c r="L360" s="73">
        <v>-1464.4999999999998</v>
      </c>
    </row>
    <row r="361" spans="11:12" x14ac:dyDescent="0.4">
      <c r="K361" s="5">
        <v>359</v>
      </c>
      <c r="L361" s="73">
        <v>-1518.9999999999998</v>
      </c>
    </row>
    <row r="362" spans="11:12" x14ac:dyDescent="0.4">
      <c r="K362" s="5">
        <v>360</v>
      </c>
      <c r="L362" s="73">
        <v>-1475.7999999999997</v>
      </c>
    </row>
    <row r="363" spans="11:12" x14ac:dyDescent="0.4">
      <c r="K363" s="5">
        <v>361</v>
      </c>
      <c r="L363" s="73">
        <v>-1471.0999999999997</v>
      </c>
    </row>
    <row r="364" spans="11:12" x14ac:dyDescent="0.4">
      <c r="K364" s="5">
        <v>362</v>
      </c>
      <c r="L364" s="73">
        <v>-1454.1999999999998</v>
      </c>
    </row>
    <row r="365" spans="11:12" x14ac:dyDescent="0.4">
      <c r="K365" s="5">
        <v>363</v>
      </c>
      <c r="L365" s="73">
        <v>-1451.1999999999998</v>
      </c>
    </row>
    <row r="366" spans="11:12" x14ac:dyDescent="0.4">
      <c r="K366" s="5">
        <v>364</v>
      </c>
      <c r="L366" s="73">
        <v>-1476.9999999999998</v>
      </c>
    </row>
    <row r="367" spans="11:12" x14ac:dyDescent="0.4">
      <c r="K367" s="5">
        <v>365</v>
      </c>
      <c r="L367" s="73">
        <v>-1526.4999999999998</v>
      </c>
    </row>
    <row r="368" spans="11:12" x14ac:dyDescent="0.4">
      <c r="K368" s="5">
        <v>366</v>
      </c>
      <c r="L368" s="73">
        <v>-1531.2999999999997</v>
      </c>
    </row>
    <row r="369" spans="11:12" x14ac:dyDescent="0.4">
      <c r="K369" s="5">
        <v>367</v>
      </c>
      <c r="L369" s="73">
        <v>-1579.4999999999998</v>
      </c>
    </row>
    <row r="370" spans="11:12" x14ac:dyDescent="0.4">
      <c r="K370" s="5">
        <v>368</v>
      </c>
      <c r="L370" s="73">
        <v>-1534.9999999999998</v>
      </c>
    </row>
    <row r="371" spans="11:12" x14ac:dyDescent="0.4">
      <c r="K371" s="5">
        <v>369</v>
      </c>
      <c r="L371" s="73">
        <v>-1498.7999999999997</v>
      </c>
    </row>
    <row r="372" spans="11:12" x14ac:dyDescent="0.4">
      <c r="K372" s="5">
        <v>370</v>
      </c>
      <c r="L372" s="73">
        <v>-1543.6</v>
      </c>
    </row>
    <row r="373" spans="11:12" x14ac:dyDescent="0.4">
      <c r="K373" s="5">
        <v>371</v>
      </c>
      <c r="L373" s="73">
        <v>-1519.6</v>
      </c>
    </row>
    <row r="374" spans="11:12" x14ac:dyDescent="0.4">
      <c r="K374" s="5">
        <v>372</v>
      </c>
      <c r="L374" s="73">
        <v>-1555.2999999999997</v>
      </c>
    </row>
    <row r="375" spans="11:12" x14ac:dyDescent="0.4">
      <c r="K375" s="5">
        <v>373</v>
      </c>
      <c r="L375" s="73">
        <v>-1554.9999999999998</v>
      </c>
    </row>
    <row r="376" spans="11:12" x14ac:dyDescent="0.4">
      <c r="K376" s="5">
        <v>374</v>
      </c>
      <c r="L376" s="73">
        <v>-1564.6</v>
      </c>
    </row>
    <row r="377" spans="11:12" x14ac:dyDescent="0.4">
      <c r="K377" s="5">
        <v>375</v>
      </c>
      <c r="L377" s="73">
        <v>-1535.6999999999998</v>
      </c>
    </row>
    <row r="378" spans="11:12" x14ac:dyDescent="0.4">
      <c r="K378" s="5">
        <v>376</v>
      </c>
      <c r="L378" s="73">
        <v>-1562.4999999999998</v>
      </c>
    </row>
    <row r="379" spans="11:12" x14ac:dyDescent="0.4">
      <c r="K379" s="5">
        <v>377</v>
      </c>
      <c r="L379" s="73">
        <v>-1584.1</v>
      </c>
    </row>
    <row r="380" spans="11:12" x14ac:dyDescent="0.4">
      <c r="K380" s="5">
        <v>378</v>
      </c>
      <c r="L380" s="73">
        <v>-1582.9999999999998</v>
      </c>
    </row>
    <row r="381" spans="11:12" x14ac:dyDescent="0.4">
      <c r="K381" s="5">
        <v>379</v>
      </c>
      <c r="L381" s="73">
        <v>-1568.1</v>
      </c>
    </row>
    <row r="382" spans="11:12" x14ac:dyDescent="0.4">
      <c r="K382" s="5">
        <v>380</v>
      </c>
      <c r="L382" s="73">
        <v>-1567.4999999999998</v>
      </c>
    </row>
    <row r="383" spans="11:12" x14ac:dyDescent="0.4">
      <c r="K383" s="5">
        <v>381</v>
      </c>
      <c r="L383" s="73">
        <v>-1570.9999999999998</v>
      </c>
    </row>
    <row r="384" spans="11:12" x14ac:dyDescent="0.4">
      <c r="K384" s="5">
        <v>382</v>
      </c>
      <c r="L384" s="73">
        <v>-1551.6</v>
      </c>
    </row>
    <row r="385" spans="11:12" x14ac:dyDescent="0.4">
      <c r="K385" s="5">
        <v>383</v>
      </c>
      <c r="L385" s="73">
        <v>-1536.9999999999998</v>
      </c>
    </row>
    <row r="386" spans="11:12" x14ac:dyDescent="0.4">
      <c r="K386" s="5">
        <v>384</v>
      </c>
      <c r="L386" s="73">
        <v>-1559.2999999999997</v>
      </c>
    </row>
    <row r="387" spans="11:12" x14ac:dyDescent="0.4">
      <c r="K387" s="5">
        <v>385</v>
      </c>
      <c r="L387" s="73">
        <v>-1564.2999999999997</v>
      </c>
    </row>
    <row r="388" spans="11:12" x14ac:dyDescent="0.4">
      <c r="K388" s="5">
        <v>386</v>
      </c>
      <c r="L388" s="73">
        <v>-1581.8999999999999</v>
      </c>
    </row>
    <row r="389" spans="11:12" x14ac:dyDescent="0.4">
      <c r="K389" s="5">
        <v>387</v>
      </c>
      <c r="L389" s="73">
        <v>-1615</v>
      </c>
    </row>
    <row r="390" spans="11:12" x14ac:dyDescent="0.4">
      <c r="K390" s="5">
        <v>388</v>
      </c>
      <c r="L390" s="73">
        <v>-1602.1999999999998</v>
      </c>
    </row>
    <row r="391" spans="11:12" x14ac:dyDescent="0.4">
      <c r="K391" s="5">
        <v>389</v>
      </c>
      <c r="L391" s="73">
        <v>-1602.6999999999998</v>
      </c>
    </row>
    <row r="392" spans="11:12" x14ac:dyDescent="0.4">
      <c r="K392" s="5">
        <v>390</v>
      </c>
      <c r="L392" s="73">
        <v>-1587</v>
      </c>
    </row>
    <row r="393" spans="11:12" x14ac:dyDescent="0.4">
      <c r="K393" s="5">
        <v>391</v>
      </c>
      <c r="L393" s="73">
        <v>-1577.8</v>
      </c>
    </row>
    <row r="394" spans="11:12" x14ac:dyDescent="0.4">
      <c r="K394" s="5">
        <v>392</v>
      </c>
      <c r="L394" s="73">
        <v>-1627.3</v>
      </c>
    </row>
    <row r="395" spans="11:12" x14ac:dyDescent="0.4">
      <c r="K395" s="5">
        <v>393</v>
      </c>
      <c r="L395" s="73">
        <v>-1589.1999999999998</v>
      </c>
    </row>
    <row r="396" spans="11:12" x14ac:dyDescent="0.4">
      <c r="K396" s="5">
        <v>394</v>
      </c>
      <c r="L396" s="73">
        <v>-1593</v>
      </c>
    </row>
    <row r="397" spans="11:12" x14ac:dyDescent="0.4">
      <c r="K397" s="5">
        <v>395</v>
      </c>
      <c r="L397" s="73">
        <v>-1634.7999999999997</v>
      </c>
    </row>
    <row r="398" spans="11:12" x14ac:dyDescent="0.4">
      <c r="K398" s="5">
        <v>396</v>
      </c>
      <c r="L398" s="73">
        <v>-1661.1</v>
      </c>
    </row>
    <row r="399" spans="11:12" x14ac:dyDescent="0.4">
      <c r="K399" s="5">
        <v>397</v>
      </c>
      <c r="L399" s="73">
        <v>-1665.8999999999996</v>
      </c>
    </row>
    <row r="400" spans="11:12" x14ac:dyDescent="0.4">
      <c r="K400" s="5">
        <v>398</v>
      </c>
      <c r="L400" s="73">
        <v>-1705.4999999999998</v>
      </c>
    </row>
    <row r="401" spans="11:12" x14ac:dyDescent="0.4">
      <c r="K401" s="5">
        <v>399</v>
      </c>
      <c r="L401" s="73">
        <v>-1695.9999999999998</v>
      </c>
    </row>
    <row r="402" spans="11:12" x14ac:dyDescent="0.4">
      <c r="K402" s="5">
        <v>400</v>
      </c>
      <c r="L402" s="73">
        <v>-1676.8999999999996</v>
      </c>
    </row>
    <row r="403" spans="11:12" x14ac:dyDescent="0.4">
      <c r="K403" s="5">
        <v>401</v>
      </c>
      <c r="L403" s="73">
        <v>-1708.8999999999996</v>
      </c>
    </row>
    <row r="404" spans="11:12" x14ac:dyDescent="0.4">
      <c r="K404" s="5">
        <v>402</v>
      </c>
      <c r="L404" s="73">
        <v>-1751.1999999999998</v>
      </c>
    </row>
    <row r="405" spans="11:12" x14ac:dyDescent="0.4">
      <c r="K405" s="5">
        <v>403</v>
      </c>
      <c r="L405" s="73">
        <v>-1778.3999999999996</v>
      </c>
    </row>
    <row r="406" spans="11:12" x14ac:dyDescent="0.4">
      <c r="K406" s="5">
        <v>404</v>
      </c>
      <c r="L406" s="73">
        <v>-1785.1</v>
      </c>
    </row>
    <row r="407" spans="11:12" x14ac:dyDescent="0.4">
      <c r="K407" s="5">
        <v>405</v>
      </c>
      <c r="L407" s="73">
        <v>-1830.3999999999996</v>
      </c>
    </row>
    <row r="408" spans="11:12" x14ac:dyDescent="0.4">
      <c r="K408" s="5">
        <v>406</v>
      </c>
      <c r="L408" s="73">
        <v>-1843.6999999999998</v>
      </c>
    </row>
    <row r="409" spans="11:12" x14ac:dyDescent="0.4">
      <c r="K409" s="5">
        <v>407</v>
      </c>
      <c r="L409" s="73">
        <v>-1836.8999999999996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90246-91A5-4BA9-B920-B7E4DF6E8D29}">
  <sheetPr codeName="Sheet8"/>
  <dimension ref="A1:Q93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194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91</v>
      </c>
      <c r="C2" s="128"/>
      <c r="E2" s="43" t="s">
        <v>66</v>
      </c>
      <c r="F2" s="25" t="s">
        <v>22</v>
      </c>
      <c r="G2" s="13">
        <v>111</v>
      </c>
      <c r="H2" s="106">
        <f>IF(B$51=0,0,G2/B$51)</f>
        <v>0.83458646616541354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-146.15384615384616</v>
      </c>
      <c r="P2" s="92">
        <v>91</v>
      </c>
      <c r="Q2" s="76">
        <v>-13300</v>
      </c>
    </row>
    <row r="3" spans="1:17" x14ac:dyDescent="0.4">
      <c r="A3" s="37" t="s">
        <v>8</v>
      </c>
      <c r="B3" s="129">
        <v>670</v>
      </c>
      <c r="C3" s="130"/>
      <c r="E3" s="44" t="s">
        <v>72</v>
      </c>
      <c r="F3" s="41" t="s">
        <v>27</v>
      </c>
      <c r="G3" s="34">
        <v>86</v>
      </c>
      <c r="H3" s="107">
        <f>IF(B$51=0,0,G3/B$51)</f>
        <v>0.64661654135338342</v>
      </c>
      <c r="I3" s="68">
        <v>3</v>
      </c>
      <c r="K3" s="5">
        <v>1</v>
      </c>
      <c r="L3" s="73">
        <v>-39.9</v>
      </c>
      <c r="N3" s="89" t="s">
        <v>127</v>
      </c>
      <c r="O3" s="96">
        <f t="shared" si="0"/>
        <v>278.40909090909093</v>
      </c>
      <c r="P3" s="93">
        <v>88</v>
      </c>
      <c r="Q3" s="77">
        <v>24500</v>
      </c>
    </row>
    <row r="4" spans="1:17" x14ac:dyDescent="0.4">
      <c r="A4" s="37" t="s">
        <v>6</v>
      </c>
      <c r="B4" s="131">
        <v>-3.4999999999999893</v>
      </c>
      <c r="C4" s="132"/>
      <c r="E4" s="44" t="s">
        <v>64</v>
      </c>
      <c r="F4" s="41" t="s">
        <v>20</v>
      </c>
      <c r="G4" s="34">
        <v>60</v>
      </c>
      <c r="H4" s="107">
        <f>IF(B$51=0,0,G4/B$51)</f>
        <v>0.45112781954887216</v>
      </c>
      <c r="I4" s="68">
        <v>15</v>
      </c>
      <c r="K4" s="5">
        <v>2</v>
      </c>
      <c r="L4" s="73">
        <v>-13.2</v>
      </c>
      <c r="N4" s="89" t="s">
        <v>128</v>
      </c>
      <c r="O4" s="96">
        <f t="shared" si="0"/>
        <v>-1414.8148148148148</v>
      </c>
      <c r="P4" s="93">
        <v>81</v>
      </c>
      <c r="Q4" s="77">
        <v>-114600</v>
      </c>
    </row>
    <row r="5" spans="1:17" x14ac:dyDescent="0.4">
      <c r="A5" s="37" t="s">
        <v>7</v>
      </c>
      <c r="B5" s="133">
        <f>IF(B$2=0,0,B$4/B$2)</f>
        <v>-3.8461538461538346E-2</v>
      </c>
      <c r="C5" s="134"/>
      <c r="E5" s="44" t="s">
        <v>68</v>
      </c>
      <c r="F5" s="41" t="s">
        <v>12</v>
      </c>
      <c r="G5" s="34">
        <v>37</v>
      </c>
      <c r="H5" s="107">
        <f>IF(B$51=0,0,G5/B$51)</f>
        <v>0.2781954887218045</v>
      </c>
      <c r="I5" s="68">
        <v>14</v>
      </c>
      <c r="K5" s="5">
        <v>3</v>
      </c>
      <c r="L5" s="73">
        <v>-57.7</v>
      </c>
      <c r="N5" s="89" t="s">
        <v>129</v>
      </c>
      <c r="O5" s="96">
        <f t="shared" si="0"/>
        <v>-1273.6111111111111</v>
      </c>
      <c r="P5" s="93">
        <v>72</v>
      </c>
      <c r="Q5" s="77">
        <v>-91700</v>
      </c>
    </row>
    <row r="6" spans="1:17" x14ac:dyDescent="0.4">
      <c r="A6" s="37" t="s">
        <v>1</v>
      </c>
      <c r="B6" s="141">
        <f>IF(B$2=0,0,(B$7*1+B$8*2+B$9*3)/B$2)</f>
        <v>1.9890109890109891</v>
      </c>
      <c r="C6" s="142"/>
      <c r="E6" s="44" t="s">
        <v>67</v>
      </c>
      <c r="F6" s="41" t="s">
        <v>23</v>
      </c>
      <c r="G6" s="34">
        <v>34</v>
      </c>
      <c r="H6" s="107">
        <f>IF(B$51=0,0,G6/B$51)</f>
        <v>0.25563909774436089</v>
      </c>
      <c r="I6" s="68">
        <v>12</v>
      </c>
      <c r="K6" s="5">
        <v>4</v>
      </c>
      <c r="L6" s="73">
        <v>-53.7</v>
      </c>
      <c r="N6" s="89" t="s">
        <v>130</v>
      </c>
      <c r="O6" s="96">
        <f t="shared" si="0"/>
        <v>4467.1875</v>
      </c>
      <c r="P6" s="93">
        <v>64</v>
      </c>
      <c r="Q6" s="77">
        <v>285900</v>
      </c>
    </row>
    <row r="7" spans="1:17" x14ac:dyDescent="0.4">
      <c r="A7" s="37" t="s">
        <v>2</v>
      </c>
      <c r="B7" s="34">
        <v>31</v>
      </c>
      <c r="C7" s="31">
        <f t="shared" ref="C7:C14" si="1">IF(B$2=0,0,B7/B$2)</f>
        <v>0.34065934065934067</v>
      </c>
      <c r="E7" s="44" t="s">
        <v>157</v>
      </c>
      <c r="F7" s="41" t="s">
        <v>158</v>
      </c>
      <c r="G7" s="34">
        <v>17</v>
      </c>
      <c r="H7" s="107">
        <f>IF(B$51=0,0,G7/B$51)</f>
        <v>0.12781954887218044</v>
      </c>
      <c r="I7" s="68">
        <v>16</v>
      </c>
      <c r="K7" s="5">
        <v>5</v>
      </c>
      <c r="L7" s="73">
        <v>-45.7</v>
      </c>
      <c r="N7" s="90" t="s">
        <v>131</v>
      </c>
      <c r="O7" s="97">
        <f t="shared" si="0"/>
        <v>-1195.8333333333333</v>
      </c>
      <c r="P7" s="94">
        <v>48</v>
      </c>
      <c r="Q7" s="78">
        <v>-57400</v>
      </c>
    </row>
    <row r="8" spans="1:17" x14ac:dyDescent="0.4">
      <c r="A8" s="37" t="s">
        <v>3</v>
      </c>
      <c r="B8" s="34">
        <v>30</v>
      </c>
      <c r="C8" s="31">
        <f t="shared" si="1"/>
        <v>0.32967032967032966</v>
      </c>
      <c r="E8" s="44" t="s">
        <v>69</v>
      </c>
      <c r="F8" s="41" t="s">
        <v>24</v>
      </c>
      <c r="G8" s="34">
        <v>16</v>
      </c>
      <c r="H8" s="107">
        <f>IF(B$51=0,0,G8/B$51)</f>
        <v>0.12030075187969924</v>
      </c>
      <c r="I8" s="68">
        <v>13</v>
      </c>
      <c r="K8" s="5">
        <v>6</v>
      </c>
      <c r="L8" s="73">
        <v>-50.6</v>
      </c>
      <c r="N8" s="33"/>
      <c r="O8" s="101"/>
      <c r="P8" s="85"/>
      <c r="Q8" s="83"/>
    </row>
    <row r="9" spans="1:17" x14ac:dyDescent="0.4">
      <c r="A9" s="38" t="s">
        <v>4</v>
      </c>
      <c r="B9" s="35">
        <v>30</v>
      </c>
      <c r="C9" s="7">
        <f t="shared" si="1"/>
        <v>0.32967032967032966</v>
      </c>
      <c r="E9" s="44" t="s">
        <v>83</v>
      </c>
      <c r="F9" s="41" t="s">
        <v>38</v>
      </c>
      <c r="G9" s="34">
        <v>16</v>
      </c>
      <c r="H9" s="107">
        <f>IF(B$51=0,0,G9/B$51)</f>
        <v>0.12030075187969924</v>
      </c>
      <c r="I9" s="68">
        <v>1</v>
      </c>
      <c r="K9" s="5">
        <v>7</v>
      </c>
      <c r="L9" s="73">
        <v>-47.6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49">
        <f>IF(B7=0,0,C10/B7)</f>
        <v>37.170967741935485</v>
      </c>
      <c r="C10" s="150">
        <v>1152.3</v>
      </c>
      <c r="E10" s="44" t="s">
        <v>70</v>
      </c>
      <c r="F10" s="41" t="s">
        <v>25</v>
      </c>
      <c r="G10" s="34">
        <v>14</v>
      </c>
      <c r="H10" s="107">
        <f>IF(B$51=0,0,G10/B$51)</f>
        <v>0.10526315789473684</v>
      </c>
      <c r="I10" s="68">
        <v>7</v>
      </c>
      <c r="K10" s="5">
        <v>8</v>
      </c>
      <c r="L10" s="73">
        <v>-59.1</v>
      </c>
      <c r="N10" s="88" t="s">
        <v>149</v>
      </c>
      <c r="O10" s="98">
        <f>IF(P10=0,0,Q10/P10)</f>
        <v>-7.5862068965516366E-2</v>
      </c>
      <c r="P10" s="92">
        <v>29</v>
      </c>
      <c r="Q10" s="80">
        <v>-2.1999999999999744</v>
      </c>
    </row>
    <row r="11" spans="1:17" x14ac:dyDescent="0.4">
      <c r="A11" s="38" t="s">
        <v>204</v>
      </c>
      <c r="B11" s="149">
        <f>IF(B8=0,0,C11/B8)</f>
        <v>-0.48666666666666675</v>
      </c>
      <c r="C11" s="150">
        <v>-14.600000000000003</v>
      </c>
      <c r="E11" s="44" t="s">
        <v>89</v>
      </c>
      <c r="F11" s="41" t="s">
        <v>44</v>
      </c>
      <c r="G11" s="34">
        <v>14</v>
      </c>
      <c r="H11" s="107">
        <f>IF(B$51=0,0,G11/B$51)</f>
        <v>0.10526315789473684</v>
      </c>
      <c r="I11" s="68">
        <v>13</v>
      </c>
      <c r="K11" s="5">
        <v>9</v>
      </c>
      <c r="L11" s="73">
        <v>-77.900000000000006</v>
      </c>
      <c r="N11" s="89" t="s">
        <v>150</v>
      </c>
      <c r="O11" s="99">
        <f>IF(P11=0,0,Q11/P11)</f>
        <v>2.7325000000000004</v>
      </c>
      <c r="P11" s="93">
        <v>40</v>
      </c>
      <c r="Q11" s="81">
        <v>109.30000000000001</v>
      </c>
    </row>
    <row r="12" spans="1:17" x14ac:dyDescent="0.4">
      <c r="A12" s="38" t="s">
        <v>205</v>
      </c>
      <c r="B12" s="149">
        <f>IF(B9=0,0,C12/B9)</f>
        <v>-38.04</v>
      </c>
      <c r="C12" s="150">
        <v>-1141.2</v>
      </c>
      <c r="E12" s="44" t="s">
        <v>65</v>
      </c>
      <c r="F12" s="41" t="s">
        <v>21</v>
      </c>
      <c r="G12" s="34">
        <v>9</v>
      </c>
      <c r="H12" s="107">
        <f>IF(B$51=0,0,G12/B$51)</f>
        <v>6.7669172932330823E-2</v>
      </c>
      <c r="I12" s="68">
        <v>18</v>
      </c>
      <c r="K12" s="5">
        <v>10</v>
      </c>
      <c r="L12" s="73">
        <v>-78.900000000000006</v>
      </c>
      <c r="N12" s="90" t="s">
        <v>151</v>
      </c>
      <c r="O12" s="100">
        <f>IF(P12=0,0,Q12/P12)</f>
        <v>-5.0272727272727273</v>
      </c>
      <c r="P12" s="94">
        <v>22</v>
      </c>
      <c r="Q12" s="82">
        <v>-110.60000000000001</v>
      </c>
    </row>
    <row r="13" spans="1:17" x14ac:dyDescent="0.4">
      <c r="A13" s="38" t="s">
        <v>206</v>
      </c>
      <c r="B13" s="133">
        <f>AVERAGE(B10:B12)</f>
        <v>-0.4518996415770597</v>
      </c>
      <c r="C13" s="134"/>
      <c r="E13" s="44" t="s">
        <v>71</v>
      </c>
      <c r="F13" s="41" t="s">
        <v>26</v>
      </c>
      <c r="G13" s="34">
        <v>6</v>
      </c>
      <c r="H13" s="107">
        <f>IF(B$51=0,0,G13/B$51)</f>
        <v>4.5112781954887216E-2</v>
      </c>
      <c r="I13" s="68">
        <v>12</v>
      </c>
      <c r="K13" s="5">
        <v>11</v>
      </c>
      <c r="L13" s="73">
        <v>-88.9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14</v>
      </c>
      <c r="C14" s="32">
        <f t="shared" si="1"/>
        <v>0.15384615384615385</v>
      </c>
      <c r="E14" s="44" t="s">
        <v>81</v>
      </c>
      <c r="F14" s="41" t="s">
        <v>36</v>
      </c>
      <c r="G14" s="34">
        <v>5</v>
      </c>
      <c r="H14" s="107">
        <f>IF(B$51=0,0,G14/B$51)</f>
        <v>3.7593984962406013E-2</v>
      </c>
      <c r="I14" s="68">
        <v>5</v>
      </c>
      <c r="K14" s="5">
        <v>12</v>
      </c>
      <c r="L14" s="73">
        <v>-23.5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101</v>
      </c>
      <c r="C15" s="11">
        <f>IF(B$50=0,0,B15/B$50)</f>
        <v>0.23379629629629631</v>
      </c>
      <c r="E15" s="44" t="s">
        <v>79</v>
      </c>
      <c r="F15" s="41" t="s">
        <v>34</v>
      </c>
      <c r="G15" s="34">
        <v>3</v>
      </c>
      <c r="H15" s="107">
        <f>IF(B$51=0,0,G15/B$51)</f>
        <v>2.2556390977443608E-2</v>
      </c>
      <c r="I15" s="68">
        <v>5</v>
      </c>
      <c r="K15" s="5">
        <v>13</v>
      </c>
      <c r="L15" s="73">
        <v>-12.4</v>
      </c>
      <c r="N15" s="88" t="s">
        <v>186</v>
      </c>
      <c r="O15" s="98">
        <f>IF(P15=0,0,Q15/P15)</f>
        <v>59.433333333333337</v>
      </c>
      <c r="P15" s="92">
        <v>3</v>
      </c>
      <c r="Q15" s="80">
        <v>178.3</v>
      </c>
    </row>
    <row r="16" spans="1:17" x14ac:dyDescent="0.4">
      <c r="A16" s="37" t="s">
        <v>118</v>
      </c>
      <c r="B16" s="34">
        <v>120</v>
      </c>
      <c r="C16" s="31">
        <f>IF(B$50=0,0,B16/B$50)</f>
        <v>0.27777777777777779</v>
      </c>
      <c r="E16" s="44" t="s">
        <v>86</v>
      </c>
      <c r="F16" s="41" t="s">
        <v>41</v>
      </c>
      <c r="G16" s="34">
        <v>3</v>
      </c>
      <c r="H16" s="107">
        <f>IF(B$51=0,0,G16/B$51)</f>
        <v>2.2556390977443608E-2</v>
      </c>
      <c r="I16" s="68">
        <v>15</v>
      </c>
      <c r="K16" s="5">
        <v>14</v>
      </c>
      <c r="L16" s="73">
        <v>38.6</v>
      </c>
      <c r="N16" s="89" t="s">
        <v>184</v>
      </c>
      <c r="O16" s="99">
        <f>IF(P16=0,0,Q16/P16)</f>
        <v>26.766666666666666</v>
      </c>
      <c r="P16" s="93">
        <v>3</v>
      </c>
      <c r="Q16" s="81">
        <v>80.3</v>
      </c>
    </row>
    <row r="17" spans="1:17" x14ac:dyDescent="0.4">
      <c r="A17" s="19" t="s">
        <v>123</v>
      </c>
      <c r="B17" s="13">
        <v>62</v>
      </c>
      <c r="C17" s="4">
        <f>IF(B$15=0,0,B17/B$15)</f>
        <v>0.61386138613861385</v>
      </c>
      <c r="E17" s="44" t="s">
        <v>91</v>
      </c>
      <c r="F17" s="41" t="s">
        <v>46</v>
      </c>
      <c r="G17" s="34">
        <v>2</v>
      </c>
      <c r="H17" s="107">
        <f>IF(B$51=0,0,G17/B$51)</f>
        <v>1.5037593984962405E-2</v>
      </c>
      <c r="I17" s="68">
        <v>11</v>
      </c>
      <c r="K17" s="5">
        <v>15</v>
      </c>
      <c r="L17" s="73">
        <v>55.8</v>
      </c>
      <c r="N17" s="89" t="s">
        <v>185</v>
      </c>
      <c r="O17" s="99">
        <f>IF(P17=0,0,Q17/P17)</f>
        <v>21.200000000000003</v>
      </c>
      <c r="P17" s="93">
        <v>3</v>
      </c>
      <c r="Q17" s="81">
        <v>63.600000000000009</v>
      </c>
    </row>
    <row r="18" spans="1:17" x14ac:dyDescent="0.4">
      <c r="A18" s="19" t="s">
        <v>124</v>
      </c>
      <c r="B18" s="13">
        <v>52</v>
      </c>
      <c r="C18" s="4">
        <f>IF(B$16=0,0,B18/B$16)</f>
        <v>0.43333333333333335</v>
      </c>
      <c r="E18" s="44" t="s">
        <v>73</v>
      </c>
      <c r="F18" s="41" t="s">
        <v>28</v>
      </c>
      <c r="G18" s="34">
        <v>1</v>
      </c>
      <c r="H18" s="107">
        <f>IF(B$51=0,0,G18/B$51)</f>
        <v>7.5187969924812026E-3</v>
      </c>
      <c r="I18" s="68">
        <v>4</v>
      </c>
      <c r="K18" s="5">
        <v>16</v>
      </c>
      <c r="L18" s="73">
        <v>40.299999999999997</v>
      </c>
      <c r="N18" s="89" t="s">
        <v>193</v>
      </c>
      <c r="O18" s="99">
        <f>IF(P18=0,0,Q18/P18)</f>
        <v>18.00714285714286</v>
      </c>
      <c r="P18" s="93">
        <v>14</v>
      </c>
      <c r="Q18" s="81">
        <v>252.10000000000005</v>
      </c>
    </row>
    <row r="19" spans="1:17" x14ac:dyDescent="0.4">
      <c r="A19" s="19" t="s">
        <v>10</v>
      </c>
      <c r="B19" s="13">
        <v>220</v>
      </c>
      <c r="C19" s="4">
        <f>IF(B$3=0,0,B19/B$3)</f>
        <v>0.32835820895522388</v>
      </c>
      <c r="E19" s="44" t="s">
        <v>74</v>
      </c>
      <c r="F19" s="41" t="s">
        <v>29</v>
      </c>
      <c r="G19" s="34">
        <v>1</v>
      </c>
      <c r="H19" s="107">
        <f>IF(B$51=0,0,G19/B$51)</f>
        <v>7.5187969924812026E-3</v>
      </c>
      <c r="I19" s="68">
        <v>1</v>
      </c>
      <c r="K19" s="5">
        <v>17</v>
      </c>
      <c r="L19" s="73">
        <v>15.799999999999997</v>
      </c>
      <c r="N19" s="89" t="s">
        <v>197</v>
      </c>
      <c r="O19" s="99">
        <f>IF(P19=0,0,Q19/P19)</f>
        <v>17.649999999999999</v>
      </c>
      <c r="P19" s="93">
        <v>2</v>
      </c>
      <c r="Q19" s="81">
        <v>35.299999999999997</v>
      </c>
    </row>
    <row r="20" spans="1:17" x14ac:dyDescent="0.4">
      <c r="A20" s="37" t="s">
        <v>13</v>
      </c>
      <c r="B20" s="34">
        <v>115</v>
      </c>
      <c r="C20" s="31">
        <f>IF(B$3=0,0,B20/B$3)</f>
        <v>0.17164179104477612</v>
      </c>
      <c r="E20" s="44" t="s">
        <v>75</v>
      </c>
      <c r="F20" s="41" t="s">
        <v>30</v>
      </c>
      <c r="G20" s="34">
        <v>1</v>
      </c>
      <c r="H20" s="107">
        <f>IF(B$51=0,0,G20/B$51)</f>
        <v>7.5187969924812026E-3</v>
      </c>
      <c r="I20" s="68">
        <v>4</v>
      </c>
      <c r="K20" s="5">
        <v>18</v>
      </c>
      <c r="L20" s="73">
        <v>-25.700000000000003</v>
      </c>
      <c r="N20" s="89" t="s">
        <v>190</v>
      </c>
      <c r="O20" s="99">
        <f>IF(P20=0,0,Q20/P20)</f>
        <v>8.4020408163265259</v>
      </c>
      <c r="P20" s="93">
        <v>49</v>
      </c>
      <c r="Q20" s="81">
        <v>411.69999999999976</v>
      </c>
    </row>
    <row r="21" spans="1:17" x14ac:dyDescent="0.4">
      <c r="A21" s="37" t="s">
        <v>12</v>
      </c>
      <c r="B21" s="34">
        <v>96</v>
      </c>
      <c r="C21" s="31">
        <f>IF(B$19=0,0,B21/B$19)</f>
        <v>0.43636363636363634</v>
      </c>
      <c r="E21" s="44" t="s">
        <v>78</v>
      </c>
      <c r="F21" s="41" t="s">
        <v>33</v>
      </c>
      <c r="G21" s="34">
        <v>1</v>
      </c>
      <c r="H21" s="107">
        <f>IF(B$51=0,0,G21/B$51)</f>
        <v>7.5187969924812026E-3</v>
      </c>
      <c r="I21" s="68">
        <v>13</v>
      </c>
      <c r="K21" s="5">
        <v>19</v>
      </c>
      <c r="L21" s="73">
        <v>-17.700000000000003</v>
      </c>
      <c r="N21" s="89" t="s">
        <v>187</v>
      </c>
      <c r="O21" s="99">
        <f>IF(P21=0,0,Q21/P21)</f>
        <v>-0.74444444444444635</v>
      </c>
      <c r="P21" s="93">
        <v>9</v>
      </c>
      <c r="Q21" s="81">
        <v>-6.7000000000000171</v>
      </c>
    </row>
    <row r="22" spans="1:17" x14ac:dyDescent="0.4">
      <c r="A22" s="37" t="s">
        <v>11</v>
      </c>
      <c r="B22" s="34">
        <v>124</v>
      </c>
      <c r="C22" s="31">
        <f>IF(B$19=0,0,B22/B$19)</f>
        <v>0.5636363636363636</v>
      </c>
      <c r="E22" s="44" t="s">
        <v>93</v>
      </c>
      <c r="F22" s="41" t="s">
        <v>48</v>
      </c>
      <c r="G22" s="34">
        <v>1</v>
      </c>
      <c r="H22" s="107">
        <f>IF(B$51=0,0,G22/B$51)</f>
        <v>7.5187969924812026E-3</v>
      </c>
      <c r="I22" s="68">
        <v>1</v>
      </c>
      <c r="K22" s="5">
        <v>20</v>
      </c>
      <c r="L22" s="73">
        <v>7.4999999999999964</v>
      </c>
      <c r="N22" s="89" t="s">
        <v>195</v>
      </c>
      <c r="O22" s="99">
        <f>IF(P22=0,0,Q22/P22)</f>
        <v>-5.6242857142857154</v>
      </c>
      <c r="P22" s="93">
        <v>70</v>
      </c>
      <c r="Q22" s="81">
        <v>-393.7000000000001</v>
      </c>
    </row>
    <row r="23" spans="1:17" x14ac:dyDescent="0.4">
      <c r="A23" s="37" t="s">
        <v>180</v>
      </c>
      <c r="B23" s="34">
        <v>62</v>
      </c>
      <c r="C23" s="31">
        <f>IF(B$19=0,0,B23/B$19)</f>
        <v>0.2818181818181818</v>
      </c>
      <c r="E23" s="44" t="s">
        <v>97</v>
      </c>
      <c r="F23" s="41" t="s">
        <v>52</v>
      </c>
      <c r="G23" s="34">
        <v>1</v>
      </c>
      <c r="H23" s="107">
        <f>IF(B$51=0,0,G23/B$51)</f>
        <v>7.5187969924812026E-3</v>
      </c>
      <c r="I23" s="68">
        <v>1</v>
      </c>
      <c r="K23" s="5">
        <v>21</v>
      </c>
      <c r="L23" s="73">
        <v>69.8</v>
      </c>
      <c r="N23" s="89" t="s">
        <v>191</v>
      </c>
      <c r="O23" s="99">
        <f>IF(P23=0,0,Q23/P23)</f>
        <v>-11.2125</v>
      </c>
      <c r="P23" s="93">
        <v>16</v>
      </c>
      <c r="Q23" s="81">
        <v>-179.4</v>
      </c>
    </row>
    <row r="24" spans="1:17" x14ac:dyDescent="0.4">
      <c r="A24" s="37" t="s">
        <v>178</v>
      </c>
      <c r="B24" s="34">
        <v>52</v>
      </c>
      <c r="C24" s="31">
        <f>IF(B$19=0,0,B24/B$19)</f>
        <v>0.23636363636363636</v>
      </c>
      <c r="E24" s="44" t="s">
        <v>76</v>
      </c>
      <c r="F24" s="41" t="s">
        <v>31</v>
      </c>
      <c r="G24" s="34">
        <v>0</v>
      </c>
      <c r="H24" s="107">
        <f>IF(B$51=0,0,G24/B$51)</f>
        <v>0</v>
      </c>
      <c r="I24" s="68">
        <v>1</v>
      </c>
      <c r="K24" s="5">
        <v>22</v>
      </c>
      <c r="L24" s="73">
        <v>78.399999999999991</v>
      </c>
      <c r="N24" s="89" t="s">
        <v>188</v>
      </c>
      <c r="O24" s="99">
        <f>IF(P24=0,0,Q24/P24)</f>
        <v>-18.385714285714283</v>
      </c>
      <c r="P24" s="93">
        <v>7</v>
      </c>
      <c r="Q24" s="81">
        <v>-128.69999999999999</v>
      </c>
    </row>
    <row r="25" spans="1:17" x14ac:dyDescent="0.4">
      <c r="A25" s="37" t="s">
        <v>179</v>
      </c>
      <c r="B25" s="34">
        <v>106</v>
      </c>
      <c r="C25" s="31">
        <f>IF(B$19=0,0,B25/B$19)</f>
        <v>0.48181818181818181</v>
      </c>
      <c r="E25" s="44" t="s">
        <v>77</v>
      </c>
      <c r="F25" s="41" t="s">
        <v>32</v>
      </c>
      <c r="G25" s="34">
        <v>0</v>
      </c>
      <c r="H25" s="107">
        <f>IF(B$51=0,0,G25/B$51)</f>
        <v>0</v>
      </c>
      <c r="I25" s="68">
        <v>9</v>
      </c>
      <c r="K25" s="5">
        <v>23</v>
      </c>
      <c r="L25" s="73">
        <v>95.199999999999989</v>
      </c>
      <c r="N25" s="89" t="s">
        <v>196</v>
      </c>
      <c r="O25" s="99">
        <f>IF(P25=0,0,Q25/P25)</f>
        <v>-26.466666666666665</v>
      </c>
      <c r="P25" s="93">
        <v>3</v>
      </c>
      <c r="Q25" s="81">
        <v>-79.399999999999991</v>
      </c>
    </row>
    <row r="26" spans="1:17" x14ac:dyDescent="0.4">
      <c r="A26" s="37" t="s">
        <v>5</v>
      </c>
      <c r="B26" s="17">
        <f>IF(B$19=0,0,C26/B$19)</f>
        <v>9344.0909090909099</v>
      </c>
      <c r="C26" s="8">
        <v>2055700</v>
      </c>
      <c r="E26" s="44" t="s">
        <v>80</v>
      </c>
      <c r="F26" s="41" t="s">
        <v>35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51.29999999999999</v>
      </c>
      <c r="N26" s="89" t="s">
        <v>192</v>
      </c>
      <c r="O26" s="99">
        <f>IF(P26=0,0,Q26/P26)</f>
        <v>-81.3</v>
      </c>
      <c r="P26" s="93">
        <v>3</v>
      </c>
      <c r="Q26" s="81">
        <v>-243.89999999999998</v>
      </c>
    </row>
    <row r="27" spans="1:17" x14ac:dyDescent="0.4">
      <c r="A27" s="38" t="s">
        <v>162</v>
      </c>
      <c r="B27" s="114">
        <f>IF($B$19-B$18=0,0,C27/($B$19-B$18))</f>
        <v>9553.5714285714294</v>
      </c>
      <c r="C27" s="115">
        <v>1605000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60.79999999999999</v>
      </c>
    </row>
    <row r="28" spans="1:17" x14ac:dyDescent="0.4">
      <c r="A28" s="38" t="s">
        <v>163</v>
      </c>
      <c r="B28" s="114">
        <f>IF(B$18=0,0,C28/B$18)</f>
        <v>8667.3076923076915</v>
      </c>
      <c r="C28" s="115">
        <v>450700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143.79999999999998</v>
      </c>
    </row>
    <row r="29" spans="1:17" x14ac:dyDescent="0.4">
      <c r="A29" s="38" t="s">
        <v>161</v>
      </c>
      <c r="B29" s="114">
        <f>IF(B$20=0,0,C29/B$20)</f>
        <v>-9212.173913043478</v>
      </c>
      <c r="C29" s="115">
        <v>-1059400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9</v>
      </c>
      <c r="K29" s="5">
        <v>27</v>
      </c>
      <c r="L29" s="73">
        <v>164.79999999999998</v>
      </c>
    </row>
    <row r="30" spans="1:17" x14ac:dyDescent="0.4">
      <c r="A30" s="37" t="s">
        <v>155</v>
      </c>
      <c r="B30" s="34">
        <v>5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177.7</v>
      </c>
    </row>
    <row r="31" spans="1:17" x14ac:dyDescent="0.4">
      <c r="A31" s="37" t="s">
        <v>156</v>
      </c>
      <c r="B31" s="34">
        <v>28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208</v>
      </c>
    </row>
    <row r="32" spans="1:17" x14ac:dyDescent="0.4">
      <c r="A32" s="64" t="s">
        <v>134</v>
      </c>
      <c r="B32" s="139">
        <v>7</v>
      </c>
      <c r="C32" s="140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201.5</v>
      </c>
    </row>
    <row r="33" spans="1:12" x14ac:dyDescent="0.4">
      <c r="A33" s="40" t="s">
        <v>177</v>
      </c>
      <c r="B33" s="137">
        <v>118000</v>
      </c>
      <c r="C33" s="138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189.9</v>
      </c>
    </row>
    <row r="34" spans="1:12" x14ac:dyDescent="0.4">
      <c r="A34" s="39" t="s">
        <v>135</v>
      </c>
      <c r="B34" s="27">
        <v>2</v>
      </c>
      <c r="C34" s="32">
        <f>IF(B$3=0,0,B34/B$3)</f>
        <v>2.9850746268656717E-3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207.4</v>
      </c>
    </row>
    <row r="35" spans="1:12" x14ac:dyDescent="0.4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248.4</v>
      </c>
    </row>
    <row r="36" spans="1:12" x14ac:dyDescent="0.4">
      <c r="A36" s="64" t="s">
        <v>168</v>
      </c>
      <c r="B36" s="121">
        <v>15</v>
      </c>
      <c r="C36" s="119">
        <f>IF(B$19=0,0,B36/B$19)</f>
        <v>6.8181818181818177E-2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237.9</v>
      </c>
    </row>
    <row r="37" spans="1:12" x14ac:dyDescent="0.4">
      <c r="A37" s="37" t="s">
        <v>164</v>
      </c>
      <c r="B37" s="34">
        <v>18</v>
      </c>
      <c r="C37" s="31">
        <f t="shared" ref="C37:C48" si="2">IF(B$19=0,0,B37/B$19)</f>
        <v>8.1818181818181818E-2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191.9</v>
      </c>
    </row>
    <row r="38" spans="1:12" x14ac:dyDescent="0.4">
      <c r="A38" s="37" t="s">
        <v>165</v>
      </c>
      <c r="B38" s="124">
        <v>26</v>
      </c>
      <c r="C38" s="31">
        <f>IF(B$19=0,0,B38/B$19)</f>
        <v>0.11818181818181818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239</v>
      </c>
    </row>
    <row r="39" spans="1:12" x14ac:dyDescent="0.4">
      <c r="A39" s="37" t="s">
        <v>166</v>
      </c>
      <c r="B39" s="124">
        <v>16</v>
      </c>
      <c r="C39" s="31">
        <f t="shared" si="2"/>
        <v>7.2727272727272724E-2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253.8</v>
      </c>
    </row>
    <row r="40" spans="1:12" x14ac:dyDescent="0.4">
      <c r="A40" s="37" t="s">
        <v>167</v>
      </c>
      <c r="B40" s="124">
        <v>20</v>
      </c>
      <c r="C40" s="31">
        <f t="shared" si="2"/>
        <v>9.0909090909090912E-2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  <c r="K40" s="5">
        <v>38</v>
      </c>
      <c r="L40" s="73">
        <v>235.60000000000002</v>
      </c>
    </row>
    <row r="41" spans="1:12" x14ac:dyDescent="0.4">
      <c r="A41" s="37" t="s">
        <v>169</v>
      </c>
      <c r="B41" s="124">
        <v>10</v>
      </c>
      <c r="C41" s="31">
        <f t="shared" si="2"/>
        <v>4.5454545454545456E-2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236.00000000000003</v>
      </c>
    </row>
    <row r="42" spans="1:12" x14ac:dyDescent="0.4">
      <c r="A42" s="37" t="s">
        <v>170</v>
      </c>
      <c r="B42" s="124">
        <v>14</v>
      </c>
      <c r="C42" s="31">
        <f t="shared" si="2"/>
        <v>6.363636363636363E-2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239.10000000000002</v>
      </c>
    </row>
    <row r="43" spans="1:12" x14ac:dyDescent="0.4">
      <c r="A43" s="37" t="s">
        <v>171</v>
      </c>
      <c r="B43" s="124">
        <v>4</v>
      </c>
      <c r="C43" s="31">
        <f t="shared" si="2"/>
        <v>1.8181818181818181E-2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237.10000000000002</v>
      </c>
    </row>
    <row r="44" spans="1:12" x14ac:dyDescent="0.4">
      <c r="A44" s="37" t="s">
        <v>172</v>
      </c>
      <c r="B44" s="124">
        <v>6</v>
      </c>
      <c r="C44" s="31">
        <f t="shared" si="2"/>
        <v>2.7272727272727271E-2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258.3</v>
      </c>
    </row>
    <row r="45" spans="1:12" x14ac:dyDescent="0.4">
      <c r="A45" s="37" t="s">
        <v>173</v>
      </c>
      <c r="B45" s="124">
        <v>2</v>
      </c>
      <c r="C45" s="31">
        <f t="shared" si="2"/>
        <v>9.0909090909090905E-3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291.10000000000002</v>
      </c>
    </row>
    <row r="46" spans="1:12" x14ac:dyDescent="0.4">
      <c r="A46" s="37" t="s">
        <v>174</v>
      </c>
      <c r="B46" s="124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282.3</v>
      </c>
    </row>
    <row r="47" spans="1:12" x14ac:dyDescent="0.4">
      <c r="A47" s="37" t="s">
        <v>175</v>
      </c>
      <c r="B47" s="124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251.10000000000002</v>
      </c>
    </row>
    <row r="48" spans="1:12" x14ac:dyDescent="0.4">
      <c r="A48" s="39" t="s">
        <v>176</v>
      </c>
      <c r="B48" s="120">
        <v>2</v>
      </c>
      <c r="C48" s="32">
        <f t="shared" si="2"/>
        <v>9.0909090909090905E-3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215.60000000000002</v>
      </c>
    </row>
    <row r="49" spans="1:12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194.90000000000003</v>
      </c>
    </row>
    <row r="50" spans="1:12" x14ac:dyDescent="0.4">
      <c r="A50" s="64" t="s">
        <v>181</v>
      </c>
      <c r="B50" s="127">
        <v>432</v>
      </c>
      <c r="C50" s="128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216.70000000000005</v>
      </c>
    </row>
    <row r="51" spans="1:12" x14ac:dyDescent="0.4">
      <c r="A51" s="39" t="s">
        <v>182</v>
      </c>
      <c r="B51" s="135">
        <v>133</v>
      </c>
      <c r="C51" s="136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213.90000000000003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213.90000000000003</v>
      </c>
    </row>
    <row r="53" spans="1:12" x14ac:dyDescent="0.4">
      <c r="K53" s="5">
        <v>51</v>
      </c>
      <c r="L53" s="73">
        <v>292.60000000000002</v>
      </c>
    </row>
    <row r="54" spans="1:12" x14ac:dyDescent="0.4">
      <c r="K54" s="5">
        <v>52</v>
      </c>
      <c r="L54" s="73">
        <v>319.10000000000002</v>
      </c>
    </row>
    <row r="55" spans="1:12" x14ac:dyDescent="0.4">
      <c r="K55" s="5">
        <v>53</v>
      </c>
      <c r="L55" s="73">
        <v>268.60000000000002</v>
      </c>
    </row>
    <row r="56" spans="1:12" x14ac:dyDescent="0.4">
      <c r="K56" s="5">
        <v>54</v>
      </c>
      <c r="L56" s="73">
        <v>253.50000000000003</v>
      </c>
    </row>
    <row r="57" spans="1:12" x14ac:dyDescent="0.4">
      <c r="K57" s="5">
        <v>55</v>
      </c>
      <c r="L57" s="73">
        <v>269.40000000000003</v>
      </c>
    </row>
    <row r="58" spans="1:12" x14ac:dyDescent="0.4">
      <c r="K58" s="5">
        <v>56</v>
      </c>
      <c r="L58" s="73">
        <v>273.8</v>
      </c>
    </row>
    <row r="59" spans="1:12" x14ac:dyDescent="0.4">
      <c r="K59" s="5">
        <v>57</v>
      </c>
      <c r="L59" s="73">
        <v>260.3</v>
      </c>
    </row>
    <row r="60" spans="1:12" x14ac:dyDescent="0.4">
      <c r="K60" s="5">
        <v>58</v>
      </c>
      <c r="L60" s="73">
        <v>293.3</v>
      </c>
    </row>
    <row r="61" spans="1:12" x14ac:dyDescent="0.4">
      <c r="K61" s="5">
        <v>59</v>
      </c>
      <c r="L61" s="73">
        <v>283.3</v>
      </c>
    </row>
    <row r="62" spans="1:12" x14ac:dyDescent="0.4">
      <c r="K62" s="5">
        <v>60</v>
      </c>
      <c r="L62" s="73">
        <v>272.60000000000002</v>
      </c>
    </row>
    <row r="63" spans="1:12" x14ac:dyDescent="0.4">
      <c r="K63" s="5">
        <v>61</v>
      </c>
      <c r="L63" s="73">
        <v>259.20000000000005</v>
      </c>
    </row>
    <row r="64" spans="1:12" x14ac:dyDescent="0.4">
      <c r="K64" s="5">
        <v>62</v>
      </c>
      <c r="L64" s="73">
        <v>252.20000000000005</v>
      </c>
    </row>
    <row r="65" spans="11:12" x14ac:dyDescent="0.4">
      <c r="K65" s="5">
        <v>63</v>
      </c>
      <c r="L65" s="73">
        <v>246.20000000000005</v>
      </c>
    </row>
    <row r="66" spans="11:12" x14ac:dyDescent="0.4">
      <c r="K66" s="5">
        <v>64</v>
      </c>
      <c r="L66" s="73">
        <v>264.90000000000003</v>
      </c>
    </row>
    <row r="67" spans="11:12" x14ac:dyDescent="0.4">
      <c r="K67" s="5">
        <v>65</v>
      </c>
      <c r="L67" s="73">
        <v>270.8</v>
      </c>
    </row>
    <row r="68" spans="11:12" x14ac:dyDescent="0.4">
      <c r="K68" s="5">
        <v>66</v>
      </c>
      <c r="L68" s="73">
        <v>227.10000000000002</v>
      </c>
    </row>
    <row r="69" spans="11:12" x14ac:dyDescent="0.4">
      <c r="K69" s="5">
        <v>67</v>
      </c>
      <c r="L69" s="73">
        <v>194.60000000000002</v>
      </c>
    </row>
    <row r="70" spans="11:12" x14ac:dyDescent="0.4">
      <c r="K70" s="5">
        <v>68</v>
      </c>
      <c r="L70" s="73">
        <v>192.4</v>
      </c>
    </row>
    <row r="71" spans="11:12" x14ac:dyDescent="0.4">
      <c r="K71" s="5">
        <v>69</v>
      </c>
      <c r="L71" s="73">
        <v>221</v>
      </c>
    </row>
    <row r="72" spans="11:12" x14ac:dyDescent="0.4">
      <c r="K72" s="5">
        <v>70</v>
      </c>
      <c r="L72" s="73">
        <v>149.80000000000001</v>
      </c>
    </row>
    <row r="73" spans="11:12" x14ac:dyDescent="0.4">
      <c r="K73" s="5">
        <v>71</v>
      </c>
      <c r="L73" s="73">
        <v>103.80000000000001</v>
      </c>
    </row>
    <row r="74" spans="11:12" x14ac:dyDescent="0.4">
      <c r="K74" s="5">
        <v>72</v>
      </c>
      <c r="L74" s="73">
        <v>52.600000000000023</v>
      </c>
    </row>
    <row r="75" spans="11:12" x14ac:dyDescent="0.4">
      <c r="K75" s="5">
        <v>73</v>
      </c>
      <c r="L75" s="73">
        <v>100.30000000000001</v>
      </c>
    </row>
    <row r="76" spans="11:12" x14ac:dyDescent="0.4">
      <c r="K76" s="5">
        <v>74</v>
      </c>
      <c r="L76" s="73">
        <v>42.700000000000017</v>
      </c>
    </row>
    <row r="77" spans="11:12" x14ac:dyDescent="0.4">
      <c r="K77" s="5">
        <v>75</v>
      </c>
      <c r="L77" s="73">
        <v>73.300000000000011</v>
      </c>
    </row>
    <row r="78" spans="11:12" x14ac:dyDescent="0.4">
      <c r="K78" s="5">
        <v>76</v>
      </c>
      <c r="L78" s="73">
        <v>109.60000000000002</v>
      </c>
    </row>
    <row r="79" spans="11:12" x14ac:dyDescent="0.4">
      <c r="K79" s="5">
        <v>77</v>
      </c>
      <c r="L79" s="73">
        <v>154.20000000000002</v>
      </c>
    </row>
    <row r="80" spans="11:12" x14ac:dyDescent="0.4">
      <c r="K80" s="5">
        <v>78</v>
      </c>
      <c r="L80" s="73">
        <v>126.00000000000003</v>
      </c>
    </row>
    <row r="81" spans="11:12" x14ac:dyDescent="0.4">
      <c r="K81" s="5">
        <v>79</v>
      </c>
      <c r="L81" s="73">
        <v>132.10000000000002</v>
      </c>
    </row>
    <row r="82" spans="11:12" x14ac:dyDescent="0.4">
      <c r="K82" s="5">
        <v>80</v>
      </c>
      <c r="L82" s="73">
        <v>186.40000000000003</v>
      </c>
    </row>
    <row r="83" spans="11:12" x14ac:dyDescent="0.4">
      <c r="K83" s="5">
        <v>81</v>
      </c>
      <c r="L83" s="73">
        <v>131.00000000000003</v>
      </c>
    </row>
    <row r="84" spans="11:12" x14ac:dyDescent="0.4">
      <c r="K84" s="5">
        <v>82</v>
      </c>
      <c r="L84" s="73">
        <v>67.300000000000011</v>
      </c>
    </row>
    <row r="85" spans="11:12" x14ac:dyDescent="0.4">
      <c r="K85" s="5">
        <v>83</v>
      </c>
      <c r="L85" s="73">
        <v>144.30000000000001</v>
      </c>
    </row>
    <row r="86" spans="11:12" x14ac:dyDescent="0.4">
      <c r="K86" s="5">
        <v>84</v>
      </c>
      <c r="L86" s="73">
        <v>203.20000000000002</v>
      </c>
    </row>
    <row r="87" spans="11:12" x14ac:dyDescent="0.4">
      <c r="K87" s="5">
        <v>85</v>
      </c>
      <c r="L87" s="73">
        <v>146.70000000000002</v>
      </c>
    </row>
    <row r="88" spans="11:12" x14ac:dyDescent="0.4">
      <c r="K88" s="5">
        <v>86</v>
      </c>
      <c r="L88" s="73">
        <v>81.600000000000023</v>
      </c>
    </row>
    <row r="89" spans="11:12" x14ac:dyDescent="0.4">
      <c r="K89" s="5">
        <v>87</v>
      </c>
      <c r="L89" s="73">
        <v>6.4000000000000341</v>
      </c>
    </row>
    <row r="90" spans="11:12" x14ac:dyDescent="0.4">
      <c r="K90" s="5">
        <v>88</v>
      </c>
      <c r="L90" s="73">
        <v>17.30000000000004</v>
      </c>
    </row>
    <row r="91" spans="11:12" x14ac:dyDescent="0.4">
      <c r="K91" s="5">
        <v>89</v>
      </c>
      <c r="L91" s="73">
        <v>-29.699999999999989</v>
      </c>
    </row>
    <row r="92" spans="11:12" x14ac:dyDescent="0.4">
      <c r="K92" s="5">
        <v>90</v>
      </c>
      <c r="L92" s="73">
        <v>-1.8999999999999879</v>
      </c>
    </row>
    <row r="93" spans="11:12" x14ac:dyDescent="0.4">
      <c r="K93" s="5">
        <v>91</v>
      </c>
      <c r="L93" s="73">
        <v>-3.4999999999999893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0113D-D5A5-4ADB-B386-7BC2F82DA8D6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185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5</v>
      </c>
      <c r="C2" s="128"/>
      <c r="E2" s="43" t="s">
        <v>64</v>
      </c>
      <c r="F2" s="25" t="s">
        <v>20</v>
      </c>
      <c r="G2" s="13">
        <v>6</v>
      </c>
      <c r="H2" s="106">
        <f>IF(B$51=0,0,G2/B$51)</f>
        <v>0.66666666666666663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-2740</v>
      </c>
      <c r="P2" s="92">
        <v>5</v>
      </c>
      <c r="Q2" s="76">
        <v>-13700</v>
      </c>
    </row>
    <row r="3" spans="1:17" x14ac:dyDescent="0.4">
      <c r="A3" s="37" t="s">
        <v>8</v>
      </c>
      <c r="B3" s="129">
        <v>37</v>
      </c>
      <c r="C3" s="130"/>
      <c r="E3" s="44" t="s">
        <v>65</v>
      </c>
      <c r="F3" s="41" t="s">
        <v>21</v>
      </c>
      <c r="G3" s="34">
        <v>4</v>
      </c>
      <c r="H3" s="107">
        <f>IF(B$51=0,0,G3/B$51)</f>
        <v>0.44444444444444442</v>
      </c>
      <c r="I3" s="68">
        <v>1</v>
      </c>
      <c r="K3" s="5">
        <v>1</v>
      </c>
      <c r="L3" s="73">
        <v>-40.700000000000003</v>
      </c>
      <c r="N3" s="89" t="s">
        <v>127</v>
      </c>
      <c r="O3" s="96">
        <f t="shared" si="0"/>
        <v>1500</v>
      </c>
      <c r="P3" s="93">
        <v>5</v>
      </c>
      <c r="Q3" s="77">
        <v>7500</v>
      </c>
    </row>
    <row r="4" spans="1:17" x14ac:dyDescent="0.4">
      <c r="A4" s="37" t="s">
        <v>6</v>
      </c>
      <c r="B4" s="131">
        <v>-86.4</v>
      </c>
      <c r="C4" s="132"/>
      <c r="E4" s="44" t="s">
        <v>72</v>
      </c>
      <c r="F4" s="41" t="s">
        <v>27</v>
      </c>
      <c r="G4" s="34">
        <v>4</v>
      </c>
      <c r="H4" s="107">
        <f>IF(B$51=0,0,G4/B$51)</f>
        <v>0.44444444444444442</v>
      </c>
      <c r="I4" s="68">
        <v>16</v>
      </c>
      <c r="K4" s="5">
        <v>2</v>
      </c>
      <c r="L4" s="73">
        <v>-81.7</v>
      </c>
      <c r="N4" s="89" t="s">
        <v>128</v>
      </c>
      <c r="O4" s="96">
        <f t="shared" si="0"/>
        <v>-11250</v>
      </c>
      <c r="P4" s="93">
        <v>4</v>
      </c>
      <c r="Q4" s="77">
        <v>-45000</v>
      </c>
    </row>
    <row r="5" spans="1:17" x14ac:dyDescent="0.4">
      <c r="A5" s="37" t="s">
        <v>7</v>
      </c>
      <c r="B5" s="133">
        <f>IF(B$2=0,0,B$4/B$2)</f>
        <v>-17.28</v>
      </c>
      <c r="C5" s="134"/>
      <c r="E5" s="44" t="s">
        <v>68</v>
      </c>
      <c r="F5" s="41" t="s">
        <v>12</v>
      </c>
      <c r="G5" s="34">
        <v>3</v>
      </c>
      <c r="H5" s="107">
        <f>IF(B$51=0,0,G5/B$51)</f>
        <v>0.33333333333333331</v>
      </c>
      <c r="I5" s="68">
        <v>7</v>
      </c>
      <c r="K5" s="5">
        <v>3</v>
      </c>
      <c r="L5" s="73">
        <v>-88.9</v>
      </c>
      <c r="N5" s="89" t="s">
        <v>129</v>
      </c>
      <c r="O5" s="96">
        <f t="shared" si="0"/>
        <v>-12000</v>
      </c>
      <c r="P5" s="93">
        <v>3</v>
      </c>
      <c r="Q5" s="77">
        <v>-36000</v>
      </c>
    </row>
    <row r="6" spans="1:17" x14ac:dyDescent="0.4">
      <c r="A6" s="37" t="s">
        <v>1</v>
      </c>
      <c r="B6" s="141">
        <f>IF(B$2=0,0,(B$7*1+B$8*2+B$9*3)/B$2)</f>
        <v>2.2000000000000002</v>
      </c>
      <c r="C6" s="142"/>
      <c r="E6" s="44" t="s">
        <v>67</v>
      </c>
      <c r="F6" s="41" t="s">
        <v>23</v>
      </c>
      <c r="G6" s="34">
        <v>2</v>
      </c>
      <c r="H6" s="107">
        <f>IF(B$51=0,0,G6/B$51)</f>
        <v>0.22222222222222221</v>
      </c>
      <c r="I6" s="68">
        <v>15</v>
      </c>
      <c r="K6" s="5">
        <v>4</v>
      </c>
      <c r="L6" s="73">
        <v>-109.2</v>
      </c>
      <c r="N6" s="89" t="s">
        <v>130</v>
      </c>
      <c r="O6" s="96">
        <f t="shared" si="0"/>
        <v>5400</v>
      </c>
      <c r="P6" s="93">
        <v>2</v>
      </c>
      <c r="Q6" s="77">
        <v>10800</v>
      </c>
    </row>
    <row r="7" spans="1:17" x14ac:dyDescent="0.4">
      <c r="A7" s="37" t="s">
        <v>2</v>
      </c>
      <c r="B7" s="34">
        <v>1</v>
      </c>
      <c r="C7" s="31">
        <f t="shared" ref="C7:C14" si="1">IF(B$2=0,0,B7/B$2)</f>
        <v>0.2</v>
      </c>
      <c r="E7" s="44" t="s">
        <v>79</v>
      </c>
      <c r="F7" s="41" t="s">
        <v>34</v>
      </c>
      <c r="G7" s="34">
        <v>2</v>
      </c>
      <c r="H7" s="107">
        <f>IF(B$51=0,0,G7/B$51)</f>
        <v>0.22222222222222221</v>
      </c>
      <c r="I7" s="68">
        <v>1</v>
      </c>
      <c r="K7" s="5">
        <v>5</v>
      </c>
      <c r="L7" s="73">
        <v>-86.4</v>
      </c>
      <c r="N7" s="90" t="s">
        <v>131</v>
      </c>
      <c r="O7" s="97">
        <f t="shared" si="0"/>
        <v>-5000</v>
      </c>
      <c r="P7" s="94">
        <v>2</v>
      </c>
      <c r="Q7" s="78">
        <v>-10000</v>
      </c>
    </row>
    <row r="8" spans="1:17" x14ac:dyDescent="0.4">
      <c r="A8" s="37" t="s">
        <v>3</v>
      </c>
      <c r="B8" s="34">
        <v>2</v>
      </c>
      <c r="C8" s="31">
        <f t="shared" si="1"/>
        <v>0.4</v>
      </c>
      <c r="E8" s="44" t="s">
        <v>66</v>
      </c>
      <c r="F8" s="41" t="s">
        <v>22</v>
      </c>
      <c r="G8" s="34">
        <v>1</v>
      </c>
      <c r="H8" s="107">
        <f>IF(B$51=0,0,G8/B$51)</f>
        <v>0.1111111111111111</v>
      </c>
      <c r="I8" s="68">
        <v>19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0.4</v>
      </c>
      <c r="E9" s="44" t="s">
        <v>69</v>
      </c>
      <c r="F9" s="41" t="s">
        <v>24</v>
      </c>
      <c r="G9" s="34">
        <v>1</v>
      </c>
      <c r="H9" s="107">
        <f>IF(B$51=0,0,G9/B$51)</f>
        <v>0.1111111111111111</v>
      </c>
      <c r="I9" s="68">
        <v>15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49">
        <f>IF(B7=0,0,C10/B7)</f>
        <v>22.8</v>
      </c>
      <c r="C10" s="150">
        <v>22.8</v>
      </c>
      <c r="E10" s="44" t="s">
        <v>86</v>
      </c>
      <c r="F10" s="41" t="s">
        <v>41</v>
      </c>
      <c r="G10" s="34">
        <v>1</v>
      </c>
      <c r="H10" s="107">
        <f>IF(B$51=0,0,G10/B$51)</f>
        <v>0.1111111111111111</v>
      </c>
      <c r="I10" s="68">
        <v>2</v>
      </c>
      <c r="N10" s="88" t="s">
        <v>149</v>
      </c>
      <c r="O10" s="98">
        <f>IF(P10=0,0,Q10/P10)</f>
        <v>-24.1</v>
      </c>
      <c r="P10" s="92">
        <v>2</v>
      </c>
      <c r="Q10" s="80">
        <v>-48.2</v>
      </c>
    </row>
    <row r="11" spans="1:17" x14ac:dyDescent="0.4">
      <c r="A11" s="38" t="s">
        <v>204</v>
      </c>
      <c r="B11" s="149">
        <f>IF(B8=0,0,C11/B8)</f>
        <v>-23.950000000000003</v>
      </c>
      <c r="C11" s="150">
        <v>-47.900000000000006</v>
      </c>
      <c r="E11" s="44" t="s">
        <v>70</v>
      </c>
      <c r="F11" s="41" t="s">
        <v>25</v>
      </c>
      <c r="G11" s="34">
        <v>0</v>
      </c>
      <c r="H11" s="107">
        <f>IF(B$51=0,0,G11/B$51)</f>
        <v>0</v>
      </c>
      <c r="I11" s="68">
        <v>16</v>
      </c>
      <c r="N11" s="89" t="s">
        <v>150</v>
      </c>
      <c r="O11" s="99">
        <f>IF(P11=0,0,Q11/P11)</f>
        <v>-12.733333333333334</v>
      </c>
      <c r="P11" s="93">
        <v>3</v>
      </c>
      <c r="Q11" s="81">
        <v>-38.200000000000003</v>
      </c>
    </row>
    <row r="12" spans="1:17" x14ac:dyDescent="0.4">
      <c r="A12" s="38" t="s">
        <v>205</v>
      </c>
      <c r="B12" s="149">
        <f>IF(B9=0,0,C12/B9)</f>
        <v>-30.65</v>
      </c>
      <c r="C12" s="150">
        <v>-61.3</v>
      </c>
      <c r="E12" s="44" t="s">
        <v>71</v>
      </c>
      <c r="F12" s="41" t="s">
        <v>26</v>
      </c>
      <c r="G12" s="34">
        <v>0</v>
      </c>
      <c r="H12" s="107">
        <f>IF(B$51=0,0,G12/B$51)</f>
        <v>0</v>
      </c>
      <c r="I12" s="68">
        <v>16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38" t="s">
        <v>206</v>
      </c>
      <c r="B13" s="133">
        <f>AVERAGE(B10:B12)</f>
        <v>-10.6</v>
      </c>
      <c r="C13" s="134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">
      <c r="A14" s="39" t="s">
        <v>18</v>
      </c>
      <c r="B14" s="36">
        <v>2</v>
      </c>
      <c r="C14" s="32">
        <f t="shared" si="1"/>
        <v>0.4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8</v>
      </c>
      <c r="C15" s="11">
        <f>IF(B$50=0,0,B15/B$50)</f>
        <v>0.25806451612903225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17.200000000000003</v>
      </c>
      <c r="P15" s="92">
        <v>2</v>
      </c>
      <c r="Q15" s="80">
        <v>34.400000000000006</v>
      </c>
    </row>
    <row r="16" spans="1:17" x14ac:dyDescent="0.4">
      <c r="A16" s="37" t="s">
        <v>118</v>
      </c>
      <c r="B16" s="34">
        <v>5</v>
      </c>
      <c r="C16" s="31">
        <f>IF(B$50=0,0,B16/B$50)</f>
        <v>0.16129032258064516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1</v>
      </c>
      <c r="N16" s="89" t="s">
        <v>187</v>
      </c>
      <c r="O16" s="99">
        <f>IF(P16=0,0,Q16/P16)</f>
        <v>-13.45</v>
      </c>
      <c r="P16" s="93">
        <v>2</v>
      </c>
      <c r="Q16" s="81">
        <v>-26.9</v>
      </c>
    </row>
    <row r="17" spans="1:17" x14ac:dyDescent="0.4">
      <c r="A17" s="19" t="s">
        <v>123</v>
      </c>
      <c r="B17" s="13">
        <v>6</v>
      </c>
      <c r="C17" s="4">
        <f>IF(B$15=0,0,B17/B$15)</f>
        <v>0.75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9</v>
      </c>
      <c r="N17" s="89" t="s">
        <v>194</v>
      </c>
      <c r="O17" s="99">
        <f>IF(P17=0,0,Q17/P17)</f>
        <v>-21.200000000000003</v>
      </c>
      <c r="P17" s="93">
        <v>3</v>
      </c>
      <c r="Q17" s="81">
        <v>-63.600000000000009</v>
      </c>
    </row>
    <row r="18" spans="1:17" x14ac:dyDescent="0.4">
      <c r="A18" s="19" t="s">
        <v>124</v>
      </c>
      <c r="B18" s="13">
        <v>1</v>
      </c>
      <c r="C18" s="4">
        <f>IF(B$16=0,0,B18/B$16)</f>
        <v>0.2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  <c r="N18" s="89" t="s">
        <v>196</v>
      </c>
      <c r="O18" s="99">
        <f>IF(P18=0,0,Q18/P18)</f>
        <v>-38.6</v>
      </c>
      <c r="P18" s="93">
        <v>2</v>
      </c>
      <c r="Q18" s="81">
        <v>-77.2</v>
      </c>
    </row>
    <row r="19" spans="1:17" x14ac:dyDescent="0.4">
      <c r="A19" s="19" t="s">
        <v>10</v>
      </c>
      <c r="B19" s="13">
        <v>10</v>
      </c>
      <c r="C19" s="4">
        <f>IF(B$3=0,0,B19/B$3)</f>
        <v>0.27027027027027029</v>
      </c>
      <c r="E19" s="44" t="s">
        <v>80</v>
      </c>
      <c r="F19" s="41" t="s">
        <v>35</v>
      </c>
      <c r="G19" s="34">
        <v>0</v>
      </c>
      <c r="H19" s="107">
        <f>IF(B$51=0,0,G19/B$51)</f>
        <v>0</v>
      </c>
      <c r="I19" s="68">
        <v>3</v>
      </c>
      <c r="N19" s="89" t="s">
        <v>195</v>
      </c>
      <c r="O19" s="99">
        <f>IF(P19=0,0,Q19/P19)</f>
        <v>-125.9</v>
      </c>
      <c r="P19" s="93">
        <v>1</v>
      </c>
      <c r="Q19" s="81">
        <v>-125.9</v>
      </c>
    </row>
    <row r="20" spans="1:17" x14ac:dyDescent="0.4">
      <c r="A20" s="37" t="s">
        <v>13</v>
      </c>
      <c r="B20" s="34">
        <v>8</v>
      </c>
      <c r="C20" s="31">
        <f>IF(B$3=0,0,B20/B$3)</f>
        <v>0.21621621621621623</v>
      </c>
      <c r="E20" s="44" t="s">
        <v>81</v>
      </c>
      <c r="F20" s="41" t="s">
        <v>36</v>
      </c>
      <c r="G20" s="34">
        <v>0</v>
      </c>
      <c r="H20" s="107">
        <f>IF(B$51=0,0,G20/B$51)</f>
        <v>0</v>
      </c>
      <c r="I20" s="68">
        <v>15</v>
      </c>
    </row>
    <row r="21" spans="1:17" x14ac:dyDescent="0.4">
      <c r="A21" s="37" t="s">
        <v>12</v>
      </c>
      <c r="B21" s="34">
        <v>3</v>
      </c>
      <c r="C21" s="31">
        <f>IF(B$19=0,0,B21/B$19)</f>
        <v>0.3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17" x14ac:dyDescent="0.4">
      <c r="A22" s="37" t="s">
        <v>11</v>
      </c>
      <c r="B22" s="34">
        <v>7</v>
      </c>
      <c r="C22" s="31">
        <f>IF(B$19=0,0,B22/B$19)</f>
        <v>0.7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17" x14ac:dyDescent="0.4">
      <c r="A23" s="37" t="s">
        <v>180</v>
      </c>
      <c r="B23" s="34">
        <v>6</v>
      </c>
      <c r="C23" s="31">
        <f>IF(B$19=0,0,B23/B$19)</f>
        <v>0.6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17" x14ac:dyDescent="0.4">
      <c r="A24" s="37" t="s">
        <v>178</v>
      </c>
      <c r="B24" s="34">
        <v>1</v>
      </c>
      <c r="C24" s="31">
        <f>IF(B$19=0,0,B24/B$19)</f>
        <v>0.1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9</v>
      </c>
    </row>
    <row r="25" spans="1:17" x14ac:dyDescent="0.4">
      <c r="A25" s="37" t="s">
        <v>179</v>
      </c>
      <c r="B25" s="34">
        <v>3</v>
      </c>
      <c r="C25" s="31">
        <f>IF(B$19=0,0,B25/B$19)</f>
        <v>0.3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">
      <c r="A26" s="37" t="s">
        <v>5</v>
      </c>
      <c r="B26" s="17">
        <f>IF(B$19=0,0,C26/B$19)</f>
        <v>7100</v>
      </c>
      <c r="C26" s="8">
        <v>71000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">
      <c r="A27" s="38" t="s">
        <v>162</v>
      </c>
      <c r="B27" s="114">
        <f>IF($B$19-B$18=0,0,C27/($B$19-B$18))</f>
        <v>7666.666666666667</v>
      </c>
      <c r="C27" s="115">
        <v>69000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">
      <c r="A28" s="38" t="s">
        <v>163</v>
      </c>
      <c r="B28" s="114">
        <f>IF(B$18=0,0,C28/B$18)</f>
        <v>2000</v>
      </c>
      <c r="C28" s="115">
        <v>2000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">
      <c r="A29" s="38" t="s">
        <v>161</v>
      </c>
      <c r="B29" s="114">
        <f>IF(B$20=0,0,C29/B$20)</f>
        <v>-12487.5</v>
      </c>
      <c r="C29" s="115">
        <v>-99900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">
      <c r="A30" s="37" t="s">
        <v>155</v>
      </c>
      <c r="B30" s="34">
        <v>3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">
      <c r="A31" s="37" t="s">
        <v>156</v>
      </c>
      <c r="B31" s="34">
        <v>10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39">
        <v>3</v>
      </c>
      <c r="C32" s="140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">
      <c r="A33" s="40" t="s">
        <v>177</v>
      </c>
      <c r="B33" s="137">
        <v>57800</v>
      </c>
      <c r="C33" s="138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">
      <c r="A36" s="64" t="s">
        <v>168</v>
      </c>
      <c r="B36" s="121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">
      <c r="A37" s="37" t="s">
        <v>164</v>
      </c>
      <c r="B37" s="34">
        <v>1</v>
      </c>
      <c r="C37" s="31">
        <f t="shared" ref="C37:C48" si="2">IF(B$19=0,0,B37/B$19)</f>
        <v>0.1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4">
        <v>5</v>
      </c>
      <c r="C38" s="31">
        <f>IF(B$19=0,0,B38/B$19)</f>
        <v>0.5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4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">
      <c r="A40" s="37" t="s">
        <v>167</v>
      </c>
      <c r="B40" s="124">
        <v>2</v>
      </c>
      <c r="C40" s="31">
        <f t="shared" si="2"/>
        <v>0.2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1</v>
      </c>
    </row>
    <row r="41" spans="1:9" x14ac:dyDescent="0.4">
      <c r="A41" s="37" t="s">
        <v>169</v>
      </c>
      <c r="B41" s="124">
        <v>1</v>
      </c>
      <c r="C41" s="31">
        <f t="shared" si="2"/>
        <v>0.1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4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4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4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">
      <c r="A45" s="37" t="s">
        <v>173</v>
      </c>
      <c r="B45" s="124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">
      <c r="A46" s="37" t="s">
        <v>174</v>
      </c>
      <c r="B46" s="124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4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0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7">
        <v>31</v>
      </c>
      <c r="C50" s="128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">
      <c r="A51" s="39" t="s">
        <v>182</v>
      </c>
      <c r="B51" s="135">
        <v>9</v>
      </c>
      <c r="C51" s="136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19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8DE9C-464D-4E0F-A580-B5789AA99C20}">
  <sheetPr codeName="Sheet10"/>
  <dimension ref="A1:Q281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188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279</v>
      </c>
      <c r="C2" s="128"/>
      <c r="E2" s="43" t="s">
        <v>66</v>
      </c>
      <c r="F2" s="25" t="s">
        <v>22</v>
      </c>
      <c r="G2" s="13">
        <v>429</v>
      </c>
      <c r="H2" s="106">
        <f>IF(B$51=0,0,G2/B$51)</f>
        <v>0.66511627906976745</v>
      </c>
      <c r="I2" s="67">
        <v>11</v>
      </c>
      <c r="K2" s="3">
        <v>0</v>
      </c>
      <c r="L2" s="72">
        <v>0</v>
      </c>
      <c r="N2" s="88" t="s">
        <v>126</v>
      </c>
      <c r="O2" s="95">
        <f t="shared" ref="O2:O7" si="0">IF(P2=0,0,Q2/P2)</f>
        <v>448.38709677419354</v>
      </c>
      <c r="P2" s="92">
        <v>279</v>
      </c>
      <c r="Q2" s="76">
        <v>125100</v>
      </c>
    </row>
    <row r="3" spans="1:17" x14ac:dyDescent="0.4">
      <c r="A3" s="37" t="s">
        <v>8</v>
      </c>
      <c r="B3" s="129">
        <v>2340</v>
      </c>
      <c r="C3" s="130"/>
      <c r="E3" s="44" t="s">
        <v>72</v>
      </c>
      <c r="F3" s="41" t="s">
        <v>27</v>
      </c>
      <c r="G3" s="34">
        <v>365</v>
      </c>
      <c r="H3" s="107">
        <f>IF(B$51=0,0,G3/B$51)</f>
        <v>0.56589147286821706</v>
      </c>
      <c r="I3" s="68">
        <v>7</v>
      </c>
      <c r="K3" s="5">
        <v>1</v>
      </c>
      <c r="L3" s="73">
        <v>68.2</v>
      </c>
      <c r="N3" s="89" t="s">
        <v>127</v>
      </c>
      <c r="O3" s="96">
        <f t="shared" si="0"/>
        <v>-1938.6029411764705</v>
      </c>
      <c r="P3" s="93">
        <v>272</v>
      </c>
      <c r="Q3" s="77">
        <v>-527300</v>
      </c>
    </row>
    <row r="4" spans="1:17" x14ac:dyDescent="0.4">
      <c r="A4" s="37" t="s">
        <v>6</v>
      </c>
      <c r="B4" s="131">
        <v>-1383.5000000000002</v>
      </c>
      <c r="C4" s="132"/>
      <c r="E4" s="44" t="s">
        <v>64</v>
      </c>
      <c r="F4" s="41" t="s">
        <v>20</v>
      </c>
      <c r="G4" s="34">
        <v>226</v>
      </c>
      <c r="H4" s="107">
        <f>IF(B$51=0,0,G4/B$51)</f>
        <v>0.35038759689922483</v>
      </c>
      <c r="I4" s="68">
        <v>19</v>
      </c>
      <c r="K4" s="5">
        <v>2</v>
      </c>
      <c r="L4" s="73">
        <v>58.5</v>
      </c>
      <c r="N4" s="89" t="s">
        <v>128</v>
      </c>
      <c r="O4" s="96">
        <f t="shared" si="0"/>
        <v>-1505.952380952381</v>
      </c>
      <c r="P4" s="93">
        <v>252</v>
      </c>
      <c r="Q4" s="77">
        <v>-379500</v>
      </c>
    </row>
    <row r="5" spans="1:17" x14ac:dyDescent="0.4">
      <c r="A5" s="37" t="s">
        <v>7</v>
      </c>
      <c r="B5" s="133">
        <f>IF(B$2=0,0,B$4/B$2)</f>
        <v>-4.9587813620071692</v>
      </c>
      <c r="C5" s="134"/>
      <c r="E5" s="44" t="s">
        <v>157</v>
      </c>
      <c r="F5" s="41" t="s">
        <v>158</v>
      </c>
      <c r="G5" s="34">
        <v>203</v>
      </c>
      <c r="H5" s="107">
        <f>IF(B$51=0,0,G5/B$51)</f>
        <v>0.31472868217054262</v>
      </c>
      <c r="I5" s="68">
        <v>8</v>
      </c>
      <c r="K5" s="5">
        <v>3</v>
      </c>
      <c r="L5" s="73">
        <v>82.1</v>
      </c>
      <c r="N5" s="89" t="s">
        <v>129</v>
      </c>
      <c r="O5" s="96">
        <f t="shared" si="0"/>
        <v>-121.00840336134453</v>
      </c>
      <c r="P5" s="93">
        <v>238</v>
      </c>
      <c r="Q5" s="77">
        <v>-28800</v>
      </c>
    </row>
    <row r="6" spans="1:17" x14ac:dyDescent="0.4">
      <c r="A6" s="37" t="s">
        <v>1</v>
      </c>
      <c r="B6" s="141">
        <f>IF(B$2=0,0,(B$7*1+B$8*2+B$9*3)/B$2)</f>
        <v>2.1362007168458783</v>
      </c>
      <c r="C6" s="142"/>
      <c r="E6" s="44" t="s">
        <v>68</v>
      </c>
      <c r="F6" s="41" t="s">
        <v>12</v>
      </c>
      <c r="G6" s="34">
        <v>177</v>
      </c>
      <c r="H6" s="107">
        <f>IF(B$51=0,0,G6/B$51)</f>
        <v>0.2744186046511628</v>
      </c>
      <c r="I6" s="68">
        <v>16</v>
      </c>
      <c r="K6" s="5">
        <v>4</v>
      </c>
      <c r="L6" s="73">
        <v>57.699999999999996</v>
      </c>
      <c r="N6" s="89" t="s">
        <v>130</v>
      </c>
      <c r="O6" s="96">
        <f t="shared" si="0"/>
        <v>-512.32876712328766</v>
      </c>
      <c r="P6" s="93">
        <v>219</v>
      </c>
      <c r="Q6" s="77">
        <v>-112200</v>
      </c>
    </row>
    <row r="7" spans="1:17" x14ac:dyDescent="0.4">
      <c r="A7" s="37" t="s">
        <v>2</v>
      </c>
      <c r="B7" s="34">
        <v>70</v>
      </c>
      <c r="C7" s="31">
        <f t="shared" ref="C7:C14" si="1">IF(B$2=0,0,B7/B$2)</f>
        <v>0.25089605734767023</v>
      </c>
      <c r="E7" s="44" t="s">
        <v>67</v>
      </c>
      <c r="F7" s="41" t="s">
        <v>23</v>
      </c>
      <c r="G7" s="34">
        <v>113</v>
      </c>
      <c r="H7" s="107">
        <f>IF(B$51=0,0,G7/B$51)</f>
        <v>0.17519379844961241</v>
      </c>
      <c r="I7" s="68">
        <v>17</v>
      </c>
      <c r="K7" s="5">
        <v>5</v>
      </c>
      <c r="L7" s="73">
        <v>123.69999999999999</v>
      </c>
      <c r="N7" s="90" t="s">
        <v>131</v>
      </c>
      <c r="O7" s="97">
        <f t="shared" si="0"/>
        <v>-1372.5274725274726</v>
      </c>
      <c r="P7" s="94">
        <v>182</v>
      </c>
      <c r="Q7" s="78">
        <v>-249800</v>
      </c>
    </row>
    <row r="8" spans="1:17" x14ac:dyDescent="0.4">
      <c r="A8" s="37" t="s">
        <v>3</v>
      </c>
      <c r="B8" s="34">
        <v>101</v>
      </c>
      <c r="C8" s="31">
        <f t="shared" si="1"/>
        <v>0.36200716845878134</v>
      </c>
      <c r="E8" s="44" t="s">
        <v>69</v>
      </c>
      <c r="F8" s="41" t="s">
        <v>24</v>
      </c>
      <c r="G8" s="34">
        <v>100</v>
      </c>
      <c r="H8" s="107">
        <f>IF(B$51=0,0,G8/B$51)</f>
        <v>0.15503875968992248</v>
      </c>
      <c r="I8" s="68">
        <v>6</v>
      </c>
      <c r="K8" s="5">
        <v>6</v>
      </c>
      <c r="L8" s="73">
        <v>125.19999999999999</v>
      </c>
      <c r="N8" s="33"/>
      <c r="O8" s="101"/>
      <c r="P8" s="85"/>
      <c r="Q8" s="83"/>
    </row>
    <row r="9" spans="1:17" x14ac:dyDescent="0.4">
      <c r="A9" s="38" t="s">
        <v>4</v>
      </c>
      <c r="B9" s="35">
        <v>108</v>
      </c>
      <c r="C9" s="7">
        <f t="shared" si="1"/>
        <v>0.38709677419354838</v>
      </c>
      <c r="E9" s="44" t="s">
        <v>65</v>
      </c>
      <c r="F9" s="41" t="s">
        <v>21</v>
      </c>
      <c r="G9" s="34">
        <v>64</v>
      </c>
      <c r="H9" s="107">
        <f>IF(B$51=0,0,G9/B$51)</f>
        <v>9.9224806201550386E-2</v>
      </c>
      <c r="I9" s="68">
        <v>14</v>
      </c>
      <c r="K9" s="5">
        <v>7</v>
      </c>
      <c r="L9" s="73">
        <v>129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49">
        <f>IF(B7=0,0,C10/B7)</f>
        <v>35.725714285714282</v>
      </c>
      <c r="C10" s="150">
        <v>2500.7999999999997</v>
      </c>
      <c r="E10" s="44" t="s">
        <v>71</v>
      </c>
      <c r="F10" s="41" t="s">
        <v>26</v>
      </c>
      <c r="G10" s="34">
        <v>59</v>
      </c>
      <c r="H10" s="107">
        <f>IF(B$51=0,0,G10/B$51)</f>
        <v>9.1472868217054262E-2</v>
      </c>
      <c r="I10" s="68">
        <v>2</v>
      </c>
      <c r="K10" s="5">
        <v>8</v>
      </c>
      <c r="L10" s="73">
        <v>96.5</v>
      </c>
      <c r="N10" s="88" t="s">
        <v>149</v>
      </c>
      <c r="O10" s="98">
        <f>IF(P10=0,0,Q10/P10)</f>
        <v>-8.1153846153846168</v>
      </c>
      <c r="P10" s="92">
        <v>104</v>
      </c>
      <c r="Q10" s="80">
        <v>-844.00000000000023</v>
      </c>
    </row>
    <row r="11" spans="1:17" x14ac:dyDescent="0.4">
      <c r="A11" s="38" t="s">
        <v>204</v>
      </c>
      <c r="B11" s="149">
        <f>IF(B8=0,0,C11/B8)</f>
        <v>-1.7534653465346539</v>
      </c>
      <c r="C11" s="150">
        <v>-177.10000000000005</v>
      </c>
      <c r="E11" s="44" t="s">
        <v>70</v>
      </c>
      <c r="F11" s="41" t="s">
        <v>25</v>
      </c>
      <c r="G11" s="34">
        <v>56</v>
      </c>
      <c r="H11" s="107">
        <f>IF(B$51=0,0,G11/B$51)</f>
        <v>8.6821705426356588E-2</v>
      </c>
      <c r="I11" s="68">
        <v>10</v>
      </c>
      <c r="K11" s="5">
        <v>9</v>
      </c>
      <c r="L11" s="73">
        <v>82.8</v>
      </c>
      <c r="N11" s="89" t="s">
        <v>150</v>
      </c>
      <c r="O11" s="99">
        <f>IF(P11=0,0,Q11/P11)</f>
        <v>-3.1719512195121946</v>
      </c>
      <c r="P11" s="93">
        <v>82</v>
      </c>
      <c r="Q11" s="81">
        <v>-260.09999999999997</v>
      </c>
    </row>
    <row r="12" spans="1:17" x14ac:dyDescent="0.4">
      <c r="A12" s="38" t="s">
        <v>205</v>
      </c>
      <c r="B12" s="149">
        <f>IF(B9=0,0,C12/B9)</f>
        <v>-34.325925925925922</v>
      </c>
      <c r="C12" s="150">
        <v>-3707.2</v>
      </c>
      <c r="E12" s="44" t="s">
        <v>89</v>
      </c>
      <c r="F12" s="41" t="s">
        <v>44</v>
      </c>
      <c r="G12" s="34">
        <v>50</v>
      </c>
      <c r="H12" s="107">
        <f>IF(B$51=0,0,G12/B$51)</f>
        <v>7.7519379844961239E-2</v>
      </c>
      <c r="I12" s="68">
        <v>16</v>
      </c>
      <c r="K12" s="5">
        <v>10</v>
      </c>
      <c r="L12" s="73">
        <v>110.5</v>
      </c>
      <c r="N12" s="90" t="s">
        <v>151</v>
      </c>
      <c r="O12" s="100">
        <f>IF(P12=0,0,Q12/P12)</f>
        <v>-3.0043010752688168</v>
      </c>
      <c r="P12" s="94">
        <v>93</v>
      </c>
      <c r="Q12" s="82">
        <v>-279.39999999999998</v>
      </c>
    </row>
    <row r="13" spans="1:17" x14ac:dyDescent="0.4">
      <c r="A13" s="38" t="s">
        <v>206</v>
      </c>
      <c r="B13" s="133">
        <f>AVERAGE(B10:B12)</f>
        <v>-0.11789232891543122</v>
      </c>
      <c r="C13" s="134"/>
      <c r="E13" s="44" t="s">
        <v>83</v>
      </c>
      <c r="F13" s="41" t="s">
        <v>38</v>
      </c>
      <c r="G13" s="34">
        <v>42</v>
      </c>
      <c r="H13" s="107">
        <f>IF(B$51=0,0,G13/B$51)</f>
        <v>6.5116279069767441E-2</v>
      </c>
      <c r="I13" s="68">
        <v>3</v>
      </c>
      <c r="K13" s="5">
        <v>11</v>
      </c>
      <c r="L13" s="73">
        <v>71.599999999999994</v>
      </c>
      <c r="N13" s="28"/>
      <c r="O13" s="84"/>
      <c r="P13" s="86"/>
      <c r="Q13" s="84"/>
    </row>
    <row r="14" spans="1:17" x14ac:dyDescent="0.4">
      <c r="A14" s="39" t="s">
        <v>18</v>
      </c>
      <c r="B14" s="36">
        <v>29</v>
      </c>
      <c r="C14" s="32">
        <f t="shared" si="1"/>
        <v>0.1039426523297491</v>
      </c>
      <c r="E14" s="44" t="s">
        <v>86</v>
      </c>
      <c r="F14" s="41" t="s">
        <v>41</v>
      </c>
      <c r="G14" s="34">
        <v>25</v>
      </c>
      <c r="H14" s="107">
        <f>IF(B$51=0,0,G14/B$51)</f>
        <v>3.875968992248062E-2</v>
      </c>
      <c r="I14" s="68">
        <v>13</v>
      </c>
      <c r="K14" s="5">
        <v>12</v>
      </c>
      <c r="L14" s="73">
        <v>33.599999999999994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432</v>
      </c>
      <c r="C15" s="11">
        <f>IF(B$50=0,0,B15/B$50)</f>
        <v>0.2</v>
      </c>
      <c r="E15" s="44" t="s">
        <v>81</v>
      </c>
      <c r="F15" s="41" t="s">
        <v>36</v>
      </c>
      <c r="G15" s="34">
        <v>23</v>
      </c>
      <c r="H15" s="107">
        <f>IF(B$51=0,0,G15/B$51)</f>
        <v>3.565891472868217E-2</v>
      </c>
      <c r="I15" s="68">
        <v>6</v>
      </c>
      <c r="K15" s="5">
        <v>13</v>
      </c>
      <c r="L15" s="73">
        <v>13.299999999999994</v>
      </c>
      <c r="N15" s="88" t="s">
        <v>189</v>
      </c>
      <c r="O15" s="98">
        <f>IF(P15=0,0,Q15/P15)</f>
        <v>57.233333333333341</v>
      </c>
      <c r="P15" s="92">
        <v>3</v>
      </c>
      <c r="Q15" s="80">
        <v>171.70000000000002</v>
      </c>
    </row>
    <row r="16" spans="1:17" x14ac:dyDescent="0.4">
      <c r="A16" s="37" t="s">
        <v>118</v>
      </c>
      <c r="B16" s="34">
        <v>597</v>
      </c>
      <c r="C16" s="31">
        <f>IF(B$50=0,0,B16/B$50)</f>
        <v>0.27638888888888891</v>
      </c>
      <c r="E16" s="44" t="s">
        <v>78</v>
      </c>
      <c r="F16" s="41" t="s">
        <v>33</v>
      </c>
      <c r="G16" s="34">
        <v>11</v>
      </c>
      <c r="H16" s="107">
        <f>IF(B$51=0,0,G16/B$51)</f>
        <v>1.7054263565891473E-2</v>
      </c>
      <c r="I16" s="68">
        <v>12</v>
      </c>
      <c r="K16" s="5">
        <v>14</v>
      </c>
      <c r="L16" s="73">
        <v>4.7999999999999936</v>
      </c>
      <c r="N16" s="89" t="s">
        <v>194</v>
      </c>
      <c r="O16" s="99">
        <f>IF(P16=0,0,Q16/P16)</f>
        <v>18.385714285714283</v>
      </c>
      <c r="P16" s="93">
        <v>7</v>
      </c>
      <c r="Q16" s="81">
        <v>128.69999999999999</v>
      </c>
    </row>
    <row r="17" spans="1:17" x14ac:dyDescent="0.4">
      <c r="A17" s="19" t="s">
        <v>123</v>
      </c>
      <c r="B17" s="13">
        <v>227</v>
      </c>
      <c r="C17" s="4">
        <f>IF(B$15=0,0,B17/B$15)</f>
        <v>0.52546296296296291</v>
      </c>
      <c r="E17" s="44" t="s">
        <v>79</v>
      </c>
      <c r="F17" s="41" t="s">
        <v>34</v>
      </c>
      <c r="G17" s="34">
        <v>11</v>
      </c>
      <c r="H17" s="107">
        <f>IF(B$51=0,0,G17/B$51)</f>
        <v>1.7054263565891473E-2</v>
      </c>
      <c r="I17" s="68">
        <v>7</v>
      </c>
      <c r="K17" s="5">
        <v>15</v>
      </c>
      <c r="L17" s="73">
        <v>-33.700000000000003</v>
      </c>
      <c r="N17" s="89" t="s">
        <v>193</v>
      </c>
      <c r="O17" s="99">
        <f>IF(P17=0,0,Q17/P17)</f>
        <v>6.113513513513511</v>
      </c>
      <c r="P17" s="93">
        <v>111</v>
      </c>
      <c r="Q17" s="81">
        <v>678.59999999999968</v>
      </c>
    </row>
    <row r="18" spans="1:17" x14ac:dyDescent="0.4">
      <c r="A18" s="19" t="s">
        <v>124</v>
      </c>
      <c r="B18" s="13">
        <v>239</v>
      </c>
      <c r="C18" s="4">
        <f>IF(B$16=0,0,B18/B$16)</f>
        <v>0.40033500837520936</v>
      </c>
      <c r="E18" s="44" t="s">
        <v>91</v>
      </c>
      <c r="F18" s="41" t="s">
        <v>46</v>
      </c>
      <c r="G18" s="34">
        <v>8</v>
      </c>
      <c r="H18" s="107">
        <f>IF(B$51=0,0,G18/B$51)</f>
        <v>1.2403100775193798E-2</v>
      </c>
      <c r="I18" s="68">
        <v>12</v>
      </c>
      <c r="K18" s="5">
        <v>16</v>
      </c>
      <c r="L18" s="73">
        <v>-45.300000000000004</v>
      </c>
      <c r="N18" s="89" t="s">
        <v>186</v>
      </c>
      <c r="O18" s="99">
        <f>IF(P18=0,0,Q18/P18)</f>
        <v>5.1315789473684195</v>
      </c>
      <c r="P18" s="93">
        <v>19</v>
      </c>
      <c r="Q18" s="81">
        <v>97.499999999999972</v>
      </c>
    </row>
    <row r="19" spans="1:17" x14ac:dyDescent="0.4">
      <c r="A19" s="19" t="s">
        <v>10</v>
      </c>
      <c r="B19" s="13">
        <v>696</v>
      </c>
      <c r="C19" s="4">
        <f>IF(B$3=0,0,B19/B$3)</f>
        <v>0.29743589743589743</v>
      </c>
      <c r="E19" s="44" t="s">
        <v>74</v>
      </c>
      <c r="F19" s="41" t="s">
        <v>29</v>
      </c>
      <c r="G19" s="34">
        <v>4</v>
      </c>
      <c r="H19" s="107">
        <f>IF(B$51=0,0,G19/B$51)</f>
        <v>6.2015503875968991E-3</v>
      </c>
      <c r="I19" s="68">
        <v>2</v>
      </c>
      <c r="K19" s="5">
        <v>17</v>
      </c>
      <c r="L19" s="73">
        <v>-45.000000000000007</v>
      </c>
      <c r="N19" s="89" t="s">
        <v>187</v>
      </c>
      <c r="O19" s="99">
        <f>IF(P19=0,0,Q19/P19)</f>
        <v>2.4246376811594192</v>
      </c>
      <c r="P19" s="93">
        <v>69</v>
      </c>
      <c r="Q19" s="81">
        <v>167.29999999999993</v>
      </c>
    </row>
    <row r="20" spans="1:17" x14ac:dyDescent="0.4">
      <c r="A20" s="37" t="s">
        <v>13</v>
      </c>
      <c r="B20" s="34">
        <v>384</v>
      </c>
      <c r="C20" s="31">
        <f>IF(B$3=0,0,B20/B$3)</f>
        <v>0.1641025641025641</v>
      </c>
      <c r="E20" s="44" t="s">
        <v>75</v>
      </c>
      <c r="F20" s="41" t="s">
        <v>30</v>
      </c>
      <c r="G20" s="34">
        <v>4</v>
      </c>
      <c r="H20" s="107">
        <f>IF(B$51=0,0,G20/B$51)</f>
        <v>6.2015503875968991E-3</v>
      </c>
      <c r="I20" s="68">
        <v>6</v>
      </c>
      <c r="K20" s="5">
        <v>18</v>
      </c>
      <c r="L20" s="73">
        <v>-30.300000000000008</v>
      </c>
      <c r="N20" s="89" t="s">
        <v>190</v>
      </c>
      <c r="O20" s="99">
        <f>IF(P20=0,0,Q20/P20)</f>
        <v>-6.5337662337662366</v>
      </c>
      <c r="P20" s="93">
        <v>77</v>
      </c>
      <c r="Q20" s="81">
        <v>-503.10000000000019</v>
      </c>
    </row>
    <row r="21" spans="1:17" x14ac:dyDescent="0.4">
      <c r="A21" s="37" t="s">
        <v>12</v>
      </c>
      <c r="B21" s="34">
        <v>299</v>
      </c>
      <c r="C21" s="31">
        <f>IF(B$19=0,0,B21/B$19)</f>
        <v>0.4295977011494253</v>
      </c>
      <c r="E21" s="44" t="s">
        <v>77</v>
      </c>
      <c r="F21" s="41" t="s">
        <v>32</v>
      </c>
      <c r="G21" s="34">
        <v>3</v>
      </c>
      <c r="H21" s="107">
        <f>IF(B$51=0,0,G21/B$51)</f>
        <v>4.6511627906976744E-3</v>
      </c>
      <c r="I21" s="68">
        <v>6</v>
      </c>
      <c r="K21" s="5">
        <v>19</v>
      </c>
      <c r="L21" s="73">
        <v>17.699999999999992</v>
      </c>
      <c r="N21" s="89" t="s">
        <v>197</v>
      </c>
      <c r="O21" s="99">
        <f>IF(P21=0,0,Q21/P21)</f>
        <v>-12.007692307692306</v>
      </c>
      <c r="P21" s="93">
        <v>13</v>
      </c>
      <c r="Q21" s="81">
        <v>-156.09999999999997</v>
      </c>
    </row>
    <row r="22" spans="1:17" x14ac:dyDescent="0.4">
      <c r="A22" s="37" t="s">
        <v>11</v>
      </c>
      <c r="B22" s="34">
        <v>397</v>
      </c>
      <c r="C22" s="31">
        <f>IF(B$19=0,0,B22/B$19)</f>
        <v>0.5704022988505747</v>
      </c>
      <c r="E22" s="44" t="s">
        <v>87</v>
      </c>
      <c r="F22" s="41" t="s">
        <v>42</v>
      </c>
      <c r="G22" s="34">
        <v>2</v>
      </c>
      <c r="H22" s="107">
        <f>IF(B$51=0,0,G22/B$51)</f>
        <v>3.1007751937984496E-3</v>
      </c>
      <c r="I22" s="68">
        <v>3</v>
      </c>
      <c r="K22" s="5">
        <v>20</v>
      </c>
      <c r="L22" s="73">
        <v>-24.100000000000005</v>
      </c>
      <c r="N22" s="89" t="s">
        <v>191</v>
      </c>
      <c r="O22" s="99">
        <f>IF(P22=0,0,Q22/P22)</f>
        <v>-13.295774647887324</v>
      </c>
      <c r="P22" s="93">
        <v>71</v>
      </c>
      <c r="Q22" s="81">
        <v>-944</v>
      </c>
    </row>
    <row r="23" spans="1:17" x14ac:dyDescent="0.4">
      <c r="A23" s="37" t="s">
        <v>180</v>
      </c>
      <c r="B23" s="34">
        <v>227</v>
      </c>
      <c r="C23" s="31">
        <f>IF(B$19=0,0,B23/B$19)</f>
        <v>0.3261494252873563</v>
      </c>
      <c r="E23" s="44" t="s">
        <v>88</v>
      </c>
      <c r="F23" s="41" t="s">
        <v>43</v>
      </c>
      <c r="G23" s="34">
        <v>2</v>
      </c>
      <c r="H23" s="107">
        <f>IF(B$51=0,0,G23/B$51)</f>
        <v>3.1007751937984496E-3</v>
      </c>
      <c r="I23" s="68">
        <v>1</v>
      </c>
      <c r="K23" s="5">
        <v>21</v>
      </c>
      <c r="L23" s="73">
        <v>-29.600000000000005</v>
      </c>
      <c r="N23" s="89" t="s">
        <v>199</v>
      </c>
      <c r="O23" s="99">
        <f>IF(P23=0,0,Q23/P23)</f>
        <v>-16.62857142857143</v>
      </c>
      <c r="P23" s="93">
        <v>7</v>
      </c>
      <c r="Q23" s="81">
        <v>-116.40000000000002</v>
      </c>
    </row>
    <row r="24" spans="1:17" x14ac:dyDescent="0.4">
      <c r="A24" s="37" t="s">
        <v>178</v>
      </c>
      <c r="B24" s="34">
        <v>239</v>
      </c>
      <c r="C24" s="31">
        <f>IF(B$19=0,0,B24/B$19)</f>
        <v>0.34339080459770116</v>
      </c>
      <c r="E24" s="44" t="s">
        <v>93</v>
      </c>
      <c r="F24" s="41" t="s">
        <v>48</v>
      </c>
      <c r="G24" s="34">
        <v>2</v>
      </c>
      <c r="H24" s="107">
        <f>IF(B$51=0,0,G24/B$51)</f>
        <v>3.1007751937984496E-3</v>
      </c>
      <c r="I24" s="68">
        <v>4</v>
      </c>
      <c r="K24" s="5">
        <v>22</v>
      </c>
      <c r="L24" s="73">
        <v>-4.7000000000000064</v>
      </c>
      <c r="N24" s="89" t="s">
        <v>195</v>
      </c>
      <c r="O24" s="99">
        <f>IF(P24=0,0,Q24/P24)</f>
        <v>-19.488888888888891</v>
      </c>
      <c r="P24" s="93">
        <v>162</v>
      </c>
      <c r="Q24" s="81">
        <v>-3157.2000000000003</v>
      </c>
    </row>
    <row r="25" spans="1:17" x14ac:dyDescent="0.4">
      <c r="A25" s="37" t="s">
        <v>179</v>
      </c>
      <c r="B25" s="34">
        <v>230</v>
      </c>
      <c r="C25" s="31">
        <f>IF(B$19=0,0,B25/B$19)</f>
        <v>0.33045977011494254</v>
      </c>
      <c r="E25" s="44" t="s">
        <v>73</v>
      </c>
      <c r="F25" s="41" t="s">
        <v>28</v>
      </c>
      <c r="G25" s="34">
        <v>1</v>
      </c>
      <c r="H25" s="107">
        <f>IF(B$51=0,0,G25/B$51)</f>
        <v>1.5503875968992248E-3</v>
      </c>
      <c r="I25" s="68">
        <v>11</v>
      </c>
      <c r="K25" s="5">
        <v>23</v>
      </c>
      <c r="L25" s="73">
        <v>-18.600000000000009</v>
      </c>
      <c r="N25" s="89" t="s">
        <v>192</v>
      </c>
      <c r="O25" s="99">
        <f>IF(P25=0,0,Q25/P25)</f>
        <v>-26.638888888888889</v>
      </c>
      <c r="P25" s="93">
        <v>18</v>
      </c>
      <c r="Q25" s="81">
        <v>-479.5</v>
      </c>
    </row>
    <row r="26" spans="1:17" x14ac:dyDescent="0.4">
      <c r="A26" s="37" t="s">
        <v>5</v>
      </c>
      <c r="B26" s="17">
        <f>IF(B$19=0,0,C26/B$19)</f>
        <v>7463.0747126436781</v>
      </c>
      <c r="C26" s="8">
        <v>5194300</v>
      </c>
      <c r="E26" s="44" t="s">
        <v>84</v>
      </c>
      <c r="F26" s="41" t="s">
        <v>39</v>
      </c>
      <c r="G26" s="34">
        <v>1</v>
      </c>
      <c r="H26" s="107">
        <f>IF(B$51=0,0,G26/B$51)</f>
        <v>1.5503875968992248E-3</v>
      </c>
      <c r="I26" s="68">
        <v>6</v>
      </c>
      <c r="K26" s="5">
        <v>24</v>
      </c>
      <c r="L26" s="73">
        <v>-26.900000000000009</v>
      </c>
      <c r="N26" s="89" t="s">
        <v>202</v>
      </c>
      <c r="O26" s="99">
        <f>IF(P26=0,0,Q26/P26)</f>
        <v>-38</v>
      </c>
      <c r="P26" s="93">
        <v>1</v>
      </c>
      <c r="Q26" s="81">
        <v>-38</v>
      </c>
    </row>
    <row r="27" spans="1:17" x14ac:dyDescent="0.4">
      <c r="A27" s="38" t="s">
        <v>162</v>
      </c>
      <c r="B27" s="114">
        <f>IF($B$19-B$18=0,0,C27/($B$19-B$18))</f>
        <v>8132.385120350109</v>
      </c>
      <c r="C27" s="115">
        <v>3716500</v>
      </c>
      <c r="E27" s="44" t="s">
        <v>90</v>
      </c>
      <c r="F27" s="41" t="s">
        <v>45</v>
      </c>
      <c r="G27" s="34">
        <v>1</v>
      </c>
      <c r="H27" s="107">
        <f>IF(B$51=0,0,G27/B$51)</f>
        <v>1.5503875968992248E-3</v>
      </c>
      <c r="I27" s="68">
        <v>6</v>
      </c>
      <c r="K27" s="5">
        <v>25</v>
      </c>
      <c r="L27" s="73">
        <v>-37.900000000000006</v>
      </c>
    </row>
    <row r="28" spans="1:17" x14ac:dyDescent="0.4">
      <c r="A28" s="38" t="s">
        <v>163</v>
      </c>
      <c r="B28" s="114">
        <f>IF(B$18=0,0,C28/B$18)</f>
        <v>6183.2635983263599</v>
      </c>
      <c r="C28" s="115">
        <v>1477800</v>
      </c>
      <c r="E28" s="44" t="s">
        <v>76</v>
      </c>
      <c r="F28" s="41" t="s">
        <v>31</v>
      </c>
      <c r="G28" s="34">
        <v>0</v>
      </c>
      <c r="H28" s="107">
        <f>IF(B$51=0,0,G28/B$51)</f>
        <v>0</v>
      </c>
      <c r="I28" s="68">
        <v>1</v>
      </c>
      <c r="K28" s="5">
        <v>26</v>
      </c>
      <c r="L28" s="73">
        <v>-59.800000000000004</v>
      </c>
    </row>
    <row r="29" spans="1:17" x14ac:dyDescent="0.4">
      <c r="A29" s="38" t="s">
        <v>161</v>
      </c>
      <c r="B29" s="114">
        <f>IF(B$20=0,0,C29/B$20)</f>
        <v>-8424.7395833333339</v>
      </c>
      <c r="C29" s="115">
        <v>-3235100</v>
      </c>
      <c r="E29" s="44" t="s">
        <v>80</v>
      </c>
      <c r="F29" s="41" t="s">
        <v>35</v>
      </c>
      <c r="G29" s="34">
        <v>0</v>
      </c>
      <c r="H29" s="107">
        <f>IF(B$51=0,0,G29/B$51)</f>
        <v>0</v>
      </c>
      <c r="I29" s="68">
        <v>3</v>
      </c>
      <c r="K29" s="5">
        <v>27</v>
      </c>
      <c r="L29" s="73">
        <v>-53.7</v>
      </c>
    </row>
    <row r="30" spans="1:17" x14ac:dyDescent="0.4">
      <c r="A30" s="37" t="s">
        <v>155</v>
      </c>
      <c r="B30" s="34">
        <v>10</v>
      </c>
      <c r="C30" s="109">
        <v>0</v>
      </c>
      <c r="E30" s="44" t="s">
        <v>82</v>
      </c>
      <c r="F30" s="41" t="s">
        <v>37</v>
      </c>
      <c r="G30" s="34">
        <v>0</v>
      </c>
      <c r="H30" s="107">
        <f>IF(B$51=0,0,G30/B$51)</f>
        <v>0</v>
      </c>
      <c r="I30" s="68">
        <v>1</v>
      </c>
      <c r="K30" s="5">
        <v>28</v>
      </c>
      <c r="L30" s="73">
        <v>-53.1</v>
      </c>
    </row>
    <row r="31" spans="1:17" x14ac:dyDescent="0.4">
      <c r="A31" s="37" t="s">
        <v>156</v>
      </c>
      <c r="B31" s="34">
        <v>32</v>
      </c>
      <c r="C31" s="109">
        <v>0</v>
      </c>
      <c r="E31" s="44" t="s">
        <v>85</v>
      </c>
      <c r="F31" s="41" t="s">
        <v>40</v>
      </c>
      <c r="G31" s="34">
        <v>0</v>
      </c>
      <c r="H31" s="107">
        <f>IF(B$51=0,0,G31/B$51)</f>
        <v>0</v>
      </c>
      <c r="I31" s="68">
        <v>9</v>
      </c>
      <c r="K31" s="5">
        <v>29</v>
      </c>
      <c r="L31" s="73">
        <v>-12.899999999999999</v>
      </c>
    </row>
    <row r="32" spans="1:17" x14ac:dyDescent="0.4">
      <c r="A32" s="64" t="s">
        <v>134</v>
      </c>
      <c r="B32" s="139">
        <v>7</v>
      </c>
      <c r="C32" s="140"/>
      <c r="E32" s="44" t="s">
        <v>92</v>
      </c>
      <c r="F32" s="41" t="s">
        <v>47</v>
      </c>
      <c r="G32" s="34">
        <v>0</v>
      </c>
      <c r="H32" s="107">
        <f>IF(B$51=0,0,G32/B$51)</f>
        <v>0</v>
      </c>
      <c r="I32" s="68">
        <v>9</v>
      </c>
      <c r="K32" s="5">
        <v>30</v>
      </c>
      <c r="L32" s="73">
        <v>-48.6</v>
      </c>
    </row>
    <row r="33" spans="1:12" x14ac:dyDescent="0.4">
      <c r="A33" s="40" t="s">
        <v>177</v>
      </c>
      <c r="B33" s="137">
        <v>103200</v>
      </c>
      <c r="C33" s="138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-64.599999999999994</v>
      </c>
    </row>
    <row r="34" spans="1:12" x14ac:dyDescent="0.4">
      <c r="A34" s="39" t="s">
        <v>135</v>
      </c>
      <c r="B34" s="27">
        <v>5</v>
      </c>
      <c r="C34" s="32">
        <f>IF(B$3=0,0,B34/B$3)</f>
        <v>2.136752136752137E-3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-70.399999999999991</v>
      </c>
    </row>
    <row r="35" spans="1:12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-122.29999999999998</v>
      </c>
    </row>
    <row r="36" spans="1:12" x14ac:dyDescent="0.4">
      <c r="A36" s="64" t="s">
        <v>168</v>
      </c>
      <c r="B36" s="121">
        <v>68</v>
      </c>
      <c r="C36" s="119">
        <f>IF(B$19=0,0,B36/B$19)</f>
        <v>9.7701149425287362E-2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  <c r="K36" s="5">
        <v>34</v>
      </c>
      <c r="L36" s="73">
        <v>-134.29999999999998</v>
      </c>
    </row>
    <row r="37" spans="1:12" x14ac:dyDescent="0.4">
      <c r="A37" s="37" t="s">
        <v>164</v>
      </c>
      <c r="B37" s="34">
        <v>139</v>
      </c>
      <c r="C37" s="31">
        <f t="shared" ref="C37:C48" si="2">IF(B$19=0,0,B37/B$19)</f>
        <v>0.19971264367816091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-100.89999999999998</v>
      </c>
    </row>
    <row r="38" spans="1:12" x14ac:dyDescent="0.4">
      <c r="A38" s="37" t="s">
        <v>165</v>
      </c>
      <c r="B38" s="124">
        <v>126</v>
      </c>
      <c r="C38" s="31">
        <f>IF(B$19=0,0,B38/B$19)</f>
        <v>0.18103448275862069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-106.49999999999997</v>
      </c>
    </row>
    <row r="39" spans="1:12" x14ac:dyDescent="0.4">
      <c r="A39" s="37" t="s">
        <v>166</v>
      </c>
      <c r="B39" s="124">
        <v>128</v>
      </c>
      <c r="C39" s="31">
        <f t="shared" si="2"/>
        <v>0.18390804597701149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-133.49999999999997</v>
      </c>
    </row>
    <row r="40" spans="1:12" x14ac:dyDescent="0.4">
      <c r="A40" s="37" t="s">
        <v>167</v>
      </c>
      <c r="B40" s="124">
        <v>90</v>
      </c>
      <c r="C40" s="31">
        <f t="shared" si="2"/>
        <v>0.12931034482758622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  <c r="K40" s="5">
        <v>38</v>
      </c>
      <c r="L40" s="73">
        <v>-128.29999999999998</v>
      </c>
    </row>
    <row r="41" spans="1:12" x14ac:dyDescent="0.4">
      <c r="A41" s="37" t="s">
        <v>169</v>
      </c>
      <c r="B41" s="124">
        <v>44</v>
      </c>
      <c r="C41" s="31">
        <f t="shared" si="2"/>
        <v>6.3218390804597707E-2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-135.99999999999997</v>
      </c>
    </row>
    <row r="42" spans="1:12" x14ac:dyDescent="0.4">
      <c r="A42" s="37" t="s">
        <v>170</v>
      </c>
      <c r="B42" s="124">
        <v>24</v>
      </c>
      <c r="C42" s="31">
        <f t="shared" si="2"/>
        <v>3.4482758620689655E-2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-150.99999999999997</v>
      </c>
    </row>
    <row r="43" spans="1:12" x14ac:dyDescent="0.4">
      <c r="A43" s="37" t="s">
        <v>171</v>
      </c>
      <c r="B43" s="124">
        <v>17</v>
      </c>
      <c r="C43" s="31">
        <f t="shared" si="2"/>
        <v>2.442528735632184E-2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-201.59999999999997</v>
      </c>
    </row>
    <row r="44" spans="1:12" x14ac:dyDescent="0.4">
      <c r="A44" s="37" t="s">
        <v>172</v>
      </c>
      <c r="B44" s="124">
        <v>5</v>
      </c>
      <c r="C44" s="31">
        <f t="shared" si="2"/>
        <v>7.1839080459770114E-3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-196.79999999999995</v>
      </c>
    </row>
    <row r="45" spans="1:12" x14ac:dyDescent="0.4">
      <c r="A45" s="37" t="s">
        <v>173</v>
      </c>
      <c r="B45" s="124">
        <v>1</v>
      </c>
      <c r="C45" s="31">
        <f t="shared" si="2"/>
        <v>1.4367816091954023E-3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-242.29999999999995</v>
      </c>
    </row>
    <row r="46" spans="1:12" x14ac:dyDescent="0.4">
      <c r="A46" s="37" t="s">
        <v>174</v>
      </c>
      <c r="B46" s="124">
        <v>1</v>
      </c>
      <c r="C46" s="31">
        <f t="shared" si="2"/>
        <v>1.4367816091954023E-3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-243.39999999999995</v>
      </c>
    </row>
    <row r="47" spans="1:12" x14ac:dyDescent="0.4">
      <c r="A47" s="37" t="s">
        <v>175</v>
      </c>
      <c r="B47" s="124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-280.59999999999997</v>
      </c>
    </row>
    <row r="48" spans="1:12" x14ac:dyDescent="0.4">
      <c r="A48" s="39" t="s">
        <v>176</v>
      </c>
      <c r="B48" s="120">
        <v>2</v>
      </c>
      <c r="C48" s="32">
        <f t="shared" si="2"/>
        <v>2.8735632183908046E-3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-321.89999999999998</v>
      </c>
    </row>
    <row r="49" spans="1:12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-326.09999999999997</v>
      </c>
    </row>
    <row r="50" spans="1:12" x14ac:dyDescent="0.4">
      <c r="A50" s="64" t="s">
        <v>181</v>
      </c>
      <c r="B50" s="127">
        <v>2160</v>
      </c>
      <c r="C50" s="128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-386.4</v>
      </c>
    </row>
    <row r="51" spans="1:12" x14ac:dyDescent="0.4">
      <c r="A51" s="39" t="s">
        <v>182</v>
      </c>
      <c r="B51" s="135">
        <v>645</v>
      </c>
      <c r="C51" s="136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-402.29999999999995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-396.29999999999995</v>
      </c>
    </row>
    <row r="53" spans="1:12" x14ac:dyDescent="0.4">
      <c r="K53" s="5">
        <v>51</v>
      </c>
      <c r="L53" s="73">
        <v>-417.29999999999995</v>
      </c>
    </row>
    <row r="54" spans="1:12" x14ac:dyDescent="0.4">
      <c r="K54" s="5">
        <v>52</v>
      </c>
      <c r="L54" s="73">
        <v>-421.29999999999995</v>
      </c>
    </row>
    <row r="55" spans="1:12" x14ac:dyDescent="0.4">
      <c r="K55" s="5">
        <v>53</v>
      </c>
      <c r="L55" s="73">
        <v>-451.69999999999993</v>
      </c>
    </row>
    <row r="56" spans="1:12" x14ac:dyDescent="0.4">
      <c r="K56" s="5">
        <v>54</v>
      </c>
      <c r="L56" s="73">
        <v>-445.09999999999991</v>
      </c>
    </row>
    <row r="57" spans="1:12" x14ac:dyDescent="0.4">
      <c r="K57" s="5">
        <v>55</v>
      </c>
      <c r="L57" s="73">
        <v>-465.59999999999991</v>
      </c>
    </row>
    <row r="58" spans="1:12" x14ac:dyDescent="0.4">
      <c r="K58" s="5">
        <v>56</v>
      </c>
      <c r="L58" s="73">
        <v>-502.59999999999991</v>
      </c>
    </row>
    <row r="59" spans="1:12" x14ac:dyDescent="0.4">
      <c r="K59" s="5">
        <v>57</v>
      </c>
      <c r="L59" s="73">
        <v>-533.29999999999995</v>
      </c>
    </row>
    <row r="60" spans="1:12" x14ac:dyDescent="0.4">
      <c r="K60" s="5">
        <v>58</v>
      </c>
      <c r="L60" s="73">
        <v>-573.29999999999995</v>
      </c>
    </row>
    <row r="61" spans="1:12" x14ac:dyDescent="0.4">
      <c r="K61" s="5">
        <v>59</v>
      </c>
      <c r="L61" s="73">
        <v>-550.79999999999995</v>
      </c>
    </row>
    <row r="62" spans="1:12" x14ac:dyDescent="0.4">
      <c r="K62" s="5">
        <v>60</v>
      </c>
      <c r="L62" s="73">
        <v>-535.29999999999995</v>
      </c>
    </row>
    <row r="63" spans="1:12" x14ac:dyDescent="0.4">
      <c r="K63" s="5">
        <v>61</v>
      </c>
      <c r="L63" s="73">
        <v>-492.29999999999995</v>
      </c>
    </row>
    <row r="64" spans="1:12" x14ac:dyDescent="0.4">
      <c r="K64" s="5">
        <v>62</v>
      </c>
      <c r="L64" s="73">
        <v>-511.9</v>
      </c>
    </row>
    <row r="65" spans="11:12" x14ac:dyDescent="0.4">
      <c r="K65" s="5">
        <v>63</v>
      </c>
      <c r="L65" s="73">
        <v>-524.1</v>
      </c>
    </row>
    <row r="66" spans="11:12" x14ac:dyDescent="0.4">
      <c r="K66" s="5">
        <v>64</v>
      </c>
      <c r="L66" s="73">
        <v>-535.9</v>
      </c>
    </row>
    <row r="67" spans="11:12" x14ac:dyDescent="0.4">
      <c r="K67" s="5">
        <v>65</v>
      </c>
      <c r="L67" s="73">
        <v>-494.59999999999997</v>
      </c>
    </row>
    <row r="68" spans="11:12" x14ac:dyDescent="0.4">
      <c r="K68" s="5">
        <v>66</v>
      </c>
      <c r="L68" s="73">
        <v>-483.2</v>
      </c>
    </row>
    <row r="69" spans="11:12" x14ac:dyDescent="0.4">
      <c r="K69" s="5">
        <v>67</v>
      </c>
      <c r="L69" s="73">
        <v>-466.7</v>
      </c>
    </row>
    <row r="70" spans="11:12" x14ac:dyDescent="0.4">
      <c r="K70" s="5">
        <v>68</v>
      </c>
      <c r="L70" s="73">
        <v>-462</v>
      </c>
    </row>
    <row r="71" spans="11:12" x14ac:dyDescent="0.4">
      <c r="K71" s="5">
        <v>69</v>
      </c>
      <c r="L71" s="73">
        <v>-472.6</v>
      </c>
    </row>
    <row r="72" spans="11:12" x14ac:dyDescent="0.4">
      <c r="K72" s="5">
        <v>70</v>
      </c>
      <c r="L72" s="73">
        <v>-466.8</v>
      </c>
    </row>
    <row r="73" spans="11:12" x14ac:dyDescent="0.4">
      <c r="K73" s="5">
        <v>71</v>
      </c>
      <c r="L73" s="73">
        <v>-446.7</v>
      </c>
    </row>
    <row r="74" spans="11:12" x14ac:dyDescent="0.4">
      <c r="K74" s="5">
        <v>72</v>
      </c>
      <c r="L74" s="73">
        <v>-471.8</v>
      </c>
    </row>
    <row r="75" spans="11:12" x14ac:dyDescent="0.4">
      <c r="K75" s="5">
        <v>73</v>
      </c>
      <c r="L75" s="73">
        <v>-486.2</v>
      </c>
    </row>
    <row r="76" spans="11:12" x14ac:dyDescent="0.4">
      <c r="K76" s="5">
        <v>74</v>
      </c>
      <c r="L76" s="73">
        <v>-520.20000000000005</v>
      </c>
    </row>
    <row r="77" spans="11:12" x14ac:dyDescent="0.4">
      <c r="K77" s="5">
        <v>75</v>
      </c>
      <c r="L77" s="73">
        <v>-493.70000000000005</v>
      </c>
    </row>
    <row r="78" spans="11:12" x14ac:dyDescent="0.4">
      <c r="K78" s="5">
        <v>76</v>
      </c>
      <c r="L78" s="73">
        <v>-475.70000000000005</v>
      </c>
    </row>
    <row r="79" spans="11:12" x14ac:dyDescent="0.4">
      <c r="K79" s="5">
        <v>77</v>
      </c>
      <c r="L79" s="73">
        <v>-517.20000000000005</v>
      </c>
    </row>
    <row r="80" spans="11:12" x14ac:dyDescent="0.4">
      <c r="K80" s="5">
        <v>78</v>
      </c>
      <c r="L80" s="73">
        <v>-519</v>
      </c>
    </row>
    <row r="81" spans="11:12" x14ac:dyDescent="0.4">
      <c r="K81" s="5">
        <v>79</v>
      </c>
      <c r="L81" s="73">
        <v>-481</v>
      </c>
    </row>
    <row r="82" spans="11:12" x14ac:dyDescent="0.4">
      <c r="K82" s="5">
        <v>80</v>
      </c>
      <c r="L82" s="73">
        <v>-434.2</v>
      </c>
    </row>
    <row r="83" spans="11:12" x14ac:dyDescent="0.4">
      <c r="K83" s="5">
        <v>81</v>
      </c>
      <c r="L83" s="73">
        <v>-479.2</v>
      </c>
    </row>
    <row r="84" spans="11:12" x14ac:dyDescent="0.4">
      <c r="K84" s="5">
        <v>82</v>
      </c>
      <c r="L84" s="73">
        <v>-517.70000000000005</v>
      </c>
    </row>
    <row r="85" spans="11:12" x14ac:dyDescent="0.4">
      <c r="K85" s="5">
        <v>83</v>
      </c>
      <c r="L85" s="73">
        <v>-521.5</v>
      </c>
    </row>
    <row r="86" spans="11:12" x14ac:dyDescent="0.4">
      <c r="K86" s="5">
        <v>84</v>
      </c>
      <c r="L86" s="73">
        <v>-540.4</v>
      </c>
    </row>
    <row r="87" spans="11:12" x14ac:dyDescent="0.4">
      <c r="K87" s="5">
        <v>85</v>
      </c>
      <c r="L87" s="73">
        <v>-559</v>
      </c>
    </row>
    <row r="88" spans="11:12" x14ac:dyDescent="0.4">
      <c r="K88" s="5">
        <v>86</v>
      </c>
      <c r="L88" s="73">
        <v>-547.9</v>
      </c>
    </row>
    <row r="89" spans="11:12" x14ac:dyDescent="0.4">
      <c r="K89" s="5">
        <v>87</v>
      </c>
      <c r="L89" s="73">
        <v>-566.70000000000005</v>
      </c>
    </row>
    <row r="90" spans="11:12" x14ac:dyDescent="0.4">
      <c r="K90" s="5">
        <v>88</v>
      </c>
      <c r="L90" s="73">
        <v>-557.20000000000005</v>
      </c>
    </row>
    <row r="91" spans="11:12" x14ac:dyDescent="0.4">
      <c r="K91" s="5">
        <v>89</v>
      </c>
      <c r="L91" s="73">
        <v>-524.1</v>
      </c>
    </row>
    <row r="92" spans="11:12" x14ac:dyDescent="0.4">
      <c r="K92" s="5">
        <v>90</v>
      </c>
      <c r="L92" s="73">
        <v>-529.6</v>
      </c>
    </row>
    <row r="93" spans="11:12" x14ac:dyDescent="0.4">
      <c r="K93" s="5">
        <v>91</v>
      </c>
      <c r="L93" s="73">
        <v>-554.70000000000005</v>
      </c>
    </row>
    <row r="94" spans="11:12" x14ac:dyDescent="0.4">
      <c r="K94" s="5">
        <v>92</v>
      </c>
      <c r="L94" s="73">
        <v>-551.20000000000005</v>
      </c>
    </row>
    <row r="95" spans="11:12" x14ac:dyDescent="0.4">
      <c r="K95" s="5">
        <v>93</v>
      </c>
      <c r="L95" s="73">
        <v>-588.5</v>
      </c>
    </row>
    <row r="96" spans="11:12" x14ac:dyDescent="0.4">
      <c r="K96" s="5">
        <v>94</v>
      </c>
      <c r="L96" s="73">
        <v>-615.5</v>
      </c>
    </row>
    <row r="97" spans="11:12" x14ac:dyDescent="0.4">
      <c r="K97" s="5">
        <v>95</v>
      </c>
      <c r="L97" s="73">
        <v>-534.79999999999995</v>
      </c>
    </row>
    <row r="98" spans="11:12" x14ac:dyDescent="0.4">
      <c r="K98" s="5">
        <v>96</v>
      </c>
      <c r="L98" s="73">
        <v>-484.8</v>
      </c>
    </row>
    <row r="99" spans="11:12" x14ac:dyDescent="0.4">
      <c r="K99" s="5">
        <v>97</v>
      </c>
      <c r="L99" s="73">
        <v>-512.9</v>
      </c>
    </row>
    <row r="100" spans="11:12" x14ac:dyDescent="0.4">
      <c r="K100" s="5">
        <v>98</v>
      </c>
      <c r="L100" s="73">
        <v>-562</v>
      </c>
    </row>
    <row r="101" spans="11:12" x14ac:dyDescent="0.4">
      <c r="K101" s="5">
        <v>99</v>
      </c>
      <c r="L101" s="73">
        <v>-571.29999999999995</v>
      </c>
    </row>
    <row r="102" spans="11:12" x14ac:dyDescent="0.4">
      <c r="K102" s="5">
        <v>100</v>
      </c>
      <c r="L102" s="73">
        <v>-639.29999999999995</v>
      </c>
    </row>
    <row r="103" spans="11:12" x14ac:dyDescent="0.4">
      <c r="K103" s="5">
        <v>101</v>
      </c>
      <c r="L103" s="73">
        <v>-646.6</v>
      </c>
    </row>
    <row r="104" spans="11:12" x14ac:dyDescent="0.4">
      <c r="K104" s="5">
        <v>102</v>
      </c>
      <c r="L104" s="73">
        <v>-614.1</v>
      </c>
    </row>
    <row r="105" spans="11:12" x14ac:dyDescent="0.4">
      <c r="K105" s="5">
        <v>103</v>
      </c>
      <c r="L105" s="73">
        <v>-587.20000000000005</v>
      </c>
    </row>
    <row r="106" spans="11:12" x14ac:dyDescent="0.4">
      <c r="K106" s="5">
        <v>104</v>
      </c>
      <c r="L106" s="73">
        <v>-529.79999999999995</v>
      </c>
    </row>
    <row r="107" spans="11:12" x14ac:dyDescent="0.4">
      <c r="K107" s="5">
        <v>105</v>
      </c>
      <c r="L107" s="73">
        <v>-516</v>
      </c>
    </row>
    <row r="108" spans="11:12" x14ac:dyDescent="0.4">
      <c r="K108" s="5">
        <v>106</v>
      </c>
      <c r="L108" s="73">
        <v>-469.1</v>
      </c>
    </row>
    <row r="109" spans="11:12" x14ac:dyDescent="0.4">
      <c r="K109" s="5">
        <v>107</v>
      </c>
      <c r="L109" s="73">
        <v>-504.3</v>
      </c>
    </row>
    <row r="110" spans="11:12" x14ac:dyDescent="0.4">
      <c r="K110" s="5">
        <v>108</v>
      </c>
      <c r="L110" s="73">
        <v>-564.4</v>
      </c>
    </row>
    <row r="111" spans="11:12" x14ac:dyDescent="0.4">
      <c r="K111" s="5">
        <v>109</v>
      </c>
      <c r="L111" s="73">
        <v>-490.1</v>
      </c>
    </row>
    <row r="112" spans="11:12" x14ac:dyDescent="0.4">
      <c r="K112" s="5">
        <v>110</v>
      </c>
      <c r="L112" s="73">
        <v>-528.6</v>
      </c>
    </row>
    <row r="113" spans="11:12" x14ac:dyDescent="0.4">
      <c r="K113" s="5">
        <v>111</v>
      </c>
      <c r="L113" s="73">
        <v>-526.1</v>
      </c>
    </row>
    <row r="114" spans="11:12" x14ac:dyDescent="0.4">
      <c r="K114" s="5">
        <v>112</v>
      </c>
      <c r="L114" s="73">
        <v>-518.6</v>
      </c>
    </row>
    <row r="115" spans="11:12" x14ac:dyDescent="0.4">
      <c r="K115" s="5">
        <v>113</v>
      </c>
      <c r="L115" s="73">
        <v>-550.70000000000005</v>
      </c>
    </row>
    <row r="116" spans="11:12" x14ac:dyDescent="0.4">
      <c r="K116" s="5">
        <v>114</v>
      </c>
      <c r="L116" s="73">
        <v>-468.2</v>
      </c>
    </row>
    <row r="117" spans="11:12" x14ac:dyDescent="0.4">
      <c r="K117" s="5">
        <v>115</v>
      </c>
      <c r="L117" s="73">
        <v>-495.7</v>
      </c>
    </row>
    <row r="118" spans="11:12" x14ac:dyDescent="0.4">
      <c r="K118" s="5">
        <v>116</v>
      </c>
      <c r="L118" s="73">
        <v>-444.6</v>
      </c>
    </row>
    <row r="119" spans="11:12" x14ac:dyDescent="0.4">
      <c r="K119" s="5">
        <v>117</v>
      </c>
      <c r="L119" s="73">
        <v>-482.1</v>
      </c>
    </row>
    <row r="120" spans="11:12" x14ac:dyDescent="0.4">
      <c r="K120" s="5">
        <v>118</v>
      </c>
      <c r="L120" s="73">
        <v>-516.5</v>
      </c>
    </row>
    <row r="121" spans="11:12" x14ac:dyDescent="0.4">
      <c r="K121" s="5">
        <v>119</v>
      </c>
      <c r="L121" s="73">
        <v>-549.20000000000005</v>
      </c>
    </row>
    <row r="122" spans="11:12" x14ac:dyDescent="0.4">
      <c r="K122" s="5">
        <v>120</v>
      </c>
      <c r="L122" s="73">
        <v>-567.29999999999995</v>
      </c>
    </row>
    <row r="123" spans="11:12" x14ac:dyDescent="0.4">
      <c r="K123" s="5">
        <v>121</v>
      </c>
      <c r="L123" s="73">
        <v>-568.70000000000005</v>
      </c>
    </row>
    <row r="124" spans="11:12" x14ac:dyDescent="0.4">
      <c r="K124" s="5">
        <v>122</v>
      </c>
      <c r="L124" s="73">
        <v>-529</v>
      </c>
    </row>
    <row r="125" spans="11:12" x14ac:dyDescent="0.4">
      <c r="K125" s="5">
        <v>123</v>
      </c>
      <c r="L125" s="73">
        <v>-526.9</v>
      </c>
    </row>
    <row r="126" spans="11:12" x14ac:dyDescent="0.4">
      <c r="K126" s="5">
        <v>124</v>
      </c>
      <c r="L126" s="73">
        <v>-496.2</v>
      </c>
    </row>
    <row r="127" spans="11:12" x14ac:dyDescent="0.4">
      <c r="K127" s="5">
        <v>125</v>
      </c>
      <c r="L127" s="73">
        <v>-521.29999999999995</v>
      </c>
    </row>
    <row r="128" spans="11:12" x14ac:dyDescent="0.4">
      <c r="K128" s="5">
        <v>126</v>
      </c>
      <c r="L128" s="73">
        <v>-512.1</v>
      </c>
    </row>
    <row r="129" spans="11:12" x14ac:dyDescent="0.4">
      <c r="K129" s="5">
        <v>127</v>
      </c>
      <c r="L129" s="73">
        <v>-516.70000000000005</v>
      </c>
    </row>
    <row r="130" spans="11:12" x14ac:dyDescent="0.4">
      <c r="K130" s="5">
        <v>128</v>
      </c>
      <c r="L130" s="73">
        <v>-592</v>
      </c>
    </row>
    <row r="131" spans="11:12" x14ac:dyDescent="0.4">
      <c r="K131" s="5">
        <v>129</v>
      </c>
      <c r="L131" s="73">
        <v>-587</v>
      </c>
    </row>
    <row r="132" spans="11:12" x14ac:dyDescent="0.4">
      <c r="K132" s="5">
        <v>130</v>
      </c>
      <c r="L132" s="73">
        <v>-584.29999999999995</v>
      </c>
    </row>
    <row r="133" spans="11:12" x14ac:dyDescent="0.4">
      <c r="K133" s="5">
        <v>131</v>
      </c>
      <c r="L133" s="73">
        <v>-546.1</v>
      </c>
    </row>
    <row r="134" spans="11:12" x14ac:dyDescent="0.4">
      <c r="K134" s="5">
        <v>132</v>
      </c>
      <c r="L134" s="73">
        <v>-513.1</v>
      </c>
    </row>
    <row r="135" spans="11:12" x14ac:dyDescent="0.4">
      <c r="K135" s="5">
        <v>133</v>
      </c>
      <c r="L135" s="73">
        <v>-447.6</v>
      </c>
    </row>
    <row r="136" spans="11:12" x14ac:dyDescent="0.4">
      <c r="K136" s="5">
        <v>134</v>
      </c>
      <c r="L136" s="73">
        <v>-446</v>
      </c>
    </row>
    <row r="137" spans="11:12" x14ac:dyDescent="0.4">
      <c r="K137" s="5">
        <v>135</v>
      </c>
      <c r="L137" s="73">
        <v>-452.7</v>
      </c>
    </row>
    <row r="138" spans="11:12" x14ac:dyDescent="0.4">
      <c r="K138" s="5">
        <v>136</v>
      </c>
      <c r="L138" s="73">
        <v>-445.6</v>
      </c>
    </row>
    <row r="139" spans="11:12" x14ac:dyDescent="0.4">
      <c r="K139" s="5">
        <v>137</v>
      </c>
      <c r="L139" s="73">
        <v>-460.2</v>
      </c>
    </row>
    <row r="140" spans="11:12" x14ac:dyDescent="0.4">
      <c r="K140" s="5">
        <v>138</v>
      </c>
      <c r="L140" s="73">
        <v>-493.8</v>
      </c>
    </row>
    <row r="141" spans="11:12" x14ac:dyDescent="0.4">
      <c r="K141" s="5">
        <v>139</v>
      </c>
      <c r="L141" s="73">
        <v>-503.40000000000003</v>
      </c>
    </row>
    <row r="142" spans="11:12" x14ac:dyDescent="0.4">
      <c r="K142" s="5">
        <v>140</v>
      </c>
      <c r="L142" s="73">
        <v>-524.29999999999995</v>
      </c>
    </row>
    <row r="143" spans="11:12" x14ac:dyDescent="0.4">
      <c r="K143" s="5">
        <v>141</v>
      </c>
      <c r="L143" s="73">
        <v>-567</v>
      </c>
    </row>
    <row r="144" spans="11:12" x14ac:dyDescent="0.4">
      <c r="K144" s="5">
        <v>142</v>
      </c>
      <c r="L144" s="73">
        <v>-565</v>
      </c>
    </row>
    <row r="145" spans="11:12" x14ac:dyDescent="0.4">
      <c r="K145" s="5">
        <v>143</v>
      </c>
      <c r="L145" s="73">
        <v>-559.4</v>
      </c>
    </row>
    <row r="146" spans="11:12" x14ac:dyDescent="0.4">
      <c r="K146" s="5">
        <v>144</v>
      </c>
      <c r="L146" s="73">
        <v>-537</v>
      </c>
    </row>
    <row r="147" spans="11:12" x14ac:dyDescent="0.4">
      <c r="K147" s="5">
        <v>145</v>
      </c>
      <c r="L147" s="73">
        <v>-492</v>
      </c>
    </row>
    <row r="148" spans="11:12" x14ac:dyDescent="0.4">
      <c r="K148" s="5">
        <v>146</v>
      </c>
      <c r="L148" s="73">
        <v>-519.20000000000005</v>
      </c>
    </row>
    <row r="149" spans="11:12" x14ac:dyDescent="0.4">
      <c r="K149" s="5">
        <v>147</v>
      </c>
      <c r="L149" s="73">
        <v>-551</v>
      </c>
    </row>
    <row r="150" spans="11:12" x14ac:dyDescent="0.4">
      <c r="K150" s="5">
        <v>148</v>
      </c>
      <c r="L150" s="73">
        <v>-513.9</v>
      </c>
    </row>
    <row r="151" spans="11:12" x14ac:dyDescent="0.4">
      <c r="K151" s="5">
        <v>149</v>
      </c>
      <c r="L151" s="73">
        <v>-513.1</v>
      </c>
    </row>
    <row r="152" spans="11:12" x14ac:dyDescent="0.4">
      <c r="K152" s="5">
        <v>150</v>
      </c>
      <c r="L152" s="73">
        <v>-520.80000000000007</v>
      </c>
    </row>
    <row r="153" spans="11:12" x14ac:dyDescent="0.4">
      <c r="K153" s="5">
        <v>151</v>
      </c>
      <c r="L153" s="73">
        <v>-564.4</v>
      </c>
    </row>
    <row r="154" spans="11:12" x14ac:dyDescent="0.4">
      <c r="K154" s="5">
        <v>152</v>
      </c>
      <c r="L154" s="73">
        <v>-557.1</v>
      </c>
    </row>
    <row r="155" spans="11:12" x14ac:dyDescent="0.4">
      <c r="K155" s="5">
        <v>153</v>
      </c>
      <c r="L155" s="73">
        <v>-598.5</v>
      </c>
    </row>
    <row r="156" spans="11:12" x14ac:dyDescent="0.4">
      <c r="K156" s="5">
        <v>154</v>
      </c>
      <c r="L156" s="73">
        <v>-566.6</v>
      </c>
    </row>
    <row r="157" spans="11:12" x14ac:dyDescent="0.4">
      <c r="K157" s="5">
        <v>155</v>
      </c>
      <c r="L157" s="73">
        <v>-591</v>
      </c>
    </row>
    <row r="158" spans="11:12" x14ac:dyDescent="0.4">
      <c r="K158" s="5">
        <v>156</v>
      </c>
      <c r="L158" s="73">
        <v>-635.6</v>
      </c>
    </row>
    <row r="159" spans="11:12" x14ac:dyDescent="0.4">
      <c r="K159" s="5">
        <v>157</v>
      </c>
      <c r="L159" s="73">
        <v>-627.4</v>
      </c>
    </row>
    <row r="160" spans="11:12" x14ac:dyDescent="0.4">
      <c r="K160" s="5">
        <v>158</v>
      </c>
      <c r="L160" s="73">
        <v>-688.3</v>
      </c>
    </row>
    <row r="161" spans="11:12" x14ac:dyDescent="0.4">
      <c r="K161" s="5">
        <v>159</v>
      </c>
      <c r="L161" s="73">
        <v>-620.5</v>
      </c>
    </row>
    <row r="162" spans="11:12" x14ac:dyDescent="0.4">
      <c r="K162" s="5">
        <v>160</v>
      </c>
      <c r="L162" s="73">
        <v>-635.4</v>
      </c>
    </row>
    <row r="163" spans="11:12" x14ac:dyDescent="0.4">
      <c r="K163" s="5">
        <v>161</v>
      </c>
      <c r="L163" s="73">
        <v>-595.30000000000007</v>
      </c>
    </row>
    <row r="164" spans="11:12" x14ac:dyDescent="0.4">
      <c r="K164" s="5">
        <v>162</v>
      </c>
      <c r="L164" s="73">
        <v>-596.30000000000007</v>
      </c>
    </row>
    <row r="165" spans="11:12" x14ac:dyDescent="0.4">
      <c r="K165" s="5">
        <v>163</v>
      </c>
      <c r="L165" s="73">
        <v>-597.6</v>
      </c>
    </row>
    <row r="166" spans="11:12" x14ac:dyDescent="0.4">
      <c r="K166" s="5">
        <v>164</v>
      </c>
      <c r="L166" s="73">
        <v>-626</v>
      </c>
    </row>
    <row r="167" spans="11:12" x14ac:dyDescent="0.4">
      <c r="K167" s="5">
        <v>165</v>
      </c>
      <c r="L167" s="73">
        <v>-673.7</v>
      </c>
    </row>
    <row r="168" spans="11:12" x14ac:dyDescent="0.4">
      <c r="K168" s="5">
        <v>166</v>
      </c>
      <c r="L168" s="73">
        <v>-674.9</v>
      </c>
    </row>
    <row r="169" spans="11:12" x14ac:dyDescent="0.4">
      <c r="K169" s="5">
        <v>167</v>
      </c>
      <c r="L169" s="73">
        <v>-669.6</v>
      </c>
    </row>
    <row r="170" spans="11:12" x14ac:dyDescent="0.4">
      <c r="K170" s="5">
        <v>168</v>
      </c>
      <c r="L170" s="73">
        <v>-660.2</v>
      </c>
    </row>
    <row r="171" spans="11:12" x14ac:dyDescent="0.4">
      <c r="K171" s="5">
        <v>169</v>
      </c>
      <c r="L171" s="73">
        <v>-721.90000000000009</v>
      </c>
    </row>
    <row r="172" spans="11:12" x14ac:dyDescent="0.4">
      <c r="K172" s="5">
        <v>170</v>
      </c>
      <c r="L172" s="73">
        <v>-680.30000000000007</v>
      </c>
    </row>
    <row r="173" spans="11:12" x14ac:dyDescent="0.4">
      <c r="K173" s="5">
        <v>171</v>
      </c>
      <c r="L173" s="73">
        <v>-692.30000000000007</v>
      </c>
    </row>
    <row r="174" spans="11:12" x14ac:dyDescent="0.4">
      <c r="K174" s="5">
        <v>172</v>
      </c>
      <c r="L174" s="73">
        <v>-677.6</v>
      </c>
    </row>
    <row r="175" spans="11:12" x14ac:dyDescent="0.4">
      <c r="K175" s="5">
        <v>173</v>
      </c>
      <c r="L175" s="73">
        <v>-722.2</v>
      </c>
    </row>
    <row r="176" spans="11:12" x14ac:dyDescent="0.4">
      <c r="K176" s="5">
        <v>174</v>
      </c>
      <c r="L176" s="73">
        <v>-682.90000000000009</v>
      </c>
    </row>
    <row r="177" spans="11:12" x14ac:dyDescent="0.4">
      <c r="K177" s="5">
        <v>175</v>
      </c>
      <c r="L177" s="73">
        <v>-681.80000000000007</v>
      </c>
    </row>
    <row r="178" spans="11:12" x14ac:dyDescent="0.4">
      <c r="K178" s="5">
        <v>176</v>
      </c>
      <c r="L178" s="73">
        <v>-680.5</v>
      </c>
    </row>
    <row r="179" spans="11:12" x14ac:dyDescent="0.4">
      <c r="K179" s="5">
        <v>177</v>
      </c>
      <c r="L179" s="73">
        <v>-679.5</v>
      </c>
    </row>
    <row r="180" spans="11:12" x14ac:dyDescent="0.4">
      <c r="K180" s="5">
        <v>178</v>
      </c>
      <c r="L180" s="73">
        <v>-714.1</v>
      </c>
    </row>
    <row r="181" spans="11:12" x14ac:dyDescent="0.4">
      <c r="K181" s="5">
        <v>179</v>
      </c>
      <c r="L181" s="73">
        <v>-743.6</v>
      </c>
    </row>
    <row r="182" spans="11:12" x14ac:dyDescent="0.4">
      <c r="K182" s="5">
        <v>180</v>
      </c>
      <c r="L182" s="73">
        <v>-720.5</v>
      </c>
    </row>
    <row r="183" spans="11:12" x14ac:dyDescent="0.4">
      <c r="K183" s="5">
        <v>181</v>
      </c>
      <c r="L183" s="73">
        <v>-761</v>
      </c>
    </row>
    <row r="184" spans="11:12" x14ac:dyDescent="0.4">
      <c r="K184" s="5">
        <v>182</v>
      </c>
      <c r="L184" s="73">
        <v>-759.5</v>
      </c>
    </row>
    <row r="185" spans="11:12" x14ac:dyDescent="0.4">
      <c r="K185" s="5">
        <v>183</v>
      </c>
      <c r="L185" s="73">
        <v>-723.7</v>
      </c>
    </row>
    <row r="186" spans="11:12" x14ac:dyDescent="0.4">
      <c r="K186" s="5">
        <v>184</v>
      </c>
      <c r="L186" s="73">
        <v>-731.90000000000009</v>
      </c>
    </row>
    <row r="187" spans="11:12" x14ac:dyDescent="0.4">
      <c r="K187" s="5">
        <v>185</v>
      </c>
      <c r="L187" s="73">
        <v>-736.80000000000007</v>
      </c>
    </row>
    <row r="188" spans="11:12" x14ac:dyDescent="0.4">
      <c r="K188" s="5">
        <v>186</v>
      </c>
      <c r="L188" s="73">
        <v>-771.40000000000009</v>
      </c>
    </row>
    <row r="189" spans="11:12" x14ac:dyDescent="0.4">
      <c r="K189" s="5">
        <v>187</v>
      </c>
      <c r="L189" s="73">
        <v>-759.80000000000007</v>
      </c>
    </row>
    <row r="190" spans="11:12" x14ac:dyDescent="0.4">
      <c r="K190" s="5">
        <v>188</v>
      </c>
      <c r="L190" s="73">
        <v>-818.40000000000009</v>
      </c>
    </row>
    <row r="191" spans="11:12" x14ac:dyDescent="0.4">
      <c r="K191" s="5">
        <v>189</v>
      </c>
      <c r="L191" s="73">
        <v>-793.2</v>
      </c>
    </row>
    <row r="192" spans="11:12" x14ac:dyDescent="0.4">
      <c r="K192" s="5">
        <v>190</v>
      </c>
      <c r="L192" s="73">
        <v>-802.5</v>
      </c>
    </row>
    <row r="193" spans="11:12" x14ac:dyDescent="0.4">
      <c r="K193" s="5">
        <v>191</v>
      </c>
      <c r="L193" s="73">
        <v>-807.1</v>
      </c>
    </row>
    <row r="194" spans="11:12" x14ac:dyDescent="0.4">
      <c r="K194" s="5">
        <v>192</v>
      </c>
      <c r="L194" s="73">
        <v>-782.6</v>
      </c>
    </row>
    <row r="195" spans="11:12" x14ac:dyDescent="0.4">
      <c r="K195" s="5">
        <v>193</v>
      </c>
      <c r="L195" s="73">
        <v>-810.8</v>
      </c>
    </row>
    <row r="196" spans="11:12" x14ac:dyDescent="0.4">
      <c r="K196" s="5">
        <v>194</v>
      </c>
      <c r="L196" s="73">
        <v>-833.2</v>
      </c>
    </row>
    <row r="197" spans="11:12" x14ac:dyDescent="0.4">
      <c r="K197" s="5">
        <v>195</v>
      </c>
      <c r="L197" s="73">
        <v>-858.3</v>
      </c>
    </row>
    <row r="198" spans="11:12" x14ac:dyDescent="0.4">
      <c r="K198" s="5">
        <v>196</v>
      </c>
      <c r="L198" s="73">
        <v>-843.3</v>
      </c>
    </row>
    <row r="199" spans="11:12" x14ac:dyDescent="0.4">
      <c r="K199" s="5">
        <v>197</v>
      </c>
      <c r="L199" s="73">
        <v>-873.5</v>
      </c>
    </row>
    <row r="200" spans="11:12" x14ac:dyDescent="0.4">
      <c r="K200" s="5">
        <v>198</v>
      </c>
      <c r="L200" s="73">
        <v>-879.4</v>
      </c>
    </row>
    <row r="201" spans="11:12" x14ac:dyDescent="0.4">
      <c r="K201" s="5">
        <v>199</v>
      </c>
      <c r="L201" s="73">
        <v>-862</v>
      </c>
    </row>
    <row r="202" spans="11:12" x14ac:dyDescent="0.4">
      <c r="K202" s="5">
        <v>200</v>
      </c>
      <c r="L202" s="73">
        <v>-835.2</v>
      </c>
    </row>
    <row r="203" spans="11:12" x14ac:dyDescent="0.4">
      <c r="K203" s="5">
        <v>201</v>
      </c>
      <c r="L203" s="73">
        <v>-838</v>
      </c>
    </row>
    <row r="204" spans="11:12" x14ac:dyDescent="0.4">
      <c r="K204" s="5">
        <v>202</v>
      </c>
      <c r="L204" s="73">
        <v>-862</v>
      </c>
    </row>
    <row r="205" spans="11:12" x14ac:dyDescent="0.4">
      <c r="K205" s="5">
        <v>203</v>
      </c>
      <c r="L205" s="73">
        <v>-868.7</v>
      </c>
    </row>
    <row r="206" spans="11:12" x14ac:dyDescent="0.4">
      <c r="K206" s="5">
        <v>204</v>
      </c>
      <c r="L206" s="73">
        <v>-853.6</v>
      </c>
    </row>
    <row r="207" spans="11:12" x14ac:dyDescent="0.4">
      <c r="K207" s="5">
        <v>205</v>
      </c>
      <c r="L207" s="73">
        <v>-867.7</v>
      </c>
    </row>
    <row r="208" spans="11:12" x14ac:dyDescent="0.4">
      <c r="K208" s="5">
        <v>206</v>
      </c>
      <c r="L208" s="73">
        <v>-873.1</v>
      </c>
    </row>
    <row r="209" spans="11:12" x14ac:dyDescent="0.4">
      <c r="K209" s="5">
        <v>207</v>
      </c>
      <c r="L209" s="73">
        <v>-867.7</v>
      </c>
    </row>
    <row r="210" spans="11:12" x14ac:dyDescent="0.4">
      <c r="K210" s="5">
        <v>208</v>
      </c>
      <c r="L210" s="73">
        <v>-882.7</v>
      </c>
    </row>
    <row r="211" spans="11:12" x14ac:dyDescent="0.4">
      <c r="K211" s="5">
        <v>209</v>
      </c>
      <c r="L211" s="73">
        <v>-917.6</v>
      </c>
    </row>
    <row r="212" spans="11:12" x14ac:dyDescent="0.4">
      <c r="K212" s="5">
        <v>210</v>
      </c>
      <c r="L212" s="73">
        <v>-891.3</v>
      </c>
    </row>
    <row r="213" spans="11:12" x14ac:dyDescent="0.4">
      <c r="K213" s="5">
        <v>211</v>
      </c>
      <c r="L213" s="73">
        <v>-913.9</v>
      </c>
    </row>
    <row r="214" spans="11:12" x14ac:dyDescent="0.4">
      <c r="K214" s="5">
        <v>212</v>
      </c>
      <c r="L214" s="73">
        <v>-945.3</v>
      </c>
    </row>
    <row r="215" spans="11:12" x14ac:dyDescent="0.4">
      <c r="K215" s="5">
        <v>213</v>
      </c>
      <c r="L215" s="73">
        <v>-883.4</v>
      </c>
    </row>
    <row r="216" spans="11:12" x14ac:dyDescent="0.4">
      <c r="K216" s="5">
        <v>214</v>
      </c>
      <c r="L216" s="73">
        <v>-914.1</v>
      </c>
    </row>
    <row r="217" spans="11:12" x14ac:dyDescent="0.4">
      <c r="K217" s="5">
        <v>215</v>
      </c>
      <c r="L217" s="73">
        <v>-900</v>
      </c>
    </row>
    <row r="218" spans="11:12" x14ac:dyDescent="0.4">
      <c r="K218" s="5">
        <v>216</v>
      </c>
      <c r="L218" s="73">
        <v>-925.6</v>
      </c>
    </row>
    <row r="219" spans="11:12" x14ac:dyDescent="0.4">
      <c r="K219" s="5">
        <v>217</v>
      </c>
      <c r="L219" s="73">
        <v>-927.7</v>
      </c>
    </row>
    <row r="220" spans="11:12" x14ac:dyDescent="0.4">
      <c r="K220" s="5">
        <v>218</v>
      </c>
      <c r="L220" s="73">
        <v>-926.9</v>
      </c>
    </row>
    <row r="221" spans="11:12" x14ac:dyDescent="0.4">
      <c r="K221" s="5">
        <v>219</v>
      </c>
      <c r="L221" s="73">
        <v>-958.5</v>
      </c>
    </row>
    <row r="222" spans="11:12" x14ac:dyDescent="0.4">
      <c r="K222" s="5">
        <v>220</v>
      </c>
      <c r="L222" s="73">
        <v>-985.40000000000009</v>
      </c>
    </row>
    <row r="223" spans="11:12" x14ac:dyDescent="0.4">
      <c r="K223" s="5">
        <v>221</v>
      </c>
      <c r="L223" s="73">
        <v>-1005.7</v>
      </c>
    </row>
    <row r="224" spans="11:12" x14ac:dyDescent="0.4">
      <c r="K224" s="5">
        <v>222</v>
      </c>
      <c r="L224" s="73">
        <v>-1014.4000000000001</v>
      </c>
    </row>
    <row r="225" spans="11:12" x14ac:dyDescent="0.4">
      <c r="K225" s="5">
        <v>223</v>
      </c>
      <c r="L225" s="73">
        <v>-985.6</v>
      </c>
    </row>
    <row r="226" spans="11:12" x14ac:dyDescent="0.4">
      <c r="K226" s="5">
        <v>224</v>
      </c>
      <c r="L226" s="73">
        <v>-970.8</v>
      </c>
    </row>
    <row r="227" spans="11:12" x14ac:dyDescent="0.4">
      <c r="K227" s="5">
        <v>225</v>
      </c>
      <c r="L227" s="73">
        <v>-1013.1</v>
      </c>
    </row>
    <row r="228" spans="11:12" x14ac:dyDescent="0.4">
      <c r="K228" s="5">
        <v>226</v>
      </c>
      <c r="L228" s="73">
        <v>-1001.7</v>
      </c>
    </row>
    <row r="229" spans="11:12" x14ac:dyDescent="0.4">
      <c r="K229" s="5">
        <v>227</v>
      </c>
      <c r="L229" s="73">
        <v>-979.5</v>
      </c>
    </row>
    <row r="230" spans="11:12" x14ac:dyDescent="0.4">
      <c r="K230" s="5">
        <v>228</v>
      </c>
      <c r="L230" s="73">
        <v>-1015.6</v>
      </c>
    </row>
    <row r="231" spans="11:12" x14ac:dyDescent="0.4">
      <c r="K231" s="5">
        <v>229</v>
      </c>
      <c r="L231" s="73">
        <v>-1041.0999999999999</v>
      </c>
    </row>
    <row r="232" spans="11:12" x14ac:dyDescent="0.4">
      <c r="K232" s="5">
        <v>230</v>
      </c>
      <c r="L232" s="73">
        <v>-996.1</v>
      </c>
    </row>
    <row r="233" spans="11:12" x14ac:dyDescent="0.4">
      <c r="K233" s="5">
        <v>231</v>
      </c>
      <c r="L233" s="73">
        <v>-972.5</v>
      </c>
    </row>
    <row r="234" spans="11:12" x14ac:dyDescent="0.4">
      <c r="K234" s="5">
        <v>232</v>
      </c>
      <c r="L234" s="73">
        <v>-945.80000000000007</v>
      </c>
    </row>
    <row r="235" spans="11:12" x14ac:dyDescent="0.4">
      <c r="K235" s="5">
        <v>233</v>
      </c>
      <c r="L235" s="73">
        <v>-974.7</v>
      </c>
    </row>
    <row r="236" spans="11:12" x14ac:dyDescent="0.4">
      <c r="K236" s="5">
        <v>234</v>
      </c>
      <c r="L236" s="73">
        <v>-946.6</v>
      </c>
    </row>
    <row r="237" spans="11:12" x14ac:dyDescent="0.4">
      <c r="K237" s="5">
        <v>235</v>
      </c>
      <c r="L237" s="73">
        <v>-899.80000000000007</v>
      </c>
    </row>
    <row r="238" spans="11:12" x14ac:dyDescent="0.4">
      <c r="K238" s="5">
        <v>236</v>
      </c>
      <c r="L238" s="73">
        <v>-948.40000000000009</v>
      </c>
    </row>
    <row r="239" spans="11:12" x14ac:dyDescent="0.4">
      <c r="K239" s="5">
        <v>237</v>
      </c>
      <c r="L239" s="73">
        <v>-989.5</v>
      </c>
    </row>
    <row r="240" spans="11:12" x14ac:dyDescent="0.4">
      <c r="K240" s="5">
        <v>238</v>
      </c>
      <c r="L240" s="73">
        <v>-1032.8000000000002</v>
      </c>
    </row>
    <row r="241" spans="11:12" x14ac:dyDescent="0.4">
      <c r="K241" s="5">
        <v>239</v>
      </c>
      <c r="L241" s="73">
        <v>-1059.2</v>
      </c>
    </row>
    <row r="242" spans="11:12" x14ac:dyDescent="0.4">
      <c r="K242" s="5">
        <v>240</v>
      </c>
      <c r="L242" s="73">
        <v>-1095.3000000000002</v>
      </c>
    </row>
    <row r="243" spans="11:12" x14ac:dyDescent="0.4">
      <c r="K243" s="5">
        <v>241</v>
      </c>
      <c r="L243" s="73">
        <v>-1076.1000000000001</v>
      </c>
    </row>
    <row r="244" spans="11:12" x14ac:dyDescent="0.4">
      <c r="K244" s="5">
        <v>242</v>
      </c>
      <c r="L244" s="73">
        <v>-1098.6000000000001</v>
      </c>
    </row>
    <row r="245" spans="11:12" x14ac:dyDescent="0.4">
      <c r="K245" s="5">
        <v>243</v>
      </c>
      <c r="L245" s="73">
        <v>-1186</v>
      </c>
    </row>
    <row r="246" spans="11:12" x14ac:dyDescent="0.4">
      <c r="K246" s="5">
        <v>244</v>
      </c>
      <c r="L246" s="73">
        <v>-1217.5</v>
      </c>
    </row>
    <row r="247" spans="11:12" x14ac:dyDescent="0.4">
      <c r="K247" s="5">
        <v>245</v>
      </c>
      <c r="L247" s="73">
        <v>-1184</v>
      </c>
    </row>
    <row r="248" spans="11:12" x14ac:dyDescent="0.4">
      <c r="K248" s="5">
        <v>246</v>
      </c>
      <c r="L248" s="73">
        <v>-1172</v>
      </c>
    </row>
    <row r="249" spans="11:12" x14ac:dyDescent="0.4">
      <c r="K249" s="5">
        <v>247</v>
      </c>
      <c r="L249" s="73">
        <v>-1191.7</v>
      </c>
    </row>
    <row r="250" spans="11:12" x14ac:dyDescent="0.4">
      <c r="K250" s="5">
        <v>248</v>
      </c>
      <c r="L250" s="73">
        <v>-1238.5</v>
      </c>
    </row>
    <row r="251" spans="11:12" x14ac:dyDescent="0.4">
      <c r="K251" s="5">
        <v>249</v>
      </c>
      <c r="L251" s="73">
        <v>-1201.7</v>
      </c>
    </row>
    <row r="252" spans="11:12" x14ac:dyDescent="0.4">
      <c r="K252" s="5">
        <v>250</v>
      </c>
      <c r="L252" s="73">
        <v>-1246.8000000000002</v>
      </c>
    </row>
    <row r="253" spans="11:12" x14ac:dyDescent="0.4">
      <c r="K253" s="5">
        <v>251</v>
      </c>
      <c r="L253" s="73">
        <v>-1293.5</v>
      </c>
    </row>
    <row r="254" spans="11:12" x14ac:dyDescent="0.4">
      <c r="K254" s="5">
        <v>252</v>
      </c>
      <c r="L254" s="73">
        <v>-1284.5</v>
      </c>
    </row>
    <row r="255" spans="11:12" x14ac:dyDescent="0.4">
      <c r="K255" s="5">
        <v>253</v>
      </c>
      <c r="L255" s="73">
        <v>-1324.7000000000003</v>
      </c>
    </row>
    <row r="256" spans="11:12" x14ac:dyDescent="0.4">
      <c r="K256" s="5">
        <v>254</v>
      </c>
      <c r="L256" s="73">
        <v>-1353.4</v>
      </c>
    </row>
    <row r="257" spans="11:12" x14ac:dyDescent="0.4">
      <c r="K257" s="5">
        <v>255</v>
      </c>
      <c r="L257" s="73">
        <v>-1328.7000000000003</v>
      </c>
    </row>
    <row r="258" spans="11:12" x14ac:dyDescent="0.4">
      <c r="K258" s="5">
        <v>256</v>
      </c>
      <c r="L258" s="73">
        <v>-1300.4000000000001</v>
      </c>
    </row>
    <row r="259" spans="11:12" x14ac:dyDescent="0.4">
      <c r="K259" s="5">
        <v>257</v>
      </c>
      <c r="L259" s="73">
        <v>-1296.5000000000002</v>
      </c>
    </row>
    <row r="260" spans="11:12" x14ac:dyDescent="0.4">
      <c r="K260" s="5">
        <v>258</v>
      </c>
      <c r="L260" s="73">
        <v>-1315.5000000000002</v>
      </c>
    </row>
    <row r="261" spans="11:12" x14ac:dyDescent="0.4">
      <c r="K261" s="5">
        <v>259</v>
      </c>
      <c r="L261" s="73">
        <v>-1285.1000000000004</v>
      </c>
    </row>
    <row r="262" spans="11:12" x14ac:dyDescent="0.4">
      <c r="K262" s="5">
        <v>260</v>
      </c>
      <c r="L262" s="73">
        <v>-1293.4000000000003</v>
      </c>
    </row>
    <row r="263" spans="11:12" x14ac:dyDescent="0.4">
      <c r="K263" s="5">
        <v>261</v>
      </c>
      <c r="L263" s="73">
        <v>-1289.2000000000003</v>
      </c>
    </row>
    <row r="264" spans="11:12" x14ac:dyDescent="0.4">
      <c r="K264" s="5">
        <v>262</v>
      </c>
      <c r="L264" s="73">
        <v>-1252.5000000000002</v>
      </c>
    </row>
    <row r="265" spans="11:12" x14ac:dyDescent="0.4">
      <c r="K265" s="5">
        <v>263</v>
      </c>
      <c r="L265" s="73">
        <v>-1263.0000000000002</v>
      </c>
    </row>
    <row r="266" spans="11:12" x14ac:dyDescent="0.4">
      <c r="K266" s="5">
        <v>264</v>
      </c>
      <c r="L266" s="73">
        <v>-1263.2000000000003</v>
      </c>
    </row>
    <row r="267" spans="11:12" x14ac:dyDescent="0.4">
      <c r="K267" s="5">
        <v>265</v>
      </c>
      <c r="L267" s="73">
        <v>-1264.7000000000003</v>
      </c>
    </row>
    <row r="268" spans="11:12" x14ac:dyDescent="0.4">
      <c r="K268" s="5">
        <v>266</v>
      </c>
      <c r="L268" s="73">
        <v>-1323.0000000000002</v>
      </c>
    </row>
    <row r="269" spans="11:12" x14ac:dyDescent="0.4">
      <c r="K269" s="5">
        <v>267</v>
      </c>
      <c r="L269" s="73">
        <v>-1292.5000000000002</v>
      </c>
    </row>
    <row r="270" spans="11:12" x14ac:dyDescent="0.4">
      <c r="K270" s="5">
        <v>268</v>
      </c>
      <c r="L270" s="73">
        <v>-1230.1000000000004</v>
      </c>
    </row>
    <row r="271" spans="11:12" x14ac:dyDescent="0.4">
      <c r="K271" s="5">
        <v>269</v>
      </c>
      <c r="L271" s="73">
        <v>-1221.7000000000003</v>
      </c>
    </row>
    <row r="272" spans="11:12" x14ac:dyDescent="0.4">
      <c r="K272" s="5">
        <v>270</v>
      </c>
      <c r="L272" s="73">
        <v>-1230.0000000000002</v>
      </c>
    </row>
    <row r="273" spans="11:12" x14ac:dyDescent="0.4">
      <c r="K273" s="5">
        <v>271</v>
      </c>
      <c r="L273" s="73">
        <v>-1233.4000000000003</v>
      </c>
    </row>
    <row r="274" spans="11:12" x14ac:dyDescent="0.4">
      <c r="K274" s="5">
        <v>272</v>
      </c>
      <c r="L274" s="73">
        <v>-1270.9000000000003</v>
      </c>
    </row>
    <row r="275" spans="11:12" x14ac:dyDescent="0.4">
      <c r="K275" s="5">
        <v>273</v>
      </c>
      <c r="L275" s="73">
        <v>-1305.4000000000003</v>
      </c>
    </row>
    <row r="276" spans="11:12" x14ac:dyDescent="0.4">
      <c r="K276" s="5">
        <v>274</v>
      </c>
      <c r="L276" s="73">
        <v>-1366.7000000000003</v>
      </c>
    </row>
    <row r="277" spans="11:12" x14ac:dyDescent="0.4">
      <c r="K277" s="5">
        <v>275</v>
      </c>
      <c r="L277" s="73">
        <v>-1392.4000000000003</v>
      </c>
    </row>
    <row r="278" spans="11:12" x14ac:dyDescent="0.4">
      <c r="K278" s="5">
        <v>276</v>
      </c>
      <c r="L278" s="73">
        <v>-1384.8000000000002</v>
      </c>
    </row>
    <row r="279" spans="11:12" x14ac:dyDescent="0.4">
      <c r="K279" s="5">
        <v>277</v>
      </c>
      <c r="L279" s="73">
        <v>-1409.4000000000003</v>
      </c>
    </row>
    <row r="280" spans="11:12" x14ac:dyDescent="0.4">
      <c r="K280" s="5">
        <v>278</v>
      </c>
      <c r="L280" s="73">
        <v>-1400.2000000000003</v>
      </c>
    </row>
    <row r="281" spans="11:12" x14ac:dyDescent="0.4">
      <c r="K281" s="5">
        <v>279</v>
      </c>
      <c r="L281" s="73">
        <v>-1383.5000000000002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C90B6-2E71-46A2-B521-AEB6778C195E}">
  <sheetPr codeName="Sheet11"/>
  <dimension ref="A1:Q483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193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481</v>
      </c>
      <c r="C2" s="128"/>
      <c r="E2" s="43" t="s">
        <v>66</v>
      </c>
      <c r="F2" s="25" t="s">
        <v>22</v>
      </c>
      <c r="G2" s="13">
        <v>866</v>
      </c>
      <c r="H2" s="106">
        <f>IF(B$51=0,0,G2/B$51)</f>
        <v>0.76909413854351683</v>
      </c>
      <c r="I2" s="67">
        <v>5</v>
      </c>
      <c r="K2" s="3">
        <v>0</v>
      </c>
      <c r="L2" s="72">
        <v>0</v>
      </c>
      <c r="N2" s="88" t="s">
        <v>126</v>
      </c>
      <c r="O2" s="95">
        <f t="shared" ref="O2:O7" si="0">IF(P2=0,0,Q2/P2)</f>
        <v>-792.22689075630251</v>
      </c>
      <c r="P2" s="92">
        <v>476</v>
      </c>
      <c r="Q2" s="76">
        <v>-377100</v>
      </c>
    </row>
    <row r="3" spans="1:17" x14ac:dyDescent="0.4">
      <c r="A3" s="37" t="s">
        <v>8</v>
      </c>
      <c r="B3" s="129">
        <v>3933</v>
      </c>
      <c r="C3" s="130"/>
      <c r="E3" s="44" t="s">
        <v>72</v>
      </c>
      <c r="F3" s="41" t="s">
        <v>27</v>
      </c>
      <c r="G3" s="34">
        <v>596</v>
      </c>
      <c r="H3" s="107">
        <f>IF(B$51=0,0,G3/B$51)</f>
        <v>0.52930728241563052</v>
      </c>
      <c r="I3" s="68">
        <v>12</v>
      </c>
      <c r="K3" s="5">
        <v>1</v>
      </c>
      <c r="L3" s="73">
        <v>-36.700000000000003</v>
      </c>
      <c r="N3" s="89" t="s">
        <v>127</v>
      </c>
      <c r="O3" s="96">
        <f t="shared" si="0"/>
        <v>-52.38095238095238</v>
      </c>
      <c r="P3" s="93">
        <v>462</v>
      </c>
      <c r="Q3" s="77">
        <v>-24200</v>
      </c>
    </row>
    <row r="4" spans="1:17" x14ac:dyDescent="0.4">
      <c r="A4" s="37" t="s">
        <v>6</v>
      </c>
      <c r="B4" s="131">
        <v>-1103.8000000000006</v>
      </c>
      <c r="C4" s="132"/>
      <c r="E4" s="44" t="s">
        <v>64</v>
      </c>
      <c r="F4" s="41" t="s">
        <v>20</v>
      </c>
      <c r="G4" s="34">
        <v>496</v>
      </c>
      <c r="H4" s="107">
        <f>IF(B$51=0,0,G4/B$51)</f>
        <v>0.4404973357015986</v>
      </c>
      <c r="I4" s="68">
        <v>16</v>
      </c>
      <c r="K4" s="5">
        <v>2</v>
      </c>
      <c r="L4" s="73">
        <v>-45.300000000000004</v>
      </c>
      <c r="N4" s="89" t="s">
        <v>128</v>
      </c>
      <c r="O4" s="96">
        <f t="shared" si="0"/>
        <v>290.78341013824883</v>
      </c>
      <c r="P4" s="93">
        <v>434</v>
      </c>
      <c r="Q4" s="77">
        <v>126200</v>
      </c>
    </row>
    <row r="5" spans="1:17" x14ac:dyDescent="0.4">
      <c r="A5" s="37" t="s">
        <v>7</v>
      </c>
      <c r="B5" s="133">
        <f>IF(B$2=0,0,B$4/B$2)</f>
        <v>-2.2948024948024961</v>
      </c>
      <c r="C5" s="134"/>
      <c r="E5" s="44" t="s">
        <v>157</v>
      </c>
      <c r="F5" s="41" t="s">
        <v>158</v>
      </c>
      <c r="G5" s="34">
        <v>351</v>
      </c>
      <c r="H5" s="107">
        <f>IF(B$51=0,0,G5/B$51)</f>
        <v>0.31172291296625221</v>
      </c>
      <c r="I5" s="68">
        <v>9</v>
      </c>
      <c r="K5" s="5">
        <v>3</v>
      </c>
      <c r="L5" s="73">
        <v>-81.7</v>
      </c>
      <c r="N5" s="89" t="s">
        <v>129</v>
      </c>
      <c r="O5" s="96">
        <f t="shared" si="0"/>
        <v>-1095.049504950495</v>
      </c>
      <c r="P5" s="93">
        <v>404</v>
      </c>
      <c r="Q5" s="77">
        <v>-442400</v>
      </c>
    </row>
    <row r="6" spans="1:17" x14ac:dyDescent="0.4">
      <c r="A6" s="37" t="s">
        <v>1</v>
      </c>
      <c r="B6" s="141">
        <f>IF(B$2=0,0,(B$7*1+B$8*2+B$9*3)/B$2)</f>
        <v>2.0166320166320166</v>
      </c>
      <c r="C6" s="142"/>
      <c r="E6" s="44" t="s">
        <v>68</v>
      </c>
      <c r="F6" s="41" t="s">
        <v>12</v>
      </c>
      <c r="G6" s="34">
        <v>340</v>
      </c>
      <c r="H6" s="107">
        <f>IF(B$51=0,0,G6/B$51)</f>
        <v>0.30195381882770872</v>
      </c>
      <c r="I6" s="68">
        <v>12</v>
      </c>
      <c r="K6" s="5">
        <v>4</v>
      </c>
      <c r="L6" s="73">
        <v>-114.30000000000001</v>
      </c>
      <c r="N6" s="89" t="s">
        <v>130</v>
      </c>
      <c r="O6" s="96">
        <f t="shared" si="0"/>
        <v>-285.95041322314052</v>
      </c>
      <c r="P6" s="93">
        <v>363</v>
      </c>
      <c r="Q6" s="77">
        <v>-103800</v>
      </c>
    </row>
    <row r="7" spans="1:17" x14ac:dyDescent="0.4">
      <c r="A7" s="37" t="s">
        <v>2</v>
      </c>
      <c r="B7" s="34">
        <v>160</v>
      </c>
      <c r="C7" s="31">
        <f t="shared" ref="C7:C14" si="1">IF(B$2=0,0,B7/B$2)</f>
        <v>0.33264033264033266</v>
      </c>
      <c r="E7" s="44" t="s">
        <v>67</v>
      </c>
      <c r="F7" s="41" t="s">
        <v>23</v>
      </c>
      <c r="G7" s="34">
        <v>283</v>
      </c>
      <c r="H7" s="107">
        <f>IF(B$51=0,0,G7/B$51)</f>
        <v>0.25133214920071045</v>
      </c>
      <c r="I7" s="68">
        <v>13</v>
      </c>
      <c r="K7" s="5">
        <v>5</v>
      </c>
      <c r="L7" s="73">
        <v>-136.30000000000001</v>
      </c>
      <c r="N7" s="90" t="s">
        <v>131</v>
      </c>
      <c r="O7" s="97">
        <f t="shared" si="0"/>
        <v>131.18971061093248</v>
      </c>
      <c r="P7" s="94">
        <v>311</v>
      </c>
      <c r="Q7" s="78">
        <v>40800</v>
      </c>
    </row>
    <row r="8" spans="1:17" x14ac:dyDescent="0.4">
      <c r="A8" s="37" t="s">
        <v>3</v>
      </c>
      <c r="B8" s="34">
        <v>153</v>
      </c>
      <c r="C8" s="31">
        <f t="shared" si="1"/>
        <v>0.3180873180873181</v>
      </c>
      <c r="E8" s="44" t="s">
        <v>69</v>
      </c>
      <c r="F8" s="41" t="s">
        <v>24</v>
      </c>
      <c r="G8" s="34">
        <v>155</v>
      </c>
      <c r="H8" s="107">
        <f>IF(B$51=0,0,G8/B$51)</f>
        <v>0.13765541740674955</v>
      </c>
      <c r="I8" s="68">
        <v>10</v>
      </c>
      <c r="K8" s="5">
        <v>6</v>
      </c>
      <c r="L8" s="73">
        <v>-100.80000000000001</v>
      </c>
      <c r="N8" s="33"/>
      <c r="O8" s="101"/>
      <c r="P8" s="85"/>
      <c r="Q8" s="83"/>
    </row>
    <row r="9" spans="1:17" x14ac:dyDescent="0.4">
      <c r="A9" s="38" t="s">
        <v>4</v>
      </c>
      <c r="B9" s="35">
        <v>168</v>
      </c>
      <c r="C9" s="7">
        <f t="shared" si="1"/>
        <v>0.34927234927234929</v>
      </c>
      <c r="E9" s="44" t="s">
        <v>89</v>
      </c>
      <c r="F9" s="41" t="s">
        <v>44</v>
      </c>
      <c r="G9" s="34">
        <v>134</v>
      </c>
      <c r="H9" s="107">
        <f>IF(B$51=0,0,G9/B$51)</f>
        <v>0.11900532859680284</v>
      </c>
      <c r="I9" s="68">
        <v>11</v>
      </c>
      <c r="K9" s="5">
        <v>7</v>
      </c>
      <c r="L9" s="73">
        <v>-106.20000000000002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49">
        <f>IF(B7=0,0,C10/B7)</f>
        <v>35.751250000000006</v>
      </c>
      <c r="C10" s="150">
        <v>5720.2000000000007</v>
      </c>
      <c r="E10" s="44" t="s">
        <v>70</v>
      </c>
      <c r="F10" s="41" t="s">
        <v>25</v>
      </c>
      <c r="G10" s="34">
        <v>127</v>
      </c>
      <c r="H10" s="107">
        <f>IF(B$51=0,0,G10/B$51)</f>
        <v>0.1127886323268206</v>
      </c>
      <c r="I10" s="68">
        <v>6</v>
      </c>
      <c r="K10" s="5">
        <v>8</v>
      </c>
      <c r="L10" s="73">
        <v>-52.300000000000018</v>
      </c>
      <c r="N10" s="88" t="s">
        <v>149</v>
      </c>
      <c r="O10" s="98">
        <f>IF(P10=0,0,Q10/P10)</f>
        <v>-2.7428571428571416</v>
      </c>
      <c r="P10" s="92">
        <v>161</v>
      </c>
      <c r="Q10" s="80">
        <v>-441.5999999999998</v>
      </c>
    </row>
    <row r="11" spans="1:17" x14ac:dyDescent="0.4">
      <c r="A11" s="38" t="s">
        <v>204</v>
      </c>
      <c r="B11" s="149">
        <f>IF(B8=0,0,C11/B8)</f>
        <v>-1.3738562091503268</v>
      </c>
      <c r="C11" s="150">
        <v>-210.2</v>
      </c>
      <c r="E11" s="44" t="s">
        <v>65</v>
      </c>
      <c r="F11" s="41" t="s">
        <v>21</v>
      </c>
      <c r="G11" s="34">
        <v>100</v>
      </c>
      <c r="H11" s="107">
        <f>IF(B$51=0,0,G11/B$51)</f>
        <v>8.8809946714031973E-2</v>
      </c>
      <c r="I11" s="68">
        <v>16</v>
      </c>
      <c r="K11" s="5">
        <v>9</v>
      </c>
      <c r="L11" s="73">
        <v>-53.500000000000021</v>
      </c>
      <c r="N11" s="89" t="s">
        <v>150</v>
      </c>
      <c r="O11" s="99">
        <f>IF(P11=0,0,Q11/P11)</f>
        <v>-2.0506493506493513</v>
      </c>
      <c r="P11" s="93">
        <v>154</v>
      </c>
      <c r="Q11" s="81">
        <v>-315.80000000000007</v>
      </c>
    </row>
    <row r="12" spans="1:17" x14ac:dyDescent="0.4">
      <c r="A12" s="38" t="s">
        <v>205</v>
      </c>
      <c r="B12" s="149">
        <f>IF(B9=0,0,C12/B9)</f>
        <v>-39.367857142857147</v>
      </c>
      <c r="C12" s="150">
        <v>-6613.8000000000011</v>
      </c>
      <c r="E12" s="44" t="s">
        <v>71</v>
      </c>
      <c r="F12" s="41" t="s">
        <v>26</v>
      </c>
      <c r="G12" s="34">
        <v>100</v>
      </c>
      <c r="H12" s="107">
        <f>IF(B$51=0,0,G12/B$51)</f>
        <v>8.8809946714031973E-2</v>
      </c>
      <c r="I12" s="68">
        <v>3</v>
      </c>
      <c r="K12" s="5">
        <v>10</v>
      </c>
      <c r="L12" s="73">
        <v>-72.800000000000026</v>
      </c>
      <c r="N12" s="90" t="s">
        <v>151</v>
      </c>
      <c r="O12" s="100">
        <f>IF(P12=0,0,Q12/P12)</f>
        <v>-2.3237804878048767</v>
      </c>
      <c r="P12" s="94">
        <v>164</v>
      </c>
      <c r="Q12" s="82">
        <v>-381.0999999999998</v>
      </c>
    </row>
    <row r="13" spans="1:17" x14ac:dyDescent="0.4">
      <c r="A13" s="38" t="s">
        <v>206</v>
      </c>
      <c r="B13" s="133">
        <f>AVERAGE(B10:B12)</f>
        <v>-1.6634877840024889</v>
      </c>
      <c r="C13" s="134"/>
      <c r="E13" s="44" t="s">
        <v>86</v>
      </c>
      <c r="F13" s="41" t="s">
        <v>41</v>
      </c>
      <c r="G13" s="34">
        <v>58</v>
      </c>
      <c r="H13" s="107">
        <f>IF(B$51=0,0,G13/B$51)</f>
        <v>5.1509769094138541E-2</v>
      </c>
      <c r="I13" s="68">
        <v>12</v>
      </c>
      <c r="K13" s="5">
        <v>11</v>
      </c>
      <c r="L13" s="73">
        <v>-69.800000000000026</v>
      </c>
      <c r="N13" s="28"/>
      <c r="O13" s="84"/>
      <c r="P13" s="86"/>
      <c r="Q13" s="84"/>
    </row>
    <row r="14" spans="1:17" x14ac:dyDescent="0.4">
      <c r="A14" s="39" t="s">
        <v>18</v>
      </c>
      <c r="B14" s="36">
        <v>58</v>
      </c>
      <c r="C14" s="32">
        <f t="shared" si="1"/>
        <v>0.12058212058212059</v>
      </c>
      <c r="E14" s="44" t="s">
        <v>83</v>
      </c>
      <c r="F14" s="41" t="s">
        <v>38</v>
      </c>
      <c r="G14" s="34">
        <v>46</v>
      </c>
      <c r="H14" s="107">
        <f>IF(B$51=0,0,G14/B$51)</f>
        <v>4.0852575488454709E-2</v>
      </c>
      <c r="I14" s="68">
        <v>11</v>
      </c>
      <c r="K14" s="5">
        <v>12</v>
      </c>
      <c r="L14" s="73">
        <v>-54.300000000000026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952</v>
      </c>
      <c r="C15" s="11">
        <f>IF(B$50=0,0,B15/B$50)</f>
        <v>0.25006566850538481</v>
      </c>
      <c r="E15" s="44" t="s">
        <v>78</v>
      </c>
      <c r="F15" s="41" t="s">
        <v>33</v>
      </c>
      <c r="G15" s="34">
        <v>44</v>
      </c>
      <c r="H15" s="107">
        <f>IF(B$51=0,0,G15/B$51)</f>
        <v>3.9076376554174071E-2</v>
      </c>
      <c r="I15" s="68">
        <v>4</v>
      </c>
      <c r="K15" s="5">
        <v>13</v>
      </c>
      <c r="L15" s="73">
        <v>-43.200000000000024</v>
      </c>
      <c r="N15" s="88" t="s">
        <v>199</v>
      </c>
      <c r="O15" s="98">
        <f>IF(P15=0,0,Q15/P15)</f>
        <v>45.975000000000001</v>
      </c>
      <c r="P15" s="92">
        <v>8</v>
      </c>
      <c r="Q15" s="80">
        <v>367.8</v>
      </c>
    </row>
    <row r="16" spans="1:17" x14ac:dyDescent="0.4">
      <c r="A16" s="37" t="s">
        <v>118</v>
      </c>
      <c r="B16" s="34">
        <v>925</v>
      </c>
      <c r="C16" s="31">
        <f>IF(B$50=0,0,B16/B$50)</f>
        <v>0.24297346992382454</v>
      </c>
      <c r="E16" s="44" t="s">
        <v>81</v>
      </c>
      <c r="F16" s="41" t="s">
        <v>36</v>
      </c>
      <c r="G16" s="34">
        <v>32</v>
      </c>
      <c r="H16" s="107">
        <f>IF(B$51=0,0,G16/B$51)</f>
        <v>2.8419182948490232E-2</v>
      </c>
      <c r="I16" s="68">
        <v>8</v>
      </c>
      <c r="K16" s="5">
        <v>14</v>
      </c>
      <c r="L16" s="73">
        <v>-50.400000000000027</v>
      </c>
      <c r="N16" s="89" t="s">
        <v>192</v>
      </c>
      <c r="O16" s="99">
        <f>IF(P16=0,0,Q16/P16)</f>
        <v>19.630000000000003</v>
      </c>
      <c r="P16" s="93">
        <v>10</v>
      </c>
      <c r="Q16" s="81">
        <v>196.3</v>
      </c>
    </row>
    <row r="17" spans="1:17" x14ac:dyDescent="0.4">
      <c r="A17" s="19" t="s">
        <v>123</v>
      </c>
      <c r="B17" s="13">
        <v>508</v>
      </c>
      <c r="C17" s="4">
        <f>IF(B$15=0,0,B17/B$15)</f>
        <v>0.53361344537815125</v>
      </c>
      <c r="E17" s="44" t="s">
        <v>91</v>
      </c>
      <c r="F17" s="41" t="s">
        <v>46</v>
      </c>
      <c r="G17" s="34">
        <v>25</v>
      </c>
      <c r="H17" s="107">
        <f>IF(B$51=0,0,G17/B$51)</f>
        <v>2.2202486678507993E-2</v>
      </c>
      <c r="I17" s="68">
        <v>5</v>
      </c>
      <c r="K17" s="5">
        <v>15</v>
      </c>
      <c r="L17" s="73">
        <v>23.89999999999997</v>
      </c>
      <c r="N17" s="89" t="s">
        <v>197</v>
      </c>
      <c r="O17" s="99">
        <f>IF(P17=0,0,Q17/P17)</f>
        <v>18.821739130434782</v>
      </c>
      <c r="P17" s="93">
        <v>23</v>
      </c>
      <c r="Q17" s="81">
        <v>432.9</v>
      </c>
    </row>
    <row r="18" spans="1:17" x14ac:dyDescent="0.4">
      <c r="A18" s="19" t="s">
        <v>124</v>
      </c>
      <c r="B18" s="13">
        <v>351</v>
      </c>
      <c r="C18" s="4">
        <f>IF(B$16=0,0,B18/B$16)</f>
        <v>0.37945945945945947</v>
      </c>
      <c r="E18" s="44" t="s">
        <v>79</v>
      </c>
      <c r="F18" s="41" t="s">
        <v>34</v>
      </c>
      <c r="G18" s="34">
        <v>16</v>
      </c>
      <c r="H18" s="107">
        <f>IF(B$51=0,0,G18/B$51)</f>
        <v>1.4209591474245116E-2</v>
      </c>
      <c r="I18" s="68">
        <v>12</v>
      </c>
      <c r="K18" s="5">
        <v>16</v>
      </c>
      <c r="L18" s="73">
        <v>58.89999999999997</v>
      </c>
      <c r="N18" s="89" t="s">
        <v>190</v>
      </c>
      <c r="O18" s="99">
        <f>IF(P18=0,0,Q18/P18)</f>
        <v>8.0346405228758151</v>
      </c>
      <c r="P18" s="93">
        <v>153</v>
      </c>
      <c r="Q18" s="81">
        <v>1229.2999999999997</v>
      </c>
    </row>
    <row r="19" spans="1:17" x14ac:dyDescent="0.4">
      <c r="A19" s="19" t="s">
        <v>10</v>
      </c>
      <c r="B19" s="13">
        <v>1163</v>
      </c>
      <c r="C19" s="4">
        <f>IF(B$3=0,0,B19/B$3)</f>
        <v>0.2957030256801424</v>
      </c>
      <c r="E19" s="44" t="s">
        <v>77</v>
      </c>
      <c r="F19" s="41" t="s">
        <v>32</v>
      </c>
      <c r="G19" s="34">
        <v>9</v>
      </c>
      <c r="H19" s="107">
        <f>IF(B$51=0,0,G19/B$51)</f>
        <v>7.9928952042628773E-3</v>
      </c>
      <c r="I19" s="68">
        <v>2</v>
      </c>
      <c r="K19" s="5">
        <v>17</v>
      </c>
      <c r="L19" s="73">
        <v>58.599999999999973</v>
      </c>
      <c r="N19" s="89" t="s">
        <v>186</v>
      </c>
      <c r="O19" s="99">
        <f>IF(P19=0,0,Q19/P19)</f>
        <v>7.284615384615388</v>
      </c>
      <c r="P19" s="93">
        <v>26</v>
      </c>
      <c r="Q19" s="81">
        <v>189.40000000000009</v>
      </c>
    </row>
    <row r="20" spans="1:17" x14ac:dyDescent="0.4">
      <c r="A20" s="37" t="s">
        <v>13</v>
      </c>
      <c r="B20" s="34">
        <v>674</v>
      </c>
      <c r="C20" s="31">
        <f>IF(B$3=0,0,B20/B$3)</f>
        <v>0.17137045512331553</v>
      </c>
      <c r="E20" s="44" t="s">
        <v>153</v>
      </c>
      <c r="F20" s="41" t="s">
        <v>154</v>
      </c>
      <c r="G20" s="34">
        <v>7</v>
      </c>
      <c r="H20" s="107">
        <f>IF(B$51=0,0,G20/B$51)</f>
        <v>6.2166962699822378E-3</v>
      </c>
      <c r="I20" s="68">
        <v>8</v>
      </c>
      <c r="K20" s="5">
        <v>18</v>
      </c>
      <c r="L20" s="73">
        <v>122.59999999999997</v>
      </c>
      <c r="N20" s="89" t="s">
        <v>198</v>
      </c>
      <c r="O20" s="99">
        <f>IF(P20=0,0,Q20/P20)</f>
        <v>5.75</v>
      </c>
      <c r="P20" s="93">
        <v>4</v>
      </c>
      <c r="Q20" s="81">
        <v>23</v>
      </c>
    </row>
    <row r="21" spans="1:17" x14ac:dyDescent="0.4">
      <c r="A21" s="37" t="s">
        <v>12</v>
      </c>
      <c r="B21" s="34">
        <v>489</v>
      </c>
      <c r="C21" s="31">
        <f>IF(B$19=0,0,B21/B$19)</f>
        <v>0.42046431642304383</v>
      </c>
      <c r="E21" s="44" t="s">
        <v>73</v>
      </c>
      <c r="F21" s="41" t="s">
        <v>28</v>
      </c>
      <c r="G21" s="34">
        <v>6</v>
      </c>
      <c r="H21" s="107">
        <f>IF(B$51=0,0,G21/B$51)</f>
        <v>5.3285968028419185E-3</v>
      </c>
      <c r="I21" s="68">
        <v>8</v>
      </c>
      <c r="K21" s="5">
        <v>19</v>
      </c>
      <c r="L21" s="73">
        <v>125.69999999999996</v>
      </c>
      <c r="N21" s="89" t="s">
        <v>187</v>
      </c>
      <c r="O21" s="99">
        <f>IF(P21=0,0,Q21/P21)</f>
        <v>0.1142857142857157</v>
      </c>
      <c r="P21" s="93">
        <v>133</v>
      </c>
      <c r="Q21" s="81">
        <v>15.200000000000188</v>
      </c>
    </row>
    <row r="22" spans="1:17" x14ac:dyDescent="0.4">
      <c r="A22" s="37" t="s">
        <v>11</v>
      </c>
      <c r="B22" s="34">
        <v>674</v>
      </c>
      <c r="C22" s="31">
        <f>IF(B$19=0,0,B22/B$19)</f>
        <v>0.57953568357695617</v>
      </c>
      <c r="E22" s="44" t="s">
        <v>74</v>
      </c>
      <c r="F22" s="41" t="s">
        <v>29</v>
      </c>
      <c r="G22" s="34">
        <v>6</v>
      </c>
      <c r="H22" s="107">
        <f>IF(B$51=0,0,G22/B$51)</f>
        <v>5.3285968028419185E-3</v>
      </c>
      <c r="I22" s="68">
        <v>4</v>
      </c>
      <c r="K22" s="5">
        <v>20</v>
      </c>
      <c r="L22" s="73">
        <v>126.89999999999996</v>
      </c>
      <c r="N22" s="89" t="s">
        <v>191</v>
      </c>
      <c r="O22" s="99">
        <f>IF(P22=0,0,Q22/P22)</f>
        <v>-2.3631944444444422</v>
      </c>
      <c r="P22" s="93">
        <v>144</v>
      </c>
      <c r="Q22" s="81">
        <v>-340.29999999999967</v>
      </c>
    </row>
    <row r="23" spans="1:17" x14ac:dyDescent="0.4">
      <c r="A23" s="37" t="s">
        <v>180</v>
      </c>
      <c r="B23" s="34">
        <v>508</v>
      </c>
      <c r="C23" s="31">
        <f>IF(B$19=0,0,B23/B$19)</f>
        <v>0.43680137575236455</v>
      </c>
      <c r="E23" s="44" t="s">
        <v>75</v>
      </c>
      <c r="F23" s="41" t="s">
        <v>30</v>
      </c>
      <c r="G23" s="34">
        <v>6</v>
      </c>
      <c r="H23" s="107">
        <f>IF(B$51=0,0,G23/B$51)</f>
        <v>5.3285968028419185E-3</v>
      </c>
      <c r="I23" s="68">
        <v>9</v>
      </c>
      <c r="K23" s="5">
        <v>21</v>
      </c>
      <c r="L23" s="73">
        <v>129.69999999999996</v>
      </c>
      <c r="N23" s="89" t="s">
        <v>189</v>
      </c>
      <c r="O23" s="99">
        <f>IF(P23=0,0,Q23/P23)</f>
        <v>-2.86</v>
      </c>
      <c r="P23" s="93">
        <v>5</v>
      </c>
      <c r="Q23" s="81">
        <v>-14.299999999999999</v>
      </c>
    </row>
    <row r="24" spans="1:17" x14ac:dyDescent="0.4">
      <c r="A24" s="37" t="s">
        <v>178</v>
      </c>
      <c r="B24" s="34">
        <v>351</v>
      </c>
      <c r="C24" s="31">
        <f>IF(B$19=0,0,B24/B$19)</f>
        <v>0.30180567497850386</v>
      </c>
      <c r="E24" s="44" t="s">
        <v>84</v>
      </c>
      <c r="F24" s="41" t="s">
        <v>39</v>
      </c>
      <c r="G24" s="34">
        <v>4</v>
      </c>
      <c r="H24" s="107">
        <f>IF(B$51=0,0,G24/B$51)</f>
        <v>3.552397868561279E-3</v>
      </c>
      <c r="I24" s="68">
        <v>3</v>
      </c>
      <c r="K24" s="5">
        <v>22</v>
      </c>
      <c r="L24" s="73">
        <v>174.29999999999995</v>
      </c>
      <c r="N24" s="89" t="s">
        <v>188</v>
      </c>
      <c r="O24" s="99">
        <f>IF(P24=0,0,Q24/P24)</f>
        <v>-6.1135135135135128</v>
      </c>
      <c r="P24" s="93">
        <v>111</v>
      </c>
      <c r="Q24" s="81">
        <v>-678.59999999999991</v>
      </c>
    </row>
    <row r="25" spans="1:17" x14ac:dyDescent="0.4">
      <c r="A25" s="37" t="s">
        <v>179</v>
      </c>
      <c r="B25" s="34">
        <v>304</v>
      </c>
      <c r="C25" s="31">
        <f>IF(B$19=0,0,B25/B$19)</f>
        <v>0.26139294926913154</v>
      </c>
      <c r="E25" s="44" t="s">
        <v>92</v>
      </c>
      <c r="F25" s="41" t="s">
        <v>47</v>
      </c>
      <c r="G25" s="34">
        <v>4</v>
      </c>
      <c r="H25" s="107">
        <f>IF(B$51=0,0,G25/B$51)</f>
        <v>3.552397868561279E-3</v>
      </c>
      <c r="I25" s="68">
        <v>8</v>
      </c>
      <c r="K25" s="5">
        <v>23</v>
      </c>
      <c r="L25" s="73">
        <v>172.89999999999995</v>
      </c>
      <c r="N25" s="89" t="s">
        <v>196</v>
      </c>
      <c r="O25" s="99">
        <f>IF(P25=0,0,Q25/P25)</f>
        <v>-6.2</v>
      </c>
      <c r="P25" s="93">
        <v>3</v>
      </c>
      <c r="Q25" s="81">
        <v>-18.600000000000001</v>
      </c>
    </row>
    <row r="26" spans="1:17" x14ac:dyDescent="0.4">
      <c r="A26" s="37" t="s">
        <v>5</v>
      </c>
      <c r="B26" s="17">
        <f>IF(B$19=0,0,C26/B$19)</f>
        <v>8563.198624247636</v>
      </c>
      <c r="C26" s="8">
        <v>9959000</v>
      </c>
      <c r="E26" s="44" t="s">
        <v>93</v>
      </c>
      <c r="F26" s="41" t="s">
        <v>48</v>
      </c>
      <c r="G26" s="34">
        <v>4</v>
      </c>
      <c r="H26" s="107">
        <f>IF(B$51=0,0,G26/B$51)</f>
        <v>3.552397868561279E-3</v>
      </c>
      <c r="I26" s="68">
        <v>3</v>
      </c>
      <c r="K26" s="5">
        <v>24</v>
      </c>
      <c r="L26" s="73">
        <v>133.19999999999993</v>
      </c>
      <c r="N26" s="89" t="s">
        <v>195</v>
      </c>
      <c r="O26" s="99">
        <f>IF(P26=0,0,Q26/P26)</f>
        <v>-13.60182926829269</v>
      </c>
      <c r="P26" s="93">
        <v>328</v>
      </c>
      <c r="Q26" s="81">
        <v>-4461.4000000000024</v>
      </c>
    </row>
    <row r="27" spans="1:17" x14ac:dyDescent="0.4">
      <c r="A27" s="38" t="s">
        <v>162</v>
      </c>
      <c r="B27" s="114">
        <f>IF($B$19-B$18=0,0,C27/($B$19-B$18))</f>
        <v>9244.458128078817</v>
      </c>
      <c r="C27" s="115">
        <v>7506500</v>
      </c>
      <c r="E27" s="44" t="s">
        <v>87</v>
      </c>
      <c r="F27" s="41" t="s">
        <v>42</v>
      </c>
      <c r="G27" s="34">
        <v>3</v>
      </c>
      <c r="H27" s="107">
        <f>IF(B$51=0,0,G27/B$51)</f>
        <v>2.6642984014209592E-3</v>
      </c>
      <c r="I27" s="68">
        <v>4</v>
      </c>
      <c r="K27" s="5">
        <v>25</v>
      </c>
      <c r="L27" s="73">
        <v>117.39999999999993</v>
      </c>
      <c r="N27" s="89" t="s">
        <v>194</v>
      </c>
      <c r="O27" s="99">
        <f>IF(P27=0,0,Q27/P27)</f>
        <v>-18.00714285714286</v>
      </c>
      <c r="P27" s="93">
        <v>14</v>
      </c>
      <c r="Q27" s="81">
        <v>-252.10000000000002</v>
      </c>
    </row>
    <row r="28" spans="1:17" x14ac:dyDescent="0.4">
      <c r="A28" s="38" t="s">
        <v>163</v>
      </c>
      <c r="B28" s="114">
        <f>IF(B$18=0,0,C28/B$18)</f>
        <v>6987.1794871794873</v>
      </c>
      <c r="C28" s="115">
        <v>2452500</v>
      </c>
      <c r="E28" s="44" t="s">
        <v>90</v>
      </c>
      <c r="F28" s="41" t="s">
        <v>45</v>
      </c>
      <c r="G28" s="34">
        <v>2</v>
      </c>
      <c r="H28" s="107">
        <f>IF(B$51=0,0,G28/B$51)</f>
        <v>1.7761989342806395E-3</v>
      </c>
      <c r="I28" s="68">
        <v>5</v>
      </c>
      <c r="K28" s="5">
        <v>26</v>
      </c>
      <c r="L28" s="73">
        <v>128.69999999999993</v>
      </c>
    </row>
    <row r="29" spans="1:17" x14ac:dyDescent="0.4">
      <c r="A29" s="38" t="s">
        <v>161</v>
      </c>
      <c r="B29" s="114">
        <f>IF(B$20=0,0,C29/B$20)</f>
        <v>-8412.6112759643911</v>
      </c>
      <c r="C29" s="115">
        <v>-5670100</v>
      </c>
      <c r="E29" s="44" t="s">
        <v>85</v>
      </c>
      <c r="F29" s="41" t="s">
        <v>40</v>
      </c>
      <c r="G29" s="34">
        <v>1</v>
      </c>
      <c r="H29" s="107">
        <f>IF(B$51=0,0,G29/B$51)</f>
        <v>8.8809946714031975E-4</v>
      </c>
      <c r="I29" s="68">
        <v>8</v>
      </c>
      <c r="K29" s="5">
        <v>27</v>
      </c>
      <c r="L29" s="73">
        <v>84.699999999999932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88</v>
      </c>
      <c r="F30" s="41" t="s">
        <v>43</v>
      </c>
      <c r="G30" s="34">
        <v>1</v>
      </c>
      <c r="H30" s="107">
        <f>IF(B$51=0,0,G30/B$51)</f>
        <v>8.8809946714031975E-4</v>
      </c>
      <c r="I30" s="68">
        <v>7</v>
      </c>
      <c r="K30" s="5">
        <v>28</v>
      </c>
      <c r="L30" s="73">
        <v>43.699999999999932</v>
      </c>
    </row>
    <row r="31" spans="1:17" x14ac:dyDescent="0.4">
      <c r="A31" s="37" t="s">
        <v>156</v>
      </c>
      <c r="B31" s="34">
        <v>39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8.8809946714031975E-4</v>
      </c>
      <c r="I31" s="68">
        <v>6</v>
      </c>
      <c r="K31" s="5">
        <v>29</v>
      </c>
      <c r="L31" s="73">
        <v>32.899999999999935</v>
      </c>
    </row>
    <row r="32" spans="1:17" x14ac:dyDescent="0.4">
      <c r="A32" s="64" t="s">
        <v>134</v>
      </c>
      <c r="B32" s="139">
        <v>9</v>
      </c>
      <c r="C32" s="140"/>
      <c r="E32" s="44" t="s">
        <v>76</v>
      </c>
      <c r="F32" s="41" t="s">
        <v>31</v>
      </c>
      <c r="G32" s="34">
        <v>0</v>
      </c>
      <c r="H32" s="107">
        <f>IF(B$51=0,0,G32/B$51)</f>
        <v>0</v>
      </c>
      <c r="I32" s="68">
        <v>1</v>
      </c>
      <c r="K32" s="5">
        <v>30</v>
      </c>
      <c r="L32" s="73">
        <v>48.499999999999936</v>
      </c>
    </row>
    <row r="33" spans="1:12" x14ac:dyDescent="0.4">
      <c r="A33" s="40" t="s">
        <v>177</v>
      </c>
      <c r="B33" s="137">
        <v>109300</v>
      </c>
      <c r="C33" s="138"/>
      <c r="E33" s="44" t="s">
        <v>80</v>
      </c>
      <c r="F33" s="41" t="s">
        <v>35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5.0999999999999375</v>
      </c>
    </row>
    <row r="34" spans="1:12" x14ac:dyDescent="0.4">
      <c r="A34" s="39" t="s">
        <v>135</v>
      </c>
      <c r="B34" s="27">
        <v>12</v>
      </c>
      <c r="C34" s="32">
        <f>IF(B$3=0,0,B34/B$3)</f>
        <v>3.0511060259344014E-3</v>
      </c>
      <c r="E34" s="44" t="s">
        <v>82</v>
      </c>
      <c r="F34" s="41" t="s">
        <v>37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5.7999999999999376</v>
      </c>
    </row>
    <row r="35" spans="1:12" x14ac:dyDescent="0.4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17.999999999999936</v>
      </c>
    </row>
    <row r="36" spans="1:12" x14ac:dyDescent="0.4">
      <c r="A36" s="64" t="s">
        <v>168</v>
      </c>
      <c r="B36" s="121">
        <v>69</v>
      </c>
      <c r="C36" s="119">
        <f>IF(B$19=0,0,B36/B$19)</f>
        <v>5.9329320722269992E-2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-19.300000000000061</v>
      </c>
    </row>
    <row r="37" spans="1:12" x14ac:dyDescent="0.4">
      <c r="A37" s="37" t="s">
        <v>164</v>
      </c>
      <c r="B37" s="34">
        <v>197</v>
      </c>
      <c r="C37" s="31">
        <f t="shared" ref="C37:C48" si="2">IF(B$19=0,0,B37/B$19)</f>
        <v>0.16938950988822013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29.699999999999939</v>
      </c>
    </row>
    <row r="38" spans="1:12" x14ac:dyDescent="0.4">
      <c r="A38" s="37" t="s">
        <v>165</v>
      </c>
      <c r="B38" s="124">
        <v>242</v>
      </c>
      <c r="C38" s="31">
        <f>IF(B$19=0,0,B38/B$19)</f>
        <v>0.20808254514187446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15.899999999999938</v>
      </c>
    </row>
    <row r="39" spans="1:12" x14ac:dyDescent="0.4">
      <c r="A39" s="37" t="s">
        <v>166</v>
      </c>
      <c r="B39" s="124">
        <v>219</v>
      </c>
      <c r="C39" s="31">
        <f t="shared" si="2"/>
        <v>0.18830610490111779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56.899999999999935</v>
      </c>
    </row>
    <row r="40" spans="1:12" x14ac:dyDescent="0.4">
      <c r="A40" s="37" t="s">
        <v>167</v>
      </c>
      <c r="B40" s="124">
        <v>155</v>
      </c>
      <c r="C40" s="31">
        <f t="shared" si="2"/>
        <v>0.13327601031814273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53.499999999999936</v>
      </c>
    </row>
    <row r="41" spans="1:12" x14ac:dyDescent="0.4">
      <c r="A41" s="37" t="s">
        <v>169</v>
      </c>
      <c r="B41" s="124">
        <v>104</v>
      </c>
      <c r="C41" s="31">
        <f t="shared" si="2"/>
        <v>8.9423903697334481E-2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125.09999999999994</v>
      </c>
    </row>
    <row r="42" spans="1:12" x14ac:dyDescent="0.4">
      <c r="A42" s="37" t="s">
        <v>170</v>
      </c>
      <c r="B42" s="124">
        <v>51</v>
      </c>
      <c r="C42" s="31">
        <f t="shared" si="2"/>
        <v>4.3852106620808254E-2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156.59999999999994</v>
      </c>
    </row>
    <row r="43" spans="1:12" x14ac:dyDescent="0.4">
      <c r="A43" s="37" t="s">
        <v>171</v>
      </c>
      <c r="B43" s="124">
        <v>36</v>
      </c>
      <c r="C43" s="31">
        <f t="shared" si="2"/>
        <v>3.0954428202923472E-2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191.99999999999994</v>
      </c>
    </row>
    <row r="44" spans="1:12" x14ac:dyDescent="0.4">
      <c r="A44" s="37" t="s">
        <v>172</v>
      </c>
      <c r="B44" s="124">
        <v>18</v>
      </c>
      <c r="C44" s="31">
        <f t="shared" si="2"/>
        <v>1.5477214101461736E-2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203.49999999999994</v>
      </c>
    </row>
    <row r="45" spans="1:12" x14ac:dyDescent="0.4">
      <c r="A45" s="37" t="s">
        <v>173</v>
      </c>
      <c r="B45" s="124">
        <v>12</v>
      </c>
      <c r="C45" s="31">
        <f t="shared" si="2"/>
        <v>1.0318142734307825E-2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212.59999999999994</v>
      </c>
    </row>
    <row r="46" spans="1:12" x14ac:dyDescent="0.4">
      <c r="A46" s="37" t="s">
        <v>174</v>
      </c>
      <c r="B46" s="124">
        <v>9</v>
      </c>
      <c r="C46" s="31">
        <f t="shared" si="2"/>
        <v>7.7386070507308681E-3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164.19999999999993</v>
      </c>
    </row>
    <row r="47" spans="1:12" x14ac:dyDescent="0.4">
      <c r="A47" s="37" t="s">
        <v>175</v>
      </c>
      <c r="B47" s="124">
        <v>2</v>
      </c>
      <c r="C47" s="31">
        <f t="shared" si="2"/>
        <v>1.7196904557179708E-3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209.09999999999994</v>
      </c>
    </row>
    <row r="48" spans="1:12" x14ac:dyDescent="0.4">
      <c r="A48" s="39" t="s">
        <v>176</v>
      </c>
      <c r="B48" s="120">
        <v>12</v>
      </c>
      <c r="C48" s="32">
        <f t="shared" si="2"/>
        <v>1.0318142734307825E-2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218.99999999999994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198.99999999999994</v>
      </c>
    </row>
    <row r="50" spans="1:12" x14ac:dyDescent="0.4">
      <c r="A50" s="64" t="s">
        <v>181</v>
      </c>
      <c r="B50" s="127">
        <v>3807</v>
      </c>
      <c r="C50" s="128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194.09999999999994</v>
      </c>
    </row>
    <row r="51" spans="1:12" x14ac:dyDescent="0.4">
      <c r="A51" s="39" t="s">
        <v>182</v>
      </c>
      <c r="B51" s="135">
        <v>1126</v>
      </c>
      <c r="C51" s="136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211.89999999999995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185.49999999999994</v>
      </c>
    </row>
    <row r="53" spans="1:12" x14ac:dyDescent="0.4">
      <c r="K53" s="5">
        <v>51</v>
      </c>
      <c r="L53" s="73">
        <v>196.99999999999994</v>
      </c>
    </row>
    <row r="54" spans="1:12" x14ac:dyDescent="0.4">
      <c r="K54" s="5">
        <v>52</v>
      </c>
      <c r="L54" s="73">
        <v>196.59999999999994</v>
      </c>
    </row>
    <row r="55" spans="1:12" x14ac:dyDescent="0.4">
      <c r="K55" s="5">
        <v>53</v>
      </c>
      <c r="L55" s="73">
        <v>214.69999999999993</v>
      </c>
    </row>
    <row r="56" spans="1:12" x14ac:dyDescent="0.4">
      <c r="K56" s="5">
        <v>54</v>
      </c>
      <c r="L56" s="73">
        <v>237.49999999999994</v>
      </c>
    </row>
    <row r="57" spans="1:12" x14ac:dyDescent="0.4">
      <c r="K57" s="5">
        <v>55</v>
      </c>
      <c r="L57" s="73">
        <v>224.69999999999993</v>
      </c>
    </row>
    <row r="58" spans="1:12" x14ac:dyDescent="0.4">
      <c r="K58" s="5">
        <v>56</v>
      </c>
      <c r="L58" s="73">
        <v>260.69999999999993</v>
      </c>
    </row>
    <row r="59" spans="1:12" x14ac:dyDescent="0.4">
      <c r="K59" s="5">
        <v>57</v>
      </c>
      <c r="L59" s="73">
        <v>211.59999999999994</v>
      </c>
    </row>
    <row r="60" spans="1:12" x14ac:dyDescent="0.4">
      <c r="K60" s="5">
        <v>58</v>
      </c>
      <c r="L60" s="73">
        <v>208.99999999999994</v>
      </c>
    </row>
    <row r="61" spans="1:12" x14ac:dyDescent="0.4">
      <c r="K61" s="5">
        <v>59</v>
      </c>
      <c r="L61" s="73">
        <v>221.49999999999994</v>
      </c>
    </row>
    <row r="62" spans="1:12" x14ac:dyDescent="0.4">
      <c r="K62" s="5">
        <v>60</v>
      </c>
      <c r="L62" s="73">
        <v>233.79999999999995</v>
      </c>
    </row>
    <row r="63" spans="1:12" x14ac:dyDescent="0.4">
      <c r="K63" s="5">
        <v>61</v>
      </c>
      <c r="L63" s="73">
        <v>234.69999999999996</v>
      </c>
    </row>
    <row r="64" spans="1:12" x14ac:dyDescent="0.4">
      <c r="K64" s="5">
        <v>62</v>
      </c>
      <c r="L64" s="73">
        <v>230.89999999999995</v>
      </c>
    </row>
    <row r="65" spans="11:12" x14ac:dyDescent="0.4">
      <c r="K65" s="5">
        <v>63</v>
      </c>
      <c r="L65" s="73">
        <v>218.99999999999994</v>
      </c>
    </row>
    <row r="66" spans="11:12" x14ac:dyDescent="0.4">
      <c r="K66" s="5">
        <v>64</v>
      </c>
      <c r="L66" s="73">
        <v>201.49999999999994</v>
      </c>
    </row>
    <row r="67" spans="11:12" x14ac:dyDescent="0.4">
      <c r="K67" s="5">
        <v>65</v>
      </c>
      <c r="L67" s="73">
        <v>208.79999999999995</v>
      </c>
    </row>
    <row r="68" spans="11:12" x14ac:dyDescent="0.4">
      <c r="K68" s="5">
        <v>66</v>
      </c>
      <c r="L68" s="73">
        <v>204.19999999999996</v>
      </c>
    </row>
    <row r="69" spans="11:12" x14ac:dyDescent="0.4">
      <c r="K69" s="5">
        <v>67</v>
      </c>
      <c r="L69" s="73">
        <v>218.29999999999995</v>
      </c>
    </row>
    <row r="70" spans="11:12" x14ac:dyDescent="0.4">
      <c r="K70" s="5">
        <v>68</v>
      </c>
      <c r="L70" s="73">
        <v>179.79999999999995</v>
      </c>
    </row>
    <row r="71" spans="11:12" x14ac:dyDescent="0.4">
      <c r="K71" s="5">
        <v>69</v>
      </c>
      <c r="L71" s="73">
        <v>188.69999999999996</v>
      </c>
    </row>
    <row r="72" spans="11:12" x14ac:dyDescent="0.4">
      <c r="K72" s="5">
        <v>70</v>
      </c>
      <c r="L72" s="73">
        <v>218.39999999999995</v>
      </c>
    </row>
    <row r="73" spans="11:12" x14ac:dyDescent="0.4">
      <c r="K73" s="5">
        <v>71</v>
      </c>
      <c r="L73" s="73">
        <v>197.69999999999996</v>
      </c>
    </row>
    <row r="74" spans="11:12" x14ac:dyDescent="0.4">
      <c r="K74" s="5">
        <v>72</v>
      </c>
      <c r="L74" s="73">
        <v>159.69999999999996</v>
      </c>
    </row>
    <row r="75" spans="11:12" x14ac:dyDescent="0.4">
      <c r="K75" s="5">
        <v>73</v>
      </c>
      <c r="L75" s="73">
        <v>195.69999999999996</v>
      </c>
    </row>
    <row r="76" spans="11:12" x14ac:dyDescent="0.4">
      <c r="K76" s="5">
        <v>74</v>
      </c>
      <c r="L76" s="73">
        <v>225.59999999999997</v>
      </c>
    </row>
    <row r="77" spans="11:12" x14ac:dyDescent="0.4">
      <c r="K77" s="5">
        <v>75</v>
      </c>
      <c r="L77" s="73">
        <v>249.09999999999997</v>
      </c>
    </row>
    <row r="78" spans="11:12" x14ac:dyDescent="0.4">
      <c r="K78" s="5">
        <v>76</v>
      </c>
      <c r="L78" s="73">
        <v>243.29999999999995</v>
      </c>
    </row>
    <row r="79" spans="11:12" x14ac:dyDescent="0.4">
      <c r="K79" s="5">
        <v>77</v>
      </c>
      <c r="L79" s="73">
        <v>240.29999999999995</v>
      </c>
    </row>
    <row r="80" spans="11:12" x14ac:dyDescent="0.4">
      <c r="K80" s="5">
        <v>78</v>
      </c>
      <c r="L80" s="73">
        <v>233.59999999999997</v>
      </c>
    </row>
    <row r="81" spans="11:12" x14ac:dyDescent="0.4">
      <c r="K81" s="5">
        <v>79</v>
      </c>
      <c r="L81" s="73">
        <v>213.29999999999995</v>
      </c>
    </row>
    <row r="82" spans="11:12" x14ac:dyDescent="0.4">
      <c r="K82" s="5">
        <v>80</v>
      </c>
      <c r="L82" s="73">
        <v>240.79999999999995</v>
      </c>
    </row>
    <row r="83" spans="11:12" x14ac:dyDescent="0.4">
      <c r="K83" s="5">
        <v>81</v>
      </c>
      <c r="L83" s="73">
        <v>246.49999999999994</v>
      </c>
    </row>
    <row r="84" spans="11:12" x14ac:dyDescent="0.4">
      <c r="K84" s="5">
        <v>82</v>
      </c>
      <c r="L84" s="73">
        <v>259.69999999999993</v>
      </c>
    </row>
    <row r="85" spans="11:12" x14ac:dyDescent="0.4">
      <c r="K85" s="5">
        <v>83</v>
      </c>
      <c r="L85" s="73">
        <v>252.69999999999993</v>
      </c>
    </row>
    <row r="86" spans="11:12" x14ac:dyDescent="0.4">
      <c r="K86" s="5">
        <v>84</v>
      </c>
      <c r="L86" s="73">
        <v>272.99999999999994</v>
      </c>
    </row>
    <row r="87" spans="11:12" x14ac:dyDescent="0.4">
      <c r="K87" s="5">
        <v>85</v>
      </c>
      <c r="L87" s="73">
        <v>266.99999999999994</v>
      </c>
    </row>
    <row r="88" spans="11:12" x14ac:dyDescent="0.4">
      <c r="K88" s="5">
        <v>86</v>
      </c>
      <c r="L88" s="73">
        <v>240.79999999999995</v>
      </c>
    </row>
    <row r="89" spans="11:12" x14ac:dyDescent="0.4">
      <c r="K89" s="5">
        <v>87</v>
      </c>
      <c r="L89" s="73">
        <v>276.79999999999995</v>
      </c>
    </row>
    <row r="90" spans="11:12" x14ac:dyDescent="0.4">
      <c r="K90" s="5">
        <v>88</v>
      </c>
      <c r="L90" s="73">
        <v>277.09999999999997</v>
      </c>
    </row>
    <row r="91" spans="11:12" x14ac:dyDescent="0.4">
      <c r="K91" s="5">
        <v>89</v>
      </c>
      <c r="L91" s="73">
        <v>260.49999999999994</v>
      </c>
    </row>
    <row r="92" spans="11:12" x14ac:dyDescent="0.4">
      <c r="K92" s="5">
        <v>90</v>
      </c>
      <c r="L92" s="73">
        <v>287.89999999999992</v>
      </c>
    </row>
    <row r="93" spans="11:12" x14ac:dyDescent="0.4">
      <c r="K93" s="5">
        <v>91</v>
      </c>
      <c r="L93" s="73">
        <v>253.39999999999992</v>
      </c>
    </row>
    <row r="94" spans="11:12" x14ac:dyDescent="0.4">
      <c r="K94" s="5">
        <v>92</v>
      </c>
      <c r="L94" s="73">
        <v>279.59999999999991</v>
      </c>
    </row>
    <row r="95" spans="11:12" x14ac:dyDescent="0.4">
      <c r="K95" s="5">
        <v>93</v>
      </c>
      <c r="L95" s="73">
        <v>265.7999999999999</v>
      </c>
    </row>
    <row r="96" spans="11:12" x14ac:dyDescent="0.4">
      <c r="K96" s="5">
        <v>94</v>
      </c>
      <c r="L96" s="73">
        <v>248.89999999999989</v>
      </c>
    </row>
    <row r="97" spans="11:12" x14ac:dyDescent="0.4">
      <c r="K97" s="5">
        <v>95</v>
      </c>
      <c r="L97" s="73">
        <v>223.49999999999989</v>
      </c>
    </row>
    <row r="98" spans="11:12" x14ac:dyDescent="0.4">
      <c r="K98" s="5">
        <v>96</v>
      </c>
      <c r="L98" s="73">
        <v>235.99999999999989</v>
      </c>
    </row>
    <row r="99" spans="11:12" x14ac:dyDescent="0.4">
      <c r="K99" s="5">
        <v>97</v>
      </c>
      <c r="L99" s="73">
        <v>253.19999999999987</v>
      </c>
    </row>
    <row r="100" spans="11:12" x14ac:dyDescent="0.4">
      <c r="K100" s="5">
        <v>98</v>
      </c>
      <c r="L100" s="73">
        <v>222.59999999999988</v>
      </c>
    </row>
    <row r="101" spans="11:12" x14ac:dyDescent="0.4">
      <c r="K101" s="5">
        <v>99</v>
      </c>
      <c r="L101" s="73">
        <v>246.39999999999989</v>
      </c>
    </row>
    <row r="102" spans="11:12" x14ac:dyDescent="0.4">
      <c r="K102" s="5">
        <v>100</v>
      </c>
      <c r="L102" s="73">
        <v>253.89999999999989</v>
      </c>
    </row>
    <row r="103" spans="11:12" x14ac:dyDescent="0.4">
      <c r="K103" s="5">
        <v>101</v>
      </c>
      <c r="L103" s="73">
        <v>271.69999999999987</v>
      </c>
    </row>
    <row r="104" spans="11:12" x14ac:dyDescent="0.4">
      <c r="K104" s="5">
        <v>102</v>
      </c>
      <c r="L104" s="73">
        <v>249.89999999999986</v>
      </c>
    </row>
    <row r="105" spans="11:12" x14ac:dyDescent="0.4">
      <c r="K105" s="5">
        <v>103</v>
      </c>
      <c r="L105" s="73">
        <v>251.99999999999986</v>
      </c>
    </row>
    <row r="106" spans="11:12" x14ac:dyDescent="0.4">
      <c r="K106" s="5">
        <v>104</v>
      </c>
      <c r="L106" s="73">
        <v>257.59999999999985</v>
      </c>
    </row>
    <row r="107" spans="11:12" x14ac:dyDescent="0.4">
      <c r="K107" s="5">
        <v>105</v>
      </c>
      <c r="L107" s="73">
        <v>208.59999999999985</v>
      </c>
    </row>
    <row r="108" spans="11:12" x14ac:dyDescent="0.4">
      <c r="K108" s="5">
        <v>106</v>
      </c>
      <c r="L108" s="73">
        <v>193.19999999999985</v>
      </c>
    </row>
    <row r="109" spans="11:12" x14ac:dyDescent="0.4">
      <c r="K109" s="5">
        <v>107</v>
      </c>
      <c r="L109" s="73">
        <v>235.69999999999985</v>
      </c>
    </row>
    <row r="110" spans="11:12" x14ac:dyDescent="0.4">
      <c r="K110" s="5">
        <v>108</v>
      </c>
      <c r="L110" s="73">
        <v>244.69999999999985</v>
      </c>
    </row>
    <row r="111" spans="11:12" x14ac:dyDescent="0.4">
      <c r="K111" s="5">
        <v>109</v>
      </c>
      <c r="L111" s="73">
        <v>185.79999999999984</v>
      </c>
    </row>
    <row r="112" spans="11:12" x14ac:dyDescent="0.4">
      <c r="K112" s="5">
        <v>110</v>
      </c>
      <c r="L112" s="73">
        <v>226.49999999999983</v>
      </c>
    </row>
    <row r="113" spans="11:12" x14ac:dyDescent="0.4">
      <c r="K113" s="5">
        <v>111</v>
      </c>
      <c r="L113" s="73">
        <v>217.99999999999983</v>
      </c>
    </row>
    <row r="114" spans="11:12" x14ac:dyDescent="0.4">
      <c r="K114" s="5">
        <v>112</v>
      </c>
      <c r="L114" s="73">
        <v>226.49999999999983</v>
      </c>
    </row>
    <row r="115" spans="11:12" x14ac:dyDescent="0.4">
      <c r="K115" s="5">
        <v>113</v>
      </c>
      <c r="L115" s="73">
        <v>252.09999999999982</v>
      </c>
    </row>
    <row r="116" spans="11:12" x14ac:dyDescent="0.4">
      <c r="K116" s="5">
        <v>114</v>
      </c>
      <c r="L116" s="73">
        <v>273.99999999999983</v>
      </c>
    </row>
    <row r="117" spans="11:12" x14ac:dyDescent="0.4">
      <c r="K117" s="5">
        <v>115</v>
      </c>
      <c r="L117" s="73">
        <v>264.69999999999982</v>
      </c>
    </row>
    <row r="118" spans="11:12" x14ac:dyDescent="0.4">
      <c r="K118" s="5">
        <v>116</v>
      </c>
      <c r="L118" s="73">
        <v>247.69999999999982</v>
      </c>
    </row>
    <row r="119" spans="11:12" x14ac:dyDescent="0.4">
      <c r="K119" s="5">
        <v>117</v>
      </c>
      <c r="L119" s="73">
        <v>269.39999999999981</v>
      </c>
    </row>
    <row r="120" spans="11:12" x14ac:dyDescent="0.4">
      <c r="K120" s="5">
        <v>118</v>
      </c>
      <c r="L120" s="73">
        <v>223.89999999999981</v>
      </c>
    </row>
    <row r="121" spans="11:12" x14ac:dyDescent="0.4">
      <c r="K121" s="5">
        <v>119</v>
      </c>
      <c r="L121" s="73">
        <v>218.29999999999981</v>
      </c>
    </row>
    <row r="122" spans="11:12" x14ac:dyDescent="0.4">
      <c r="K122" s="5">
        <v>120</v>
      </c>
      <c r="L122" s="73">
        <v>197.79999999999981</v>
      </c>
    </row>
    <row r="123" spans="11:12" x14ac:dyDescent="0.4">
      <c r="K123" s="5">
        <v>121</v>
      </c>
      <c r="L123" s="73">
        <v>171.59999999999982</v>
      </c>
    </row>
    <row r="124" spans="11:12" x14ac:dyDescent="0.4">
      <c r="K124" s="5">
        <v>122</v>
      </c>
      <c r="L124" s="73">
        <v>163.89999999999984</v>
      </c>
    </row>
    <row r="125" spans="11:12" x14ac:dyDescent="0.4">
      <c r="K125" s="5">
        <v>123</v>
      </c>
      <c r="L125" s="73">
        <v>203.39999999999984</v>
      </c>
    </row>
    <row r="126" spans="11:12" x14ac:dyDescent="0.4">
      <c r="K126" s="5">
        <v>124</v>
      </c>
      <c r="L126" s="73">
        <v>162.99999999999983</v>
      </c>
    </row>
    <row r="127" spans="11:12" x14ac:dyDescent="0.4">
      <c r="K127" s="5">
        <v>125</v>
      </c>
      <c r="L127" s="73">
        <v>199.99999999999983</v>
      </c>
    </row>
    <row r="128" spans="11:12" x14ac:dyDescent="0.4">
      <c r="K128" s="5">
        <v>126</v>
      </c>
      <c r="L128" s="73">
        <v>180.29999999999984</v>
      </c>
    </row>
    <row r="129" spans="11:12" x14ac:dyDescent="0.4">
      <c r="K129" s="5">
        <v>127</v>
      </c>
      <c r="L129" s="73">
        <v>171.99999999999983</v>
      </c>
    </row>
    <row r="130" spans="11:12" x14ac:dyDescent="0.4">
      <c r="K130" s="5">
        <v>128</v>
      </c>
      <c r="L130" s="73">
        <v>171.19999999999985</v>
      </c>
    </row>
    <row r="131" spans="11:12" x14ac:dyDescent="0.4">
      <c r="K131" s="5">
        <v>129</v>
      </c>
      <c r="L131" s="73">
        <v>144.89999999999984</v>
      </c>
    </row>
    <row r="132" spans="11:12" x14ac:dyDescent="0.4">
      <c r="K132" s="5">
        <v>130</v>
      </c>
      <c r="L132" s="73">
        <v>86.599999999999838</v>
      </c>
    </row>
    <row r="133" spans="11:12" x14ac:dyDescent="0.4">
      <c r="K133" s="5">
        <v>131</v>
      </c>
      <c r="L133" s="73">
        <v>123.79999999999984</v>
      </c>
    </row>
    <row r="134" spans="11:12" x14ac:dyDescent="0.4">
      <c r="K134" s="5">
        <v>132</v>
      </c>
      <c r="L134" s="73">
        <v>75.799999999999841</v>
      </c>
    </row>
    <row r="135" spans="11:12" x14ac:dyDescent="0.4">
      <c r="K135" s="5">
        <v>133</v>
      </c>
      <c r="L135" s="73">
        <v>-28.000000000000142</v>
      </c>
    </row>
    <row r="136" spans="11:12" x14ac:dyDescent="0.4">
      <c r="K136" s="5">
        <v>134</v>
      </c>
      <c r="L136" s="73">
        <v>-102.50000000000014</v>
      </c>
    </row>
    <row r="137" spans="11:12" x14ac:dyDescent="0.4">
      <c r="K137" s="5">
        <v>135</v>
      </c>
      <c r="L137" s="73">
        <v>-134.10000000000016</v>
      </c>
    </row>
    <row r="138" spans="11:12" x14ac:dyDescent="0.4">
      <c r="K138" s="5">
        <v>136</v>
      </c>
      <c r="L138" s="73">
        <v>-165.70000000000019</v>
      </c>
    </row>
    <row r="139" spans="11:12" x14ac:dyDescent="0.4">
      <c r="K139" s="5">
        <v>137</v>
      </c>
      <c r="L139" s="73">
        <v>-191.20000000000019</v>
      </c>
    </row>
    <row r="140" spans="11:12" x14ac:dyDescent="0.4">
      <c r="K140" s="5">
        <v>138</v>
      </c>
      <c r="L140" s="73">
        <v>-221.10000000000016</v>
      </c>
    </row>
    <row r="141" spans="11:12" x14ac:dyDescent="0.4">
      <c r="K141" s="5">
        <v>139</v>
      </c>
      <c r="L141" s="73">
        <v>-268.60000000000014</v>
      </c>
    </row>
    <row r="142" spans="11:12" x14ac:dyDescent="0.4">
      <c r="K142" s="5">
        <v>140</v>
      </c>
      <c r="L142" s="73">
        <v>-334.90000000000009</v>
      </c>
    </row>
    <row r="143" spans="11:12" x14ac:dyDescent="0.4">
      <c r="K143" s="5">
        <v>141</v>
      </c>
      <c r="L143" s="73">
        <v>-333.80000000000007</v>
      </c>
    </row>
    <row r="144" spans="11:12" x14ac:dyDescent="0.4">
      <c r="K144" s="5">
        <v>142</v>
      </c>
      <c r="L144" s="73">
        <v>-366.1</v>
      </c>
    </row>
    <row r="145" spans="11:12" x14ac:dyDescent="0.4">
      <c r="K145" s="5">
        <v>143</v>
      </c>
      <c r="L145" s="73">
        <v>-429.6</v>
      </c>
    </row>
    <row r="146" spans="11:12" x14ac:dyDescent="0.4">
      <c r="K146" s="5">
        <v>144</v>
      </c>
      <c r="L146" s="73">
        <v>-426.1</v>
      </c>
    </row>
    <row r="147" spans="11:12" x14ac:dyDescent="0.4">
      <c r="K147" s="5">
        <v>145</v>
      </c>
      <c r="L147" s="73">
        <v>-466.80000000000007</v>
      </c>
    </row>
    <row r="148" spans="11:12" x14ac:dyDescent="0.4">
      <c r="K148" s="5">
        <v>146</v>
      </c>
      <c r="L148" s="73">
        <v>-533.80000000000007</v>
      </c>
    </row>
    <row r="149" spans="11:12" x14ac:dyDescent="0.4">
      <c r="K149" s="5">
        <v>147</v>
      </c>
      <c r="L149" s="73">
        <v>-613.70000000000005</v>
      </c>
    </row>
    <row r="150" spans="11:12" x14ac:dyDescent="0.4">
      <c r="K150" s="5">
        <v>148</v>
      </c>
      <c r="L150" s="73">
        <v>-580.30000000000007</v>
      </c>
    </row>
    <row r="151" spans="11:12" x14ac:dyDescent="0.4">
      <c r="K151" s="5">
        <v>149</v>
      </c>
      <c r="L151" s="73">
        <v>-615.1</v>
      </c>
    </row>
    <row r="152" spans="11:12" x14ac:dyDescent="0.4">
      <c r="K152" s="5">
        <v>150</v>
      </c>
      <c r="L152" s="73">
        <v>-672.80000000000007</v>
      </c>
    </row>
    <row r="153" spans="11:12" x14ac:dyDescent="0.4">
      <c r="K153" s="5">
        <v>151</v>
      </c>
      <c r="L153" s="73">
        <v>-727.7</v>
      </c>
    </row>
    <row r="154" spans="11:12" x14ac:dyDescent="0.4">
      <c r="K154" s="5">
        <v>152</v>
      </c>
      <c r="L154" s="73">
        <v>-705.30000000000007</v>
      </c>
    </row>
    <row r="155" spans="11:12" x14ac:dyDescent="0.4">
      <c r="K155" s="5">
        <v>153</v>
      </c>
      <c r="L155" s="73">
        <v>-623.40000000000009</v>
      </c>
    </row>
    <row r="156" spans="11:12" x14ac:dyDescent="0.4">
      <c r="K156" s="5">
        <v>154</v>
      </c>
      <c r="L156" s="73">
        <v>-632.30000000000007</v>
      </c>
    </row>
    <row r="157" spans="11:12" x14ac:dyDescent="0.4">
      <c r="K157" s="5">
        <v>155</v>
      </c>
      <c r="L157" s="73">
        <v>-635.30000000000007</v>
      </c>
    </row>
    <row r="158" spans="11:12" x14ac:dyDescent="0.4">
      <c r="K158" s="5">
        <v>156</v>
      </c>
      <c r="L158" s="73">
        <v>-674.80000000000007</v>
      </c>
    </row>
    <row r="159" spans="11:12" x14ac:dyDescent="0.4">
      <c r="K159" s="5">
        <v>157</v>
      </c>
      <c r="L159" s="73">
        <v>-629.80000000000007</v>
      </c>
    </row>
    <row r="160" spans="11:12" x14ac:dyDescent="0.4">
      <c r="K160" s="5">
        <v>158</v>
      </c>
      <c r="L160" s="73">
        <v>-612.20000000000005</v>
      </c>
    </row>
    <row r="161" spans="11:12" x14ac:dyDescent="0.4">
      <c r="K161" s="5">
        <v>159</v>
      </c>
      <c r="L161" s="73">
        <v>-580.1</v>
      </c>
    </row>
    <row r="162" spans="11:12" x14ac:dyDescent="0.4">
      <c r="K162" s="5">
        <v>160</v>
      </c>
      <c r="L162" s="73">
        <v>-623.5</v>
      </c>
    </row>
    <row r="163" spans="11:12" x14ac:dyDescent="0.4">
      <c r="K163" s="5">
        <v>161</v>
      </c>
      <c r="L163" s="73">
        <v>-626.6</v>
      </c>
    </row>
    <row r="164" spans="11:12" x14ac:dyDescent="0.4">
      <c r="K164" s="5">
        <v>162</v>
      </c>
      <c r="L164" s="73">
        <v>-582.9</v>
      </c>
    </row>
    <row r="165" spans="11:12" x14ac:dyDescent="0.4">
      <c r="K165" s="5">
        <v>163</v>
      </c>
      <c r="L165" s="73">
        <v>-617.19999999999993</v>
      </c>
    </row>
    <row r="166" spans="11:12" x14ac:dyDescent="0.4">
      <c r="K166" s="5">
        <v>164</v>
      </c>
      <c r="L166" s="73">
        <v>-656.09999999999991</v>
      </c>
    </row>
    <row r="167" spans="11:12" x14ac:dyDescent="0.4">
      <c r="K167" s="5">
        <v>165</v>
      </c>
      <c r="L167" s="73">
        <v>-625.49999999999989</v>
      </c>
    </row>
    <row r="168" spans="11:12" x14ac:dyDescent="0.4">
      <c r="K168" s="5">
        <v>166</v>
      </c>
      <c r="L168" s="73">
        <v>-583.79999999999984</v>
      </c>
    </row>
    <row r="169" spans="11:12" x14ac:dyDescent="0.4">
      <c r="K169" s="5">
        <v>167</v>
      </c>
      <c r="L169" s="73">
        <v>-541.39999999999986</v>
      </c>
    </row>
    <row r="170" spans="11:12" x14ac:dyDescent="0.4">
      <c r="K170" s="5">
        <v>168</v>
      </c>
      <c r="L170" s="73">
        <v>-581.49999999999989</v>
      </c>
    </row>
    <row r="171" spans="11:12" x14ac:dyDescent="0.4">
      <c r="K171" s="5">
        <v>169</v>
      </c>
      <c r="L171" s="73">
        <v>-535.49999999999989</v>
      </c>
    </row>
    <row r="172" spans="11:12" x14ac:dyDescent="0.4">
      <c r="K172" s="5">
        <v>170</v>
      </c>
      <c r="L172" s="73">
        <v>-537.59999999999991</v>
      </c>
    </row>
    <row r="173" spans="11:12" x14ac:dyDescent="0.4">
      <c r="K173" s="5">
        <v>171</v>
      </c>
      <c r="L173" s="73">
        <v>-495.99999999999989</v>
      </c>
    </row>
    <row r="174" spans="11:12" x14ac:dyDescent="0.4">
      <c r="K174" s="5">
        <v>172</v>
      </c>
      <c r="L174" s="73">
        <v>-511.69999999999993</v>
      </c>
    </row>
    <row r="175" spans="11:12" x14ac:dyDescent="0.4">
      <c r="K175" s="5">
        <v>173</v>
      </c>
      <c r="L175" s="73">
        <v>-570.9</v>
      </c>
    </row>
    <row r="176" spans="11:12" x14ac:dyDescent="0.4">
      <c r="K176" s="5">
        <v>174</v>
      </c>
      <c r="L176" s="73">
        <v>-627.4</v>
      </c>
    </row>
    <row r="177" spans="11:12" x14ac:dyDescent="0.4">
      <c r="K177" s="5">
        <v>175</v>
      </c>
      <c r="L177" s="73">
        <v>-634.19999999999993</v>
      </c>
    </row>
    <row r="178" spans="11:12" x14ac:dyDescent="0.4">
      <c r="K178" s="5">
        <v>176</v>
      </c>
      <c r="L178" s="73">
        <v>-640.29999999999995</v>
      </c>
    </row>
    <row r="179" spans="11:12" x14ac:dyDescent="0.4">
      <c r="K179" s="5">
        <v>177</v>
      </c>
      <c r="L179" s="73">
        <v>-699.5</v>
      </c>
    </row>
    <row r="180" spans="11:12" x14ac:dyDescent="0.4">
      <c r="K180" s="5">
        <v>178</v>
      </c>
      <c r="L180" s="73">
        <v>-631.79999999999995</v>
      </c>
    </row>
    <row r="181" spans="11:12" x14ac:dyDescent="0.4">
      <c r="K181" s="5">
        <v>179</v>
      </c>
      <c r="L181" s="73">
        <v>-662.3</v>
      </c>
    </row>
    <row r="182" spans="11:12" x14ac:dyDescent="0.4">
      <c r="K182" s="5">
        <v>180</v>
      </c>
      <c r="L182" s="73">
        <v>-655.09999999999991</v>
      </c>
    </row>
    <row r="183" spans="11:12" x14ac:dyDescent="0.4">
      <c r="K183" s="5">
        <v>181</v>
      </c>
      <c r="L183" s="73">
        <v>-673.89999999999986</v>
      </c>
    </row>
    <row r="184" spans="11:12" x14ac:dyDescent="0.4">
      <c r="K184" s="5">
        <v>182</v>
      </c>
      <c r="L184" s="73">
        <v>-737.29999999999984</v>
      </c>
    </row>
    <row r="185" spans="11:12" x14ac:dyDescent="0.4">
      <c r="K185" s="5">
        <v>183</v>
      </c>
      <c r="L185" s="73">
        <v>-757.5999999999998</v>
      </c>
    </row>
    <row r="186" spans="11:12" x14ac:dyDescent="0.4">
      <c r="K186" s="5">
        <v>184</v>
      </c>
      <c r="L186" s="73">
        <v>-720.79999999999984</v>
      </c>
    </row>
    <row r="187" spans="11:12" x14ac:dyDescent="0.4">
      <c r="K187" s="5">
        <v>185</v>
      </c>
      <c r="L187" s="73">
        <v>-766.69999999999982</v>
      </c>
    </row>
    <row r="188" spans="11:12" x14ac:dyDescent="0.4">
      <c r="K188" s="5">
        <v>186</v>
      </c>
      <c r="L188" s="73">
        <v>-809.69999999999982</v>
      </c>
    </row>
    <row r="189" spans="11:12" x14ac:dyDescent="0.4">
      <c r="K189" s="5">
        <v>187</v>
      </c>
      <c r="L189" s="73">
        <v>-852.69999999999982</v>
      </c>
    </row>
    <row r="190" spans="11:12" x14ac:dyDescent="0.4">
      <c r="K190" s="5">
        <v>188</v>
      </c>
      <c r="L190" s="73">
        <v>-879.69999999999982</v>
      </c>
    </row>
    <row r="191" spans="11:12" x14ac:dyDescent="0.4">
      <c r="K191" s="5">
        <v>189</v>
      </c>
      <c r="L191" s="73">
        <v>-919.59999999999991</v>
      </c>
    </row>
    <row r="192" spans="11:12" x14ac:dyDescent="0.4">
      <c r="K192" s="5">
        <v>190</v>
      </c>
      <c r="L192" s="73">
        <v>-920.39999999999986</v>
      </c>
    </row>
    <row r="193" spans="11:12" x14ac:dyDescent="0.4">
      <c r="K193" s="5">
        <v>191</v>
      </c>
      <c r="L193" s="73">
        <v>-863.19999999999982</v>
      </c>
    </row>
    <row r="194" spans="11:12" x14ac:dyDescent="0.4">
      <c r="K194" s="5">
        <v>192</v>
      </c>
      <c r="L194" s="73">
        <v>-911.89999999999986</v>
      </c>
    </row>
    <row r="195" spans="11:12" x14ac:dyDescent="0.4">
      <c r="K195" s="5">
        <v>193</v>
      </c>
      <c r="L195" s="73">
        <v>-967.59999999999991</v>
      </c>
    </row>
    <row r="196" spans="11:12" x14ac:dyDescent="0.4">
      <c r="K196" s="5">
        <v>194</v>
      </c>
      <c r="L196" s="73">
        <v>-927</v>
      </c>
    </row>
    <row r="197" spans="11:12" x14ac:dyDescent="0.4">
      <c r="K197" s="5">
        <v>195</v>
      </c>
      <c r="L197" s="73">
        <v>-926.3</v>
      </c>
    </row>
    <row r="198" spans="11:12" x14ac:dyDescent="0.4">
      <c r="K198" s="5">
        <v>196</v>
      </c>
      <c r="L198" s="73">
        <v>-888.2</v>
      </c>
    </row>
    <row r="199" spans="11:12" x14ac:dyDescent="0.4">
      <c r="K199" s="5">
        <v>197</v>
      </c>
      <c r="L199" s="73">
        <v>-946.2</v>
      </c>
    </row>
    <row r="200" spans="11:12" x14ac:dyDescent="0.4">
      <c r="K200" s="5">
        <v>198</v>
      </c>
      <c r="L200" s="73">
        <v>-944.5</v>
      </c>
    </row>
    <row r="201" spans="11:12" x14ac:dyDescent="0.4">
      <c r="K201" s="5">
        <v>199</v>
      </c>
      <c r="L201" s="73">
        <v>-980.59999999999991</v>
      </c>
    </row>
    <row r="202" spans="11:12" x14ac:dyDescent="0.4">
      <c r="K202" s="5">
        <v>200</v>
      </c>
      <c r="L202" s="73">
        <v>-932.59999999999991</v>
      </c>
    </row>
    <row r="203" spans="11:12" x14ac:dyDescent="0.4">
      <c r="K203" s="5">
        <v>201</v>
      </c>
      <c r="L203" s="73">
        <v>-966.5</v>
      </c>
    </row>
    <row r="204" spans="11:12" x14ac:dyDescent="0.4">
      <c r="K204" s="5">
        <v>202</v>
      </c>
      <c r="L204" s="73">
        <v>-1023.2</v>
      </c>
    </row>
    <row r="205" spans="11:12" x14ac:dyDescent="0.4">
      <c r="K205" s="5">
        <v>203</v>
      </c>
      <c r="L205" s="73">
        <v>-997.60000000000014</v>
      </c>
    </row>
    <row r="206" spans="11:12" x14ac:dyDescent="0.4">
      <c r="K206" s="5">
        <v>204</v>
      </c>
      <c r="L206" s="73">
        <v>-1062.3000000000002</v>
      </c>
    </row>
    <row r="207" spans="11:12" x14ac:dyDescent="0.4">
      <c r="K207" s="5">
        <v>205</v>
      </c>
      <c r="L207" s="73">
        <v>-1063.8000000000002</v>
      </c>
    </row>
    <row r="208" spans="11:12" x14ac:dyDescent="0.4">
      <c r="K208" s="5">
        <v>206</v>
      </c>
      <c r="L208" s="73">
        <v>-1067.2000000000003</v>
      </c>
    </row>
    <row r="209" spans="11:12" x14ac:dyDescent="0.4">
      <c r="K209" s="5">
        <v>207</v>
      </c>
      <c r="L209" s="73">
        <v>-1061.4000000000003</v>
      </c>
    </row>
    <row r="210" spans="11:12" x14ac:dyDescent="0.4">
      <c r="K210" s="5">
        <v>208</v>
      </c>
      <c r="L210" s="73">
        <v>-1118.7000000000003</v>
      </c>
    </row>
    <row r="211" spans="11:12" x14ac:dyDescent="0.4">
      <c r="K211" s="5">
        <v>209</v>
      </c>
      <c r="L211" s="73">
        <v>-1068.7000000000003</v>
      </c>
    </row>
    <row r="212" spans="11:12" x14ac:dyDescent="0.4">
      <c r="K212" s="5">
        <v>210</v>
      </c>
      <c r="L212" s="73">
        <v>-1080.4000000000003</v>
      </c>
    </row>
    <row r="213" spans="11:12" x14ac:dyDescent="0.4">
      <c r="K213" s="5">
        <v>211</v>
      </c>
      <c r="L213" s="73">
        <v>-1037.7000000000003</v>
      </c>
    </row>
    <row r="214" spans="11:12" x14ac:dyDescent="0.4">
      <c r="K214" s="5">
        <v>212</v>
      </c>
      <c r="L214" s="73">
        <v>-1084.7000000000003</v>
      </c>
    </row>
    <row r="215" spans="11:12" x14ac:dyDescent="0.4">
      <c r="K215" s="5">
        <v>213</v>
      </c>
      <c r="L215" s="73">
        <v>-1120.8000000000002</v>
      </c>
    </row>
    <row r="216" spans="11:12" x14ac:dyDescent="0.4">
      <c r="K216" s="5">
        <v>214</v>
      </c>
      <c r="L216" s="73">
        <v>-1049.7000000000003</v>
      </c>
    </row>
    <row r="217" spans="11:12" x14ac:dyDescent="0.4">
      <c r="K217" s="5">
        <v>215</v>
      </c>
      <c r="L217" s="73">
        <v>-1088.5000000000002</v>
      </c>
    </row>
    <row r="218" spans="11:12" x14ac:dyDescent="0.4">
      <c r="K218" s="5">
        <v>216</v>
      </c>
      <c r="L218" s="73">
        <v>-1145.5000000000002</v>
      </c>
    </row>
    <row r="219" spans="11:12" x14ac:dyDescent="0.4">
      <c r="K219" s="5">
        <v>217</v>
      </c>
      <c r="L219" s="73">
        <v>-1102.9000000000003</v>
      </c>
    </row>
    <row r="220" spans="11:12" x14ac:dyDescent="0.4">
      <c r="K220" s="5">
        <v>218</v>
      </c>
      <c r="L220" s="73">
        <v>-1159.2000000000003</v>
      </c>
    </row>
    <row r="221" spans="11:12" x14ac:dyDescent="0.4">
      <c r="K221" s="5">
        <v>219</v>
      </c>
      <c r="L221" s="73">
        <v>-1132.4000000000003</v>
      </c>
    </row>
    <row r="222" spans="11:12" x14ac:dyDescent="0.4">
      <c r="K222" s="5">
        <v>220</v>
      </c>
      <c r="L222" s="73">
        <v>-1096.0000000000002</v>
      </c>
    </row>
    <row r="223" spans="11:12" x14ac:dyDescent="0.4">
      <c r="K223" s="5">
        <v>221</v>
      </c>
      <c r="L223" s="73">
        <v>-1102.3000000000002</v>
      </c>
    </row>
    <row r="224" spans="11:12" x14ac:dyDescent="0.4">
      <c r="K224" s="5">
        <v>222</v>
      </c>
      <c r="L224" s="73">
        <v>-1064.1000000000001</v>
      </c>
    </row>
    <row r="225" spans="11:12" x14ac:dyDescent="0.4">
      <c r="K225" s="5">
        <v>223</v>
      </c>
      <c r="L225" s="73">
        <v>-1051.9000000000001</v>
      </c>
    </row>
    <row r="226" spans="11:12" x14ac:dyDescent="0.4">
      <c r="K226" s="5">
        <v>224</v>
      </c>
      <c r="L226" s="73">
        <v>-1042.9000000000001</v>
      </c>
    </row>
    <row r="227" spans="11:12" x14ac:dyDescent="0.4">
      <c r="K227" s="5">
        <v>225</v>
      </c>
      <c r="L227" s="73">
        <v>-1003.1000000000001</v>
      </c>
    </row>
    <row r="228" spans="11:12" x14ac:dyDescent="0.4">
      <c r="K228" s="5">
        <v>226</v>
      </c>
      <c r="L228" s="73">
        <v>-941.50000000000023</v>
      </c>
    </row>
    <row r="229" spans="11:12" x14ac:dyDescent="0.4">
      <c r="K229" s="5">
        <v>227</v>
      </c>
      <c r="L229" s="73">
        <v>-931.40000000000032</v>
      </c>
    </row>
    <row r="230" spans="11:12" x14ac:dyDescent="0.4">
      <c r="K230" s="5">
        <v>228</v>
      </c>
      <c r="L230" s="73">
        <v>-935.30000000000041</v>
      </c>
    </row>
    <row r="231" spans="11:12" x14ac:dyDescent="0.4">
      <c r="K231" s="5">
        <v>229</v>
      </c>
      <c r="L231" s="73">
        <v>-916.30000000000041</v>
      </c>
    </row>
    <row r="232" spans="11:12" x14ac:dyDescent="0.4">
      <c r="K232" s="5">
        <v>230</v>
      </c>
      <c r="L232" s="73">
        <v>-881.60000000000036</v>
      </c>
    </row>
    <row r="233" spans="11:12" x14ac:dyDescent="0.4">
      <c r="K233" s="5">
        <v>231</v>
      </c>
      <c r="L233" s="73">
        <v>-845.20000000000027</v>
      </c>
    </row>
    <row r="234" spans="11:12" x14ac:dyDescent="0.4">
      <c r="K234" s="5">
        <v>232</v>
      </c>
      <c r="L234" s="73">
        <v>-779.20000000000027</v>
      </c>
    </row>
    <row r="235" spans="11:12" x14ac:dyDescent="0.4">
      <c r="K235" s="5">
        <v>233</v>
      </c>
      <c r="L235" s="73">
        <v>-736.60000000000025</v>
      </c>
    </row>
    <row r="236" spans="11:12" x14ac:dyDescent="0.4">
      <c r="K236" s="5">
        <v>234</v>
      </c>
      <c r="L236" s="73">
        <v>-687.4000000000002</v>
      </c>
    </row>
    <row r="237" spans="11:12" x14ac:dyDescent="0.4">
      <c r="K237" s="5">
        <v>235</v>
      </c>
      <c r="L237" s="73">
        <v>-767.80000000000018</v>
      </c>
    </row>
    <row r="238" spans="11:12" x14ac:dyDescent="0.4">
      <c r="K238" s="5">
        <v>236</v>
      </c>
      <c r="L238" s="73">
        <v>-717.80000000000018</v>
      </c>
    </row>
    <row r="239" spans="11:12" x14ac:dyDescent="0.4">
      <c r="K239" s="5">
        <v>237</v>
      </c>
      <c r="L239" s="73">
        <v>-721.30000000000018</v>
      </c>
    </row>
    <row r="240" spans="11:12" x14ac:dyDescent="0.4">
      <c r="K240" s="5">
        <v>238</v>
      </c>
      <c r="L240" s="73">
        <v>-716.30000000000018</v>
      </c>
    </row>
    <row r="241" spans="11:12" x14ac:dyDescent="0.4">
      <c r="K241" s="5">
        <v>239</v>
      </c>
      <c r="L241" s="73">
        <v>-677.4000000000002</v>
      </c>
    </row>
    <row r="242" spans="11:12" x14ac:dyDescent="0.4">
      <c r="K242" s="5">
        <v>240</v>
      </c>
      <c r="L242" s="73">
        <v>-729.4000000000002</v>
      </c>
    </row>
    <row r="243" spans="11:12" x14ac:dyDescent="0.4">
      <c r="K243" s="5">
        <v>241</v>
      </c>
      <c r="L243" s="73">
        <v>-785.30000000000018</v>
      </c>
    </row>
    <row r="244" spans="11:12" x14ac:dyDescent="0.4">
      <c r="K244" s="5">
        <v>242</v>
      </c>
      <c r="L244" s="73">
        <v>-747.00000000000023</v>
      </c>
    </row>
    <row r="245" spans="11:12" x14ac:dyDescent="0.4">
      <c r="K245" s="5">
        <v>243</v>
      </c>
      <c r="L245" s="73">
        <v>-699.10000000000025</v>
      </c>
    </row>
    <row r="246" spans="11:12" x14ac:dyDescent="0.4">
      <c r="K246" s="5">
        <v>244</v>
      </c>
      <c r="L246" s="73">
        <v>-708.20000000000027</v>
      </c>
    </row>
    <row r="247" spans="11:12" x14ac:dyDescent="0.4">
      <c r="K247" s="5">
        <v>245</v>
      </c>
      <c r="L247" s="73">
        <v>-678.20000000000027</v>
      </c>
    </row>
    <row r="248" spans="11:12" x14ac:dyDescent="0.4">
      <c r="K248" s="5">
        <v>246</v>
      </c>
      <c r="L248" s="73">
        <v>-677.60000000000025</v>
      </c>
    </row>
    <row r="249" spans="11:12" x14ac:dyDescent="0.4">
      <c r="K249" s="5">
        <v>247</v>
      </c>
      <c r="L249" s="73">
        <v>-646.10000000000025</v>
      </c>
    </row>
    <row r="250" spans="11:12" x14ac:dyDescent="0.4">
      <c r="K250" s="5">
        <v>248</v>
      </c>
      <c r="L250" s="73">
        <v>-674.50000000000023</v>
      </c>
    </row>
    <row r="251" spans="11:12" x14ac:dyDescent="0.4">
      <c r="K251" s="5">
        <v>249</v>
      </c>
      <c r="L251" s="73">
        <v>-679.60000000000025</v>
      </c>
    </row>
    <row r="252" spans="11:12" x14ac:dyDescent="0.4">
      <c r="K252" s="5">
        <v>250</v>
      </c>
      <c r="L252" s="73">
        <v>-678.10000000000025</v>
      </c>
    </row>
    <row r="253" spans="11:12" x14ac:dyDescent="0.4">
      <c r="K253" s="5">
        <v>251</v>
      </c>
      <c r="L253" s="73">
        <v>-705.00000000000023</v>
      </c>
    </row>
    <row r="254" spans="11:12" x14ac:dyDescent="0.4">
      <c r="K254" s="5">
        <v>252</v>
      </c>
      <c r="L254" s="73">
        <v>-767.00000000000023</v>
      </c>
    </row>
    <row r="255" spans="11:12" x14ac:dyDescent="0.4">
      <c r="K255" s="5">
        <v>253</v>
      </c>
      <c r="L255" s="73">
        <v>-735.9000000000002</v>
      </c>
    </row>
    <row r="256" spans="11:12" x14ac:dyDescent="0.4">
      <c r="K256" s="5">
        <v>254</v>
      </c>
      <c r="L256" s="73">
        <v>-735.10000000000025</v>
      </c>
    </row>
    <row r="257" spans="11:12" x14ac:dyDescent="0.4">
      <c r="K257" s="5">
        <v>255</v>
      </c>
      <c r="L257" s="73">
        <v>-764.50000000000023</v>
      </c>
    </row>
    <row r="258" spans="11:12" x14ac:dyDescent="0.4">
      <c r="K258" s="5">
        <v>256</v>
      </c>
      <c r="L258" s="73">
        <v>-812.80000000000018</v>
      </c>
    </row>
    <row r="259" spans="11:12" x14ac:dyDescent="0.4">
      <c r="K259" s="5">
        <v>257</v>
      </c>
      <c r="L259" s="73">
        <v>-816.10000000000014</v>
      </c>
    </row>
    <row r="260" spans="11:12" x14ac:dyDescent="0.4">
      <c r="K260" s="5">
        <v>258</v>
      </c>
      <c r="L260" s="73">
        <v>-787.90000000000009</v>
      </c>
    </row>
    <row r="261" spans="11:12" x14ac:dyDescent="0.4">
      <c r="K261" s="5">
        <v>259</v>
      </c>
      <c r="L261" s="73">
        <v>-792.10000000000014</v>
      </c>
    </row>
    <row r="262" spans="11:12" x14ac:dyDescent="0.4">
      <c r="K262" s="5">
        <v>260</v>
      </c>
      <c r="L262" s="73">
        <v>-795.00000000000011</v>
      </c>
    </row>
    <row r="263" spans="11:12" x14ac:dyDescent="0.4">
      <c r="K263" s="5">
        <v>261</v>
      </c>
      <c r="L263" s="73">
        <v>-837.80000000000018</v>
      </c>
    </row>
    <row r="264" spans="11:12" x14ac:dyDescent="0.4">
      <c r="K264" s="5">
        <v>262</v>
      </c>
      <c r="L264" s="73">
        <v>-828.00000000000023</v>
      </c>
    </row>
    <row r="265" spans="11:12" x14ac:dyDescent="0.4">
      <c r="K265" s="5">
        <v>263</v>
      </c>
      <c r="L265" s="73">
        <v>-827.70000000000027</v>
      </c>
    </row>
    <row r="266" spans="11:12" x14ac:dyDescent="0.4">
      <c r="K266" s="5">
        <v>264</v>
      </c>
      <c r="L266" s="73">
        <v>-861.80000000000018</v>
      </c>
    </row>
    <row r="267" spans="11:12" x14ac:dyDescent="0.4">
      <c r="K267" s="5">
        <v>265</v>
      </c>
      <c r="L267" s="73">
        <v>-899.20000000000027</v>
      </c>
    </row>
    <row r="268" spans="11:12" x14ac:dyDescent="0.4">
      <c r="K268" s="5">
        <v>266</v>
      </c>
      <c r="L268" s="73">
        <v>-900.00000000000023</v>
      </c>
    </row>
    <row r="269" spans="11:12" x14ac:dyDescent="0.4">
      <c r="K269" s="5">
        <v>267</v>
      </c>
      <c r="L269" s="73">
        <v>-956.10000000000014</v>
      </c>
    </row>
    <row r="270" spans="11:12" x14ac:dyDescent="0.4">
      <c r="K270" s="5">
        <v>268</v>
      </c>
      <c r="L270" s="73">
        <v>-918.50000000000023</v>
      </c>
    </row>
    <row r="271" spans="11:12" x14ac:dyDescent="0.4">
      <c r="K271" s="5">
        <v>269</v>
      </c>
      <c r="L271" s="73">
        <v>-978.10000000000014</v>
      </c>
    </row>
    <row r="272" spans="11:12" x14ac:dyDescent="0.4">
      <c r="K272" s="5">
        <v>270</v>
      </c>
      <c r="L272" s="73">
        <v>-1010.5000000000002</v>
      </c>
    </row>
    <row r="273" spans="11:12" x14ac:dyDescent="0.4">
      <c r="K273" s="5">
        <v>271</v>
      </c>
      <c r="L273" s="73">
        <v>-1051.9000000000003</v>
      </c>
    </row>
    <row r="274" spans="11:12" x14ac:dyDescent="0.4">
      <c r="K274" s="5">
        <v>272</v>
      </c>
      <c r="L274" s="73">
        <v>-1024.4000000000003</v>
      </c>
    </row>
    <row r="275" spans="11:12" x14ac:dyDescent="0.4">
      <c r="K275" s="5">
        <v>273</v>
      </c>
      <c r="L275" s="73">
        <v>-1070.9000000000003</v>
      </c>
    </row>
    <row r="276" spans="11:12" x14ac:dyDescent="0.4">
      <c r="K276" s="5">
        <v>274</v>
      </c>
      <c r="L276" s="73">
        <v>-1117.0000000000002</v>
      </c>
    </row>
    <row r="277" spans="11:12" x14ac:dyDescent="0.4">
      <c r="K277" s="5">
        <v>275</v>
      </c>
      <c r="L277" s="73">
        <v>-1161.3000000000002</v>
      </c>
    </row>
    <row r="278" spans="11:12" x14ac:dyDescent="0.4">
      <c r="K278" s="5">
        <v>276</v>
      </c>
      <c r="L278" s="73">
        <v>-1212.4000000000001</v>
      </c>
    </row>
    <row r="279" spans="11:12" x14ac:dyDescent="0.4">
      <c r="K279" s="5">
        <v>277</v>
      </c>
      <c r="L279" s="73">
        <v>-1229.2</v>
      </c>
    </row>
    <row r="280" spans="11:12" x14ac:dyDescent="0.4">
      <c r="K280" s="5">
        <v>278</v>
      </c>
      <c r="L280" s="73">
        <v>-1149.4000000000001</v>
      </c>
    </row>
    <row r="281" spans="11:12" x14ac:dyDescent="0.4">
      <c r="K281" s="5">
        <v>279</v>
      </c>
      <c r="L281" s="73">
        <v>-1140.9000000000001</v>
      </c>
    </row>
    <row r="282" spans="11:12" x14ac:dyDescent="0.4">
      <c r="K282" s="5">
        <v>280</v>
      </c>
      <c r="L282" s="73">
        <v>-1154.3000000000002</v>
      </c>
    </row>
    <row r="283" spans="11:12" x14ac:dyDescent="0.4">
      <c r="K283" s="5">
        <v>281</v>
      </c>
      <c r="L283" s="73">
        <v>-1134.7000000000003</v>
      </c>
    </row>
    <row r="284" spans="11:12" x14ac:dyDescent="0.4">
      <c r="K284" s="5">
        <v>282</v>
      </c>
      <c r="L284" s="73">
        <v>-1127.3000000000002</v>
      </c>
    </row>
    <row r="285" spans="11:12" x14ac:dyDescent="0.4">
      <c r="K285" s="5">
        <v>283</v>
      </c>
      <c r="L285" s="73">
        <v>-1062.3000000000002</v>
      </c>
    </row>
    <row r="286" spans="11:12" x14ac:dyDescent="0.4">
      <c r="K286" s="5">
        <v>284</v>
      </c>
      <c r="L286" s="73">
        <v>-1042.8000000000002</v>
      </c>
    </row>
    <row r="287" spans="11:12" x14ac:dyDescent="0.4">
      <c r="K287" s="5">
        <v>285</v>
      </c>
      <c r="L287" s="73">
        <v>-1006.9000000000001</v>
      </c>
    </row>
    <row r="288" spans="11:12" x14ac:dyDescent="0.4">
      <c r="K288" s="5">
        <v>286</v>
      </c>
      <c r="L288" s="73">
        <v>-980.40000000000009</v>
      </c>
    </row>
    <row r="289" spans="11:12" x14ac:dyDescent="0.4">
      <c r="K289" s="5">
        <v>287</v>
      </c>
      <c r="L289" s="73">
        <v>-1030.9000000000001</v>
      </c>
    </row>
    <row r="290" spans="11:12" x14ac:dyDescent="0.4">
      <c r="K290" s="5">
        <v>288</v>
      </c>
      <c r="L290" s="73">
        <v>-1055.3000000000002</v>
      </c>
    </row>
    <row r="291" spans="11:12" x14ac:dyDescent="0.4">
      <c r="K291" s="5">
        <v>289</v>
      </c>
      <c r="L291" s="73">
        <v>-991.10000000000014</v>
      </c>
    </row>
    <row r="292" spans="11:12" x14ac:dyDescent="0.4">
      <c r="K292" s="5">
        <v>290</v>
      </c>
      <c r="L292" s="73">
        <v>-1006.4000000000001</v>
      </c>
    </row>
    <row r="293" spans="11:12" x14ac:dyDescent="0.4">
      <c r="K293" s="5">
        <v>291</v>
      </c>
      <c r="L293" s="73">
        <v>-1041.2</v>
      </c>
    </row>
    <row r="294" spans="11:12" x14ac:dyDescent="0.4">
      <c r="K294" s="5">
        <v>292</v>
      </c>
      <c r="L294" s="73">
        <v>-993.7</v>
      </c>
    </row>
    <row r="295" spans="11:12" x14ac:dyDescent="0.4">
      <c r="K295" s="5">
        <v>293</v>
      </c>
      <c r="L295" s="73">
        <v>-944.2</v>
      </c>
    </row>
    <row r="296" spans="11:12" x14ac:dyDescent="0.4">
      <c r="K296" s="5">
        <v>294</v>
      </c>
      <c r="L296" s="73">
        <v>-909.5</v>
      </c>
    </row>
    <row r="297" spans="11:12" x14ac:dyDescent="0.4">
      <c r="K297" s="5">
        <v>295</v>
      </c>
      <c r="L297" s="73">
        <v>-862.5</v>
      </c>
    </row>
    <row r="298" spans="11:12" x14ac:dyDescent="0.4">
      <c r="K298" s="5">
        <v>296</v>
      </c>
      <c r="L298" s="73">
        <v>-861.40000000000009</v>
      </c>
    </row>
    <row r="299" spans="11:12" x14ac:dyDescent="0.4">
      <c r="K299" s="5">
        <v>297</v>
      </c>
      <c r="L299" s="73">
        <v>-886.7</v>
      </c>
    </row>
    <row r="300" spans="11:12" x14ac:dyDescent="0.4">
      <c r="K300" s="5">
        <v>298</v>
      </c>
      <c r="L300" s="73">
        <v>-942.7</v>
      </c>
    </row>
    <row r="301" spans="11:12" x14ac:dyDescent="0.4">
      <c r="K301" s="5">
        <v>299</v>
      </c>
      <c r="L301" s="73">
        <v>-939.10000000000014</v>
      </c>
    </row>
    <row r="302" spans="11:12" x14ac:dyDescent="0.4">
      <c r="K302" s="5">
        <v>300</v>
      </c>
      <c r="L302" s="73">
        <v>-991.00000000000023</v>
      </c>
    </row>
    <row r="303" spans="11:12" x14ac:dyDescent="0.4">
      <c r="K303" s="5">
        <v>301</v>
      </c>
      <c r="L303" s="73">
        <v>-963.40000000000032</v>
      </c>
    </row>
    <row r="304" spans="11:12" x14ac:dyDescent="0.4">
      <c r="K304" s="5">
        <v>302</v>
      </c>
      <c r="L304" s="73">
        <v>-1002.1000000000004</v>
      </c>
    </row>
    <row r="305" spans="11:12" x14ac:dyDescent="0.4">
      <c r="K305" s="5">
        <v>303</v>
      </c>
      <c r="L305" s="73">
        <v>-1047.7000000000003</v>
      </c>
    </row>
    <row r="306" spans="11:12" x14ac:dyDescent="0.4">
      <c r="K306" s="5">
        <v>304</v>
      </c>
      <c r="L306" s="73">
        <v>-1036.4000000000003</v>
      </c>
    </row>
    <row r="307" spans="11:12" x14ac:dyDescent="0.4">
      <c r="K307" s="5">
        <v>305</v>
      </c>
      <c r="L307" s="73">
        <v>-1060.7000000000003</v>
      </c>
    </row>
    <row r="308" spans="11:12" x14ac:dyDescent="0.4">
      <c r="K308" s="5">
        <v>306</v>
      </c>
      <c r="L308" s="73">
        <v>-1040.2000000000003</v>
      </c>
    </row>
    <row r="309" spans="11:12" x14ac:dyDescent="0.4">
      <c r="K309" s="5">
        <v>307</v>
      </c>
      <c r="L309" s="73">
        <v>-1013.4000000000003</v>
      </c>
    </row>
    <row r="310" spans="11:12" x14ac:dyDescent="0.4">
      <c r="K310" s="5">
        <v>308</v>
      </c>
      <c r="L310" s="73">
        <v>-1014.0000000000003</v>
      </c>
    </row>
    <row r="311" spans="11:12" x14ac:dyDescent="0.4">
      <c r="K311" s="5">
        <v>309</v>
      </c>
      <c r="L311" s="73">
        <v>-1011.6000000000004</v>
      </c>
    </row>
    <row r="312" spans="11:12" x14ac:dyDescent="0.4">
      <c r="K312" s="5">
        <v>310</v>
      </c>
      <c r="L312" s="73">
        <v>-1058.9000000000003</v>
      </c>
    </row>
    <row r="313" spans="11:12" x14ac:dyDescent="0.4">
      <c r="K313" s="5">
        <v>311</v>
      </c>
      <c r="L313" s="73">
        <v>-1085.8000000000004</v>
      </c>
    </row>
    <row r="314" spans="11:12" x14ac:dyDescent="0.4">
      <c r="K314" s="5">
        <v>312</v>
      </c>
      <c r="L314" s="73">
        <v>-1080.5000000000005</v>
      </c>
    </row>
    <row r="315" spans="11:12" x14ac:dyDescent="0.4">
      <c r="K315" s="5">
        <v>313</v>
      </c>
      <c r="L315" s="73">
        <v>-1070.2000000000003</v>
      </c>
    </row>
    <row r="316" spans="11:12" x14ac:dyDescent="0.4">
      <c r="K316" s="5">
        <v>314</v>
      </c>
      <c r="L316" s="73">
        <v>-1091.1000000000004</v>
      </c>
    </row>
    <row r="317" spans="11:12" x14ac:dyDescent="0.4">
      <c r="K317" s="5">
        <v>315</v>
      </c>
      <c r="L317" s="73">
        <v>-1088.9000000000003</v>
      </c>
    </row>
    <row r="318" spans="11:12" x14ac:dyDescent="0.4">
      <c r="K318" s="5">
        <v>316</v>
      </c>
      <c r="L318" s="73">
        <v>-1140.5000000000005</v>
      </c>
    </row>
    <row r="319" spans="11:12" x14ac:dyDescent="0.4">
      <c r="K319" s="5">
        <v>317</v>
      </c>
      <c r="L319" s="73">
        <v>-1146.4000000000003</v>
      </c>
    </row>
    <row r="320" spans="11:12" x14ac:dyDescent="0.4">
      <c r="K320" s="5">
        <v>318</v>
      </c>
      <c r="L320" s="73">
        <v>-1189.4000000000003</v>
      </c>
    </row>
    <row r="321" spans="11:12" x14ac:dyDescent="0.4">
      <c r="K321" s="5">
        <v>319</v>
      </c>
      <c r="L321" s="73">
        <v>-1181.8000000000004</v>
      </c>
    </row>
    <row r="322" spans="11:12" x14ac:dyDescent="0.4">
      <c r="K322" s="5">
        <v>320</v>
      </c>
      <c r="L322" s="73">
        <v>-1115.0000000000005</v>
      </c>
    </row>
    <row r="323" spans="11:12" x14ac:dyDescent="0.4">
      <c r="K323" s="5">
        <v>321</v>
      </c>
      <c r="L323" s="73">
        <v>-1164.5000000000005</v>
      </c>
    </row>
    <row r="324" spans="11:12" x14ac:dyDescent="0.4">
      <c r="K324" s="5">
        <v>322</v>
      </c>
      <c r="L324" s="73">
        <v>-1098.1000000000004</v>
      </c>
    </row>
    <row r="325" spans="11:12" x14ac:dyDescent="0.4">
      <c r="K325" s="5">
        <v>323</v>
      </c>
      <c r="L325" s="73">
        <v>-1069.3000000000004</v>
      </c>
    </row>
    <row r="326" spans="11:12" x14ac:dyDescent="0.4">
      <c r="K326" s="5">
        <v>324</v>
      </c>
      <c r="L326" s="73">
        <v>-1040.5000000000005</v>
      </c>
    </row>
    <row r="327" spans="11:12" x14ac:dyDescent="0.4">
      <c r="K327" s="5">
        <v>325</v>
      </c>
      <c r="L327" s="73">
        <v>-1039.7000000000005</v>
      </c>
    </row>
    <row r="328" spans="11:12" x14ac:dyDescent="0.4">
      <c r="K328" s="5">
        <v>326</v>
      </c>
      <c r="L328" s="73">
        <v>-1039.7000000000005</v>
      </c>
    </row>
    <row r="329" spans="11:12" x14ac:dyDescent="0.4">
      <c r="K329" s="5">
        <v>327</v>
      </c>
      <c r="L329" s="73">
        <v>-1012.8000000000004</v>
      </c>
    </row>
    <row r="330" spans="11:12" x14ac:dyDescent="0.4">
      <c r="K330" s="5">
        <v>328</v>
      </c>
      <c r="L330" s="73">
        <v>-1004.7000000000004</v>
      </c>
    </row>
    <row r="331" spans="11:12" x14ac:dyDescent="0.4">
      <c r="K331" s="5">
        <v>329</v>
      </c>
      <c r="L331" s="73">
        <v>-1036.2000000000005</v>
      </c>
    </row>
    <row r="332" spans="11:12" x14ac:dyDescent="0.4">
      <c r="K332" s="5">
        <v>330</v>
      </c>
      <c r="L332" s="73">
        <v>-1018.2000000000004</v>
      </c>
    </row>
    <row r="333" spans="11:12" x14ac:dyDescent="0.4">
      <c r="K333" s="5">
        <v>331</v>
      </c>
      <c r="L333" s="73">
        <v>-961.30000000000041</v>
      </c>
    </row>
    <row r="334" spans="11:12" x14ac:dyDescent="0.4">
      <c r="K334" s="5">
        <v>332</v>
      </c>
      <c r="L334" s="73">
        <v>-938.60000000000036</v>
      </c>
    </row>
    <row r="335" spans="11:12" x14ac:dyDescent="0.4">
      <c r="K335" s="5">
        <v>333</v>
      </c>
      <c r="L335" s="73">
        <v>-907.80000000000041</v>
      </c>
    </row>
    <row r="336" spans="11:12" x14ac:dyDescent="0.4">
      <c r="K336" s="5">
        <v>334</v>
      </c>
      <c r="L336" s="73">
        <v>-857.30000000000041</v>
      </c>
    </row>
    <row r="337" spans="11:12" x14ac:dyDescent="0.4">
      <c r="K337" s="5">
        <v>335</v>
      </c>
      <c r="L337" s="73">
        <v>-848.70000000000039</v>
      </c>
    </row>
    <row r="338" spans="11:12" x14ac:dyDescent="0.4">
      <c r="K338" s="5">
        <v>336</v>
      </c>
      <c r="L338" s="73">
        <v>-824.00000000000045</v>
      </c>
    </row>
    <row r="339" spans="11:12" x14ac:dyDescent="0.4">
      <c r="K339" s="5">
        <v>337</v>
      </c>
      <c r="L339" s="73">
        <v>-830.20000000000039</v>
      </c>
    </row>
    <row r="340" spans="11:12" x14ac:dyDescent="0.4">
      <c r="K340" s="5">
        <v>338</v>
      </c>
      <c r="L340" s="73">
        <v>-837.50000000000045</v>
      </c>
    </row>
    <row r="341" spans="11:12" x14ac:dyDescent="0.4">
      <c r="K341" s="5">
        <v>339</v>
      </c>
      <c r="L341" s="73">
        <v>-845.50000000000045</v>
      </c>
    </row>
    <row r="342" spans="11:12" x14ac:dyDescent="0.4">
      <c r="K342" s="5">
        <v>340</v>
      </c>
      <c r="L342" s="73">
        <v>-891.20000000000039</v>
      </c>
    </row>
    <row r="343" spans="11:12" x14ac:dyDescent="0.4">
      <c r="K343" s="5">
        <v>341</v>
      </c>
      <c r="L343" s="73">
        <v>-843.30000000000041</v>
      </c>
    </row>
    <row r="344" spans="11:12" x14ac:dyDescent="0.4">
      <c r="K344" s="5">
        <v>342</v>
      </c>
      <c r="L344" s="73">
        <v>-892.50000000000045</v>
      </c>
    </row>
    <row r="345" spans="11:12" x14ac:dyDescent="0.4">
      <c r="K345" s="5">
        <v>343</v>
      </c>
      <c r="L345" s="73">
        <v>-870.50000000000045</v>
      </c>
    </row>
    <row r="346" spans="11:12" x14ac:dyDescent="0.4">
      <c r="K346" s="5">
        <v>344</v>
      </c>
      <c r="L346" s="73">
        <v>-818.40000000000043</v>
      </c>
    </row>
    <row r="347" spans="11:12" x14ac:dyDescent="0.4">
      <c r="K347" s="5">
        <v>345</v>
      </c>
      <c r="L347" s="73">
        <v>-790.2000000000005</v>
      </c>
    </row>
    <row r="348" spans="11:12" x14ac:dyDescent="0.4">
      <c r="K348" s="5">
        <v>346</v>
      </c>
      <c r="L348" s="73">
        <v>-769.30000000000041</v>
      </c>
    </row>
    <row r="349" spans="11:12" x14ac:dyDescent="0.4">
      <c r="K349" s="5">
        <v>347</v>
      </c>
      <c r="L349" s="73">
        <v>-787.7000000000005</v>
      </c>
    </row>
    <row r="350" spans="11:12" x14ac:dyDescent="0.4">
      <c r="K350" s="5">
        <v>348</v>
      </c>
      <c r="L350" s="73">
        <v>-786.7000000000005</v>
      </c>
    </row>
    <row r="351" spans="11:12" x14ac:dyDescent="0.4">
      <c r="K351" s="5">
        <v>349</v>
      </c>
      <c r="L351" s="73">
        <v>-742.90000000000055</v>
      </c>
    </row>
    <row r="352" spans="11:12" x14ac:dyDescent="0.4">
      <c r="K352" s="5">
        <v>350</v>
      </c>
      <c r="L352" s="73">
        <v>-730.00000000000045</v>
      </c>
    </row>
    <row r="353" spans="11:12" x14ac:dyDescent="0.4">
      <c r="K353" s="5">
        <v>351</v>
      </c>
      <c r="L353" s="73">
        <v>-779.30000000000052</v>
      </c>
    </row>
    <row r="354" spans="11:12" x14ac:dyDescent="0.4">
      <c r="K354" s="5">
        <v>352</v>
      </c>
      <c r="L354" s="73">
        <v>-753.2000000000005</v>
      </c>
    </row>
    <row r="355" spans="11:12" x14ac:dyDescent="0.4">
      <c r="K355" s="5">
        <v>353</v>
      </c>
      <c r="L355" s="73">
        <v>-732.10000000000059</v>
      </c>
    </row>
    <row r="356" spans="11:12" x14ac:dyDescent="0.4">
      <c r="K356" s="5">
        <v>354</v>
      </c>
      <c r="L356" s="73">
        <v>-704.00000000000045</v>
      </c>
    </row>
    <row r="357" spans="11:12" x14ac:dyDescent="0.4">
      <c r="K357" s="5">
        <v>355</v>
      </c>
      <c r="L357" s="73">
        <v>-677.80000000000052</v>
      </c>
    </row>
    <row r="358" spans="11:12" x14ac:dyDescent="0.4">
      <c r="K358" s="5">
        <v>356</v>
      </c>
      <c r="L358" s="73">
        <v>-655.50000000000045</v>
      </c>
    </row>
    <row r="359" spans="11:12" x14ac:dyDescent="0.4">
      <c r="K359" s="5">
        <v>357</v>
      </c>
      <c r="L359" s="73">
        <v>-707.00000000000045</v>
      </c>
    </row>
    <row r="360" spans="11:12" x14ac:dyDescent="0.4">
      <c r="K360" s="5">
        <v>358</v>
      </c>
      <c r="L360" s="73">
        <v>-682.2000000000005</v>
      </c>
    </row>
    <row r="361" spans="11:12" x14ac:dyDescent="0.4">
      <c r="K361" s="5">
        <v>359</v>
      </c>
      <c r="L361" s="73">
        <v>-711.00000000000045</v>
      </c>
    </row>
    <row r="362" spans="11:12" x14ac:dyDescent="0.4">
      <c r="K362" s="5">
        <v>360</v>
      </c>
      <c r="L362" s="73">
        <v>-727.7000000000005</v>
      </c>
    </row>
    <row r="363" spans="11:12" x14ac:dyDescent="0.4">
      <c r="K363" s="5">
        <v>361</v>
      </c>
      <c r="L363" s="73">
        <v>-740.7000000000005</v>
      </c>
    </row>
    <row r="364" spans="11:12" x14ac:dyDescent="0.4">
      <c r="K364" s="5">
        <v>362</v>
      </c>
      <c r="L364" s="73">
        <v>-793.40000000000055</v>
      </c>
    </row>
    <row r="365" spans="11:12" x14ac:dyDescent="0.4">
      <c r="K365" s="5">
        <v>363</v>
      </c>
      <c r="L365" s="73">
        <v>-756.2000000000005</v>
      </c>
    </row>
    <row r="366" spans="11:12" x14ac:dyDescent="0.4">
      <c r="K366" s="5">
        <v>364</v>
      </c>
      <c r="L366" s="73">
        <v>-809.00000000000045</v>
      </c>
    </row>
    <row r="367" spans="11:12" x14ac:dyDescent="0.4">
      <c r="K367" s="5">
        <v>365</v>
      </c>
      <c r="L367" s="73">
        <v>-753.90000000000055</v>
      </c>
    </row>
    <row r="368" spans="11:12" x14ac:dyDescent="0.4">
      <c r="K368" s="5">
        <v>366</v>
      </c>
      <c r="L368" s="73">
        <v>-763.10000000000048</v>
      </c>
    </row>
    <row r="369" spans="11:12" x14ac:dyDescent="0.4">
      <c r="K369" s="5">
        <v>367</v>
      </c>
      <c r="L369" s="73">
        <v>-727.60000000000048</v>
      </c>
    </row>
    <row r="370" spans="11:12" x14ac:dyDescent="0.4">
      <c r="K370" s="5">
        <v>368</v>
      </c>
      <c r="L370" s="73">
        <v>-715.00000000000045</v>
      </c>
    </row>
    <row r="371" spans="11:12" x14ac:dyDescent="0.4">
      <c r="K371" s="5">
        <v>369</v>
      </c>
      <c r="L371" s="73">
        <v>-686.30000000000041</v>
      </c>
    </row>
    <row r="372" spans="11:12" x14ac:dyDescent="0.4">
      <c r="K372" s="5">
        <v>370</v>
      </c>
      <c r="L372" s="73">
        <v>-651.80000000000041</v>
      </c>
    </row>
    <row r="373" spans="11:12" x14ac:dyDescent="0.4">
      <c r="K373" s="5">
        <v>371</v>
      </c>
      <c r="L373" s="73">
        <v>-618.00000000000045</v>
      </c>
    </row>
    <row r="374" spans="11:12" x14ac:dyDescent="0.4">
      <c r="K374" s="5">
        <v>372</v>
      </c>
      <c r="L374" s="73">
        <v>-611.50000000000045</v>
      </c>
    </row>
    <row r="375" spans="11:12" x14ac:dyDescent="0.4">
      <c r="K375" s="5">
        <v>373</v>
      </c>
      <c r="L375" s="73">
        <v>-614.60000000000048</v>
      </c>
    </row>
    <row r="376" spans="11:12" x14ac:dyDescent="0.4">
      <c r="K376" s="5">
        <v>374</v>
      </c>
      <c r="L376" s="73">
        <v>-640.7000000000005</v>
      </c>
    </row>
    <row r="377" spans="11:12" x14ac:dyDescent="0.4">
      <c r="K377" s="5">
        <v>375</v>
      </c>
      <c r="L377" s="73">
        <v>-621.30000000000052</v>
      </c>
    </row>
    <row r="378" spans="11:12" x14ac:dyDescent="0.4">
      <c r="K378" s="5">
        <v>376</v>
      </c>
      <c r="L378" s="73">
        <v>-674.7000000000005</v>
      </c>
    </row>
    <row r="379" spans="11:12" x14ac:dyDescent="0.4">
      <c r="K379" s="5">
        <v>377</v>
      </c>
      <c r="L379" s="73">
        <v>-665.30000000000052</v>
      </c>
    </row>
    <row r="380" spans="11:12" x14ac:dyDescent="0.4">
      <c r="K380" s="5">
        <v>378</v>
      </c>
      <c r="L380" s="73">
        <v>-658.00000000000045</v>
      </c>
    </row>
    <row r="381" spans="11:12" x14ac:dyDescent="0.4">
      <c r="K381" s="5">
        <v>379</v>
      </c>
      <c r="L381" s="73">
        <v>-626.50000000000045</v>
      </c>
    </row>
    <row r="382" spans="11:12" x14ac:dyDescent="0.4">
      <c r="K382" s="5">
        <v>380</v>
      </c>
      <c r="L382" s="73">
        <v>-624.90000000000055</v>
      </c>
    </row>
    <row r="383" spans="11:12" x14ac:dyDescent="0.4">
      <c r="K383" s="5">
        <v>381</v>
      </c>
      <c r="L383" s="73">
        <v>-611.60000000000048</v>
      </c>
    </row>
    <row r="384" spans="11:12" x14ac:dyDescent="0.4">
      <c r="K384" s="5">
        <v>382</v>
      </c>
      <c r="L384" s="73">
        <v>-632.90000000000055</v>
      </c>
    </row>
    <row r="385" spans="11:12" x14ac:dyDescent="0.4">
      <c r="K385" s="5">
        <v>383</v>
      </c>
      <c r="L385" s="73">
        <v>-627.80000000000041</v>
      </c>
    </row>
    <row r="386" spans="11:12" x14ac:dyDescent="0.4">
      <c r="K386" s="5">
        <v>384</v>
      </c>
      <c r="L386" s="73">
        <v>-657.40000000000055</v>
      </c>
    </row>
    <row r="387" spans="11:12" x14ac:dyDescent="0.4">
      <c r="K387" s="5">
        <v>385</v>
      </c>
      <c r="L387" s="73">
        <v>-673.30000000000041</v>
      </c>
    </row>
    <row r="388" spans="11:12" x14ac:dyDescent="0.4">
      <c r="K388" s="5">
        <v>386</v>
      </c>
      <c r="L388" s="73">
        <v>-718.50000000000045</v>
      </c>
    </row>
    <row r="389" spans="11:12" x14ac:dyDescent="0.4">
      <c r="K389" s="5">
        <v>387</v>
      </c>
      <c r="L389" s="73">
        <v>-681.10000000000048</v>
      </c>
    </row>
    <row r="390" spans="11:12" x14ac:dyDescent="0.4">
      <c r="K390" s="5">
        <v>388</v>
      </c>
      <c r="L390" s="73">
        <v>-684.60000000000048</v>
      </c>
    </row>
    <row r="391" spans="11:12" x14ac:dyDescent="0.4">
      <c r="K391" s="5">
        <v>389</v>
      </c>
      <c r="L391" s="73">
        <v>-632.7000000000005</v>
      </c>
    </row>
    <row r="392" spans="11:12" x14ac:dyDescent="0.4">
      <c r="K392" s="5">
        <v>390</v>
      </c>
      <c r="L392" s="73">
        <v>-649.80000000000052</v>
      </c>
    </row>
    <row r="393" spans="11:12" x14ac:dyDescent="0.4">
      <c r="K393" s="5">
        <v>391</v>
      </c>
      <c r="L393" s="73">
        <v>-645.60000000000059</v>
      </c>
    </row>
    <row r="394" spans="11:12" x14ac:dyDescent="0.4">
      <c r="K394" s="5">
        <v>392</v>
      </c>
      <c r="L394" s="73">
        <v>-675.90000000000055</v>
      </c>
    </row>
    <row r="395" spans="11:12" x14ac:dyDescent="0.4">
      <c r="K395" s="5">
        <v>393</v>
      </c>
      <c r="L395" s="73">
        <v>-685.50000000000057</v>
      </c>
    </row>
    <row r="396" spans="11:12" x14ac:dyDescent="0.4">
      <c r="K396" s="5">
        <v>394</v>
      </c>
      <c r="L396" s="73">
        <v>-734.30000000000064</v>
      </c>
    </row>
    <row r="397" spans="11:12" x14ac:dyDescent="0.4">
      <c r="K397" s="5">
        <v>395</v>
      </c>
      <c r="L397" s="73">
        <v>-768.00000000000057</v>
      </c>
    </row>
    <row r="398" spans="11:12" x14ac:dyDescent="0.4">
      <c r="K398" s="5">
        <v>396</v>
      </c>
      <c r="L398" s="73">
        <v>-900.90000000000055</v>
      </c>
    </row>
    <row r="399" spans="11:12" x14ac:dyDescent="0.4">
      <c r="K399" s="5">
        <v>397</v>
      </c>
      <c r="L399" s="73">
        <v>-930.30000000000064</v>
      </c>
    </row>
    <row r="400" spans="11:12" x14ac:dyDescent="0.4">
      <c r="K400" s="5">
        <v>398</v>
      </c>
      <c r="L400" s="73">
        <v>-929.80000000000064</v>
      </c>
    </row>
    <row r="401" spans="11:12" x14ac:dyDescent="0.4">
      <c r="K401" s="5">
        <v>399</v>
      </c>
      <c r="L401" s="73">
        <v>-952.20000000000061</v>
      </c>
    </row>
    <row r="402" spans="11:12" x14ac:dyDescent="0.4">
      <c r="K402" s="5">
        <v>400</v>
      </c>
      <c r="L402" s="73">
        <v>-965.70000000000061</v>
      </c>
    </row>
    <row r="403" spans="11:12" x14ac:dyDescent="0.4">
      <c r="K403" s="5">
        <v>401</v>
      </c>
      <c r="L403" s="73">
        <v>-959.10000000000059</v>
      </c>
    </row>
    <row r="404" spans="11:12" x14ac:dyDescent="0.4">
      <c r="K404" s="5">
        <v>402</v>
      </c>
      <c r="L404" s="73">
        <v>-988.70000000000061</v>
      </c>
    </row>
    <row r="405" spans="11:12" x14ac:dyDescent="0.4">
      <c r="K405" s="5">
        <v>403</v>
      </c>
      <c r="L405" s="73">
        <v>-1036.5000000000007</v>
      </c>
    </row>
    <row r="406" spans="11:12" x14ac:dyDescent="0.4">
      <c r="K406" s="5">
        <v>404</v>
      </c>
      <c r="L406" s="73">
        <v>-1058.6000000000006</v>
      </c>
    </row>
    <row r="407" spans="11:12" x14ac:dyDescent="0.4">
      <c r="K407" s="5">
        <v>405</v>
      </c>
      <c r="L407" s="73">
        <v>-1033.6000000000006</v>
      </c>
    </row>
    <row r="408" spans="11:12" x14ac:dyDescent="0.4">
      <c r="K408" s="5">
        <v>406</v>
      </c>
      <c r="L408" s="73">
        <v>-1052.0000000000007</v>
      </c>
    </row>
    <row r="409" spans="11:12" x14ac:dyDescent="0.4">
      <c r="K409" s="5">
        <v>407</v>
      </c>
      <c r="L409" s="73">
        <v>-1050.9000000000005</v>
      </c>
    </row>
    <row r="410" spans="11:12" x14ac:dyDescent="0.4">
      <c r="K410" s="5">
        <v>408</v>
      </c>
      <c r="L410" s="73">
        <v>-1051.0000000000007</v>
      </c>
    </row>
    <row r="411" spans="11:12" x14ac:dyDescent="0.4">
      <c r="K411" s="5">
        <v>409</v>
      </c>
      <c r="L411" s="73">
        <v>-1020.6000000000006</v>
      </c>
    </row>
    <row r="412" spans="11:12" x14ac:dyDescent="0.4">
      <c r="K412" s="5">
        <v>410</v>
      </c>
      <c r="L412" s="73">
        <v>-1030.3000000000006</v>
      </c>
    </row>
    <row r="413" spans="11:12" x14ac:dyDescent="0.4">
      <c r="K413" s="5">
        <v>411</v>
      </c>
      <c r="L413" s="73">
        <v>-970.30000000000052</v>
      </c>
    </row>
    <row r="414" spans="11:12" x14ac:dyDescent="0.4">
      <c r="K414" s="5">
        <v>412</v>
      </c>
      <c r="L414" s="73">
        <v>-915.10000000000059</v>
      </c>
    </row>
    <row r="415" spans="11:12" x14ac:dyDescent="0.4">
      <c r="K415" s="5">
        <v>413</v>
      </c>
      <c r="L415" s="73">
        <v>-916.10000000000059</v>
      </c>
    </row>
    <row r="416" spans="11:12" x14ac:dyDescent="0.4">
      <c r="K416" s="5">
        <v>414</v>
      </c>
      <c r="L416" s="73">
        <v>-916.80000000000064</v>
      </c>
    </row>
    <row r="417" spans="11:12" x14ac:dyDescent="0.4">
      <c r="K417" s="5">
        <v>415</v>
      </c>
      <c r="L417" s="73">
        <v>-897.40000000000055</v>
      </c>
    </row>
    <row r="418" spans="11:12" x14ac:dyDescent="0.4">
      <c r="K418" s="5">
        <v>416</v>
      </c>
      <c r="L418" s="73">
        <v>-892.10000000000059</v>
      </c>
    </row>
    <row r="419" spans="11:12" x14ac:dyDescent="0.4">
      <c r="K419" s="5">
        <v>417</v>
      </c>
      <c r="L419" s="73">
        <v>-863.20000000000061</v>
      </c>
    </row>
    <row r="420" spans="11:12" x14ac:dyDescent="0.4">
      <c r="K420" s="5">
        <v>418</v>
      </c>
      <c r="L420" s="73">
        <v>-860.60000000000059</v>
      </c>
    </row>
    <row r="421" spans="11:12" x14ac:dyDescent="0.4">
      <c r="K421" s="5">
        <v>419</v>
      </c>
      <c r="L421" s="73">
        <v>-907.60000000000059</v>
      </c>
    </row>
    <row r="422" spans="11:12" x14ac:dyDescent="0.4">
      <c r="K422" s="5">
        <v>420</v>
      </c>
      <c r="L422" s="73">
        <v>-908.20000000000061</v>
      </c>
    </row>
    <row r="423" spans="11:12" x14ac:dyDescent="0.4">
      <c r="K423" s="5">
        <v>421</v>
      </c>
      <c r="L423" s="73">
        <v>-860.80000000000064</v>
      </c>
    </row>
    <row r="424" spans="11:12" x14ac:dyDescent="0.4">
      <c r="K424" s="5">
        <v>422</v>
      </c>
      <c r="L424" s="73">
        <v>-871.50000000000057</v>
      </c>
    </row>
    <row r="425" spans="11:12" x14ac:dyDescent="0.4">
      <c r="K425" s="5">
        <v>423</v>
      </c>
      <c r="L425" s="73">
        <v>-877.00000000000057</v>
      </c>
    </row>
    <row r="426" spans="11:12" x14ac:dyDescent="0.4">
      <c r="K426" s="5">
        <v>424</v>
      </c>
      <c r="L426" s="73">
        <v>-874.40000000000055</v>
      </c>
    </row>
    <row r="427" spans="11:12" x14ac:dyDescent="0.4">
      <c r="K427" s="5">
        <v>425</v>
      </c>
      <c r="L427" s="73">
        <v>-847.60000000000059</v>
      </c>
    </row>
    <row r="428" spans="11:12" x14ac:dyDescent="0.4">
      <c r="K428" s="5">
        <v>426</v>
      </c>
      <c r="L428" s="73">
        <v>-829.50000000000057</v>
      </c>
    </row>
    <row r="429" spans="11:12" x14ac:dyDescent="0.4">
      <c r="K429" s="5">
        <v>427</v>
      </c>
      <c r="L429" s="73">
        <v>-882.10000000000059</v>
      </c>
    </row>
    <row r="430" spans="11:12" x14ac:dyDescent="0.4">
      <c r="K430" s="5">
        <v>428</v>
      </c>
      <c r="L430" s="73">
        <v>-924.10000000000059</v>
      </c>
    </row>
    <row r="431" spans="11:12" x14ac:dyDescent="0.4">
      <c r="K431" s="5">
        <v>429</v>
      </c>
      <c r="L431" s="73">
        <v>-918.90000000000055</v>
      </c>
    </row>
    <row r="432" spans="11:12" x14ac:dyDescent="0.4">
      <c r="K432" s="5">
        <v>430</v>
      </c>
      <c r="L432" s="73">
        <v>-970.40000000000055</v>
      </c>
    </row>
    <row r="433" spans="11:12" x14ac:dyDescent="0.4">
      <c r="K433" s="5">
        <v>431</v>
      </c>
      <c r="L433" s="73">
        <v>-977.40000000000055</v>
      </c>
    </row>
    <row r="434" spans="11:12" x14ac:dyDescent="0.4">
      <c r="K434" s="5">
        <v>432</v>
      </c>
      <c r="L434" s="73">
        <v>-990.30000000000052</v>
      </c>
    </row>
    <row r="435" spans="11:12" x14ac:dyDescent="0.4">
      <c r="K435" s="5">
        <v>433</v>
      </c>
      <c r="L435" s="73">
        <v>-968.60000000000059</v>
      </c>
    </row>
    <row r="436" spans="11:12" x14ac:dyDescent="0.4">
      <c r="K436" s="5">
        <v>434</v>
      </c>
      <c r="L436" s="73">
        <v>-911.7000000000005</v>
      </c>
    </row>
    <row r="437" spans="11:12" x14ac:dyDescent="0.4">
      <c r="K437" s="5">
        <v>435</v>
      </c>
      <c r="L437" s="73">
        <v>-910.80000000000052</v>
      </c>
    </row>
    <row r="438" spans="11:12" x14ac:dyDescent="0.4">
      <c r="K438" s="5">
        <v>436</v>
      </c>
      <c r="L438" s="73">
        <v>-946.40000000000055</v>
      </c>
    </row>
    <row r="439" spans="11:12" x14ac:dyDescent="0.4">
      <c r="K439" s="5">
        <v>437</v>
      </c>
      <c r="L439" s="73">
        <v>-954.50000000000057</v>
      </c>
    </row>
    <row r="440" spans="11:12" x14ac:dyDescent="0.4">
      <c r="K440" s="5">
        <v>438</v>
      </c>
      <c r="L440" s="73">
        <v>-979.30000000000052</v>
      </c>
    </row>
    <row r="441" spans="11:12" x14ac:dyDescent="0.4">
      <c r="K441" s="5">
        <v>439</v>
      </c>
      <c r="L441" s="73">
        <v>-943.10000000000059</v>
      </c>
    </row>
    <row r="442" spans="11:12" x14ac:dyDescent="0.4">
      <c r="K442" s="5">
        <v>440</v>
      </c>
      <c r="L442" s="73">
        <v>-941.00000000000057</v>
      </c>
    </row>
    <row r="443" spans="11:12" x14ac:dyDescent="0.4">
      <c r="K443" s="5">
        <v>441</v>
      </c>
      <c r="L443" s="73">
        <v>-970.00000000000057</v>
      </c>
    </row>
    <row r="444" spans="11:12" x14ac:dyDescent="0.4">
      <c r="K444" s="5">
        <v>442</v>
      </c>
      <c r="L444" s="73">
        <v>-990.2000000000005</v>
      </c>
    </row>
    <row r="445" spans="11:12" x14ac:dyDescent="0.4">
      <c r="K445" s="5">
        <v>443</v>
      </c>
      <c r="L445" s="73">
        <v>-1020.2000000000005</v>
      </c>
    </row>
    <row r="446" spans="11:12" x14ac:dyDescent="0.4">
      <c r="K446" s="5">
        <v>444</v>
      </c>
      <c r="L446" s="73">
        <v>-971.40000000000055</v>
      </c>
    </row>
    <row r="447" spans="11:12" x14ac:dyDescent="0.4">
      <c r="K447" s="5">
        <v>445</v>
      </c>
      <c r="L447" s="73">
        <v>-940.7000000000005</v>
      </c>
    </row>
    <row r="448" spans="11:12" x14ac:dyDescent="0.4">
      <c r="K448" s="5">
        <v>446</v>
      </c>
      <c r="L448" s="73">
        <v>-980.30000000000052</v>
      </c>
    </row>
    <row r="449" spans="11:12" x14ac:dyDescent="0.4">
      <c r="K449" s="5">
        <v>447</v>
      </c>
      <c r="L449" s="73">
        <v>-945.90000000000055</v>
      </c>
    </row>
    <row r="450" spans="11:12" x14ac:dyDescent="0.4">
      <c r="K450" s="5">
        <v>448</v>
      </c>
      <c r="L450" s="73">
        <v>-980.30000000000052</v>
      </c>
    </row>
    <row r="451" spans="11:12" x14ac:dyDescent="0.4">
      <c r="K451" s="5">
        <v>449</v>
      </c>
      <c r="L451" s="73">
        <v>-1003.7000000000005</v>
      </c>
    </row>
    <row r="452" spans="11:12" x14ac:dyDescent="0.4">
      <c r="K452" s="5">
        <v>450</v>
      </c>
      <c r="L452" s="73">
        <v>-943.10000000000059</v>
      </c>
    </row>
    <row r="453" spans="11:12" x14ac:dyDescent="0.4">
      <c r="K453" s="5">
        <v>451</v>
      </c>
      <c r="L453" s="73">
        <v>-981.60000000000059</v>
      </c>
    </row>
    <row r="454" spans="11:12" x14ac:dyDescent="0.4">
      <c r="K454" s="5">
        <v>452</v>
      </c>
      <c r="L454" s="73">
        <v>-1016.6000000000006</v>
      </c>
    </row>
    <row r="455" spans="11:12" x14ac:dyDescent="0.4">
      <c r="K455" s="5">
        <v>453</v>
      </c>
      <c r="L455" s="73">
        <v>-1011.2000000000005</v>
      </c>
    </row>
    <row r="456" spans="11:12" x14ac:dyDescent="0.4">
      <c r="K456" s="5">
        <v>454</v>
      </c>
      <c r="L456" s="73">
        <v>-1046.2000000000005</v>
      </c>
    </row>
    <row r="457" spans="11:12" x14ac:dyDescent="0.4">
      <c r="K457" s="5">
        <v>455</v>
      </c>
      <c r="L457" s="73">
        <v>-1045.9000000000005</v>
      </c>
    </row>
    <row r="458" spans="11:12" x14ac:dyDescent="0.4">
      <c r="K458" s="5">
        <v>456</v>
      </c>
      <c r="L458" s="73">
        <v>-1033.9000000000005</v>
      </c>
    </row>
    <row r="459" spans="11:12" x14ac:dyDescent="0.4">
      <c r="K459" s="5">
        <v>457</v>
      </c>
      <c r="L459" s="73">
        <v>-994.2000000000005</v>
      </c>
    </row>
    <row r="460" spans="11:12" x14ac:dyDescent="0.4">
      <c r="K460" s="5">
        <v>458</v>
      </c>
      <c r="L460" s="73">
        <v>-1014.2000000000005</v>
      </c>
    </row>
    <row r="461" spans="11:12" x14ac:dyDescent="0.4">
      <c r="K461" s="5">
        <v>459</v>
      </c>
      <c r="L461" s="73">
        <v>-993.2000000000005</v>
      </c>
    </row>
    <row r="462" spans="11:12" x14ac:dyDescent="0.4">
      <c r="K462" s="5">
        <v>460</v>
      </c>
      <c r="L462" s="73">
        <v>-955.00000000000057</v>
      </c>
    </row>
    <row r="463" spans="11:12" x14ac:dyDescent="0.4">
      <c r="K463" s="5">
        <v>461</v>
      </c>
      <c r="L463" s="73">
        <v>-983.7000000000005</v>
      </c>
    </row>
    <row r="464" spans="11:12" x14ac:dyDescent="0.4">
      <c r="K464" s="5">
        <v>462</v>
      </c>
      <c r="L464" s="73">
        <v>-1027.7000000000005</v>
      </c>
    </row>
    <row r="465" spans="11:12" x14ac:dyDescent="0.4">
      <c r="K465" s="5">
        <v>463</v>
      </c>
      <c r="L465" s="73">
        <v>-1046.6000000000006</v>
      </c>
    </row>
    <row r="466" spans="11:12" x14ac:dyDescent="0.4">
      <c r="K466" s="5">
        <v>464</v>
      </c>
      <c r="L466" s="73">
        <v>-1024.3000000000006</v>
      </c>
    </row>
    <row r="467" spans="11:12" x14ac:dyDescent="0.4">
      <c r="K467" s="5">
        <v>465</v>
      </c>
      <c r="L467" s="73">
        <v>-977.00000000000057</v>
      </c>
    </row>
    <row r="468" spans="11:12" x14ac:dyDescent="0.4">
      <c r="K468" s="5">
        <v>466</v>
      </c>
      <c r="L468" s="73">
        <v>-1011.5000000000006</v>
      </c>
    </row>
    <row r="469" spans="11:12" x14ac:dyDescent="0.4">
      <c r="K469" s="5">
        <v>467</v>
      </c>
      <c r="L469" s="73">
        <v>-1050.2000000000005</v>
      </c>
    </row>
    <row r="470" spans="11:12" x14ac:dyDescent="0.4">
      <c r="K470" s="5">
        <v>468</v>
      </c>
      <c r="L470" s="73">
        <v>-1025.0000000000005</v>
      </c>
    </row>
    <row r="471" spans="11:12" x14ac:dyDescent="0.4">
      <c r="K471" s="5">
        <v>469</v>
      </c>
      <c r="L471" s="73">
        <v>-1004.9000000000005</v>
      </c>
    </row>
    <row r="472" spans="11:12" x14ac:dyDescent="0.4">
      <c r="K472" s="5">
        <v>470</v>
      </c>
      <c r="L472" s="73">
        <v>-980.7000000000005</v>
      </c>
    </row>
    <row r="473" spans="11:12" x14ac:dyDescent="0.4">
      <c r="K473" s="5">
        <v>471</v>
      </c>
      <c r="L473" s="73">
        <v>-981.30000000000052</v>
      </c>
    </row>
    <row r="474" spans="11:12" x14ac:dyDescent="0.4">
      <c r="K474" s="5">
        <v>472</v>
      </c>
      <c r="L474" s="73">
        <v>-1005.1000000000006</v>
      </c>
    </row>
    <row r="475" spans="11:12" x14ac:dyDescent="0.4">
      <c r="K475" s="5">
        <v>473</v>
      </c>
      <c r="L475" s="73">
        <v>-1029.5000000000005</v>
      </c>
    </row>
    <row r="476" spans="11:12" x14ac:dyDescent="0.4">
      <c r="K476" s="5">
        <v>474</v>
      </c>
      <c r="L476" s="73">
        <v>-1062.6000000000006</v>
      </c>
    </row>
    <row r="477" spans="11:12" x14ac:dyDescent="0.4">
      <c r="K477" s="5">
        <v>475</v>
      </c>
      <c r="L477" s="73">
        <v>-1073.5000000000005</v>
      </c>
    </row>
    <row r="478" spans="11:12" x14ac:dyDescent="0.4">
      <c r="K478" s="5">
        <v>476</v>
      </c>
      <c r="L478" s="73">
        <v>-1043.2000000000005</v>
      </c>
    </row>
    <row r="479" spans="11:12" x14ac:dyDescent="0.4">
      <c r="K479" s="5">
        <v>477</v>
      </c>
      <c r="L479" s="73">
        <v>-1070.7000000000005</v>
      </c>
    </row>
    <row r="480" spans="11:12" x14ac:dyDescent="0.4">
      <c r="K480" s="5">
        <v>478</v>
      </c>
      <c r="L480" s="73">
        <v>-1008.1000000000006</v>
      </c>
    </row>
    <row r="481" spans="11:12" x14ac:dyDescent="0.4">
      <c r="K481" s="5">
        <v>479</v>
      </c>
      <c r="L481" s="73">
        <v>-1013.1000000000006</v>
      </c>
    </row>
    <row r="482" spans="11:12" x14ac:dyDescent="0.4">
      <c r="K482" s="5">
        <v>480</v>
      </c>
      <c r="L482" s="73">
        <v>-1049.1000000000006</v>
      </c>
    </row>
    <row r="483" spans="11:12" x14ac:dyDescent="0.4">
      <c r="K483" s="5">
        <v>481</v>
      </c>
      <c r="L483" s="73">
        <v>-1103.8000000000006</v>
      </c>
    </row>
  </sheetData>
  <sortState xmlns:xlrd2="http://schemas.microsoft.com/office/spreadsheetml/2017/richdata2" ref="N15:Q2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93C82-0518-436F-8C59-2F62E665C7B5}">
  <sheetPr codeName="Sheet12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192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39</v>
      </c>
      <c r="C2" s="128"/>
      <c r="E2" s="43" t="s">
        <v>66</v>
      </c>
      <c r="F2" s="25" t="s">
        <v>22</v>
      </c>
      <c r="G2" s="13">
        <v>38</v>
      </c>
      <c r="H2" s="106">
        <f>IF(B$51=0,0,G2/B$51)</f>
        <v>0.62295081967213117</v>
      </c>
      <c r="I2" s="67">
        <v>16</v>
      </c>
      <c r="K2" s="3">
        <v>0</v>
      </c>
      <c r="L2" s="72">
        <v>0</v>
      </c>
      <c r="N2" s="88" t="s">
        <v>126</v>
      </c>
      <c r="O2" s="95">
        <f t="shared" ref="O2:O7" si="0">IF(P2=0,0,Q2/P2)</f>
        <v>110.25641025641026</v>
      </c>
      <c r="P2" s="92">
        <v>39</v>
      </c>
      <c r="Q2" s="76">
        <v>4300</v>
      </c>
    </row>
    <row r="3" spans="1:17" x14ac:dyDescent="0.4">
      <c r="A3" s="37" t="s">
        <v>8</v>
      </c>
      <c r="B3" s="129">
        <v>316</v>
      </c>
      <c r="C3" s="130"/>
      <c r="E3" s="44" t="s">
        <v>72</v>
      </c>
      <c r="F3" s="41" t="s">
        <v>27</v>
      </c>
      <c r="G3" s="34">
        <v>35</v>
      </c>
      <c r="H3" s="107">
        <f>IF(B$51=0,0,G3/B$51)</f>
        <v>0.57377049180327866</v>
      </c>
      <c r="I3" s="68">
        <v>5</v>
      </c>
      <c r="K3" s="5">
        <v>1</v>
      </c>
      <c r="L3" s="73">
        <v>-14.4</v>
      </c>
      <c r="N3" s="89" t="s">
        <v>127</v>
      </c>
      <c r="O3" s="96">
        <f t="shared" si="0"/>
        <v>3548.6486486486488</v>
      </c>
      <c r="P3" s="93">
        <v>37</v>
      </c>
      <c r="Q3" s="77">
        <v>131300</v>
      </c>
    </row>
    <row r="4" spans="1:17" x14ac:dyDescent="0.4">
      <c r="A4" s="37" t="s">
        <v>6</v>
      </c>
      <c r="B4" s="131">
        <v>91.000000000000014</v>
      </c>
      <c r="C4" s="132"/>
      <c r="E4" s="44" t="s">
        <v>64</v>
      </c>
      <c r="F4" s="41" t="s">
        <v>20</v>
      </c>
      <c r="G4" s="34">
        <v>34</v>
      </c>
      <c r="H4" s="107">
        <f>IF(B$51=0,0,G4/B$51)</f>
        <v>0.55737704918032782</v>
      </c>
      <c r="I4" s="68">
        <v>7</v>
      </c>
      <c r="K4" s="5">
        <v>2</v>
      </c>
      <c r="L4" s="73">
        <v>37.6</v>
      </c>
      <c r="N4" s="89" t="s">
        <v>128</v>
      </c>
      <c r="O4" s="96">
        <f t="shared" si="0"/>
        <v>-1190.909090909091</v>
      </c>
      <c r="P4" s="93">
        <v>33</v>
      </c>
      <c r="Q4" s="77">
        <v>-39300</v>
      </c>
    </row>
    <row r="5" spans="1:17" x14ac:dyDescent="0.4">
      <c r="A5" s="37" t="s">
        <v>7</v>
      </c>
      <c r="B5" s="133">
        <f>IF(B$2=0,0,B$4/B$2)</f>
        <v>2.3333333333333335</v>
      </c>
      <c r="C5" s="134"/>
      <c r="E5" s="44" t="s">
        <v>67</v>
      </c>
      <c r="F5" s="41" t="s">
        <v>23</v>
      </c>
      <c r="G5" s="34">
        <v>28</v>
      </c>
      <c r="H5" s="107">
        <f>IF(B$51=0,0,G5/B$51)</f>
        <v>0.45901639344262296</v>
      </c>
      <c r="I5" s="68">
        <v>4</v>
      </c>
      <c r="K5" s="5">
        <v>3</v>
      </c>
      <c r="L5" s="73">
        <v>-2.7999999999999972</v>
      </c>
      <c r="N5" s="89" t="s">
        <v>129</v>
      </c>
      <c r="O5" s="96">
        <f t="shared" si="0"/>
        <v>1419.3548387096773</v>
      </c>
      <c r="P5" s="93">
        <v>31</v>
      </c>
      <c r="Q5" s="77">
        <v>44000</v>
      </c>
    </row>
    <row r="6" spans="1:17" x14ac:dyDescent="0.4">
      <c r="A6" s="37" t="s">
        <v>1</v>
      </c>
      <c r="B6" s="141">
        <f>IF(B$2=0,0,(B$7*1+B$8*2+B$9*3)/B$2)</f>
        <v>2.0256410256410255</v>
      </c>
      <c r="C6" s="142"/>
      <c r="E6" s="44" t="s">
        <v>68</v>
      </c>
      <c r="F6" s="41" t="s">
        <v>12</v>
      </c>
      <c r="G6" s="34">
        <v>22</v>
      </c>
      <c r="H6" s="107">
        <f>IF(B$51=0,0,G6/B$51)</f>
        <v>0.36065573770491804</v>
      </c>
      <c r="I6" s="68">
        <v>5</v>
      </c>
      <c r="K6" s="5">
        <v>4</v>
      </c>
      <c r="L6" s="73">
        <v>-44.3</v>
      </c>
      <c r="N6" s="89" t="s">
        <v>130</v>
      </c>
      <c r="O6" s="96">
        <f t="shared" si="0"/>
        <v>-1657.6923076923076</v>
      </c>
      <c r="P6" s="93">
        <v>26</v>
      </c>
      <c r="Q6" s="77">
        <v>-43100</v>
      </c>
    </row>
    <row r="7" spans="1:17" x14ac:dyDescent="0.4">
      <c r="A7" s="37" t="s">
        <v>2</v>
      </c>
      <c r="B7" s="34">
        <v>14</v>
      </c>
      <c r="C7" s="31">
        <f t="shared" ref="C7:C14" si="1">IF(B$2=0,0,B7/B$2)</f>
        <v>0.35897435897435898</v>
      </c>
      <c r="E7" s="44" t="s">
        <v>89</v>
      </c>
      <c r="F7" s="41" t="s">
        <v>44</v>
      </c>
      <c r="G7" s="34">
        <v>10</v>
      </c>
      <c r="H7" s="107">
        <f>IF(B$51=0,0,G7/B$51)</f>
        <v>0.16393442622950818</v>
      </c>
      <c r="I7" s="68">
        <v>5</v>
      </c>
      <c r="K7" s="5">
        <v>5</v>
      </c>
      <c r="L7" s="73">
        <v>8.2000000000000028</v>
      </c>
      <c r="N7" s="90" t="s">
        <v>131</v>
      </c>
      <c r="O7" s="97">
        <f t="shared" si="0"/>
        <v>-1190.909090909091</v>
      </c>
      <c r="P7" s="94">
        <v>22</v>
      </c>
      <c r="Q7" s="78">
        <v>-26200</v>
      </c>
    </row>
    <row r="8" spans="1:17" x14ac:dyDescent="0.4">
      <c r="A8" s="37" t="s">
        <v>3</v>
      </c>
      <c r="B8" s="34">
        <v>10</v>
      </c>
      <c r="C8" s="31">
        <f t="shared" si="1"/>
        <v>0.25641025641025639</v>
      </c>
      <c r="E8" s="44" t="s">
        <v>65</v>
      </c>
      <c r="F8" s="41" t="s">
        <v>21</v>
      </c>
      <c r="G8" s="34">
        <v>8</v>
      </c>
      <c r="H8" s="107">
        <f>IF(B$51=0,0,G8/B$51)</f>
        <v>0.13114754098360656</v>
      </c>
      <c r="I8" s="68">
        <v>5</v>
      </c>
      <c r="K8" s="5">
        <v>6</v>
      </c>
      <c r="L8" s="73">
        <v>23.200000000000003</v>
      </c>
      <c r="N8" s="33"/>
      <c r="O8" s="101"/>
      <c r="P8" s="85"/>
      <c r="Q8" s="83"/>
    </row>
    <row r="9" spans="1:17" x14ac:dyDescent="0.4">
      <c r="A9" s="38" t="s">
        <v>4</v>
      </c>
      <c r="B9" s="35">
        <v>15</v>
      </c>
      <c r="C9" s="7">
        <f t="shared" si="1"/>
        <v>0.38461538461538464</v>
      </c>
      <c r="E9" s="44" t="s">
        <v>69</v>
      </c>
      <c r="F9" s="41" t="s">
        <v>24</v>
      </c>
      <c r="G9" s="34">
        <v>7</v>
      </c>
      <c r="H9" s="107">
        <f>IF(B$51=0,0,G9/B$51)</f>
        <v>0.11475409836065574</v>
      </c>
      <c r="I9" s="68">
        <v>14</v>
      </c>
      <c r="K9" s="5">
        <v>7</v>
      </c>
      <c r="L9" s="73">
        <v>40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49">
        <f>IF(B7=0,0,C10/B7)</f>
        <v>39.428571428571431</v>
      </c>
      <c r="C10" s="150">
        <v>552</v>
      </c>
      <c r="E10" s="44" t="s">
        <v>157</v>
      </c>
      <c r="F10" s="41" t="s">
        <v>158</v>
      </c>
      <c r="G10" s="34">
        <v>6</v>
      </c>
      <c r="H10" s="107">
        <f>IF(B$51=0,0,G10/B$51)</f>
        <v>9.8360655737704916E-2</v>
      </c>
      <c r="I10" s="68">
        <v>17</v>
      </c>
      <c r="K10" s="5">
        <v>8</v>
      </c>
      <c r="L10" s="73">
        <v>4.2000000000000028</v>
      </c>
      <c r="N10" s="88" t="s">
        <v>149</v>
      </c>
      <c r="O10" s="98">
        <f>IF(P10=0,0,Q10/P10)</f>
        <v>2.7571428571428576</v>
      </c>
      <c r="P10" s="92">
        <v>14</v>
      </c>
      <c r="Q10" s="80">
        <v>38.600000000000009</v>
      </c>
    </row>
    <row r="11" spans="1:17" x14ac:dyDescent="0.4">
      <c r="A11" s="38" t="s">
        <v>204</v>
      </c>
      <c r="B11" s="149">
        <f>IF(B8=0,0,C11/B8)</f>
        <v>1.67</v>
      </c>
      <c r="C11" s="150">
        <v>16.7</v>
      </c>
      <c r="E11" s="44" t="s">
        <v>70</v>
      </c>
      <c r="F11" s="41" t="s">
        <v>25</v>
      </c>
      <c r="G11" s="34">
        <v>5</v>
      </c>
      <c r="H11" s="107">
        <f>IF(B$51=0,0,G11/B$51)</f>
        <v>8.1967213114754092E-2</v>
      </c>
      <c r="I11" s="68">
        <v>11</v>
      </c>
      <c r="K11" s="5">
        <v>9</v>
      </c>
      <c r="L11" s="73">
        <v>6.8000000000000025</v>
      </c>
      <c r="N11" s="89" t="s">
        <v>150</v>
      </c>
      <c r="O11" s="99">
        <f>IF(P11=0,0,Q11/P11)</f>
        <v>17.985714285714284</v>
      </c>
      <c r="P11" s="93">
        <v>14</v>
      </c>
      <c r="Q11" s="81">
        <v>251.79999999999998</v>
      </c>
    </row>
    <row r="12" spans="1:17" x14ac:dyDescent="0.4">
      <c r="A12" s="38" t="s">
        <v>205</v>
      </c>
      <c r="B12" s="149">
        <f>IF(B9=0,0,C12/B9)</f>
        <v>-31.846666666666668</v>
      </c>
      <c r="C12" s="150">
        <v>-477.7</v>
      </c>
      <c r="E12" s="44" t="s">
        <v>71</v>
      </c>
      <c r="F12" s="41" t="s">
        <v>26</v>
      </c>
      <c r="G12" s="34">
        <v>4</v>
      </c>
      <c r="H12" s="107">
        <f>IF(B$51=0,0,G12/B$51)</f>
        <v>6.5573770491803282E-2</v>
      </c>
      <c r="I12" s="68">
        <v>8</v>
      </c>
      <c r="K12" s="5">
        <v>10</v>
      </c>
      <c r="L12" s="73">
        <v>56.800000000000004</v>
      </c>
      <c r="N12" s="90" t="s">
        <v>151</v>
      </c>
      <c r="O12" s="100">
        <f>IF(P12=0,0,Q12/P12)</f>
        <v>-18.127272727272729</v>
      </c>
      <c r="P12" s="94">
        <v>11</v>
      </c>
      <c r="Q12" s="82">
        <v>-199.4</v>
      </c>
    </row>
    <row r="13" spans="1:17" x14ac:dyDescent="0.4">
      <c r="A13" s="38" t="s">
        <v>206</v>
      </c>
      <c r="B13" s="133">
        <f>AVERAGE(B10:B12)</f>
        <v>3.0839682539682549</v>
      </c>
      <c r="C13" s="134"/>
      <c r="E13" s="44" t="s">
        <v>78</v>
      </c>
      <c r="F13" s="41" t="s">
        <v>33</v>
      </c>
      <c r="G13" s="34">
        <v>3</v>
      </c>
      <c r="H13" s="107">
        <f>IF(B$51=0,0,G13/B$51)</f>
        <v>4.9180327868852458E-2</v>
      </c>
      <c r="I13" s="68">
        <v>3</v>
      </c>
      <c r="K13" s="5">
        <v>11</v>
      </c>
      <c r="L13" s="73">
        <v>69.300000000000011</v>
      </c>
      <c r="N13" s="28"/>
      <c r="O13" s="84"/>
      <c r="P13" s="86"/>
      <c r="Q13" s="84"/>
    </row>
    <row r="14" spans="1:17" x14ac:dyDescent="0.4">
      <c r="A14" s="39" t="s">
        <v>18</v>
      </c>
      <c r="B14" s="36">
        <v>6</v>
      </c>
      <c r="C14" s="32">
        <f t="shared" si="1"/>
        <v>0.15384615384615385</v>
      </c>
      <c r="E14" s="44" t="s">
        <v>79</v>
      </c>
      <c r="F14" s="41" t="s">
        <v>34</v>
      </c>
      <c r="G14" s="34">
        <v>2</v>
      </c>
      <c r="H14" s="107">
        <f>IF(B$51=0,0,G14/B$51)</f>
        <v>3.2786885245901641E-2</v>
      </c>
      <c r="I14" s="68">
        <v>3</v>
      </c>
      <c r="K14" s="5">
        <v>12</v>
      </c>
      <c r="L14" s="73">
        <v>80.800000000000011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65</v>
      </c>
      <c r="C15" s="11">
        <f>IF(B$50=0,0,B15/B$50)</f>
        <v>0.27777777777777779</v>
      </c>
      <c r="E15" s="44" t="s">
        <v>83</v>
      </c>
      <c r="F15" s="41" t="s">
        <v>38</v>
      </c>
      <c r="G15" s="34">
        <v>2</v>
      </c>
      <c r="H15" s="107">
        <f>IF(B$51=0,0,G15/B$51)</f>
        <v>3.2786885245901641E-2</v>
      </c>
      <c r="I15" s="68">
        <v>13</v>
      </c>
      <c r="K15" s="5">
        <v>13</v>
      </c>
      <c r="L15" s="73">
        <v>155.10000000000002</v>
      </c>
      <c r="N15" s="88" t="s">
        <v>194</v>
      </c>
      <c r="O15" s="98">
        <f>IF(P15=0,0,Q15/P15)</f>
        <v>81.3</v>
      </c>
      <c r="P15" s="92">
        <v>3</v>
      </c>
      <c r="Q15" s="80">
        <v>243.89999999999998</v>
      </c>
    </row>
    <row r="16" spans="1:17" x14ac:dyDescent="0.4">
      <c r="A16" s="37" t="s">
        <v>118</v>
      </c>
      <c r="B16" s="34">
        <v>56</v>
      </c>
      <c r="C16" s="31">
        <f>IF(B$50=0,0,B16/B$50)</f>
        <v>0.23931623931623933</v>
      </c>
      <c r="E16" s="44" t="s">
        <v>153</v>
      </c>
      <c r="F16" s="41" t="s">
        <v>154</v>
      </c>
      <c r="G16" s="34">
        <v>2</v>
      </c>
      <c r="H16" s="107">
        <f>IF(B$51=0,0,G16/B$51)</f>
        <v>3.2786885245901641E-2</v>
      </c>
      <c r="I16" s="68">
        <v>1</v>
      </c>
      <c r="K16" s="5">
        <v>14</v>
      </c>
      <c r="L16" s="73">
        <v>147.10000000000002</v>
      </c>
      <c r="N16" s="89" t="s">
        <v>188</v>
      </c>
      <c r="O16" s="99">
        <f>IF(P16=0,0,Q16/P16)</f>
        <v>26.638888888888889</v>
      </c>
      <c r="P16" s="93">
        <v>18</v>
      </c>
      <c r="Q16" s="81">
        <v>479.5</v>
      </c>
    </row>
    <row r="17" spans="1:17" x14ac:dyDescent="0.4">
      <c r="A17" s="19" t="s">
        <v>123</v>
      </c>
      <c r="B17" s="13">
        <v>35</v>
      </c>
      <c r="C17" s="4">
        <f>IF(B$15=0,0,B17/B$15)</f>
        <v>0.53846153846153844</v>
      </c>
      <c r="E17" s="44" t="s">
        <v>73</v>
      </c>
      <c r="F17" s="41" t="s">
        <v>28</v>
      </c>
      <c r="G17" s="34">
        <v>1</v>
      </c>
      <c r="H17" s="107">
        <f>IF(B$51=0,0,G17/B$51)</f>
        <v>1.6393442622950821E-2</v>
      </c>
      <c r="I17" s="68">
        <v>1</v>
      </c>
      <c r="K17" s="5">
        <v>15</v>
      </c>
      <c r="L17" s="73">
        <v>148.80000000000001</v>
      </c>
      <c r="N17" s="89" t="s">
        <v>190</v>
      </c>
      <c r="O17" s="99">
        <f>IF(P17=0,0,Q17/P17)</f>
        <v>0.14444444444444493</v>
      </c>
      <c r="P17" s="93">
        <v>9</v>
      </c>
      <c r="Q17" s="81">
        <v>1.3000000000000043</v>
      </c>
    </row>
    <row r="18" spans="1:17" x14ac:dyDescent="0.4">
      <c r="A18" s="19" t="s">
        <v>124</v>
      </c>
      <c r="B18" s="13">
        <v>18</v>
      </c>
      <c r="C18" s="4">
        <f>IF(B$16=0,0,B18/B$16)</f>
        <v>0.32142857142857145</v>
      </c>
      <c r="E18" s="44" t="s">
        <v>86</v>
      </c>
      <c r="F18" s="41" t="s">
        <v>41</v>
      </c>
      <c r="G18" s="34">
        <v>1</v>
      </c>
      <c r="H18" s="107">
        <f>IF(B$51=0,0,G18/B$51)</f>
        <v>1.6393442622950821E-2</v>
      </c>
      <c r="I18" s="68">
        <v>16</v>
      </c>
      <c r="K18" s="5">
        <v>16</v>
      </c>
      <c r="L18" s="73">
        <v>152.30000000000001</v>
      </c>
      <c r="N18" s="89" t="s">
        <v>186</v>
      </c>
      <c r="O18" s="99">
        <f>IF(P18=0,0,Q18/P18)</f>
        <v>-4.3000000000000007</v>
      </c>
      <c r="P18" s="93">
        <v>4</v>
      </c>
      <c r="Q18" s="81">
        <v>-17.200000000000003</v>
      </c>
    </row>
    <row r="19" spans="1:17" x14ac:dyDescent="0.4">
      <c r="A19" s="19" t="s">
        <v>10</v>
      </c>
      <c r="B19" s="13">
        <v>89</v>
      </c>
      <c r="C19" s="4">
        <f>IF(B$3=0,0,B19/B$3)</f>
        <v>0.28164556962025317</v>
      </c>
      <c r="E19" s="44" t="s">
        <v>91</v>
      </c>
      <c r="F19" s="41" t="s">
        <v>46</v>
      </c>
      <c r="G19" s="34">
        <v>1</v>
      </c>
      <c r="H19" s="107">
        <f>IF(B$51=0,0,G19/B$51)</f>
        <v>1.6393442622950821E-2</v>
      </c>
      <c r="I19" s="68">
        <v>9</v>
      </c>
      <c r="K19" s="5">
        <v>17</v>
      </c>
      <c r="L19" s="73">
        <v>178.10000000000002</v>
      </c>
      <c r="N19" s="89" t="s">
        <v>195</v>
      </c>
      <c r="O19" s="99">
        <f>IF(P19=0,0,Q19/P19)</f>
        <v>-5.2833333333333332</v>
      </c>
      <c r="P19" s="93">
        <v>30</v>
      </c>
      <c r="Q19" s="81">
        <v>-158.5</v>
      </c>
    </row>
    <row r="20" spans="1:17" x14ac:dyDescent="0.4">
      <c r="A20" s="37" t="s">
        <v>13</v>
      </c>
      <c r="B20" s="34">
        <v>53</v>
      </c>
      <c r="C20" s="31">
        <f>IF(B$3=0,0,B20/B$3)</f>
        <v>0.16772151898734178</v>
      </c>
      <c r="E20" s="44" t="s">
        <v>92</v>
      </c>
      <c r="F20" s="41" t="s">
        <v>47</v>
      </c>
      <c r="G20" s="34">
        <v>1</v>
      </c>
      <c r="H20" s="107">
        <f>IF(B$51=0,0,G20/B$51)</f>
        <v>1.6393442622950821E-2</v>
      </c>
      <c r="I20" s="68">
        <v>1</v>
      </c>
      <c r="K20" s="5">
        <v>18</v>
      </c>
      <c r="L20" s="73">
        <v>155.00000000000003</v>
      </c>
      <c r="N20" s="89" t="s">
        <v>193</v>
      </c>
      <c r="O20" s="99">
        <f>IF(P20=0,0,Q20/P20)</f>
        <v>-19.630000000000003</v>
      </c>
      <c r="P20" s="93">
        <v>10</v>
      </c>
      <c r="Q20" s="81">
        <v>-196.3</v>
      </c>
    </row>
    <row r="21" spans="1:17" x14ac:dyDescent="0.4">
      <c r="A21" s="37" t="s">
        <v>12</v>
      </c>
      <c r="B21" s="34">
        <v>43</v>
      </c>
      <c r="C21" s="31">
        <f>IF(B$19=0,0,B21/B$19)</f>
        <v>0.48314606741573035</v>
      </c>
      <c r="E21" s="44" t="s">
        <v>74</v>
      </c>
      <c r="F21" s="41" t="s">
        <v>29</v>
      </c>
      <c r="G21" s="34">
        <v>0</v>
      </c>
      <c r="H21" s="107">
        <f>IF(B$51=0,0,G21/B$51)</f>
        <v>0</v>
      </c>
      <c r="I21" s="68">
        <v>10</v>
      </c>
      <c r="K21" s="5">
        <v>19</v>
      </c>
      <c r="L21" s="73">
        <v>143.60000000000002</v>
      </c>
      <c r="N21" s="89" t="s">
        <v>191</v>
      </c>
      <c r="O21" s="99">
        <f>IF(P21=0,0,Q21/P21)</f>
        <v>-19.925000000000004</v>
      </c>
      <c r="P21" s="93">
        <v>4</v>
      </c>
      <c r="Q21" s="81">
        <v>-79.700000000000017</v>
      </c>
    </row>
    <row r="22" spans="1:17" x14ac:dyDescent="0.4">
      <c r="A22" s="37" t="s">
        <v>11</v>
      </c>
      <c r="B22" s="34">
        <v>46</v>
      </c>
      <c r="C22" s="31">
        <f>IF(B$19=0,0,B22/B$19)</f>
        <v>0.5168539325842697</v>
      </c>
      <c r="E22" s="44" t="s">
        <v>75</v>
      </c>
      <c r="F22" s="41" t="s">
        <v>30</v>
      </c>
      <c r="G22" s="34">
        <v>0</v>
      </c>
      <c r="H22" s="107">
        <f>IF(B$51=0,0,G22/B$51)</f>
        <v>0</v>
      </c>
      <c r="I22" s="68">
        <v>11</v>
      </c>
      <c r="K22" s="5">
        <v>20</v>
      </c>
      <c r="L22" s="73">
        <v>152.50000000000003</v>
      </c>
    </row>
    <row r="23" spans="1:17" x14ac:dyDescent="0.4">
      <c r="A23" s="37" t="s">
        <v>180</v>
      </c>
      <c r="B23" s="34">
        <v>35</v>
      </c>
      <c r="C23" s="31">
        <f>IF(B$19=0,0,B23/B$19)</f>
        <v>0.39325842696629215</v>
      </c>
      <c r="E23" s="44" t="s">
        <v>76</v>
      </c>
      <c r="F23" s="41" t="s">
        <v>31</v>
      </c>
      <c r="G23" s="34">
        <v>0</v>
      </c>
      <c r="H23" s="107">
        <f>IF(B$51=0,0,G23/B$51)</f>
        <v>0</v>
      </c>
      <c r="I23" s="68">
        <v>1</v>
      </c>
      <c r="K23" s="5">
        <v>21</v>
      </c>
      <c r="L23" s="73">
        <v>138.00000000000003</v>
      </c>
    </row>
    <row r="24" spans="1:17" x14ac:dyDescent="0.4">
      <c r="A24" s="37" t="s">
        <v>178</v>
      </c>
      <c r="B24" s="34">
        <v>18</v>
      </c>
      <c r="C24" s="31">
        <f>IF(B$19=0,0,B24/B$19)</f>
        <v>0.20224719101123595</v>
      </c>
      <c r="E24" s="44" t="s">
        <v>77</v>
      </c>
      <c r="F24" s="41" t="s">
        <v>32</v>
      </c>
      <c r="G24" s="34">
        <v>0</v>
      </c>
      <c r="H24" s="107">
        <f>IF(B$51=0,0,G24/B$51)</f>
        <v>0</v>
      </c>
      <c r="I24" s="68">
        <v>9</v>
      </c>
      <c r="K24" s="5">
        <v>22</v>
      </c>
      <c r="L24" s="73">
        <v>101.30000000000003</v>
      </c>
    </row>
    <row r="25" spans="1:17" x14ac:dyDescent="0.4">
      <c r="A25" s="37" t="s">
        <v>179</v>
      </c>
      <c r="B25" s="34">
        <v>36</v>
      </c>
      <c r="C25" s="31">
        <f>IF(B$19=0,0,B25/B$19)</f>
        <v>0.4044943820224719</v>
      </c>
      <c r="E25" s="44" t="s">
        <v>80</v>
      </c>
      <c r="F25" s="41" t="s">
        <v>35</v>
      </c>
      <c r="G25" s="34">
        <v>0</v>
      </c>
      <c r="H25" s="107">
        <f>IF(B$51=0,0,G25/B$51)</f>
        <v>0</v>
      </c>
      <c r="I25" s="68">
        <v>3</v>
      </c>
      <c r="K25" s="5">
        <v>23</v>
      </c>
      <c r="L25" s="73">
        <v>53.800000000000026</v>
      </c>
    </row>
    <row r="26" spans="1:17" x14ac:dyDescent="0.4">
      <c r="A26" s="37" t="s">
        <v>5</v>
      </c>
      <c r="B26" s="17">
        <f>IF(B$19=0,0,C26/B$19)</f>
        <v>11250.561797752809</v>
      </c>
      <c r="C26" s="8">
        <v>1001300</v>
      </c>
      <c r="E26" s="44" t="s">
        <v>81</v>
      </c>
      <c r="F26" s="41" t="s">
        <v>36</v>
      </c>
      <c r="G26" s="34">
        <v>0</v>
      </c>
      <c r="H26" s="107">
        <f>IF(B$51=0,0,G26/B$51)</f>
        <v>0</v>
      </c>
      <c r="I26" s="68">
        <v>15</v>
      </c>
      <c r="K26" s="5">
        <v>24</v>
      </c>
      <c r="L26" s="73">
        <v>81.500000000000028</v>
      </c>
    </row>
    <row r="27" spans="1:17" x14ac:dyDescent="0.4">
      <c r="A27" s="38" t="s">
        <v>162</v>
      </c>
      <c r="B27" s="114">
        <f>IF($B$19-B$18=0,0,C27/($B$19-B$18))</f>
        <v>11712.676056338029</v>
      </c>
      <c r="C27" s="115">
        <v>831600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79.500000000000028</v>
      </c>
    </row>
    <row r="28" spans="1:17" x14ac:dyDescent="0.4">
      <c r="A28" s="38" t="s">
        <v>163</v>
      </c>
      <c r="B28" s="114">
        <f>IF(B$18=0,0,C28/B$18)</f>
        <v>9427.7777777777774</v>
      </c>
      <c r="C28" s="115">
        <v>169700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51.10000000000003</v>
      </c>
    </row>
    <row r="29" spans="1:17" x14ac:dyDescent="0.4">
      <c r="A29" s="38" t="s">
        <v>161</v>
      </c>
      <c r="B29" s="114">
        <f>IF(B$20=0,0,C29/B$20)</f>
        <v>-9054.7169811320746</v>
      </c>
      <c r="C29" s="115">
        <v>-479900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9</v>
      </c>
      <c r="K29" s="5">
        <v>27</v>
      </c>
      <c r="L29" s="73">
        <v>64.700000000000031</v>
      </c>
    </row>
    <row r="30" spans="1:17" x14ac:dyDescent="0.4">
      <c r="A30" s="37" t="s">
        <v>155</v>
      </c>
      <c r="B30" s="34">
        <v>4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49.60000000000003</v>
      </c>
    </row>
    <row r="31" spans="1:17" x14ac:dyDescent="0.4">
      <c r="A31" s="37" t="s">
        <v>156</v>
      </c>
      <c r="B31" s="34">
        <v>23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15.400000000000027</v>
      </c>
    </row>
    <row r="32" spans="1:17" x14ac:dyDescent="0.4">
      <c r="A32" s="64" t="s">
        <v>134</v>
      </c>
      <c r="B32" s="139">
        <v>7</v>
      </c>
      <c r="C32" s="140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-30.799999999999976</v>
      </c>
    </row>
    <row r="33" spans="1:12" x14ac:dyDescent="0.4">
      <c r="A33" s="40" t="s">
        <v>177</v>
      </c>
      <c r="B33" s="137">
        <v>109300</v>
      </c>
      <c r="C33" s="138"/>
      <c r="E33" s="44" t="s">
        <v>93</v>
      </c>
      <c r="F33" s="41" t="s">
        <v>48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-26.799999999999976</v>
      </c>
    </row>
    <row r="34" spans="1:12" x14ac:dyDescent="0.4">
      <c r="A34" s="39" t="s">
        <v>135</v>
      </c>
      <c r="B34" s="27">
        <v>0</v>
      </c>
      <c r="C34" s="32">
        <f>IF(B$3=0,0,B34/B$3)</f>
        <v>0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8.2000000000000242</v>
      </c>
    </row>
    <row r="35" spans="1:12" x14ac:dyDescent="0.4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-9.3999999999999773</v>
      </c>
    </row>
    <row r="36" spans="1:12" x14ac:dyDescent="0.4">
      <c r="A36" s="64" t="s">
        <v>168</v>
      </c>
      <c r="B36" s="121">
        <v>5</v>
      </c>
      <c r="C36" s="119">
        <f>IF(B$19=0,0,B36/B$19)</f>
        <v>5.6179775280898875E-2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-46.399999999999977</v>
      </c>
    </row>
    <row r="37" spans="1:12" x14ac:dyDescent="0.4">
      <c r="A37" s="37" t="s">
        <v>164</v>
      </c>
      <c r="B37" s="34">
        <v>7</v>
      </c>
      <c r="C37" s="31">
        <f t="shared" ref="C37:C48" si="2">IF(B$19=0,0,B37/B$19)</f>
        <v>7.8651685393258425E-2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-34.09999999999998</v>
      </c>
    </row>
    <row r="38" spans="1:12" x14ac:dyDescent="0.4">
      <c r="A38" s="37" t="s">
        <v>165</v>
      </c>
      <c r="B38" s="124">
        <v>7</v>
      </c>
      <c r="C38" s="31">
        <f>IF(B$19=0,0,B38/B$19)</f>
        <v>7.8651685393258425E-2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5.1000000000000263</v>
      </c>
    </row>
    <row r="39" spans="1:12" x14ac:dyDescent="0.4">
      <c r="A39" s="37" t="s">
        <v>166</v>
      </c>
      <c r="B39" s="124">
        <v>9</v>
      </c>
      <c r="C39" s="31">
        <f t="shared" si="2"/>
        <v>0.10112359550561797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-46.59999999999998</v>
      </c>
    </row>
    <row r="40" spans="1:12" x14ac:dyDescent="0.4">
      <c r="A40" s="37" t="s">
        <v>167</v>
      </c>
      <c r="B40" s="124">
        <v>8</v>
      </c>
      <c r="C40" s="31">
        <f t="shared" si="2"/>
        <v>8.98876404494382E-2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30.500000000000014</v>
      </c>
    </row>
    <row r="41" spans="1:12" x14ac:dyDescent="0.4">
      <c r="A41" s="37" t="s">
        <v>169</v>
      </c>
      <c r="B41" s="124">
        <v>7</v>
      </c>
      <c r="C41" s="31">
        <f t="shared" si="2"/>
        <v>7.8651685393258425E-2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91.000000000000014</v>
      </c>
    </row>
    <row r="42" spans="1:12" x14ac:dyDescent="0.4">
      <c r="A42" s="37" t="s">
        <v>170</v>
      </c>
      <c r="B42" s="124">
        <v>7</v>
      </c>
      <c r="C42" s="31">
        <f t="shared" si="2"/>
        <v>7.8651685393258425E-2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</row>
    <row r="43" spans="1:12" x14ac:dyDescent="0.4">
      <c r="A43" s="37" t="s">
        <v>171</v>
      </c>
      <c r="B43" s="124">
        <v>4</v>
      </c>
      <c r="C43" s="31">
        <f t="shared" si="2"/>
        <v>4.49438202247191E-2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</row>
    <row r="44" spans="1:12" x14ac:dyDescent="0.4">
      <c r="A44" s="37" t="s">
        <v>172</v>
      </c>
      <c r="B44" s="124">
        <v>4</v>
      </c>
      <c r="C44" s="31">
        <f t="shared" si="2"/>
        <v>4.49438202247191E-2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</row>
    <row r="45" spans="1:12" x14ac:dyDescent="0.4">
      <c r="A45" s="37" t="s">
        <v>173</v>
      </c>
      <c r="B45" s="124">
        <v>0</v>
      </c>
      <c r="C45" s="31">
        <f t="shared" si="2"/>
        <v>0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</row>
    <row r="46" spans="1:12" x14ac:dyDescent="0.4">
      <c r="A46" s="37" t="s">
        <v>174</v>
      </c>
      <c r="B46" s="124">
        <v>1</v>
      </c>
      <c r="C46" s="31">
        <f t="shared" si="2"/>
        <v>1.1235955056179775E-2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</row>
    <row r="47" spans="1:12" x14ac:dyDescent="0.4">
      <c r="A47" s="37" t="s">
        <v>175</v>
      </c>
      <c r="B47" s="124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</row>
    <row r="48" spans="1:12" x14ac:dyDescent="0.4">
      <c r="A48" s="39" t="s">
        <v>176</v>
      </c>
      <c r="B48" s="120">
        <v>2</v>
      </c>
      <c r="C48" s="32">
        <f t="shared" si="2"/>
        <v>2.247191011235955E-2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7">
        <v>234</v>
      </c>
      <c r="C50" s="128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35">
        <v>61</v>
      </c>
      <c r="C51" s="136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1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D28ED-68A5-40C8-AF8E-3A9590850229}">
  <sheetPr codeName="Sheet13"/>
  <dimension ref="A1:Q398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191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396</v>
      </c>
      <c r="C2" s="128"/>
      <c r="E2" s="43" t="s">
        <v>66</v>
      </c>
      <c r="F2" s="25" t="s">
        <v>22</v>
      </c>
      <c r="G2" s="13">
        <v>738</v>
      </c>
      <c r="H2" s="106">
        <f>IF(B$51=0,0,G2/B$51)</f>
        <v>0.83108108108108103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568.79795396419433</v>
      </c>
      <c r="P2" s="92">
        <v>391</v>
      </c>
      <c r="Q2" s="76">
        <v>222400</v>
      </c>
    </row>
    <row r="3" spans="1:17" x14ac:dyDescent="0.4">
      <c r="A3" s="37" t="s">
        <v>8</v>
      </c>
      <c r="B3" s="129">
        <v>3178</v>
      </c>
      <c r="C3" s="130"/>
      <c r="E3" s="44" t="s">
        <v>72</v>
      </c>
      <c r="F3" s="41" t="s">
        <v>27</v>
      </c>
      <c r="G3" s="34">
        <v>506</v>
      </c>
      <c r="H3" s="107">
        <f>IF(B$51=0,0,G3/B$51)</f>
        <v>0.56981981981981977</v>
      </c>
      <c r="I3" s="68">
        <v>6</v>
      </c>
      <c r="K3" s="5">
        <v>1</v>
      </c>
      <c r="L3" s="73">
        <v>3.9</v>
      </c>
      <c r="N3" s="89" t="s">
        <v>127</v>
      </c>
      <c r="O3" s="96">
        <f t="shared" si="0"/>
        <v>-562.30366492146595</v>
      </c>
      <c r="P3" s="93">
        <v>382</v>
      </c>
      <c r="Q3" s="77">
        <v>-214800</v>
      </c>
    </row>
    <row r="4" spans="1:17" x14ac:dyDescent="0.4">
      <c r="A4" s="37" t="s">
        <v>6</v>
      </c>
      <c r="B4" s="131">
        <v>388.80000000000064</v>
      </c>
      <c r="C4" s="132"/>
      <c r="E4" s="44" t="s">
        <v>64</v>
      </c>
      <c r="F4" s="41" t="s">
        <v>20</v>
      </c>
      <c r="G4" s="34">
        <v>490</v>
      </c>
      <c r="H4" s="107">
        <f>IF(B$51=0,0,G4/B$51)</f>
        <v>0.55180180180180183</v>
      </c>
      <c r="I4" s="68">
        <v>8</v>
      </c>
      <c r="K4" s="5">
        <v>2</v>
      </c>
      <c r="L4" s="73">
        <v>-33.9</v>
      </c>
      <c r="N4" s="89" t="s">
        <v>128</v>
      </c>
      <c r="O4" s="96">
        <f t="shared" si="0"/>
        <v>386.68555240793199</v>
      </c>
      <c r="P4" s="93">
        <v>353</v>
      </c>
      <c r="Q4" s="77">
        <v>136500</v>
      </c>
    </row>
    <row r="5" spans="1:17" x14ac:dyDescent="0.4">
      <c r="A5" s="37" t="s">
        <v>7</v>
      </c>
      <c r="B5" s="133">
        <f>IF(B$2=0,0,B$4/B$2)</f>
        <v>0.98181818181818348</v>
      </c>
      <c r="C5" s="134"/>
      <c r="E5" s="44" t="s">
        <v>67</v>
      </c>
      <c r="F5" s="41" t="s">
        <v>23</v>
      </c>
      <c r="G5" s="34">
        <v>323</v>
      </c>
      <c r="H5" s="107">
        <f>IF(B$51=0,0,G5/B$51)</f>
        <v>0.36373873873873874</v>
      </c>
      <c r="I5" s="68">
        <v>6</v>
      </c>
      <c r="K5" s="5">
        <v>3</v>
      </c>
      <c r="L5" s="73">
        <v>-70.099999999999994</v>
      </c>
      <c r="N5" s="89" t="s">
        <v>129</v>
      </c>
      <c r="O5" s="96">
        <f t="shared" si="0"/>
        <v>807.83699059561127</v>
      </c>
      <c r="P5" s="93">
        <v>319</v>
      </c>
      <c r="Q5" s="77">
        <v>257700</v>
      </c>
    </row>
    <row r="6" spans="1:17" x14ac:dyDescent="0.4">
      <c r="A6" s="37" t="s">
        <v>1</v>
      </c>
      <c r="B6" s="141">
        <f>IF(B$2=0,0,(B$7*1+B$8*2+B$9*3)/B$2)</f>
        <v>2.0227272727272729</v>
      </c>
      <c r="C6" s="142"/>
      <c r="E6" s="44" t="s">
        <v>68</v>
      </c>
      <c r="F6" s="41" t="s">
        <v>12</v>
      </c>
      <c r="G6" s="34">
        <v>298</v>
      </c>
      <c r="H6" s="107">
        <f>IF(B$51=0,0,G6/B$51)</f>
        <v>0.3355855855855856</v>
      </c>
      <c r="I6" s="68">
        <v>6</v>
      </c>
      <c r="K6" s="5">
        <v>4</v>
      </c>
      <c r="L6" s="73">
        <v>-35.099999999999994</v>
      </c>
      <c r="N6" s="89" t="s">
        <v>130</v>
      </c>
      <c r="O6" s="96">
        <f t="shared" si="0"/>
        <v>-840.68965517241384</v>
      </c>
      <c r="P6" s="93">
        <v>290</v>
      </c>
      <c r="Q6" s="77">
        <v>-243800</v>
      </c>
    </row>
    <row r="7" spans="1:17" x14ac:dyDescent="0.4">
      <c r="A7" s="37" t="s">
        <v>2</v>
      </c>
      <c r="B7" s="34">
        <v>129</v>
      </c>
      <c r="C7" s="31">
        <f t="shared" ref="C7:C14" si="1">IF(B$2=0,0,B7/B$2)</f>
        <v>0.32575757575757575</v>
      </c>
      <c r="E7" s="44" t="s">
        <v>157</v>
      </c>
      <c r="F7" s="41" t="s">
        <v>158</v>
      </c>
      <c r="G7" s="34">
        <v>240</v>
      </c>
      <c r="H7" s="107">
        <f>IF(B$51=0,0,G7/B$51)</f>
        <v>0.27027027027027029</v>
      </c>
      <c r="I7" s="68">
        <v>13</v>
      </c>
      <c r="K7" s="5">
        <v>5</v>
      </c>
      <c r="L7" s="73">
        <v>-80.099999999999994</v>
      </c>
      <c r="N7" s="90" t="s">
        <v>131</v>
      </c>
      <c r="O7" s="97">
        <f t="shared" si="0"/>
        <v>333.33333333333331</v>
      </c>
      <c r="P7" s="94">
        <v>237</v>
      </c>
      <c r="Q7" s="78">
        <v>79000</v>
      </c>
    </row>
    <row r="8" spans="1:17" x14ac:dyDescent="0.4">
      <c r="A8" s="37" t="s">
        <v>3</v>
      </c>
      <c r="B8" s="34">
        <v>129</v>
      </c>
      <c r="C8" s="31">
        <f t="shared" si="1"/>
        <v>0.32575757575757575</v>
      </c>
      <c r="E8" s="44" t="s">
        <v>89</v>
      </c>
      <c r="F8" s="41" t="s">
        <v>44</v>
      </c>
      <c r="G8" s="34">
        <v>166</v>
      </c>
      <c r="H8" s="107">
        <f>IF(B$51=0,0,G8/B$51)</f>
        <v>0.18693693693693694</v>
      </c>
      <c r="I8" s="68">
        <v>3</v>
      </c>
      <c r="K8" s="5">
        <v>6</v>
      </c>
      <c r="L8" s="73">
        <v>-116.1</v>
      </c>
      <c r="N8" s="33"/>
      <c r="O8" s="101"/>
      <c r="P8" s="85"/>
      <c r="Q8" s="83"/>
    </row>
    <row r="9" spans="1:17" x14ac:dyDescent="0.4">
      <c r="A9" s="38" t="s">
        <v>4</v>
      </c>
      <c r="B9" s="35">
        <v>138</v>
      </c>
      <c r="C9" s="7">
        <f t="shared" si="1"/>
        <v>0.34848484848484851</v>
      </c>
      <c r="E9" s="44" t="s">
        <v>69</v>
      </c>
      <c r="F9" s="41" t="s">
        <v>24</v>
      </c>
      <c r="G9" s="34">
        <v>160</v>
      </c>
      <c r="H9" s="107">
        <f>IF(B$51=0,0,G9/B$51)</f>
        <v>0.18018018018018017</v>
      </c>
      <c r="I9" s="68">
        <v>4</v>
      </c>
      <c r="K9" s="5">
        <v>7</v>
      </c>
      <c r="L9" s="73">
        <v>-147.4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49">
        <f>IF(B7=0,0,C10/B7)</f>
        <v>42.201550387596896</v>
      </c>
      <c r="C10" s="150">
        <v>5444</v>
      </c>
      <c r="E10" s="44" t="s">
        <v>65</v>
      </c>
      <c r="F10" s="41" t="s">
        <v>21</v>
      </c>
      <c r="G10" s="34">
        <v>109</v>
      </c>
      <c r="H10" s="107">
        <f>IF(B$51=0,0,G10/B$51)</f>
        <v>0.12274774774774774</v>
      </c>
      <c r="I10" s="68">
        <v>8</v>
      </c>
      <c r="K10" s="5">
        <v>8</v>
      </c>
      <c r="L10" s="73">
        <v>-146</v>
      </c>
      <c r="N10" s="88" t="s">
        <v>149</v>
      </c>
      <c r="O10" s="98">
        <f>IF(P10=0,0,Q10/P10)</f>
        <v>-5.7237288135593225</v>
      </c>
      <c r="P10" s="92">
        <v>118</v>
      </c>
      <c r="Q10" s="80">
        <v>-675.40000000000009</v>
      </c>
    </row>
    <row r="11" spans="1:17" x14ac:dyDescent="0.4">
      <c r="A11" s="38" t="s">
        <v>204</v>
      </c>
      <c r="B11" s="149">
        <f>IF(B8=0,0,C11/B8)</f>
        <v>-1.1472868217054268</v>
      </c>
      <c r="C11" s="150">
        <v>-148.00000000000006</v>
      </c>
      <c r="E11" s="44" t="s">
        <v>70</v>
      </c>
      <c r="F11" s="41" t="s">
        <v>25</v>
      </c>
      <c r="G11" s="34">
        <v>103</v>
      </c>
      <c r="H11" s="107">
        <f>IF(B$51=0,0,G11/B$51)</f>
        <v>0.11599099099099099</v>
      </c>
      <c r="I11" s="68">
        <v>5</v>
      </c>
      <c r="K11" s="5">
        <v>9</v>
      </c>
      <c r="L11" s="73">
        <v>-173</v>
      </c>
      <c r="N11" s="89" t="s">
        <v>150</v>
      </c>
      <c r="O11" s="99">
        <f>IF(P11=0,0,Q11/P11)</f>
        <v>3.2931972789115642</v>
      </c>
      <c r="P11" s="93">
        <v>147</v>
      </c>
      <c r="Q11" s="81">
        <v>484.09999999999997</v>
      </c>
    </row>
    <row r="12" spans="1:17" x14ac:dyDescent="0.4">
      <c r="A12" s="38" t="s">
        <v>205</v>
      </c>
      <c r="B12" s="149">
        <f>IF(B9=0,0,C12/B9)</f>
        <v>-35.559420289855069</v>
      </c>
      <c r="C12" s="150">
        <v>-4907.2</v>
      </c>
      <c r="E12" s="44" t="s">
        <v>86</v>
      </c>
      <c r="F12" s="41" t="s">
        <v>41</v>
      </c>
      <c r="G12" s="34">
        <v>56</v>
      </c>
      <c r="H12" s="107">
        <f>IF(B$51=0,0,G12/B$51)</f>
        <v>6.3063063063063057E-2</v>
      </c>
      <c r="I12" s="68">
        <v>7</v>
      </c>
      <c r="K12" s="5">
        <v>10</v>
      </c>
      <c r="L12" s="73">
        <v>-206.1</v>
      </c>
      <c r="N12" s="90" t="s">
        <v>151</v>
      </c>
      <c r="O12" s="100">
        <f>IF(P12=0,0,Q12/P12)</f>
        <v>5.4093750000000007</v>
      </c>
      <c r="P12" s="94">
        <v>128</v>
      </c>
      <c r="Q12" s="82">
        <v>692.40000000000009</v>
      </c>
    </row>
    <row r="13" spans="1:17" x14ac:dyDescent="0.4">
      <c r="A13" s="38" t="s">
        <v>206</v>
      </c>
      <c r="B13" s="133">
        <f>AVERAGE(B10:B12)</f>
        <v>1.8316144253454663</v>
      </c>
      <c r="C13" s="134"/>
      <c r="E13" s="44" t="s">
        <v>71</v>
      </c>
      <c r="F13" s="41" t="s">
        <v>26</v>
      </c>
      <c r="G13" s="34">
        <v>45</v>
      </c>
      <c r="H13" s="107">
        <f>IF(B$51=0,0,G13/B$51)</f>
        <v>5.0675675675675678E-2</v>
      </c>
      <c r="I13" s="68">
        <v>11</v>
      </c>
      <c r="K13" s="5">
        <v>11</v>
      </c>
      <c r="L13" s="73">
        <v>-174</v>
      </c>
      <c r="N13" s="28"/>
      <c r="O13" s="84"/>
      <c r="P13" s="86"/>
      <c r="Q13" s="84"/>
    </row>
    <row r="14" spans="1:17" x14ac:dyDescent="0.4">
      <c r="A14" s="39" t="s">
        <v>18</v>
      </c>
      <c r="B14" s="36">
        <v>53</v>
      </c>
      <c r="C14" s="32">
        <f t="shared" si="1"/>
        <v>0.13383838383838384</v>
      </c>
      <c r="E14" s="44" t="s">
        <v>83</v>
      </c>
      <c r="F14" s="41" t="s">
        <v>38</v>
      </c>
      <c r="G14" s="34">
        <v>31</v>
      </c>
      <c r="H14" s="107">
        <f>IF(B$51=0,0,G14/B$51)</f>
        <v>3.4909909909909907E-2</v>
      </c>
      <c r="I14" s="68">
        <v>12</v>
      </c>
      <c r="K14" s="5">
        <v>12</v>
      </c>
      <c r="L14" s="73">
        <v>-197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922</v>
      </c>
      <c r="C15" s="11">
        <f>IF(B$50=0,0,B15/B$50)</f>
        <v>0.29353709009869466</v>
      </c>
      <c r="E15" s="44" t="s">
        <v>78</v>
      </c>
      <c r="F15" s="41" t="s">
        <v>33</v>
      </c>
      <c r="G15" s="34">
        <v>27</v>
      </c>
      <c r="H15" s="107">
        <f>IF(B$51=0,0,G15/B$51)</f>
        <v>3.0405405405405407E-2</v>
      </c>
      <c r="I15" s="68">
        <v>6</v>
      </c>
      <c r="K15" s="5">
        <v>13</v>
      </c>
      <c r="L15" s="73">
        <v>-235</v>
      </c>
      <c r="N15" s="88" t="s">
        <v>196</v>
      </c>
      <c r="O15" s="98">
        <f>IF(P15=0,0,Q15/P15)</f>
        <v>25.3</v>
      </c>
      <c r="P15" s="92">
        <v>2</v>
      </c>
      <c r="Q15" s="80">
        <v>50.6</v>
      </c>
    </row>
    <row r="16" spans="1:17" x14ac:dyDescent="0.4">
      <c r="A16" s="37" t="s">
        <v>118</v>
      </c>
      <c r="B16" s="34">
        <v>595</v>
      </c>
      <c r="C16" s="31">
        <f>IF(B$50=0,0,B16/B$50)</f>
        <v>0.18943011779687999</v>
      </c>
      <c r="E16" s="44" t="s">
        <v>91</v>
      </c>
      <c r="F16" s="41" t="s">
        <v>46</v>
      </c>
      <c r="G16" s="34">
        <v>24</v>
      </c>
      <c r="H16" s="107">
        <f>IF(B$51=0,0,G16/B$51)</f>
        <v>2.7027027027027029E-2</v>
      </c>
      <c r="I16" s="68">
        <v>3</v>
      </c>
      <c r="K16" s="5">
        <v>14</v>
      </c>
      <c r="L16" s="73">
        <v>-231</v>
      </c>
      <c r="N16" s="89" t="s">
        <v>192</v>
      </c>
      <c r="O16" s="99">
        <f>IF(P16=0,0,Q16/P16)</f>
        <v>19.924999999999997</v>
      </c>
      <c r="P16" s="93">
        <v>4</v>
      </c>
      <c r="Q16" s="81">
        <v>79.699999999999989</v>
      </c>
    </row>
    <row r="17" spans="1:17" x14ac:dyDescent="0.4">
      <c r="A17" s="19" t="s">
        <v>123</v>
      </c>
      <c r="B17" s="13">
        <v>519</v>
      </c>
      <c r="C17" s="4">
        <f>IF(B$15=0,0,B17/B$15)</f>
        <v>0.56290672451193058</v>
      </c>
      <c r="E17" s="44" t="s">
        <v>153</v>
      </c>
      <c r="F17" s="41" t="s">
        <v>154</v>
      </c>
      <c r="G17" s="34">
        <v>23</v>
      </c>
      <c r="H17" s="107">
        <f>IF(B$51=0,0,G17/B$51)</f>
        <v>2.59009009009009E-2</v>
      </c>
      <c r="I17" s="68">
        <v>2</v>
      </c>
      <c r="K17" s="5">
        <v>15</v>
      </c>
      <c r="L17" s="73">
        <v>-212.5</v>
      </c>
      <c r="N17" s="89" t="s">
        <v>197</v>
      </c>
      <c r="O17" s="99">
        <f>IF(P17=0,0,Q17/P17)</f>
        <v>19.176470588235297</v>
      </c>
      <c r="P17" s="93">
        <v>34</v>
      </c>
      <c r="Q17" s="81">
        <v>652.00000000000011</v>
      </c>
    </row>
    <row r="18" spans="1:17" x14ac:dyDescent="0.4">
      <c r="A18" s="19" t="s">
        <v>124</v>
      </c>
      <c r="B18" s="13">
        <v>236</v>
      </c>
      <c r="C18" s="4">
        <f>IF(B$16=0,0,B18/B$16)</f>
        <v>0.39663865546218485</v>
      </c>
      <c r="E18" s="44" t="s">
        <v>81</v>
      </c>
      <c r="F18" s="41" t="s">
        <v>36</v>
      </c>
      <c r="G18" s="34">
        <v>20</v>
      </c>
      <c r="H18" s="107">
        <f>IF(B$51=0,0,G18/B$51)</f>
        <v>2.2522522522522521E-2</v>
      </c>
      <c r="I18" s="68">
        <v>10</v>
      </c>
      <c r="K18" s="5">
        <v>16</v>
      </c>
      <c r="L18" s="73">
        <v>-233.2</v>
      </c>
      <c r="N18" s="89" t="s">
        <v>188</v>
      </c>
      <c r="O18" s="99">
        <f>IF(P18=0,0,Q18/P18)</f>
        <v>15.409589041095892</v>
      </c>
      <c r="P18" s="93">
        <v>73</v>
      </c>
      <c r="Q18" s="81">
        <v>1124.9000000000001</v>
      </c>
    </row>
    <row r="19" spans="1:17" x14ac:dyDescent="0.4">
      <c r="A19" s="19" t="s">
        <v>10</v>
      </c>
      <c r="B19" s="13">
        <v>898</v>
      </c>
      <c r="C19" s="4">
        <f>IF(B$3=0,0,B19/B$3)</f>
        <v>0.28256765261170547</v>
      </c>
      <c r="E19" s="44" t="s">
        <v>79</v>
      </c>
      <c r="F19" s="41" t="s">
        <v>34</v>
      </c>
      <c r="G19" s="34">
        <v>14</v>
      </c>
      <c r="H19" s="107">
        <f>IF(B$51=0,0,G19/B$51)</f>
        <v>1.5765765765765764E-2</v>
      </c>
      <c r="I19" s="68">
        <v>10</v>
      </c>
      <c r="K19" s="5">
        <v>17</v>
      </c>
      <c r="L19" s="73">
        <v>-268.7</v>
      </c>
      <c r="N19" s="89" t="s">
        <v>186</v>
      </c>
      <c r="O19" s="99">
        <f>IF(P19=0,0,Q19/P19)</f>
        <v>13.45</v>
      </c>
      <c r="P19" s="93">
        <v>34</v>
      </c>
      <c r="Q19" s="81">
        <v>457.29999999999995</v>
      </c>
    </row>
    <row r="20" spans="1:17" x14ac:dyDescent="0.4">
      <c r="A20" s="37" t="s">
        <v>13</v>
      </c>
      <c r="B20" s="34">
        <v>575</v>
      </c>
      <c r="C20" s="31">
        <f>IF(B$3=0,0,B20/B$3)</f>
        <v>0.18093140339836375</v>
      </c>
      <c r="E20" s="44" t="s">
        <v>92</v>
      </c>
      <c r="F20" s="41" t="s">
        <v>47</v>
      </c>
      <c r="G20" s="34">
        <v>10</v>
      </c>
      <c r="H20" s="107">
        <f>IF(B$51=0,0,G20/B$51)</f>
        <v>1.1261261261261261E-2</v>
      </c>
      <c r="I20" s="68">
        <v>2</v>
      </c>
      <c r="K20" s="5">
        <v>18</v>
      </c>
      <c r="L20" s="73">
        <v>-295.8</v>
      </c>
      <c r="N20" s="89" t="s">
        <v>194</v>
      </c>
      <c r="O20" s="99">
        <f>IF(P20=0,0,Q20/P20)</f>
        <v>11.2125</v>
      </c>
      <c r="P20" s="93">
        <v>16</v>
      </c>
      <c r="Q20" s="81">
        <v>179.4</v>
      </c>
    </row>
    <row r="21" spans="1:17" x14ac:dyDescent="0.4">
      <c r="A21" s="37" t="s">
        <v>12</v>
      </c>
      <c r="B21" s="34">
        <v>409</v>
      </c>
      <c r="C21" s="31">
        <f>IF(B$19=0,0,B21/B$19)</f>
        <v>0.45545657015590202</v>
      </c>
      <c r="E21" s="44" t="s">
        <v>73</v>
      </c>
      <c r="F21" s="41" t="s">
        <v>28</v>
      </c>
      <c r="G21" s="34">
        <v>9</v>
      </c>
      <c r="H21" s="107">
        <f>IF(B$51=0,0,G21/B$51)</f>
        <v>1.0135135135135136E-2</v>
      </c>
      <c r="I21" s="68">
        <v>3</v>
      </c>
      <c r="K21" s="5">
        <v>19</v>
      </c>
      <c r="L21" s="73">
        <v>-273.2</v>
      </c>
      <c r="N21" s="89" t="s">
        <v>199</v>
      </c>
      <c r="O21" s="99">
        <f>IF(P21=0,0,Q21/P21)</f>
        <v>5.6000000000000014</v>
      </c>
      <c r="P21" s="93">
        <v>8</v>
      </c>
      <c r="Q21" s="81">
        <v>44.800000000000011</v>
      </c>
    </row>
    <row r="22" spans="1:17" x14ac:dyDescent="0.4">
      <c r="A22" s="37" t="s">
        <v>11</v>
      </c>
      <c r="B22" s="34">
        <v>489</v>
      </c>
      <c r="C22" s="31">
        <f>IF(B$19=0,0,B22/B$19)</f>
        <v>0.54454342984409798</v>
      </c>
      <c r="E22" s="44" t="s">
        <v>75</v>
      </c>
      <c r="F22" s="41" t="s">
        <v>30</v>
      </c>
      <c r="G22" s="34">
        <v>8</v>
      </c>
      <c r="H22" s="107">
        <f>IF(B$51=0,0,G22/B$51)</f>
        <v>9.0090090090090089E-3</v>
      </c>
      <c r="I22" s="68">
        <v>3</v>
      </c>
      <c r="K22" s="5">
        <v>20</v>
      </c>
      <c r="L22" s="73">
        <v>-270</v>
      </c>
      <c r="N22" s="89" t="s">
        <v>193</v>
      </c>
      <c r="O22" s="99">
        <f>IF(P22=0,0,Q22/P22)</f>
        <v>2.3631944444444413</v>
      </c>
      <c r="P22" s="93">
        <v>144</v>
      </c>
      <c r="Q22" s="81">
        <v>340.29999999999956</v>
      </c>
    </row>
    <row r="23" spans="1:17" x14ac:dyDescent="0.4">
      <c r="A23" s="37" t="s">
        <v>180</v>
      </c>
      <c r="B23" s="34">
        <v>519</v>
      </c>
      <c r="C23" s="31">
        <f>IF(B$19=0,0,B23/B$19)</f>
        <v>0.57795100222717144</v>
      </c>
      <c r="E23" s="44" t="s">
        <v>77</v>
      </c>
      <c r="F23" s="41" t="s">
        <v>32</v>
      </c>
      <c r="G23" s="34">
        <v>6</v>
      </c>
      <c r="H23" s="107">
        <f>IF(B$51=0,0,G23/B$51)</f>
        <v>6.7567567567567571E-3</v>
      </c>
      <c r="I23" s="68">
        <v>3</v>
      </c>
      <c r="K23" s="5">
        <v>21</v>
      </c>
      <c r="L23" s="73">
        <v>-242</v>
      </c>
      <c r="N23" s="89" t="s">
        <v>187</v>
      </c>
      <c r="O23" s="99">
        <f>IF(P23=0,0,Q23/P23)</f>
        <v>0.91304347826086907</v>
      </c>
      <c r="P23" s="93">
        <v>115</v>
      </c>
      <c r="Q23" s="81">
        <v>104.99999999999994</v>
      </c>
    </row>
    <row r="24" spans="1:17" x14ac:dyDescent="0.4">
      <c r="A24" s="37" t="s">
        <v>178</v>
      </c>
      <c r="B24" s="34">
        <v>236</v>
      </c>
      <c r="C24" s="31">
        <f>IF(B$19=0,0,B24/B$19)</f>
        <v>0.26280623608017817</v>
      </c>
      <c r="E24" s="44" t="s">
        <v>84</v>
      </c>
      <c r="F24" s="41" t="s">
        <v>39</v>
      </c>
      <c r="G24" s="34">
        <v>6</v>
      </c>
      <c r="H24" s="107">
        <f>IF(B$51=0,0,G24/B$51)</f>
        <v>6.7567567567567571E-3</v>
      </c>
      <c r="I24" s="68">
        <v>1</v>
      </c>
      <c r="K24" s="5">
        <v>22</v>
      </c>
      <c r="L24" s="73">
        <v>-202.9</v>
      </c>
      <c r="N24" s="89" t="s">
        <v>190</v>
      </c>
      <c r="O24" s="99">
        <f>IF(P24=0,0,Q24/P24)</f>
        <v>-1.9090909090909096</v>
      </c>
      <c r="P24" s="93">
        <v>110</v>
      </c>
      <c r="Q24" s="81">
        <v>-210.00000000000006</v>
      </c>
    </row>
    <row r="25" spans="1:17" x14ac:dyDescent="0.4">
      <c r="A25" s="37" t="s">
        <v>179</v>
      </c>
      <c r="B25" s="34">
        <v>143</v>
      </c>
      <c r="C25" s="31">
        <f>IF(B$19=0,0,B25/B$19)</f>
        <v>0.15924276169265034</v>
      </c>
      <c r="E25" s="44" t="s">
        <v>85</v>
      </c>
      <c r="F25" s="41" t="s">
        <v>40</v>
      </c>
      <c r="G25" s="34">
        <v>5</v>
      </c>
      <c r="H25" s="107">
        <f>IF(B$51=0,0,G25/B$51)</f>
        <v>5.6306306306306304E-3</v>
      </c>
      <c r="I25" s="68">
        <v>4</v>
      </c>
      <c r="K25" s="5">
        <v>23</v>
      </c>
      <c r="L25" s="73">
        <v>-200.9</v>
      </c>
      <c r="N25" s="89" t="s">
        <v>189</v>
      </c>
      <c r="O25" s="99">
        <f>IF(P25=0,0,Q25/P25)</f>
        <v>-3.1538461538461542</v>
      </c>
      <c r="P25" s="93">
        <v>13</v>
      </c>
      <c r="Q25" s="81">
        <v>-41.000000000000007</v>
      </c>
    </row>
    <row r="26" spans="1:17" x14ac:dyDescent="0.4">
      <c r="A26" s="37" t="s">
        <v>5</v>
      </c>
      <c r="B26" s="17">
        <f>IF(B$19=0,0,C26/B$19)</f>
        <v>10633.741648106905</v>
      </c>
      <c r="C26" s="8">
        <v>9549100</v>
      </c>
      <c r="E26" s="44" t="s">
        <v>93</v>
      </c>
      <c r="F26" s="41" t="s">
        <v>48</v>
      </c>
      <c r="G26" s="34">
        <v>4</v>
      </c>
      <c r="H26" s="107">
        <f>IF(B$51=0,0,G26/B$51)</f>
        <v>4.5045045045045045E-3</v>
      </c>
      <c r="I26" s="68">
        <v>2</v>
      </c>
      <c r="K26" s="5">
        <v>24</v>
      </c>
      <c r="L26" s="73">
        <v>-168.2</v>
      </c>
      <c r="N26" s="89" t="s">
        <v>195</v>
      </c>
      <c r="O26" s="99">
        <f>IF(P26=0,0,Q26/P26)</f>
        <v>-6.4097457627118635</v>
      </c>
      <c r="P26" s="93">
        <v>236</v>
      </c>
      <c r="Q26" s="81">
        <v>-1512.6999999999998</v>
      </c>
    </row>
    <row r="27" spans="1:17" x14ac:dyDescent="0.4">
      <c r="A27" s="38" t="s">
        <v>162</v>
      </c>
      <c r="B27" s="114">
        <f>IF($B$19-B$18=0,0,C27/($B$19-B$18))</f>
        <v>11360.7250755287</v>
      </c>
      <c r="C27" s="115">
        <v>7520800</v>
      </c>
      <c r="E27" s="44" t="s">
        <v>90</v>
      </c>
      <c r="F27" s="41" t="s">
        <v>45</v>
      </c>
      <c r="G27" s="34">
        <v>3</v>
      </c>
      <c r="H27" s="107">
        <f>IF(B$51=0,0,G27/B$51)</f>
        <v>3.3783783783783786E-3</v>
      </c>
      <c r="I27" s="68">
        <v>1</v>
      </c>
      <c r="K27" s="5">
        <v>25</v>
      </c>
      <c r="L27" s="73">
        <v>-216.89999999999998</v>
      </c>
      <c r="N27" s="89" t="s">
        <v>185</v>
      </c>
      <c r="O27" s="99">
        <f>IF(P27=0,0,Q27/P27)</f>
        <v>-17.200000000000003</v>
      </c>
      <c r="P27" s="93">
        <v>2</v>
      </c>
      <c r="Q27" s="81">
        <v>-34.400000000000006</v>
      </c>
    </row>
    <row r="28" spans="1:17" x14ac:dyDescent="0.4">
      <c r="A28" s="38" t="s">
        <v>163</v>
      </c>
      <c r="B28" s="114">
        <f>IF(B$18=0,0,C28/B$18)</f>
        <v>8594.4915254237294</v>
      </c>
      <c r="C28" s="115">
        <v>2028300</v>
      </c>
      <c r="E28" s="44" t="s">
        <v>87</v>
      </c>
      <c r="F28" s="41" t="s">
        <v>42</v>
      </c>
      <c r="G28" s="34">
        <v>2</v>
      </c>
      <c r="H28" s="107">
        <f>IF(B$51=0,0,G28/B$51)</f>
        <v>2.2522522522522522E-3</v>
      </c>
      <c r="I28" s="68">
        <v>7</v>
      </c>
      <c r="K28" s="5">
        <v>26</v>
      </c>
      <c r="L28" s="73">
        <v>-256.29999999999995</v>
      </c>
      <c r="N28" s="89" t="s">
        <v>200</v>
      </c>
      <c r="O28" s="99">
        <f>IF(P28=0,0,Q28/P28)</f>
        <v>-69.5</v>
      </c>
      <c r="P28" s="93">
        <v>1</v>
      </c>
      <c r="Q28" s="81">
        <v>-69.5</v>
      </c>
    </row>
    <row r="29" spans="1:17" x14ac:dyDescent="0.4">
      <c r="A29" s="38" t="s">
        <v>161</v>
      </c>
      <c r="B29" s="114">
        <f>IF(B$20=0,0,C29/B$20)</f>
        <v>-8746.0869565217399</v>
      </c>
      <c r="C29" s="115">
        <v>-5029000</v>
      </c>
      <c r="E29" s="44" t="s">
        <v>74</v>
      </c>
      <c r="F29" s="41" t="s">
        <v>29</v>
      </c>
      <c r="G29" s="34">
        <v>1</v>
      </c>
      <c r="H29" s="107">
        <f>IF(B$51=0,0,G29/B$51)</f>
        <v>1.1261261261261261E-3</v>
      </c>
      <c r="I29" s="68">
        <v>9</v>
      </c>
      <c r="K29" s="5">
        <v>27</v>
      </c>
      <c r="L29" s="73">
        <v>-296.29999999999995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88</v>
      </c>
      <c r="F30" s="41" t="s">
        <v>43</v>
      </c>
      <c r="G30" s="34">
        <v>1</v>
      </c>
      <c r="H30" s="107">
        <f>IF(B$51=0,0,G30/B$51)</f>
        <v>1.1261261261261261E-3</v>
      </c>
      <c r="I30" s="68">
        <v>6</v>
      </c>
      <c r="K30" s="5">
        <v>28</v>
      </c>
      <c r="L30" s="73">
        <v>-290.19999999999993</v>
      </c>
    </row>
    <row r="31" spans="1:17" x14ac:dyDescent="0.4">
      <c r="A31" s="37" t="s">
        <v>156</v>
      </c>
      <c r="B31" s="34">
        <v>32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1.1261261261261261E-3</v>
      </c>
      <c r="I31" s="68">
        <v>5</v>
      </c>
      <c r="K31" s="5">
        <v>29</v>
      </c>
      <c r="L31" s="73">
        <v>-239.19999999999993</v>
      </c>
    </row>
    <row r="32" spans="1:17" x14ac:dyDescent="0.4">
      <c r="A32" s="64" t="s">
        <v>134</v>
      </c>
      <c r="B32" s="139">
        <v>8</v>
      </c>
      <c r="C32" s="140"/>
      <c r="E32" s="44" t="s">
        <v>97</v>
      </c>
      <c r="F32" s="41" t="s">
        <v>52</v>
      </c>
      <c r="G32" s="34">
        <v>1</v>
      </c>
      <c r="H32" s="107">
        <f>IF(B$51=0,0,G32/B$51)</f>
        <v>1.1261261261261261E-3</v>
      </c>
      <c r="I32" s="68">
        <v>2</v>
      </c>
      <c r="K32" s="5">
        <v>30</v>
      </c>
      <c r="L32" s="73">
        <v>-257.29999999999995</v>
      </c>
    </row>
    <row r="33" spans="1:12" x14ac:dyDescent="0.4">
      <c r="A33" s="40" t="s">
        <v>177</v>
      </c>
      <c r="B33" s="137">
        <v>124700</v>
      </c>
      <c r="C33" s="138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-265.39999999999998</v>
      </c>
    </row>
    <row r="34" spans="1:12" x14ac:dyDescent="0.4">
      <c r="A34" s="39" t="s">
        <v>135</v>
      </c>
      <c r="B34" s="27">
        <v>11</v>
      </c>
      <c r="C34" s="32">
        <f>IF(B$3=0,0,B34/B$3)</f>
        <v>3.4612964128382631E-3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-283.89999999999998</v>
      </c>
    </row>
    <row r="35" spans="1:12" x14ac:dyDescent="0.4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-291.29999999999995</v>
      </c>
    </row>
    <row r="36" spans="1:12" x14ac:dyDescent="0.4">
      <c r="A36" s="64" t="s">
        <v>168</v>
      </c>
      <c r="B36" s="121">
        <v>30</v>
      </c>
      <c r="C36" s="119">
        <f>IF(B$19=0,0,B36/B$19)</f>
        <v>3.34075723830735E-2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-301.69999999999993</v>
      </c>
    </row>
    <row r="37" spans="1:12" x14ac:dyDescent="0.4">
      <c r="A37" s="37" t="s">
        <v>164</v>
      </c>
      <c r="B37" s="34">
        <v>87</v>
      </c>
      <c r="C37" s="31">
        <f t="shared" ref="C37:C48" si="2">IF(B$19=0,0,B37/B$19)</f>
        <v>9.688195991091314E-2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-339.69999999999993</v>
      </c>
    </row>
    <row r="38" spans="1:12" x14ac:dyDescent="0.4">
      <c r="A38" s="37" t="s">
        <v>165</v>
      </c>
      <c r="B38" s="124">
        <v>131</v>
      </c>
      <c r="C38" s="31">
        <f>IF(B$19=0,0,B38/B$19)</f>
        <v>0.14587973273942093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-328.09999999999991</v>
      </c>
    </row>
    <row r="39" spans="1:12" x14ac:dyDescent="0.4">
      <c r="A39" s="37" t="s">
        <v>166</v>
      </c>
      <c r="B39" s="124">
        <v>174</v>
      </c>
      <c r="C39" s="31">
        <f t="shared" si="2"/>
        <v>0.19376391982182628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-371.59999999999991</v>
      </c>
    </row>
    <row r="40" spans="1:12" x14ac:dyDescent="0.4">
      <c r="A40" s="37" t="s">
        <v>167</v>
      </c>
      <c r="B40" s="124">
        <v>167</v>
      </c>
      <c r="C40" s="31">
        <f t="shared" si="2"/>
        <v>0.18596881959910913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-380.09999999999991</v>
      </c>
    </row>
    <row r="41" spans="1:12" x14ac:dyDescent="0.4">
      <c r="A41" s="37" t="s">
        <v>169</v>
      </c>
      <c r="B41" s="124">
        <v>111</v>
      </c>
      <c r="C41" s="31">
        <f t="shared" si="2"/>
        <v>0.12360801781737193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-360.49999999999989</v>
      </c>
    </row>
    <row r="42" spans="1:12" x14ac:dyDescent="0.4">
      <c r="A42" s="37" t="s">
        <v>170</v>
      </c>
      <c r="B42" s="124">
        <v>70</v>
      </c>
      <c r="C42" s="31">
        <f t="shared" si="2"/>
        <v>7.7951002227171495E-2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-378.59999999999991</v>
      </c>
    </row>
    <row r="43" spans="1:12" x14ac:dyDescent="0.4">
      <c r="A43" s="37" t="s">
        <v>171</v>
      </c>
      <c r="B43" s="124">
        <v>44</v>
      </c>
      <c r="C43" s="31">
        <f t="shared" si="2"/>
        <v>4.8997772828507792E-2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-366.59999999999991</v>
      </c>
    </row>
    <row r="44" spans="1:12" x14ac:dyDescent="0.4">
      <c r="A44" s="37" t="s">
        <v>172</v>
      </c>
      <c r="B44" s="124">
        <v>31</v>
      </c>
      <c r="C44" s="31">
        <f t="shared" si="2"/>
        <v>3.4521158129175944E-2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-367.09999999999991</v>
      </c>
    </row>
    <row r="45" spans="1:12" x14ac:dyDescent="0.4">
      <c r="A45" s="37" t="s">
        <v>173</v>
      </c>
      <c r="B45" s="124">
        <v>12</v>
      </c>
      <c r="C45" s="31">
        <f t="shared" si="2"/>
        <v>1.3363028953229399E-2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-325.09999999999991</v>
      </c>
    </row>
    <row r="46" spans="1:12" x14ac:dyDescent="0.4">
      <c r="A46" s="37" t="s">
        <v>174</v>
      </c>
      <c r="B46" s="124">
        <v>8</v>
      </c>
      <c r="C46" s="31">
        <f t="shared" si="2"/>
        <v>8.9086859688195987E-3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-330.89999999999992</v>
      </c>
    </row>
    <row r="47" spans="1:12" x14ac:dyDescent="0.4">
      <c r="A47" s="37" t="s">
        <v>175</v>
      </c>
      <c r="B47" s="124">
        <v>3</v>
      </c>
      <c r="C47" s="31">
        <f t="shared" si="2"/>
        <v>3.3407572383073497E-3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-329.19999999999993</v>
      </c>
    </row>
    <row r="48" spans="1:12" x14ac:dyDescent="0.4">
      <c r="A48" s="39" t="s">
        <v>176</v>
      </c>
      <c r="B48" s="120">
        <v>20</v>
      </c>
      <c r="C48" s="32">
        <f t="shared" si="2"/>
        <v>2.2271714922048998E-2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-363.39999999999992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-351.39999999999992</v>
      </c>
    </row>
    <row r="50" spans="1:12" x14ac:dyDescent="0.4">
      <c r="A50" s="64" t="s">
        <v>181</v>
      </c>
      <c r="B50" s="127">
        <v>3141</v>
      </c>
      <c r="C50" s="128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-359.19999999999993</v>
      </c>
    </row>
    <row r="51" spans="1:12" x14ac:dyDescent="0.4">
      <c r="A51" s="39" t="s">
        <v>182</v>
      </c>
      <c r="B51" s="135">
        <v>888</v>
      </c>
      <c r="C51" s="136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-364.49999999999994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-399.99999999999994</v>
      </c>
    </row>
    <row r="53" spans="1:12" x14ac:dyDescent="0.4">
      <c r="K53" s="5">
        <v>51</v>
      </c>
      <c r="L53" s="73">
        <v>-409.99999999999994</v>
      </c>
    </row>
    <row r="54" spans="1:12" x14ac:dyDescent="0.4">
      <c r="K54" s="5">
        <v>52</v>
      </c>
      <c r="L54" s="73">
        <v>-426.39999999999992</v>
      </c>
    </row>
    <row r="55" spans="1:12" x14ac:dyDescent="0.4">
      <c r="K55" s="5">
        <v>53</v>
      </c>
      <c r="L55" s="73">
        <v>-399.89999999999992</v>
      </c>
    </row>
    <row r="56" spans="1:12" x14ac:dyDescent="0.4">
      <c r="K56" s="5">
        <v>54</v>
      </c>
      <c r="L56" s="73">
        <v>-411.19999999999993</v>
      </c>
    </row>
    <row r="57" spans="1:12" x14ac:dyDescent="0.4">
      <c r="K57" s="5">
        <v>55</v>
      </c>
      <c r="L57" s="73">
        <v>-420.49999999999994</v>
      </c>
    </row>
    <row r="58" spans="1:12" x14ac:dyDescent="0.4">
      <c r="K58" s="5">
        <v>56</v>
      </c>
      <c r="L58" s="73">
        <v>-395.39999999999992</v>
      </c>
    </row>
    <row r="59" spans="1:12" x14ac:dyDescent="0.4">
      <c r="K59" s="5">
        <v>57</v>
      </c>
      <c r="L59" s="73">
        <v>-428.89999999999992</v>
      </c>
    </row>
    <row r="60" spans="1:12" x14ac:dyDescent="0.4">
      <c r="K60" s="5">
        <v>58</v>
      </c>
      <c r="L60" s="73">
        <v>-466.39999999999992</v>
      </c>
    </row>
    <row r="61" spans="1:12" x14ac:dyDescent="0.4">
      <c r="K61" s="5">
        <v>59</v>
      </c>
      <c r="L61" s="73">
        <v>-475.7999999999999</v>
      </c>
    </row>
    <row r="62" spans="1:12" x14ac:dyDescent="0.4">
      <c r="K62" s="5">
        <v>60</v>
      </c>
      <c r="L62" s="73">
        <v>-475.2999999999999</v>
      </c>
    </row>
    <row r="63" spans="1:12" x14ac:dyDescent="0.4">
      <c r="K63" s="5">
        <v>61</v>
      </c>
      <c r="L63" s="73">
        <v>-487.39999999999992</v>
      </c>
    </row>
    <row r="64" spans="1:12" x14ac:dyDescent="0.4">
      <c r="K64" s="5">
        <v>62</v>
      </c>
      <c r="L64" s="73">
        <v>-492.59999999999991</v>
      </c>
    </row>
    <row r="65" spans="11:12" x14ac:dyDescent="0.4">
      <c r="K65" s="5">
        <v>63</v>
      </c>
      <c r="L65" s="73">
        <v>-416.09999999999991</v>
      </c>
    </row>
    <row r="66" spans="11:12" x14ac:dyDescent="0.4">
      <c r="K66" s="5">
        <v>64</v>
      </c>
      <c r="L66" s="73">
        <v>-451.89999999999992</v>
      </c>
    </row>
    <row r="67" spans="11:12" x14ac:dyDescent="0.4">
      <c r="K67" s="5">
        <v>65</v>
      </c>
      <c r="L67" s="73">
        <v>-454.09999999999991</v>
      </c>
    </row>
    <row r="68" spans="11:12" x14ac:dyDescent="0.4">
      <c r="K68" s="5">
        <v>66</v>
      </c>
      <c r="L68" s="73">
        <v>-470.99999999999989</v>
      </c>
    </row>
    <row r="69" spans="11:12" x14ac:dyDescent="0.4">
      <c r="K69" s="5">
        <v>67</v>
      </c>
      <c r="L69" s="73">
        <v>-508.39999999999986</v>
      </c>
    </row>
    <row r="70" spans="11:12" x14ac:dyDescent="0.4">
      <c r="K70" s="5">
        <v>68</v>
      </c>
      <c r="L70" s="73">
        <v>-418.69999999999987</v>
      </c>
    </row>
    <row r="71" spans="11:12" x14ac:dyDescent="0.4">
      <c r="K71" s="5">
        <v>69</v>
      </c>
      <c r="L71" s="73">
        <v>-387.49999999999989</v>
      </c>
    </row>
    <row r="72" spans="11:12" x14ac:dyDescent="0.4">
      <c r="K72" s="5">
        <v>70</v>
      </c>
      <c r="L72" s="73">
        <v>-347.2999999999999</v>
      </c>
    </row>
    <row r="73" spans="11:12" x14ac:dyDescent="0.4">
      <c r="K73" s="5">
        <v>71</v>
      </c>
      <c r="L73" s="73">
        <v>-368.2999999999999</v>
      </c>
    </row>
    <row r="74" spans="11:12" x14ac:dyDescent="0.4">
      <c r="K74" s="5">
        <v>72</v>
      </c>
      <c r="L74" s="73">
        <v>-404.2999999999999</v>
      </c>
    </row>
    <row r="75" spans="11:12" x14ac:dyDescent="0.4">
      <c r="K75" s="5">
        <v>73</v>
      </c>
      <c r="L75" s="73">
        <v>-413.69999999999987</v>
      </c>
    </row>
    <row r="76" spans="11:12" x14ac:dyDescent="0.4">
      <c r="K76" s="5">
        <v>74</v>
      </c>
      <c r="L76" s="73">
        <v>-399.19999999999987</v>
      </c>
    </row>
    <row r="77" spans="11:12" x14ac:dyDescent="0.4">
      <c r="K77" s="5">
        <v>75</v>
      </c>
      <c r="L77" s="73">
        <v>-438.59999999999985</v>
      </c>
    </row>
    <row r="78" spans="11:12" x14ac:dyDescent="0.4">
      <c r="K78" s="5">
        <v>76</v>
      </c>
      <c r="L78" s="73">
        <v>-437.19999999999987</v>
      </c>
    </row>
    <row r="79" spans="11:12" x14ac:dyDescent="0.4">
      <c r="K79" s="5">
        <v>77</v>
      </c>
      <c r="L79" s="73">
        <v>-439.99999999999989</v>
      </c>
    </row>
    <row r="80" spans="11:12" x14ac:dyDescent="0.4">
      <c r="K80" s="5">
        <v>78</v>
      </c>
      <c r="L80" s="73">
        <v>-428.19999999999987</v>
      </c>
    </row>
    <row r="81" spans="11:12" x14ac:dyDescent="0.4">
      <c r="K81" s="5">
        <v>79</v>
      </c>
      <c r="L81" s="73">
        <v>-443.2999999999999</v>
      </c>
    </row>
    <row r="82" spans="11:12" x14ac:dyDescent="0.4">
      <c r="K82" s="5">
        <v>80</v>
      </c>
      <c r="L82" s="73">
        <v>-454.99999999999989</v>
      </c>
    </row>
    <row r="83" spans="11:12" x14ac:dyDescent="0.4">
      <c r="K83" s="5">
        <v>81</v>
      </c>
      <c r="L83" s="73">
        <v>-398.59999999999991</v>
      </c>
    </row>
    <row r="84" spans="11:12" x14ac:dyDescent="0.4">
      <c r="K84" s="5">
        <v>82</v>
      </c>
      <c r="L84" s="73">
        <v>-353.59999999999991</v>
      </c>
    </row>
    <row r="85" spans="11:12" x14ac:dyDescent="0.4">
      <c r="K85" s="5">
        <v>83</v>
      </c>
      <c r="L85" s="73">
        <v>-354.2999999999999</v>
      </c>
    </row>
    <row r="86" spans="11:12" x14ac:dyDescent="0.4">
      <c r="K86" s="5">
        <v>84</v>
      </c>
      <c r="L86" s="73">
        <v>-344.19999999999987</v>
      </c>
    </row>
    <row r="87" spans="11:12" x14ac:dyDescent="0.4">
      <c r="K87" s="5">
        <v>85</v>
      </c>
      <c r="L87" s="73">
        <v>-379.99999999999989</v>
      </c>
    </row>
    <row r="88" spans="11:12" x14ac:dyDescent="0.4">
      <c r="K88" s="5">
        <v>86</v>
      </c>
      <c r="L88" s="73">
        <v>-383.7999999999999</v>
      </c>
    </row>
    <row r="89" spans="11:12" x14ac:dyDescent="0.4">
      <c r="K89" s="5">
        <v>87</v>
      </c>
      <c r="L89" s="73">
        <v>-397.49999999999989</v>
      </c>
    </row>
    <row r="90" spans="11:12" x14ac:dyDescent="0.4">
      <c r="K90" s="5">
        <v>88</v>
      </c>
      <c r="L90" s="73">
        <v>-438.49999999999989</v>
      </c>
    </row>
    <row r="91" spans="11:12" x14ac:dyDescent="0.4">
      <c r="K91" s="5">
        <v>89</v>
      </c>
      <c r="L91" s="73">
        <v>-481.59999999999991</v>
      </c>
    </row>
    <row r="92" spans="11:12" x14ac:dyDescent="0.4">
      <c r="K92" s="5">
        <v>90</v>
      </c>
      <c r="L92" s="73">
        <v>-481.59999999999991</v>
      </c>
    </row>
    <row r="93" spans="11:12" x14ac:dyDescent="0.4">
      <c r="K93" s="5">
        <v>91</v>
      </c>
      <c r="L93" s="73">
        <v>-485.2999999999999</v>
      </c>
    </row>
    <row r="94" spans="11:12" x14ac:dyDescent="0.4">
      <c r="K94" s="5">
        <v>92</v>
      </c>
      <c r="L94" s="73">
        <v>-521.79999999999995</v>
      </c>
    </row>
    <row r="95" spans="11:12" x14ac:dyDescent="0.4">
      <c r="K95" s="5">
        <v>93</v>
      </c>
      <c r="L95" s="73">
        <v>-563.19999999999993</v>
      </c>
    </row>
    <row r="96" spans="11:12" x14ac:dyDescent="0.4">
      <c r="K96" s="5">
        <v>94</v>
      </c>
      <c r="L96" s="73">
        <v>-560.99999999999989</v>
      </c>
    </row>
    <row r="97" spans="11:12" x14ac:dyDescent="0.4">
      <c r="K97" s="5">
        <v>95</v>
      </c>
      <c r="L97" s="73">
        <v>-544.39999999999986</v>
      </c>
    </row>
    <row r="98" spans="11:12" x14ac:dyDescent="0.4">
      <c r="K98" s="5">
        <v>96</v>
      </c>
      <c r="L98" s="73">
        <v>-513.59999999999991</v>
      </c>
    </row>
    <row r="99" spans="11:12" x14ac:dyDescent="0.4">
      <c r="K99" s="5">
        <v>97</v>
      </c>
      <c r="L99" s="73">
        <v>-449.89999999999992</v>
      </c>
    </row>
    <row r="100" spans="11:12" x14ac:dyDescent="0.4">
      <c r="K100" s="5">
        <v>98</v>
      </c>
      <c r="L100" s="73">
        <v>-478.69999999999993</v>
      </c>
    </row>
    <row r="101" spans="11:12" x14ac:dyDescent="0.4">
      <c r="K101" s="5">
        <v>99</v>
      </c>
      <c r="L101" s="73">
        <v>-455.19999999999993</v>
      </c>
    </row>
    <row r="102" spans="11:12" x14ac:dyDescent="0.4">
      <c r="K102" s="5">
        <v>100</v>
      </c>
      <c r="L102" s="73">
        <v>-505.69999999999993</v>
      </c>
    </row>
    <row r="103" spans="11:12" x14ac:dyDescent="0.4">
      <c r="K103" s="5">
        <v>101</v>
      </c>
      <c r="L103" s="73">
        <v>-503.89999999999992</v>
      </c>
    </row>
    <row r="104" spans="11:12" x14ac:dyDescent="0.4">
      <c r="K104" s="5">
        <v>102</v>
      </c>
      <c r="L104" s="73">
        <v>-452.59999999999991</v>
      </c>
    </row>
    <row r="105" spans="11:12" x14ac:dyDescent="0.4">
      <c r="K105" s="5">
        <v>103</v>
      </c>
      <c r="L105" s="73">
        <v>-477.69999999999993</v>
      </c>
    </row>
    <row r="106" spans="11:12" x14ac:dyDescent="0.4">
      <c r="K106" s="5">
        <v>104</v>
      </c>
      <c r="L106" s="73">
        <v>-477.19999999999993</v>
      </c>
    </row>
    <row r="107" spans="11:12" x14ac:dyDescent="0.4">
      <c r="K107" s="5">
        <v>105</v>
      </c>
      <c r="L107" s="73">
        <v>-478.09999999999991</v>
      </c>
    </row>
    <row r="108" spans="11:12" x14ac:dyDescent="0.4">
      <c r="K108" s="5">
        <v>106</v>
      </c>
      <c r="L108" s="73">
        <v>-419.89999999999992</v>
      </c>
    </row>
    <row r="109" spans="11:12" x14ac:dyDescent="0.4">
      <c r="K109" s="5">
        <v>107</v>
      </c>
      <c r="L109" s="73">
        <v>-436.69999999999993</v>
      </c>
    </row>
    <row r="110" spans="11:12" x14ac:dyDescent="0.4">
      <c r="K110" s="5">
        <v>108</v>
      </c>
      <c r="L110" s="73">
        <v>-453.29999999999995</v>
      </c>
    </row>
    <row r="111" spans="11:12" x14ac:dyDescent="0.4">
      <c r="K111" s="5">
        <v>109</v>
      </c>
      <c r="L111" s="73">
        <v>-448.79999999999995</v>
      </c>
    </row>
    <row r="112" spans="11:12" x14ac:dyDescent="0.4">
      <c r="K112" s="5">
        <v>110</v>
      </c>
      <c r="L112" s="73">
        <v>-447.99999999999994</v>
      </c>
    </row>
    <row r="113" spans="11:12" x14ac:dyDescent="0.4">
      <c r="K113" s="5">
        <v>111</v>
      </c>
      <c r="L113" s="73">
        <v>-470.39999999999992</v>
      </c>
    </row>
    <row r="114" spans="11:12" x14ac:dyDescent="0.4">
      <c r="K114" s="5">
        <v>112</v>
      </c>
      <c r="L114" s="73">
        <v>-471.19999999999993</v>
      </c>
    </row>
    <row r="115" spans="11:12" x14ac:dyDescent="0.4">
      <c r="K115" s="5">
        <v>113</v>
      </c>
      <c r="L115" s="73">
        <v>-469.39999999999992</v>
      </c>
    </row>
    <row r="116" spans="11:12" x14ac:dyDescent="0.4">
      <c r="K116" s="5">
        <v>114</v>
      </c>
      <c r="L116" s="73">
        <v>-475.09999999999991</v>
      </c>
    </row>
    <row r="117" spans="11:12" x14ac:dyDescent="0.4">
      <c r="K117" s="5">
        <v>115</v>
      </c>
      <c r="L117" s="73">
        <v>-443.39999999999992</v>
      </c>
    </row>
    <row r="118" spans="11:12" x14ac:dyDescent="0.4">
      <c r="K118" s="5">
        <v>116</v>
      </c>
      <c r="L118" s="73">
        <v>-440.39999999999992</v>
      </c>
    </row>
    <row r="119" spans="11:12" x14ac:dyDescent="0.4">
      <c r="K119" s="5">
        <v>117</v>
      </c>
      <c r="L119" s="73">
        <v>-453.39999999999992</v>
      </c>
    </row>
    <row r="120" spans="11:12" x14ac:dyDescent="0.4">
      <c r="K120" s="5">
        <v>118</v>
      </c>
      <c r="L120" s="73">
        <v>-470.2999999999999</v>
      </c>
    </row>
    <row r="121" spans="11:12" x14ac:dyDescent="0.4">
      <c r="K121" s="5">
        <v>119</v>
      </c>
      <c r="L121" s="73">
        <v>-469.19999999999987</v>
      </c>
    </row>
    <row r="122" spans="11:12" x14ac:dyDescent="0.4">
      <c r="K122" s="5">
        <v>120</v>
      </c>
      <c r="L122" s="73">
        <v>-502.19999999999987</v>
      </c>
    </row>
    <row r="123" spans="11:12" x14ac:dyDescent="0.4">
      <c r="K123" s="5">
        <v>121</v>
      </c>
      <c r="L123" s="73">
        <v>-509.69999999999987</v>
      </c>
    </row>
    <row r="124" spans="11:12" x14ac:dyDescent="0.4">
      <c r="K124" s="5">
        <v>122</v>
      </c>
      <c r="L124" s="73">
        <v>-492.09999999999985</v>
      </c>
    </row>
    <row r="125" spans="11:12" x14ac:dyDescent="0.4">
      <c r="K125" s="5">
        <v>123</v>
      </c>
      <c r="L125" s="73">
        <v>-500.09999999999985</v>
      </c>
    </row>
    <row r="126" spans="11:12" x14ac:dyDescent="0.4">
      <c r="K126" s="5">
        <v>124</v>
      </c>
      <c r="L126" s="73">
        <v>-493.49999999999983</v>
      </c>
    </row>
    <row r="127" spans="11:12" x14ac:dyDescent="0.4">
      <c r="K127" s="5">
        <v>125</v>
      </c>
      <c r="L127" s="73">
        <v>-500.99999999999983</v>
      </c>
    </row>
    <row r="128" spans="11:12" x14ac:dyDescent="0.4">
      <c r="K128" s="5">
        <v>126</v>
      </c>
      <c r="L128" s="73">
        <v>-456.29999999999984</v>
      </c>
    </row>
    <row r="129" spans="11:12" x14ac:dyDescent="0.4">
      <c r="K129" s="5">
        <v>127</v>
      </c>
      <c r="L129" s="73">
        <v>-412.09999999999985</v>
      </c>
    </row>
    <row r="130" spans="11:12" x14ac:dyDescent="0.4">
      <c r="K130" s="5">
        <v>128</v>
      </c>
      <c r="L130" s="73">
        <v>-424.09999999999985</v>
      </c>
    </row>
    <row r="131" spans="11:12" x14ac:dyDescent="0.4">
      <c r="K131" s="5">
        <v>129</v>
      </c>
      <c r="L131" s="73">
        <v>-448.69999999999987</v>
      </c>
    </row>
    <row r="132" spans="11:12" x14ac:dyDescent="0.4">
      <c r="K132" s="5">
        <v>130</v>
      </c>
      <c r="L132" s="73">
        <v>-468.69999999999987</v>
      </c>
    </row>
    <row r="133" spans="11:12" x14ac:dyDescent="0.4">
      <c r="K133" s="5">
        <v>131</v>
      </c>
      <c r="L133" s="73">
        <v>-461.2999999999999</v>
      </c>
    </row>
    <row r="134" spans="11:12" x14ac:dyDescent="0.4">
      <c r="K134" s="5">
        <v>132</v>
      </c>
      <c r="L134" s="73">
        <v>-512.49999999999989</v>
      </c>
    </row>
    <row r="135" spans="11:12" x14ac:dyDescent="0.4">
      <c r="K135" s="5">
        <v>133</v>
      </c>
      <c r="L135" s="73">
        <v>-554.59999999999991</v>
      </c>
    </row>
    <row r="136" spans="11:12" x14ac:dyDescent="0.4">
      <c r="K136" s="5">
        <v>134</v>
      </c>
      <c r="L136" s="73">
        <v>-521.39999999999986</v>
      </c>
    </row>
    <row r="137" spans="11:12" x14ac:dyDescent="0.4">
      <c r="K137" s="5">
        <v>135</v>
      </c>
      <c r="L137" s="73">
        <v>-472.59999999999991</v>
      </c>
    </row>
    <row r="138" spans="11:12" x14ac:dyDescent="0.4">
      <c r="K138" s="5">
        <v>136</v>
      </c>
      <c r="L138" s="73">
        <v>-497.39999999999992</v>
      </c>
    </row>
    <row r="139" spans="11:12" x14ac:dyDescent="0.4">
      <c r="K139" s="5">
        <v>137</v>
      </c>
      <c r="L139" s="73">
        <v>-452.19999999999993</v>
      </c>
    </row>
    <row r="140" spans="11:12" x14ac:dyDescent="0.4">
      <c r="K140" s="5">
        <v>138</v>
      </c>
      <c r="L140" s="73">
        <v>-512.59999999999991</v>
      </c>
    </row>
    <row r="141" spans="11:12" x14ac:dyDescent="0.4">
      <c r="K141" s="5">
        <v>139</v>
      </c>
      <c r="L141" s="73">
        <v>-462.99999999999989</v>
      </c>
    </row>
    <row r="142" spans="11:12" x14ac:dyDescent="0.4">
      <c r="K142" s="5">
        <v>140</v>
      </c>
      <c r="L142" s="73">
        <v>-467.09999999999991</v>
      </c>
    </row>
    <row r="143" spans="11:12" x14ac:dyDescent="0.4">
      <c r="K143" s="5">
        <v>141</v>
      </c>
      <c r="L143" s="73">
        <v>-517.79999999999995</v>
      </c>
    </row>
    <row r="144" spans="11:12" x14ac:dyDescent="0.4">
      <c r="K144" s="5">
        <v>142</v>
      </c>
      <c r="L144" s="73">
        <v>-488.89999999999992</v>
      </c>
    </row>
    <row r="145" spans="11:12" x14ac:dyDescent="0.4">
      <c r="K145" s="5">
        <v>143</v>
      </c>
      <c r="L145" s="73">
        <v>-504.19999999999993</v>
      </c>
    </row>
    <row r="146" spans="11:12" x14ac:dyDescent="0.4">
      <c r="K146" s="5">
        <v>144</v>
      </c>
      <c r="L146" s="73">
        <v>-519.99999999999989</v>
      </c>
    </row>
    <row r="147" spans="11:12" x14ac:dyDescent="0.4">
      <c r="K147" s="5">
        <v>145</v>
      </c>
      <c r="L147" s="73">
        <v>-490.69999999999987</v>
      </c>
    </row>
    <row r="148" spans="11:12" x14ac:dyDescent="0.4">
      <c r="K148" s="5">
        <v>146</v>
      </c>
      <c r="L148" s="73">
        <v>-487.59999999999991</v>
      </c>
    </row>
    <row r="149" spans="11:12" x14ac:dyDescent="0.4">
      <c r="K149" s="5">
        <v>147</v>
      </c>
      <c r="L149" s="73">
        <v>-511.59999999999991</v>
      </c>
    </row>
    <row r="150" spans="11:12" x14ac:dyDescent="0.4">
      <c r="K150" s="5">
        <v>148</v>
      </c>
      <c r="L150" s="73">
        <v>-535.59999999999991</v>
      </c>
    </row>
    <row r="151" spans="11:12" x14ac:dyDescent="0.4">
      <c r="K151" s="5">
        <v>149</v>
      </c>
      <c r="L151" s="73">
        <v>-537.39999999999986</v>
      </c>
    </row>
    <row r="152" spans="11:12" x14ac:dyDescent="0.4">
      <c r="K152" s="5">
        <v>150</v>
      </c>
      <c r="L152" s="73">
        <v>-460.69999999999987</v>
      </c>
    </row>
    <row r="153" spans="11:12" x14ac:dyDescent="0.4">
      <c r="K153" s="5">
        <v>151</v>
      </c>
      <c r="L153" s="73">
        <v>-464.89999999999986</v>
      </c>
    </row>
    <row r="154" spans="11:12" x14ac:dyDescent="0.4">
      <c r="K154" s="5">
        <v>152</v>
      </c>
      <c r="L154" s="73">
        <v>-464.39999999999986</v>
      </c>
    </row>
    <row r="155" spans="11:12" x14ac:dyDescent="0.4">
      <c r="K155" s="5">
        <v>153</v>
      </c>
      <c r="L155" s="73">
        <v>-478.39999999999986</v>
      </c>
    </row>
    <row r="156" spans="11:12" x14ac:dyDescent="0.4">
      <c r="K156" s="5">
        <v>154</v>
      </c>
      <c r="L156" s="73">
        <v>-516.99999999999989</v>
      </c>
    </row>
    <row r="157" spans="11:12" x14ac:dyDescent="0.4">
      <c r="K157" s="5">
        <v>155</v>
      </c>
      <c r="L157" s="73">
        <v>-520.79999999999984</v>
      </c>
    </row>
    <row r="158" spans="11:12" x14ac:dyDescent="0.4">
      <c r="K158" s="5">
        <v>156</v>
      </c>
      <c r="L158" s="73">
        <v>-501.2999999999999</v>
      </c>
    </row>
    <row r="159" spans="11:12" x14ac:dyDescent="0.4">
      <c r="K159" s="5">
        <v>157</v>
      </c>
      <c r="L159" s="73">
        <v>-532.39999999999986</v>
      </c>
    </row>
    <row r="160" spans="11:12" x14ac:dyDescent="0.4">
      <c r="K160" s="5">
        <v>158</v>
      </c>
      <c r="L160" s="73">
        <v>-527.49999999999989</v>
      </c>
    </row>
    <row r="161" spans="11:12" x14ac:dyDescent="0.4">
      <c r="K161" s="5">
        <v>159</v>
      </c>
      <c r="L161" s="73">
        <v>-577.79999999999984</v>
      </c>
    </row>
    <row r="162" spans="11:12" x14ac:dyDescent="0.4">
      <c r="K162" s="5">
        <v>160</v>
      </c>
      <c r="L162" s="73">
        <v>-583.09999999999991</v>
      </c>
    </row>
    <row r="163" spans="11:12" x14ac:dyDescent="0.4">
      <c r="K163" s="5">
        <v>161</v>
      </c>
      <c r="L163" s="73">
        <v>-617.49999999999989</v>
      </c>
    </row>
    <row r="164" spans="11:12" x14ac:dyDescent="0.4">
      <c r="K164" s="5">
        <v>162</v>
      </c>
      <c r="L164" s="73">
        <v>-553.19999999999993</v>
      </c>
    </row>
    <row r="165" spans="11:12" x14ac:dyDescent="0.4">
      <c r="K165" s="5">
        <v>163</v>
      </c>
      <c r="L165" s="73">
        <v>-580.29999999999995</v>
      </c>
    </row>
    <row r="166" spans="11:12" x14ac:dyDescent="0.4">
      <c r="K166" s="5">
        <v>164</v>
      </c>
      <c r="L166" s="73">
        <v>-570.19999999999993</v>
      </c>
    </row>
    <row r="167" spans="11:12" x14ac:dyDescent="0.4">
      <c r="K167" s="5">
        <v>165</v>
      </c>
      <c r="L167" s="73">
        <v>-517.99999999999989</v>
      </c>
    </row>
    <row r="168" spans="11:12" x14ac:dyDescent="0.4">
      <c r="K168" s="5">
        <v>166</v>
      </c>
      <c r="L168" s="73">
        <v>-549.69999999999993</v>
      </c>
    </row>
    <row r="169" spans="11:12" x14ac:dyDescent="0.4">
      <c r="K169" s="5">
        <v>167</v>
      </c>
      <c r="L169" s="73">
        <v>-591.99999999999989</v>
      </c>
    </row>
    <row r="170" spans="11:12" x14ac:dyDescent="0.4">
      <c r="K170" s="5">
        <v>168</v>
      </c>
      <c r="L170" s="73">
        <v>-525.39999999999986</v>
      </c>
    </row>
    <row r="171" spans="11:12" x14ac:dyDescent="0.4">
      <c r="K171" s="5">
        <v>169</v>
      </c>
      <c r="L171" s="73">
        <v>-537.89999999999986</v>
      </c>
    </row>
    <row r="172" spans="11:12" x14ac:dyDescent="0.4">
      <c r="K172" s="5">
        <v>170</v>
      </c>
      <c r="L172" s="73">
        <v>-532.59999999999991</v>
      </c>
    </row>
    <row r="173" spans="11:12" x14ac:dyDescent="0.4">
      <c r="K173" s="5">
        <v>171</v>
      </c>
      <c r="L173" s="73">
        <v>-526.49999999999989</v>
      </c>
    </row>
    <row r="174" spans="11:12" x14ac:dyDescent="0.4">
      <c r="K174" s="5">
        <v>172</v>
      </c>
      <c r="L174" s="73">
        <v>-561.29999999999995</v>
      </c>
    </row>
    <row r="175" spans="11:12" x14ac:dyDescent="0.4">
      <c r="K175" s="5">
        <v>173</v>
      </c>
      <c r="L175" s="73">
        <v>-526.79999999999995</v>
      </c>
    </row>
    <row r="176" spans="11:12" x14ac:dyDescent="0.4">
      <c r="K176" s="5">
        <v>174</v>
      </c>
      <c r="L176" s="73">
        <v>-513.29999999999995</v>
      </c>
    </row>
    <row r="177" spans="11:12" x14ac:dyDescent="0.4">
      <c r="K177" s="5">
        <v>175</v>
      </c>
      <c r="L177" s="73">
        <v>-452.89999999999992</v>
      </c>
    </row>
    <row r="178" spans="11:12" x14ac:dyDescent="0.4">
      <c r="K178" s="5">
        <v>176</v>
      </c>
      <c r="L178" s="73">
        <v>-493.7999999999999</v>
      </c>
    </row>
    <row r="179" spans="11:12" x14ac:dyDescent="0.4">
      <c r="K179" s="5">
        <v>177</v>
      </c>
      <c r="L179" s="73">
        <v>-467.39999999999992</v>
      </c>
    </row>
    <row r="180" spans="11:12" x14ac:dyDescent="0.4">
      <c r="K180" s="5">
        <v>178</v>
      </c>
      <c r="L180" s="73">
        <v>-494.39999999999992</v>
      </c>
    </row>
    <row r="181" spans="11:12" x14ac:dyDescent="0.4">
      <c r="K181" s="5">
        <v>179</v>
      </c>
      <c r="L181" s="73">
        <v>-495.09999999999991</v>
      </c>
    </row>
    <row r="182" spans="11:12" x14ac:dyDescent="0.4">
      <c r="K182" s="5">
        <v>180</v>
      </c>
      <c r="L182" s="73">
        <v>-484.39999999999992</v>
      </c>
    </row>
    <row r="183" spans="11:12" x14ac:dyDescent="0.4">
      <c r="K183" s="5">
        <v>181</v>
      </c>
      <c r="L183" s="73">
        <v>-540.59999999999991</v>
      </c>
    </row>
    <row r="184" spans="11:12" x14ac:dyDescent="0.4">
      <c r="K184" s="5">
        <v>182</v>
      </c>
      <c r="L184" s="73">
        <v>-477.89999999999992</v>
      </c>
    </row>
    <row r="185" spans="11:12" x14ac:dyDescent="0.4">
      <c r="K185" s="5">
        <v>183</v>
      </c>
      <c r="L185" s="73">
        <v>-442.7999999999999</v>
      </c>
    </row>
    <row r="186" spans="11:12" x14ac:dyDescent="0.4">
      <c r="K186" s="5">
        <v>184</v>
      </c>
      <c r="L186" s="73">
        <v>-465.39999999999992</v>
      </c>
    </row>
    <row r="187" spans="11:12" x14ac:dyDescent="0.4">
      <c r="K187" s="5">
        <v>185</v>
      </c>
      <c r="L187" s="73">
        <v>-448.19999999999993</v>
      </c>
    </row>
    <row r="188" spans="11:12" x14ac:dyDescent="0.4">
      <c r="K188" s="5">
        <v>186</v>
      </c>
      <c r="L188" s="73">
        <v>-434.2999999999999</v>
      </c>
    </row>
    <row r="189" spans="11:12" x14ac:dyDescent="0.4">
      <c r="K189" s="5">
        <v>187</v>
      </c>
      <c r="L189" s="73">
        <v>-507.7999999999999</v>
      </c>
    </row>
    <row r="190" spans="11:12" x14ac:dyDescent="0.4">
      <c r="K190" s="5">
        <v>188</v>
      </c>
      <c r="L190" s="73">
        <v>-496.39999999999992</v>
      </c>
    </row>
    <row r="191" spans="11:12" x14ac:dyDescent="0.4">
      <c r="K191" s="5">
        <v>189</v>
      </c>
      <c r="L191" s="73">
        <v>-528.59999999999991</v>
      </c>
    </row>
    <row r="192" spans="11:12" x14ac:dyDescent="0.4">
      <c r="K192" s="5">
        <v>190</v>
      </c>
      <c r="L192" s="73">
        <v>-513.99999999999989</v>
      </c>
    </row>
    <row r="193" spans="11:12" x14ac:dyDescent="0.4">
      <c r="K193" s="5">
        <v>191</v>
      </c>
      <c r="L193" s="73">
        <v>-447.69999999999993</v>
      </c>
    </row>
    <row r="194" spans="11:12" x14ac:dyDescent="0.4">
      <c r="K194" s="5">
        <v>192</v>
      </c>
      <c r="L194" s="73">
        <v>-486.39999999999992</v>
      </c>
    </row>
    <row r="195" spans="11:12" x14ac:dyDescent="0.4">
      <c r="K195" s="5">
        <v>193</v>
      </c>
      <c r="L195" s="73">
        <v>-488.89999999999992</v>
      </c>
    </row>
    <row r="196" spans="11:12" x14ac:dyDescent="0.4">
      <c r="K196" s="5">
        <v>194</v>
      </c>
      <c r="L196" s="73">
        <v>-441.2999999999999</v>
      </c>
    </row>
    <row r="197" spans="11:12" x14ac:dyDescent="0.4">
      <c r="K197" s="5">
        <v>195</v>
      </c>
      <c r="L197" s="73">
        <v>-401.19999999999993</v>
      </c>
    </row>
    <row r="198" spans="11:12" x14ac:dyDescent="0.4">
      <c r="K198" s="5">
        <v>196</v>
      </c>
      <c r="L198" s="73">
        <v>-329.69999999999993</v>
      </c>
    </row>
    <row r="199" spans="11:12" x14ac:dyDescent="0.4">
      <c r="K199" s="5">
        <v>197</v>
      </c>
      <c r="L199" s="73">
        <v>-375.19999999999993</v>
      </c>
    </row>
    <row r="200" spans="11:12" x14ac:dyDescent="0.4">
      <c r="K200" s="5">
        <v>198</v>
      </c>
      <c r="L200" s="73">
        <v>-307.19999999999993</v>
      </c>
    </row>
    <row r="201" spans="11:12" x14ac:dyDescent="0.4">
      <c r="K201" s="5">
        <v>199</v>
      </c>
      <c r="L201" s="73">
        <v>-308.99999999999989</v>
      </c>
    </row>
    <row r="202" spans="11:12" x14ac:dyDescent="0.4">
      <c r="K202" s="5">
        <v>200</v>
      </c>
      <c r="L202" s="73">
        <v>-355.09999999999991</v>
      </c>
    </row>
    <row r="203" spans="11:12" x14ac:dyDescent="0.4">
      <c r="K203" s="5">
        <v>201</v>
      </c>
      <c r="L203" s="73">
        <v>-314.49999999999989</v>
      </c>
    </row>
    <row r="204" spans="11:12" x14ac:dyDescent="0.4">
      <c r="K204" s="5">
        <v>202</v>
      </c>
      <c r="L204" s="73">
        <v>-372.49999999999989</v>
      </c>
    </row>
    <row r="205" spans="11:12" x14ac:dyDescent="0.4">
      <c r="K205" s="5">
        <v>203</v>
      </c>
      <c r="L205" s="73">
        <v>-362.99999999999989</v>
      </c>
    </row>
    <row r="206" spans="11:12" x14ac:dyDescent="0.4">
      <c r="K206" s="5">
        <v>204</v>
      </c>
      <c r="L206" s="73">
        <v>-304.99999999999989</v>
      </c>
    </row>
    <row r="207" spans="11:12" x14ac:dyDescent="0.4">
      <c r="K207" s="5">
        <v>205</v>
      </c>
      <c r="L207" s="73">
        <v>-361.99999999999989</v>
      </c>
    </row>
    <row r="208" spans="11:12" x14ac:dyDescent="0.4">
      <c r="K208" s="5">
        <v>206</v>
      </c>
      <c r="L208" s="73">
        <v>-315.99999999999989</v>
      </c>
    </row>
    <row r="209" spans="11:12" x14ac:dyDescent="0.4">
      <c r="K209" s="5">
        <v>207</v>
      </c>
      <c r="L209" s="73">
        <v>-297.99999999999989</v>
      </c>
    </row>
    <row r="210" spans="11:12" x14ac:dyDescent="0.4">
      <c r="K210" s="5">
        <v>208</v>
      </c>
      <c r="L210" s="73">
        <v>-371.69999999999993</v>
      </c>
    </row>
    <row r="211" spans="11:12" x14ac:dyDescent="0.4">
      <c r="K211" s="5">
        <v>209</v>
      </c>
      <c r="L211" s="73">
        <v>-366.99999999999989</v>
      </c>
    </row>
    <row r="212" spans="11:12" x14ac:dyDescent="0.4">
      <c r="K212" s="5">
        <v>210</v>
      </c>
      <c r="L212" s="73">
        <v>-342.7999999999999</v>
      </c>
    </row>
    <row r="213" spans="11:12" x14ac:dyDescent="0.4">
      <c r="K213" s="5">
        <v>211</v>
      </c>
      <c r="L213" s="73">
        <v>-351.59999999999991</v>
      </c>
    </row>
    <row r="214" spans="11:12" x14ac:dyDescent="0.4">
      <c r="K214" s="5">
        <v>212</v>
      </c>
      <c r="L214" s="73">
        <v>-288.19999999999993</v>
      </c>
    </row>
    <row r="215" spans="11:12" x14ac:dyDescent="0.4">
      <c r="K215" s="5">
        <v>213</v>
      </c>
      <c r="L215" s="73">
        <v>-247.1999999999999</v>
      </c>
    </row>
    <row r="216" spans="11:12" x14ac:dyDescent="0.4">
      <c r="K216" s="5">
        <v>214</v>
      </c>
      <c r="L216" s="73">
        <v>-250.39999999999989</v>
      </c>
    </row>
    <row r="217" spans="11:12" x14ac:dyDescent="0.4">
      <c r="K217" s="5">
        <v>215</v>
      </c>
      <c r="L217" s="73">
        <v>-186.19999999999987</v>
      </c>
    </row>
    <row r="218" spans="11:12" x14ac:dyDescent="0.4">
      <c r="K218" s="5">
        <v>216</v>
      </c>
      <c r="L218" s="73">
        <v>-248.19999999999987</v>
      </c>
    </row>
    <row r="219" spans="11:12" x14ac:dyDescent="0.4">
      <c r="K219" s="5">
        <v>217</v>
      </c>
      <c r="L219" s="73">
        <v>-302.79999999999984</v>
      </c>
    </row>
    <row r="220" spans="11:12" x14ac:dyDescent="0.4">
      <c r="K220" s="5">
        <v>218</v>
      </c>
      <c r="L220" s="73">
        <v>-358.79999999999984</v>
      </c>
    </row>
    <row r="221" spans="11:12" x14ac:dyDescent="0.4">
      <c r="K221" s="5">
        <v>219</v>
      </c>
      <c r="L221" s="73">
        <v>-414.99999999999989</v>
      </c>
    </row>
    <row r="222" spans="11:12" x14ac:dyDescent="0.4">
      <c r="K222" s="5">
        <v>220</v>
      </c>
      <c r="L222" s="73">
        <v>-429.29999999999984</v>
      </c>
    </row>
    <row r="223" spans="11:12" x14ac:dyDescent="0.4">
      <c r="K223" s="5">
        <v>221</v>
      </c>
      <c r="L223" s="73">
        <v>-459.59999999999985</v>
      </c>
    </row>
    <row r="224" spans="11:12" x14ac:dyDescent="0.4">
      <c r="K224" s="5">
        <v>222</v>
      </c>
      <c r="L224" s="73">
        <v>-470.49999999999989</v>
      </c>
    </row>
    <row r="225" spans="11:12" x14ac:dyDescent="0.4">
      <c r="K225" s="5">
        <v>223</v>
      </c>
      <c r="L225" s="73">
        <v>-530.49999999999989</v>
      </c>
    </row>
    <row r="226" spans="11:12" x14ac:dyDescent="0.4">
      <c r="K226" s="5">
        <v>224</v>
      </c>
      <c r="L226" s="73">
        <v>-587.09999999999991</v>
      </c>
    </row>
    <row r="227" spans="11:12" x14ac:dyDescent="0.4">
      <c r="K227" s="5">
        <v>225</v>
      </c>
      <c r="L227" s="73">
        <v>-506.09999999999991</v>
      </c>
    </row>
    <row r="228" spans="11:12" x14ac:dyDescent="0.4">
      <c r="K228" s="5">
        <v>226</v>
      </c>
      <c r="L228" s="73">
        <v>-463.19999999999987</v>
      </c>
    </row>
    <row r="229" spans="11:12" x14ac:dyDescent="0.4">
      <c r="K229" s="5">
        <v>227</v>
      </c>
      <c r="L229" s="73">
        <v>-509.89999999999986</v>
      </c>
    </row>
    <row r="230" spans="11:12" x14ac:dyDescent="0.4">
      <c r="K230" s="5">
        <v>228</v>
      </c>
      <c r="L230" s="73">
        <v>-510.69999999999987</v>
      </c>
    </row>
    <row r="231" spans="11:12" x14ac:dyDescent="0.4">
      <c r="K231" s="5">
        <v>229</v>
      </c>
      <c r="L231" s="73">
        <v>-438.69999999999987</v>
      </c>
    </row>
    <row r="232" spans="11:12" x14ac:dyDescent="0.4">
      <c r="K232" s="5">
        <v>230</v>
      </c>
      <c r="L232" s="73">
        <v>-471.39999999999986</v>
      </c>
    </row>
    <row r="233" spans="11:12" x14ac:dyDescent="0.4">
      <c r="K233" s="5">
        <v>231</v>
      </c>
      <c r="L233" s="73">
        <v>-507.99999999999989</v>
      </c>
    </row>
    <row r="234" spans="11:12" x14ac:dyDescent="0.4">
      <c r="K234" s="5">
        <v>232</v>
      </c>
      <c r="L234" s="73">
        <v>-478.39999999999986</v>
      </c>
    </row>
    <row r="235" spans="11:12" x14ac:dyDescent="0.4">
      <c r="K235" s="5">
        <v>233</v>
      </c>
      <c r="L235" s="73">
        <v>-433.89999999999986</v>
      </c>
    </row>
    <row r="236" spans="11:12" x14ac:dyDescent="0.4">
      <c r="K236" s="5">
        <v>234</v>
      </c>
      <c r="L236" s="73">
        <v>-426.89999999999986</v>
      </c>
    </row>
    <row r="237" spans="11:12" x14ac:dyDescent="0.4">
      <c r="K237" s="5">
        <v>235</v>
      </c>
      <c r="L237" s="73">
        <v>-431.49999999999989</v>
      </c>
    </row>
    <row r="238" spans="11:12" x14ac:dyDescent="0.4">
      <c r="K238" s="5">
        <v>236</v>
      </c>
      <c r="L238" s="73">
        <v>-356.2999999999999</v>
      </c>
    </row>
    <row r="239" spans="11:12" x14ac:dyDescent="0.4">
      <c r="K239" s="5">
        <v>237</v>
      </c>
      <c r="L239" s="73">
        <v>-320.7999999999999</v>
      </c>
    </row>
    <row r="240" spans="11:12" x14ac:dyDescent="0.4">
      <c r="K240" s="5">
        <v>238</v>
      </c>
      <c r="L240" s="73">
        <v>-263.19999999999993</v>
      </c>
    </row>
    <row r="241" spans="11:12" x14ac:dyDescent="0.4">
      <c r="K241" s="5">
        <v>239</v>
      </c>
      <c r="L241" s="73">
        <v>-280.2999999999999</v>
      </c>
    </row>
    <row r="242" spans="11:12" x14ac:dyDescent="0.4">
      <c r="K242" s="5">
        <v>240</v>
      </c>
      <c r="L242" s="73">
        <v>-294.19999999999993</v>
      </c>
    </row>
    <row r="243" spans="11:12" x14ac:dyDescent="0.4">
      <c r="K243" s="5">
        <v>241</v>
      </c>
      <c r="L243" s="73">
        <v>-324.99999999999989</v>
      </c>
    </row>
    <row r="244" spans="11:12" x14ac:dyDescent="0.4">
      <c r="K244" s="5">
        <v>242</v>
      </c>
      <c r="L244" s="73">
        <v>-334.09999999999991</v>
      </c>
    </row>
    <row r="245" spans="11:12" x14ac:dyDescent="0.4">
      <c r="K245" s="5">
        <v>243</v>
      </c>
      <c r="L245" s="73">
        <v>-392.2999999999999</v>
      </c>
    </row>
    <row r="246" spans="11:12" x14ac:dyDescent="0.4">
      <c r="K246" s="5">
        <v>244</v>
      </c>
      <c r="L246" s="73">
        <v>-438.7999999999999</v>
      </c>
    </row>
    <row r="247" spans="11:12" x14ac:dyDescent="0.4">
      <c r="K247" s="5">
        <v>245</v>
      </c>
      <c r="L247" s="73">
        <v>-399.59999999999991</v>
      </c>
    </row>
    <row r="248" spans="11:12" x14ac:dyDescent="0.4">
      <c r="K248" s="5">
        <v>246</v>
      </c>
      <c r="L248" s="73">
        <v>-443.2999999999999</v>
      </c>
    </row>
    <row r="249" spans="11:12" x14ac:dyDescent="0.4">
      <c r="K249" s="5">
        <v>247</v>
      </c>
      <c r="L249" s="73">
        <v>-385.2999999999999</v>
      </c>
    </row>
    <row r="250" spans="11:12" x14ac:dyDescent="0.4">
      <c r="K250" s="5">
        <v>248</v>
      </c>
      <c r="L250" s="73">
        <v>-385.7999999999999</v>
      </c>
    </row>
    <row r="251" spans="11:12" x14ac:dyDescent="0.4">
      <c r="K251" s="5">
        <v>249</v>
      </c>
      <c r="L251" s="73">
        <v>-435.19999999999987</v>
      </c>
    </row>
    <row r="252" spans="11:12" x14ac:dyDescent="0.4">
      <c r="K252" s="5">
        <v>250</v>
      </c>
      <c r="L252" s="73">
        <v>-445.99999999999989</v>
      </c>
    </row>
    <row r="253" spans="11:12" x14ac:dyDescent="0.4">
      <c r="K253" s="5">
        <v>251</v>
      </c>
      <c r="L253" s="73">
        <v>-438.29999999999984</v>
      </c>
    </row>
    <row r="254" spans="11:12" x14ac:dyDescent="0.4">
      <c r="K254" s="5">
        <v>252</v>
      </c>
      <c r="L254" s="73">
        <v>-488.69999999999987</v>
      </c>
    </row>
    <row r="255" spans="11:12" x14ac:dyDescent="0.4">
      <c r="K255" s="5">
        <v>253</v>
      </c>
      <c r="L255" s="73">
        <v>-435.49999999999989</v>
      </c>
    </row>
    <row r="256" spans="11:12" x14ac:dyDescent="0.4">
      <c r="K256" s="5">
        <v>254</v>
      </c>
      <c r="L256" s="73">
        <v>-457.39999999999986</v>
      </c>
    </row>
    <row r="257" spans="11:12" x14ac:dyDescent="0.4">
      <c r="K257" s="5">
        <v>255</v>
      </c>
      <c r="L257" s="73">
        <v>-411.49999999999989</v>
      </c>
    </row>
    <row r="258" spans="11:12" x14ac:dyDescent="0.4">
      <c r="K258" s="5">
        <v>256</v>
      </c>
      <c r="L258" s="73">
        <v>-426.79999999999984</v>
      </c>
    </row>
    <row r="259" spans="11:12" x14ac:dyDescent="0.4">
      <c r="K259" s="5">
        <v>257</v>
      </c>
      <c r="L259" s="73">
        <v>-388.09999999999985</v>
      </c>
    </row>
    <row r="260" spans="11:12" x14ac:dyDescent="0.4">
      <c r="K260" s="5">
        <v>258</v>
      </c>
      <c r="L260" s="73">
        <v>-380.79999999999984</v>
      </c>
    </row>
    <row r="261" spans="11:12" x14ac:dyDescent="0.4">
      <c r="K261" s="5">
        <v>259</v>
      </c>
      <c r="L261" s="73">
        <v>-349.99999999999983</v>
      </c>
    </row>
    <row r="262" spans="11:12" x14ac:dyDescent="0.4">
      <c r="K262" s="5">
        <v>260</v>
      </c>
      <c r="L262" s="73">
        <v>-352.79999999999984</v>
      </c>
    </row>
    <row r="263" spans="11:12" x14ac:dyDescent="0.4">
      <c r="K263" s="5">
        <v>261</v>
      </c>
      <c r="L263" s="73">
        <v>-375.39999999999986</v>
      </c>
    </row>
    <row r="264" spans="11:12" x14ac:dyDescent="0.4">
      <c r="K264" s="5">
        <v>262</v>
      </c>
      <c r="L264" s="73">
        <v>-384.89999999999986</v>
      </c>
    </row>
    <row r="265" spans="11:12" x14ac:dyDescent="0.4">
      <c r="K265" s="5">
        <v>263</v>
      </c>
      <c r="L265" s="73">
        <v>-346.79999999999984</v>
      </c>
    </row>
    <row r="266" spans="11:12" x14ac:dyDescent="0.4">
      <c r="K266" s="5">
        <v>264</v>
      </c>
      <c r="L266" s="73">
        <v>-335.29999999999984</v>
      </c>
    </row>
    <row r="267" spans="11:12" x14ac:dyDescent="0.4">
      <c r="K267" s="5">
        <v>265</v>
      </c>
      <c r="L267" s="73">
        <v>-376.39999999999986</v>
      </c>
    </row>
    <row r="268" spans="11:12" x14ac:dyDescent="0.4">
      <c r="K268" s="5">
        <v>266</v>
      </c>
      <c r="L268" s="73">
        <v>-362.69999999999987</v>
      </c>
    </row>
    <row r="269" spans="11:12" x14ac:dyDescent="0.4">
      <c r="K269" s="5">
        <v>267</v>
      </c>
      <c r="L269" s="73">
        <v>-409.99999999999989</v>
      </c>
    </row>
    <row r="270" spans="11:12" x14ac:dyDescent="0.4">
      <c r="K270" s="5">
        <v>268</v>
      </c>
      <c r="L270" s="73">
        <v>-356.49999999999989</v>
      </c>
    </row>
    <row r="271" spans="11:12" x14ac:dyDescent="0.4">
      <c r="K271" s="5">
        <v>269</v>
      </c>
      <c r="L271" s="73">
        <v>-335.99999999999989</v>
      </c>
    </row>
    <row r="272" spans="11:12" x14ac:dyDescent="0.4">
      <c r="K272" s="5">
        <v>270</v>
      </c>
      <c r="L272" s="73">
        <v>-341.49999999999989</v>
      </c>
    </row>
    <row r="273" spans="11:12" x14ac:dyDescent="0.4">
      <c r="K273" s="5">
        <v>271</v>
      </c>
      <c r="L273" s="73">
        <v>-294.09999999999985</v>
      </c>
    </row>
    <row r="274" spans="11:12" x14ac:dyDescent="0.4">
      <c r="K274" s="5">
        <v>272</v>
      </c>
      <c r="L274" s="73">
        <v>-251.09999999999985</v>
      </c>
    </row>
    <row r="275" spans="11:12" x14ac:dyDescent="0.4">
      <c r="K275" s="5">
        <v>273</v>
      </c>
      <c r="L275" s="73">
        <v>-228.89999999999986</v>
      </c>
    </row>
    <row r="276" spans="11:12" x14ac:dyDescent="0.4">
      <c r="K276" s="5">
        <v>274</v>
      </c>
      <c r="L276" s="73">
        <v>-212.99999999999983</v>
      </c>
    </row>
    <row r="277" spans="11:12" x14ac:dyDescent="0.4">
      <c r="K277" s="5">
        <v>275</v>
      </c>
      <c r="L277" s="73">
        <v>-214.99999999999983</v>
      </c>
    </row>
    <row r="278" spans="11:12" x14ac:dyDescent="0.4">
      <c r="K278" s="5">
        <v>276</v>
      </c>
      <c r="L278" s="73">
        <v>-184.49999999999983</v>
      </c>
    </row>
    <row r="279" spans="11:12" x14ac:dyDescent="0.4">
      <c r="K279" s="5">
        <v>277</v>
      </c>
      <c r="L279" s="73">
        <v>-219.59999999999982</v>
      </c>
    </row>
    <row r="280" spans="11:12" x14ac:dyDescent="0.4">
      <c r="K280" s="5">
        <v>278</v>
      </c>
      <c r="L280" s="73">
        <v>-178.69999999999982</v>
      </c>
    </row>
    <row r="281" spans="11:12" x14ac:dyDescent="0.4">
      <c r="K281" s="5">
        <v>279</v>
      </c>
      <c r="L281" s="73">
        <v>-195.69999999999982</v>
      </c>
    </row>
    <row r="282" spans="11:12" x14ac:dyDescent="0.4">
      <c r="K282" s="5">
        <v>280</v>
      </c>
      <c r="L282" s="73">
        <v>-223.79999999999981</v>
      </c>
    </row>
    <row r="283" spans="11:12" x14ac:dyDescent="0.4">
      <c r="K283" s="5">
        <v>281</v>
      </c>
      <c r="L283" s="73">
        <v>-253.79999999999981</v>
      </c>
    </row>
    <row r="284" spans="11:12" x14ac:dyDescent="0.4">
      <c r="K284" s="5">
        <v>282</v>
      </c>
      <c r="L284" s="73">
        <v>-257.0999999999998</v>
      </c>
    </row>
    <row r="285" spans="11:12" x14ac:dyDescent="0.4">
      <c r="K285" s="5">
        <v>283</v>
      </c>
      <c r="L285" s="73">
        <v>-215.0999999999998</v>
      </c>
    </row>
    <row r="286" spans="11:12" x14ac:dyDescent="0.4">
      <c r="K286" s="5">
        <v>284</v>
      </c>
      <c r="L286" s="73">
        <v>-246.69999999999982</v>
      </c>
    </row>
    <row r="287" spans="11:12" x14ac:dyDescent="0.4">
      <c r="K287" s="5">
        <v>285</v>
      </c>
      <c r="L287" s="73">
        <v>-217.89999999999981</v>
      </c>
    </row>
    <row r="288" spans="11:12" x14ac:dyDescent="0.4">
      <c r="K288" s="5">
        <v>286</v>
      </c>
      <c r="L288" s="73">
        <v>-239.19999999999982</v>
      </c>
    </row>
    <row r="289" spans="11:12" x14ac:dyDescent="0.4">
      <c r="K289" s="5">
        <v>287</v>
      </c>
      <c r="L289" s="73">
        <v>-170.09999999999982</v>
      </c>
    </row>
    <row r="290" spans="11:12" x14ac:dyDescent="0.4">
      <c r="K290" s="5">
        <v>288</v>
      </c>
      <c r="L290" s="73">
        <v>-134.59999999999982</v>
      </c>
    </row>
    <row r="291" spans="11:12" x14ac:dyDescent="0.4">
      <c r="K291" s="5">
        <v>289</v>
      </c>
      <c r="L291" s="73">
        <v>-55.999999999999829</v>
      </c>
    </row>
    <row r="292" spans="11:12" x14ac:dyDescent="0.4">
      <c r="K292" s="5">
        <v>290</v>
      </c>
      <c r="L292" s="73">
        <v>-55.699999999999818</v>
      </c>
    </row>
    <row r="293" spans="11:12" x14ac:dyDescent="0.4">
      <c r="K293" s="5">
        <v>291</v>
      </c>
      <c r="L293" s="73">
        <v>-20.599999999999795</v>
      </c>
    </row>
    <row r="294" spans="11:12" x14ac:dyDescent="0.4">
      <c r="K294" s="5">
        <v>292</v>
      </c>
      <c r="L294" s="73">
        <v>-42.899999999999807</v>
      </c>
    </row>
    <row r="295" spans="11:12" x14ac:dyDescent="0.4">
      <c r="K295" s="5">
        <v>293</v>
      </c>
      <c r="L295" s="73">
        <v>0.200000000000216</v>
      </c>
    </row>
    <row r="296" spans="11:12" x14ac:dyDescent="0.4">
      <c r="K296" s="5">
        <v>294</v>
      </c>
      <c r="L296" s="73">
        <v>-23.799999999999784</v>
      </c>
    </row>
    <row r="297" spans="11:12" x14ac:dyDescent="0.4">
      <c r="K297" s="5">
        <v>295</v>
      </c>
      <c r="L297" s="73">
        <v>-28.799999999999784</v>
      </c>
    </row>
    <row r="298" spans="11:12" x14ac:dyDescent="0.4">
      <c r="K298" s="5">
        <v>296</v>
      </c>
      <c r="L298" s="73">
        <v>-65.899999999999807</v>
      </c>
    </row>
    <row r="299" spans="11:12" x14ac:dyDescent="0.4">
      <c r="K299" s="5">
        <v>297</v>
      </c>
      <c r="L299" s="73">
        <v>-78.299999999999812</v>
      </c>
    </row>
    <row r="300" spans="11:12" x14ac:dyDescent="0.4">
      <c r="K300" s="5">
        <v>298</v>
      </c>
      <c r="L300" s="73">
        <v>-33.199999999999818</v>
      </c>
    </row>
    <row r="301" spans="11:12" x14ac:dyDescent="0.4">
      <c r="K301" s="5">
        <v>299</v>
      </c>
      <c r="L301" s="73">
        <v>-16.199999999999818</v>
      </c>
    </row>
    <row r="302" spans="11:12" x14ac:dyDescent="0.4">
      <c r="K302" s="5">
        <v>300</v>
      </c>
      <c r="L302" s="73">
        <v>32.800000000000182</v>
      </c>
    </row>
    <row r="303" spans="11:12" x14ac:dyDescent="0.4">
      <c r="K303" s="5">
        <v>301</v>
      </c>
      <c r="L303" s="73">
        <v>39.900000000000205</v>
      </c>
    </row>
    <row r="304" spans="11:12" x14ac:dyDescent="0.4">
      <c r="K304" s="5">
        <v>302</v>
      </c>
      <c r="L304" s="73">
        <v>26.800000000000182</v>
      </c>
    </row>
    <row r="305" spans="11:12" x14ac:dyDescent="0.4">
      <c r="K305" s="5">
        <v>303</v>
      </c>
      <c r="L305" s="73">
        <v>13.800000000000182</v>
      </c>
    </row>
    <row r="306" spans="11:12" x14ac:dyDescent="0.4">
      <c r="K306" s="5">
        <v>304</v>
      </c>
      <c r="L306" s="73">
        <v>-5.6999999999998181</v>
      </c>
    </row>
    <row r="307" spans="11:12" x14ac:dyDescent="0.4">
      <c r="K307" s="5">
        <v>305</v>
      </c>
      <c r="L307" s="73">
        <v>-51.199999999999818</v>
      </c>
    </row>
    <row r="308" spans="11:12" x14ac:dyDescent="0.4">
      <c r="K308" s="5">
        <v>306</v>
      </c>
      <c r="L308" s="73">
        <v>8.0000000000001705</v>
      </c>
    </row>
    <row r="309" spans="11:12" x14ac:dyDescent="0.4">
      <c r="K309" s="5">
        <v>307</v>
      </c>
      <c r="L309" s="73">
        <v>43.800000000000182</v>
      </c>
    </row>
    <row r="310" spans="11:12" x14ac:dyDescent="0.4">
      <c r="K310" s="5">
        <v>308</v>
      </c>
      <c r="L310" s="73">
        <v>35.900000000000205</v>
      </c>
    </row>
    <row r="311" spans="11:12" x14ac:dyDescent="0.4">
      <c r="K311" s="5">
        <v>309</v>
      </c>
      <c r="L311" s="73">
        <v>133.00000000000023</v>
      </c>
    </row>
    <row r="312" spans="11:12" x14ac:dyDescent="0.4">
      <c r="K312" s="5">
        <v>310</v>
      </c>
      <c r="L312" s="73">
        <v>130.20000000000022</v>
      </c>
    </row>
    <row r="313" spans="11:12" x14ac:dyDescent="0.4">
      <c r="K313" s="5">
        <v>311</v>
      </c>
      <c r="L313" s="73">
        <v>97.900000000000205</v>
      </c>
    </row>
    <row r="314" spans="11:12" x14ac:dyDescent="0.4">
      <c r="K314" s="5">
        <v>312</v>
      </c>
      <c r="L314" s="73">
        <v>110.70000000000022</v>
      </c>
    </row>
    <row r="315" spans="11:12" x14ac:dyDescent="0.4">
      <c r="K315" s="5">
        <v>313</v>
      </c>
      <c r="L315" s="73">
        <v>141.4000000000002</v>
      </c>
    </row>
    <row r="316" spans="11:12" x14ac:dyDescent="0.4">
      <c r="K316" s="5">
        <v>314</v>
      </c>
      <c r="L316" s="73">
        <v>81.100000000000193</v>
      </c>
    </row>
    <row r="317" spans="11:12" x14ac:dyDescent="0.4">
      <c r="K317" s="5">
        <v>315</v>
      </c>
      <c r="L317" s="73">
        <v>35.500000000000171</v>
      </c>
    </row>
    <row r="318" spans="11:12" x14ac:dyDescent="0.4">
      <c r="K318" s="5">
        <v>316</v>
      </c>
      <c r="L318" s="73">
        <v>7.6000000000001933</v>
      </c>
    </row>
    <row r="319" spans="11:12" x14ac:dyDescent="0.4">
      <c r="K319" s="5">
        <v>317</v>
      </c>
      <c r="L319" s="73">
        <v>0.700000000000216</v>
      </c>
    </row>
    <row r="320" spans="11:12" x14ac:dyDescent="0.4">
      <c r="K320" s="5">
        <v>318</v>
      </c>
      <c r="L320" s="73">
        <v>43.000000000000227</v>
      </c>
    </row>
    <row r="321" spans="11:12" x14ac:dyDescent="0.4">
      <c r="K321" s="5">
        <v>319</v>
      </c>
      <c r="L321" s="73">
        <v>-12.499999999999773</v>
      </c>
    </row>
    <row r="322" spans="11:12" x14ac:dyDescent="0.4">
      <c r="K322" s="5">
        <v>320</v>
      </c>
      <c r="L322" s="73">
        <v>-61.199999999999761</v>
      </c>
    </row>
    <row r="323" spans="11:12" x14ac:dyDescent="0.4">
      <c r="K323" s="5">
        <v>321</v>
      </c>
      <c r="L323" s="73">
        <v>-79.499999999999773</v>
      </c>
    </row>
    <row r="324" spans="11:12" x14ac:dyDescent="0.4">
      <c r="K324" s="5">
        <v>322</v>
      </c>
      <c r="L324" s="73">
        <v>-124.69999999999976</v>
      </c>
    </row>
    <row r="325" spans="11:12" x14ac:dyDescent="0.4">
      <c r="K325" s="5">
        <v>323</v>
      </c>
      <c r="L325" s="73">
        <v>-95.89999999999975</v>
      </c>
    </row>
    <row r="326" spans="11:12" x14ac:dyDescent="0.4">
      <c r="K326" s="5">
        <v>324</v>
      </c>
      <c r="L326" s="73">
        <v>-94.299999999999756</v>
      </c>
    </row>
    <row r="327" spans="11:12" x14ac:dyDescent="0.4">
      <c r="K327" s="5">
        <v>325</v>
      </c>
      <c r="L327" s="73">
        <v>-123.89999999999975</v>
      </c>
    </row>
    <row r="328" spans="11:12" x14ac:dyDescent="0.4">
      <c r="K328" s="5">
        <v>326</v>
      </c>
      <c r="L328" s="73">
        <v>-124.79999999999976</v>
      </c>
    </row>
    <row r="329" spans="11:12" x14ac:dyDescent="0.4">
      <c r="K329" s="5">
        <v>327</v>
      </c>
      <c r="L329" s="73">
        <v>-113.29999999999976</v>
      </c>
    </row>
    <row r="330" spans="11:12" x14ac:dyDescent="0.4">
      <c r="K330" s="5">
        <v>328</v>
      </c>
      <c r="L330" s="73">
        <v>-138.69999999999976</v>
      </c>
    </row>
    <row r="331" spans="11:12" x14ac:dyDescent="0.4">
      <c r="K331" s="5">
        <v>329</v>
      </c>
      <c r="L331" s="73">
        <v>-161.39999999999975</v>
      </c>
    </row>
    <row r="332" spans="11:12" x14ac:dyDescent="0.4">
      <c r="K332" s="5">
        <v>330</v>
      </c>
      <c r="L332" s="73">
        <v>-136.39999999999975</v>
      </c>
    </row>
    <row r="333" spans="11:12" x14ac:dyDescent="0.4">
      <c r="K333" s="5">
        <v>331</v>
      </c>
      <c r="L333" s="73">
        <v>-88.89999999999975</v>
      </c>
    </row>
    <row r="334" spans="11:12" x14ac:dyDescent="0.4">
      <c r="K334" s="5">
        <v>332</v>
      </c>
      <c r="L334" s="73">
        <v>-84.699999999999761</v>
      </c>
    </row>
    <row r="335" spans="11:12" x14ac:dyDescent="0.4">
      <c r="K335" s="5">
        <v>333</v>
      </c>
      <c r="L335" s="73">
        <v>-38.499999999999773</v>
      </c>
    </row>
    <row r="336" spans="11:12" x14ac:dyDescent="0.4">
      <c r="K336" s="5">
        <v>334</v>
      </c>
      <c r="L336" s="73">
        <v>-61.699999999999761</v>
      </c>
    </row>
    <row r="337" spans="11:12" x14ac:dyDescent="0.4">
      <c r="K337" s="5">
        <v>335</v>
      </c>
      <c r="L337" s="73">
        <v>-25.39999999999975</v>
      </c>
    </row>
    <row r="338" spans="11:12" x14ac:dyDescent="0.4">
      <c r="K338" s="5">
        <v>336</v>
      </c>
      <c r="L338" s="73">
        <v>10.300000000000239</v>
      </c>
    </row>
    <row r="339" spans="11:12" x14ac:dyDescent="0.4">
      <c r="K339" s="5">
        <v>337</v>
      </c>
      <c r="L339" s="73">
        <v>10.400000000000261</v>
      </c>
    </row>
    <row r="340" spans="11:12" x14ac:dyDescent="0.4">
      <c r="K340" s="5">
        <v>338</v>
      </c>
      <c r="L340" s="73">
        <v>9.7000000000002728</v>
      </c>
    </row>
    <row r="341" spans="11:12" x14ac:dyDescent="0.4">
      <c r="K341" s="5">
        <v>339</v>
      </c>
      <c r="L341" s="73">
        <v>24.000000000000284</v>
      </c>
    </row>
    <row r="342" spans="11:12" x14ac:dyDescent="0.4">
      <c r="K342" s="5">
        <v>340</v>
      </c>
      <c r="L342" s="73">
        <v>61.700000000000273</v>
      </c>
    </row>
    <row r="343" spans="11:12" x14ac:dyDescent="0.4">
      <c r="K343" s="5">
        <v>341</v>
      </c>
      <c r="L343" s="73">
        <v>25.300000000000296</v>
      </c>
    </row>
    <row r="344" spans="11:12" x14ac:dyDescent="0.4">
      <c r="K344" s="5">
        <v>342</v>
      </c>
      <c r="L344" s="73">
        <v>19.900000000000318</v>
      </c>
    </row>
    <row r="345" spans="11:12" x14ac:dyDescent="0.4">
      <c r="K345" s="5">
        <v>343</v>
      </c>
      <c r="L345" s="73">
        <v>34.500000000000341</v>
      </c>
    </row>
    <row r="346" spans="11:12" x14ac:dyDescent="0.4">
      <c r="K346" s="5">
        <v>344</v>
      </c>
      <c r="L346" s="73">
        <v>77.300000000000352</v>
      </c>
    </row>
    <row r="347" spans="11:12" x14ac:dyDescent="0.4">
      <c r="K347" s="5">
        <v>345</v>
      </c>
      <c r="L347" s="73">
        <v>83.900000000000375</v>
      </c>
    </row>
    <row r="348" spans="11:12" x14ac:dyDescent="0.4">
      <c r="K348" s="5">
        <v>346</v>
      </c>
      <c r="L348" s="73">
        <v>47.300000000000352</v>
      </c>
    </row>
    <row r="349" spans="11:12" x14ac:dyDescent="0.4">
      <c r="K349" s="5">
        <v>347</v>
      </c>
      <c r="L349" s="73">
        <v>70.800000000000352</v>
      </c>
    </row>
    <row r="350" spans="11:12" x14ac:dyDescent="0.4">
      <c r="K350" s="5">
        <v>348</v>
      </c>
      <c r="L350" s="73">
        <v>113.20000000000033</v>
      </c>
    </row>
    <row r="351" spans="11:12" x14ac:dyDescent="0.4">
      <c r="K351" s="5">
        <v>349</v>
      </c>
      <c r="L351" s="73">
        <v>146.10000000000031</v>
      </c>
    </row>
    <row r="352" spans="11:12" x14ac:dyDescent="0.4">
      <c r="K352" s="5">
        <v>350</v>
      </c>
      <c r="L352" s="73">
        <v>184.00000000000028</v>
      </c>
    </row>
    <row r="353" spans="11:12" x14ac:dyDescent="0.4">
      <c r="K353" s="5">
        <v>351</v>
      </c>
      <c r="L353" s="73">
        <v>197.50000000000034</v>
      </c>
    </row>
    <row r="354" spans="11:12" x14ac:dyDescent="0.4">
      <c r="K354" s="5">
        <v>352</v>
      </c>
      <c r="L354" s="73">
        <v>275.8000000000003</v>
      </c>
    </row>
    <row r="355" spans="11:12" x14ac:dyDescent="0.4">
      <c r="K355" s="5">
        <v>353</v>
      </c>
      <c r="L355" s="73">
        <v>291.40000000000032</v>
      </c>
    </row>
    <row r="356" spans="11:12" x14ac:dyDescent="0.4">
      <c r="K356" s="5">
        <v>354</v>
      </c>
      <c r="L356" s="73">
        <v>313.10000000000036</v>
      </c>
    </row>
    <row r="357" spans="11:12" x14ac:dyDescent="0.4">
      <c r="K357" s="5">
        <v>355</v>
      </c>
      <c r="L357" s="73">
        <v>312.10000000000036</v>
      </c>
    </row>
    <row r="358" spans="11:12" x14ac:dyDescent="0.4">
      <c r="K358" s="5">
        <v>356</v>
      </c>
      <c r="L358" s="73">
        <v>256.10000000000036</v>
      </c>
    </row>
    <row r="359" spans="11:12" x14ac:dyDescent="0.4">
      <c r="K359" s="5">
        <v>357</v>
      </c>
      <c r="L359" s="73">
        <v>233.80000000000041</v>
      </c>
    </row>
    <row r="360" spans="11:12" x14ac:dyDescent="0.4">
      <c r="K360" s="5">
        <v>358</v>
      </c>
      <c r="L360" s="73">
        <v>294.00000000000045</v>
      </c>
    </row>
    <row r="361" spans="11:12" x14ac:dyDescent="0.4">
      <c r="K361" s="5">
        <v>359</v>
      </c>
      <c r="L361" s="73">
        <v>381.10000000000048</v>
      </c>
    </row>
    <row r="362" spans="11:12" x14ac:dyDescent="0.4">
      <c r="K362" s="5">
        <v>360</v>
      </c>
      <c r="L362" s="73">
        <v>347.80000000000052</v>
      </c>
    </row>
    <row r="363" spans="11:12" x14ac:dyDescent="0.4">
      <c r="K363" s="5">
        <v>361</v>
      </c>
      <c r="L363" s="73">
        <v>297.40000000000055</v>
      </c>
    </row>
    <row r="364" spans="11:12" x14ac:dyDescent="0.4">
      <c r="K364" s="5">
        <v>362</v>
      </c>
      <c r="L364" s="73">
        <v>298.7000000000005</v>
      </c>
    </row>
    <row r="365" spans="11:12" x14ac:dyDescent="0.4">
      <c r="K365" s="5">
        <v>363</v>
      </c>
      <c r="L365" s="73">
        <v>284.30000000000052</v>
      </c>
    </row>
    <row r="366" spans="11:12" x14ac:dyDescent="0.4">
      <c r="K366" s="5">
        <v>364</v>
      </c>
      <c r="L366" s="73">
        <v>296.50000000000057</v>
      </c>
    </row>
    <row r="367" spans="11:12" x14ac:dyDescent="0.4">
      <c r="K367" s="5">
        <v>365</v>
      </c>
      <c r="L367" s="73">
        <v>246.00000000000057</v>
      </c>
    </row>
    <row r="368" spans="11:12" x14ac:dyDescent="0.4">
      <c r="K368" s="5">
        <v>366</v>
      </c>
      <c r="L368" s="73">
        <v>180.50000000000057</v>
      </c>
    </row>
    <row r="369" spans="11:12" x14ac:dyDescent="0.4">
      <c r="K369" s="5">
        <v>367</v>
      </c>
      <c r="L369" s="73">
        <v>150.00000000000057</v>
      </c>
    </row>
    <row r="370" spans="11:12" x14ac:dyDescent="0.4">
      <c r="K370" s="5">
        <v>368</v>
      </c>
      <c r="L370" s="73">
        <v>206.30000000000052</v>
      </c>
    </row>
    <row r="371" spans="11:12" x14ac:dyDescent="0.4">
      <c r="K371" s="5">
        <v>369</v>
      </c>
      <c r="L371" s="73">
        <v>169.10000000000053</v>
      </c>
    </row>
    <row r="372" spans="11:12" x14ac:dyDescent="0.4">
      <c r="K372" s="5">
        <v>370</v>
      </c>
      <c r="L372" s="73">
        <v>204.80000000000052</v>
      </c>
    </row>
    <row r="373" spans="11:12" x14ac:dyDescent="0.4">
      <c r="K373" s="5">
        <v>371</v>
      </c>
      <c r="L373" s="73">
        <v>187.2000000000005</v>
      </c>
    </row>
    <row r="374" spans="11:12" x14ac:dyDescent="0.4">
      <c r="K374" s="5">
        <v>372</v>
      </c>
      <c r="L374" s="73">
        <v>140.2000000000005</v>
      </c>
    </row>
    <row r="375" spans="11:12" x14ac:dyDescent="0.4">
      <c r="K375" s="5">
        <v>373</v>
      </c>
      <c r="L375" s="73">
        <v>127.2000000000005</v>
      </c>
    </row>
    <row r="376" spans="11:12" x14ac:dyDescent="0.4">
      <c r="K376" s="5">
        <v>374</v>
      </c>
      <c r="L376" s="73">
        <v>187.90000000000055</v>
      </c>
    </row>
    <row r="377" spans="11:12" x14ac:dyDescent="0.4">
      <c r="K377" s="5">
        <v>375</v>
      </c>
      <c r="L377" s="73">
        <v>219.10000000000059</v>
      </c>
    </row>
    <row r="378" spans="11:12" x14ac:dyDescent="0.4">
      <c r="K378" s="5">
        <v>376</v>
      </c>
      <c r="L378" s="73">
        <v>223.60000000000059</v>
      </c>
    </row>
    <row r="379" spans="11:12" x14ac:dyDescent="0.4">
      <c r="K379" s="5">
        <v>377</v>
      </c>
      <c r="L379" s="73">
        <v>230.10000000000059</v>
      </c>
    </row>
    <row r="380" spans="11:12" x14ac:dyDescent="0.4">
      <c r="K380" s="5">
        <v>378</v>
      </c>
      <c r="L380" s="73">
        <v>263.50000000000057</v>
      </c>
    </row>
    <row r="381" spans="11:12" x14ac:dyDescent="0.4">
      <c r="K381" s="5">
        <v>379</v>
      </c>
      <c r="L381" s="73">
        <v>231.70000000000061</v>
      </c>
    </row>
    <row r="382" spans="11:12" x14ac:dyDescent="0.4">
      <c r="K382" s="5">
        <v>380</v>
      </c>
      <c r="L382" s="73">
        <v>256.90000000000066</v>
      </c>
    </row>
    <row r="383" spans="11:12" x14ac:dyDescent="0.4">
      <c r="K383" s="5">
        <v>381</v>
      </c>
      <c r="L383" s="73">
        <v>262.90000000000066</v>
      </c>
    </row>
    <row r="384" spans="11:12" x14ac:dyDescent="0.4">
      <c r="K384" s="5">
        <v>382</v>
      </c>
      <c r="L384" s="73">
        <v>209.90000000000066</v>
      </c>
    </row>
    <row r="385" spans="11:12" x14ac:dyDescent="0.4">
      <c r="K385" s="5">
        <v>383</v>
      </c>
      <c r="L385" s="73">
        <v>226.50000000000068</v>
      </c>
    </row>
    <row r="386" spans="11:12" x14ac:dyDescent="0.4">
      <c r="K386" s="5">
        <v>384</v>
      </c>
      <c r="L386" s="73">
        <v>203.30000000000064</v>
      </c>
    </row>
    <row r="387" spans="11:12" x14ac:dyDescent="0.4">
      <c r="K387" s="5">
        <v>385</v>
      </c>
      <c r="L387" s="73">
        <v>155.90000000000066</v>
      </c>
    </row>
    <row r="388" spans="11:12" x14ac:dyDescent="0.4">
      <c r="K388" s="5">
        <v>386</v>
      </c>
      <c r="L388" s="73">
        <v>171.00000000000068</v>
      </c>
    </row>
    <row r="389" spans="11:12" x14ac:dyDescent="0.4">
      <c r="K389" s="5">
        <v>387</v>
      </c>
      <c r="L389" s="73">
        <v>124.90000000000066</v>
      </c>
    </row>
    <row r="390" spans="11:12" x14ac:dyDescent="0.4">
      <c r="K390" s="5">
        <v>388</v>
      </c>
      <c r="L390" s="73">
        <v>199.00000000000068</v>
      </c>
    </row>
    <row r="391" spans="11:12" x14ac:dyDescent="0.4">
      <c r="K391" s="5">
        <v>389</v>
      </c>
      <c r="L391" s="73">
        <v>189.50000000000068</v>
      </c>
    </row>
    <row r="392" spans="11:12" x14ac:dyDescent="0.4">
      <c r="K392" s="5">
        <v>390</v>
      </c>
      <c r="L392" s="73">
        <v>245.00000000000068</v>
      </c>
    </row>
    <row r="393" spans="11:12" x14ac:dyDescent="0.4">
      <c r="K393" s="5">
        <v>391</v>
      </c>
      <c r="L393" s="73">
        <v>273.20000000000073</v>
      </c>
    </row>
    <row r="394" spans="11:12" x14ac:dyDescent="0.4">
      <c r="K394" s="5">
        <v>392</v>
      </c>
      <c r="L394" s="73">
        <v>268.50000000000068</v>
      </c>
    </row>
    <row r="395" spans="11:12" x14ac:dyDescent="0.4">
      <c r="K395" s="5">
        <v>393</v>
      </c>
      <c r="L395" s="73">
        <v>298.50000000000068</v>
      </c>
    </row>
    <row r="396" spans="11:12" x14ac:dyDescent="0.4">
      <c r="K396" s="5">
        <v>394</v>
      </c>
      <c r="L396" s="73">
        <v>357.50000000000068</v>
      </c>
    </row>
    <row r="397" spans="11:12" x14ac:dyDescent="0.4">
      <c r="K397" s="5">
        <v>395</v>
      </c>
      <c r="L397" s="73">
        <v>374.00000000000068</v>
      </c>
    </row>
    <row r="398" spans="11:12" x14ac:dyDescent="0.4">
      <c r="K398" s="5">
        <v>396</v>
      </c>
      <c r="L398" s="73">
        <v>388.80000000000064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761B5-BD61-48D9-AAA1-20E20BB34D56}">
  <sheetPr codeName="Sheet14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196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9</v>
      </c>
      <c r="C2" s="128"/>
      <c r="E2" s="43" t="s">
        <v>64</v>
      </c>
      <c r="F2" s="25" t="s">
        <v>20</v>
      </c>
      <c r="G2" s="13">
        <v>15</v>
      </c>
      <c r="H2" s="106">
        <f>IF(B$51=0,0,G2/B$51)</f>
        <v>0.625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6100</v>
      </c>
      <c r="P2" s="92">
        <v>9</v>
      </c>
      <c r="Q2" s="76">
        <v>54900</v>
      </c>
    </row>
    <row r="3" spans="1:17" x14ac:dyDescent="0.4">
      <c r="A3" s="37" t="s">
        <v>8</v>
      </c>
      <c r="B3" s="129">
        <v>69</v>
      </c>
      <c r="C3" s="130"/>
      <c r="E3" s="44" t="s">
        <v>66</v>
      </c>
      <c r="F3" s="41" t="s">
        <v>22</v>
      </c>
      <c r="G3" s="34">
        <v>15</v>
      </c>
      <c r="H3" s="107">
        <f>IF(B$51=0,0,G3/B$51)</f>
        <v>0.625</v>
      </c>
      <c r="I3" s="68">
        <v>14</v>
      </c>
      <c r="K3" s="5">
        <v>1</v>
      </c>
      <c r="L3" s="73">
        <v>28.3</v>
      </c>
      <c r="N3" s="89" t="s">
        <v>127</v>
      </c>
      <c r="O3" s="96">
        <f t="shared" si="0"/>
        <v>-3555.5555555555557</v>
      </c>
      <c r="P3" s="93">
        <v>9</v>
      </c>
      <c r="Q3" s="77">
        <v>-32000</v>
      </c>
    </row>
    <row r="4" spans="1:17" x14ac:dyDescent="0.4">
      <c r="A4" s="37" t="s">
        <v>6</v>
      </c>
      <c r="B4" s="131">
        <v>109</v>
      </c>
      <c r="C4" s="132"/>
      <c r="E4" s="44" t="s">
        <v>72</v>
      </c>
      <c r="F4" s="41" t="s">
        <v>27</v>
      </c>
      <c r="G4" s="34">
        <v>13</v>
      </c>
      <c r="H4" s="107">
        <f>IF(B$51=0,0,G4/B$51)</f>
        <v>0.54166666666666663</v>
      </c>
      <c r="I4" s="68">
        <v>9</v>
      </c>
      <c r="K4" s="5">
        <v>2</v>
      </c>
      <c r="L4" s="73">
        <v>71.3</v>
      </c>
      <c r="N4" s="89" t="s">
        <v>128</v>
      </c>
      <c r="O4" s="96">
        <f t="shared" si="0"/>
        <v>-1333.3333333333333</v>
      </c>
      <c r="P4" s="93">
        <v>9</v>
      </c>
      <c r="Q4" s="77">
        <v>-12000</v>
      </c>
    </row>
    <row r="5" spans="1:17" x14ac:dyDescent="0.4">
      <c r="A5" s="37" t="s">
        <v>7</v>
      </c>
      <c r="B5" s="133">
        <f>IF(B$2=0,0,B$4/B$2)</f>
        <v>12.111111111111111</v>
      </c>
      <c r="C5" s="134"/>
      <c r="E5" s="44" t="s">
        <v>67</v>
      </c>
      <c r="F5" s="41" t="s">
        <v>23</v>
      </c>
      <c r="G5" s="34">
        <v>9</v>
      </c>
      <c r="H5" s="107">
        <f>IF(B$51=0,0,G5/B$51)</f>
        <v>0.375</v>
      </c>
      <c r="I5" s="68">
        <v>5</v>
      </c>
      <c r="K5" s="5">
        <v>3</v>
      </c>
      <c r="L5" s="73">
        <v>57.3</v>
      </c>
      <c r="N5" s="89" t="s">
        <v>129</v>
      </c>
      <c r="O5" s="96">
        <f t="shared" si="0"/>
        <v>8785.7142857142862</v>
      </c>
      <c r="P5" s="93">
        <v>7</v>
      </c>
      <c r="Q5" s="77">
        <v>61500</v>
      </c>
    </row>
    <row r="6" spans="1:17" x14ac:dyDescent="0.4">
      <c r="A6" s="37" t="s">
        <v>1</v>
      </c>
      <c r="B6" s="141">
        <f>IF(B$2=0,0,(B$7*1+B$8*2+B$9*3)/B$2)</f>
        <v>1.6666666666666667</v>
      </c>
      <c r="C6" s="142"/>
      <c r="E6" s="44" t="s">
        <v>68</v>
      </c>
      <c r="F6" s="41" t="s">
        <v>12</v>
      </c>
      <c r="G6" s="34">
        <v>5</v>
      </c>
      <c r="H6" s="107">
        <f>IF(B$51=0,0,G6/B$51)</f>
        <v>0.20833333333333334</v>
      </c>
      <c r="I6" s="68">
        <v>18</v>
      </c>
      <c r="K6" s="5">
        <v>4</v>
      </c>
      <c r="L6" s="73">
        <v>65.5</v>
      </c>
      <c r="N6" s="89" t="s">
        <v>130</v>
      </c>
      <c r="O6" s="96">
        <f t="shared" si="0"/>
        <v>-528.57142857142856</v>
      </c>
      <c r="P6" s="93">
        <v>7</v>
      </c>
      <c r="Q6" s="77">
        <v>-3700</v>
      </c>
    </row>
    <row r="7" spans="1:17" x14ac:dyDescent="0.4">
      <c r="A7" s="37" t="s">
        <v>2</v>
      </c>
      <c r="B7" s="34">
        <v>5</v>
      </c>
      <c r="C7" s="31">
        <f t="shared" ref="C7:C14" si="1">IF(B$2=0,0,B7/B$2)</f>
        <v>0.55555555555555558</v>
      </c>
      <c r="E7" s="44" t="s">
        <v>89</v>
      </c>
      <c r="F7" s="41" t="s">
        <v>44</v>
      </c>
      <c r="G7" s="34">
        <v>5</v>
      </c>
      <c r="H7" s="107">
        <f>IF(B$51=0,0,G7/B$51)</f>
        <v>0.20833333333333334</v>
      </c>
      <c r="I7" s="68">
        <v>2</v>
      </c>
      <c r="K7" s="5">
        <v>5</v>
      </c>
      <c r="L7" s="73">
        <v>90</v>
      </c>
      <c r="N7" s="90" t="s">
        <v>131</v>
      </c>
      <c r="O7" s="97">
        <f t="shared" si="0"/>
        <v>42.857142857142854</v>
      </c>
      <c r="P7" s="94">
        <v>7</v>
      </c>
      <c r="Q7" s="78">
        <v>300</v>
      </c>
    </row>
    <row r="8" spans="1:17" x14ac:dyDescent="0.4">
      <c r="A8" s="37" t="s">
        <v>3</v>
      </c>
      <c r="B8" s="34">
        <v>2</v>
      </c>
      <c r="C8" s="31">
        <f t="shared" si="1"/>
        <v>0.22222222222222221</v>
      </c>
      <c r="E8" s="44" t="s">
        <v>69</v>
      </c>
      <c r="F8" s="41" t="s">
        <v>24</v>
      </c>
      <c r="G8" s="34">
        <v>4</v>
      </c>
      <c r="H8" s="107">
        <f>IF(B$51=0,0,G8/B$51)</f>
        <v>0.16666666666666666</v>
      </c>
      <c r="I8" s="68">
        <v>5</v>
      </c>
      <c r="K8" s="5">
        <v>6</v>
      </c>
      <c r="L8" s="73">
        <v>48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0.22222222222222221</v>
      </c>
      <c r="E9" s="44" t="s">
        <v>70</v>
      </c>
      <c r="F9" s="41" t="s">
        <v>25</v>
      </c>
      <c r="G9" s="34">
        <v>4</v>
      </c>
      <c r="H9" s="107">
        <f>IF(B$51=0,0,G9/B$51)</f>
        <v>0.16666666666666666</v>
      </c>
      <c r="I9" s="68">
        <v>1</v>
      </c>
      <c r="K9" s="5">
        <v>7</v>
      </c>
      <c r="L9" s="73">
        <v>33.4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49">
        <f>IF(B7=0,0,C10/B7)</f>
        <v>34.279999999999994</v>
      </c>
      <c r="C10" s="150">
        <v>171.39999999999998</v>
      </c>
      <c r="E10" s="44" t="s">
        <v>86</v>
      </c>
      <c r="F10" s="41" t="s">
        <v>41</v>
      </c>
      <c r="G10" s="34">
        <v>4</v>
      </c>
      <c r="H10" s="107">
        <f>IF(B$51=0,0,G10/B$51)</f>
        <v>0.16666666666666666</v>
      </c>
      <c r="I10" s="68">
        <v>1</v>
      </c>
      <c r="K10" s="5">
        <v>8</v>
      </c>
      <c r="L10" s="73">
        <v>70.5</v>
      </c>
      <c r="N10" s="88" t="s">
        <v>149</v>
      </c>
      <c r="O10" s="98">
        <f>IF(P10=0,0,Q10/P10)</f>
        <v>-6.85</v>
      </c>
      <c r="P10" s="92">
        <v>2</v>
      </c>
      <c r="Q10" s="80">
        <v>-13.7</v>
      </c>
    </row>
    <row r="11" spans="1:17" x14ac:dyDescent="0.4">
      <c r="A11" s="38" t="s">
        <v>204</v>
      </c>
      <c r="B11" s="149">
        <f>IF(B8=0,0,C11/B8)</f>
        <v>-3.2</v>
      </c>
      <c r="C11" s="150">
        <v>-6.4</v>
      </c>
      <c r="E11" s="44" t="s">
        <v>65</v>
      </c>
      <c r="F11" s="41" t="s">
        <v>21</v>
      </c>
      <c r="G11" s="34">
        <v>3</v>
      </c>
      <c r="H11" s="107">
        <f>IF(B$51=0,0,G11/B$51)</f>
        <v>0.125</v>
      </c>
      <c r="I11" s="68">
        <v>6</v>
      </c>
      <c r="K11" s="5">
        <v>9</v>
      </c>
      <c r="L11" s="73">
        <v>109</v>
      </c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">
      <c r="A12" s="38" t="s">
        <v>205</v>
      </c>
      <c r="B12" s="149">
        <f>IF(B9=0,0,C12/B9)</f>
        <v>-28</v>
      </c>
      <c r="C12" s="150">
        <v>-56</v>
      </c>
      <c r="E12" s="44" t="s">
        <v>71</v>
      </c>
      <c r="F12" s="41" t="s">
        <v>26</v>
      </c>
      <c r="G12" s="34">
        <v>2</v>
      </c>
      <c r="H12" s="107">
        <f>IF(B$51=0,0,G12/B$51)</f>
        <v>8.3333333333333329E-2</v>
      </c>
      <c r="I12" s="68">
        <v>5</v>
      </c>
      <c r="N12" s="90" t="s">
        <v>151</v>
      </c>
      <c r="O12" s="100">
        <f>IF(P12=0,0,Q12/P12)</f>
        <v>17.528571428571428</v>
      </c>
      <c r="P12" s="94">
        <v>7</v>
      </c>
      <c r="Q12" s="82">
        <v>122.7</v>
      </c>
    </row>
    <row r="13" spans="1:17" x14ac:dyDescent="0.4">
      <c r="A13" s="38" t="s">
        <v>206</v>
      </c>
      <c r="B13" s="133">
        <f>AVERAGE(B10:B12)</f>
        <v>1.0266666666666648</v>
      </c>
      <c r="C13" s="134"/>
      <c r="E13" s="44" t="s">
        <v>157</v>
      </c>
      <c r="F13" s="41" t="s">
        <v>158</v>
      </c>
      <c r="G13" s="34">
        <v>2</v>
      </c>
      <c r="H13" s="107">
        <f>IF(B$51=0,0,G13/B$51)</f>
        <v>8.3333333333333329E-2</v>
      </c>
      <c r="I13" s="68">
        <v>18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</v>
      </c>
      <c r="C14" s="32">
        <f t="shared" si="1"/>
        <v>0.1111111111111111</v>
      </c>
      <c r="E14" s="44" t="s">
        <v>91</v>
      </c>
      <c r="F14" s="41" t="s">
        <v>46</v>
      </c>
      <c r="G14" s="34">
        <v>1</v>
      </c>
      <c r="H14" s="107">
        <f>IF(B$51=0,0,G14/B$51)</f>
        <v>4.1666666666666664E-2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26</v>
      </c>
      <c r="C15" s="11">
        <f>IF(B$50=0,0,B15/B$50)</f>
        <v>0.37681159420289856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187</v>
      </c>
      <c r="O15" s="98">
        <f>IF(P15=0,0,Q15/P15)</f>
        <v>45.699999999999996</v>
      </c>
      <c r="P15" s="92">
        <v>3</v>
      </c>
      <c r="Q15" s="80">
        <v>137.1</v>
      </c>
    </row>
    <row r="16" spans="1:17" x14ac:dyDescent="0.4">
      <c r="A16" s="37" t="s">
        <v>118</v>
      </c>
      <c r="B16" s="34">
        <v>10</v>
      </c>
      <c r="C16" s="31">
        <f>IF(B$50=0,0,B16/B$50)</f>
        <v>0.14492753623188406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186</v>
      </c>
      <c r="O16" s="99">
        <f>IF(P16=0,0,Q16/P16)</f>
        <v>45.5</v>
      </c>
      <c r="P16" s="93">
        <v>1</v>
      </c>
      <c r="Q16" s="81">
        <v>45.5</v>
      </c>
    </row>
    <row r="17" spans="1:17" x14ac:dyDescent="0.4">
      <c r="A17" s="19" t="s">
        <v>123</v>
      </c>
      <c r="B17" s="13">
        <v>16</v>
      </c>
      <c r="C17" s="4">
        <f>IF(B$15=0,0,B17/B$15)</f>
        <v>0.61538461538461542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185</v>
      </c>
      <c r="O17" s="99">
        <f>IF(P17=0,0,Q17/P17)</f>
        <v>38.6</v>
      </c>
      <c r="P17" s="93">
        <v>2</v>
      </c>
      <c r="Q17" s="81">
        <v>77.2</v>
      </c>
    </row>
    <row r="18" spans="1:17" x14ac:dyDescent="0.4">
      <c r="A18" s="19" t="s">
        <v>124</v>
      </c>
      <c r="B18" s="13">
        <v>5</v>
      </c>
      <c r="C18" s="4">
        <f>IF(B$16=0,0,B18/B$16)</f>
        <v>0.5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1</v>
      </c>
      <c r="N18" s="89" t="s">
        <v>190</v>
      </c>
      <c r="O18" s="99">
        <f>IF(P18=0,0,Q18/P18)</f>
        <v>29.666666666666668</v>
      </c>
      <c r="P18" s="93">
        <v>3</v>
      </c>
      <c r="Q18" s="81">
        <v>89</v>
      </c>
    </row>
    <row r="19" spans="1:17" x14ac:dyDescent="0.4">
      <c r="A19" s="19" t="s">
        <v>10</v>
      </c>
      <c r="B19" s="13">
        <v>24</v>
      </c>
      <c r="C19" s="4">
        <f>IF(B$3=0,0,B19/B$3)</f>
        <v>0.34782608695652173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9</v>
      </c>
      <c r="N19" s="89" t="s">
        <v>194</v>
      </c>
      <c r="O19" s="99">
        <f>IF(P19=0,0,Q19/P19)</f>
        <v>26.466666666666665</v>
      </c>
      <c r="P19" s="93">
        <v>3</v>
      </c>
      <c r="Q19" s="81">
        <v>79.399999999999991</v>
      </c>
    </row>
    <row r="20" spans="1:17" x14ac:dyDescent="0.4">
      <c r="A20" s="37" t="s">
        <v>13</v>
      </c>
      <c r="B20" s="34">
        <v>6</v>
      </c>
      <c r="C20" s="31">
        <f>IF(B$3=0,0,B20/B$3)</f>
        <v>8.6956521739130432E-2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193</v>
      </c>
      <c r="O20" s="99">
        <f>IF(P20=0,0,Q20/P20)</f>
        <v>6.2</v>
      </c>
      <c r="P20" s="93">
        <v>3</v>
      </c>
      <c r="Q20" s="81">
        <v>18.600000000000001</v>
      </c>
    </row>
    <row r="21" spans="1:17" x14ac:dyDescent="0.4">
      <c r="A21" s="37" t="s">
        <v>12</v>
      </c>
      <c r="B21" s="34">
        <v>7</v>
      </c>
      <c r="C21" s="31">
        <f>IF(B$19=0,0,B21/B$19)</f>
        <v>0.29166666666666669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15</v>
      </c>
      <c r="N21" s="89" t="s">
        <v>191</v>
      </c>
      <c r="O21" s="99">
        <f>IF(P21=0,0,Q21/P21)</f>
        <v>-25.3</v>
      </c>
      <c r="P21" s="93">
        <v>2</v>
      </c>
      <c r="Q21" s="81">
        <v>-50.6</v>
      </c>
    </row>
    <row r="22" spans="1:17" x14ac:dyDescent="0.4">
      <c r="A22" s="37" t="s">
        <v>11</v>
      </c>
      <c r="B22" s="34">
        <v>17</v>
      </c>
      <c r="C22" s="31">
        <f>IF(B$19=0,0,B22/B$19)</f>
        <v>0.70833333333333337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  <c r="N22" s="89" t="s">
        <v>195</v>
      </c>
      <c r="O22" s="99">
        <f>IF(P22=0,0,Q22/P22)</f>
        <v>-69.2</v>
      </c>
      <c r="P22" s="93">
        <v>1</v>
      </c>
      <c r="Q22" s="81">
        <v>-69.2</v>
      </c>
    </row>
    <row r="23" spans="1:17" x14ac:dyDescent="0.4">
      <c r="A23" s="37" t="s">
        <v>180</v>
      </c>
      <c r="B23" s="34">
        <v>16</v>
      </c>
      <c r="C23" s="31">
        <f>IF(B$19=0,0,B23/B$19)</f>
        <v>0.66666666666666663</v>
      </c>
      <c r="E23" s="44" t="s">
        <v>81</v>
      </c>
      <c r="F23" s="41" t="s">
        <v>36</v>
      </c>
      <c r="G23" s="34">
        <v>0</v>
      </c>
      <c r="H23" s="107">
        <f>IF(B$51=0,0,G23/B$51)</f>
        <v>0</v>
      </c>
      <c r="I23" s="68">
        <v>15</v>
      </c>
    </row>
    <row r="24" spans="1:17" x14ac:dyDescent="0.4">
      <c r="A24" s="37" t="s">
        <v>178</v>
      </c>
      <c r="B24" s="34">
        <v>5</v>
      </c>
      <c r="C24" s="31">
        <f>IF(B$19=0,0,B24/B$19)</f>
        <v>0.20833333333333334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17" x14ac:dyDescent="0.4">
      <c r="A25" s="37" t="s">
        <v>179</v>
      </c>
      <c r="B25" s="34">
        <v>3</v>
      </c>
      <c r="C25" s="31">
        <f>IF(B$19=0,0,B25/B$19)</f>
        <v>0.125</v>
      </c>
      <c r="E25" s="44" t="s">
        <v>83</v>
      </c>
      <c r="F25" s="41" t="s">
        <v>38</v>
      </c>
      <c r="G25" s="34">
        <v>0</v>
      </c>
      <c r="H25" s="107">
        <f>IF(B$51=0,0,G25/B$51)</f>
        <v>0</v>
      </c>
      <c r="I25" s="68">
        <v>15</v>
      </c>
    </row>
    <row r="26" spans="1:17" x14ac:dyDescent="0.4">
      <c r="A26" s="37" t="s">
        <v>5</v>
      </c>
      <c r="B26" s="17">
        <f>IF(B$19=0,0,C26/B$19)</f>
        <v>8891.6666666666661</v>
      </c>
      <c r="C26" s="8">
        <v>213400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</row>
    <row r="27" spans="1:17" x14ac:dyDescent="0.4">
      <c r="A27" s="38" t="s">
        <v>162</v>
      </c>
      <c r="B27" s="114">
        <f>IF($B$19-B$18=0,0,C27/($B$19-B$18))</f>
        <v>9610.5263157894733</v>
      </c>
      <c r="C27" s="115">
        <v>182600</v>
      </c>
      <c r="E27" s="44" t="s">
        <v>85</v>
      </c>
      <c r="F27" s="41" t="s">
        <v>40</v>
      </c>
      <c r="G27" s="34">
        <v>0</v>
      </c>
      <c r="H27" s="107">
        <f>IF(B$51=0,0,G27/B$51)</f>
        <v>0</v>
      </c>
      <c r="I27" s="68">
        <v>9</v>
      </c>
    </row>
    <row r="28" spans="1:17" x14ac:dyDescent="0.4">
      <c r="A28" s="38" t="s">
        <v>163</v>
      </c>
      <c r="B28" s="114">
        <f>IF(B$18=0,0,C28/B$18)</f>
        <v>6160</v>
      </c>
      <c r="C28" s="115">
        <v>30800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">
      <c r="A29" s="38" t="s">
        <v>161</v>
      </c>
      <c r="B29" s="114">
        <f>IF(B$20=0,0,C29/B$20)</f>
        <v>-8400</v>
      </c>
      <c r="C29" s="115">
        <v>-50400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">
      <c r="A30" s="37" t="s">
        <v>155</v>
      </c>
      <c r="B30" s="34">
        <v>3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">
      <c r="A31" s="37" t="s">
        <v>156</v>
      </c>
      <c r="B31" s="34">
        <v>17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39">
        <v>5</v>
      </c>
      <c r="C32" s="140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7">
        <v>78000</v>
      </c>
      <c r="C33" s="138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1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4</v>
      </c>
      <c r="C37" s="31">
        <f t="shared" ref="C37:C48" si="2">IF(B$19=0,0,B37/B$19)</f>
        <v>0.16666666666666666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4">
        <v>4</v>
      </c>
      <c r="C38" s="31">
        <f>IF(B$19=0,0,B38/B$19)</f>
        <v>0.16666666666666666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4">
        <v>6</v>
      </c>
      <c r="C39" s="31">
        <f t="shared" si="2"/>
        <v>0.25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4">
        <v>6</v>
      </c>
      <c r="C40" s="31">
        <f t="shared" si="2"/>
        <v>0.25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4">
        <v>2</v>
      </c>
      <c r="C41" s="31">
        <f t="shared" si="2"/>
        <v>8.3333333333333329E-2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4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4">
        <v>1</v>
      </c>
      <c r="C43" s="31">
        <f t="shared" si="2"/>
        <v>4.1666666666666664E-2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4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4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4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4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0">
        <v>1</v>
      </c>
      <c r="C48" s="32">
        <f t="shared" si="2"/>
        <v>4.1666666666666664E-2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7">
        <v>69</v>
      </c>
      <c r="C50" s="128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35">
        <v>24</v>
      </c>
      <c r="C51" s="136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8FEA9-A13E-4006-951A-6D1F6F48EF37}">
  <sheetPr codeName="Sheet15"/>
  <dimension ref="A1:Q315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187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313</v>
      </c>
      <c r="C2" s="128"/>
      <c r="E2" s="43" t="s">
        <v>66</v>
      </c>
      <c r="F2" s="25" t="s">
        <v>22</v>
      </c>
      <c r="G2" s="13">
        <v>457</v>
      </c>
      <c r="H2" s="106">
        <f>IF(B$51=0,0,G2/B$51)</f>
        <v>0.67205882352941182</v>
      </c>
      <c r="I2" s="67">
        <v>10</v>
      </c>
      <c r="K2" s="3">
        <v>0</v>
      </c>
      <c r="L2" s="72">
        <v>0</v>
      </c>
      <c r="N2" s="88" t="s">
        <v>126</v>
      </c>
      <c r="O2" s="95">
        <f t="shared" ref="O2:O7" si="0">IF(P2=0,0,Q2/P2)</f>
        <v>-330.99041533546324</v>
      </c>
      <c r="P2" s="92">
        <v>313</v>
      </c>
      <c r="Q2" s="76">
        <v>-103600</v>
      </c>
    </row>
    <row r="3" spans="1:17" x14ac:dyDescent="0.4">
      <c r="A3" s="37" t="s">
        <v>8</v>
      </c>
      <c r="B3" s="129">
        <v>2548</v>
      </c>
      <c r="C3" s="130"/>
      <c r="E3" s="44" t="s">
        <v>72</v>
      </c>
      <c r="F3" s="41" t="s">
        <v>27</v>
      </c>
      <c r="G3" s="34">
        <v>360</v>
      </c>
      <c r="H3" s="107">
        <f>IF(B$51=0,0,G3/B$51)</f>
        <v>0.52941176470588236</v>
      </c>
      <c r="I3" s="68">
        <v>11</v>
      </c>
      <c r="K3" s="5">
        <v>1</v>
      </c>
      <c r="L3" s="73">
        <v>15</v>
      </c>
      <c r="N3" s="89" t="s">
        <v>127</v>
      </c>
      <c r="O3" s="96">
        <f t="shared" si="0"/>
        <v>687.25490196078431</v>
      </c>
      <c r="P3" s="93">
        <v>306</v>
      </c>
      <c r="Q3" s="77">
        <v>210300</v>
      </c>
    </row>
    <row r="4" spans="1:17" x14ac:dyDescent="0.4">
      <c r="A4" s="37" t="s">
        <v>6</v>
      </c>
      <c r="B4" s="131">
        <v>-479.6</v>
      </c>
      <c r="C4" s="132"/>
      <c r="E4" s="44" t="s">
        <v>64</v>
      </c>
      <c r="F4" s="41" t="s">
        <v>20</v>
      </c>
      <c r="G4" s="34">
        <v>350</v>
      </c>
      <c r="H4" s="107">
        <f>IF(B$51=0,0,G4/B$51)</f>
        <v>0.51470588235294112</v>
      </c>
      <c r="I4" s="68">
        <v>9</v>
      </c>
      <c r="K4" s="5">
        <v>2</v>
      </c>
      <c r="L4" s="73">
        <v>-24.299999999999997</v>
      </c>
      <c r="N4" s="89" t="s">
        <v>128</v>
      </c>
      <c r="O4" s="96">
        <f t="shared" si="0"/>
        <v>-603.84615384615381</v>
      </c>
      <c r="P4" s="93">
        <v>286</v>
      </c>
      <c r="Q4" s="77">
        <v>-172700</v>
      </c>
    </row>
    <row r="5" spans="1:17" x14ac:dyDescent="0.4">
      <c r="A5" s="37" t="s">
        <v>7</v>
      </c>
      <c r="B5" s="133">
        <f>IF(B$2=0,0,B$4/B$2)</f>
        <v>-1.5322683706070288</v>
      </c>
      <c r="C5" s="134"/>
      <c r="E5" s="44" t="s">
        <v>157</v>
      </c>
      <c r="F5" s="41" t="s">
        <v>158</v>
      </c>
      <c r="G5" s="34">
        <v>274</v>
      </c>
      <c r="H5" s="107">
        <f>IF(B$51=0,0,G5/B$51)</f>
        <v>0.40294117647058825</v>
      </c>
      <c r="I5" s="68">
        <v>4</v>
      </c>
      <c r="K5" s="5">
        <v>3</v>
      </c>
      <c r="L5" s="73">
        <v>-15.599999999999998</v>
      </c>
      <c r="N5" s="89" t="s">
        <v>129</v>
      </c>
      <c r="O5" s="96">
        <f t="shared" si="0"/>
        <v>-53.612167300380229</v>
      </c>
      <c r="P5" s="93">
        <v>263</v>
      </c>
      <c r="Q5" s="77">
        <v>-14100</v>
      </c>
    </row>
    <row r="6" spans="1:17" x14ac:dyDescent="0.4">
      <c r="A6" s="37" t="s">
        <v>1</v>
      </c>
      <c r="B6" s="141">
        <f>IF(B$2=0,0,(B$7*1+B$8*2+B$9*3)/B$2)</f>
        <v>2.060702875399361</v>
      </c>
      <c r="C6" s="142"/>
      <c r="E6" s="44" t="s">
        <v>67</v>
      </c>
      <c r="F6" s="41" t="s">
        <v>23</v>
      </c>
      <c r="G6" s="34">
        <v>232</v>
      </c>
      <c r="H6" s="107">
        <f>IF(B$51=0,0,G6/B$51)</f>
        <v>0.3411764705882353</v>
      </c>
      <c r="I6" s="68">
        <v>7</v>
      </c>
      <c r="K6" s="5">
        <v>4</v>
      </c>
      <c r="L6" s="73">
        <v>5.1000000000000014</v>
      </c>
      <c r="N6" s="89" t="s">
        <v>130</v>
      </c>
      <c r="O6" s="96">
        <f t="shared" si="0"/>
        <v>-1022.9166666666666</v>
      </c>
      <c r="P6" s="93">
        <v>240</v>
      </c>
      <c r="Q6" s="77">
        <v>-245500</v>
      </c>
    </row>
    <row r="7" spans="1:17" x14ac:dyDescent="0.4">
      <c r="A7" s="37" t="s">
        <v>2</v>
      </c>
      <c r="B7" s="34">
        <v>87</v>
      </c>
      <c r="C7" s="31">
        <f t="shared" ref="C7:C14" si="1">IF(B$2=0,0,B7/B$2)</f>
        <v>0.27795527156549521</v>
      </c>
      <c r="E7" s="44" t="s">
        <v>68</v>
      </c>
      <c r="F7" s="41" t="s">
        <v>12</v>
      </c>
      <c r="G7" s="34">
        <v>216</v>
      </c>
      <c r="H7" s="107">
        <f>IF(B$51=0,0,G7/B$51)</f>
        <v>0.31764705882352939</v>
      </c>
      <c r="I7" s="68">
        <v>9</v>
      </c>
      <c r="K7" s="5">
        <v>5</v>
      </c>
      <c r="L7" s="73">
        <v>9.6000000000000014</v>
      </c>
      <c r="N7" s="90" t="s">
        <v>131</v>
      </c>
      <c r="O7" s="97">
        <f t="shared" si="0"/>
        <v>-357.286432160804</v>
      </c>
      <c r="P7" s="94">
        <v>199</v>
      </c>
      <c r="Q7" s="78">
        <v>-71100</v>
      </c>
    </row>
    <row r="8" spans="1:17" x14ac:dyDescent="0.4">
      <c r="A8" s="37" t="s">
        <v>3</v>
      </c>
      <c r="B8" s="34">
        <v>120</v>
      </c>
      <c r="C8" s="31">
        <f t="shared" si="1"/>
        <v>0.38338658146964855</v>
      </c>
      <c r="E8" s="44" t="s">
        <v>69</v>
      </c>
      <c r="F8" s="41" t="s">
        <v>24</v>
      </c>
      <c r="G8" s="34">
        <v>90</v>
      </c>
      <c r="H8" s="107">
        <f>IF(B$51=0,0,G8/B$51)</f>
        <v>0.13235294117647059</v>
      </c>
      <c r="I8" s="68">
        <v>12</v>
      </c>
      <c r="K8" s="5">
        <v>6</v>
      </c>
      <c r="L8" s="73">
        <v>2.2000000000000011</v>
      </c>
      <c r="N8" s="33"/>
      <c r="O8" s="101"/>
      <c r="P8" s="85"/>
      <c r="Q8" s="83"/>
    </row>
    <row r="9" spans="1:17" x14ac:dyDescent="0.4">
      <c r="A9" s="38" t="s">
        <v>4</v>
      </c>
      <c r="B9" s="35">
        <v>106</v>
      </c>
      <c r="C9" s="7">
        <f t="shared" si="1"/>
        <v>0.33865814696485624</v>
      </c>
      <c r="E9" s="44" t="s">
        <v>89</v>
      </c>
      <c r="F9" s="41" t="s">
        <v>44</v>
      </c>
      <c r="G9" s="34">
        <v>89</v>
      </c>
      <c r="H9" s="107">
        <f>IF(B$51=0,0,G9/B$51)</f>
        <v>0.13088235294117648</v>
      </c>
      <c r="I9" s="68">
        <v>10</v>
      </c>
      <c r="K9" s="5">
        <v>7</v>
      </c>
      <c r="L9" s="73">
        <v>27.200000000000003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49">
        <f>IF(B7=0,0,C10/B7)</f>
        <v>40.694252873563222</v>
      </c>
      <c r="C10" s="150">
        <v>3540.4000000000005</v>
      </c>
      <c r="E10" s="44" t="s">
        <v>65</v>
      </c>
      <c r="F10" s="41" t="s">
        <v>21</v>
      </c>
      <c r="G10" s="34">
        <v>65</v>
      </c>
      <c r="H10" s="107">
        <f>IF(B$51=0,0,G10/B$51)</f>
        <v>9.5588235294117641E-2</v>
      </c>
      <c r="I10" s="68">
        <v>15</v>
      </c>
      <c r="K10" s="5">
        <v>8</v>
      </c>
      <c r="L10" s="73">
        <v>-4.4999999999999964</v>
      </c>
      <c r="N10" s="88" t="s">
        <v>149</v>
      </c>
      <c r="O10" s="98">
        <f>IF(P10=0,0,Q10/P10)</f>
        <v>-4.4627118644067805</v>
      </c>
      <c r="P10" s="92">
        <v>118</v>
      </c>
      <c r="Q10" s="80">
        <v>-526.60000000000014</v>
      </c>
    </row>
    <row r="11" spans="1:17" x14ac:dyDescent="0.4">
      <c r="A11" s="38" t="s">
        <v>204</v>
      </c>
      <c r="B11" s="149">
        <f>IF(B8=0,0,C11/B8)</f>
        <v>0.11833333333333337</v>
      </c>
      <c r="C11" s="150">
        <v>14.200000000000005</v>
      </c>
      <c r="E11" s="44" t="s">
        <v>71</v>
      </c>
      <c r="F11" s="41" t="s">
        <v>26</v>
      </c>
      <c r="G11" s="34">
        <v>59</v>
      </c>
      <c r="H11" s="107">
        <f>IF(B$51=0,0,G11/B$51)</f>
        <v>8.6764705882352938E-2</v>
      </c>
      <c r="I11" s="68">
        <v>4</v>
      </c>
      <c r="K11" s="5">
        <v>9</v>
      </c>
      <c r="L11" s="73">
        <v>-9.3999999999999968</v>
      </c>
      <c r="N11" s="89" t="s">
        <v>150</v>
      </c>
      <c r="O11" s="99">
        <f>IF(P11=0,0,Q11/P11)</f>
        <v>0.69899999999999995</v>
      </c>
      <c r="P11" s="93">
        <v>100</v>
      </c>
      <c r="Q11" s="81">
        <v>69.899999999999991</v>
      </c>
    </row>
    <row r="12" spans="1:17" x14ac:dyDescent="0.4">
      <c r="A12" s="38" t="s">
        <v>205</v>
      </c>
      <c r="B12" s="149">
        <f>IF(B9=0,0,C12/B9)</f>
        <v>-38.058490566037733</v>
      </c>
      <c r="C12" s="150">
        <v>-4034.2</v>
      </c>
      <c r="E12" s="44" t="s">
        <v>70</v>
      </c>
      <c r="F12" s="41" t="s">
        <v>25</v>
      </c>
      <c r="G12" s="34">
        <v>55</v>
      </c>
      <c r="H12" s="107">
        <f>IF(B$51=0,0,G12/B$51)</f>
        <v>8.0882352941176475E-2</v>
      </c>
      <c r="I12" s="68">
        <v>12</v>
      </c>
      <c r="K12" s="5">
        <v>10</v>
      </c>
      <c r="L12" s="73">
        <v>-24.299999999999997</v>
      </c>
      <c r="N12" s="90" t="s">
        <v>151</v>
      </c>
      <c r="O12" s="100">
        <f>IF(P12=0,0,Q12/P12)</f>
        <v>-0.24105263157894774</v>
      </c>
      <c r="P12" s="94">
        <v>95</v>
      </c>
      <c r="Q12" s="82">
        <v>-22.900000000000034</v>
      </c>
    </row>
    <row r="13" spans="1:17" x14ac:dyDescent="0.4">
      <c r="A13" s="38" t="s">
        <v>206</v>
      </c>
      <c r="B13" s="133">
        <f>AVERAGE(B10:B12)</f>
        <v>0.9180318802862738</v>
      </c>
      <c r="C13" s="134"/>
      <c r="E13" s="44" t="s">
        <v>83</v>
      </c>
      <c r="F13" s="41" t="s">
        <v>38</v>
      </c>
      <c r="G13" s="34">
        <v>37</v>
      </c>
      <c r="H13" s="107">
        <f>IF(B$51=0,0,G13/B$51)</f>
        <v>5.4411764705882354E-2</v>
      </c>
      <c r="I13" s="68">
        <v>4</v>
      </c>
      <c r="K13" s="5">
        <v>11</v>
      </c>
      <c r="L13" s="73">
        <v>-70</v>
      </c>
      <c r="N13" s="28"/>
      <c r="O13" s="84"/>
      <c r="P13" s="86"/>
      <c r="Q13" s="84"/>
    </row>
    <row r="14" spans="1:17" x14ac:dyDescent="0.4">
      <c r="A14" s="39" t="s">
        <v>18</v>
      </c>
      <c r="B14" s="36">
        <v>38</v>
      </c>
      <c r="C14" s="32">
        <f t="shared" si="1"/>
        <v>0.12140575079872204</v>
      </c>
      <c r="E14" s="44" t="s">
        <v>86</v>
      </c>
      <c r="F14" s="41" t="s">
        <v>41</v>
      </c>
      <c r="G14" s="34">
        <v>37</v>
      </c>
      <c r="H14" s="107">
        <f>IF(B$51=0,0,G14/B$51)</f>
        <v>5.4411764705882354E-2</v>
      </c>
      <c r="I14" s="68">
        <v>10</v>
      </c>
      <c r="K14" s="5">
        <v>12</v>
      </c>
      <c r="L14" s="73">
        <v>-43.8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627</v>
      </c>
      <c r="C15" s="11">
        <f>IF(B$50=0,0,B15/B$50)</f>
        <v>0.24607535321821036</v>
      </c>
      <c r="E15" s="44" t="s">
        <v>78</v>
      </c>
      <c r="F15" s="41" t="s">
        <v>33</v>
      </c>
      <c r="G15" s="34">
        <v>18</v>
      </c>
      <c r="H15" s="107">
        <f>IF(B$51=0,0,G15/B$51)</f>
        <v>2.6470588235294117E-2</v>
      </c>
      <c r="I15" s="68">
        <v>8</v>
      </c>
      <c r="K15" s="5">
        <v>13</v>
      </c>
      <c r="L15" s="73">
        <v>-11.099999999999994</v>
      </c>
      <c r="N15" s="88" t="s">
        <v>198</v>
      </c>
      <c r="O15" s="98">
        <f>IF(P15=0,0,Q15/P15)</f>
        <v>36.400000000000006</v>
      </c>
      <c r="P15" s="92">
        <v>4</v>
      </c>
      <c r="Q15" s="80">
        <v>145.60000000000002</v>
      </c>
    </row>
    <row r="16" spans="1:17" x14ac:dyDescent="0.4">
      <c r="A16" s="37" t="s">
        <v>118</v>
      </c>
      <c r="B16" s="34">
        <v>580</v>
      </c>
      <c r="C16" s="31">
        <f>IF(B$50=0,0,B16/B$50)</f>
        <v>0.22762951334379905</v>
      </c>
      <c r="E16" s="44" t="s">
        <v>81</v>
      </c>
      <c r="F16" s="41" t="s">
        <v>36</v>
      </c>
      <c r="G16" s="34">
        <v>15</v>
      </c>
      <c r="H16" s="107">
        <f>IF(B$51=0,0,G16/B$51)</f>
        <v>2.2058823529411766E-2</v>
      </c>
      <c r="I16" s="68">
        <v>11</v>
      </c>
      <c r="K16" s="5">
        <v>14</v>
      </c>
      <c r="L16" s="73">
        <v>-5.7999999999999945</v>
      </c>
      <c r="N16" s="89" t="s">
        <v>197</v>
      </c>
      <c r="O16" s="99">
        <f>IF(P16=0,0,Q16/P16)</f>
        <v>24.106060606060606</v>
      </c>
      <c r="P16" s="93">
        <v>33</v>
      </c>
      <c r="Q16" s="81">
        <v>795.5</v>
      </c>
    </row>
    <row r="17" spans="1:17" x14ac:dyDescent="0.4">
      <c r="A17" s="19" t="s">
        <v>123</v>
      </c>
      <c r="B17" s="13">
        <v>356</v>
      </c>
      <c r="C17" s="4">
        <f>IF(B$15=0,0,B17/B$15)</f>
        <v>0.56778309409888361</v>
      </c>
      <c r="E17" s="44" t="s">
        <v>91</v>
      </c>
      <c r="F17" s="41" t="s">
        <v>46</v>
      </c>
      <c r="G17" s="34">
        <v>14</v>
      </c>
      <c r="H17" s="107">
        <f>IF(B$51=0,0,G17/B$51)</f>
        <v>2.0588235294117647E-2</v>
      </c>
      <c r="I17" s="68">
        <v>6</v>
      </c>
      <c r="K17" s="5">
        <v>15</v>
      </c>
      <c r="L17" s="73">
        <v>-44.199999999999996</v>
      </c>
      <c r="N17" s="89" t="s">
        <v>199</v>
      </c>
      <c r="O17" s="99">
        <f>IF(P17=0,0,Q17/P17)</f>
        <v>23.05</v>
      </c>
      <c r="P17" s="93">
        <v>16</v>
      </c>
      <c r="Q17" s="81">
        <v>368.8</v>
      </c>
    </row>
    <row r="18" spans="1:17" x14ac:dyDescent="0.4">
      <c r="A18" s="19" t="s">
        <v>124</v>
      </c>
      <c r="B18" s="13">
        <v>217</v>
      </c>
      <c r="C18" s="4">
        <f>IF(B$16=0,0,B18/B$16)</f>
        <v>0.37413793103448278</v>
      </c>
      <c r="E18" s="44" t="s">
        <v>79</v>
      </c>
      <c r="F18" s="41" t="s">
        <v>34</v>
      </c>
      <c r="G18" s="34">
        <v>13</v>
      </c>
      <c r="H18" s="107">
        <f>IF(B$51=0,0,G18/B$51)</f>
        <v>1.9117647058823531E-2</v>
      </c>
      <c r="I18" s="68">
        <v>6</v>
      </c>
      <c r="K18" s="5">
        <v>16</v>
      </c>
      <c r="L18" s="73">
        <v>-25.599999999999994</v>
      </c>
      <c r="N18" s="89" t="s">
        <v>185</v>
      </c>
      <c r="O18" s="99">
        <f>IF(P18=0,0,Q18/P18)</f>
        <v>13.450000000000001</v>
      </c>
      <c r="P18" s="93">
        <v>2</v>
      </c>
      <c r="Q18" s="81">
        <v>26.900000000000002</v>
      </c>
    </row>
    <row r="19" spans="1:17" x14ac:dyDescent="0.4">
      <c r="A19" s="19" t="s">
        <v>10</v>
      </c>
      <c r="B19" s="13">
        <v>680</v>
      </c>
      <c r="C19" s="4">
        <f>IF(B$3=0,0,B19/B$3)</f>
        <v>0.26687598116169547</v>
      </c>
      <c r="E19" s="44" t="s">
        <v>85</v>
      </c>
      <c r="F19" s="41" t="s">
        <v>40</v>
      </c>
      <c r="G19" s="34">
        <v>9</v>
      </c>
      <c r="H19" s="107">
        <f>IF(B$51=0,0,G19/B$51)</f>
        <v>1.3235294117647059E-2</v>
      </c>
      <c r="I19" s="68">
        <v>2</v>
      </c>
      <c r="K19" s="5">
        <v>17</v>
      </c>
      <c r="L19" s="73">
        <v>-39.799999999999997</v>
      </c>
      <c r="N19" s="89" t="s">
        <v>190</v>
      </c>
      <c r="O19" s="99">
        <f>IF(P19=0,0,Q19/P19)</f>
        <v>6.8016129032258075</v>
      </c>
      <c r="P19" s="93">
        <v>62</v>
      </c>
      <c r="Q19" s="81">
        <v>421.70000000000005</v>
      </c>
    </row>
    <row r="20" spans="1:17" x14ac:dyDescent="0.4">
      <c r="A20" s="37" t="s">
        <v>13</v>
      </c>
      <c r="B20" s="34">
        <v>381</v>
      </c>
      <c r="C20" s="31">
        <f>IF(B$3=0,0,B20/B$3)</f>
        <v>0.14952904238618525</v>
      </c>
      <c r="E20" s="44" t="s">
        <v>153</v>
      </c>
      <c r="F20" s="41" t="s">
        <v>154</v>
      </c>
      <c r="G20" s="34">
        <v>6</v>
      </c>
      <c r="H20" s="107">
        <f>IF(B$51=0,0,G20/B$51)</f>
        <v>8.8235294117647058E-3</v>
      </c>
      <c r="I20" s="68">
        <v>7</v>
      </c>
      <c r="K20" s="5">
        <v>18</v>
      </c>
      <c r="L20" s="73">
        <v>-60.4</v>
      </c>
      <c r="N20" s="89" t="s">
        <v>186</v>
      </c>
      <c r="O20" s="99">
        <f>IF(P20=0,0,Q20/P20)</f>
        <v>6.2222222222222241</v>
      </c>
      <c r="P20" s="93">
        <v>18</v>
      </c>
      <c r="Q20" s="81">
        <v>112.00000000000003</v>
      </c>
    </row>
    <row r="21" spans="1:17" x14ac:dyDescent="0.4">
      <c r="A21" s="37" t="s">
        <v>12</v>
      </c>
      <c r="B21" s="34">
        <v>303</v>
      </c>
      <c r="C21" s="31">
        <f>IF(B$19=0,0,B21/B$19)</f>
        <v>0.44558823529411767</v>
      </c>
      <c r="E21" s="44" t="s">
        <v>73</v>
      </c>
      <c r="F21" s="41" t="s">
        <v>28</v>
      </c>
      <c r="G21" s="34">
        <v>5</v>
      </c>
      <c r="H21" s="107">
        <f>IF(B$51=0,0,G21/B$51)</f>
        <v>7.3529411764705881E-3</v>
      </c>
      <c r="I21" s="68">
        <v>5</v>
      </c>
      <c r="K21" s="5">
        <v>19</v>
      </c>
      <c r="L21" s="73">
        <v>-60</v>
      </c>
      <c r="N21" s="89" t="s">
        <v>201</v>
      </c>
      <c r="O21" s="99">
        <f>IF(P21=0,0,Q21/P21)</f>
        <v>4.7999999999999989</v>
      </c>
      <c r="P21" s="93">
        <v>2</v>
      </c>
      <c r="Q21" s="81">
        <v>9.5999999999999979</v>
      </c>
    </row>
    <row r="22" spans="1:17" x14ac:dyDescent="0.4">
      <c r="A22" s="37" t="s">
        <v>11</v>
      </c>
      <c r="B22" s="34">
        <v>377</v>
      </c>
      <c r="C22" s="31">
        <f>IF(B$19=0,0,B22/B$19)</f>
        <v>0.55441176470588238</v>
      </c>
      <c r="E22" s="44" t="s">
        <v>92</v>
      </c>
      <c r="F22" s="41" t="s">
        <v>47</v>
      </c>
      <c r="G22" s="34">
        <v>5</v>
      </c>
      <c r="H22" s="107">
        <f>IF(B$51=0,0,G22/B$51)</f>
        <v>7.3529411764705881E-3</v>
      </c>
      <c r="I22" s="68">
        <v>4</v>
      </c>
      <c r="K22" s="5">
        <v>20</v>
      </c>
      <c r="L22" s="73">
        <v>-88.2</v>
      </c>
      <c r="N22" s="89" t="s">
        <v>194</v>
      </c>
      <c r="O22" s="99">
        <f>IF(P22=0,0,Q22/P22)</f>
        <v>0.74444444444444635</v>
      </c>
      <c r="P22" s="93">
        <v>9</v>
      </c>
      <c r="Q22" s="81">
        <v>6.7000000000000171</v>
      </c>
    </row>
    <row r="23" spans="1:17" x14ac:dyDescent="0.4">
      <c r="A23" s="37" t="s">
        <v>180</v>
      </c>
      <c r="B23" s="34">
        <v>356</v>
      </c>
      <c r="C23" s="31">
        <f>IF(B$19=0,0,B23/B$19)</f>
        <v>0.52352941176470591</v>
      </c>
      <c r="E23" s="44" t="s">
        <v>75</v>
      </c>
      <c r="F23" s="41" t="s">
        <v>30</v>
      </c>
      <c r="G23" s="34">
        <v>4</v>
      </c>
      <c r="H23" s="107">
        <f>IF(B$51=0,0,G23/B$51)</f>
        <v>5.8823529411764705E-3</v>
      </c>
      <c r="I23" s="68">
        <v>7</v>
      </c>
      <c r="K23" s="5">
        <v>21</v>
      </c>
      <c r="L23" s="73">
        <v>-125.80000000000001</v>
      </c>
      <c r="N23" s="89" t="s">
        <v>193</v>
      </c>
      <c r="O23" s="99">
        <f>IF(P23=0,0,Q23/P23)</f>
        <v>-0.11428571428571506</v>
      </c>
      <c r="P23" s="93">
        <v>133</v>
      </c>
      <c r="Q23" s="81">
        <v>-15.200000000000102</v>
      </c>
    </row>
    <row r="24" spans="1:17" x14ac:dyDescent="0.4">
      <c r="A24" s="37" t="s">
        <v>178</v>
      </c>
      <c r="B24" s="34">
        <v>217</v>
      </c>
      <c r="C24" s="31">
        <f>IF(B$19=0,0,B24/B$19)</f>
        <v>0.31911764705882351</v>
      </c>
      <c r="E24" s="44" t="s">
        <v>74</v>
      </c>
      <c r="F24" s="41" t="s">
        <v>29</v>
      </c>
      <c r="G24" s="34">
        <v>3</v>
      </c>
      <c r="H24" s="107">
        <f>IF(B$51=0,0,G24/B$51)</f>
        <v>4.4117647058823529E-3</v>
      </c>
      <c r="I24" s="68">
        <v>5</v>
      </c>
      <c r="K24" s="5">
        <v>22</v>
      </c>
      <c r="L24" s="73">
        <v>-149.30000000000001</v>
      </c>
      <c r="N24" s="89" t="s">
        <v>191</v>
      </c>
      <c r="O24" s="99">
        <f>IF(P24=0,0,Q24/P24)</f>
        <v>-0.91304347826086807</v>
      </c>
      <c r="P24" s="93">
        <v>115</v>
      </c>
      <c r="Q24" s="81">
        <v>-104.99999999999983</v>
      </c>
    </row>
    <row r="25" spans="1:17" x14ac:dyDescent="0.4">
      <c r="A25" s="37" t="s">
        <v>179</v>
      </c>
      <c r="B25" s="34">
        <v>107</v>
      </c>
      <c r="C25" s="31">
        <f>IF(B$19=0,0,B25/B$19)</f>
        <v>0.15735294117647058</v>
      </c>
      <c r="E25" s="44" t="s">
        <v>77</v>
      </c>
      <c r="F25" s="41" t="s">
        <v>32</v>
      </c>
      <c r="G25" s="34">
        <v>3</v>
      </c>
      <c r="H25" s="107">
        <f>IF(B$51=0,0,G25/B$51)</f>
        <v>4.4117647058823529E-3</v>
      </c>
      <c r="I25" s="68">
        <v>7</v>
      </c>
      <c r="K25" s="5">
        <v>23</v>
      </c>
      <c r="L25" s="73">
        <v>-150.30000000000001</v>
      </c>
      <c r="N25" s="89" t="s">
        <v>188</v>
      </c>
      <c r="O25" s="99">
        <f>IF(P25=0,0,Q25/P25)</f>
        <v>-1.865277777777778</v>
      </c>
      <c r="P25" s="93">
        <v>72</v>
      </c>
      <c r="Q25" s="81">
        <v>-134.30000000000001</v>
      </c>
    </row>
    <row r="26" spans="1:17" x14ac:dyDescent="0.4">
      <c r="A26" s="37" t="s">
        <v>5</v>
      </c>
      <c r="B26" s="17">
        <f>IF(B$19=0,0,C26/B$19)</f>
        <v>8678.676470588236</v>
      </c>
      <c r="C26" s="8">
        <v>5901500</v>
      </c>
      <c r="E26" s="44" t="s">
        <v>88</v>
      </c>
      <c r="F26" s="41" t="s">
        <v>43</v>
      </c>
      <c r="G26" s="34">
        <v>2</v>
      </c>
      <c r="H26" s="107">
        <f>IF(B$51=0,0,G26/B$51)</f>
        <v>2.9411764705882353E-3</v>
      </c>
      <c r="I26" s="68">
        <v>2</v>
      </c>
      <c r="K26" s="5">
        <v>24</v>
      </c>
      <c r="L26" s="73">
        <v>-196.10000000000002</v>
      </c>
      <c r="N26" s="89" t="s">
        <v>195</v>
      </c>
      <c r="O26" s="99">
        <f>IF(P26=0,0,Q26/P26)</f>
        <v>-18.331372549019612</v>
      </c>
      <c r="P26" s="93">
        <v>153</v>
      </c>
      <c r="Q26" s="81">
        <v>-2804.7000000000007</v>
      </c>
    </row>
    <row r="27" spans="1:17" x14ac:dyDescent="0.4">
      <c r="A27" s="38" t="s">
        <v>162</v>
      </c>
      <c r="B27" s="114">
        <f>IF($B$19-B$18=0,0,C27/($B$19-B$18))</f>
        <v>9536.7170626349889</v>
      </c>
      <c r="C27" s="115">
        <v>4415500</v>
      </c>
      <c r="E27" s="44" t="s">
        <v>90</v>
      </c>
      <c r="F27" s="41" t="s">
        <v>45</v>
      </c>
      <c r="G27" s="34">
        <v>2</v>
      </c>
      <c r="H27" s="107">
        <f>IF(B$51=0,0,G27/B$51)</f>
        <v>2.9411764705882353E-3</v>
      </c>
      <c r="I27" s="68">
        <v>2</v>
      </c>
      <c r="K27" s="5">
        <v>25</v>
      </c>
      <c r="L27" s="73">
        <v>-240.00000000000003</v>
      </c>
      <c r="N27" s="89" t="s">
        <v>189</v>
      </c>
      <c r="O27" s="99">
        <f>IF(P27=0,0,Q27/P27)</f>
        <v>-32.325000000000003</v>
      </c>
      <c r="P27" s="93">
        <v>4</v>
      </c>
      <c r="Q27" s="81">
        <v>-129.30000000000001</v>
      </c>
    </row>
    <row r="28" spans="1:17" x14ac:dyDescent="0.4">
      <c r="A28" s="38" t="s">
        <v>163</v>
      </c>
      <c r="B28" s="114">
        <f>IF(B$18=0,0,C28/B$18)</f>
        <v>6847.9262672811055</v>
      </c>
      <c r="C28" s="115">
        <v>1486000</v>
      </c>
      <c r="E28" s="44" t="s">
        <v>93</v>
      </c>
      <c r="F28" s="41" t="s">
        <v>48</v>
      </c>
      <c r="G28" s="34">
        <v>2</v>
      </c>
      <c r="H28" s="107">
        <f>IF(B$51=0,0,G28/B$51)</f>
        <v>2.9411764705882353E-3</v>
      </c>
      <c r="I28" s="68">
        <v>5</v>
      </c>
      <c r="K28" s="5">
        <v>26</v>
      </c>
      <c r="L28" s="73">
        <v>-277</v>
      </c>
      <c r="N28" s="89" t="s">
        <v>196</v>
      </c>
      <c r="O28" s="99">
        <f>IF(P28=0,0,Q28/P28)</f>
        <v>-45.699999999999996</v>
      </c>
      <c r="P28" s="93">
        <v>3</v>
      </c>
      <c r="Q28" s="81">
        <v>-137.1</v>
      </c>
    </row>
    <row r="29" spans="1:17" x14ac:dyDescent="0.4">
      <c r="A29" s="38" t="s">
        <v>161</v>
      </c>
      <c r="B29" s="114">
        <f>IF(B$20=0,0,C29/B$20)</f>
        <v>-7358.5301837270345</v>
      </c>
      <c r="C29" s="115">
        <v>-2803600</v>
      </c>
      <c r="E29" s="44" t="s">
        <v>101</v>
      </c>
      <c r="F29" s="41" t="s">
        <v>56</v>
      </c>
      <c r="G29" s="34">
        <v>2</v>
      </c>
      <c r="H29" s="107">
        <f>IF(B$51=0,0,G29/B$51)</f>
        <v>2.9411764705882353E-3</v>
      </c>
      <c r="I29" s="68">
        <v>1</v>
      </c>
      <c r="K29" s="5">
        <v>27</v>
      </c>
      <c r="L29" s="73">
        <v>-266.7</v>
      </c>
    </row>
    <row r="30" spans="1:17" x14ac:dyDescent="0.4">
      <c r="A30" s="37" t="s">
        <v>155</v>
      </c>
      <c r="B30" s="34">
        <v>6</v>
      </c>
      <c r="C30" s="109">
        <v>0</v>
      </c>
      <c r="E30" s="44" t="s">
        <v>87</v>
      </c>
      <c r="F30" s="41" t="s">
        <v>42</v>
      </c>
      <c r="G30" s="34">
        <v>1</v>
      </c>
      <c r="H30" s="107">
        <f>IF(B$51=0,0,G30/B$51)</f>
        <v>1.4705882352941176E-3</v>
      </c>
      <c r="I30" s="68">
        <v>8</v>
      </c>
      <c r="K30" s="5">
        <v>28</v>
      </c>
      <c r="L30" s="73">
        <v>-283.7</v>
      </c>
    </row>
    <row r="31" spans="1:17" x14ac:dyDescent="0.4">
      <c r="A31" s="37" t="s">
        <v>156</v>
      </c>
      <c r="B31" s="34">
        <v>45</v>
      </c>
      <c r="C31" s="109">
        <v>0</v>
      </c>
      <c r="E31" s="44" t="s">
        <v>76</v>
      </c>
      <c r="F31" s="41" t="s">
        <v>31</v>
      </c>
      <c r="G31" s="34">
        <v>0</v>
      </c>
      <c r="H31" s="107">
        <f>IF(B$51=0,0,G31/B$51)</f>
        <v>0</v>
      </c>
      <c r="I31" s="68">
        <v>1</v>
      </c>
      <c r="K31" s="5">
        <v>29</v>
      </c>
      <c r="L31" s="73">
        <v>-251.2</v>
      </c>
    </row>
    <row r="32" spans="1:17" x14ac:dyDescent="0.4">
      <c r="A32" s="64" t="s">
        <v>134</v>
      </c>
      <c r="B32" s="139">
        <v>8</v>
      </c>
      <c r="C32" s="140"/>
      <c r="E32" s="44" t="s">
        <v>80</v>
      </c>
      <c r="F32" s="41" t="s">
        <v>35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-287.89999999999998</v>
      </c>
    </row>
    <row r="33" spans="1:12" x14ac:dyDescent="0.4">
      <c r="A33" s="40" t="s">
        <v>177</v>
      </c>
      <c r="B33" s="137">
        <v>103000</v>
      </c>
      <c r="C33" s="138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-334.9</v>
      </c>
    </row>
    <row r="34" spans="1:12" x14ac:dyDescent="0.4">
      <c r="A34" s="39" t="s">
        <v>135</v>
      </c>
      <c r="B34" s="27">
        <v>7</v>
      </c>
      <c r="C34" s="32">
        <f>IF(B$3=0,0,B34/B$3)</f>
        <v>2.7472527472527475E-3</v>
      </c>
      <c r="E34" s="44" t="s">
        <v>84</v>
      </c>
      <c r="F34" s="41" t="s">
        <v>39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-360.79999999999995</v>
      </c>
    </row>
    <row r="35" spans="1:12" x14ac:dyDescent="0.4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-386.69999999999993</v>
      </c>
    </row>
    <row r="36" spans="1:12" x14ac:dyDescent="0.4">
      <c r="A36" s="64" t="s">
        <v>168</v>
      </c>
      <c r="B36" s="121">
        <v>47</v>
      </c>
      <c r="C36" s="119">
        <f>IF(B$19=0,0,B36/B$19)</f>
        <v>6.9117647058823534E-2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-412.99999999999994</v>
      </c>
    </row>
    <row r="37" spans="1:12" x14ac:dyDescent="0.4">
      <c r="A37" s="37" t="s">
        <v>164</v>
      </c>
      <c r="B37" s="34">
        <v>109</v>
      </c>
      <c r="C37" s="31">
        <f t="shared" ref="C37:C48" si="2">IF(B$19=0,0,B37/B$19)</f>
        <v>0.16029411764705884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-448.39999999999992</v>
      </c>
    </row>
    <row r="38" spans="1:12" x14ac:dyDescent="0.4">
      <c r="A38" s="37" t="s">
        <v>165</v>
      </c>
      <c r="B38" s="124">
        <v>127</v>
      </c>
      <c r="C38" s="31">
        <f>IF(B$19=0,0,B38/B$19)</f>
        <v>0.18676470588235294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-454.89999999999992</v>
      </c>
    </row>
    <row r="39" spans="1:12" x14ac:dyDescent="0.4">
      <c r="A39" s="37" t="s">
        <v>166</v>
      </c>
      <c r="B39" s="124">
        <v>122</v>
      </c>
      <c r="C39" s="31">
        <f t="shared" si="2"/>
        <v>0.17941176470588235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-456.7999999999999</v>
      </c>
    </row>
    <row r="40" spans="1:12" x14ac:dyDescent="0.4">
      <c r="A40" s="37" t="s">
        <v>167</v>
      </c>
      <c r="B40" s="124">
        <v>109</v>
      </c>
      <c r="C40" s="31">
        <f t="shared" si="2"/>
        <v>0.16029411764705884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-424.89999999999992</v>
      </c>
    </row>
    <row r="41" spans="1:12" x14ac:dyDescent="0.4">
      <c r="A41" s="37" t="s">
        <v>169</v>
      </c>
      <c r="B41" s="124">
        <v>73</v>
      </c>
      <c r="C41" s="31">
        <f t="shared" si="2"/>
        <v>0.10735294117647058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-464.89999999999992</v>
      </c>
    </row>
    <row r="42" spans="1:12" x14ac:dyDescent="0.4">
      <c r="A42" s="37" t="s">
        <v>170</v>
      </c>
      <c r="B42" s="124">
        <v>41</v>
      </c>
      <c r="C42" s="31">
        <f t="shared" si="2"/>
        <v>6.0294117647058824E-2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-414.89999999999992</v>
      </c>
    </row>
    <row r="43" spans="1:12" x14ac:dyDescent="0.4">
      <c r="A43" s="37" t="s">
        <v>171</v>
      </c>
      <c r="B43" s="124">
        <v>18</v>
      </c>
      <c r="C43" s="31">
        <f t="shared" si="2"/>
        <v>2.6470588235294117E-2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-419.49999999999994</v>
      </c>
    </row>
    <row r="44" spans="1:12" x14ac:dyDescent="0.4">
      <c r="A44" s="37" t="s">
        <v>172</v>
      </c>
      <c r="B44" s="124">
        <v>13</v>
      </c>
      <c r="C44" s="31">
        <f t="shared" si="2"/>
        <v>1.9117647058823531E-2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-450.99999999999994</v>
      </c>
    </row>
    <row r="45" spans="1:12" x14ac:dyDescent="0.4">
      <c r="A45" s="37" t="s">
        <v>173</v>
      </c>
      <c r="B45" s="124">
        <v>8</v>
      </c>
      <c r="C45" s="31">
        <f t="shared" si="2"/>
        <v>1.1764705882352941E-2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-484.99999999999994</v>
      </c>
    </row>
    <row r="46" spans="1:12" x14ac:dyDescent="0.4">
      <c r="A46" s="37" t="s">
        <v>174</v>
      </c>
      <c r="B46" s="124">
        <v>2</v>
      </c>
      <c r="C46" s="31">
        <f t="shared" si="2"/>
        <v>2.9411764705882353E-3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-541.99999999999989</v>
      </c>
    </row>
    <row r="47" spans="1:12" x14ac:dyDescent="0.4">
      <c r="A47" s="37" t="s">
        <v>175</v>
      </c>
      <c r="B47" s="124">
        <v>2</v>
      </c>
      <c r="C47" s="31">
        <f t="shared" si="2"/>
        <v>2.9411764705882353E-3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-583.49999999999989</v>
      </c>
    </row>
    <row r="48" spans="1:12" x14ac:dyDescent="0.4">
      <c r="A48" s="39" t="s">
        <v>176</v>
      </c>
      <c r="B48" s="120">
        <v>9</v>
      </c>
      <c r="C48" s="32">
        <f t="shared" si="2"/>
        <v>1.3235294117647059E-2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-638.59999999999991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-607.79999999999995</v>
      </c>
    </row>
    <row r="50" spans="1:12" x14ac:dyDescent="0.4">
      <c r="A50" s="64" t="s">
        <v>181</v>
      </c>
      <c r="B50" s="127">
        <v>2548</v>
      </c>
      <c r="C50" s="128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-662.99999999999989</v>
      </c>
    </row>
    <row r="51" spans="1:12" x14ac:dyDescent="0.4">
      <c r="A51" s="39" t="s">
        <v>182</v>
      </c>
      <c r="B51" s="135">
        <v>680</v>
      </c>
      <c r="C51" s="136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-664.49999999999989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-633.39999999999986</v>
      </c>
    </row>
    <row r="53" spans="1:12" x14ac:dyDescent="0.4">
      <c r="K53" s="5">
        <v>51</v>
      </c>
      <c r="L53" s="73">
        <v>-601.09999999999991</v>
      </c>
    </row>
    <row r="54" spans="1:12" x14ac:dyDescent="0.4">
      <c r="K54" s="5">
        <v>52</v>
      </c>
      <c r="L54" s="73">
        <v>-608.19999999999993</v>
      </c>
    </row>
    <row r="55" spans="1:12" x14ac:dyDescent="0.4">
      <c r="K55" s="5">
        <v>53</v>
      </c>
      <c r="L55" s="73">
        <v>-616.09999999999991</v>
      </c>
    </row>
    <row r="56" spans="1:12" x14ac:dyDescent="0.4">
      <c r="K56" s="5">
        <v>54</v>
      </c>
      <c r="L56" s="73">
        <v>-613.89999999999986</v>
      </c>
    </row>
    <row r="57" spans="1:12" x14ac:dyDescent="0.4">
      <c r="K57" s="5">
        <v>55</v>
      </c>
      <c r="L57" s="73">
        <v>-690.49999999999989</v>
      </c>
    </row>
    <row r="58" spans="1:12" x14ac:dyDescent="0.4">
      <c r="K58" s="5">
        <v>56</v>
      </c>
      <c r="L58" s="73">
        <v>-655.69999999999993</v>
      </c>
    </row>
    <row r="59" spans="1:12" x14ac:dyDescent="0.4">
      <c r="K59" s="5">
        <v>57</v>
      </c>
      <c r="L59" s="73">
        <v>-643.5</v>
      </c>
    </row>
    <row r="60" spans="1:12" x14ac:dyDescent="0.4">
      <c r="K60" s="5">
        <v>58</v>
      </c>
      <c r="L60" s="73">
        <v>-597.5</v>
      </c>
    </row>
    <row r="61" spans="1:12" x14ac:dyDescent="0.4">
      <c r="K61" s="5">
        <v>59</v>
      </c>
      <c r="L61" s="73">
        <v>-600.69999999999993</v>
      </c>
    </row>
    <row r="62" spans="1:12" x14ac:dyDescent="0.4">
      <c r="K62" s="5">
        <v>60</v>
      </c>
      <c r="L62" s="73">
        <v>-658.89999999999986</v>
      </c>
    </row>
    <row r="63" spans="1:12" x14ac:dyDescent="0.4">
      <c r="K63" s="5">
        <v>61</v>
      </c>
      <c r="L63" s="73">
        <v>-606.39999999999986</v>
      </c>
    </row>
    <row r="64" spans="1:12" x14ac:dyDescent="0.4">
      <c r="K64" s="5">
        <v>62</v>
      </c>
      <c r="L64" s="73">
        <v>-569.99999999999989</v>
      </c>
    </row>
    <row r="65" spans="11:12" x14ac:dyDescent="0.4">
      <c r="K65" s="5">
        <v>63</v>
      </c>
      <c r="L65" s="73">
        <v>-481.99999999999989</v>
      </c>
    </row>
    <row r="66" spans="11:12" x14ac:dyDescent="0.4">
      <c r="K66" s="5">
        <v>64</v>
      </c>
      <c r="L66" s="73">
        <v>-447.69999999999993</v>
      </c>
    </row>
    <row r="67" spans="11:12" x14ac:dyDescent="0.4">
      <c r="K67" s="5">
        <v>65</v>
      </c>
      <c r="L67" s="73">
        <v>-503.89999999999992</v>
      </c>
    </row>
    <row r="68" spans="11:12" x14ac:dyDescent="0.4">
      <c r="K68" s="5">
        <v>66</v>
      </c>
      <c r="L68" s="73">
        <v>-554.49999999999989</v>
      </c>
    </row>
    <row r="69" spans="11:12" x14ac:dyDescent="0.4">
      <c r="K69" s="5">
        <v>67</v>
      </c>
      <c r="L69" s="73">
        <v>-509.09999999999991</v>
      </c>
    </row>
    <row r="70" spans="11:12" x14ac:dyDescent="0.4">
      <c r="K70" s="5">
        <v>68</v>
      </c>
      <c r="L70" s="73">
        <v>-546.89999999999986</v>
      </c>
    </row>
    <row r="71" spans="11:12" x14ac:dyDescent="0.4">
      <c r="K71" s="5">
        <v>69</v>
      </c>
      <c r="L71" s="73">
        <v>-562.29999999999995</v>
      </c>
    </row>
    <row r="72" spans="11:12" x14ac:dyDescent="0.4">
      <c r="K72" s="5">
        <v>70</v>
      </c>
      <c r="L72" s="73">
        <v>-500.69999999999993</v>
      </c>
    </row>
    <row r="73" spans="11:12" x14ac:dyDescent="0.4">
      <c r="K73" s="5">
        <v>71</v>
      </c>
      <c r="L73" s="73">
        <v>-435.49999999999994</v>
      </c>
    </row>
    <row r="74" spans="11:12" x14ac:dyDescent="0.4">
      <c r="K74" s="5">
        <v>72</v>
      </c>
      <c r="L74" s="73">
        <v>-369.09999999999991</v>
      </c>
    </row>
    <row r="75" spans="11:12" x14ac:dyDescent="0.4">
      <c r="K75" s="5">
        <v>73</v>
      </c>
      <c r="L75" s="73">
        <v>-410.19999999999993</v>
      </c>
    </row>
    <row r="76" spans="11:12" x14ac:dyDescent="0.4">
      <c r="K76" s="5">
        <v>74</v>
      </c>
      <c r="L76" s="73">
        <v>-473.69999999999993</v>
      </c>
    </row>
    <row r="77" spans="11:12" x14ac:dyDescent="0.4">
      <c r="K77" s="5">
        <v>75</v>
      </c>
      <c r="L77" s="73">
        <v>-471.59999999999991</v>
      </c>
    </row>
    <row r="78" spans="11:12" x14ac:dyDescent="0.4">
      <c r="K78" s="5">
        <v>76</v>
      </c>
      <c r="L78" s="73">
        <v>-415.59999999999991</v>
      </c>
    </row>
    <row r="79" spans="11:12" x14ac:dyDescent="0.4">
      <c r="K79" s="5">
        <v>77</v>
      </c>
      <c r="L79" s="73">
        <v>-358.59999999999991</v>
      </c>
    </row>
    <row r="80" spans="11:12" x14ac:dyDescent="0.4">
      <c r="K80" s="5">
        <v>78</v>
      </c>
      <c r="L80" s="73">
        <v>-357.2999999999999</v>
      </c>
    </row>
    <row r="81" spans="11:12" x14ac:dyDescent="0.4">
      <c r="K81" s="5">
        <v>79</v>
      </c>
      <c r="L81" s="73">
        <v>-351.7999999999999</v>
      </c>
    </row>
    <row r="82" spans="11:12" x14ac:dyDescent="0.4">
      <c r="K82" s="5">
        <v>80</v>
      </c>
      <c r="L82" s="73">
        <v>-358.2999999999999</v>
      </c>
    </row>
    <row r="83" spans="11:12" x14ac:dyDescent="0.4">
      <c r="K83" s="5">
        <v>81</v>
      </c>
      <c r="L83" s="73">
        <v>-415.39999999999992</v>
      </c>
    </row>
    <row r="84" spans="11:12" x14ac:dyDescent="0.4">
      <c r="K84" s="5">
        <v>82</v>
      </c>
      <c r="L84" s="73">
        <v>-417.59999999999991</v>
      </c>
    </row>
    <row r="85" spans="11:12" x14ac:dyDescent="0.4">
      <c r="K85" s="5">
        <v>83</v>
      </c>
      <c r="L85" s="73">
        <v>-383.79999999999995</v>
      </c>
    </row>
    <row r="86" spans="11:12" x14ac:dyDescent="0.4">
      <c r="K86" s="5">
        <v>84</v>
      </c>
      <c r="L86" s="73">
        <v>-413.99999999999994</v>
      </c>
    </row>
    <row r="87" spans="11:12" x14ac:dyDescent="0.4">
      <c r="K87" s="5">
        <v>85</v>
      </c>
      <c r="L87" s="73">
        <v>-484.79999999999995</v>
      </c>
    </row>
    <row r="88" spans="11:12" x14ac:dyDescent="0.4">
      <c r="K88" s="5">
        <v>86</v>
      </c>
      <c r="L88" s="73">
        <v>-481.79999999999995</v>
      </c>
    </row>
    <row r="89" spans="11:12" x14ac:dyDescent="0.4">
      <c r="K89" s="5">
        <v>87</v>
      </c>
      <c r="L89" s="73">
        <v>-433.89999999999992</v>
      </c>
    </row>
    <row r="90" spans="11:12" x14ac:dyDescent="0.4">
      <c r="K90" s="5">
        <v>88</v>
      </c>
      <c r="L90" s="73">
        <v>-424.19999999999993</v>
      </c>
    </row>
    <row r="91" spans="11:12" x14ac:dyDescent="0.4">
      <c r="K91" s="5">
        <v>89</v>
      </c>
      <c r="L91" s="73">
        <v>-378.09999999999991</v>
      </c>
    </row>
    <row r="92" spans="11:12" x14ac:dyDescent="0.4">
      <c r="K92" s="5">
        <v>90</v>
      </c>
      <c r="L92" s="73">
        <v>-321.59999999999991</v>
      </c>
    </row>
    <row r="93" spans="11:12" x14ac:dyDescent="0.4">
      <c r="K93" s="5">
        <v>91</v>
      </c>
      <c r="L93" s="73">
        <v>-273.2999999999999</v>
      </c>
    </row>
    <row r="94" spans="11:12" x14ac:dyDescent="0.4">
      <c r="K94" s="5">
        <v>92</v>
      </c>
      <c r="L94" s="73">
        <v>-267.2999999999999</v>
      </c>
    </row>
    <row r="95" spans="11:12" x14ac:dyDescent="0.4">
      <c r="K95" s="5">
        <v>93</v>
      </c>
      <c r="L95" s="73">
        <v>-199.39999999999989</v>
      </c>
    </row>
    <row r="96" spans="11:12" x14ac:dyDescent="0.4">
      <c r="K96" s="5">
        <v>94</v>
      </c>
      <c r="L96" s="73">
        <v>-210.2999999999999</v>
      </c>
    </row>
    <row r="97" spans="11:12" x14ac:dyDescent="0.4">
      <c r="K97" s="5">
        <v>95</v>
      </c>
      <c r="L97" s="73">
        <v>-159.89999999999992</v>
      </c>
    </row>
    <row r="98" spans="11:12" x14ac:dyDescent="0.4">
      <c r="K98" s="5">
        <v>96</v>
      </c>
      <c r="L98" s="73">
        <v>-95.499999999999943</v>
      </c>
    </row>
    <row r="99" spans="11:12" x14ac:dyDescent="0.4">
      <c r="K99" s="5">
        <v>97</v>
      </c>
      <c r="L99" s="73">
        <v>-107.39999999999992</v>
      </c>
    </row>
    <row r="100" spans="11:12" x14ac:dyDescent="0.4">
      <c r="K100" s="5">
        <v>98</v>
      </c>
      <c r="L100" s="73">
        <v>-109.2999999999999</v>
      </c>
    </row>
    <row r="101" spans="11:12" x14ac:dyDescent="0.4">
      <c r="K101" s="5">
        <v>99</v>
      </c>
      <c r="L101" s="73">
        <v>-167.2999999999999</v>
      </c>
    </row>
    <row r="102" spans="11:12" x14ac:dyDescent="0.4">
      <c r="K102" s="5">
        <v>100</v>
      </c>
      <c r="L102" s="73">
        <v>-131.2999999999999</v>
      </c>
    </row>
    <row r="103" spans="11:12" x14ac:dyDescent="0.4">
      <c r="K103" s="5">
        <v>101</v>
      </c>
      <c r="L103" s="73">
        <v>-126.2999999999999</v>
      </c>
    </row>
    <row r="104" spans="11:12" x14ac:dyDescent="0.4">
      <c r="K104" s="5">
        <v>102</v>
      </c>
      <c r="L104" s="73">
        <v>-147.89999999999992</v>
      </c>
    </row>
    <row r="105" spans="11:12" x14ac:dyDescent="0.4">
      <c r="K105" s="5">
        <v>103</v>
      </c>
      <c r="L105" s="73">
        <v>-180.7999999999999</v>
      </c>
    </row>
    <row r="106" spans="11:12" x14ac:dyDescent="0.4">
      <c r="K106" s="5">
        <v>104</v>
      </c>
      <c r="L106" s="73">
        <v>-169.49999999999989</v>
      </c>
    </row>
    <row r="107" spans="11:12" x14ac:dyDescent="0.4">
      <c r="K107" s="5">
        <v>105</v>
      </c>
      <c r="L107" s="73">
        <v>-124.49999999999989</v>
      </c>
    </row>
    <row r="108" spans="11:12" x14ac:dyDescent="0.4">
      <c r="K108" s="5">
        <v>106</v>
      </c>
      <c r="L108" s="73">
        <v>-72.399999999999864</v>
      </c>
    </row>
    <row r="109" spans="11:12" x14ac:dyDescent="0.4">
      <c r="K109" s="5">
        <v>107</v>
      </c>
      <c r="L109" s="73">
        <v>-104.49999999999989</v>
      </c>
    </row>
    <row r="110" spans="11:12" x14ac:dyDescent="0.4">
      <c r="K110" s="5">
        <v>108</v>
      </c>
      <c r="L110" s="73">
        <v>-150.2999999999999</v>
      </c>
    </row>
    <row r="111" spans="11:12" x14ac:dyDescent="0.4">
      <c r="K111" s="5">
        <v>109</v>
      </c>
      <c r="L111" s="73">
        <v>-179.89999999999992</v>
      </c>
    </row>
    <row r="112" spans="11:12" x14ac:dyDescent="0.4">
      <c r="K112" s="5">
        <v>110</v>
      </c>
      <c r="L112" s="73">
        <v>-212.79999999999993</v>
      </c>
    </row>
    <row r="113" spans="11:12" x14ac:dyDescent="0.4">
      <c r="K113" s="5">
        <v>111</v>
      </c>
      <c r="L113" s="73">
        <v>-199.09999999999994</v>
      </c>
    </row>
    <row r="114" spans="11:12" x14ac:dyDescent="0.4">
      <c r="K114" s="5">
        <v>112</v>
      </c>
      <c r="L114" s="73">
        <v>-256.59999999999991</v>
      </c>
    </row>
    <row r="115" spans="11:12" x14ac:dyDescent="0.4">
      <c r="K115" s="5">
        <v>113</v>
      </c>
      <c r="L115" s="73">
        <v>-253.19999999999993</v>
      </c>
    </row>
    <row r="116" spans="11:12" x14ac:dyDescent="0.4">
      <c r="K116" s="5">
        <v>114</v>
      </c>
      <c r="L116" s="73">
        <v>-261.49999999999994</v>
      </c>
    </row>
    <row r="117" spans="11:12" x14ac:dyDescent="0.4">
      <c r="K117" s="5">
        <v>115</v>
      </c>
      <c r="L117" s="73">
        <v>-303.29999999999995</v>
      </c>
    </row>
    <row r="118" spans="11:12" x14ac:dyDescent="0.4">
      <c r="K118" s="5">
        <v>116</v>
      </c>
      <c r="L118" s="73">
        <v>-300.69999999999993</v>
      </c>
    </row>
    <row r="119" spans="11:12" x14ac:dyDescent="0.4">
      <c r="K119" s="5">
        <v>117</v>
      </c>
      <c r="L119" s="73">
        <v>-238.69999999999996</v>
      </c>
    </row>
    <row r="120" spans="11:12" x14ac:dyDescent="0.4">
      <c r="K120" s="5">
        <v>118</v>
      </c>
      <c r="L120" s="73">
        <v>-229.09999999999997</v>
      </c>
    </row>
    <row r="121" spans="11:12" x14ac:dyDescent="0.4">
      <c r="K121" s="5">
        <v>119</v>
      </c>
      <c r="L121" s="73">
        <v>-287.39999999999998</v>
      </c>
    </row>
    <row r="122" spans="11:12" x14ac:dyDescent="0.4">
      <c r="K122" s="5">
        <v>120</v>
      </c>
      <c r="L122" s="73">
        <v>-323.2</v>
      </c>
    </row>
    <row r="123" spans="11:12" x14ac:dyDescent="0.4">
      <c r="K123" s="5">
        <v>121</v>
      </c>
      <c r="L123" s="73">
        <v>-351.7</v>
      </c>
    </row>
    <row r="124" spans="11:12" x14ac:dyDescent="0.4">
      <c r="K124" s="5">
        <v>122</v>
      </c>
      <c r="L124" s="73">
        <v>-385</v>
      </c>
    </row>
    <row r="125" spans="11:12" x14ac:dyDescent="0.4">
      <c r="K125" s="5">
        <v>123</v>
      </c>
      <c r="L125" s="73">
        <v>-436.2</v>
      </c>
    </row>
    <row r="126" spans="11:12" x14ac:dyDescent="0.4">
      <c r="K126" s="5">
        <v>124</v>
      </c>
      <c r="L126" s="73">
        <v>-506.7</v>
      </c>
    </row>
    <row r="127" spans="11:12" x14ac:dyDescent="0.4">
      <c r="K127" s="5">
        <v>125</v>
      </c>
      <c r="L127" s="73">
        <v>-530.4</v>
      </c>
    </row>
    <row r="128" spans="11:12" x14ac:dyDescent="0.4">
      <c r="K128" s="5">
        <v>126</v>
      </c>
      <c r="L128" s="73">
        <v>-521.4</v>
      </c>
    </row>
    <row r="129" spans="11:12" x14ac:dyDescent="0.4">
      <c r="K129" s="5">
        <v>127</v>
      </c>
      <c r="L129" s="73">
        <v>-494.5</v>
      </c>
    </row>
    <row r="130" spans="11:12" x14ac:dyDescent="0.4">
      <c r="K130" s="5">
        <v>128</v>
      </c>
      <c r="L130" s="73">
        <v>-455.6</v>
      </c>
    </row>
    <row r="131" spans="11:12" x14ac:dyDescent="0.4">
      <c r="K131" s="5">
        <v>129</v>
      </c>
      <c r="L131" s="73">
        <v>-425.3</v>
      </c>
    </row>
    <row r="132" spans="11:12" x14ac:dyDescent="0.4">
      <c r="K132" s="5">
        <v>130</v>
      </c>
      <c r="L132" s="73">
        <v>-397.6</v>
      </c>
    </row>
    <row r="133" spans="11:12" x14ac:dyDescent="0.4">
      <c r="K133" s="5">
        <v>131</v>
      </c>
      <c r="L133" s="73">
        <v>-407.6</v>
      </c>
    </row>
    <row r="134" spans="11:12" x14ac:dyDescent="0.4">
      <c r="K134" s="5">
        <v>132</v>
      </c>
      <c r="L134" s="73">
        <v>-406</v>
      </c>
    </row>
    <row r="135" spans="11:12" x14ac:dyDescent="0.4">
      <c r="K135" s="5">
        <v>133</v>
      </c>
      <c r="L135" s="73">
        <v>-435.1</v>
      </c>
    </row>
    <row r="136" spans="11:12" x14ac:dyDescent="0.4">
      <c r="K136" s="5">
        <v>134</v>
      </c>
      <c r="L136" s="73">
        <v>-367.8</v>
      </c>
    </row>
    <row r="137" spans="11:12" x14ac:dyDescent="0.4">
      <c r="K137" s="5">
        <v>135</v>
      </c>
      <c r="L137" s="73">
        <v>-335.6</v>
      </c>
    </row>
    <row r="138" spans="11:12" x14ac:dyDescent="0.4">
      <c r="K138" s="5">
        <v>136</v>
      </c>
      <c r="L138" s="73">
        <v>-339.3</v>
      </c>
    </row>
    <row r="139" spans="11:12" x14ac:dyDescent="0.4">
      <c r="K139" s="5">
        <v>137</v>
      </c>
      <c r="L139" s="73">
        <v>-343.3</v>
      </c>
    </row>
    <row r="140" spans="11:12" x14ac:dyDescent="0.4">
      <c r="K140" s="5">
        <v>138</v>
      </c>
      <c r="L140" s="73">
        <v>-342.4</v>
      </c>
    </row>
    <row r="141" spans="11:12" x14ac:dyDescent="0.4">
      <c r="K141" s="5">
        <v>139</v>
      </c>
      <c r="L141" s="73">
        <v>-387.2</v>
      </c>
    </row>
    <row r="142" spans="11:12" x14ac:dyDescent="0.4">
      <c r="K142" s="5">
        <v>140</v>
      </c>
      <c r="L142" s="73">
        <v>-398</v>
      </c>
    </row>
    <row r="143" spans="11:12" x14ac:dyDescent="0.4">
      <c r="K143" s="5">
        <v>141</v>
      </c>
      <c r="L143" s="73">
        <v>-464.5</v>
      </c>
    </row>
    <row r="144" spans="11:12" x14ac:dyDescent="0.4">
      <c r="K144" s="5">
        <v>142</v>
      </c>
      <c r="L144" s="73">
        <v>-453.4</v>
      </c>
    </row>
    <row r="145" spans="11:12" x14ac:dyDescent="0.4">
      <c r="K145" s="5">
        <v>143</v>
      </c>
      <c r="L145" s="73">
        <v>-453.59999999999997</v>
      </c>
    </row>
    <row r="146" spans="11:12" x14ac:dyDescent="0.4">
      <c r="K146" s="5">
        <v>144</v>
      </c>
      <c r="L146" s="73">
        <v>-460.59999999999997</v>
      </c>
    </row>
    <row r="147" spans="11:12" x14ac:dyDescent="0.4">
      <c r="K147" s="5">
        <v>145</v>
      </c>
      <c r="L147" s="73">
        <v>-461</v>
      </c>
    </row>
    <row r="148" spans="11:12" x14ac:dyDescent="0.4">
      <c r="K148" s="5">
        <v>146</v>
      </c>
      <c r="L148" s="73">
        <v>-498.7</v>
      </c>
    </row>
    <row r="149" spans="11:12" x14ac:dyDescent="0.4">
      <c r="K149" s="5">
        <v>147</v>
      </c>
      <c r="L149" s="73">
        <v>-458.5</v>
      </c>
    </row>
    <row r="150" spans="11:12" x14ac:dyDescent="0.4">
      <c r="K150" s="5">
        <v>148</v>
      </c>
      <c r="L150" s="73">
        <v>-520.1</v>
      </c>
    </row>
    <row r="151" spans="11:12" x14ac:dyDescent="0.4">
      <c r="K151" s="5">
        <v>149</v>
      </c>
      <c r="L151" s="73">
        <v>-564</v>
      </c>
    </row>
    <row r="152" spans="11:12" x14ac:dyDescent="0.4">
      <c r="K152" s="5">
        <v>150</v>
      </c>
      <c r="L152" s="73">
        <v>-553.29999999999995</v>
      </c>
    </row>
    <row r="153" spans="11:12" x14ac:dyDescent="0.4">
      <c r="K153" s="5">
        <v>151</v>
      </c>
      <c r="L153" s="73">
        <v>-517.6</v>
      </c>
    </row>
    <row r="154" spans="11:12" x14ac:dyDescent="0.4">
      <c r="K154" s="5">
        <v>152</v>
      </c>
      <c r="L154" s="73">
        <v>-490.4</v>
      </c>
    </row>
    <row r="155" spans="11:12" x14ac:dyDescent="0.4">
      <c r="K155" s="5">
        <v>153</v>
      </c>
      <c r="L155" s="73">
        <v>-474.59999999999997</v>
      </c>
    </row>
    <row r="156" spans="11:12" x14ac:dyDescent="0.4">
      <c r="K156" s="5">
        <v>154</v>
      </c>
      <c r="L156" s="73">
        <v>-503.4</v>
      </c>
    </row>
    <row r="157" spans="11:12" x14ac:dyDescent="0.4">
      <c r="K157" s="5">
        <v>155</v>
      </c>
      <c r="L157" s="73">
        <v>-442.2</v>
      </c>
    </row>
    <row r="158" spans="11:12" x14ac:dyDescent="0.4">
      <c r="K158" s="5">
        <v>156</v>
      </c>
      <c r="L158" s="73">
        <v>-439</v>
      </c>
    </row>
    <row r="159" spans="11:12" x14ac:dyDescent="0.4">
      <c r="K159" s="5">
        <v>157</v>
      </c>
      <c r="L159" s="73">
        <v>-397.5</v>
      </c>
    </row>
    <row r="160" spans="11:12" x14ac:dyDescent="0.4">
      <c r="K160" s="5">
        <v>158</v>
      </c>
      <c r="L160" s="73">
        <v>-350.6</v>
      </c>
    </row>
    <row r="161" spans="11:12" x14ac:dyDescent="0.4">
      <c r="K161" s="5">
        <v>159</v>
      </c>
      <c r="L161" s="73">
        <v>-389.4</v>
      </c>
    </row>
    <row r="162" spans="11:12" x14ac:dyDescent="0.4">
      <c r="K162" s="5">
        <v>160</v>
      </c>
      <c r="L162" s="73">
        <v>-371.7</v>
      </c>
    </row>
    <row r="163" spans="11:12" x14ac:dyDescent="0.4">
      <c r="K163" s="5">
        <v>161</v>
      </c>
      <c r="L163" s="73">
        <v>-416.8</v>
      </c>
    </row>
    <row r="164" spans="11:12" x14ac:dyDescent="0.4">
      <c r="K164" s="5">
        <v>162</v>
      </c>
      <c r="L164" s="73">
        <v>-399.1</v>
      </c>
    </row>
    <row r="165" spans="11:12" x14ac:dyDescent="0.4">
      <c r="K165" s="5">
        <v>163</v>
      </c>
      <c r="L165" s="73">
        <v>-367.7</v>
      </c>
    </row>
    <row r="166" spans="11:12" x14ac:dyDescent="0.4">
      <c r="K166" s="5">
        <v>164</v>
      </c>
      <c r="L166" s="73">
        <v>-413.8</v>
      </c>
    </row>
    <row r="167" spans="11:12" x14ac:dyDescent="0.4">
      <c r="K167" s="5">
        <v>165</v>
      </c>
      <c r="L167" s="73">
        <v>-444.2</v>
      </c>
    </row>
    <row r="168" spans="11:12" x14ac:dyDescent="0.4">
      <c r="K168" s="5">
        <v>166</v>
      </c>
      <c r="L168" s="73">
        <v>-488.4</v>
      </c>
    </row>
    <row r="169" spans="11:12" x14ac:dyDescent="0.4">
      <c r="K169" s="5">
        <v>167</v>
      </c>
      <c r="L169" s="73">
        <v>-544.20000000000005</v>
      </c>
    </row>
    <row r="170" spans="11:12" x14ac:dyDescent="0.4">
      <c r="K170" s="5">
        <v>168</v>
      </c>
      <c r="L170" s="73">
        <v>-512.5</v>
      </c>
    </row>
    <row r="171" spans="11:12" x14ac:dyDescent="0.4">
      <c r="K171" s="5">
        <v>169</v>
      </c>
      <c r="L171" s="73">
        <v>-515.9</v>
      </c>
    </row>
    <row r="172" spans="11:12" x14ac:dyDescent="0.4">
      <c r="K172" s="5">
        <v>170</v>
      </c>
      <c r="L172" s="73">
        <v>-465.9</v>
      </c>
    </row>
    <row r="173" spans="11:12" x14ac:dyDescent="0.4">
      <c r="K173" s="5">
        <v>171</v>
      </c>
      <c r="L173" s="73">
        <v>-423.3</v>
      </c>
    </row>
    <row r="174" spans="11:12" x14ac:dyDescent="0.4">
      <c r="K174" s="5">
        <v>172</v>
      </c>
      <c r="L174" s="73">
        <v>-433</v>
      </c>
    </row>
    <row r="175" spans="11:12" x14ac:dyDescent="0.4">
      <c r="K175" s="5">
        <v>173</v>
      </c>
      <c r="L175" s="73">
        <v>-433.09999999999997</v>
      </c>
    </row>
    <row r="176" spans="11:12" x14ac:dyDescent="0.4">
      <c r="K176" s="5">
        <v>174</v>
      </c>
      <c r="L176" s="73">
        <v>-427.3</v>
      </c>
    </row>
    <row r="177" spans="11:12" x14ac:dyDescent="0.4">
      <c r="K177" s="5">
        <v>175</v>
      </c>
      <c r="L177" s="73">
        <v>-459.9</v>
      </c>
    </row>
    <row r="178" spans="11:12" x14ac:dyDescent="0.4">
      <c r="K178" s="5">
        <v>176</v>
      </c>
      <c r="L178" s="73">
        <v>-453.9</v>
      </c>
    </row>
    <row r="179" spans="11:12" x14ac:dyDescent="0.4">
      <c r="K179" s="5">
        <v>177</v>
      </c>
      <c r="L179" s="73">
        <v>-490.7</v>
      </c>
    </row>
    <row r="180" spans="11:12" x14ac:dyDescent="0.4">
      <c r="K180" s="5">
        <v>178</v>
      </c>
      <c r="L180" s="73">
        <v>-521.20000000000005</v>
      </c>
    </row>
    <row r="181" spans="11:12" x14ac:dyDescent="0.4">
      <c r="K181" s="5">
        <v>179</v>
      </c>
      <c r="L181" s="73">
        <v>-464.5</v>
      </c>
    </row>
    <row r="182" spans="11:12" x14ac:dyDescent="0.4">
      <c r="K182" s="5">
        <v>180</v>
      </c>
      <c r="L182" s="73">
        <v>-457.09999999999997</v>
      </c>
    </row>
    <row r="183" spans="11:12" x14ac:dyDescent="0.4">
      <c r="K183" s="5">
        <v>181</v>
      </c>
      <c r="L183" s="73">
        <v>-488.9</v>
      </c>
    </row>
    <row r="184" spans="11:12" x14ac:dyDescent="0.4">
      <c r="K184" s="5">
        <v>182</v>
      </c>
      <c r="L184" s="73">
        <v>-438.8</v>
      </c>
    </row>
    <row r="185" spans="11:12" x14ac:dyDescent="0.4">
      <c r="K185" s="5">
        <v>183</v>
      </c>
      <c r="L185" s="73">
        <v>-451.6</v>
      </c>
    </row>
    <row r="186" spans="11:12" x14ac:dyDescent="0.4">
      <c r="K186" s="5">
        <v>184</v>
      </c>
      <c r="L186" s="73">
        <v>-467.7</v>
      </c>
    </row>
    <row r="187" spans="11:12" x14ac:dyDescent="0.4">
      <c r="K187" s="5">
        <v>185</v>
      </c>
      <c r="L187" s="73">
        <v>-458.8</v>
      </c>
    </row>
    <row r="188" spans="11:12" x14ac:dyDescent="0.4">
      <c r="K188" s="5">
        <v>186</v>
      </c>
      <c r="L188" s="73">
        <v>-507.2</v>
      </c>
    </row>
    <row r="189" spans="11:12" x14ac:dyDescent="0.4">
      <c r="K189" s="5">
        <v>187</v>
      </c>
      <c r="L189" s="73">
        <v>-504.79999999999995</v>
      </c>
    </row>
    <row r="190" spans="11:12" x14ac:dyDescent="0.4">
      <c r="K190" s="5">
        <v>188</v>
      </c>
      <c r="L190" s="73">
        <v>-494.29999999999995</v>
      </c>
    </row>
    <row r="191" spans="11:12" x14ac:dyDescent="0.4">
      <c r="K191" s="5">
        <v>189</v>
      </c>
      <c r="L191" s="73">
        <v>-451.59999999999997</v>
      </c>
    </row>
    <row r="192" spans="11:12" x14ac:dyDescent="0.4">
      <c r="K192" s="5">
        <v>190</v>
      </c>
      <c r="L192" s="73">
        <v>-446.4</v>
      </c>
    </row>
    <row r="193" spans="11:12" x14ac:dyDescent="0.4">
      <c r="K193" s="5">
        <v>191</v>
      </c>
      <c r="L193" s="73">
        <v>-461.5</v>
      </c>
    </row>
    <row r="194" spans="11:12" x14ac:dyDescent="0.4">
      <c r="K194" s="5">
        <v>192</v>
      </c>
      <c r="L194" s="73">
        <v>-469.9</v>
      </c>
    </row>
    <row r="195" spans="11:12" x14ac:dyDescent="0.4">
      <c r="K195" s="5">
        <v>193</v>
      </c>
      <c r="L195" s="73">
        <v>-462.9</v>
      </c>
    </row>
    <row r="196" spans="11:12" x14ac:dyDescent="0.4">
      <c r="K196" s="5">
        <v>194</v>
      </c>
      <c r="L196" s="73">
        <v>-456.09999999999997</v>
      </c>
    </row>
    <row r="197" spans="11:12" x14ac:dyDescent="0.4">
      <c r="K197" s="5">
        <v>195</v>
      </c>
      <c r="L197" s="73">
        <v>-449.29999999999995</v>
      </c>
    </row>
    <row r="198" spans="11:12" x14ac:dyDescent="0.4">
      <c r="K198" s="5">
        <v>196</v>
      </c>
      <c r="L198" s="73">
        <v>-465.4</v>
      </c>
    </row>
    <row r="199" spans="11:12" x14ac:dyDescent="0.4">
      <c r="K199" s="5">
        <v>197</v>
      </c>
      <c r="L199" s="73">
        <v>-458.79999999999995</v>
      </c>
    </row>
    <row r="200" spans="11:12" x14ac:dyDescent="0.4">
      <c r="K200" s="5">
        <v>198</v>
      </c>
      <c r="L200" s="73">
        <v>-454.4</v>
      </c>
    </row>
    <row r="201" spans="11:12" x14ac:dyDescent="0.4">
      <c r="K201" s="5">
        <v>199</v>
      </c>
      <c r="L201" s="73">
        <v>-456</v>
      </c>
    </row>
    <row r="202" spans="11:12" x14ac:dyDescent="0.4">
      <c r="K202" s="5">
        <v>200</v>
      </c>
      <c r="L202" s="73">
        <v>-447.4</v>
      </c>
    </row>
    <row r="203" spans="11:12" x14ac:dyDescent="0.4">
      <c r="K203" s="5">
        <v>201</v>
      </c>
      <c r="L203" s="73">
        <v>-385.9</v>
      </c>
    </row>
    <row r="204" spans="11:12" x14ac:dyDescent="0.4">
      <c r="K204" s="5">
        <v>202</v>
      </c>
      <c r="L204" s="73">
        <v>-420.79999999999995</v>
      </c>
    </row>
    <row r="205" spans="11:12" x14ac:dyDescent="0.4">
      <c r="K205" s="5">
        <v>203</v>
      </c>
      <c r="L205" s="73">
        <v>-408.59999999999997</v>
      </c>
    </row>
    <row r="206" spans="11:12" x14ac:dyDescent="0.4">
      <c r="K206" s="5">
        <v>204</v>
      </c>
      <c r="L206" s="73">
        <v>-428.59999999999997</v>
      </c>
    </row>
    <row r="207" spans="11:12" x14ac:dyDescent="0.4">
      <c r="K207" s="5">
        <v>205</v>
      </c>
      <c r="L207" s="73">
        <v>-416</v>
      </c>
    </row>
    <row r="208" spans="11:12" x14ac:dyDescent="0.4">
      <c r="K208" s="5">
        <v>206</v>
      </c>
      <c r="L208" s="73">
        <v>-390.4</v>
      </c>
    </row>
    <row r="209" spans="11:12" x14ac:dyDescent="0.4">
      <c r="K209" s="5">
        <v>207</v>
      </c>
      <c r="L209" s="73">
        <v>-391</v>
      </c>
    </row>
    <row r="210" spans="11:12" x14ac:dyDescent="0.4">
      <c r="K210" s="5">
        <v>208</v>
      </c>
      <c r="L210" s="73">
        <v>-397.79999999999995</v>
      </c>
    </row>
    <row r="211" spans="11:12" x14ac:dyDescent="0.4">
      <c r="K211" s="5">
        <v>209</v>
      </c>
      <c r="L211" s="73">
        <v>-388.7</v>
      </c>
    </row>
    <row r="212" spans="11:12" x14ac:dyDescent="0.4">
      <c r="K212" s="5">
        <v>210</v>
      </c>
      <c r="L212" s="73">
        <v>-391.7</v>
      </c>
    </row>
    <row r="213" spans="11:12" x14ac:dyDescent="0.4">
      <c r="K213" s="5">
        <v>211</v>
      </c>
      <c r="L213" s="73">
        <v>-410</v>
      </c>
    </row>
    <row r="214" spans="11:12" x14ac:dyDescent="0.4">
      <c r="K214" s="5">
        <v>212</v>
      </c>
      <c r="L214" s="73">
        <v>-361.09999999999997</v>
      </c>
    </row>
    <row r="215" spans="11:12" x14ac:dyDescent="0.4">
      <c r="K215" s="5">
        <v>213</v>
      </c>
      <c r="L215" s="73">
        <v>-401.2</v>
      </c>
    </row>
    <row r="216" spans="11:12" x14ac:dyDescent="0.4">
      <c r="K216" s="5">
        <v>214</v>
      </c>
      <c r="L216" s="73">
        <v>-384.59999999999997</v>
      </c>
    </row>
    <row r="217" spans="11:12" x14ac:dyDescent="0.4">
      <c r="K217" s="5">
        <v>215</v>
      </c>
      <c r="L217" s="73">
        <v>-359.79999999999995</v>
      </c>
    </row>
    <row r="218" spans="11:12" x14ac:dyDescent="0.4">
      <c r="K218" s="5">
        <v>216</v>
      </c>
      <c r="L218" s="73">
        <v>-320.5</v>
      </c>
    </row>
    <row r="219" spans="11:12" x14ac:dyDescent="0.4">
      <c r="K219" s="5">
        <v>217</v>
      </c>
      <c r="L219" s="73">
        <v>-376.4</v>
      </c>
    </row>
    <row r="220" spans="11:12" x14ac:dyDescent="0.4">
      <c r="K220" s="5">
        <v>218</v>
      </c>
      <c r="L220" s="73">
        <v>-370.4</v>
      </c>
    </row>
    <row r="221" spans="11:12" x14ac:dyDescent="0.4">
      <c r="K221" s="5">
        <v>219</v>
      </c>
      <c r="L221" s="73">
        <v>-385.7</v>
      </c>
    </row>
    <row r="222" spans="11:12" x14ac:dyDescent="0.4">
      <c r="K222" s="5">
        <v>220</v>
      </c>
      <c r="L222" s="73">
        <v>-351.09999999999997</v>
      </c>
    </row>
    <row r="223" spans="11:12" x14ac:dyDescent="0.4">
      <c r="K223" s="5">
        <v>221</v>
      </c>
      <c r="L223" s="73">
        <v>-357.59999999999997</v>
      </c>
    </row>
    <row r="224" spans="11:12" x14ac:dyDescent="0.4">
      <c r="K224" s="5">
        <v>222</v>
      </c>
      <c r="L224" s="73">
        <v>-382.9</v>
      </c>
    </row>
    <row r="225" spans="11:12" x14ac:dyDescent="0.4">
      <c r="K225" s="5">
        <v>223</v>
      </c>
      <c r="L225" s="73">
        <v>-403.79999999999995</v>
      </c>
    </row>
    <row r="226" spans="11:12" x14ac:dyDescent="0.4">
      <c r="K226" s="5">
        <v>224</v>
      </c>
      <c r="L226" s="73">
        <v>-400.29999999999995</v>
      </c>
    </row>
    <row r="227" spans="11:12" x14ac:dyDescent="0.4">
      <c r="K227" s="5">
        <v>225</v>
      </c>
      <c r="L227" s="73">
        <v>-433.29999999999995</v>
      </c>
    </row>
    <row r="228" spans="11:12" x14ac:dyDescent="0.4">
      <c r="K228" s="5">
        <v>226</v>
      </c>
      <c r="L228" s="73">
        <v>-457.4</v>
      </c>
    </row>
    <row r="229" spans="11:12" x14ac:dyDescent="0.4">
      <c r="K229" s="5">
        <v>227</v>
      </c>
      <c r="L229" s="73">
        <v>-447.09999999999997</v>
      </c>
    </row>
    <row r="230" spans="11:12" x14ac:dyDescent="0.4">
      <c r="K230" s="5">
        <v>228</v>
      </c>
      <c r="L230" s="73">
        <v>-451.5</v>
      </c>
    </row>
    <row r="231" spans="11:12" x14ac:dyDescent="0.4">
      <c r="K231" s="5">
        <v>229</v>
      </c>
      <c r="L231" s="73">
        <v>-465.7</v>
      </c>
    </row>
    <row r="232" spans="11:12" x14ac:dyDescent="0.4">
      <c r="K232" s="5">
        <v>230</v>
      </c>
      <c r="L232" s="73">
        <v>-463.2</v>
      </c>
    </row>
    <row r="233" spans="11:12" x14ac:dyDescent="0.4">
      <c r="K233" s="5">
        <v>231</v>
      </c>
      <c r="L233" s="73">
        <v>-433.09999999999997</v>
      </c>
    </row>
    <row r="234" spans="11:12" x14ac:dyDescent="0.4">
      <c r="K234" s="5">
        <v>232</v>
      </c>
      <c r="L234" s="73">
        <v>-435</v>
      </c>
    </row>
    <row r="235" spans="11:12" x14ac:dyDescent="0.4">
      <c r="K235" s="5">
        <v>233</v>
      </c>
      <c r="L235" s="73">
        <v>-425.7</v>
      </c>
    </row>
    <row r="236" spans="11:12" x14ac:dyDescent="0.4">
      <c r="K236" s="5">
        <v>234</v>
      </c>
      <c r="L236" s="73">
        <v>-484.79999999999995</v>
      </c>
    </row>
    <row r="237" spans="11:12" x14ac:dyDescent="0.4">
      <c r="K237" s="5">
        <v>235</v>
      </c>
      <c r="L237" s="73">
        <v>-530.9</v>
      </c>
    </row>
    <row r="238" spans="11:12" x14ac:dyDescent="0.4">
      <c r="K238" s="5">
        <v>236</v>
      </c>
      <c r="L238" s="73">
        <v>-567.5</v>
      </c>
    </row>
    <row r="239" spans="11:12" x14ac:dyDescent="0.4">
      <c r="K239" s="5">
        <v>237</v>
      </c>
      <c r="L239" s="73">
        <v>-563.29999999999995</v>
      </c>
    </row>
    <row r="240" spans="11:12" x14ac:dyDescent="0.4">
      <c r="K240" s="5">
        <v>238</v>
      </c>
      <c r="L240" s="73">
        <v>-513.5</v>
      </c>
    </row>
    <row r="241" spans="11:12" x14ac:dyDescent="0.4">
      <c r="K241" s="5">
        <v>239</v>
      </c>
      <c r="L241" s="73">
        <v>-514.70000000000005</v>
      </c>
    </row>
    <row r="242" spans="11:12" x14ac:dyDescent="0.4">
      <c r="K242" s="5">
        <v>240</v>
      </c>
      <c r="L242" s="73">
        <v>-526.1</v>
      </c>
    </row>
    <row r="243" spans="11:12" x14ac:dyDescent="0.4">
      <c r="K243" s="5">
        <v>241</v>
      </c>
      <c r="L243" s="73">
        <v>-517.29999999999995</v>
      </c>
    </row>
    <row r="244" spans="11:12" x14ac:dyDescent="0.4">
      <c r="K244" s="5">
        <v>242</v>
      </c>
      <c r="L244" s="73">
        <v>-494.9</v>
      </c>
    </row>
    <row r="245" spans="11:12" x14ac:dyDescent="0.4">
      <c r="K245" s="5">
        <v>243</v>
      </c>
      <c r="L245" s="73">
        <v>-481.3</v>
      </c>
    </row>
    <row r="246" spans="11:12" x14ac:dyDescent="0.4">
      <c r="K246" s="5">
        <v>244</v>
      </c>
      <c r="L246" s="73">
        <v>-454.90000000000003</v>
      </c>
    </row>
    <row r="247" spans="11:12" x14ac:dyDescent="0.4">
      <c r="K247" s="5">
        <v>245</v>
      </c>
      <c r="L247" s="73">
        <v>-460.7</v>
      </c>
    </row>
    <row r="248" spans="11:12" x14ac:dyDescent="0.4">
      <c r="K248" s="5">
        <v>246</v>
      </c>
      <c r="L248" s="73">
        <v>-517.1</v>
      </c>
    </row>
    <row r="249" spans="11:12" x14ac:dyDescent="0.4">
      <c r="K249" s="5">
        <v>247</v>
      </c>
      <c r="L249" s="73">
        <v>-455.1</v>
      </c>
    </row>
    <row r="250" spans="11:12" x14ac:dyDescent="0.4">
      <c r="K250" s="5">
        <v>248</v>
      </c>
      <c r="L250" s="73">
        <v>-452.4</v>
      </c>
    </row>
    <row r="251" spans="11:12" x14ac:dyDescent="0.4">
      <c r="K251" s="5">
        <v>249</v>
      </c>
      <c r="L251" s="73">
        <v>-414.6</v>
      </c>
    </row>
    <row r="252" spans="11:12" x14ac:dyDescent="0.4">
      <c r="K252" s="5">
        <v>250</v>
      </c>
      <c r="L252" s="73">
        <v>-388.7</v>
      </c>
    </row>
    <row r="253" spans="11:12" x14ac:dyDescent="0.4">
      <c r="K253" s="5">
        <v>251</v>
      </c>
      <c r="L253" s="73">
        <v>-401.6</v>
      </c>
    </row>
    <row r="254" spans="11:12" x14ac:dyDescent="0.4">
      <c r="K254" s="5">
        <v>252</v>
      </c>
      <c r="L254" s="73">
        <v>-365.6</v>
      </c>
    </row>
    <row r="255" spans="11:12" x14ac:dyDescent="0.4">
      <c r="K255" s="5">
        <v>253</v>
      </c>
      <c r="L255" s="73">
        <v>-345.2</v>
      </c>
    </row>
    <row r="256" spans="11:12" x14ac:dyDescent="0.4">
      <c r="K256" s="5">
        <v>254</v>
      </c>
      <c r="L256" s="73">
        <v>-383.5</v>
      </c>
    </row>
    <row r="257" spans="11:12" x14ac:dyDescent="0.4">
      <c r="K257" s="5">
        <v>255</v>
      </c>
      <c r="L257" s="73">
        <v>-376.1</v>
      </c>
    </row>
    <row r="258" spans="11:12" x14ac:dyDescent="0.4">
      <c r="K258" s="5">
        <v>256</v>
      </c>
      <c r="L258" s="73">
        <v>-402.90000000000003</v>
      </c>
    </row>
    <row r="259" spans="11:12" x14ac:dyDescent="0.4">
      <c r="K259" s="5">
        <v>257</v>
      </c>
      <c r="L259" s="73">
        <v>-423.1</v>
      </c>
    </row>
    <row r="260" spans="11:12" x14ac:dyDescent="0.4">
      <c r="K260" s="5">
        <v>258</v>
      </c>
      <c r="L260" s="73">
        <v>-365.3</v>
      </c>
    </row>
    <row r="261" spans="11:12" x14ac:dyDescent="0.4">
      <c r="K261" s="5">
        <v>259</v>
      </c>
      <c r="L261" s="73">
        <v>-369.8</v>
      </c>
    </row>
    <row r="262" spans="11:12" x14ac:dyDescent="0.4">
      <c r="K262" s="5">
        <v>260</v>
      </c>
      <c r="L262" s="73">
        <v>-351.7</v>
      </c>
    </row>
    <row r="263" spans="11:12" x14ac:dyDescent="0.4">
      <c r="K263" s="5">
        <v>261</v>
      </c>
      <c r="L263" s="73">
        <v>-275.3</v>
      </c>
    </row>
    <row r="264" spans="11:12" x14ac:dyDescent="0.4">
      <c r="K264" s="5">
        <v>262</v>
      </c>
      <c r="L264" s="73">
        <v>-311.20000000000005</v>
      </c>
    </row>
    <row r="265" spans="11:12" x14ac:dyDescent="0.4">
      <c r="K265" s="5">
        <v>263</v>
      </c>
      <c r="L265" s="73">
        <v>-313.20000000000005</v>
      </c>
    </row>
    <row r="266" spans="11:12" x14ac:dyDescent="0.4">
      <c r="K266" s="5">
        <v>264</v>
      </c>
      <c r="L266" s="73">
        <v>-291.20000000000005</v>
      </c>
    </row>
    <row r="267" spans="11:12" x14ac:dyDescent="0.4">
      <c r="K267" s="5">
        <v>265</v>
      </c>
      <c r="L267" s="73">
        <v>-298.3</v>
      </c>
    </row>
    <row r="268" spans="11:12" x14ac:dyDescent="0.4">
      <c r="K268" s="5">
        <v>266</v>
      </c>
      <c r="L268" s="73">
        <v>-265.3</v>
      </c>
    </row>
    <row r="269" spans="11:12" x14ac:dyDescent="0.4">
      <c r="K269" s="5">
        <v>267</v>
      </c>
      <c r="L269" s="73">
        <v>-277.39999999999998</v>
      </c>
    </row>
    <row r="270" spans="11:12" x14ac:dyDescent="0.4">
      <c r="K270" s="5">
        <v>268</v>
      </c>
      <c r="L270" s="73">
        <v>-291.2</v>
      </c>
    </row>
    <row r="271" spans="11:12" x14ac:dyDescent="0.4">
      <c r="K271" s="5">
        <v>269</v>
      </c>
      <c r="L271" s="73">
        <v>-293</v>
      </c>
    </row>
    <row r="272" spans="11:12" x14ac:dyDescent="0.4">
      <c r="K272" s="5">
        <v>270</v>
      </c>
      <c r="L272" s="73">
        <v>-296</v>
      </c>
    </row>
    <row r="273" spans="11:12" x14ac:dyDescent="0.4">
      <c r="K273" s="5">
        <v>271</v>
      </c>
      <c r="L273" s="73">
        <v>-280.60000000000002</v>
      </c>
    </row>
    <row r="274" spans="11:12" x14ac:dyDescent="0.4">
      <c r="K274" s="5">
        <v>272</v>
      </c>
      <c r="L274" s="73">
        <v>-309.7</v>
      </c>
    </row>
    <row r="275" spans="11:12" x14ac:dyDescent="0.4">
      <c r="K275" s="5">
        <v>273</v>
      </c>
      <c r="L275" s="73">
        <v>-326.7</v>
      </c>
    </row>
    <row r="276" spans="11:12" x14ac:dyDescent="0.4">
      <c r="K276" s="5">
        <v>274</v>
      </c>
      <c r="L276" s="73">
        <v>-333.9</v>
      </c>
    </row>
    <row r="277" spans="11:12" x14ac:dyDescent="0.4">
      <c r="K277" s="5">
        <v>275</v>
      </c>
      <c r="L277" s="73">
        <v>-299.10000000000002</v>
      </c>
    </row>
    <row r="278" spans="11:12" x14ac:dyDescent="0.4">
      <c r="K278" s="5">
        <v>276</v>
      </c>
      <c r="L278" s="73">
        <v>-300.89999999999998</v>
      </c>
    </row>
    <row r="279" spans="11:12" x14ac:dyDescent="0.4">
      <c r="K279" s="5">
        <v>277</v>
      </c>
      <c r="L279" s="73">
        <v>-330.79999999999995</v>
      </c>
    </row>
    <row r="280" spans="11:12" x14ac:dyDescent="0.4">
      <c r="K280" s="5">
        <v>278</v>
      </c>
      <c r="L280" s="73">
        <v>-363.29999999999995</v>
      </c>
    </row>
    <row r="281" spans="11:12" x14ac:dyDescent="0.4">
      <c r="K281" s="5">
        <v>279</v>
      </c>
      <c r="L281" s="73">
        <v>-397.4</v>
      </c>
    </row>
    <row r="282" spans="11:12" x14ac:dyDescent="0.4">
      <c r="K282" s="5">
        <v>280</v>
      </c>
      <c r="L282" s="73">
        <v>-434.5</v>
      </c>
    </row>
    <row r="283" spans="11:12" x14ac:dyDescent="0.4">
      <c r="K283" s="5">
        <v>281</v>
      </c>
      <c r="L283" s="73">
        <v>-464.4</v>
      </c>
    </row>
    <row r="284" spans="11:12" x14ac:dyDescent="0.4">
      <c r="K284" s="5">
        <v>282</v>
      </c>
      <c r="L284" s="73">
        <v>-482.4</v>
      </c>
    </row>
    <row r="285" spans="11:12" x14ac:dyDescent="0.4">
      <c r="K285" s="5">
        <v>283</v>
      </c>
      <c r="L285" s="73">
        <v>-529.70000000000005</v>
      </c>
    </row>
    <row r="286" spans="11:12" x14ac:dyDescent="0.4">
      <c r="K286" s="5">
        <v>284</v>
      </c>
      <c r="L286" s="73">
        <v>-530</v>
      </c>
    </row>
    <row r="287" spans="11:12" x14ac:dyDescent="0.4">
      <c r="K287" s="5">
        <v>285</v>
      </c>
      <c r="L287" s="73">
        <v>-578.6</v>
      </c>
    </row>
    <row r="288" spans="11:12" x14ac:dyDescent="0.4">
      <c r="K288" s="5">
        <v>286</v>
      </c>
      <c r="L288" s="73">
        <v>-607.79999999999995</v>
      </c>
    </row>
    <row r="289" spans="11:12" x14ac:dyDescent="0.4">
      <c r="K289" s="5">
        <v>287</v>
      </c>
      <c r="L289" s="73">
        <v>-628.4</v>
      </c>
    </row>
    <row r="290" spans="11:12" x14ac:dyDescent="0.4">
      <c r="K290" s="5">
        <v>288</v>
      </c>
      <c r="L290" s="73">
        <v>-639.9</v>
      </c>
    </row>
    <row r="291" spans="11:12" x14ac:dyDescent="0.4">
      <c r="K291" s="5">
        <v>289</v>
      </c>
      <c r="L291" s="73">
        <v>-635.70000000000005</v>
      </c>
    </row>
    <row r="292" spans="11:12" x14ac:dyDescent="0.4">
      <c r="K292" s="5">
        <v>290</v>
      </c>
      <c r="L292" s="73">
        <v>-625</v>
      </c>
    </row>
    <row r="293" spans="11:12" x14ac:dyDescent="0.4">
      <c r="K293" s="5">
        <v>291</v>
      </c>
      <c r="L293" s="73">
        <v>-591.1</v>
      </c>
    </row>
    <row r="294" spans="11:12" x14ac:dyDescent="0.4">
      <c r="K294" s="5">
        <v>292</v>
      </c>
      <c r="L294" s="73">
        <v>-609.6</v>
      </c>
    </row>
    <row r="295" spans="11:12" x14ac:dyDescent="0.4">
      <c r="K295" s="5">
        <v>293</v>
      </c>
      <c r="L295" s="73">
        <v>-576.6</v>
      </c>
    </row>
    <row r="296" spans="11:12" x14ac:dyDescent="0.4">
      <c r="K296" s="5">
        <v>294</v>
      </c>
      <c r="L296" s="73">
        <v>-549.79999999999995</v>
      </c>
    </row>
    <row r="297" spans="11:12" x14ac:dyDescent="0.4">
      <c r="K297" s="5">
        <v>295</v>
      </c>
      <c r="L297" s="73">
        <v>-560</v>
      </c>
    </row>
    <row r="298" spans="11:12" x14ac:dyDescent="0.4">
      <c r="K298" s="5">
        <v>296</v>
      </c>
      <c r="L298" s="73">
        <v>-547.79999999999995</v>
      </c>
    </row>
    <row r="299" spans="11:12" x14ac:dyDescent="0.4">
      <c r="K299" s="5">
        <v>297</v>
      </c>
      <c r="L299" s="73">
        <v>-494.29999999999995</v>
      </c>
    </row>
    <row r="300" spans="11:12" x14ac:dyDescent="0.4">
      <c r="K300" s="5">
        <v>298</v>
      </c>
      <c r="L300" s="73">
        <v>-503.5</v>
      </c>
    </row>
    <row r="301" spans="11:12" x14ac:dyDescent="0.4">
      <c r="K301" s="5">
        <v>299</v>
      </c>
      <c r="L301" s="73">
        <v>-539.79999999999995</v>
      </c>
    </row>
    <row r="302" spans="11:12" x14ac:dyDescent="0.4">
      <c r="K302" s="5">
        <v>300</v>
      </c>
      <c r="L302" s="73">
        <v>-539</v>
      </c>
    </row>
    <row r="303" spans="11:12" x14ac:dyDescent="0.4">
      <c r="K303" s="5">
        <v>301</v>
      </c>
      <c r="L303" s="73">
        <v>-494.2</v>
      </c>
    </row>
    <row r="304" spans="11:12" x14ac:dyDescent="0.4">
      <c r="K304" s="5">
        <v>302</v>
      </c>
      <c r="L304" s="73">
        <v>-437.79999999999995</v>
      </c>
    </row>
    <row r="305" spans="11:12" x14ac:dyDescent="0.4">
      <c r="K305" s="5">
        <v>303</v>
      </c>
      <c r="L305" s="73">
        <v>-425.59999999999997</v>
      </c>
    </row>
    <row r="306" spans="11:12" x14ac:dyDescent="0.4">
      <c r="K306" s="5">
        <v>304</v>
      </c>
      <c r="L306" s="73">
        <v>-463.59999999999997</v>
      </c>
    </row>
    <row r="307" spans="11:12" x14ac:dyDescent="0.4">
      <c r="K307" s="5">
        <v>305</v>
      </c>
      <c r="L307" s="73">
        <v>-452.09999999999997</v>
      </c>
    </row>
    <row r="308" spans="11:12" x14ac:dyDescent="0.4">
      <c r="K308" s="5">
        <v>306</v>
      </c>
      <c r="L308" s="73">
        <v>-505.29999999999995</v>
      </c>
    </row>
    <row r="309" spans="11:12" x14ac:dyDescent="0.4">
      <c r="K309" s="5">
        <v>307</v>
      </c>
      <c r="L309" s="73">
        <v>-514</v>
      </c>
    </row>
    <row r="310" spans="11:12" x14ac:dyDescent="0.4">
      <c r="K310" s="5">
        <v>308</v>
      </c>
      <c r="L310" s="73">
        <v>-508.09999999999997</v>
      </c>
    </row>
    <row r="311" spans="11:12" x14ac:dyDescent="0.4">
      <c r="K311" s="5">
        <v>309</v>
      </c>
      <c r="L311" s="73">
        <v>-458.5</v>
      </c>
    </row>
    <row r="312" spans="11:12" x14ac:dyDescent="0.4">
      <c r="K312" s="5">
        <v>310</v>
      </c>
      <c r="L312" s="73">
        <v>-422.2</v>
      </c>
    </row>
    <row r="313" spans="11:12" x14ac:dyDescent="0.4">
      <c r="K313" s="5">
        <v>311</v>
      </c>
      <c r="L313" s="73">
        <v>-468.7</v>
      </c>
    </row>
    <row r="314" spans="11:12" x14ac:dyDescent="0.4">
      <c r="K314" s="5">
        <v>312</v>
      </c>
      <c r="L314" s="73">
        <v>-514.20000000000005</v>
      </c>
    </row>
    <row r="315" spans="11:12" x14ac:dyDescent="0.4">
      <c r="K315" s="5">
        <v>313</v>
      </c>
      <c r="L315" s="73">
        <v>-479.6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00D83-4E36-4204-9728-81B80A54AE68}">
  <sheetPr codeName="Sheet16"/>
  <dimension ref="A1:Q107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186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105</v>
      </c>
      <c r="C2" s="128"/>
      <c r="E2" s="43" t="s">
        <v>66</v>
      </c>
      <c r="F2" s="25" t="s">
        <v>22</v>
      </c>
      <c r="G2" s="13">
        <v>174</v>
      </c>
      <c r="H2" s="106">
        <f>IF(B$51=0,0,G2/B$51)</f>
        <v>0.72199170124481327</v>
      </c>
      <c r="I2" s="67">
        <v>9</v>
      </c>
      <c r="K2" s="3">
        <v>0</v>
      </c>
      <c r="L2" s="72">
        <v>0</v>
      </c>
      <c r="N2" s="88" t="s">
        <v>126</v>
      </c>
      <c r="O2" s="95">
        <f t="shared" ref="O2:O7" si="0">IF(P2=0,0,Q2/P2)</f>
        <v>-2735.9223300970875</v>
      </c>
      <c r="P2" s="92">
        <v>103</v>
      </c>
      <c r="Q2" s="76">
        <v>-281800</v>
      </c>
    </row>
    <row r="3" spans="1:17" x14ac:dyDescent="0.4">
      <c r="A3" s="37" t="s">
        <v>8</v>
      </c>
      <c r="B3" s="129">
        <v>915</v>
      </c>
      <c r="C3" s="130"/>
      <c r="E3" s="44" t="s">
        <v>64</v>
      </c>
      <c r="F3" s="41" t="s">
        <v>20</v>
      </c>
      <c r="G3" s="34">
        <v>117</v>
      </c>
      <c r="H3" s="107">
        <f>IF(B$51=0,0,G3/B$51)</f>
        <v>0.48547717842323651</v>
      </c>
      <c r="I3" s="68">
        <v>12</v>
      </c>
      <c r="K3" s="5">
        <v>1</v>
      </c>
      <c r="L3" s="73">
        <v>4</v>
      </c>
      <c r="N3" s="89" t="s">
        <v>127</v>
      </c>
      <c r="O3" s="96">
        <f t="shared" si="0"/>
        <v>114.70588235294117</v>
      </c>
      <c r="P3" s="93">
        <v>102</v>
      </c>
      <c r="Q3" s="77">
        <v>11700</v>
      </c>
    </row>
    <row r="4" spans="1:17" x14ac:dyDescent="0.4">
      <c r="A4" s="37" t="s">
        <v>6</v>
      </c>
      <c r="B4" s="131">
        <v>-812.4</v>
      </c>
      <c r="C4" s="132"/>
      <c r="E4" s="44" t="s">
        <v>72</v>
      </c>
      <c r="F4" s="41" t="s">
        <v>27</v>
      </c>
      <c r="G4" s="34">
        <v>113</v>
      </c>
      <c r="H4" s="107">
        <f>IF(B$51=0,0,G4/B$51)</f>
        <v>0.46887966804979253</v>
      </c>
      <c r="I4" s="68">
        <v>14</v>
      </c>
      <c r="K4" s="5">
        <v>2</v>
      </c>
      <c r="L4" s="73">
        <v>3.7</v>
      </c>
      <c r="N4" s="89" t="s">
        <v>128</v>
      </c>
      <c r="O4" s="96">
        <f t="shared" si="0"/>
        <v>-1292.8571428571429</v>
      </c>
      <c r="P4" s="93">
        <v>98</v>
      </c>
      <c r="Q4" s="77">
        <v>-126700</v>
      </c>
    </row>
    <row r="5" spans="1:17" x14ac:dyDescent="0.4">
      <c r="A5" s="37" t="s">
        <v>7</v>
      </c>
      <c r="B5" s="133">
        <f>IF(B$2=0,0,B$4/B$2)</f>
        <v>-7.7371428571428567</v>
      </c>
      <c r="C5" s="134"/>
      <c r="E5" s="44" t="s">
        <v>68</v>
      </c>
      <c r="F5" s="41" t="s">
        <v>12</v>
      </c>
      <c r="G5" s="34">
        <v>97</v>
      </c>
      <c r="H5" s="107">
        <f>IF(B$51=0,0,G5/B$51)</f>
        <v>0.40248962655601661</v>
      </c>
      <c r="I5" s="68">
        <v>2</v>
      </c>
      <c r="K5" s="5">
        <v>3</v>
      </c>
      <c r="L5" s="73">
        <v>27.8</v>
      </c>
      <c r="N5" s="89" t="s">
        <v>129</v>
      </c>
      <c r="O5" s="96">
        <f t="shared" si="0"/>
        <v>-3208.8888888888887</v>
      </c>
      <c r="P5" s="93">
        <v>90</v>
      </c>
      <c r="Q5" s="77">
        <v>-288800</v>
      </c>
    </row>
    <row r="6" spans="1:17" x14ac:dyDescent="0.4">
      <c r="A6" s="37" t="s">
        <v>1</v>
      </c>
      <c r="B6" s="141">
        <f>IF(B$2=0,0,(B$7*1+B$8*2+B$9*3)/B$2)</f>
        <v>2.1333333333333333</v>
      </c>
      <c r="C6" s="142"/>
      <c r="E6" s="44" t="s">
        <v>157</v>
      </c>
      <c r="F6" s="41" t="s">
        <v>158</v>
      </c>
      <c r="G6" s="34">
        <v>86</v>
      </c>
      <c r="H6" s="107">
        <f>IF(B$51=0,0,G6/B$51)</f>
        <v>0.35684647302904565</v>
      </c>
      <c r="I6" s="68">
        <v>6</v>
      </c>
      <c r="K6" s="5">
        <v>4</v>
      </c>
      <c r="L6" s="73">
        <v>52.3</v>
      </c>
      <c r="N6" s="89" t="s">
        <v>130</v>
      </c>
      <c r="O6" s="96">
        <f t="shared" si="0"/>
        <v>1030</v>
      </c>
      <c r="P6" s="93">
        <v>80</v>
      </c>
      <c r="Q6" s="77">
        <v>82400</v>
      </c>
    </row>
    <row r="7" spans="1:17" x14ac:dyDescent="0.4">
      <c r="A7" s="37" t="s">
        <v>2</v>
      </c>
      <c r="B7" s="34">
        <v>30</v>
      </c>
      <c r="C7" s="31">
        <f t="shared" ref="C7:C14" si="1">IF(B$2=0,0,B7/B$2)</f>
        <v>0.2857142857142857</v>
      </c>
      <c r="E7" s="44" t="s">
        <v>67</v>
      </c>
      <c r="F7" s="41" t="s">
        <v>23</v>
      </c>
      <c r="G7" s="34">
        <v>51</v>
      </c>
      <c r="H7" s="107">
        <f>IF(B$51=0,0,G7/B$51)</f>
        <v>0.21161825726141079</v>
      </c>
      <c r="I7" s="68">
        <v>16</v>
      </c>
      <c r="K7" s="5">
        <v>5</v>
      </c>
      <c r="L7" s="73">
        <v>15</v>
      </c>
      <c r="N7" s="90" t="s">
        <v>131</v>
      </c>
      <c r="O7" s="97">
        <f t="shared" si="0"/>
        <v>25.35211267605634</v>
      </c>
      <c r="P7" s="94">
        <v>71</v>
      </c>
      <c r="Q7" s="78">
        <v>1800</v>
      </c>
    </row>
    <row r="8" spans="1:17" x14ac:dyDescent="0.4">
      <c r="A8" s="37" t="s">
        <v>3</v>
      </c>
      <c r="B8" s="34">
        <v>31</v>
      </c>
      <c r="C8" s="31">
        <f t="shared" si="1"/>
        <v>0.29523809523809524</v>
      </c>
      <c r="E8" s="44" t="s">
        <v>69</v>
      </c>
      <c r="F8" s="41" t="s">
        <v>24</v>
      </c>
      <c r="G8" s="34">
        <v>35</v>
      </c>
      <c r="H8" s="107">
        <f>IF(B$51=0,0,G8/B$51)</f>
        <v>0.14522821576763487</v>
      </c>
      <c r="I8" s="68">
        <v>9</v>
      </c>
      <c r="K8" s="5">
        <v>6</v>
      </c>
      <c r="L8" s="73">
        <v>-20.5</v>
      </c>
      <c r="N8" s="33"/>
      <c r="O8" s="101"/>
      <c r="P8" s="85"/>
      <c r="Q8" s="83"/>
    </row>
    <row r="9" spans="1:17" x14ac:dyDescent="0.4">
      <c r="A9" s="38" t="s">
        <v>4</v>
      </c>
      <c r="B9" s="35">
        <v>44</v>
      </c>
      <c r="C9" s="7">
        <f t="shared" si="1"/>
        <v>0.41904761904761906</v>
      </c>
      <c r="E9" s="44" t="s">
        <v>70</v>
      </c>
      <c r="F9" s="41" t="s">
        <v>25</v>
      </c>
      <c r="G9" s="34">
        <v>28</v>
      </c>
      <c r="H9" s="107">
        <f>IF(B$51=0,0,G9/B$51)</f>
        <v>0.11618257261410789</v>
      </c>
      <c r="I9" s="68">
        <v>4</v>
      </c>
      <c r="K9" s="5">
        <v>7</v>
      </c>
      <c r="L9" s="73">
        <v>-31.8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49">
        <f>IF(B7=0,0,C10/B7)</f>
        <v>36.49666666666667</v>
      </c>
      <c r="C10" s="150">
        <v>1094.9000000000001</v>
      </c>
      <c r="E10" s="44" t="s">
        <v>89</v>
      </c>
      <c r="F10" s="41" t="s">
        <v>44</v>
      </c>
      <c r="G10" s="34">
        <v>28</v>
      </c>
      <c r="H10" s="107">
        <f>IF(B$51=0,0,G10/B$51)</f>
        <v>0.11618257261410789</v>
      </c>
      <c r="I10" s="68">
        <v>12</v>
      </c>
      <c r="K10" s="5">
        <v>8</v>
      </c>
      <c r="L10" s="73">
        <v>-31.1</v>
      </c>
      <c r="N10" s="88" t="s">
        <v>149</v>
      </c>
      <c r="O10" s="98">
        <f>IF(P10=0,0,Q10/P10)</f>
        <v>-11.365714285714285</v>
      </c>
      <c r="P10" s="92">
        <v>35</v>
      </c>
      <c r="Q10" s="80">
        <v>-397.79999999999995</v>
      </c>
    </row>
    <row r="11" spans="1:17" x14ac:dyDescent="0.4">
      <c r="A11" s="38" t="s">
        <v>204</v>
      </c>
      <c r="B11" s="149">
        <f>IF(B8=0,0,C11/B8)</f>
        <v>-2.9161290322580649</v>
      </c>
      <c r="C11" s="150">
        <v>-90.4</v>
      </c>
      <c r="E11" s="44" t="s">
        <v>65</v>
      </c>
      <c r="F11" s="41" t="s">
        <v>21</v>
      </c>
      <c r="G11" s="34">
        <v>20</v>
      </c>
      <c r="H11" s="107">
        <f>IF(B$51=0,0,G11/B$51)</f>
        <v>8.2987551867219914E-2</v>
      </c>
      <c r="I11" s="68">
        <v>17</v>
      </c>
      <c r="K11" s="5">
        <v>9</v>
      </c>
      <c r="L11" s="73">
        <v>-70.599999999999994</v>
      </c>
      <c r="N11" s="89" t="s">
        <v>150</v>
      </c>
      <c r="O11" s="99">
        <f>IF(P11=0,0,Q11/P11)</f>
        <v>-7.3395348837209307</v>
      </c>
      <c r="P11" s="93">
        <v>43</v>
      </c>
      <c r="Q11" s="81">
        <v>-315.60000000000002</v>
      </c>
    </row>
    <row r="12" spans="1:17" x14ac:dyDescent="0.4">
      <c r="A12" s="38" t="s">
        <v>205</v>
      </c>
      <c r="B12" s="149">
        <f>IF(B9=0,0,C12/B9)</f>
        <v>-41.293181818181822</v>
      </c>
      <c r="C12" s="150">
        <v>-1816.9</v>
      </c>
      <c r="E12" s="44" t="s">
        <v>71</v>
      </c>
      <c r="F12" s="41" t="s">
        <v>26</v>
      </c>
      <c r="G12" s="34">
        <v>13</v>
      </c>
      <c r="H12" s="107">
        <f>IF(B$51=0,0,G12/B$51)</f>
        <v>5.3941908713692949E-2</v>
      </c>
      <c r="I12" s="68">
        <v>10</v>
      </c>
      <c r="K12" s="5">
        <v>10</v>
      </c>
      <c r="L12" s="73">
        <v>-115.89999999999999</v>
      </c>
      <c r="N12" s="90" t="s">
        <v>151</v>
      </c>
      <c r="O12" s="100">
        <f>IF(P12=0,0,Q12/P12)</f>
        <v>-3.6666666666666665</v>
      </c>
      <c r="P12" s="94">
        <v>27</v>
      </c>
      <c r="Q12" s="82">
        <v>-99</v>
      </c>
    </row>
    <row r="13" spans="1:17" x14ac:dyDescent="0.4">
      <c r="A13" s="38" t="s">
        <v>206</v>
      </c>
      <c r="B13" s="133">
        <f>AVERAGE(B10:B12)</f>
        <v>-2.5708813945910713</v>
      </c>
      <c r="C13" s="134"/>
      <c r="E13" s="44" t="s">
        <v>86</v>
      </c>
      <c r="F13" s="41" t="s">
        <v>41</v>
      </c>
      <c r="G13" s="34">
        <v>13</v>
      </c>
      <c r="H13" s="107">
        <f>IF(B$51=0,0,G13/B$51)</f>
        <v>5.3941908713692949E-2</v>
      </c>
      <c r="I13" s="68">
        <v>11</v>
      </c>
      <c r="K13" s="5">
        <v>11</v>
      </c>
      <c r="L13" s="73">
        <v>-143.6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19</v>
      </c>
      <c r="C14" s="32">
        <f t="shared" si="1"/>
        <v>0.18095238095238095</v>
      </c>
      <c r="E14" s="44" t="s">
        <v>78</v>
      </c>
      <c r="F14" s="41" t="s">
        <v>33</v>
      </c>
      <c r="G14" s="34">
        <v>9</v>
      </c>
      <c r="H14" s="107">
        <f>IF(B$51=0,0,G14/B$51)</f>
        <v>3.7344398340248962E-2</v>
      </c>
      <c r="I14" s="68">
        <v>5</v>
      </c>
      <c r="K14" s="5">
        <v>12</v>
      </c>
      <c r="L14" s="73">
        <v>-155.1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213</v>
      </c>
      <c r="C15" s="11">
        <f>IF(B$50=0,0,B15/B$50)</f>
        <v>0.23278688524590163</v>
      </c>
      <c r="E15" s="44" t="s">
        <v>83</v>
      </c>
      <c r="F15" s="41" t="s">
        <v>38</v>
      </c>
      <c r="G15" s="34">
        <v>7</v>
      </c>
      <c r="H15" s="107">
        <f>IF(B$51=0,0,G15/B$51)</f>
        <v>2.9045643153526972E-2</v>
      </c>
      <c r="I15" s="68">
        <v>14</v>
      </c>
      <c r="K15" s="5">
        <v>13</v>
      </c>
      <c r="L15" s="73">
        <v>-237.7</v>
      </c>
      <c r="N15" s="88" t="s">
        <v>197</v>
      </c>
      <c r="O15" s="98">
        <f>IF(P15=0,0,Q15/P15)</f>
        <v>62.577777777777783</v>
      </c>
      <c r="P15" s="92">
        <v>9</v>
      </c>
      <c r="Q15" s="80">
        <v>563.20000000000005</v>
      </c>
    </row>
    <row r="16" spans="1:17" x14ac:dyDescent="0.4">
      <c r="A16" s="37" t="s">
        <v>118</v>
      </c>
      <c r="B16" s="34">
        <v>186</v>
      </c>
      <c r="C16" s="31">
        <f>IF(B$50=0,0,B16/B$50)</f>
        <v>0.20327868852459016</v>
      </c>
      <c r="E16" s="44" t="s">
        <v>79</v>
      </c>
      <c r="F16" s="41" t="s">
        <v>34</v>
      </c>
      <c r="G16" s="34">
        <v>4</v>
      </c>
      <c r="H16" s="107">
        <f>IF(B$51=0,0,G16/B$51)</f>
        <v>1.6597510373443983E-2</v>
      </c>
      <c r="I16" s="68">
        <v>9</v>
      </c>
      <c r="K16" s="5">
        <v>14</v>
      </c>
      <c r="L16" s="73">
        <v>-277.39999999999998</v>
      </c>
      <c r="N16" s="89" t="s">
        <v>192</v>
      </c>
      <c r="O16" s="99">
        <f>IF(P16=0,0,Q16/P16)</f>
        <v>4.3000000000000007</v>
      </c>
      <c r="P16" s="93">
        <v>4</v>
      </c>
      <c r="Q16" s="81">
        <v>17.200000000000003</v>
      </c>
    </row>
    <row r="17" spans="1:17" x14ac:dyDescent="0.4">
      <c r="A17" s="19" t="s">
        <v>123</v>
      </c>
      <c r="B17" s="13">
        <v>120</v>
      </c>
      <c r="C17" s="4">
        <f>IF(B$15=0,0,B17/B$15)</f>
        <v>0.56338028169014087</v>
      </c>
      <c r="E17" s="44" t="s">
        <v>153</v>
      </c>
      <c r="F17" s="41" t="s">
        <v>154</v>
      </c>
      <c r="G17" s="34">
        <v>4</v>
      </c>
      <c r="H17" s="107">
        <f>IF(B$51=0,0,G17/B$51)</f>
        <v>1.6597510373443983E-2</v>
      </c>
      <c r="I17" s="68">
        <v>4</v>
      </c>
      <c r="K17" s="5">
        <v>15</v>
      </c>
      <c r="L17" s="73">
        <v>-304.10000000000002</v>
      </c>
      <c r="N17" s="89" t="s">
        <v>189</v>
      </c>
      <c r="O17" s="99">
        <f>IF(P17=0,0,Q17/P17)</f>
        <v>0.16666666666666785</v>
      </c>
      <c r="P17" s="93">
        <v>3</v>
      </c>
      <c r="Q17" s="81">
        <v>0.50000000000000355</v>
      </c>
    </row>
    <row r="18" spans="1:17" x14ac:dyDescent="0.4">
      <c r="A18" s="19" t="s">
        <v>124</v>
      </c>
      <c r="B18" s="13">
        <v>61</v>
      </c>
      <c r="C18" s="4">
        <f>IF(B$16=0,0,B18/B$16)</f>
        <v>0.32795698924731181</v>
      </c>
      <c r="E18" s="44" t="s">
        <v>73</v>
      </c>
      <c r="F18" s="41" t="s">
        <v>28</v>
      </c>
      <c r="G18" s="34">
        <v>3</v>
      </c>
      <c r="H18" s="107">
        <f>IF(B$51=0,0,G18/B$51)</f>
        <v>1.2448132780082987E-2</v>
      </c>
      <c r="I18" s="68">
        <v>2</v>
      </c>
      <c r="K18" s="5">
        <v>16</v>
      </c>
      <c r="L18" s="73">
        <v>-305.7</v>
      </c>
      <c r="N18" s="89" t="s">
        <v>188</v>
      </c>
      <c r="O18" s="99">
        <f>IF(P18=0,0,Q18/P18)</f>
        <v>-5.1315789473684204</v>
      </c>
      <c r="P18" s="93">
        <v>19</v>
      </c>
      <c r="Q18" s="81">
        <v>-97.499999999999986</v>
      </c>
    </row>
    <row r="19" spans="1:17" x14ac:dyDescent="0.4">
      <c r="A19" s="19" t="s">
        <v>10</v>
      </c>
      <c r="B19" s="13">
        <v>241</v>
      </c>
      <c r="C19" s="4">
        <f>IF(B$3=0,0,B19/B$3)</f>
        <v>0.26338797814207648</v>
      </c>
      <c r="E19" s="44" t="s">
        <v>81</v>
      </c>
      <c r="F19" s="41" t="s">
        <v>36</v>
      </c>
      <c r="G19" s="34">
        <v>3</v>
      </c>
      <c r="H19" s="107">
        <f>IF(B$51=0,0,G19/B$51)</f>
        <v>1.2448132780082987E-2</v>
      </c>
      <c r="I19" s="68">
        <v>14</v>
      </c>
      <c r="K19" s="5">
        <v>17</v>
      </c>
      <c r="L19" s="73">
        <v>-340</v>
      </c>
      <c r="N19" s="89" t="s">
        <v>187</v>
      </c>
      <c r="O19" s="99">
        <f>IF(P19=0,0,Q19/P19)</f>
        <v>-6.2222222222222223</v>
      </c>
      <c r="P19" s="93">
        <v>18</v>
      </c>
      <c r="Q19" s="81">
        <v>-112</v>
      </c>
    </row>
    <row r="20" spans="1:17" x14ac:dyDescent="0.4">
      <c r="A20" s="37" t="s">
        <v>13</v>
      </c>
      <c r="B20" s="34">
        <v>175</v>
      </c>
      <c r="C20" s="31">
        <f>IF(B$3=0,0,B20/B$3)</f>
        <v>0.19125683060109289</v>
      </c>
      <c r="E20" s="44" t="s">
        <v>87</v>
      </c>
      <c r="F20" s="41" t="s">
        <v>42</v>
      </c>
      <c r="G20" s="34">
        <v>2</v>
      </c>
      <c r="H20" s="107">
        <f>IF(B$51=0,0,G20/B$51)</f>
        <v>8.2987551867219917E-3</v>
      </c>
      <c r="I20" s="68">
        <v>2</v>
      </c>
      <c r="K20" s="5">
        <v>18</v>
      </c>
      <c r="L20" s="73">
        <v>-342.69999999999993</v>
      </c>
      <c r="N20" s="89" t="s">
        <v>193</v>
      </c>
      <c r="O20" s="99">
        <f>IF(P20=0,0,Q20/P20)</f>
        <v>-7.2846153846153836</v>
      </c>
      <c r="P20" s="93">
        <v>26</v>
      </c>
      <c r="Q20" s="81">
        <v>-189.39999999999998</v>
      </c>
    </row>
    <row r="21" spans="1:17" x14ac:dyDescent="0.4">
      <c r="A21" s="37" t="s">
        <v>12</v>
      </c>
      <c r="B21" s="34">
        <v>126</v>
      </c>
      <c r="C21" s="31">
        <f>IF(B$19=0,0,B21/B$19)</f>
        <v>0.52282157676348551</v>
      </c>
      <c r="E21" s="44" t="s">
        <v>91</v>
      </c>
      <c r="F21" s="41" t="s">
        <v>46</v>
      </c>
      <c r="G21" s="34">
        <v>2</v>
      </c>
      <c r="H21" s="107">
        <f>IF(B$51=0,0,G21/B$51)</f>
        <v>8.2987551867219917E-3</v>
      </c>
      <c r="I21" s="68">
        <v>13</v>
      </c>
      <c r="K21" s="5">
        <v>19</v>
      </c>
      <c r="L21" s="73">
        <v>-371.19999999999993</v>
      </c>
      <c r="N21" s="89" t="s">
        <v>190</v>
      </c>
      <c r="O21" s="99">
        <f>IF(P21=0,0,Q21/P21)</f>
        <v>-8.3615384615384585</v>
      </c>
      <c r="P21" s="93">
        <v>39</v>
      </c>
      <c r="Q21" s="81">
        <v>-326.09999999999991</v>
      </c>
    </row>
    <row r="22" spans="1:17" x14ac:dyDescent="0.4">
      <c r="A22" s="37" t="s">
        <v>11</v>
      </c>
      <c r="B22" s="34">
        <v>115</v>
      </c>
      <c r="C22" s="31">
        <f>IF(B$19=0,0,B22/B$19)</f>
        <v>0.47717842323651455</v>
      </c>
      <c r="E22" s="44" t="s">
        <v>75</v>
      </c>
      <c r="F22" s="41" t="s">
        <v>30</v>
      </c>
      <c r="G22" s="34">
        <v>1</v>
      </c>
      <c r="H22" s="107">
        <f>IF(B$51=0,0,G22/B$51)</f>
        <v>4.1493775933609959E-3</v>
      </c>
      <c r="I22" s="68">
        <v>10</v>
      </c>
      <c r="K22" s="5">
        <v>20</v>
      </c>
      <c r="L22" s="73">
        <v>-374.69999999999993</v>
      </c>
      <c r="N22" s="89" t="s">
        <v>191</v>
      </c>
      <c r="O22" s="99">
        <f>IF(P22=0,0,Q22/P22)</f>
        <v>-13.45</v>
      </c>
      <c r="P22" s="93">
        <v>34</v>
      </c>
      <c r="Q22" s="81">
        <v>-457.29999999999995</v>
      </c>
    </row>
    <row r="23" spans="1:17" x14ac:dyDescent="0.4">
      <c r="A23" s="37" t="s">
        <v>180</v>
      </c>
      <c r="B23" s="34">
        <v>120</v>
      </c>
      <c r="C23" s="31">
        <f>IF(B$19=0,0,B23/B$19)</f>
        <v>0.49792531120331951</v>
      </c>
      <c r="E23" s="44" t="s">
        <v>85</v>
      </c>
      <c r="F23" s="41" t="s">
        <v>40</v>
      </c>
      <c r="G23" s="34">
        <v>1</v>
      </c>
      <c r="H23" s="107">
        <f>IF(B$51=0,0,G23/B$51)</f>
        <v>4.1493775933609959E-3</v>
      </c>
      <c r="I23" s="68">
        <v>6</v>
      </c>
      <c r="K23" s="5">
        <v>21</v>
      </c>
      <c r="L23" s="73">
        <v>-415.69999999999993</v>
      </c>
      <c r="N23" s="89" t="s">
        <v>195</v>
      </c>
      <c r="O23" s="99">
        <f>IF(P23=0,0,Q23/P23)</f>
        <v>-28.51428571428572</v>
      </c>
      <c r="P23" s="93">
        <v>49</v>
      </c>
      <c r="Q23" s="81">
        <v>-1397.2000000000003</v>
      </c>
    </row>
    <row r="24" spans="1:17" x14ac:dyDescent="0.4">
      <c r="A24" s="37" t="s">
        <v>178</v>
      </c>
      <c r="B24" s="34">
        <v>61</v>
      </c>
      <c r="C24" s="31">
        <f>IF(B$19=0,0,B24/B$19)</f>
        <v>0.25311203319502074</v>
      </c>
      <c r="E24" s="44" t="s">
        <v>106</v>
      </c>
      <c r="F24" s="41" t="s">
        <v>113</v>
      </c>
      <c r="G24" s="34">
        <v>1</v>
      </c>
      <c r="H24" s="107">
        <f>IF(B$51=0,0,G24/B$51)</f>
        <v>4.1493775933609959E-3</v>
      </c>
      <c r="I24" s="68">
        <v>1</v>
      </c>
      <c r="K24" s="5">
        <v>22</v>
      </c>
      <c r="L24" s="73">
        <v>-473.5</v>
      </c>
      <c r="N24" s="89" t="s">
        <v>199</v>
      </c>
      <c r="O24" s="99">
        <f>IF(P24=0,0,Q24/P24)</f>
        <v>-42.96</v>
      </c>
      <c r="P24" s="93">
        <v>5</v>
      </c>
      <c r="Q24" s="81">
        <v>-214.8</v>
      </c>
    </row>
    <row r="25" spans="1:17" x14ac:dyDescent="0.4">
      <c r="A25" s="37" t="s">
        <v>179</v>
      </c>
      <c r="B25" s="34">
        <v>60</v>
      </c>
      <c r="C25" s="31">
        <f>IF(B$19=0,0,B25/B$19)</f>
        <v>0.24896265560165975</v>
      </c>
      <c r="E25" s="44" t="s">
        <v>74</v>
      </c>
      <c r="F25" s="41" t="s">
        <v>29</v>
      </c>
      <c r="G25" s="34">
        <v>0</v>
      </c>
      <c r="H25" s="107">
        <f>IF(B$51=0,0,G25/B$51)</f>
        <v>0</v>
      </c>
      <c r="I25" s="68">
        <v>10</v>
      </c>
      <c r="K25" s="5">
        <v>23</v>
      </c>
      <c r="L25" s="73">
        <v>-480.5</v>
      </c>
      <c r="N25" s="89" t="s">
        <v>196</v>
      </c>
      <c r="O25" s="99">
        <f>IF(P25=0,0,Q25/P25)</f>
        <v>-45.5</v>
      </c>
      <c r="P25" s="93">
        <v>1</v>
      </c>
      <c r="Q25" s="81">
        <v>-45.5</v>
      </c>
    </row>
    <row r="26" spans="1:17" x14ac:dyDescent="0.4">
      <c r="A26" s="37" t="s">
        <v>5</v>
      </c>
      <c r="B26" s="17">
        <f>IF(B$19=0,0,C26/B$19)</f>
        <v>7862.2406639004148</v>
      </c>
      <c r="C26" s="8">
        <v>1894800</v>
      </c>
      <c r="E26" s="44" t="s">
        <v>76</v>
      </c>
      <c r="F26" s="41" t="s">
        <v>31</v>
      </c>
      <c r="G26" s="34">
        <v>0</v>
      </c>
      <c r="H26" s="107">
        <f>IF(B$51=0,0,G26/B$51)</f>
        <v>0</v>
      </c>
      <c r="I26" s="68">
        <v>1</v>
      </c>
      <c r="K26" s="5">
        <v>24</v>
      </c>
      <c r="L26" s="73">
        <v>-444.69999999999993</v>
      </c>
      <c r="N26" s="89" t="s">
        <v>194</v>
      </c>
      <c r="O26" s="99">
        <f>IF(P26=0,0,Q26/P26)</f>
        <v>-59.433333333333337</v>
      </c>
      <c r="P26" s="93">
        <v>3</v>
      </c>
      <c r="Q26" s="81">
        <v>-178.3</v>
      </c>
    </row>
    <row r="27" spans="1:17" x14ac:dyDescent="0.4">
      <c r="A27" s="38" t="s">
        <v>162</v>
      </c>
      <c r="B27" s="114">
        <f>IF($B$19-B$18=0,0,C27/($B$19-B$18))</f>
        <v>8601.6666666666661</v>
      </c>
      <c r="C27" s="115">
        <v>1548300</v>
      </c>
      <c r="E27" s="44" t="s">
        <v>77</v>
      </c>
      <c r="F27" s="41" t="s">
        <v>32</v>
      </c>
      <c r="G27" s="34">
        <v>0</v>
      </c>
      <c r="H27" s="107">
        <f>IF(B$51=0,0,G27/B$51)</f>
        <v>0</v>
      </c>
      <c r="I27" s="68">
        <v>9</v>
      </c>
      <c r="K27" s="5">
        <v>25</v>
      </c>
      <c r="L27" s="73">
        <v>-457.69999999999993</v>
      </c>
    </row>
    <row r="28" spans="1:17" x14ac:dyDescent="0.4">
      <c r="A28" s="38" t="s">
        <v>163</v>
      </c>
      <c r="B28" s="114">
        <f>IF(B$18=0,0,C28/B$18)</f>
        <v>5680.3278688524588</v>
      </c>
      <c r="C28" s="115">
        <v>346500</v>
      </c>
      <c r="E28" s="44" t="s">
        <v>80</v>
      </c>
      <c r="F28" s="41" t="s">
        <v>35</v>
      </c>
      <c r="G28" s="34">
        <v>0</v>
      </c>
      <c r="H28" s="107">
        <f>IF(B$51=0,0,G28/B$51)</f>
        <v>0</v>
      </c>
      <c r="I28" s="68">
        <v>3</v>
      </c>
      <c r="K28" s="5">
        <v>26</v>
      </c>
      <c r="L28" s="73">
        <v>-425.09999999999991</v>
      </c>
    </row>
    <row r="29" spans="1:17" x14ac:dyDescent="0.4">
      <c r="A29" s="38" t="s">
        <v>161</v>
      </c>
      <c r="B29" s="114">
        <f>IF(B$20=0,0,C29/B$20)</f>
        <v>-7982.2857142857147</v>
      </c>
      <c r="C29" s="115">
        <v>-1396900</v>
      </c>
      <c r="E29" s="44" t="s">
        <v>82</v>
      </c>
      <c r="F29" s="41" t="s">
        <v>37</v>
      </c>
      <c r="G29" s="34">
        <v>0</v>
      </c>
      <c r="H29" s="107">
        <f>IF(B$51=0,0,G29/B$51)</f>
        <v>0</v>
      </c>
      <c r="I29" s="68">
        <v>1</v>
      </c>
      <c r="K29" s="5">
        <v>27</v>
      </c>
      <c r="L29" s="73">
        <v>-419.69999999999993</v>
      </c>
    </row>
    <row r="30" spans="1:17" x14ac:dyDescent="0.4">
      <c r="A30" s="37" t="s">
        <v>155</v>
      </c>
      <c r="B30" s="34">
        <v>4</v>
      </c>
      <c r="C30" s="109">
        <v>0</v>
      </c>
      <c r="E30" s="44" t="s">
        <v>84</v>
      </c>
      <c r="F30" s="41" t="s">
        <v>39</v>
      </c>
      <c r="G30" s="34">
        <v>0</v>
      </c>
      <c r="H30" s="107">
        <f>IF(B$51=0,0,G30/B$51)</f>
        <v>0</v>
      </c>
      <c r="I30" s="68">
        <v>7</v>
      </c>
      <c r="K30" s="5">
        <v>28</v>
      </c>
      <c r="L30" s="73">
        <v>-447.9</v>
      </c>
    </row>
    <row r="31" spans="1:17" x14ac:dyDescent="0.4">
      <c r="A31" s="37" t="s">
        <v>156</v>
      </c>
      <c r="B31" s="34">
        <v>24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-403.99999999999994</v>
      </c>
    </row>
    <row r="32" spans="1:17" x14ac:dyDescent="0.4">
      <c r="A32" s="64" t="s">
        <v>134</v>
      </c>
      <c r="B32" s="139">
        <v>7</v>
      </c>
      <c r="C32" s="140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-374.09999999999991</v>
      </c>
    </row>
    <row r="33" spans="1:12" x14ac:dyDescent="0.4">
      <c r="A33" s="40" t="s">
        <v>177</v>
      </c>
      <c r="B33" s="137">
        <v>113300</v>
      </c>
      <c r="C33" s="138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-343.69999999999993</v>
      </c>
    </row>
    <row r="34" spans="1:12" x14ac:dyDescent="0.4">
      <c r="A34" s="39" t="s">
        <v>135</v>
      </c>
      <c r="B34" s="27">
        <v>3</v>
      </c>
      <c r="C34" s="32">
        <f>IF(B$3=0,0,B34/B$3)</f>
        <v>3.2786885245901639E-3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-337.89999999999992</v>
      </c>
    </row>
    <row r="35" spans="1:12" x14ac:dyDescent="0.4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-358.89999999999992</v>
      </c>
    </row>
    <row r="36" spans="1:12" x14ac:dyDescent="0.4">
      <c r="A36" s="64" t="s">
        <v>168</v>
      </c>
      <c r="B36" s="121">
        <v>28</v>
      </c>
      <c r="C36" s="119">
        <f>IF(B$19=0,0,B36/B$19)</f>
        <v>0.11618257261410789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-417.59999999999991</v>
      </c>
    </row>
    <row r="37" spans="1:12" x14ac:dyDescent="0.4">
      <c r="A37" s="37" t="s">
        <v>164</v>
      </c>
      <c r="B37" s="34">
        <v>46</v>
      </c>
      <c r="C37" s="31">
        <f t="shared" ref="C37:C48" si="2">IF(B$19=0,0,B37/B$19)</f>
        <v>0.1908713692946058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-414.19999999999993</v>
      </c>
    </row>
    <row r="38" spans="1:12" x14ac:dyDescent="0.4">
      <c r="A38" s="37" t="s">
        <v>165</v>
      </c>
      <c r="B38" s="124">
        <v>43</v>
      </c>
      <c r="C38" s="31">
        <f>IF(B$19=0,0,B38/B$19)</f>
        <v>0.17842323651452283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-443</v>
      </c>
    </row>
    <row r="39" spans="1:12" x14ac:dyDescent="0.4">
      <c r="A39" s="37" t="s">
        <v>166</v>
      </c>
      <c r="B39" s="124">
        <v>39</v>
      </c>
      <c r="C39" s="31">
        <f t="shared" si="2"/>
        <v>0.16182572614107885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-499.4</v>
      </c>
    </row>
    <row r="40" spans="1:12" x14ac:dyDescent="0.4">
      <c r="A40" s="37" t="s">
        <v>167</v>
      </c>
      <c r="B40" s="124">
        <v>37</v>
      </c>
      <c r="C40" s="31">
        <f t="shared" si="2"/>
        <v>0.15352697095435686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-440.19999999999993</v>
      </c>
    </row>
    <row r="41" spans="1:12" x14ac:dyDescent="0.4">
      <c r="A41" s="37" t="s">
        <v>169</v>
      </c>
      <c r="B41" s="124">
        <v>24</v>
      </c>
      <c r="C41" s="31">
        <f t="shared" si="2"/>
        <v>9.9585062240663894E-2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-412.5</v>
      </c>
    </row>
    <row r="42" spans="1:12" x14ac:dyDescent="0.4">
      <c r="A42" s="37" t="s">
        <v>170</v>
      </c>
      <c r="B42" s="124">
        <v>10</v>
      </c>
      <c r="C42" s="31">
        <f t="shared" si="2"/>
        <v>4.1493775933609957E-2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-403.29999999999995</v>
      </c>
    </row>
    <row r="43" spans="1:12" x14ac:dyDescent="0.4">
      <c r="A43" s="37" t="s">
        <v>171</v>
      </c>
      <c r="B43" s="124">
        <v>7</v>
      </c>
      <c r="C43" s="31">
        <f t="shared" si="2"/>
        <v>2.9045643153526972E-2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-332.4</v>
      </c>
    </row>
    <row r="44" spans="1:12" x14ac:dyDescent="0.4">
      <c r="A44" s="37" t="s">
        <v>172</v>
      </c>
      <c r="B44" s="124">
        <v>3</v>
      </c>
      <c r="C44" s="31">
        <f t="shared" si="2"/>
        <v>1.2448132780082987E-2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-357.9</v>
      </c>
    </row>
    <row r="45" spans="1:12" x14ac:dyDescent="0.4">
      <c r="A45" s="37" t="s">
        <v>173</v>
      </c>
      <c r="B45" s="124">
        <v>2</v>
      </c>
      <c r="C45" s="31">
        <f t="shared" si="2"/>
        <v>8.2987551867219917E-3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-381.4</v>
      </c>
    </row>
    <row r="46" spans="1:12" x14ac:dyDescent="0.4">
      <c r="A46" s="37" t="s">
        <v>174</v>
      </c>
      <c r="B46" s="124">
        <v>1</v>
      </c>
      <c r="C46" s="31">
        <f t="shared" si="2"/>
        <v>4.1493775933609959E-3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-348.9</v>
      </c>
    </row>
    <row r="47" spans="1:12" x14ac:dyDescent="0.4">
      <c r="A47" s="37" t="s">
        <v>175</v>
      </c>
      <c r="B47" s="124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-349.2</v>
      </c>
    </row>
    <row r="48" spans="1:12" x14ac:dyDescent="0.4">
      <c r="A48" s="39" t="s">
        <v>176</v>
      </c>
      <c r="B48" s="120">
        <v>1</v>
      </c>
      <c r="C48" s="32">
        <f t="shared" si="2"/>
        <v>4.1493775933609959E-3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-379.7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-380</v>
      </c>
    </row>
    <row r="50" spans="1:12" x14ac:dyDescent="0.4">
      <c r="A50" s="64" t="s">
        <v>181</v>
      </c>
      <c r="B50" s="127">
        <v>915</v>
      </c>
      <c r="C50" s="128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-345.6</v>
      </c>
    </row>
    <row r="51" spans="1:12" x14ac:dyDescent="0.4">
      <c r="A51" s="39" t="s">
        <v>182</v>
      </c>
      <c r="B51" s="135">
        <v>241</v>
      </c>
      <c r="C51" s="136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-389.5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-366.6</v>
      </c>
    </row>
    <row r="53" spans="1:12" x14ac:dyDescent="0.4">
      <c r="K53" s="5">
        <v>51</v>
      </c>
      <c r="L53" s="73">
        <v>-379</v>
      </c>
    </row>
    <row r="54" spans="1:12" x14ac:dyDescent="0.4">
      <c r="K54" s="5">
        <v>52</v>
      </c>
      <c r="L54" s="73">
        <v>-435</v>
      </c>
    </row>
    <row r="55" spans="1:12" x14ac:dyDescent="0.4">
      <c r="K55" s="5">
        <v>53</v>
      </c>
      <c r="L55" s="73">
        <v>-458.69999999999993</v>
      </c>
    </row>
    <row r="56" spans="1:12" x14ac:dyDescent="0.4">
      <c r="K56" s="5">
        <v>54</v>
      </c>
      <c r="L56" s="73">
        <v>-493.79999999999995</v>
      </c>
    </row>
    <row r="57" spans="1:12" x14ac:dyDescent="0.4">
      <c r="K57" s="5">
        <v>55</v>
      </c>
      <c r="L57" s="73">
        <v>-444.79999999999995</v>
      </c>
    </row>
    <row r="58" spans="1:12" x14ac:dyDescent="0.4">
      <c r="K58" s="5">
        <v>56</v>
      </c>
      <c r="L58" s="73">
        <v>-417.69999999999993</v>
      </c>
    </row>
    <row r="59" spans="1:12" x14ac:dyDescent="0.4">
      <c r="K59" s="5">
        <v>57</v>
      </c>
      <c r="L59" s="73">
        <v>-450.5</v>
      </c>
    </row>
    <row r="60" spans="1:12" x14ac:dyDescent="0.4">
      <c r="K60" s="5">
        <v>58</v>
      </c>
      <c r="L60" s="73">
        <v>-532.5</v>
      </c>
    </row>
    <row r="61" spans="1:12" x14ac:dyDescent="0.4">
      <c r="K61" s="5">
        <v>59</v>
      </c>
      <c r="L61" s="73">
        <v>-594.79999999999995</v>
      </c>
    </row>
    <row r="62" spans="1:12" x14ac:dyDescent="0.4">
      <c r="K62" s="5">
        <v>60</v>
      </c>
      <c r="L62" s="73">
        <v>-542.79999999999995</v>
      </c>
    </row>
    <row r="63" spans="1:12" x14ac:dyDescent="0.4">
      <c r="K63" s="5">
        <v>61</v>
      </c>
      <c r="L63" s="73">
        <v>-588.1</v>
      </c>
    </row>
    <row r="64" spans="1:12" x14ac:dyDescent="0.4">
      <c r="K64" s="5">
        <v>62</v>
      </c>
      <c r="L64" s="73">
        <v>-592.4</v>
      </c>
    </row>
    <row r="65" spans="11:12" x14ac:dyDescent="0.4">
      <c r="K65" s="5">
        <v>63</v>
      </c>
      <c r="L65" s="73">
        <v>-651</v>
      </c>
    </row>
    <row r="66" spans="11:12" x14ac:dyDescent="0.4">
      <c r="K66" s="5">
        <v>64</v>
      </c>
      <c r="L66" s="73">
        <v>-552.70000000000005</v>
      </c>
    </row>
    <row r="67" spans="11:12" x14ac:dyDescent="0.4">
      <c r="K67" s="5">
        <v>65</v>
      </c>
      <c r="L67" s="73">
        <v>-551.80000000000007</v>
      </c>
    </row>
    <row r="68" spans="11:12" x14ac:dyDescent="0.4">
      <c r="K68" s="5">
        <v>66</v>
      </c>
      <c r="L68" s="73">
        <v>-559.70000000000005</v>
      </c>
    </row>
    <row r="69" spans="11:12" x14ac:dyDescent="0.4">
      <c r="K69" s="5">
        <v>67</v>
      </c>
      <c r="L69" s="73">
        <v>-504.6</v>
      </c>
    </row>
    <row r="70" spans="11:12" x14ac:dyDescent="0.4">
      <c r="K70" s="5">
        <v>68</v>
      </c>
      <c r="L70" s="73">
        <v>-552.20000000000005</v>
      </c>
    </row>
    <row r="71" spans="11:12" x14ac:dyDescent="0.4">
      <c r="K71" s="5">
        <v>69</v>
      </c>
      <c r="L71" s="73">
        <v>-616.70000000000005</v>
      </c>
    </row>
    <row r="72" spans="11:12" x14ac:dyDescent="0.4">
      <c r="K72" s="5">
        <v>70</v>
      </c>
      <c r="L72" s="73">
        <v>-676.1</v>
      </c>
    </row>
    <row r="73" spans="11:12" x14ac:dyDescent="0.4">
      <c r="K73" s="5">
        <v>71</v>
      </c>
      <c r="L73" s="73">
        <v>-676.1</v>
      </c>
    </row>
    <row r="74" spans="11:12" x14ac:dyDescent="0.4">
      <c r="K74" s="5">
        <v>72</v>
      </c>
      <c r="L74" s="73">
        <v>-666.9</v>
      </c>
    </row>
    <row r="75" spans="11:12" x14ac:dyDescent="0.4">
      <c r="K75" s="5">
        <v>73</v>
      </c>
      <c r="L75" s="73">
        <v>-715.7</v>
      </c>
    </row>
    <row r="76" spans="11:12" x14ac:dyDescent="0.4">
      <c r="K76" s="5">
        <v>74</v>
      </c>
      <c r="L76" s="73">
        <v>-645.5</v>
      </c>
    </row>
    <row r="77" spans="11:12" x14ac:dyDescent="0.4">
      <c r="K77" s="5">
        <v>75</v>
      </c>
      <c r="L77" s="73">
        <v>-647.20000000000005</v>
      </c>
    </row>
    <row r="78" spans="11:12" x14ac:dyDescent="0.4">
      <c r="K78" s="5">
        <v>76</v>
      </c>
      <c r="L78" s="73">
        <v>-639.70000000000005</v>
      </c>
    </row>
    <row r="79" spans="11:12" x14ac:dyDescent="0.4">
      <c r="K79" s="5">
        <v>77</v>
      </c>
      <c r="L79" s="73">
        <v>-600.20000000000005</v>
      </c>
    </row>
    <row r="80" spans="11:12" x14ac:dyDescent="0.4">
      <c r="K80" s="5">
        <v>78</v>
      </c>
      <c r="L80" s="73">
        <v>-587.80000000000007</v>
      </c>
    </row>
    <row r="81" spans="11:12" x14ac:dyDescent="0.4">
      <c r="K81" s="5">
        <v>79</v>
      </c>
      <c r="L81" s="73">
        <v>-566.30000000000007</v>
      </c>
    </row>
    <row r="82" spans="11:12" x14ac:dyDescent="0.4">
      <c r="K82" s="5">
        <v>80</v>
      </c>
      <c r="L82" s="73">
        <v>-592.70000000000005</v>
      </c>
    </row>
    <row r="83" spans="11:12" x14ac:dyDescent="0.4">
      <c r="K83" s="5">
        <v>81</v>
      </c>
      <c r="L83" s="73">
        <v>-591.1</v>
      </c>
    </row>
    <row r="84" spans="11:12" x14ac:dyDescent="0.4">
      <c r="K84" s="5">
        <v>82</v>
      </c>
      <c r="L84" s="73">
        <v>-574.20000000000005</v>
      </c>
    </row>
    <row r="85" spans="11:12" x14ac:dyDescent="0.4">
      <c r="K85" s="5">
        <v>83</v>
      </c>
      <c r="L85" s="73">
        <v>-552.90000000000009</v>
      </c>
    </row>
    <row r="86" spans="11:12" x14ac:dyDescent="0.4">
      <c r="K86" s="5">
        <v>84</v>
      </c>
      <c r="L86" s="73">
        <v>-589.6</v>
      </c>
    </row>
    <row r="87" spans="11:12" x14ac:dyDescent="0.4">
      <c r="K87" s="5">
        <v>85</v>
      </c>
      <c r="L87" s="73">
        <v>-637.6</v>
      </c>
    </row>
    <row r="88" spans="11:12" x14ac:dyDescent="0.4">
      <c r="K88" s="5">
        <v>86</v>
      </c>
      <c r="L88" s="73">
        <v>-639</v>
      </c>
    </row>
    <row r="89" spans="11:12" x14ac:dyDescent="0.4">
      <c r="K89" s="5">
        <v>87</v>
      </c>
      <c r="L89" s="73">
        <v>-665.80000000000007</v>
      </c>
    </row>
    <row r="90" spans="11:12" x14ac:dyDescent="0.4">
      <c r="K90" s="5">
        <v>88</v>
      </c>
      <c r="L90" s="73">
        <v>-642</v>
      </c>
    </row>
    <row r="91" spans="11:12" x14ac:dyDescent="0.4">
      <c r="K91" s="5">
        <v>89</v>
      </c>
      <c r="L91" s="73">
        <v>-687.40000000000009</v>
      </c>
    </row>
    <row r="92" spans="11:12" x14ac:dyDescent="0.4">
      <c r="K92" s="5">
        <v>90</v>
      </c>
      <c r="L92" s="73">
        <v>-665.90000000000009</v>
      </c>
    </row>
    <row r="93" spans="11:12" x14ac:dyDescent="0.4">
      <c r="K93" s="5">
        <v>91</v>
      </c>
      <c r="L93" s="73">
        <v>-691</v>
      </c>
    </row>
    <row r="94" spans="11:12" x14ac:dyDescent="0.4">
      <c r="K94" s="5">
        <v>92</v>
      </c>
      <c r="L94" s="73">
        <v>-707</v>
      </c>
    </row>
    <row r="95" spans="11:12" x14ac:dyDescent="0.4">
      <c r="K95" s="5">
        <v>93</v>
      </c>
      <c r="L95" s="73">
        <v>-748.7</v>
      </c>
    </row>
    <row r="96" spans="11:12" x14ac:dyDescent="0.4">
      <c r="K96" s="5">
        <v>94</v>
      </c>
      <c r="L96" s="73">
        <v>-751.1</v>
      </c>
    </row>
    <row r="97" spans="11:12" x14ac:dyDescent="0.4">
      <c r="K97" s="5">
        <v>95</v>
      </c>
      <c r="L97" s="73">
        <v>-729.2</v>
      </c>
    </row>
    <row r="98" spans="11:12" x14ac:dyDescent="0.4">
      <c r="K98" s="5">
        <v>96</v>
      </c>
      <c r="L98" s="73">
        <v>-688.40000000000009</v>
      </c>
    </row>
    <row r="99" spans="11:12" x14ac:dyDescent="0.4">
      <c r="K99" s="5">
        <v>97</v>
      </c>
      <c r="L99" s="73">
        <v>-713.5</v>
      </c>
    </row>
    <row r="100" spans="11:12" x14ac:dyDescent="0.4">
      <c r="K100" s="5">
        <v>98</v>
      </c>
      <c r="L100" s="73">
        <v>-761.40000000000009</v>
      </c>
    </row>
    <row r="101" spans="11:12" x14ac:dyDescent="0.4">
      <c r="K101" s="5">
        <v>99</v>
      </c>
      <c r="L101" s="73">
        <v>-745.6</v>
      </c>
    </row>
    <row r="102" spans="11:12" x14ac:dyDescent="0.4">
      <c r="K102" s="5">
        <v>100</v>
      </c>
      <c r="L102" s="73">
        <v>-792.2</v>
      </c>
    </row>
    <row r="103" spans="11:12" x14ac:dyDescent="0.4">
      <c r="K103" s="5">
        <v>101</v>
      </c>
      <c r="L103" s="73">
        <v>-845.30000000000007</v>
      </c>
    </row>
    <row r="104" spans="11:12" x14ac:dyDescent="0.4">
      <c r="K104" s="5">
        <v>102</v>
      </c>
      <c r="L104" s="73">
        <v>-844.5</v>
      </c>
    </row>
    <row r="105" spans="11:12" x14ac:dyDescent="0.4">
      <c r="K105" s="5">
        <v>103</v>
      </c>
      <c r="L105" s="73">
        <v>-822.1</v>
      </c>
    </row>
    <row r="106" spans="11:12" x14ac:dyDescent="0.4">
      <c r="K106" s="5">
        <v>104</v>
      </c>
      <c r="L106" s="73">
        <v>-793.1</v>
      </c>
    </row>
    <row r="107" spans="11:12" x14ac:dyDescent="0.4">
      <c r="K107" s="5">
        <v>105</v>
      </c>
      <c r="L107" s="73">
        <v>-812.4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31529-B220-4565-A653-8E87613A693C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199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28</v>
      </c>
      <c r="C2" s="128"/>
      <c r="E2" s="43" t="s">
        <v>72</v>
      </c>
      <c r="F2" s="25" t="s">
        <v>27</v>
      </c>
      <c r="G2" s="13">
        <v>55</v>
      </c>
      <c r="H2" s="106">
        <f>IF(B$51=0,0,G2/B$51)</f>
        <v>0.6875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-2342.8571428571427</v>
      </c>
      <c r="P2" s="92">
        <v>28</v>
      </c>
      <c r="Q2" s="76">
        <v>-65600</v>
      </c>
    </row>
    <row r="3" spans="1:17" x14ac:dyDescent="0.4">
      <c r="A3" s="37" t="s">
        <v>8</v>
      </c>
      <c r="B3" s="129">
        <v>253</v>
      </c>
      <c r="C3" s="130"/>
      <c r="E3" s="44" t="s">
        <v>66</v>
      </c>
      <c r="F3" s="41" t="s">
        <v>22</v>
      </c>
      <c r="G3" s="34">
        <v>45</v>
      </c>
      <c r="H3" s="107">
        <f>IF(B$51=0,0,G3/B$51)</f>
        <v>0.5625</v>
      </c>
      <c r="I3" s="68">
        <v>17</v>
      </c>
      <c r="K3" s="5">
        <v>1</v>
      </c>
      <c r="L3" s="73">
        <v>-12.5</v>
      </c>
      <c r="N3" s="89" t="s">
        <v>127</v>
      </c>
      <c r="O3" s="96">
        <f t="shared" si="0"/>
        <v>1603.7037037037037</v>
      </c>
      <c r="P3" s="93">
        <v>27</v>
      </c>
      <c r="Q3" s="77">
        <v>43300</v>
      </c>
    </row>
    <row r="4" spans="1:17" x14ac:dyDescent="0.4">
      <c r="A4" s="37" t="s">
        <v>6</v>
      </c>
      <c r="B4" s="131">
        <v>-22.000000000000028</v>
      </c>
      <c r="C4" s="132"/>
      <c r="E4" s="44" t="s">
        <v>64</v>
      </c>
      <c r="F4" s="41" t="s">
        <v>20</v>
      </c>
      <c r="G4" s="34">
        <v>37</v>
      </c>
      <c r="H4" s="107">
        <f>IF(B$51=0,0,G4/B$51)</f>
        <v>0.46250000000000002</v>
      </c>
      <c r="I4" s="68">
        <v>14</v>
      </c>
      <c r="K4" s="5">
        <v>2</v>
      </c>
      <c r="L4" s="73">
        <v>-28.1</v>
      </c>
      <c r="N4" s="89" t="s">
        <v>128</v>
      </c>
      <c r="O4" s="96">
        <f t="shared" si="0"/>
        <v>-6315.3846153846152</v>
      </c>
      <c r="P4" s="93">
        <v>26</v>
      </c>
      <c r="Q4" s="77">
        <v>-164200</v>
      </c>
    </row>
    <row r="5" spans="1:17" x14ac:dyDescent="0.4">
      <c r="A5" s="37" t="s">
        <v>7</v>
      </c>
      <c r="B5" s="133">
        <f>IF(B$2=0,0,B$4/B$2)</f>
        <v>-0.7857142857142867</v>
      </c>
      <c r="C5" s="134"/>
      <c r="E5" s="44" t="s">
        <v>67</v>
      </c>
      <c r="F5" s="41" t="s">
        <v>23</v>
      </c>
      <c r="G5" s="34">
        <v>27</v>
      </c>
      <c r="H5" s="107">
        <f>IF(B$51=0,0,G5/B$51)</f>
        <v>0.33750000000000002</v>
      </c>
      <c r="I5" s="68">
        <v>9</v>
      </c>
      <c r="K5" s="5">
        <v>3</v>
      </c>
      <c r="L5" s="73">
        <v>-20.400000000000002</v>
      </c>
      <c r="N5" s="89" t="s">
        <v>129</v>
      </c>
      <c r="O5" s="96">
        <f t="shared" si="0"/>
        <v>-1350</v>
      </c>
      <c r="P5" s="93">
        <v>26</v>
      </c>
      <c r="Q5" s="77">
        <v>-35100</v>
      </c>
    </row>
    <row r="6" spans="1:17" x14ac:dyDescent="0.4">
      <c r="A6" s="37" t="s">
        <v>1</v>
      </c>
      <c r="B6" s="141">
        <f>IF(B$2=0,0,(B$7*1+B$8*2+B$9*3)/B$2)</f>
        <v>1.9285714285714286</v>
      </c>
      <c r="C6" s="142"/>
      <c r="E6" s="44" t="s">
        <v>68</v>
      </c>
      <c r="F6" s="41" t="s">
        <v>12</v>
      </c>
      <c r="G6" s="34">
        <v>26</v>
      </c>
      <c r="H6" s="107">
        <f>IF(B$51=0,0,G6/B$51)</f>
        <v>0.32500000000000001</v>
      </c>
      <c r="I6" s="68">
        <v>8</v>
      </c>
      <c r="K6" s="5">
        <v>4</v>
      </c>
      <c r="L6" s="73">
        <v>19.399999999999995</v>
      </c>
      <c r="N6" s="89" t="s">
        <v>130</v>
      </c>
      <c r="O6" s="96">
        <f t="shared" si="0"/>
        <v>8445</v>
      </c>
      <c r="P6" s="93">
        <v>20</v>
      </c>
      <c r="Q6" s="77">
        <v>168900</v>
      </c>
    </row>
    <row r="7" spans="1:17" x14ac:dyDescent="0.4">
      <c r="A7" s="37" t="s">
        <v>2</v>
      </c>
      <c r="B7" s="34">
        <v>10</v>
      </c>
      <c r="C7" s="31">
        <f t="shared" ref="C7:C14" si="1">IF(B$2=0,0,B7/B$2)</f>
        <v>0.35714285714285715</v>
      </c>
      <c r="E7" s="44" t="s">
        <v>157</v>
      </c>
      <c r="F7" s="41" t="s">
        <v>158</v>
      </c>
      <c r="G7" s="34">
        <v>26</v>
      </c>
      <c r="H7" s="107">
        <f>IF(B$51=0,0,G7/B$51)</f>
        <v>0.32500000000000001</v>
      </c>
      <c r="I7" s="68">
        <v>7</v>
      </c>
      <c r="K7" s="5">
        <v>5</v>
      </c>
      <c r="L7" s="73">
        <v>-16.100000000000005</v>
      </c>
      <c r="N7" s="90" t="s">
        <v>131</v>
      </c>
      <c r="O7" s="97">
        <f t="shared" si="0"/>
        <v>1211.7647058823529</v>
      </c>
      <c r="P7" s="94">
        <v>17</v>
      </c>
      <c r="Q7" s="78">
        <v>20600</v>
      </c>
    </row>
    <row r="8" spans="1:17" x14ac:dyDescent="0.4">
      <c r="A8" s="37" t="s">
        <v>3</v>
      </c>
      <c r="B8" s="34">
        <v>10</v>
      </c>
      <c r="C8" s="31">
        <f t="shared" si="1"/>
        <v>0.35714285714285715</v>
      </c>
      <c r="E8" s="44" t="s">
        <v>89</v>
      </c>
      <c r="F8" s="41" t="s">
        <v>44</v>
      </c>
      <c r="G8" s="34">
        <v>12</v>
      </c>
      <c r="H8" s="107">
        <f>IF(B$51=0,0,G8/B$51)</f>
        <v>0.15</v>
      </c>
      <c r="I8" s="68">
        <v>6</v>
      </c>
      <c r="K8" s="5">
        <v>6</v>
      </c>
      <c r="L8" s="73">
        <v>-16.300000000000004</v>
      </c>
      <c r="N8" s="33"/>
      <c r="O8" s="101"/>
      <c r="P8" s="85"/>
      <c r="Q8" s="83"/>
    </row>
    <row r="9" spans="1:17" x14ac:dyDescent="0.4">
      <c r="A9" s="38" t="s">
        <v>4</v>
      </c>
      <c r="B9" s="35">
        <v>8</v>
      </c>
      <c r="C9" s="7">
        <f t="shared" si="1"/>
        <v>0.2857142857142857</v>
      </c>
      <c r="E9" s="44" t="s">
        <v>69</v>
      </c>
      <c r="F9" s="41" t="s">
        <v>24</v>
      </c>
      <c r="G9" s="34">
        <v>11</v>
      </c>
      <c r="H9" s="107">
        <f>IF(B$51=0,0,G9/B$51)</f>
        <v>0.13750000000000001</v>
      </c>
      <c r="I9" s="68">
        <v>11</v>
      </c>
      <c r="K9" s="5">
        <v>7</v>
      </c>
      <c r="L9" s="73">
        <v>-25.300000000000004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49">
        <f>IF(B7=0,0,C10/B7)</f>
        <v>40.79</v>
      </c>
      <c r="C10" s="150">
        <v>407.9</v>
      </c>
      <c r="E10" s="44" t="s">
        <v>65</v>
      </c>
      <c r="F10" s="41" t="s">
        <v>21</v>
      </c>
      <c r="G10" s="34">
        <v>8</v>
      </c>
      <c r="H10" s="107">
        <f>IF(B$51=0,0,G10/B$51)</f>
        <v>0.1</v>
      </c>
      <c r="I10" s="68">
        <v>12</v>
      </c>
      <c r="K10" s="5">
        <v>8</v>
      </c>
      <c r="L10" s="73">
        <v>9.5999999999999943</v>
      </c>
      <c r="N10" s="88" t="s">
        <v>149</v>
      </c>
      <c r="O10" s="98">
        <f>IF(P10=0,0,Q10/P10)</f>
        <v>-10.033333333333333</v>
      </c>
      <c r="P10" s="92">
        <v>6</v>
      </c>
      <c r="Q10" s="80">
        <v>-60.2</v>
      </c>
    </row>
    <row r="11" spans="1:17" x14ac:dyDescent="0.4">
      <c r="A11" s="38" t="s">
        <v>204</v>
      </c>
      <c r="B11" s="149">
        <f>IF(B8=0,0,C11/B8)</f>
        <v>-2.85</v>
      </c>
      <c r="C11" s="150">
        <v>-28.5</v>
      </c>
      <c r="E11" s="44" t="s">
        <v>86</v>
      </c>
      <c r="F11" s="41" t="s">
        <v>41</v>
      </c>
      <c r="G11" s="34">
        <v>8</v>
      </c>
      <c r="H11" s="107">
        <f>IF(B$51=0,0,G11/B$51)</f>
        <v>0.1</v>
      </c>
      <c r="I11" s="68">
        <v>3</v>
      </c>
      <c r="K11" s="5">
        <v>9</v>
      </c>
      <c r="L11" s="73">
        <v>18.099999999999994</v>
      </c>
      <c r="N11" s="89" t="s">
        <v>150</v>
      </c>
      <c r="O11" s="99">
        <f>IF(P11=0,0,Q11/P11)</f>
        <v>0.56923076923076743</v>
      </c>
      <c r="P11" s="93">
        <v>13</v>
      </c>
      <c r="Q11" s="81">
        <v>7.3999999999999773</v>
      </c>
    </row>
    <row r="12" spans="1:17" x14ac:dyDescent="0.4">
      <c r="A12" s="38" t="s">
        <v>205</v>
      </c>
      <c r="B12" s="149">
        <f>IF(B9=0,0,C12/B9)</f>
        <v>-50.174999999999997</v>
      </c>
      <c r="C12" s="150">
        <v>-401.4</v>
      </c>
      <c r="E12" s="44" t="s">
        <v>70</v>
      </c>
      <c r="F12" s="41" t="s">
        <v>25</v>
      </c>
      <c r="G12" s="34">
        <v>4</v>
      </c>
      <c r="H12" s="107">
        <f>IF(B$51=0,0,G12/B$51)</f>
        <v>0.05</v>
      </c>
      <c r="I12" s="68">
        <v>15</v>
      </c>
      <c r="K12" s="5">
        <v>10</v>
      </c>
      <c r="L12" s="73">
        <v>109.39999999999999</v>
      </c>
      <c r="N12" s="90" t="s">
        <v>151</v>
      </c>
      <c r="O12" s="100">
        <f>IF(P12=0,0,Q12/P12)</f>
        <v>3.4222222222222221</v>
      </c>
      <c r="P12" s="94">
        <v>9</v>
      </c>
      <c r="Q12" s="82">
        <v>30.799999999999997</v>
      </c>
    </row>
    <row r="13" spans="1:17" x14ac:dyDescent="0.4">
      <c r="A13" s="38" t="s">
        <v>206</v>
      </c>
      <c r="B13" s="133">
        <f>AVERAGE(B10:B12)</f>
        <v>-4.0783333333333331</v>
      </c>
      <c r="C13" s="134"/>
      <c r="E13" s="44" t="s">
        <v>78</v>
      </c>
      <c r="F13" s="41" t="s">
        <v>33</v>
      </c>
      <c r="G13" s="34">
        <v>4</v>
      </c>
      <c r="H13" s="107">
        <f>IF(B$51=0,0,G13/B$51)</f>
        <v>0.05</v>
      </c>
      <c r="I13" s="68">
        <v>2</v>
      </c>
      <c r="K13" s="5">
        <v>11</v>
      </c>
      <c r="L13" s="73">
        <v>100.69999999999999</v>
      </c>
      <c r="N13" s="28"/>
      <c r="O13" s="84"/>
      <c r="P13" s="86"/>
      <c r="Q13" s="84"/>
    </row>
    <row r="14" spans="1:17" x14ac:dyDescent="0.4">
      <c r="A14" s="39" t="s">
        <v>18</v>
      </c>
      <c r="B14" s="36">
        <v>7</v>
      </c>
      <c r="C14" s="32">
        <f t="shared" si="1"/>
        <v>0.25</v>
      </c>
      <c r="E14" s="44" t="s">
        <v>83</v>
      </c>
      <c r="F14" s="41" t="s">
        <v>38</v>
      </c>
      <c r="G14" s="34">
        <v>4</v>
      </c>
      <c r="H14" s="107">
        <f>IF(B$51=0,0,G14/B$51)</f>
        <v>0.05</v>
      </c>
      <c r="I14" s="68">
        <v>8</v>
      </c>
      <c r="K14" s="5">
        <v>12</v>
      </c>
      <c r="L14" s="73">
        <v>45.599999999999987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63</v>
      </c>
      <c r="C15" s="11">
        <f>IF(B$50=0,0,B15/B$50)</f>
        <v>0.24901185770750989</v>
      </c>
      <c r="E15" s="44" t="s">
        <v>77</v>
      </c>
      <c r="F15" s="41" t="s">
        <v>32</v>
      </c>
      <c r="G15" s="34">
        <v>3</v>
      </c>
      <c r="H15" s="107">
        <f>IF(B$51=0,0,G15/B$51)</f>
        <v>3.7499999999999999E-2</v>
      </c>
      <c r="I15" s="68">
        <v>1</v>
      </c>
      <c r="K15" s="5">
        <v>13</v>
      </c>
      <c r="L15" s="73">
        <v>83.299999999999983</v>
      </c>
      <c r="N15" s="88" t="s">
        <v>186</v>
      </c>
      <c r="O15" s="98">
        <f>IF(P15=0,0,Q15/P15)</f>
        <v>42.96</v>
      </c>
      <c r="P15" s="92">
        <v>5</v>
      </c>
      <c r="Q15" s="80">
        <v>214.8</v>
      </c>
    </row>
    <row r="16" spans="1:17" x14ac:dyDescent="0.4">
      <c r="A16" s="37" t="s">
        <v>118</v>
      </c>
      <c r="B16" s="34">
        <v>84</v>
      </c>
      <c r="C16" s="31">
        <f>IF(B$50=0,0,B16/B$50)</f>
        <v>0.33201581027667987</v>
      </c>
      <c r="E16" s="44" t="s">
        <v>71</v>
      </c>
      <c r="F16" s="41" t="s">
        <v>26</v>
      </c>
      <c r="G16" s="34">
        <v>2</v>
      </c>
      <c r="H16" s="107">
        <f>IF(B$51=0,0,G16/B$51)</f>
        <v>2.5000000000000001E-2</v>
      </c>
      <c r="I16" s="68">
        <v>15</v>
      </c>
      <c r="K16" s="5">
        <v>14</v>
      </c>
      <c r="L16" s="73">
        <v>114.99999999999999</v>
      </c>
      <c r="N16" s="89" t="s">
        <v>197</v>
      </c>
      <c r="O16" s="99">
        <f>IF(P16=0,0,Q16/P16)</f>
        <v>41.385714285714286</v>
      </c>
      <c r="P16" s="93">
        <v>7</v>
      </c>
      <c r="Q16" s="81">
        <v>289.7</v>
      </c>
    </row>
    <row r="17" spans="1:17" x14ac:dyDescent="0.4">
      <c r="A17" s="19" t="s">
        <v>123</v>
      </c>
      <c r="B17" s="13">
        <v>37</v>
      </c>
      <c r="C17" s="4">
        <f>IF(B$15=0,0,B17/B$15)</f>
        <v>0.58730158730158732</v>
      </c>
      <c r="E17" s="44" t="s">
        <v>79</v>
      </c>
      <c r="F17" s="41" t="s">
        <v>34</v>
      </c>
      <c r="G17" s="34">
        <v>2</v>
      </c>
      <c r="H17" s="107">
        <f>IF(B$51=0,0,G17/B$51)</f>
        <v>2.5000000000000001E-2</v>
      </c>
      <c r="I17" s="68">
        <v>4</v>
      </c>
      <c r="K17" s="5">
        <v>15</v>
      </c>
      <c r="L17" s="73">
        <v>157.69999999999999</v>
      </c>
      <c r="N17" s="89" t="s">
        <v>190</v>
      </c>
      <c r="O17" s="99">
        <f>IF(P17=0,0,Q17/P17)</f>
        <v>22.533333333333335</v>
      </c>
      <c r="P17" s="93">
        <v>3</v>
      </c>
      <c r="Q17" s="81">
        <v>67.600000000000009</v>
      </c>
    </row>
    <row r="18" spans="1:17" x14ac:dyDescent="0.4">
      <c r="A18" s="19" t="s">
        <v>124</v>
      </c>
      <c r="B18" s="13">
        <v>33</v>
      </c>
      <c r="C18" s="4">
        <f>IF(B$16=0,0,B18/B$16)</f>
        <v>0.39285714285714285</v>
      </c>
      <c r="E18" s="44" t="s">
        <v>81</v>
      </c>
      <c r="F18" s="41" t="s">
        <v>36</v>
      </c>
      <c r="G18" s="34">
        <v>1</v>
      </c>
      <c r="H18" s="107">
        <f>IF(B$51=0,0,G18/B$51)</f>
        <v>1.2500000000000001E-2</v>
      </c>
      <c r="I18" s="68">
        <v>13</v>
      </c>
      <c r="K18" s="5">
        <v>16</v>
      </c>
      <c r="L18" s="73">
        <v>99.6</v>
      </c>
      <c r="N18" s="89" t="s">
        <v>188</v>
      </c>
      <c r="O18" s="99">
        <f>IF(P18=0,0,Q18/P18)</f>
        <v>16.62857142857143</v>
      </c>
      <c r="P18" s="93">
        <v>7</v>
      </c>
      <c r="Q18" s="81">
        <v>116.4</v>
      </c>
    </row>
    <row r="19" spans="1:17" x14ac:dyDescent="0.4">
      <c r="A19" s="19" t="s">
        <v>10</v>
      </c>
      <c r="B19" s="13">
        <v>80</v>
      </c>
      <c r="C19" s="4">
        <f>IF(B$3=0,0,B19/B$3)</f>
        <v>0.31620553359683795</v>
      </c>
      <c r="E19" s="44" t="s">
        <v>73</v>
      </c>
      <c r="F19" s="41" t="s">
        <v>28</v>
      </c>
      <c r="G19" s="34">
        <v>0</v>
      </c>
      <c r="H19" s="107">
        <f>IF(B$51=0,0,G19/B$51)</f>
        <v>0</v>
      </c>
      <c r="I19" s="68">
        <v>12</v>
      </c>
      <c r="K19" s="5">
        <v>17</v>
      </c>
      <c r="L19" s="73">
        <v>112.39999999999999</v>
      </c>
      <c r="N19" s="89" t="s">
        <v>195</v>
      </c>
      <c r="O19" s="99">
        <f>IF(P19=0,0,Q19/P19)</f>
        <v>13.45</v>
      </c>
      <c r="P19" s="93">
        <v>2</v>
      </c>
      <c r="Q19" s="81">
        <v>26.9</v>
      </c>
    </row>
    <row r="20" spans="1:17" x14ac:dyDescent="0.4">
      <c r="A20" s="37" t="s">
        <v>13</v>
      </c>
      <c r="B20" s="34">
        <v>43</v>
      </c>
      <c r="C20" s="31">
        <f>IF(B$3=0,0,B20/B$3)</f>
        <v>0.16996047430830039</v>
      </c>
      <c r="E20" s="44" t="s">
        <v>74</v>
      </c>
      <c r="F20" s="41" t="s">
        <v>29</v>
      </c>
      <c r="G20" s="34">
        <v>0</v>
      </c>
      <c r="H20" s="107">
        <f>IF(B$51=0,0,G20/B$51)</f>
        <v>0</v>
      </c>
      <c r="I20" s="68">
        <v>10</v>
      </c>
      <c r="K20" s="5">
        <v>18</v>
      </c>
      <c r="L20" s="73">
        <v>45.399999999999991</v>
      </c>
      <c r="N20" s="89" t="s">
        <v>191</v>
      </c>
      <c r="O20" s="99">
        <f>IF(P20=0,0,Q20/P20)</f>
        <v>-5.6000000000000014</v>
      </c>
      <c r="P20" s="93">
        <v>8</v>
      </c>
      <c r="Q20" s="81">
        <v>-44.800000000000011</v>
      </c>
    </row>
    <row r="21" spans="1:17" x14ac:dyDescent="0.4">
      <c r="A21" s="37" t="s">
        <v>12</v>
      </c>
      <c r="B21" s="34">
        <v>41</v>
      </c>
      <c r="C21" s="31">
        <f>IF(B$19=0,0,B21/B$19)</f>
        <v>0.51249999999999996</v>
      </c>
      <c r="E21" s="44" t="s">
        <v>75</v>
      </c>
      <c r="F21" s="41" t="s">
        <v>30</v>
      </c>
      <c r="G21" s="34">
        <v>0</v>
      </c>
      <c r="H21" s="107">
        <f>IF(B$51=0,0,G21/B$51)</f>
        <v>0</v>
      </c>
      <c r="I21" s="68">
        <v>11</v>
      </c>
      <c r="K21" s="5">
        <v>19</v>
      </c>
      <c r="L21" s="73">
        <v>94.299999999999983</v>
      </c>
      <c r="N21" s="89" t="s">
        <v>187</v>
      </c>
      <c r="O21" s="99">
        <f>IF(P21=0,0,Q21/P21)</f>
        <v>-23.049999999999997</v>
      </c>
      <c r="P21" s="93">
        <v>16</v>
      </c>
      <c r="Q21" s="81">
        <v>-368.79999999999995</v>
      </c>
    </row>
    <row r="22" spans="1:17" x14ac:dyDescent="0.4">
      <c r="A22" s="37" t="s">
        <v>11</v>
      </c>
      <c r="B22" s="34">
        <v>39</v>
      </c>
      <c r="C22" s="31">
        <f>IF(B$19=0,0,B22/B$19)</f>
        <v>0.48749999999999999</v>
      </c>
      <c r="E22" s="44" t="s">
        <v>76</v>
      </c>
      <c r="F22" s="41" t="s">
        <v>31</v>
      </c>
      <c r="G22" s="34">
        <v>0</v>
      </c>
      <c r="H22" s="107">
        <f>IF(B$51=0,0,G22/B$51)</f>
        <v>0</v>
      </c>
      <c r="I22" s="68">
        <v>1</v>
      </c>
      <c r="K22" s="5">
        <v>20</v>
      </c>
      <c r="L22" s="73">
        <v>80.999999999999986</v>
      </c>
      <c r="N22" s="89" t="s">
        <v>193</v>
      </c>
      <c r="O22" s="99">
        <f>IF(P22=0,0,Q22/P22)</f>
        <v>-45.974999999999994</v>
      </c>
      <c r="P22" s="93">
        <v>8</v>
      </c>
      <c r="Q22" s="81">
        <v>-367.79999999999995</v>
      </c>
    </row>
    <row r="23" spans="1:17" x14ac:dyDescent="0.4">
      <c r="A23" s="37" t="s">
        <v>180</v>
      </c>
      <c r="B23" s="34">
        <v>37</v>
      </c>
      <c r="C23" s="31">
        <f>IF(B$19=0,0,B23/B$19)</f>
        <v>0.46250000000000002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82.799999999999983</v>
      </c>
    </row>
    <row r="24" spans="1:17" x14ac:dyDescent="0.4">
      <c r="A24" s="37" t="s">
        <v>178</v>
      </c>
      <c r="B24" s="34">
        <v>33</v>
      </c>
      <c r="C24" s="31">
        <f>IF(B$19=0,0,B24/B$19)</f>
        <v>0.41249999999999998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  <c r="K24" s="5">
        <v>22</v>
      </c>
      <c r="L24" s="73">
        <v>36.299999999999983</v>
      </c>
    </row>
    <row r="25" spans="1:17" x14ac:dyDescent="0.4">
      <c r="A25" s="37" t="s">
        <v>179</v>
      </c>
      <c r="B25" s="34">
        <v>10</v>
      </c>
      <c r="C25" s="31">
        <f>IF(B$19=0,0,B25/B$19)</f>
        <v>0.125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  <c r="K25" s="5">
        <v>23</v>
      </c>
      <c r="L25" s="73">
        <v>57.399999999999984</v>
      </c>
    </row>
    <row r="26" spans="1:17" x14ac:dyDescent="0.4">
      <c r="A26" s="37" t="s">
        <v>5</v>
      </c>
      <c r="B26" s="17">
        <f>IF(B$19=0,0,C26/B$19)</f>
        <v>7901.25</v>
      </c>
      <c r="C26" s="8">
        <v>632100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  <c r="K26" s="5">
        <v>24</v>
      </c>
      <c r="L26" s="73">
        <v>10.899999999999977</v>
      </c>
    </row>
    <row r="27" spans="1:17" x14ac:dyDescent="0.4">
      <c r="A27" s="38" t="s">
        <v>162</v>
      </c>
      <c r="B27" s="114">
        <f>IF($B$19-B$18=0,0,C27/($B$19-B$18))</f>
        <v>8944.6808510638293</v>
      </c>
      <c r="C27" s="115">
        <v>420400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  <c r="K27" s="5">
        <v>25</v>
      </c>
      <c r="L27" s="73">
        <v>45.399999999999977</v>
      </c>
    </row>
    <row r="28" spans="1:17" x14ac:dyDescent="0.4">
      <c r="A28" s="38" t="s">
        <v>163</v>
      </c>
      <c r="B28" s="114">
        <f>IF(B$18=0,0,C28/B$18)</f>
        <v>6415.151515151515</v>
      </c>
      <c r="C28" s="115">
        <v>211700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  <c r="K28" s="5">
        <v>26</v>
      </c>
      <c r="L28" s="73">
        <v>70.699999999999974</v>
      </c>
    </row>
    <row r="29" spans="1:17" x14ac:dyDescent="0.4">
      <c r="A29" s="38" t="s">
        <v>161</v>
      </c>
      <c r="B29" s="114">
        <f>IF(B$20=0,0,C29/B$20)</f>
        <v>-8765.1162790697672</v>
      </c>
      <c r="C29" s="115">
        <v>-376900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23.499999999999972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  <c r="K30" s="5">
        <v>28</v>
      </c>
      <c r="L30" s="73">
        <v>-22.000000000000028</v>
      </c>
    </row>
    <row r="31" spans="1:17" x14ac:dyDescent="0.4">
      <c r="A31" s="37" t="s">
        <v>156</v>
      </c>
      <c r="B31" s="34">
        <v>14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39">
        <v>4</v>
      </c>
      <c r="C32" s="140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7">
        <v>106300</v>
      </c>
      <c r="C33" s="138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2</v>
      </c>
      <c r="C34" s="32">
        <f>IF(B$3=0,0,B34/B$3)</f>
        <v>7.9051383399209481E-3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1">
        <v>10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12</v>
      </c>
      <c r="C37" s="31">
        <f t="shared" ref="C37:C48" si="2">IF(B$19=0,0,B37/B$19)</f>
        <v>0.15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4">
        <v>12</v>
      </c>
      <c r="C38" s="31">
        <f>IF(B$19=0,0,B38/B$19)</f>
        <v>0.15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4">
        <v>14</v>
      </c>
      <c r="C39" s="31">
        <f t="shared" si="2"/>
        <v>0.17499999999999999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4">
        <v>15</v>
      </c>
      <c r="C40" s="31">
        <f t="shared" si="2"/>
        <v>0.1875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4">
        <v>10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4">
        <v>3</v>
      </c>
      <c r="C42" s="31">
        <f t="shared" si="2"/>
        <v>3.7499999999999999E-2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4">
        <v>3</v>
      </c>
      <c r="C43" s="31">
        <f t="shared" si="2"/>
        <v>3.7499999999999999E-2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4">
        <v>1</v>
      </c>
      <c r="C44" s="31">
        <f t="shared" si="2"/>
        <v>1.2500000000000001E-2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4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4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4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0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7">
        <v>253</v>
      </c>
      <c r="C50" s="128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35">
        <v>80</v>
      </c>
      <c r="C51" s="136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99AD3-D3A1-4555-AB99-B661BD89FDF5}">
  <sheetPr codeName="Sheet18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200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1</v>
      </c>
      <c r="C2" s="128"/>
      <c r="E2" s="43" t="s">
        <v>66</v>
      </c>
      <c r="F2" s="25" t="s">
        <v>22</v>
      </c>
      <c r="G2" s="13">
        <v>3</v>
      </c>
      <c r="H2" s="106">
        <f>IF(B$51=0,0,G2/B$51)</f>
        <v>1.5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1500</v>
      </c>
      <c r="P2" s="92">
        <v>1</v>
      </c>
      <c r="Q2" s="76">
        <v>1500</v>
      </c>
    </row>
    <row r="3" spans="1:17" x14ac:dyDescent="0.4">
      <c r="A3" s="37" t="s">
        <v>8</v>
      </c>
      <c r="B3" s="129">
        <v>13</v>
      </c>
      <c r="C3" s="130"/>
      <c r="E3" s="44" t="s">
        <v>64</v>
      </c>
      <c r="F3" s="41" t="s">
        <v>20</v>
      </c>
      <c r="G3" s="34">
        <v>1</v>
      </c>
      <c r="H3" s="107">
        <f>IF(B$51=0,0,G3/B$51)</f>
        <v>0.5</v>
      </c>
      <c r="I3" s="68">
        <v>10</v>
      </c>
      <c r="K3" s="5">
        <v>1</v>
      </c>
      <c r="L3" s="73">
        <v>13.3</v>
      </c>
      <c r="N3" s="89" t="s">
        <v>127</v>
      </c>
      <c r="O3" s="96">
        <f t="shared" si="0"/>
        <v>12500</v>
      </c>
      <c r="P3" s="93">
        <v>1</v>
      </c>
      <c r="Q3" s="77">
        <v>12500</v>
      </c>
    </row>
    <row r="4" spans="1:17" x14ac:dyDescent="0.4">
      <c r="A4" s="37" t="s">
        <v>6</v>
      </c>
      <c r="B4" s="131">
        <v>13.3</v>
      </c>
      <c r="C4" s="132"/>
      <c r="E4" s="44" t="s">
        <v>67</v>
      </c>
      <c r="F4" s="41" t="s">
        <v>23</v>
      </c>
      <c r="G4" s="34">
        <v>1</v>
      </c>
      <c r="H4" s="107">
        <f>IF(B$51=0,0,G4/B$51)</f>
        <v>0.5</v>
      </c>
      <c r="I4" s="68">
        <v>2</v>
      </c>
      <c r="N4" s="89" t="s">
        <v>128</v>
      </c>
      <c r="O4" s="96">
        <f t="shared" si="0"/>
        <v>-14000</v>
      </c>
      <c r="P4" s="93">
        <v>1</v>
      </c>
      <c r="Q4" s="77">
        <v>-14000</v>
      </c>
    </row>
    <row r="5" spans="1:17" x14ac:dyDescent="0.4">
      <c r="A5" s="37" t="s">
        <v>7</v>
      </c>
      <c r="B5" s="133">
        <f>IF(B$2=0,0,B$4/B$2)</f>
        <v>13.3</v>
      </c>
      <c r="C5" s="134"/>
      <c r="E5" s="44" t="s">
        <v>68</v>
      </c>
      <c r="F5" s="41" t="s">
        <v>12</v>
      </c>
      <c r="G5" s="34">
        <v>1</v>
      </c>
      <c r="H5" s="107">
        <f>IF(B$51=0,0,G5/B$51)</f>
        <v>0.5</v>
      </c>
      <c r="I5" s="68">
        <v>1</v>
      </c>
      <c r="N5" s="89" t="s">
        <v>129</v>
      </c>
      <c r="O5" s="96">
        <f t="shared" si="0"/>
        <v>-2800</v>
      </c>
      <c r="P5" s="93">
        <v>1</v>
      </c>
      <c r="Q5" s="77">
        <v>-2800</v>
      </c>
    </row>
    <row r="6" spans="1:17" x14ac:dyDescent="0.4">
      <c r="A6" s="37" t="s">
        <v>1</v>
      </c>
      <c r="B6" s="141">
        <f>IF(B$2=0,0,(B$7*1+B$8*2+B$9*3)/B$2)</f>
        <v>2</v>
      </c>
      <c r="C6" s="142"/>
      <c r="E6" s="44" t="s">
        <v>81</v>
      </c>
      <c r="F6" s="41" t="s">
        <v>36</v>
      </c>
      <c r="G6" s="34">
        <v>1</v>
      </c>
      <c r="H6" s="107">
        <f>IF(B$51=0,0,G6/B$51)</f>
        <v>0.5</v>
      </c>
      <c r="I6" s="68">
        <v>1</v>
      </c>
      <c r="N6" s="89" t="s">
        <v>130</v>
      </c>
      <c r="O6" s="96">
        <f t="shared" si="0"/>
        <v>16100</v>
      </c>
      <c r="P6" s="93">
        <v>1</v>
      </c>
      <c r="Q6" s="77">
        <v>16100</v>
      </c>
    </row>
    <row r="7" spans="1:17" x14ac:dyDescent="0.4">
      <c r="A7" s="37" t="s">
        <v>2</v>
      </c>
      <c r="B7" s="34">
        <v>0</v>
      </c>
      <c r="C7" s="31">
        <f t="shared" ref="C7:C14" si="1">IF(B$2=0,0,B7/B$2)</f>
        <v>0</v>
      </c>
      <c r="E7" s="44" t="s">
        <v>157</v>
      </c>
      <c r="F7" s="41" t="s">
        <v>158</v>
      </c>
      <c r="G7" s="34">
        <v>1</v>
      </c>
      <c r="H7" s="107">
        <f>IF(B$51=0,0,G7/B$51)</f>
        <v>0.5</v>
      </c>
      <c r="I7" s="68">
        <v>1</v>
      </c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">
      <c r="A8" s="37" t="s">
        <v>3</v>
      </c>
      <c r="B8" s="34">
        <v>1</v>
      </c>
      <c r="C8" s="31">
        <f t="shared" si="1"/>
        <v>1</v>
      </c>
      <c r="E8" s="44" t="s">
        <v>65</v>
      </c>
      <c r="F8" s="41" t="s">
        <v>21</v>
      </c>
      <c r="G8" s="34">
        <v>0</v>
      </c>
      <c r="H8" s="107">
        <f>IF(B$51=0,0,G8/B$51)</f>
        <v>0</v>
      </c>
      <c r="I8" s="68">
        <v>19</v>
      </c>
      <c r="N8" s="33"/>
      <c r="O8" s="101"/>
      <c r="P8" s="85"/>
      <c r="Q8" s="83"/>
    </row>
    <row r="9" spans="1:17" x14ac:dyDescent="0.4">
      <c r="A9" s="38" t="s">
        <v>4</v>
      </c>
      <c r="B9" s="35">
        <v>0</v>
      </c>
      <c r="C9" s="7">
        <f t="shared" si="1"/>
        <v>0</v>
      </c>
      <c r="E9" s="44" t="s">
        <v>69</v>
      </c>
      <c r="F9" s="41" t="s">
        <v>24</v>
      </c>
      <c r="G9" s="34">
        <v>0</v>
      </c>
      <c r="H9" s="107">
        <f>IF(B$51=0,0,G9/B$51)</f>
        <v>0</v>
      </c>
      <c r="I9" s="68">
        <v>19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49">
        <f>IF(B7=0,0,C10/B7)</f>
        <v>0</v>
      </c>
      <c r="C10" s="150">
        <v>0</v>
      </c>
      <c r="E10" s="44" t="s">
        <v>70</v>
      </c>
      <c r="F10" s="41" t="s">
        <v>25</v>
      </c>
      <c r="G10" s="34">
        <v>0</v>
      </c>
      <c r="H10" s="107">
        <f>IF(B$51=0,0,G10/B$51)</f>
        <v>0</v>
      </c>
      <c r="I10" s="68">
        <v>16</v>
      </c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">
      <c r="A11" s="38" t="s">
        <v>204</v>
      </c>
      <c r="B11" s="149">
        <f>IF(B8=0,0,C11/B8)</f>
        <v>13.3</v>
      </c>
      <c r="C11" s="150">
        <v>13.3</v>
      </c>
      <c r="E11" s="44" t="s">
        <v>71</v>
      </c>
      <c r="F11" s="41" t="s">
        <v>26</v>
      </c>
      <c r="G11" s="34">
        <v>0</v>
      </c>
      <c r="H11" s="107">
        <f>IF(B$51=0,0,G11/B$51)</f>
        <v>0</v>
      </c>
      <c r="I11" s="68">
        <v>16</v>
      </c>
      <c r="N11" s="89" t="s">
        <v>150</v>
      </c>
      <c r="O11" s="99">
        <f>IF(P11=0,0,Q11/P11)</f>
        <v>13.3</v>
      </c>
      <c r="P11" s="93">
        <v>1</v>
      </c>
      <c r="Q11" s="81">
        <v>13.3</v>
      </c>
    </row>
    <row r="12" spans="1:17" x14ac:dyDescent="0.4">
      <c r="A12" s="38" t="s">
        <v>205</v>
      </c>
      <c r="B12" s="149">
        <f>IF(B9=0,0,C12/B9)</f>
        <v>0</v>
      </c>
      <c r="C12" s="150">
        <v>0</v>
      </c>
      <c r="E12" s="44" t="s">
        <v>72</v>
      </c>
      <c r="F12" s="41" t="s">
        <v>27</v>
      </c>
      <c r="G12" s="34">
        <v>0</v>
      </c>
      <c r="H12" s="107">
        <f>IF(B$51=0,0,G12/B$51)</f>
        <v>0</v>
      </c>
      <c r="I12" s="68">
        <v>19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38" t="s">
        <v>206</v>
      </c>
      <c r="B13" s="133">
        <f>AVERAGE(B10:B12)</f>
        <v>4.4333333333333336</v>
      </c>
      <c r="C13" s="134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">
      <c r="A14" s="39" t="s">
        <v>18</v>
      </c>
      <c r="B14" s="36">
        <v>0</v>
      </c>
      <c r="C14" s="32">
        <f t="shared" si="1"/>
        <v>0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3</v>
      </c>
      <c r="C15" s="11">
        <f>IF(B$50=0,0,B15/B$50)</f>
        <v>0.23076923076923078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69.5</v>
      </c>
      <c r="P15" s="92">
        <v>1</v>
      </c>
      <c r="Q15" s="80">
        <v>69.5</v>
      </c>
    </row>
    <row r="16" spans="1:17" x14ac:dyDescent="0.4">
      <c r="A16" s="37" t="s">
        <v>118</v>
      </c>
      <c r="B16" s="34">
        <v>1</v>
      </c>
      <c r="C16" s="31">
        <f>IF(B$50=0,0,B16/B$50)</f>
        <v>7.6923076923076927E-2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1</v>
      </c>
      <c r="N16" s="89" t="s">
        <v>195</v>
      </c>
      <c r="O16" s="99">
        <f>IF(P16=0,0,Q16/P16)</f>
        <v>-29.599999999999998</v>
      </c>
      <c r="P16" s="93">
        <v>1</v>
      </c>
      <c r="Q16" s="81">
        <v>-29.599999999999998</v>
      </c>
    </row>
    <row r="17" spans="1:9" x14ac:dyDescent="0.4">
      <c r="A17" s="19" t="s">
        <v>123</v>
      </c>
      <c r="B17" s="13">
        <v>1</v>
      </c>
      <c r="C17" s="4">
        <f>IF(B$15=0,0,B17/B$15)</f>
        <v>0.33333333333333331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9</v>
      </c>
    </row>
    <row r="18" spans="1:9" x14ac:dyDescent="0.4">
      <c r="A18" s="19" t="s">
        <v>124</v>
      </c>
      <c r="B18" s="13">
        <v>0</v>
      </c>
      <c r="C18" s="4">
        <f>IF(B$16=0,0,B18/B$16)</f>
        <v>0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</row>
    <row r="19" spans="1:9" x14ac:dyDescent="0.4">
      <c r="A19" s="19" t="s">
        <v>10</v>
      </c>
      <c r="B19" s="13">
        <v>2</v>
      </c>
      <c r="C19" s="4">
        <f>IF(B$3=0,0,B19/B$3)</f>
        <v>0.15384615384615385</v>
      </c>
      <c r="E19" s="44" t="s">
        <v>79</v>
      </c>
      <c r="F19" s="41" t="s">
        <v>34</v>
      </c>
      <c r="G19" s="34">
        <v>0</v>
      </c>
      <c r="H19" s="107">
        <f>IF(B$51=0,0,G19/B$51)</f>
        <v>0</v>
      </c>
      <c r="I19" s="68">
        <v>15</v>
      </c>
    </row>
    <row r="20" spans="1:9" x14ac:dyDescent="0.4">
      <c r="A20" s="37" t="s">
        <v>13</v>
      </c>
      <c r="B20" s="34">
        <v>1</v>
      </c>
      <c r="C20" s="31">
        <f>IF(B$3=0,0,B20/B$3)</f>
        <v>7.6923076923076927E-2</v>
      </c>
      <c r="E20" s="44" t="s">
        <v>80</v>
      </c>
      <c r="F20" s="41" t="s">
        <v>35</v>
      </c>
      <c r="G20" s="34">
        <v>0</v>
      </c>
      <c r="H20" s="107">
        <f>IF(B$51=0,0,G20/B$51)</f>
        <v>0</v>
      </c>
      <c r="I20" s="68">
        <v>3</v>
      </c>
    </row>
    <row r="21" spans="1:9" x14ac:dyDescent="0.4">
      <c r="A21" s="37" t="s">
        <v>12</v>
      </c>
      <c r="B21" s="34">
        <v>1</v>
      </c>
      <c r="C21" s="31">
        <f>IF(B$19=0,0,B21/B$19)</f>
        <v>0.5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9" x14ac:dyDescent="0.4">
      <c r="A22" s="37" t="s">
        <v>11</v>
      </c>
      <c r="B22" s="34">
        <v>1</v>
      </c>
      <c r="C22" s="31">
        <f>IF(B$19=0,0,B22/B$19)</f>
        <v>0.5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9" x14ac:dyDescent="0.4">
      <c r="A23" s="37" t="s">
        <v>180</v>
      </c>
      <c r="B23" s="34">
        <v>1</v>
      </c>
      <c r="C23" s="31">
        <f>IF(B$19=0,0,B23/B$19)</f>
        <v>0.5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9" x14ac:dyDescent="0.4">
      <c r="A24" s="37" t="s">
        <v>178</v>
      </c>
      <c r="B24" s="34">
        <v>0</v>
      </c>
      <c r="C24" s="31">
        <f>IF(B$19=0,0,B24/B$19)</f>
        <v>0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9</v>
      </c>
    </row>
    <row r="25" spans="1:9" x14ac:dyDescent="0.4">
      <c r="A25" s="37" t="s">
        <v>179</v>
      </c>
      <c r="B25" s="34">
        <v>1</v>
      </c>
      <c r="C25" s="31">
        <f>IF(B$19=0,0,B25/B$19)</f>
        <v>0.5</v>
      </c>
      <c r="E25" s="44" t="s">
        <v>86</v>
      </c>
      <c r="F25" s="41" t="s">
        <v>41</v>
      </c>
      <c r="G25" s="34">
        <v>0</v>
      </c>
      <c r="H25" s="107">
        <f>IF(B$51=0,0,G25/B$51)</f>
        <v>0</v>
      </c>
      <c r="I25" s="68">
        <v>17</v>
      </c>
    </row>
    <row r="26" spans="1:9" x14ac:dyDescent="0.4">
      <c r="A26" s="37" t="s">
        <v>5</v>
      </c>
      <c r="B26" s="17">
        <f>IF(B$19=0,0,C26/B$19)</f>
        <v>13800</v>
      </c>
      <c r="C26" s="8">
        <v>27600</v>
      </c>
      <c r="E26" s="44" t="s">
        <v>87</v>
      </c>
      <c r="F26" s="41" t="s">
        <v>42</v>
      </c>
      <c r="G26" s="34">
        <v>0</v>
      </c>
      <c r="H26" s="107">
        <f>IF(B$51=0,0,G26/B$51)</f>
        <v>0</v>
      </c>
      <c r="I26" s="68">
        <v>10</v>
      </c>
    </row>
    <row r="27" spans="1:9" x14ac:dyDescent="0.4">
      <c r="A27" s="38" t="s">
        <v>162</v>
      </c>
      <c r="B27" s="114">
        <f>IF($B$19-B$18=0,0,C27/($B$19-B$18))</f>
        <v>13800</v>
      </c>
      <c r="C27" s="115">
        <v>27600</v>
      </c>
      <c r="E27" s="44" t="s">
        <v>88</v>
      </c>
      <c r="F27" s="41" t="s">
        <v>43</v>
      </c>
      <c r="G27" s="34">
        <v>0</v>
      </c>
      <c r="H27" s="107">
        <f>IF(B$51=0,0,G27/B$51)</f>
        <v>0</v>
      </c>
      <c r="I27" s="68">
        <v>8</v>
      </c>
    </row>
    <row r="28" spans="1:9" x14ac:dyDescent="0.4">
      <c r="A28" s="38" t="s">
        <v>163</v>
      </c>
      <c r="B28" s="114">
        <f>IF(B$18=0,0,C28/B$18)</f>
        <v>0</v>
      </c>
      <c r="C28" s="115">
        <v>0</v>
      </c>
      <c r="E28" s="44" t="s">
        <v>89</v>
      </c>
      <c r="F28" s="41" t="s">
        <v>44</v>
      </c>
      <c r="G28" s="34">
        <v>0</v>
      </c>
      <c r="H28" s="107">
        <f>IF(B$51=0,0,G28/B$51)</f>
        <v>0</v>
      </c>
      <c r="I28" s="68">
        <v>18</v>
      </c>
    </row>
    <row r="29" spans="1:9" x14ac:dyDescent="0.4">
      <c r="A29" s="38" t="s">
        <v>161</v>
      </c>
      <c r="B29" s="114">
        <f>IF(B$20=0,0,C29/B$20)</f>
        <v>-12000</v>
      </c>
      <c r="C29" s="115">
        <v>-12000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">
      <c r="A30" s="37" t="s">
        <v>155</v>
      </c>
      <c r="B30" s="34">
        <v>1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">
      <c r="A32" s="64" t="s">
        <v>134</v>
      </c>
      <c r="B32" s="139">
        <v>5</v>
      </c>
      <c r="C32" s="140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7">
        <v>48300</v>
      </c>
      <c r="C33" s="138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1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4">
        <v>1</v>
      </c>
      <c r="C38" s="31">
        <f>IF(B$19=0,0,B38/B$19)</f>
        <v>0.5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4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4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4">
        <v>1</v>
      </c>
      <c r="C41" s="31">
        <f t="shared" si="2"/>
        <v>0.5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4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4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4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4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4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4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0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7">
        <v>13</v>
      </c>
      <c r="C50" s="128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35">
        <v>2</v>
      </c>
      <c r="C51" s="136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B564-04E0-4EB8-B541-611DCBA40DD7}">
  <sheetPr codeName="Sheet19"/>
  <dimension ref="A1:Q84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197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82</v>
      </c>
      <c r="C2" s="128"/>
      <c r="E2" s="43" t="s">
        <v>66</v>
      </c>
      <c r="F2" s="25" t="s">
        <v>22</v>
      </c>
      <c r="G2" s="13">
        <v>110</v>
      </c>
      <c r="H2" s="106">
        <f>IF(B$51=0,0,G2/B$51)</f>
        <v>0.65088757396449703</v>
      </c>
      <c r="I2" s="67">
        <v>12</v>
      </c>
      <c r="K2" s="3">
        <v>0</v>
      </c>
      <c r="L2" s="72">
        <v>0</v>
      </c>
      <c r="N2" s="88" t="s">
        <v>126</v>
      </c>
      <c r="O2" s="95">
        <f t="shared" ref="O2:O7" si="0">IF(P2=0,0,Q2/P2)</f>
        <v>-3996.3414634146343</v>
      </c>
      <c r="P2" s="92">
        <v>82</v>
      </c>
      <c r="Q2" s="76">
        <v>-327700</v>
      </c>
    </row>
    <row r="3" spans="1:17" x14ac:dyDescent="0.4">
      <c r="A3" s="37" t="s">
        <v>8</v>
      </c>
      <c r="B3" s="129">
        <v>686</v>
      </c>
      <c r="C3" s="130"/>
      <c r="E3" s="44" t="s">
        <v>72</v>
      </c>
      <c r="F3" s="41" t="s">
        <v>27</v>
      </c>
      <c r="G3" s="34">
        <v>107</v>
      </c>
      <c r="H3" s="107">
        <f>IF(B$51=0,0,G3/B$51)</f>
        <v>0.63313609467455623</v>
      </c>
      <c r="I3" s="68">
        <v>4</v>
      </c>
      <c r="K3" s="5">
        <v>1</v>
      </c>
      <c r="L3" s="73">
        <v>-43.2</v>
      </c>
      <c r="N3" s="89" t="s">
        <v>127</v>
      </c>
      <c r="O3" s="96">
        <f t="shared" si="0"/>
        <v>879.01234567901236</v>
      </c>
      <c r="P3" s="93">
        <v>81</v>
      </c>
      <c r="Q3" s="77">
        <v>71200</v>
      </c>
    </row>
    <row r="4" spans="1:17" x14ac:dyDescent="0.4">
      <c r="A4" s="37" t="s">
        <v>6</v>
      </c>
      <c r="B4" s="131">
        <v>-1157.2000000000003</v>
      </c>
      <c r="C4" s="132"/>
      <c r="E4" s="44" t="s">
        <v>64</v>
      </c>
      <c r="F4" s="41" t="s">
        <v>20</v>
      </c>
      <c r="G4" s="34">
        <v>72</v>
      </c>
      <c r="H4" s="107">
        <f>IF(B$51=0,0,G4/B$51)</f>
        <v>0.42603550295857989</v>
      </c>
      <c r="I4" s="68">
        <v>17</v>
      </c>
      <c r="K4" s="5">
        <v>2</v>
      </c>
      <c r="L4" s="73">
        <v>-96.5</v>
      </c>
      <c r="N4" s="89" t="s">
        <v>128</v>
      </c>
      <c r="O4" s="96">
        <f t="shared" si="0"/>
        <v>-1077.6315789473683</v>
      </c>
      <c r="P4" s="93">
        <v>76</v>
      </c>
      <c r="Q4" s="77">
        <v>-81900</v>
      </c>
    </row>
    <row r="5" spans="1:17" x14ac:dyDescent="0.4">
      <c r="A5" s="37" t="s">
        <v>7</v>
      </c>
      <c r="B5" s="133">
        <f>IF(B$2=0,0,B$4/B$2)</f>
        <v>-14.112195121951222</v>
      </c>
      <c r="C5" s="134"/>
      <c r="E5" s="44" t="s">
        <v>157</v>
      </c>
      <c r="F5" s="41" t="s">
        <v>158</v>
      </c>
      <c r="G5" s="34">
        <v>62</v>
      </c>
      <c r="H5" s="107">
        <f>IF(B$51=0,0,G5/B$51)</f>
        <v>0.36686390532544377</v>
      </c>
      <c r="I5" s="68">
        <v>5</v>
      </c>
      <c r="K5" s="5">
        <v>3</v>
      </c>
      <c r="L5" s="73">
        <v>-151.9</v>
      </c>
      <c r="N5" s="89" t="s">
        <v>129</v>
      </c>
      <c r="O5" s="96">
        <f t="shared" si="0"/>
        <v>-1155.072463768116</v>
      </c>
      <c r="P5" s="93">
        <v>69</v>
      </c>
      <c r="Q5" s="77">
        <v>-79700</v>
      </c>
    </row>
    <row r="6" spans="1:17" x14ac:dyDescent="0.4">
      <c r="A6" s="37" t="s">
        <v>1</v>
      </c>
      <c r="B6" s="141">
        <f>IF(B$2=0,0,(B$7*1+B$8*2+B$9*3)/B$2)</f>
        <v>2.3414634146341462</v>
      </c>
      <c r="C6" s="142"/>
      <c r="E6" s="44" t="s">
        <v>68</v>
      </c>
      <c r="F6" s="41" t="s">
        <v>12</v>
      </c>
      <c r="G6" s="34">
        <v>47</v>
      </c>
      <c r="H6" s="107">
        <f>IF(B$51=0,0,G6/B$51)</f>
        <v>0.27810650887573962</v>
      </c>
      <c r="I6" s="68">
        <v>15</v>
      </c>
      <c r="K6" s="5">
        <v>4</v>
      </c>
      <c r="L6" s="73">
        <v>-134.1</v>
      </c>
      <c r="N6" s="89" t="s">
        <v>130</v>
      </c>
      <c r="O6" s="96">
        <f t="shared" si="0"/>
        <v>-2028.125</v>
      </c>
      <c r="P6" s="93">
        <v>64</v>
      </c>
      <c r="Q6" s="77">
        <v>-129800</v>
      </c>
    </row>
    <row r="7" spans="1:17" x14ac:dyDescent="0.4">
      <c r="A7" s="37" t="s">
        <v>2</v>
      </c>
      <c r="B7" s="34">
        <v>11</v>
      </c>
      <c r="C7" s="31">
        <f t="shared" ref="C7:C14" si="1">IF(B$2=0,0,B7/B$2)</f>
        <v>0.13414634146341464</v>
      </c>
      <c r="E7" s="44" t="s">
        <v>67</v>
      </c>
      <c r="F7" s="41" t="s">
        <v>23</v>
      </c>
      <c r="G7" s="34">
        <v>41</v>
      </c>
      <c r="H7" s="107">
        <f>IF(B$51=0,0,G7/B$51)</f>
        <v>0.24260355029585798</v>
      </c>
      <c r="I7" s="68">
        <v>14</v>
      </c>
      <c r="K7" s="5">
        <v>5</v>
      </c>
      <c r="L7" s="73">
        <v>-152</v>
      </c>
      <c r="N7" s="90" t="s">
        <v>131</v>
      </c>
      <c r="O7" s="97">
        <f t="shared" si="0"/>
        <v>-2650.9433962264152</v>
      </c>
      <c r="P7" s="94">
        <v>53</v>
      </c>
      <c r="Q7" s="78">
        <v>-140500</v>
      </c>
    </row>
    <row r="8" spans="1:17" x14ac:dyDescent="0.4">
      <c r="A8" s="37" t="s">
        <v>3</v>
      </c>
      <c r="B8" s="34">
        <v>32</v>
      </c>
      <c r="C8" s="31">
        <f t="shared" si="1"/>
        <v>0.3902439024390244</v>
      </c>
      <c r="E8" s="44" t="s">
        <v>89</v>
      </c>
      <c r="F8" s="41" t="s">
        <v>44</v>
      </c>
      <c r="G8" s="34">
        <v>25</v>
      </c>
      <c r="H8" s="107">
        <f>IF(B$51=0,0,G8/B$51)</f>
        <v>0.14792899408284024</v>
      </c>
      <c r="I8" s="68">
        <v>7</v>
      </c>
      <c r="K8" s="5">
        <v>6</v>
      </c>
      <c r="L8" s="73">
        <v>-201.8</v>
      </c>
      <c r="N8" s="33"/>
      <c r="O8" s="101"/>
      <c r="P8" s="85"/>
      <c r="Q8" s="83"/>
    </row>
    <row r="9" spans="1:17" x14ac:dyDescent="0.4">
      <c r="A9" s="38" t="s">
        <v>4</v>
      </c>
      <c r="B9" s="35">
        <v>39</v>
      </c>
      <c r="C9" s="7">
        <f t="shared" si="1"/>
        <v>0.47560975609756095</v>
      </c>
      <c r="E9" s="44" t="s">
        <v>65</v>
      </c>
      <c r="F9" s="41" t="s">
        <v>21</v>
      </c>
      <c r="G9" s="34">
        <v>18</v>
      </c>
      <c r="H9" s="107">
        <f>IF(B$51=0,0,G9/B$51)</f>
        <v>0.10650887573964497</v>
      </c>
      <c r="I9" s="68">
        <v>11</v>
      </c>
      <c r="K9" s="5">
        <v>7</v>
      </c>
      <c r="L9" s="73">
        <v>-255.8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49">
        <f>IF(B7=0,0,C10/B7)</f>
        <v>35.145454545454541</v>
      </c>
      <c r="C10" s="150">
        <v>386.59999999999997</v>
      </c>
      <c r="E10" s="44" t="s">
        <v>69</v>
      </c>
      <c r="F10" s="41" t="s">
        <v>24</v>
      </c>
      <c r="G10" s="34">
        <v>14</v>
      </c>
      <c r="H10" s="107">
        <f>IF(B$51=0,0,G10/B$51)</f>
        <v>8.2840236686390539E-2</v>
      </c>
      <c r="I10" s="68">
        <v>18</v>
      </c>
      <c r="K10" s="5">
        <v>8</v>
      </c>
      <c r="L10" s="73">
        <v>-289.8</v>
      </c>
      <c r="N10" s="88" t="s">
        <v>149</v>
      </c>
      <c r="O10" s="98">
        <f>IF(P10=0,0,Q10/P10)</f>
        <v>-22.697222222222223</v>
      </c>
      <c r="P10" s="92">
        <v>36</v>
      </c>
      <c r="Q10" s="80">
        <v>-817.1</v>
      </c>
    </row>
    <row r="11" spans="1:17" x14ac:dyDescent="0.4">
      <c r="A11" s="38" t="s">
        <v>204</v>
      </c>
      <c r="B11" s="149">
        <f>IF(B8=0,0,C11/B8)</f>
        <v>-0.86562499999999976</v>
      </c>
      <c r="C11" s="150">
        <v>-27.699999999999992</v>
      </c>
      <c r="E11" s="44" t="s">
        <v>70</v>
      </c>
      <c r="F11" s="41" t="s">
        <v>25</v>
      </c>
      <c r="G11" s="34">
        <v>13</v>
      </c>
      <c r="H11" s="107">
        <f>IF(B$51=0,0,G11/B$51)</f>
        <v>7.6923076923076927E-2</v>
      </c>
      <c r="I11" s="68">
        <v>13</v>
      </c>
      <c r="K11" s="5">
        <v>9</v>
      </c>
      <c r="L11" s="73">
        <v>-292.60000000000002</v>
      </c>
      <c r="N11" s="89" t="s">
        <v>150</v>
      </c>
      <c r="O11" s="99">
        <f>IF(P11=0,0,Q11/P11)</f>
        <v>-4.6374999999999993</v>
      </c>
      <c r="P11" s="93">
        <v>24</v>
      </c>
      <c r="Q11" s="81">
        <v>-111.29999999999998</v>
      </c>
    </row>
    <row r="12" spans="1:17" x14ac:dyDescent="0.4">
      <c r="A12" s="38" t="s">
        <v>205</v>
      </c>
      <c r="B12" s="149">
        <f>IF(B9=0,0,C12/B9)</f>
        <v>-38.874358974358977</v>
      </c>
      <c r="C12" s="150">
        <v>-1516.1000000000001</v>
      </c>
      <c r="E12" s="44" t="s">
        <v>71</v>
      </c>
      <c r="F12" s="41" t="s">
        <v>26</v>
      </c>
      <c r="G12" s="34">
        <v>13</v>
      </c>
      <c r="H12" s="107">
        <f>IF(B$51=0,0,G12/B$51)</f>
        <v>7.6923076923076927E-2</v>
      </c>
      <c r="I12" s="68">
        <v>6</v>
      </c>
      <c r="K12" s="5">
        <v>10</v>
      </c>
      <c r="L12" s="73">
        <v>-304.60000000000002</v>
      </c>
      <c r="N12" s="90" t="s">
        <v>151</v>
      </c>
      <c r="O12" s="100">
        <f>IF(P12=0,0,Q12/P12)</f>
        <v>-10.4</v>
      </c>
      <c r="P12" s="94">
        <v>22</v>
      </c>
      <c r="Q12" s="82">
        <v>-228.8</v>
      </c>
    </row>
    <row r="13" spans="1:17" x14ac:dyDescent="0.4">
      <c r="A13" s="38" t="s">
        <v>206</v>
      </c>
      <c r="B13" s="133">
        <f>AVERAGE(B10:B12)</f>
        <v>-1.5315098096348123</v>
      </c>
      <c r="C13" s="134"/>
      <c r="E13" s="44" t="s">
        <v>86</v>
      </c>
      <c r="F13" s="41" t="s">
        <v>41</v>
      </c>
      <c r="G13" s="34">
        <v>11</v>
      </c>
      <c r="H13" s="107">
        <f>IF(B$51=0,0,G13/B$51)</f>
        <v>6.5088757396449703E-2</v>
      </c>
      <c r="I13" s="68">
        <v>6</v>
      </c>
      <c r="K13" s="5">
        <v>11</v>
      </c>
      <c r="L13" s="73">
        <v>-333.20000000000005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14</v>
      </c>
      <c r="C14" s="32">
        <f t="shared" si="1"/>
        <v>0.17073170731707318</v>
      </c>
      <c r="E14" s="44" t="s">
        <v>81</v>
      </c>
      <c r="F14" s="41" t="s">
        <v>36</v>
      </c>
      <c r="G14" s="34">
        <v>9</v>
      </c>
      <c r="H14" s="107">
        <f>IF(B$51=0,0,G14/B$51)</f>
        <v>5.3254437869822487E-2</v>
      </c>
      <c r="I14" s="68">
        <v>4</v>
      </c>
      <c r="K14" s="5">
        <v>12</v>
      </c>
      <c r="L14" s="73">
        <v>-326.20000000000005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142</v>
      </c>
      <c r="C15" s="11">
        <f>IF(B$50=0,0,B15/B$50)</f>
        <v>0.20699708454810495</v>
      </c>
      <c r="E15" s="44" t="s">
        <v>83</v>
      </c>
      <c r="F15" s="41" t="s">
        <v>38</v>
      </c>
      <c r="G15" s="34">
        <v>9</v>
      </c>
      <c r="H15" s="107">
        <f>IF(B$51=0,0,G15/B$51)</f>
        <v>5.3254437869822487E-2</v>
      </c>
      <c r="I15" s="68">
        <v>6</v>
      </c>
      <c r="K15" s="5">
        <v>13</v>
      </c>
      <c r="L15" s="73">
        <v>-373.1</v>
      </c>
      <c r="N15" s="88" t="s">
        <v>188</v>
      </c>
      <c r="O15" s="98">
        <f>IF(P15=0,0,Q15/P15)</f>
        <v>7.0285714285714267</v>
      </c>
      <c r="P15" s="92">
        <v>21</v>
      </c>
      <c r="Q15" s="80">
        <v>147.59999999999997</v>
      </c>
    </row>
    <row r="16" spans="1:17" x14ac:dyDescent="0.4">
      <c r="A16" s="37" t="s">
        <v>118</v>
      </c>
      <c r="B16" s="34">
        <v>162</v>
      </c>
      <c r="C16" s="31">
        <f>IF(B$50=0,0,B16/B$50)</f>
        <v>0.23615160349854228</v>
      </c>
      <c r="E16" s="44" t="s">
        <v>78</v>
      </c>
      <c r="F16" s="41" t="s">
        <v>33</v>
      </c>
      <c r="G16" s="34">
        <v>4</v>
      </c>
      <c r="H16" s="107">
        <f>IF(B$51=0,0,G16/B$51)</f>
        <v>2.3668639053254437E-2</v>
      </c>
      <c r="I16" s="68">
        <v>11</v>
      </c>
      <c r="K16" s="5">
        <v>14</v>
      </c>
      <c r="L16" s="73">
        <v>-416.90000000000003</v>
      </c>
      <c r="N16" s="89" t="s">
        <v>201</v>
      </c>
      <c r="O16" s="99">
        <f>IF(P16=0,0,Q16/P16)</f>
        <v>2.1000000000000014</v>
      </c>
      <c r="P16" s="93">
        <v>3</v>
      </c>
      <c r="Q16" s="81">
        <v>6.3000000000000043</v>
      </c>
    </row>
    <row r="17" spans="1:17" x14ac:dyDescent="0.4">
      <c r="A17" s="19" t="s">
        <v>123</v>
      </c>
      <c r="B17" s="13">
        <v>75</v>
      </c>
      <c r="C17" s="4">
        <f>IF(B$15=0,0,B17/B$15)</f>
        <v>0.528169014084507</v>
      </c>
      <c r="E17" s="44" t="s">
        <v>91</v>
      </c>
      <c r="F17" s="41" t="s">
        <v>46</v>
      </c>
      <c r="G17" s="34">
        <v>4</v>
      </c>
      <c r="H17" s="107">
        <f>IF(B$51=0,0,G17/B$51)</f>
        <v>2.3668639053254437E-2</v>
      </c>
      <c r="I17" s="68">
        <v>4</v>
      </c>
      <c r="K17" s="5">
        <v>15</v>
      </c>
      <c r="L17" s="73">
        <v>-452.20000000000005</v>
      </c>
      <c r="N17" s="89" t="s">
        <v>189</v>
      </c>
      <c r="O17" s="99">
        <f>IF(P17=0,0,Q17/P17)</f>
        <v>-12.000000000000002</v>
      </c>
      <c r="P17" s="93">
        <v>1</v>
      </c>
      <c r="Q17" s="81">
        <v>-12.000000000000002</v>
      </c>
    </row>
    <row r="18" spans="1:17" x14ac:dyDescent="0.4">
      <c r="A18" s="19" t="s">
        <v>124</v>
      </c>
      <c r="B18" s="13">
        <v>63</v>
      </c>
      <c r="C18" s="4">
        <f>IF(B$16=0,0,B18/B$16)</f>
        <v>0.3888888888888889</v>
      </c>
      <c r="E18" s="44" t="s">
        <v>73</v>
      </c>
      <c r="F18" s="41" t="s">
        <v>28</v>
      </c>
      <c r="G18" s="34">
        <v>1</v>
      </c>
      <c r="H18" s="107">
        <f>IF(B$51=0,0,G18/B$51)</f>
        <v>5.9171597633136093E-3</v>
      </c>
      <c r="I18" s="68">
        <v>6</v>
      </c>
      <c r="K18" s="5">
        <v>16</v>
      </c>
      <c r="L18" s="73">
        <v>-392.1</v>
      </c>
      <c r="N18" s="89" t="s">
        <v>194</v>
      </c>
      <c r="O18" s="99">
        <f>IF(P18=0,0,Q18/P18)</f>
        <v>-17.649999999999999</v>
      </c>
      <c r="P18" s="93">
        <v>2</v>
      </c>
      <c r="Q18" s="81">
        <v>-35.299999999999997</v>
      </c>
    </row>
    <row r="19" spans="1:17" x14ac:dyDescent="0.4">
      <c r="A19" s="19" t="s">
        <v>10</v>
      </c>
      <c r="B19" s="13">
        <v>169</v>
      </c>
      <c r="C19" s="4">
        <f>IF(B$3=0,0,B19/B$3)</f>
        <v>0.24635568513119532</v>
      </c>
      <c r="E19" s="44" t="s">
        <v>74</v>
      </c>
      <c r="F19" s="41" t="s">
        <v>29</v>
      </c>
      <c r="G19" s="34">
        <v>1</v>
      </c>
      <c r="H19" s="107">
        <f>IF(B$51=0,0,G19/B$51)</f>
        <v>5.9171597633136093E-3</v>
      </c>
      <c r="I19" s="68">
        <v>3</v>
      </c>
      <c r="K19" s="5">
        <v>17</v>
      </c>
      <c r="L19" s="73">
        <v>-445.20000000000005</v>
      </c>
      <c r="N19" s="89" t="s">
        <v>193</v>
      </c>
      <c r="O19" s="99">
        <f>IF(P19=0,0,Q19/P19)</f>
        <v>-18.821739130434782</v>
      </c>
      <c r="P19" s="93">
        <v>23</v>
      </c>
      <c r="Q19" s="81">
        <v>-432.9</v>
      </c>
    </row>
    <row r="20" spans="1:17" x14ac:dyDescent="0.4">
      <c r="A20" s="37" t="s">
        <v>13</v>
      </c>
      <c r="B20" s="34">
        <v>130</v>
      </c>
      <c r="C20" s="31">
        <f>IF(B$3=0,0,B20/B$3)</f>
        <v>0.18950437317784258</v>
      </c>
      <c r="E20" s="44" t="s">
        <v>79</v>
      </c>
      <c r="F20" s="41" t="s">
        <v>34</v>
      </c>
      <c r="G20" s="34">
        <v>1</v>
      </c>
      <c r="H20" s="107">
        <f>IF(B$51=0,0,G20/B$51)</f>
        <v>5.9171597633136093E-3</v>
      </c>
      <c r="I20" s="68">
        <v>14</v>
      </c>
      <c r="K20" s="5">
        <v>18</v>
      </c>
      <c r="L20" s="73">
        <v>-443.20000000000005</v>
      </c>
      <c r="N20" s="89" t="s">
        <v>191</v>
      </c>
      <c r="O20" s="99">
        <f>IF(P20=0,0,Q20/P20)</f>
        <v>-19.176470588235293</v>
      </c>
      <c r="P20" s="93">
        <v>34</v>
      </c>
      <c r="Q20" s="81">
        <v>-652</v>
      </c>
    </row>
    <row r="21" spans="1:17" x14ac:dyDescent="0.4">
      <c r="A21" s="37" t="s">
        <v>12</v>
      </c>
      <c r="B21" s="34">
        <v>77</v>
      </c>
      <c r="C21" s="31">
        <f>IF(B$19=0,0,B21/B$19)</f>
        <v>0.45562130177514792</v>
      </c>
      <c r="E21" s="44" t="s">
        <v>92</v>
      </c>
      <c r="F21" s="41" t="s">
        <v>47</v>
      </c>
      <c r="G21" s="34">
        <v>1</v>
      </c>
      <c r="H21" s="107">
        <f>IF(B$51=0,0,G21/B$51)</f>
        <v>5.9171597633136093E-3</v>
      </c>
      <c r="I21" s="68">
        <v>5</v>
      </c>
      <c r="K21" s="5">
        <v>19</v>
      </c>
      <c r="L21" s="73">
        <v>-443.70000000000005</v>
      </c>
      <c r="N21" s="89" t="s">
        <v>190</v>
      </c>
      <c r="O21" s="99">
        <f>IF(P21=0,0,Q21/P21)</f>
        <v>-21.183333333333334</v>
      </c>
      <c r="P21" s="93">
        <v>6</v>
      </c>
      <c r="Q21" s="81">
        <v>-127.1</v>
      </c>
    </row>
    <row r="22" spans="1:17" x14ac:dyDescent="0.4">
      <c r="A22" s="37" t="s">
        <v>11</v>
      </c>
      <c r="B22" s="34">
        <v>92</v>
      </c>
      <c r="C22" s="31">
        <f>IF(B$19=0,0,B22/B$19)</f>
        <v>0.54437869822485208</v>
      </c>
      <c r="E22" s="44" t="s">
        <v>95</v>
      </c>
      <c r="F22" s="41" t="s">
        <v>50</v>
      </c>
      <c r="G22" s="34">
        <v>1</v>
      </c>
      <c r="H22" s="107">
        <f>IF(B$51=0,0,G22/B$51)</f>
        <v>5.9171597633136093E-3</v>
      </c>
      <c r="I22" s="68">
        <v>1</v>
      </c>
      <c r="K22" s="5">
        <v>20</v>
      </c>
      <c r="L22" s="73">
        <v>-467.6</v>
      </c>
      <c r="N22" s="89" t="s">
        <v>187</v>
      </c>
      <c r="O22" s="99">
        <f>IF(P22=0,0,Q22/P22)</f>
        <v>-24.106060606060606</v>
      </c>
      <c r="P22" s="93">
        <v>33</v>
      </c>
      <c r="Q22" s="81">
        <v>-795.5</v>
      </c>
    </row>
    <row r="23" spans="1:17" x14ac:dyDescent="0.4">
      <c r="A23" s="37" t="s">
        <v>180</v>
      </c>
      <c r="B23" s="34">
        <v>75</v>
      </c>
      <c r="C23" s="31">
        <f>IF(B$19=0,0,B23/B$19)</f>
        <v>0.4437869822485207</v>
      </c>
      <c r="E23" s="44" t="s">
        <v>153</v>
      </c>
      <c r="F23" s="41" t="s">
        <v>154</v>
      </c>
      <c r="G23" s="34">
        <v>1</v>
      </c>
      <c r="H23" s="107">
        <f>IF(B$51=0,0,G23/B$51)</f>
        <v>5.9171597633136093E-3</v>
      </c>
      <c r="I23" s="68">
        <v>9</v>
      </c>
      <c r="K23" s="5">
        <v>21</v>
      </c>
      <c r="L23" s="73">
        <v>-469.5</v>
      </c>
      <c r="N23" s="89" t="s">
        <v>195</v>
      </c>
      <c r="O23" s="99">
        <f>IF(P23=0,0,Q23/P23)</f>
        <v>-28.712000000000018</v>
      </c>
      <c r="P23" s="93">
        <v>25</v>
      </c>
      <c r="Q23" s="81">
        <v>-717.80000000000041</v>
      </c>
    </row>
    <row r="24" spans="1:17" x14ac:dyDescent="0.4">
      <c r="A24" s="37" t="s">
        <v>178</v>
      </c>
      <c r="B24" s="34">
        <v>63</v>
      </c>
      <c r="C24" s="31">
        <f>IF(B$19=0,0,B24/B$19)</f>
        <v>0.37278106508875741</v>
      </c>
      <c r="E24" s="44" t="s">
        <v>75</v>
      </c>
      <c r="F24" s="41" t="s">
        <v>30</v>
      </c>
      <c r="G24" s="34">
        <v>0</v>
      </c>
      <c r="H24" s="107">
        <f>IF(B$51=0,0,G24/B$51)</f>
        <v>0</v>
      </c>
      <c r="I24" s="68">
        <v>11</v>
      </c>
      <c r="K24" s="5">
        <v>22</v>
      </c>
      <c r="L24" s="73">
        <v>-510.20000000000005</v>
      </c>
      <c r="N24" s="89" t="s">
        <v>199</v>
      </c>
      <c r="O24" s="99">
        <f>IF(P24=0,0,Q24/P24)</f>
        <v>-41.385714285714293</v>
      </c>
      <c r="P24" s="93">
        <v>7</v>
      </c>
      <c r="Q24" s="81">
        <v>-289.70000000000005</v>
      </c>
    </row>
    <row r="25" spans="1:17" x14ac:dyDescent="0.4">
      <c r="A25" s="37" t="s">
        <v>179</v>
      </c>
      <c r="B25" s="34">
        <v>31</v>
      </c>
      <c r="C25" s="31">
        <f>IF(B$19=0,0,B25/B$19)</f>
        <v>0.18343195266272189</v>
      </c>
      <c r="E25" s="44" t="s">
        <v>76</v>
      </c>
      <c r="F25" s="41" t="s">
        <v>31</v>
      </c>
      <c r="G25" s="34">
        <v>0</v>
      </c>
      <c r="H25" s="107">
        <f>IF(B$51=0,0,G25/B$51)</f>
        <v>0</v>
      </c>
      <c r="I25" s="68">
        <v>1</v>
      </c>
      <c r="K25" s="5">
        <v>23</v>
      </c>
      <c r="L25" s="73">
        <v>-559.5</v>
      </c>
      <c r="N25" s="89" t="s">
        <v>186</v>
      </c>
      <c r="O25" s="99">
        <f>IF(P25=0,0,Q25/P25)</f>
        <v>-62.577777777777783</v>
      </c>
      <c r="P25" s="93">
        <v>9</v>
      </c>
      <c r="Q25" s="81">
        <v>-563.20000000000005</v>
      </c>
    </row>
    <row r="26" spans="1:17" x14ac:dyDescent="0.4">
      <c r="A26" s="37" t="s">
        <v>5</v>
      </c>
      <c r="B26" s="17">
        <f>IF(B$19=0,0,C26/B$19)</f>
        <v>8157.3964497041416</v>
      </c>
      <c r="C26" s="8">
        <v>1378600</v>
      </c>
      <c r="E26" s="44" t="s">
        <v>77</v>
      </c>
      <c r="F26" s="41" t="s">
        <v>32</v>
      </c>
      <c r="G26" s="34">
        <v>0</v>
      </c>
      <c r="H26" s="107">
        <f>IF(B$51=0,0,G26/B$51)</f>
        <v>0</v>
      </c>
      <c r="I26" s="68">
        <v>9</v>
      </c>
      <c r="K26" s="5">
        <v>24</v>
      </c>
      <c r="L26" s="73">
        <v>-565.10000000000014</v>
      </c>
    </row>
    <row r="27" spans="1:17" x14ac:dyDescent="0.4">
      <c r="A27" s="38" t="s">
        <v>162</v>
      </c>
      <c r="B27" s="114">
        <f>IF($B$19-B$18=0,0,C27/($B$19-B$18))</f>
        <v>8743.3962264150941</v>
      </c>
      <c r="C27" s="115">
        <v>926800</v>
      </c>
      <c r="E27" s="44" t="s">
        <v>80</v>
      </c>
      <c r="F27" s="41" t="s">
        <v>35</v>
      </c>
      <c r="G27" s="34">
        <v>0</v>
      </c>
      <c r="H27" s="107">
        <f>IF(B$51=0,0,G27/B$51)</f>
        <v>0</v>
      </c>
      <c r="I27" s="68">
        <v>3</v>
      </c>
      <c r="K27" s="5">
        <v>25</v>
      </c>
      <c r="L27" s="73">
        <v>-612.90000000000009</v>
      </c>
    </row>
    <row r="28" spans="1:17" x14ac:dyDescent="0.4">
      <c r="A28" s="38" t="s">
        <v>163</v>
      </c>
      <c r="B28" s="114">
        <f>IF(B$18=0,0,C28/B$18)</f>
        <v>7171.4285714285716</v>
      </c>
      <c r="C28" s="115">
        <v>451800</v>
      </c>
      <c r="E28" s="44" t="s">
        <v>82</v>
      </c>
      <c r="F28" s="41" t="s">
        <v>37</v>
      </c>
      <c r="G28" s="34">
        <v>0</v>
      </c>
      <c r="H28" s="107">
        <f>IF(B$51=0,0,G28/B$51)</f>
        <v>0</v>
      </c>
      <c r="I28" s="68">
        <v>1</v>
      </c>
      <c r="K28" s="5">
        <v>26</v>
      </c>
      <c r="L28" s="73">
        <v>-645.20000000000005</v>
      </c>
    </row>
    <row r="29" spans="1:17" x14ac:dyDescent="0.4">
      <c r="A29" s="38" t="s">
        <v>161</v>
      </c>
      <c r="B29" s="114">
        <f>IF(B$20=0,0,C29/B$20)</f>
        <v>-8255.3846153846152</v>
      </c>
      <c r="C29" s="115">
        <v>-1073200</v>
      </c>
      <c r="E29" s="44" t="s">
        <v>84</v>
      </c>
      <c r="F29" s="41" t="s">
        <v>39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-648.10000000000014</v>
      </c>
    </row>
    <row r="30" spans="1:17" x14ac:dyDescent="0.4">
      <c r="A30" s="37" t="s">
        <v>155</v>
      </c>
      <c r="B30" s="34">
        <v>5</v>
      </c>
      <c r="C30" s="109">
        <v>0</v>
      </c>
      <c r="E30" s="44" t="s">
        <v>85</v>
      </c>
      <c r="F30" s="41" t="s">
        <v>40</v>
      </c>
      <c r="G30" s="34">
        <v>0</v>
      </c>
      <c r="H30" s="107">
        <f>IF(B$51=0,0,G30/B$51)</f>
        <v>0</v>
      </c>
      <c r="I30" s="68">
        <v>9</v>
      </c>
      <c r="K30" s="5">
        <v>28</v>
      </c>
      <c r="L30" s="73">
        <v>-693.2</v>
      </c>
    </row>
    <row r="31" spans="1:17" x14ac:dyDescent="0.4">
      <c r="A31" s="37" t="s">
        <v>156</v>
      </c>
      <c r="B31" s="34">
        <v>21</v>
      </c>
      <c r="C31" s="109">
        <v>0</v>
      </c>
      <c r="E31" s="44" t="s">
        <v>87</v>
      </c>
      <c r="F31" s="41" t="s">
        <v>42</v>
      </c>
      <c r="G31" s="34">
        <v>0</v>
      </c>
      <c r="H31" s="107">
        <f>IF(B$51=0,0,G31/B$51)</f>
        <v>0</v>
      </c>
      <c r="I31" s="68">
        <v>10</v>
      </c>
      <c r="K31" s="5">
        <v>29</v>
      </c>
      <c r="L31" s="73">
        <v>-720.7</v>
      </c>
    </row>
    <row r="32" spans="1:17" x14ac:dyDescent="0.4">
      <c r="A32" s="64" t="s">
        <v>134</v>
      </c>
      <c r="B32" s="139">
        <v>6</v>
      </c>
      <c r="C32" s="140"/>
      <c r="E32" s="44" t="s">
        <v>88</v>
      </c>
      <c r="F32" s="41" t="s">
        <v>43</v>
      </c>
      <c r="G32" s="34">
        <v>0</v>
      </c>
      <c r="H32" s="107">
        <f>IF(B$51=0,0,G32/B$51)</f>
        <v>0</v>
      </c>
      <c r="I32" s="68">
        <v>8</v>
      </c>
      <c r="K32" s="5">
        <v>30</v>
      </c>
      <c r="L32" s="73">
        <v>-716.30000000000018</v>
      </c>
    </row>
    <row r="33" spans="1:12" x14ac:dyDescent="0.4">
      <c r="A33" s="40" t="s">
        <v>177</v>
      </c>
      <c r="B33" s="137">
        <v>85100</v>
      </c>
      <c r="C33" s="138"/>
      <c r="E33" s="44" t="s">
        <v>90</v>
      </c>
      <c r="F33" s="41" t="s">
        <v>45</v>
      </c>
      <c r="G33" s="34">
        <v>0</v>
      </c>
      <c r="H33" s="107">
        <f>IF(B$51=0,0,G33/B$51)</f>
        <v>0</v>
      </c>
      <c r="I33" s="68">
        <v>7</v>
      </c>
      <c r="K33" s="5">
        <v>31</v>
      </c>
      <c r="L33" s="73">
        <v>-757.60000000000014</v>
      </c>
    </row>
    <row r="34" spans="1:12" x14ac:dyDescent="0.4">
      <c r="A34" s="39" t="s">
        <v>135</v>
      </c>
      <c r="B34" s="27">
        <v>4</v>
      </c>
      <c r="C34" s="32">
        <f>IF(B$3=0,0,B34/B$3)</f>
        <v>5.8309037900874635E-3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-742.70000000000016</v>
      </c>
    </row>
    <row r="35" spans="1:12" x14ac:dyDescent="0.4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-766.70000000000016</v>
      </c>
    </row>
    <row r="36" spans="1:12" x14ac:dyDescent="0.4">
      <c r="A36" s="64" t="s">
        <v>168</v>
      </c>
      <c r="B36" s="121">
        <v>15</v>
      </c>
      <c r="C36" s="119">
        <f>IF(B$19=0,0,B36/B$19)</f>
        <v>8.8757396449704137E-2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-780.90000000000009</v>
      </c>
    </row>
    <row r="37" spans="1:12" x14ac:dyDescent="0.4">
      <c r="A37" s="37" t="s">
        <v>164</v>
      </c>
      <c r="B37" s="34">
        <v>31</v>
      </c>
      <c r="C37" s="31">
        <f t="shared" ref="C37:C48" si="2">IF(B$19=0,0,B37/B$19)</f>
        <v>0.18343195266272189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-731.80000000000018</v>
      </c>
    </row>
    <row r="38" spans="1:12" x14ac:dyDescent="0.4">
      <c r="A38" s="37" t="s">
        <v>165</v>
      </c>
      <c r="B38" s="124">
        <v>34</v>
      </c>
      <c r="C38" s="31">
        <f>IF(B$19=0,0,B38/B$19)</f>
        <v>0.20118343195266272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-711.40000000000009</v>
      </c>
    </row>
    <row r="39" spans="1:12" x14ac:dyDescent="0.4">
      <c r="A39" s="37" t="s">
        <v>166</v>
      </c>
      <c r="B39" s="124">
        <v>30</v>
      </c>
      <c r="C39" s="31">
        <f t="shared" si="2"/>
        <v>0.17751479289940827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-739.90000000000009</v>
      </c>
    </row>
    <row r="40" spans="1:12" x14ac:dyDescent="0.4">
      <c r="A40" s="37" t="s">
        <v>167</v>
      </c>
      <c r="B40" s="124">
        <v>25</v>
      </c>
      <c r="C40" s="31">
        <f t="shared" si="2"/>
        <v>0.14792899408284024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-735.20000000000016</v>
      </c>
    </row>
    <row r="41" spans="1:12" x14ac:dyDescent="0.4">
      <c r="A41" s="37" t="s">
        <v>169</v>
      </c>
      <c r="B41" s="124">
        <v>13</v>
      </c>
      <c r="C41" s="31">
        <f t="shared" si="2"/>
        <v>7.6923076923076927E-2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-765.10000000000014</v>
      </c>
    </row>
    <row r="42" spans="1:12" x14ac:dyDescent="0.4">
      <c r="A42" s="37" t="s">
        <v>170</v>
      </c>
      <c r="B42" s="124">
        <v>10</v>
      </c>
      <c r="C42" s="31">
        <f t="shared" si="2"/>
        <v>5.9171597633136092E-2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-765.70000000000016</v>
      </c>
    </row>
    <row r="43" spans="1:12" x14ac:dyDescent="0.4">
      <c r="A43" s="37" t="s">
        <v>171</v>
      </c>
      <c r="B43" s="124">
        <v>7</v>
      </c>
      <c r="C43" s="31">
        <f t="shared" si="2"/>
        <v>4.142011834319527E-2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-818.00000000000011</v>
      </c>
    </row>
    <row r="44" spans="1:12" x14ac:dyDescent="0.4">
      <c r="A44" s="37" t="s">
        <v>172</v>
      </c>
      <c r="B44" s="124">
        <v>0</v>
      </c>
      <c r="C44" s="31">
        <f t="shared" si="2"/>
        <v>0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-840.80000000000007</v>
      </c>
    </row>
    <row r="45" spans="1:12" x14ac:dyDescent="0.4">
      <c r="A45" s="37" t="s">
        <v>173</v>
      </c>
      <c r="B45" s="124">
        <v>1</v>
      </c>
      <c r="C45" s="31">
        <f t="shared" si="2"/>
        <v>5.9171597633136093E-3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-824.50000000000011</v>
      </c>
    </row>
    <row r="46" spans="1:12" x14ac:dyDescent="0.4">
      <c r="A46" s="37" t="s">
        <v>174</v>
      </c>
      <c r="B46" s="124">
        <v>1</v>
      </c>
      <c r="C46" s="31">
        <f t="shared" si="2"/>
        <v>5.9171597633136093E-3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-775.30000000000018</v>
      </c>
    </row>
    <row r="47" spans="1:12" x14ac:dyDescent="0.4">
      <c r="A47" s="37" t="s">
        <v>175</v>
      </c>
      <c r="B47" s="124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-790.60000000000014</v>
      </c>
    </row>
    <row r="48" spans="1:12" x14ac:dyDescent="0.4">
      <c r="A48" s="39" t="s">
        <v>176</v>
      </c>
      <c r="B48" s="120">
        <v>2</v>
      </c>
      <c r="C48" s="32">
        <f t="shared" si="2"/>
        <v>1.1834319526627219E-2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-839.60000000000014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-862.70000000000016</v>
      </c>
    </row>
    <row r="50" spans="1:12" x14ac:dyDescent="0.4">
      <c r="A50" s="64" t="s">
        <v>181</v>
      </c>
      <c r="B50" s="127">
        <v>686</v>
      </c>
      <c r="C50" s="128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-817.50000000000011</v>
      </c>
    </row>
    <row r="51" spans="1:12" x14ac:dyDescent="0.4">
      <c r="A51" s="39" t="s">
        <v>182</v>
      </c>
      <c r="B51" s="135">
        <v>169</v>
      </c>
      <c r="C51" s="136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-866.30000000000007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-917.40000000000009</v>
      </c>
    </row>
    <row r="53" spans="1:12" x14ac:dyDescent="0.4">
      <c r="K53" s="5">
        <v>51</v>
      </c>
      <c r="L53" s="73">
        <v>-897.40000000000009</v>
      </c>
    </row>
    <row r="54" spans="1:12" x14ac:dyDescent="0.4">
      <c r="K54" s="5">
        <v>52</v>
      </c>
      <c r="L54" s="73">
        <v>-915.90000000000009</v>
      </c>
    </row>
    <row r="55" spans="1:12" x14ac:dyDescent="0.4">
      <c r="K55" s="5">
        <v>53</v>
      </c>
      <c r="L55" s="73">
        <v>-880.7</v>
      </c>
    </row>
    <row r="56" spans="1:12" x14ac:dyDescent="0.4">
      <c r="K56" s="5">
        <v>54</v>
      </c>
      <c r="L56" s="73">
        <v>-851.80000000000007</v>
      </c>
    </row>
    <row r="57" spans="1:12" x14ac:dyDescent="0.4">
      <c r="K57" s="5">
        <v>55</v>
      </c>
      <c r="L57" s="73">
        <v>-848.50000000000011</v>
      </c>
    </row>
    <row r="58" spans="1:12" x14ac:dyDescent="0.4">
      <c r="K58" s="5">
        <v>56</v>
      </c>
      <c r="L58" s="73">
        <v>-843.20000000000016</v>
      </c>
    </row>
    <row r="59" spans="1:12" x14ac:dyDescent="0.4">
      <c r="K59" s="5">
        <v>57</v>
      </c>
      <c r="L59" s="73">
        <v>-837.60000000000014</v>
      </c>
    </row>
    <row r="60" spans="1:12" x14ac:dyDescent="0.4">
      <c r="K60" s="5">
        <v>58</v>
      </c>
      <c r="L60" s="73">
        <v>-873.90000000000009</v>
      </c>
    </row>
    <row r="61" spans="1:12" x14ac:dyDescent="0.4">
      <c r="K61" s="5">
        <v>59</v>
      </c>
      <c r="L61" s="73">
        <v>-871.90000000000009</v>
      </c>
    </row>
    <row r="62" spans="1:12" x14ac:dyDescent="0.4">
      <c r="K62" s="5">
        <v>60</v>
      </c>
      <c r="L62" s="73">
        <v>-907.30000000000007</v>
      </c>
    </row>
    <row r="63" spans="1:12" x14ac:dyDescent="0.4">
      <c r="K63" s="5">
        <v>61</v>
      </c>
      <c r="L63" s="73">
        <v>-895.7</v>
      </c>
    </row>
    <row r="64" spans="1:12" x14ac:dyDescent="0.4">
      <c r="K64" s="5">
        <v>62</v>
      </c>
      <c r="L64" s="73">
        <v>-945.2</v>
      </c>
    </row>
    <row r="65" spans="11:12" x14ac:dyDescent="0.4">
      <c r="K65" s="5">
        <v>63</v>
      </c>
      <c r="L65" s="73">
        <v>-919</v>
      </c>
    </row>
    <row r="66" spans="11:12" x14ac:dyDescent="0.4">
      <c r="K66" s="5">
        <v>64</v>
      </c>
      <c r="L66" s="73">
        <v>-919</v>
      </c>
    </row>
    <row r="67" spans="11:12" x14ac:dyDescent="0.4">
      <c r="K67" s="5">
        <v>65</v>
      </c>
      <c r="L67" s="73">
        <v>-912.6</v>
      </c>
    </row>
    <row r="68" spans="11:12" x14ac:dyDescent="0.4">
      <c r="K68" s="5">
        <v>66</v>
      </c>
      <c r="L68" s="73">
        <v>-916.2</v>
      </c>
    </row>
    <row r="69" spans="11:12" x14ac:dyDescent="0.4">
      <c r="K69" s="5">
        <v>67</v>
      </c>
      <c r="L69" s="73">
        <v>-906.80000000000007</v>
      </c>
    </row>
    <row r="70" spans="11:12" x14ac:dyDescent="0.4">
      <c r="K70" s="5">
        <v>68</v>
      </c>
      <c r="L70" s="73">
        <v>-920.00000000000011</v>
      </c>
    </row>
    <row r="71" spans="11:12" x14ac:dyDescent="0.4">
      <c r="K71" s="5">
        <v>69</v>
      </c>
      <c r="L71" s="73">
        <v>-948.80000000000007</v>
      </c>
    </row>
    <row r="72" spans="11:12" x14ac:dyDescent="0.4">
      <c r="K72" s="5">
        <v>70</v>
      </c>
      <c r="L72" s="73">
        <v>-946.00000000000011</v>
      </c>
    </row>
    <row r="73" spans="11:12" x14ac:dyDescent="0.4">
      <c r="K73" s="5">
        <v>71</v>
      </c>
      <c r="L73" s="73">
        <v>-958.00000000000011</v>
      </c>
    </row>
    <row r="74" spans="11:12" x14ac:dyDescent="0.4">
      <c r="K74" s="5">
        <v>72</v>
      </c>
      <c r="L74" s="73">
        <v>-989.70000000000016</v>
      </c>
    </row>
    <row r="75" spans="11:12" x14ac:dyDescent="0.4">
      <c r="K75" s="5">
        <v>73</v>
      </c>
      <c r="L75" s="73">
        <v>-997.50000000000011</v>
      </c>
    </row>
    <row r="76" spans="11:12" x14ac:dyDescent="0.4">
      <c r="K76" s="5">
        <v>74</v>
      </c>
      <c r="L76" s="73">
        <v>-961.50000000000011</v>
      </c>
    </row>
    <row r="77" spans="11:12" x14ac:dyDescent="0.4">
      <c r="K77" s="5">
        <v>75</v>
      </c>
      <c r="L77" s="73">
        <v>-965.00000000000011</v>
      </c>
    </row>
    <row r="78" spans="11:12" x14ac:dyDescent="0.4">
      <c r="K78" s="5">
        <v>76</v>
      </c>
      <c r="L78" s="73">
        <v>-948.00000000000011</v>
      </c>
    </row>
    <row r="79" spans="11:12" x14ac:dyDescent="0.4">
      <c r="K79" s="5">
        <v>77</v>
      </c>
      <c r="L79" s="73">
        <v>-948.70000000000016</v>
      </c>
    </row>
    <row r="80" spans="11:12" x14ac:dyDescent="0.4">
      <c r="K80" s="5">
        <v>78</v>
      </c>
      <c r="L80" s="73">
        <v>-984.50000000000011</v>
      </c>
    </row>
    <row r="81" spans="11:12" x14ac:dyDescent="0.4">
      <c r="K81" s="5">
        <v>79</v>
      </c>
      <c r="L81" s="73">
        <v>-1032.1000000000001</v>
      </c>
    </row>
    <row r="82" spans="11:12" x14ac:dyDescent="0.4">
      <c r="K82" s="5">
        <v>80</v>
      </c>
      <c r="L82" s="73">
        <v>-1078.8000000000002</v>
      </c>
    </row>
    <row r="83" spans="11:12" x14ac:dyDescent="0.4">
      <c r="K83" s="5">
        <v>81</v>
      </c>
      <c r="L83" s="73">
        <v>-1141.0000000000002</v>
      </c>
    </row>
    <row r="84" spans="11:12" x14ac:dyDescent="0.4">
      <c r="K84" s="5">
        <v>82</v>
      </c>
      <c r="L84" s="73">
        <v>-1157.2000000000003</v>
      </c>
    </row>
  </sheetData>
  <sortState xmlns:xlrd2="http://schemas.microsoft.com/office/spreadsheetml/2017/richdata2" ref="N15:Q25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6F88F-8C5C-4639-B85C-EBD02287DF15}">
  <sheetPr codeName="Sheet20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198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4</v>
      </c>
      <c r="C2" s="128"/>
      <c r="E2" s="43" t="s">
        <v>72</v>
      </c>
      <c r="F2" s="25" t="s">
        <v>27</v>
      </c>
      <c r="G2" s="13">
        <v>7</v>
      </c>
      <c r="H2" s="106">
        <f>IF(B$51=0,0,G2/B$51)</f>
        <v>0.7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2675</v>
      </c>
      <c r="P2" s="92">
        <v>4</v>
      </c>
      <c r="Q2" s="76">
        <v>10700</v>
      </c>
    </row>
    <row r="3" spans="1:17" x14ac:dyDescent="0.4">
      <c r="A3" s="37" t="s">
        <v>8</v>
      </c>
      <c r="B3" s="129">
        <v>32</v>
      </c>
      <c r="C3" s="130"/>
      <c r="E3" s="44" t="s">
        <v>64</v>
      </c>
      <c r="F3" s="41" t="s">
        <v>20</v>
      </c>
      <c r="G3" s="34">
        <v>4</v>
      </c>
      <c r="H3" s="107">
        <f>IF(B$51=0,0,G3/B$51)</f>
        <v>0.4</v>
      </c>
      <c r="I3" s="68">
        <v>18</v>
      </c>
      <c r="K3" s="5">
        <v>1</v>
      </c>
      <c r="L3" s="73">
        <v>-57.7</v>
      </c>
      <c r="N3" s="89" t="s">
        <v>127</v>
      </c>
      <c r="O3" s="96">
        <f t="shared" si="0"/>
        <v>-7300</v>
      </c>
      <c r="P3" s="93">
        <v>4</v>
      </c>
      <c r="Q3" s="77">
        <v>-29200</v>
      </c>
    </row>
    <row r="4" spans="1:17" x14ac:dyDescent="0.4">
      <c r="A4" s="37" t="s">
        <v>6</v>
      </c>
      <c r="B4" s="131">
        <v>-56.2</v>
      </c>
      <c r="C4" s="132"/>
      <c r="E4" s="44" t="s">
        <v>66</v>
      </c>
      <c r="F4" s="41" t="s">
        <v>22</v>
      </c>
      <c r="G4" s="34">
        <v>2</v>
      </c>
      <c r="H4" s="107">
        <f>IF(B$51=0,0,G4/B$51)</f>
        <v>0.2</v>
      </c>
      <c r="I4" s="68">
        <v>18</v>
      </c>
      <c r="K4" s="5">
        <v>2</v>
      </c>
      <c r="L4" s="73">
        <v>-94.5</v>
      </c>
      <c r="N4" s="89" t="s">
        <v>128</v>
      </c>
      <c r="O4" s="96">
        <f t="shared" si="0"/>
        <v>-100</v>
      </c>
      <c r="P4" s="93">
        <v>4</v>
      </c>
      <c r="Q4" s="77">
        <v>-400</v>
      </c>
    </row>
    <row r="5" spans="1:17" x14ac:dyDescent="0.4">
      <c r="A5" s="37" t="s">
        <v>7</v>
      </c>
      <c r="B5" s="133">
        <f>IF(B$2=0,0,B$4/B$2)</f>
        <v>-14.05</v>
      </c>
      <c r="C5" s="134"/>
      <c r="E5" s="44" t="s">
        <v>157</v>
      </c>
      <c r="F5" s="41" t="s">
        <v>158</v>
      </c>
      <c r="G5" s="34">
        <v>2</v>
      </c>
      <c r="H5" s="107">
        <f>IF(B$51=0,0,G5/B$51)</f>
        <v>0.2</v>
      </c>
      <c r="I5" s="68">
        <v>15</v>
      </c>
      <c r="K5" s="5">
        <v>3</v>
      </c>
      <c r="L5" s="73">
        <v>-96.4</v>
      </c>
      <c r="N5" s="89" t="s">
        <v>129</v>
      </c>
      <c r="O5" s="96">
        <f t="shared" si="0"/>
        <v>3025</v>
      </c>
      <c r="P5" s="93">
        <v>4</v>
      </c>
      <c r="Q5" s="77">
        <v>12100</v>
      </c>
    </row>
    <row r="6" spans="1:17" x14ac:dyDescent="0.4">
      <c r="A6" s="37" t="s">
        <v>1</v>
      </c>
      <c r="B6" s="141">
        <f>IF(B$2=0,0,(B$7*1+B$8*2+B$9*3)/B$2)</f>
        <v>2.25</v>
      </c>
      <c r="C6" s="142"/>
      <c r="E6" s="44" t="s">
        <v>65</v>
      </c>
      <c r="F6" s="41" t="s">
        <v>21</v>
      </c>
      <c r="G6" s="34">
        <v>1</v>
      </c>
      <c r="H6" s="107">
        <f>IF(B$51=0,0,G6/B$51)</f>
        <v>0.1</v>
      </c>
      <c r="I6" s="68">
        <v>12</v>
      </c>
      <c r="K6" s="5">
        <v>4</v>
      </c>
      <c r="L6" s="73">
        <v>-56.2</v>
      </c>
      <c r="N6" s="89" t="s">
        <v>130</v>
      </c>
      <c r="O6" s="96">
        <f t="shared" si="0"/>
        <v>-6000</v>
      </c>
      <c r="P6" s="93">
        <v>3</v>
      </c>
      <c r="Q6" s="77">
        <v>-18000</v>
      </c>
    </row>
    <row r="7" spans="1:17" x14ac:dyDescent="0.4">
      <c r="A7" s="37" t="s">
        <v>2</v>
      </c>
      <c r="B7" s="34">
        <v>1</v>
      </c>
      <c r="C7" s="31">
        <f t="shared" ref="C7:C14" si="1">IF(B$2=0,0,B7/B$2)</f>
        <v>0.25</v>
      </c>
      <c r="E7" s="44" t="s">
        <v>67</v>
      </c>
      <c r="F7" s="41" t="s">
        <v>23</v>
      </c>
      <c r="G7" s="34">
        <v>1</v>
      </c>
      <c r="H7" s="107">
        <f>IF(B$51=0,0,G7/B$51)</f>
        <v>0.1</v>
      </c>
      <c r="I7" s="68">
        <v>19</v>
      </c>
      <c r="N7" s="90" t="s">
        <v>131</v>
      </c>
      <c r="O7" s="97">
        <f t="shared" si="0"/>
        <v>-5833.333333333333</v>
      </c>
      <c r="P7" s="94">
        <v>3</v>
      </c>
      <c r="Q7" s="78">
        <v>-17500</v>
      </c>
    </row>
    <row r="8" spans="1:17" x14ac:dyDescent="0.4">
      <c r="A8" s="37" t="s">
        <v>3</v>
      </c>
      <c r="B8" s="34">
        <v>1</v>
      </c>
      <c r="C8" s="31">
        <f t="shared" si="1"/>
        <v>0.25</v>
      </c>
      <c r="E8" s="44" t="s">
        <v>68</v>
      </c>
      <c r="F8" s="41" t="s">
        <v>12</v>
      </c>
      <c r="G8" s="34">
        <v>1</v>
      </c>
      <c r="H8" s="107">
        <f>IF(B$51=0,0,G8/B$51)</f>
        <v>0.1</v>
      </c>
      <c r="I8" s="68">
        <v>19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0.5</v>
      </c>
      <c r="E9" s="44" t="s">
        <v>69</v>
      </c>
      <c r="F9" s="41" t="s">
        <v>24</v>
      </c>
      <c r="G9" s="34">
        <v>1</v>
      </c>
      <c r="H9" s="107">
        <f>IF(B$51=0,0,G9/B$51)</f>
        <v>0.1</v>
      </c>
      <c r="I9" s="68">
        <v>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49">
        <f>IF(B7=0,0,C10/B7)</f>
        <v>40.200000000000003</v>
      </c>
      <c r="C10" s="150">
        <v>40.200000000000003</v>
      </c>
      <c r="E10" s="44" t="s">
        <v>81</v>
      </c>
      <c r="F10" s="41" t="s">
        <v>36</v>
      </c>
      <c r="G10" s="34">
        <v>1</v>
      </c>
      <c r="H10" s="107">
        <f>IF(B$51=0,0,G10/B$51)</f>
        <v>0.1</v>
      </c>
      <c r="I10" s="68">
        <v>2</v>
      </c>
      <c r="N10" s="88" t="s">
        <v>149</v>
      </c>
      <c r="O10" s="98">
        <f>IF(P10=0,0,Q10/P10)</f>
        <v>-57.7</v>
      </c>
      <c r="P10" s="92">
        <v>1</v>
      </c>
      <c r="Q10" s="80">
        <v>-57.7</v>
      </c>
    </row>
    <row r="11" spans="1:17" x14ac:dyDescent="0.4">
      <c r="A11" s="38" t="s">
        <v>204</v>
      </c>
      <c r="B11" s="149">
        <f>IF(B8=0,0,C11/B8)</f>
        <v>-1.9</v>
      </c>
      <c r="C11" s="150">
        <v>-1.9</v>
      </c>
      <c r="E11" s="44" t="s">
        <v>83</v>
      </c>
      <c r="F11" s="41" t="s">
        <v>38</v>
      </c>
      <c r="G11" s="34">
        <v>1</v>
      </c>
      <c r="H11" s="107">
        <f>IF(B$51=0,0,G11/B$51)</f>
        <v>0.1</v>
      </c>
      <c r="I11" s="68">
        <v>2</v>
      </c>
      <c r="N11" s="89" t="s">
        <v>150</v>
      </c>
      <c r="O11" s="99">
        <f>IF(P11=0,0,Q11/P11)</f>
        <v>0.50000000000000233</v>
      </c>
      <c r="P11" s="93">
        <v>3</v>
      </c>
      <c r="Q11" s="81">
        <v>1.5000000000000071</v>
      </c>
    </row>
    <row r="12" spans="1:17" x14ac:dyDescent="0.4">
      <c r="A12" s="38" t="s">
        <v>205</v>
      </c>
      <c r="B12" s="149">
        <f>IF(B9=0,0,C12/B9)</f>
        <v>-47.25</v>
      </c>
      <c r="C12" s="150">
        <v>-94.5</v>
      </c>
      <c r="E12" s="44" t="s">
        <v>86</v>
      </c>
      <c r="F12" s="41" t="s">
        <v>41</v>
      </c>
      <c r="G12" s="34">
        <v>1</v>
      </c>
      <c r="H12" s="107">
        <f>IF(B$51=0,0,G12/B$51)</f>
        <v>0.1</v>
      </c>
      <c r="I12" s="68">
        <v>3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38" t="s">
        <v>206</v>
      </c>
      <c r="B13" s="133">
        <f>AVERAGE(B10:B12)</f>
        <v>-2.9833333333333321</v>
      </c>
      <c r="C13" s="134"/>
      <c r="E13" s="44" t="s">
        <v>89</v>
      </c>
      <c r="F13" s="41" t="s">
        <v>44</v>
      </c>
      <c r="G13" s="34">
        <v>1</v>
      </c>
      <c r="H13" s="107">
        <f>IF(B$51=0,0,G13/B$51)</f>
        <v>0.1</v>
      </c>
      <c r="I13" s="68">
        <v>14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</v>
      </c>
      <c r="C14" s="32">
        <f t="shared" si="1"/>
        <v>0.25</v>
      </c>
      <c r="E14" s="44" t="s">
        <v>70</v>
      </c>
      <c r="F14" s="41" t="s">
        <v>25</v>
      </c>
      <c r="G14" s="34">
        <v>0</v>
      </c>
      <c r="H14" s="107">
        <f>IF(B$51=0,0,G14/B$51)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7</v>
      </c>
      <c r="C15" s="11">
        <f>IF(B$50=0,0,B15/B$50)</f>
        <v>0.21875</v>
      </c>
      <c r="E15" s="44" t="s">
        <v>71</v>
      </c>
      <c r="F15" s="41" t="s">
        <v>26</v>
      </c>
      <c r="G15" s="34">
        <v>0</v>
      </c>
      <c r="H15" s="107">
        <f>IF(B$51=0,0,G15/B$51)</f>
        <v>0</v>
      </c>
      <c r="I15" s="68">
        <v>16</v>
      </c>
      <c r="N15" s="88" t="s">
        <v>193</v>
      </c>
      <c r="O15" s="98">
        <f>IF(P15=0,0,Q15/P15)</f>
        <v>-5.75</v>
      </c>
      <c r="P15" s="92">
        <v>4</v>
      </c>
      <c r="Q15" s="80">
        <v>-23</v>
      </c>
    </row>
    <row r="16" spans="1:17" x14ac:dyDescent="0.4">
      <c r="A16" s="37" t="s">
        <v>118</v>
      </c>
      <c r="B16" s="34">
        <v>12</v>
      </c>
      <c r="C16" s="31">
        <f>IF(B$50=0,0,B16/B$50)</f>
        <v>0.375</v>
      </c>
      <c r="E16" s="44" t="s">
        <v>73</v>
      </c>
      <c r="F16" s="41" t="s">
        <v>28</v>
      </c>
      <c r="G16" s="34">
        <v>0</v>
      </c>
      <c r="H16" s="107">
        <f>IF(B$51=0,0,G16/B$51)</f>
        <v>0</v>
      </c>
      <c r="I16" s="68">
        <v>12</v>
      </c>
      <c r="N16" s="89" t="s">
        <v>187</v>
      </c>
      <c r="O16" s="99">
        <f>IF(P16=0,0,Q16/P16)</f>
        <v>-36.400000000000006</v>
      </c>
      <c r="P16" s="93">
        <v>4</v>
      </c>
      <c r="Q16" s="81">
        <v>-145.60000000000002</v>
      </c>
    </row>
    <row r="17" spans="1:9" x14ac:dyDescent="0.4">
      <c r="A17" s="19" t="s">
        <v>123</v>
      </c>
      <c r="B17" s="13">
        <v>3</v>
      </c>
      <c r="C17" s="4">
        <f>IF(B$15=0,0,B17/B$15)</f>
        <v>0.42857142857142855</v>
      </c>
      <c r="E17" s="44" t="s">
        <v>74</v>
      </c>
      <c r="F17" s="41" t="s">
        <v>29</v>
      </c>
      <c r="G17" s="34">
        <v>0</v>
      </c>
      <c r="H17" s="107">
        <f>IF(B$51=0,0,G17/B$51)</f>
        <v>0</v>
      </c>
      <c r="I17" s="68">
        <v>10</v>
      </c>
    </row>
    <row r="18" spans="1:9" x14ac:dyDescent="0.4">
      <c r="A18" s="19" t="s">
        <v>124</v>
      </c>
      <c r="B18" s="13">
        <v>3</v>
      </c>
      <c r="C18" s="4">
        <f>IF(B$16=0,0,B18/B$16)</f>
        <v>0.25</v>
      </c>
      <c r="E18" s="44" t="s">
        <v>75</v>
      </c>
      <c r="F18" s="41" t="s">
        <v>30</v>
      </c>
      <c r="G18" s="34">
        <v>0</v>
      </c>
      <c r="H18" s="107">
        <f>IF(B$51=0,0,G18/B$51)</f>
        <v>0</v>
      </c>
      <c r="I18" s="68">
        <v>11</v>
      </c>
    </row>
    <row r="19" spans="1:9" x14ac:dyDescent="0.4">
      <c r="A19" s="19" t="s">
        <v>10</v>
      </c>
      <c r="B19" s="13">
        <v>10</v>
      </c>
      <c r="C19" s="4">
        <f>IF(B$3=0,0,B19/B$3)</f>
        <v>0.3125</v>
      </c>
      <c r="E19" s="44" t="s">
        <v>76</v>
      </c>
      <c r="F19" s="41" t="s">
        <v>31</v>
      </c>
      <c r="G19" s="34">
        <v>0</v>
      </c>
      <c r="H19" s="107">
        <f>IF(B$51=0,0,G19/B$51)</f>
        <v>0</v>
      </c>
      <c r="I19" s="68">
        <v>1</v>
      </c>
    </row>
    <row r="20" spans="1:9" x14ac:dyDescent="0.4">
      <c r="A20" s="37" t="s">
        <v>13</v>
      </c>
      <c r="B20" s="34">
        <v>5</v>
      </c>
      <c r="C20" s="31">
        <f>IF(B$3=0,0,B20/B$3)</f>
        <v>0.15625</v>
      </c>
      <c r="E20" s="44" t="s">
        <v>77</v>
      </c>
      <c r="F20" s="41" t="s">
        <v>32</v>
      </c>
      <c r="G20" s="34">
        <v>0</v>
      </c>
      <c r="H20" s="107">
        <f>IF(B$51=0,0,G20/B$51)</f>
        <v>0</v>
      </c>
      <c r="I20" s="68">
        <v>9</v>
      </c>
    </row>
    <row r="21" spans="1:9" x14ac:dyDescent="0.4">
      <c r="A21" s="37" t="s">
        <v>12</v>
      </c>
      <c r="B21" s="34">
        <v>3</v>
      </c>
      <c r="C21" s="31">
        <f>IF(B$19=0,0,B21/B$19)</f>
        <v>0.3</v>
      </c>
      <c r="E21" s="44" t="s">
        <v>78</v>
      </c>
      <c r="F21" s="41" t="s">
        <v>33</v>
      </c>
      <c r="G21" s="34">
        <v>0</v>
      </c>
      <c r="H21" s="107">
        <f>IF(B$51=0,0,G21/B$51)</f>
        <v>0</v>
      </c>
      <c r="I21" s="68">
        <v>14</v>
      </c>
    </row>
    <row r="22" spans="1:9" x14ac:dyDescent="0.4">
      <c r="A22" s="37" t="s">
        <v>11</v>
      </c>
      <c r="B22" s="34">
        <v>7</v>
      </c>
      <c r="C22" s="31">
        <f>IF(B$19=0,0,B22/B$19)</f>
        <v>0.7</v>
      </c>
      <c r="E22" s="44" t="s">
        <v>79</v>
      </c>
      <c r="F22" s="41" t="s">
        <v>34</v>
      </c>
      <c r="G22" s="34">
        <v>0</v>
      </c>
      <c r="H22" s="107">
        <f>IF(B$51=0,0,G22/B$51)</f>
        <v>0</v>
      </c>
      <c r="I22" s="68">
        <v>15</v>
      </c>
    </row>
    <row r="23" spans="1:9" x14ac:dyDescent="0.4">
      <c r="A23" s="37" t="s">
        <v>180</v>
      </c>
      <c r="B23" s="34">
        <v>3</v>
      </c>
      <c r="C23" s="31">
        <f>IF(B$19=0,0,B23/B$19)</f>
        <v>0.3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</row>
    <row r="24" spans="1:9" x14ac:dyDescent="0.4">
      <c r="A24" s="37" t="s">
        <v>178</v>
      </c>
      <c r="B24" s="34">
        <v>3</v>
      </c>
      <c r="C24" s="31">
        <f>IF(B$19=0,0,B24/B$19)</f>
        <v>0.3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9" x14ac:dyDescent="0.4">
      <c r="A25" s="37" t="s">
        <v>179</v>
      </c>
      <c r="B25" s="34">
        <v>4</v>
      </c>
      <c r="C25" s="31">
        <f>IF(B$19=0,0,B25/B$19)</f>
        <v>0.4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9" x14ac:dyDescent="0.4">
      <c r="A26" s="37" t="s">
        <v>5</v>
      </c>
      <c r="B26" s="17">
        <f>IF(B$19=0,0,C26/B$19)</f>
        <v>4940</v>
      </c>
      <c r="C26" s="8">
        <v>49400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9" x14ac:dyDescent="0.4">
      <c r="A27" s="38" t="s">
        <v>162</v>
      </c>
      <c r="B27" s="114">
        <f>IF($B$19-B$18=0,0,C27/($B$19-B$18))</f>
        <v>5471.4285714285716</v>
      </c>
      <c r="C27" s="115">
        <v>38300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</row>
    <row r="28" spans="1:9" x14ac:dyDescent="0.4">
      <c r="A28" s="38" t="s">
        <v>163</v>
      </c>
      <c r="B28" s="114">
        <f>IF(B$18=0,0,C28/B$18)</f>
        <v>3700</v>
      </c>
      <c r="C28" s="115">
        <v>11100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9" x14ac:dyDescent="0.4">
      <c r="A29" s="38" t="s">
        <v>161</v>
      </c>
      <c r="B29" s="114">
        <f>IF(B$20=0,0,C29/B$20)</f>
        <v>-11280</v>
      </c>
      <c r="C29" s="115">
        <v>-56400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">
      <c r="A30" s="37" t="s">
        <v>155</v>
      </c>
      <c r="B30" s="34">
        <v>4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">
      <c r="A31" s="37" t="s">
        <v>156</v>
      </c>
      <c r="B31" s="34">
        <v>12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">
      <c r="A32" s="64" t="s">
        <v>134</v>
      </c>
      <c r="B32" s="139">
        <v>2</v>
      </c>
      <c r="C32" s="140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7">
        <v>55200</v>
      </c>
      <c r="C33" s="138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1">
        <v>1</v>
      </c>
      <c r="C36" s="119">
        <f>IF(B$19=0,0,B36/B$19)</f>
        <v>0.1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5</v>
      </c>
      <c r="C37" s="31">
        <f t="shared" ref="C37:C48" si="2">IF(B$19=0,0,B37/B$19)</f>
        <v>0.5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4">
        <v>2</v>
      </c>
      <c r="C38" s="31">
        <f>IF(B$19=0,0,B38/B$19)</f>
        <v>0.2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4">
        <v>1</v>
      </c>
      <c r="C39" s="31">
        <f t="shared" si="2"/>
        <v>0.1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4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4">
        <v>1</v>
      </c>
      <c r="C41" s="31">
        <f t="shared" si="2"/>
        <v>0.1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4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4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4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4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4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4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0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7">
        <v>32</v>
      </c>
      <c r="C50" s="128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35">
        <v>10</v>
      </c>
      <c r="C51" s="136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0443-01CE-4C2F-AC98-70C8B78AD8B8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202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10</v>
      </c>
      <c r="C2" s="128"/>
      <c r="E2" s="43" t="s">
        <v>66</v>
      </c>
      <c r="F2" s="25" t="s">
        <v>22</v>
      </c>
      <c r="G2" s="13">
        <v>26</v>
      </c>
      <c r="H2" s="106">
        <f>IF(B$51=0,0,G2/B$51)</f>
        <v>1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410</v>
      </c>
      <c r="P2" s="92">
        <v>10</v>
      </c>
      <c r="Q2" s="76">
        <v>4100</v>
      </c>
    </row>
    <row r="3" spans="1:17" x14ac:dyDescent="0.4">
      <c r="A3" s="37" t="s">
        <v>8</v>
      </c>
      <c r="B3" s="129">
        <v>78</v>
      </c>
      <c r="C3" s="130"/>
      <c r="E3" s="44" t="s">
        <v>64</v>
      </c>
      <c r="F3" s="41" t="s">
        <v>20</v>
      </c>
      <c r="G3" s="34">
        <v>19</v>
      </c>
      <c r="H3" s="107">
        <f>IF(B$51=0,0,G3/B$51)</f>
        <v>0.73076923076923073</v>
      </c>
      <c r="I3" s="68">
        <v>2</v>
      </c>
      <c r="K3" s="5">
        <v>1</v>
      </c>
      <c r="L3" s="73">
        <v>35</v>
      </c>
      <c r="N3" s="89" t="s">
        <v>127</v>
      </c>
      <c r="O3" s="96">
        <f t="shared" si="0"/>
        <v>-2890</v>
      </c>
      <c r="P3" s="93">
        <v>10</v>
      </c>
      <c r="Q3" s="77">
        <v>-28900</v>
      </c>
    </row>
    <row r="4" spans="1:17" x14ac:dyDescent="0.4">
      <c r="A4" s="37" t="s">
        <v>6</v>
      </c>
      <c r="B4" s="131">
        <v>9.2999999999999972</v>
      </c>
      <c r="C4" s="132"/>
      <c r="E4" s="44" t="s">
        <v>67</v>
      </c>
      <c r="F4" s="41" t="s">
        <v>23</v>
      </c>
      <c r="G4" s="34">
        <v>17</v>
      </c>
      <c r="H4" s="107">
        <f>IF(B$51=0,0,G4/B$51)</f>
        <v>0.65384615384615385</v>
      </c>
      <c r="I4" s="68">
        <v>1</v>
      </c>
      <c r="K4" s="5">
        <v>2</v>
      </c>
      <c r="L4" s="73">
        <v>18.399999999999999</v>
      </c>
      <c r="N4" s="89" t="s">
        <v>128</v>
      </c>
      <c r="O4" s="96">
        <f t="shared" si="0"/>
        <v>6000</v>
      </c>
      <c r="P4" s="93">
        <v>7</v>
      </c>
      <c r="Q4" s="77">
        <v>42000</v>
      </c>
    </row>
    <row r="5" spans="1:17" x14ac:dyDescent="0.4">
      <c r="A5" s="37" t="s">
        <v>7</v>
      </c>
      <c r="B5" s="133">
        <f>IF(B$2=0,0,B$4/B$2)</f>
        <v>0.92999999999999972</v>
      </c>
      <c r="C5" s="134"/>
      <c r="E5" s="44" t="s">
        <v>157</v>
      </c>
      <c r="F5" s="41" t="s">
        <v>158</v>
      </c>
      <c r="G5" s="34">
        <v>12</v>
      </c>
      <c r="H5" s="107">
        <f>IF(B$51=0,0,G5/B$51)</f>
        <v>0.46153846153846156</v>
      </c>
      <c r="I5" s="68">
        <v>3</v>
      </c>
      <c r="K5" s="5">
        <v>3</v>
      </c>
      <c r="L5" s="73">
        <v>64.3</v>
      </c>
      <c r="N5" s="89" t="s">
        <v>129</v>
      </c>
      <c r="O5" s="96">
        <f t="shared" si="0"/>
        <v>-9657.1428571428569</v>
      </c>
      <c r="P5" s="93">
        <v>7</v>
      </c>
      <c r="Q5" s="77">
        <v>-67600</v>
      </c>
    </row>
    <row r="6" spans="1:17" x14ac:dyDescent="0.4">
      <c r="A6" s="37" t="s">
        <v>1</v>
      </c>
      <c r="B6" s="141">
        <f>IF(B$2=0,0,(B$7*1+B$8*2+B$9*3)/B$2)</f>
        <v>2</v>
      </c>
      <c r="C6" s="142"/>
      <c r="E6" s="44" t="s">
        <v>68</v>
      </c>
      <c r="F6" s="41" t="s">
        <v>12</v>
      </c>
      <c r="G6" s="34">
        <v>8</v>
      </c>
      <c r="H6" s="107">
        <f>IF(B$51=0,0,G6/B$51)</f>
        <v>0.30769230769230771</v>
      </c>
      <c r="I6" s="68">
        <v>11</v>
      </c>
      <c r="K6" s="5">
        <v>4</v>
      </c>
      <c r="L6" s="73">
        <v>109.9</v>
      </c>
      <c r="N6" s="89" t="s">
        <v>130</v>
      </c>
      <c r="O6" s="96">
        <f t="shared" si="0"/>
        <v>1828.5714285714287</v>
      </c>
      <c r="P6" s="93">
        <v>7</v>
      </c>
      <c r="Q6" s="77">
        <v>12800</v>
      </c>
    </row>
    <row r="7" spans="1:17" x14ac:dyDescent="0.4">
      <c r="A7" s="37" t="s">
        <v>2</v>
      </c>
      <c r="B7" s="34">
        <v>5</v>
      </c>
      <c r="C7" s="31">
        <f t="shared" ref="C7:C14" si="1">IF(B$2=0,0,B7/B$2)</f>
        <v>0.5</v>
      </c>
      <c r="E7" s="44" t="s">
        <v>69</v>
      </c>
      <c r="F7" s="41" t="s">
        <v>24</v>
      </c>
      <c r="G7" s="34">
        <v>5</v>
      </c>
      <c r="H7" s="107">
        <f>IF(B$51=0,0,G7/B$51)</f>
        <v>0.19230769230769232</v>
      </c>
      <c r="I7" s="68">
        <v>2</v>
      </c>
      <c r="K7" s="5">
        <v>5</v>
      </c>
      <c r="L7" s="73">
        <v>84.7</v>
      </c>
      <c r="N7" s="90" t="s">
        <v>131</v>
      </c>
      <c r="O7" s="97">
        <f t="shared" si="0"/>
        <v>3271.4285714285716</v>
      </c>
      <c r="P7" s="94">
        <v>7</v>
      </c>
      <c r="Q7" s="78">
        <v>22900</v>
      </c>
    </row>
    <row r="8" spans="1:17" x14ac:dyDescent="0.4">
      <c r="A8" s="37" t="s">
        <v>3</v>
      </c>
      <c r="B8" s="34">
        <v>0</v>
      </c>
      <c r="C8" s="31">
        <f t="shared" si="1"/>
        <v>0</v>
      </c>
      <c r="E8" s="44" t="s">
        <v>72</v>
      </c>
      <c r="F8" s="41" t="s">
        <v>27</v>
      </c>
      <c r="G8" s="34">
        <v>5</v>
      </c>
      <c r="H8" s="107">
        <f>IF(B$51=0,0,G8/B$51)</f>
        <v>0.19230769230769232</v>
      </c>
      <c r="I8" s="68">
        <v>18</v>
      </c>
      <c r="K8" s="5">
        <v>6</v>
      </c>
      <c r="L8" s="73">
        <v>129.1</v>
      </c>
      <c r="N8" s="33"/>
      <c r="O8" s="101"/>
      <c r="P8" s="85"/>
      <c r="Q8" s="83"/>
    </row>
    <row r="9" spans="1:17" x14ac:dyDescent="0.4">
      <c r="A9" s="38" t="s">
        <v>4</v>
      </c>
      <c r="B9" s="35">
        <v>5</v>
      </c>
      <c r="C9" s="7">
        <f t="shared" si="1"/>
        <v>0.5</v>
      </c>
      <c r="E9" s="44" t="s">
        <v>65</v>
      </c>
      <c r="F9" s="41" t="s">
        <v>21</v>
      </c>
      <c r="G9" s="34">
        <v>4</v>
      </c>
      <c r="H9" s="107">
        <f>IF(B$51=0,0,G9/B$51)</f>
        <v>0.15384615384615385</v>
      </c>
      <c r="I9" s="68">
        <v>3</v>
      </c>
      <c r="K9" s="5">
        <v>7</v>
      </c>
      <c r="L9" s="73">
        <v>87.5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49">
        <f>IF(B7=0,0,C10/B7)</f>
        <v>37.980000000000004</v>
      </c>
      <c r="C10" s="150">
        <v>189.9</v>
      </c>
      <c r="E10" s="44" t="s">
        <v>70</v>
      </c>
      <c r="F10" s="41" t="s">
        <v>25</v>
      </c>
      <c r="G10" s="34">
        <v>4</v>
      </c>
      <c r="H10" s="107">
        <f>IF(B$51=0,0,G10/B$51)</f>
        <v>0.15384615384615385</v>
      </c>
      <c r="I10" s="68">
        <v>2</v>
      </c>
      <c r="K10" s="5">
        <v>8</v>
      </c>
      <c r="L10" s="73">
        <v>106.5</v>
      </c>
      <c r="N10" s="88" t="s">
        <v>149</v>
      </c>
      <c r="O10" s="98">
        <f>IF(P10=0,0,Q10/P10)</f>
        <v>-37.93333333333333</v>
      </c>
      <c r="P10" s="92">
        <v>3</v>
      </c>
      <c r="Q10" s="80">
        <v>-113.8</v>
      </c>
    </row>
    <row r="11" spans="1:17" x14ac:dyDescent="0.4">
      <c r="A11" s="38" t="s">
        <v>204</v>
      </c>
      <c r="B11" s="149">
        <f>IF(B8=0,0,C11/B8)</f>
        <v>0</v>
      </c>
      <c r="C11" s="150">
        <v>0</v>
      </c>
      <c r="E11" s="44" t="s">
        <v>71</v>
      </c>
      <c r="F11" s="41" t="s">
        <v>26</v>
      </c>
      <c r="G11" s="34">
        <v>3</v>
      </c>
      <c r="H11" s="107">
        <f>IF(B$51=0,0,G11/B$51)</f>
        <v>0.11538461538461539</v>
      </c>
      <c r="I11" s="68">
        <v>1</v>
      </c>
      <c r="K11" s="5">
        <v>9</v>
      </c>
      <c r="L11" s="73">
        <v>54.5</v>
      </c>
      <c r="N11" s="89" t="s">
        <v>150</v>
      </c>
      <c r="O11" s="99">
        <f>IF(P11=0,0,Q11/P11)</f>
        <v>-15.933333333333332</v>
      </c>
      <c r="P11" s="93">
        <v>3</v>
      </c>
      <c r="Q11" s="81">
        <v>-47.8</v>
      </c>
    </row>
    <row r="12" spans="1:17" x14ac:dyDescent="0.4">
      <c r="A12" s="38" t="s">
        <v>205</v>
      </c>
      <c r="B12" s="149">
        <f>IF(B9=0,0,C12/B9)</f>
        <v>-36.120000000000005</v>
      </c>
      <c r="C12" s="150">
        <v>-180.60000000000002</v>
      </c>
      <c r="E12" s="44" t="s">
        <v>81</v>
      </c>
      <c r="F12" s="41" t="s">
        <v>36</v>
      </c>
      <c r="G12" s="34">
        <v>2</v>
      </c>
      <c r="H12" s="107">
        <f>IF(B$51=0,0,G12/B$51)</f>
        <v>7.6923076923076927E-2</v>
      </c>
      <c r="I12" s="68">
        <v>3</v>
      </c>
      <c r="K12" s="5">
        <v>10</v>
      </c>
      <c r="L12" s="73">
        <v>9.2999999999999972</v>
      </c>
      <c r="N12" s="90" t="s">
        <v>151</v>
      </c>
      <c r="O12" s="100">
        <f>IF(P12=0,0,Q12/P12)</f>
        <v>42.725000000000001</v>
      </c>
      <c r="P12" s="94">
        <v>4</v>
      </c>
      <c r="Q12" s="82">
        <v>170.9</v>
      </c>
    </row>
    <row r="13" spans="1:17" x14ac:dyDescent="0.4">
      <c r="A13" s="38" t="s">
        <v>206</v>
      </c>
      <c r="B13" s="133">
        <f>AVERAGE(B10:B12)</f>
        <v>0.61999999999999977</v>
      </c>
      <c r="C13" s="134"/>
      <c r="E13" s="44" t="s">
        <v>89</v>
      </c>
      <c r="F13" s="41" t="s">
        <v>44</v>
      </c>
      <c r="G13" s="34">
        <v>1</v>
      </c>
      <c r="H13" s="107">
        <f>IF(B$51=0,0,G13/B$51)</f>
        <v>3.8461538461538464E-2</v>
      </c>
      <c r="I13" s="68">
        <v>17</v>
      </c>
      <c r="N13" s="28"/>
      <c r="O13" s="84"/>
      <c r="P13" s="86"/>
      <c r="Q13" s="84"/>
    </row>
    <row r="14" spans="1:17" x14ac:dyDescent="0.4">
      <c r="A14" s="39" t="s">
        <v>18</v>
      </c>
      <c r="B14" s="36">
        <v>2</v>
      </c>
      <c r="C14" s="32">
        <f t="shared" si="1"/>
        <v>0.2</v>
      </c>
      <c r="E14" s="44" t="s">
        <v>91</v>
      </c>
      <c r="F14" s="41" t="s">
        <v>46</v>
      </c>
      <c r="G14" s="34">
        <v>1</v>
      </c>
      <c r="H14" s="107">
        <f>IF(B$51=0,0,G14/B$51)</f>
        <v>3.8461538461538464E-2</v>
      </c>
      <c r="I14" s="68">
        <v>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30</v>
      </c>
      <c r="C15" s="11">
        <f>IF(B$50=0,0,B15/B$50)</f>
        <v>0.38461538461538464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201</v>
      </c>
      <c r="O15" s="98">
        <f>IF(P15=0,0,Q15/P15)</f>
        <v>45.3</v>
      </c>
      <c r="P15" s="92">
        <v>5</v>
      </c>
      <c r="Q15" s="80">
        <v>226.5</v>
      </c>
    </row>
    <row r="16" spans="1:17" x14ac:dyDescent="0.4">
      <c r="A16" s="37" t="s">
        <v>118</v>
      </c>
      <c r="B16" s="34">
        <v>13</v>
      </c>
      <c r="C16" s="31">
        <f>IF(B$50=0,0,B16/B$50)</f>
        <v>0.16666666666666666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188</v>
      </c>
      <c r="O16" s="99">
        <f>IF(P16=0,0,Q16/P16)</f>
        <v>38</v>
      </c>
      <c r="P16" s="93">
        <v>1</v>
      </c>
      <c r="Q16" s="81">
        <v>38</v>
      </c>
    </row>
    <row r="17" spans="1:17" x14ac:dyDescent="0.4">
      <c r="A17" s="19" t="s">
        <v>123</v>
      </c>
      <c r="B17" s="13">
        <v>19</v>
      </c>
      <c r="C17" s="4">
        <f>IF(B$15=0,0,B17/B$15)</f>
        <v>0.6333333333333333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197</v>
      </c>
      <c r="O17" s="99">
        <f>IF(P17=0,0,Q17/P17)</f>
        <v>1.0625</v>
      </c>
      <c r="P17" s="93">
        <v>8</v>
      </c>
      <c r="Q17" s="81">
        <v>8.5</v>
      </c>
    </row>
    <row r="18" spans="1:17" x14ac:dyDescent="0.4">
      <c r="A18" s="19" t="s">
        <v>124</v>
      </c>
      <c r="B18" s="13">
        <v>5</v>
      </c>
      <c r="C18" s="4">
        <f>IF(B$16=0,0,B18/B$16)</f>
        <v>0.38461538461538464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1</v>
      </c>
      <c r="N18" s="89" t="s">
        <v>187</v>
      </c>
      <c r="O18" s="99">
        <f>IF(P18=0,0,Q18/P18)</f>
        <v>-11</v>
      </c>
      <c r="P18" s="93">
        <v>3</v>
      </c>
      <c r="Q18" s="81">
        <v>-33</v>
      </c>
    </row>
    <row r="19" spans="1:17" x14ac:dyDescent="0.4">
      <c r="A19" s="19" t="s">
        <v>10</v>
      </c>
      <c r="B19" s="13">
        <v>26</v>
      </c>
      <c r="C19" s="4">
        <f>IF(B$3=0,0,B19/B$3)</f>
        <v>0.33333333333333331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9</v>
      </c>
      <c r="N19" s="89" t="s">
        <v>195</v>
      </c>
      <c r="O19" s="99">
        <f>IF(P19=0,0,Q19/P19)</f>
        <v>-31.200000000000003</v>
      </c>
      <c r="P19" s="93">
        <v>1</v>
      </c>
      <c r="Q19" s="81">
        <v>-31.200000000000003</v>
      </c>
    </row>
    <row r="20" spans="1:17" x14ac:dyDescent="0.4">
      <c r="A20" s="37" t="s">
        <v>13</v>
      </c>
      <c r="B20" s="34">
        <v>19</v>
      </c>
      <c r="C20" s="31">
        <f>IF(B$3=0,0,B20/B$3)</f>
        <v>0.24358974358974358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191</v>
      </c>
      <c r="O20" s="99">
        <f>IF(P20=0,0,Q20/P20)</f>
        <v>-90.449999999999989</v>
      </c>
      <c r="P20" s="93">
        <v>2</v>
      </c>
      <c r="Q20" s="81">
        <v>-180.89999999999998</v>
      </c>
    </row>
    <row r="21" spans="1:17" x14ac:dyDescent="0.4">
      <c r="A21" s="37" t="s">
        <v>12</v>
      </c>
      <c r="B21" s="34">
        <v>12</v>
      </c>
      <c r="C21" s="31">
        <f>IF(B$19=0,0,B21/B$19)</f>
        <v>0.46153846153846156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15</v>
      </c>
    </row>
    <row r="22" spans="1:17" x14ac:dyDescent="0.4">
      <c r="A22" s="37" t="s">
        <v>11</v>
      </c>
      <c r="B22" s="34">
        <v>14</v>
      </c>
      <c r="C22" s="31">
        <f>IF(B$19=0,0,B22/B$19)</f>
        <v>0.53846153846153844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</row>
    <row r="23" spans="1:17" x14ac:dyDescent="0.4">
      <c r="A23" s="37" t="s">
        <v>180</v>
      </c>
      <c r="B23" s="34">
        <v>19</v>
      </c>
      <c r="C23" s="31">
        <f>IF(B$19=0,0,B23/B$19)</f>
        <v>0.73076923076923073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">
      <c r="A24" s="37" t="s">
        <v>178</v>
      </c>
      <c r="B24" s="34">
        <v>5</v>
      </c>
      <c r="C24" s="31">
        <f>IF(B$19=0,0,B24/B$19)</f>
        <v>0.19230769230769232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">
      <c r="A25" s="37" t="s">
        <v>179</v>
      </c>
      <c r="B25" s="34">
        <v>2</v>
      </c>
      <c r="C25" s="31">
        <f>IF(B$19=0,0,B25/B$19)</f>
        <v>7.6923076923076927E-2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">
      <c r="A26" s="37" t="s">
        <v>5</v>
      </c>
      <c r="B26" s="17">
        <f>IF(B$19=0,0,C26/B$19)</f>
        <v>9534.6153846153848</v>
      </c>
      <c r="C26" s="8">
        <v>247900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17" x14ac:dyDescent="0.4">
      <c r="A27" s="38" t="s">
        <v>162</v>
      </c>
      <c r="B27" s="114">
        <f>IF($B$19-B$18=0,0,C27/($B$19-B$18))</f>
        <v>9661.9047619047615</v>
      </c>
      <c r="C27" s="115">
        <v>202900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">
      <c r="A28" s="38" t="s">
        <v>163</v>
      </c>
      <c r="B28" s="114">
        <f>IF(B$18=0,0,C28/B$18)</f>
        <v>9000</v>
      </c>
      <c r="C28" s="115">
        <v>45000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">
      <c r="A29" s="38" t="s">
        <v>161</v>
      </c>
      <c r="B29" s="114">
        <f>IF(B$20=0,0,C29/B$20)</f>
        <v>-10010.526315789473</v>
      </c>
      <c r="C29" s="115">
        <v>-190200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">
      <c r="A30" s="37" t="s">
        <v>155</v>
      </c>
      <c r="B30" s="34">
        <v>5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">
      <c r="A31" s="37" t="s">
        <v>156</v>
      </c>
      <c r="B31" s="34">
        <v>11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39">
        <v>5</v>
      </c>
      <c r="C32" s="140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7">
        <v>70900</v>
      </c>
      <c r="C33" s="138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1">
        <v>1</v>
      </c>
      <c r="C36" s="119">
        <f>IF(B$19=0,0,B36/B$19)</f>
        <v>3.8461538461538464E-2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3</v>
      </c>
      <c r="C37" s="31">
        <f t="shared" ref="C37:C48" si="2">IF(B$19=0,0,B37/B$19)</f>
        <v>0.11538461538461539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4">
        <v>6</v>
      </c>
      <c r="C38" s="31">
        <f>IF(B$19=0,0,B38/B$19)</f>
        <v>0.23076923076923078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4">
        <v>1</v>
      </c>
      <c r="C39" s="31">
        <f t="shared" si="2"/>
        <v>3.8461538461538464E-2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4">
        <v>8</v>
      </c>
      <c r="C40" s="31">
        <f t="shared" si="2"/>
        <v>0.30769230769230771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4">
        <v>6</v>
      </c>
      <c r="C41" s="31">
        <f t="shared" si="2"/>
        <v>0.23076923076923078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4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4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4">
        <v>1</v>
      </c>
      <c r="C44" s="31">
        <f t="shared" si="2"/>
        <v>3.8461538461538464E-2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4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4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4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0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7">
        <v>78</v>
      </c>
      <c r="C50" s="128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35">
        <v>26</v>
      </c>
      <c r="C51" s="136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0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0A05-E4AA-48B0-AD92-E866C7456F5C}">
  <sheetPr codeName="Sheet22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201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5</v>
      </c>
      <c r="C2" s="128"/>
      <c r="E2" s="43" t="s">
        <v>64</v>
      </c>
      <c r="F2" s="25" t="s">
        <v>20</v>
      </c>
      <c r="G2" s="13">
        <v>6</v>
      </c>
      <c r="H2" s="106">
        <f>IF(B$51=0,0,G2/B$51)</f>
        <v>0.75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-3140</v>
      </c>
      <c r="P2" s="92">
        <v>5</v>
      </c>
      <c r="Q2" s="76">
        <v>-15700</v>
      </c>
    </row>
    <row r="3" spans="1:17" x14ac:dyDescent="0.4">
      <c r="A3" s="37" t="s">
        <v>8</v>
      </c>
      <c r="B3" s="129">
        <v>40</v>
      </c>
      <c r="C3" s="130"/>
      <c r="E3" s="44" t="s">
        <v>66</v>
      </c>
      <c r="F3" s="41" t="s">
        <v>22</v>
      </c>
      <c r="G3" s="34">
        <v>5</v>
      </c>
      <c r="H3" s="107">
        <f>IF(B$51=0,0,G3/B$51)</f>
        <v>0.625</v>
      </c>
      <c r="I3" s="68">
        <v>14</v>
      </c>
      <c r="K3" s="5">
        <v>1</v>
      </c>
      <c r="L3" s="73">
        <v>1.3</v>
      </c>
      <c r="N3" s="89" t="s">
        <v>127</v>
      </c>
      <c r="O3" s="96">
        <f t="shared" si="0"/>
        <v>-4200</v>
      </c>
      <c r="P3" s="93">
        <v>5</v>
      </c>
      <c r="Q3" s="77">
        <v>-21000</v>
      </c>
    </row>
    <row r="4" spans="1:17" x14ac:dyDescent="0.4">
      <c r="A4" s="37" t="s">
        <v>6</v>
      </c>
      <c r="B4" s="131">
        <v>-80.800000000000011</v>
      </c>
      <c r="C4" s="132"/>
      <c r="E4" s="44" t="s">
        <v>157</v>
      </c>
      <c r="F4" s="41" t="s">
        <v>158</v>
      </c>
      <c r="G4" s="34">
        <v>4</v>
      </c>
      <c r="H4" s="107">
        <f>IF(B$51=0,0,G4/B$51)</f>
        <v>0.5</v>
      </c>
      <c r="I4" s="68">
        <v>1</v>
      </c>
      <c r="K4" s="5">
        <v>2</v>
      </c>
      <c r="L4" s="73">
        <v>-9.1999999999999993</v>
      </c>
      <c r="N4" s="89" t="s">
        <v>128</v>
      </c>
      <c r="O4" s="96">
        <f t="shared" si="0"/>
        <v>-2350</v>
      </c>
      <c r="P4" s="93">
        <v>4</v>
      </c>
      <c r="Q4" s="77">
        <v>-9400</v>
      </c>
    </row>
    <row r="5" spans="1:17" x14ac:dyDescent="0.4">
      <c r="A5" s="37" t="s">
        <v>7</v>
      </c>
      <c r="B5" s="133">
        <f>IF(B$2=0,0,B$4/B$2)</f>
        <v>-16.160000000000004</v>
      </c>
      <c r="C5" s="134"/>
      <c r="E5" s="44" t="s">
        <v>78</v>
      </c>
      <c r="F5" s="41" t="s">
        <v>33</v>
      </c>
      <c r="G5" s="34">
        <v>3</v>
      </c>
      <c r="H5" s="107">
        <f>IF(B$51=0,0,G5/B$51)</f>
        <v>0.375</v>
      </c>
      <c r="I5" s="68">
        <v>1</v>
      </c>
      <c r="K5" s="5">
        <v>3</v>
      </c>
      <c r="L5" s="73">
        <v>-66.400000000000006</v>
      </c>
      <c r="N5" s="89" t="s">
        <v>129</v>
      </c>
      <c r="O5" s="96">
        <f t="shared" si="0"/>
        <v>6125</v>
      </c>
      <c r="P5" s="93">
        <v>4</v>
      </c>
      <c r="Q5" s="77">
        <v>24500</v>
      </c>
    </row>
    <row r="6" spans="1:17" x14ac:dyDescent="0.4">
      <c r="A6" s="37" t="s">
        <v>1</v>
      </c>
      <c r="B6" s="141">
        <f>IF(B$2=0,0,(B$7*1+B$8*2+B$9*3)/B$2)</f>
        <v>2.2000000000000002</v>
      </c>
      <c r="C6" s="142"/>
      <c r="E6" s="44" t="s">
        <v>68</v>
      </c>
      <c r="F6" s="41" t="s">
        <v>12</v>
      </c>
      <c r="G6" s="34">
        <v>2</v>
      </c>
      <c r="H6" s="107">
        <f>IF(B$51=0,0,G6/B$51)</f>
        <v>0.25</v>
      </c>
      <c r="I6" s="68">
        <v>17</v>
      </c>
      <c r="K6" s="5">
        <v>4</v>
      </c>
      <c r="L6" s="73">
        <v>-39.400000000000006</v>
      </c>
      <c r="N6" s="89" t="s">
        <v>130</v>
      </c>
      <c r="O6" s="96">
        <f t="shared" si="0"/>
        <v>-5125</v>
      </c>
      <c r="P6" s="93">
        <v>4</v>
      </c>
      <c r="Q6" s="77">
        <v>-20500</v>
      </c>
    </row>
    <row r="7" spans="1:17" x14ac:dyDescent="0.4">
      <c r="A7" s="37" t="s">
        <v>2</v>
      </c>
      <c r="B7" s="34">
        <v>1</v>
      </c>
      <c r="C7" s="31">
        <f t="shared" ref="C7:C14" si="1">IF(B$2=0,0,B7/B$2)</f>
        <v>0.2</v>
      </c>
      <c r="E7" s="44" t="s">
        <v>69</v>
      </c>
      <c r="F7" s="41" t="s">
        <v>24</v>
      </c>
      <c r="G7" s="34">
        <v>2</v>
      </c>
      <c r="H7" s="107">
        <f>IF(B$51=0,0,G7/B$51)</f>
        <v>0.25</v>
      </c>
      <c r="I7" s="68">
        <v>1</v>
      </c>
      <c r="K7" s="5">
        <v>5</v>
      </c>
      <c r="L7" s="73">
        <v>-80.800000000000011</v>
      </c>
      <c r="N7" s="90" t="s">
        <v>131</v>
      </c>
      <c r="O7" s="97">
        <f t="shared" si="0"/>
        <v>-1175</v>
      </c>
      <c r="P7" s="94">
        <v>4</v>
      </c>
      <c r="Q7" s="78">
        <v>-4700</v>
      </c>
    </row>
    <row r="8" spans="1:17" x14ac:dyDescent="0.4">
      <c r="A8" s="37" t="s">
        <v>3</v>
      </c>
      <c r="B8" s="34">
        <v>2</v>
      </c>
      <c r="C8" s="31">
        <f t="shared" si="1"/>
        <v>0.4</v>
      </c>
      <c r="E8" s="44" t="s">
        <v>72</v>
      </c>
      <c r="F8" s="41" t="s">
        <v>27</v>
      </c>
      <c r="G8" s="34">
        <v>2</v>
      </c>
      <c r="H8" s="107">
        <f>IF(B$51=0,0,G8/B$51)</f>
        <v>0.25</v>
      </c>
      <c r="I8" s="68">
        <v>17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0.4</v>
      </c>
      <c r="E9" s="44" t="s">
        <v>89</v>
      </c>
      <c r="F9" s="41" t="s">
        <v>44</v>
      </c>
      <c r="G9" s="34">
        <v>2</v>
      </c>
      <c r="H9" s="107">
        <f>IF(B$51=0,0,G9/B$51)</f>
        <v>0.25</v>
      </c>
      <c r="I9" s="68">
        <v>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49">
        <f>IF(B7=0,0,C10/B7)</f>
        <v>27</v>
      </c>
      <c r="C10" s="150">
        <v>27</v>
      </c>
      <c r="E10" s="44" t="s">
        <v>65</v>
      </c>
      <c r="F10" s="41" t="s">
        <v>21</v>
      </c>
      <c r="G10" s="34">
        <v>1</v>
      </c>
      <c r="H10" s="107">
        <f>IF(B$51=0,0,G10/B$51)</f>
        <v>0.125</v>
      </c>
      <c r="I10" s="68">
        <v>6</v>
      </c>
      <c r="N10" s="88" t="s">
        <v>149</v>
      </c>
      <c r="O10" s="98">
        <f>IF(P10=0,0,Q10/P10)</f>
        <v>-41.4</v>
      </c>
      <c r="P10" s="92">
        <v>1</v>
      </c>
      <c r="Q10" s="80">
        <v>-41.4</v>
      </c>
    </row>
    <row r="11" spans="1:17" x14ac:dyDescent="0.4">
      <c r="A11" s="38" t="s">
        <v>204</v>
      </c>
      <c r="B11" s="149">
        <f>IF(B8=0,0,C11/B8)</f>
        <v>-4.5999999999999996</v>
      </c>
      <c r="C11" s="150">
        <v>-9.1999999999999993</v>
      </c>
      <c r="E11" s="44" t="s">
        <v>67</v>
      </c>
      <c r="F11" s="41" t="s">
        <v>23</v>
      </c>
      <c r="G11" s="34">
        <v>1</v>
      </c>
      <c r="H11" s="107">
        <f>IF(B$51=0,0,G11/B$51)</f>
        <v>0.125</v>
      </c>
      <c r="I11" s="68">
        <v>18</v>
      </c>
      <c r="N11" s="89" t="s">
        <v>150</v>
      </c>
      <c r="O11" s="99">
        <f>IF(P11=0,0,Q11/P11)</f>
        <v>-22.133333333333336</v>
      </c>
      <c r="P11" s="93">
        <v>3</v>
      </c>
      <c r="Q11" s="81">
        <v>-66.400000000000006</v>
      </c>
    </row>
    <row r="12" spans="1:17" x14ac:dyDescent="0.4">
      <c r="A12" s="38" t="s">
        <v>205</v>
      </c>
      <c r="B12" s="149">
        <f>IF(B9=0,0,C12/B9)</f>
        <v>-49.3</v>
      </c>
      <c r="C12" s="150">
        <v>-98.6</v>
      </c>
      <c r="E12" s="44" t="s">
        <v>87</v>
      </c>
      <c r="F12" s="41" t="s">
        <v>42</v>
      </c>
      <c r="G12" s="34">
        <v>1</v>
      </c>
      <c r="H12" s="107">
        <f>IF(B$51=0,0,G12/B$51)</f>
        <v>0.125</v>
      </c>
      <c r="I12" s="68">
        <v>1</v>
      </c>
      <c r="N12" s="90" t="s">
        <v>151</v>
      </c>
      <c r="O12" s="100">
        <f>IF(P12=0,0,Q12/P12)</f>
        <v>27</v>
      </c>
      <c r="P12" s="94">
        <v>1</v>
      </c>
      <c r="Q12" s="82">
        <v>27</v>
      </c>
    </row>
    <row r="13" spans="1:17" x14ac:dyDescent="0.4">
      <c r="A13" s="38" t="s">
        <v>206</v>
      </c>
      <c r="B13" s="133">
        <f>AVERAGE(B10:B12)</f>
        <v>-8.9666666666666668</v>
      </c>
      <c r="C13" s="134"/>
      <c r="E13" s="44" t="s">
        <v>70</v>
      </c>
      <c r="F13" s="41" t="s">
        <v>25</v>
      </c>
      <c r="G13" s="34">
        <v>0</v>
      </c>
      <c r="H13" s="107">
        <f>IF(B$51=0,0,G13/B$51)</f>
        <v>0</v>
      </c>
      <c r="I13" s="68">
        <v>16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</v>
      </c>
      <c r="C14" s="32">
        <f t="shared" si="1"/>
        <v>0.2</v>
      </c>
      <c r="E14" s="44" t="s">
        <v>71</v>
      </c>
      <c r="F14" s="41" t="s">
        <v>26</v>
      </c>
      <c r="G14" s="34">
        <v>0</v>
      </c>
      <c r="H14" s="107">
        <f>IF(B$51=0,0,G14/B$51)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15</v>
      </c>
      <c r="C15" s="11">
        <f>IF(B$50=0,0,B15/B$50)</f>
        <v>0.375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197</v>
      </c>
      <c r="O15" s="98">
        <f>IF(P15=0,0,Q15/P15)</f>
        <v>-2.1000000000000032</v>
      </c>
      <c r="P15" s="92">
        <v>3</v>
      </c>
      <c r="Q15" s="80">
        <v>-6.3000000000000096</v>
      </c>
    </row>
    <row r="16" spans="1:17" x14ac:dyDescent="0.4">
      <c r="A16" s="37" t="s">
        <v>118</v>
      </c>
      <c r="B16" s="34">
        <v>6</v>
      </c>
      <c r="C16" s="31">
        <f>IF(B$50=0,0,B16/B$50)</f>
        <v>0.15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187</v>
      </c>
      <c r="O16" s="99">
        <f>IF(P16=0,0,Q16/P16)</f>
        <v>-4.7999999999999989</v>
      </c>
      <c r="P16" s="93">
        <v>2</v>
      </c>
      <c r="Q16" s="81">
        <v>-9.5999999999999979</v>
      </c>
    </row>
    <row r="17" spans="1:17" x14ac:dyDescent="0.4">
      <c r="A17" s="19" t="s">
        <v>123</v>
      </c>
      <c r="B17" s="13">
        <v>6</v>
      </c>
      <c r="C17" s="4">
        <f>IF(B$15=0,0,B17/B$15)</f>
        <v>0.4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202</v>
      </c>
      <c r="O17" s="99">
        <f>IF(P17=0,0,Q17/P17)</f>
        <v>-45.300000000000004</v>
      </c>
      <c r="P17" s="93">
        <v>5</v>
      </c>
      <c r="Q17" s="81">
        <v>-226.50000000000003</v>
      </c>
    </row>
    <row r="18" spans="1:17" x14ac:dyDescent="0.4">
      <c r="A18" s="19" t="s">
        <v>124</v>
      </c>
      <c r="B18" s="13">
        <v>2</v>
      </c>
      <c r="C18" s="4">
        <f>IF(B$16=0,0,B18/B$16)</f>
        <v>0.33333333333333331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1</v>
      </c>
    </row>
    <row r="19" spans="1:17" x14ac:dyDescent="0.4">
      <c r="A19" s="19" t="s">
        <v>10</v>
      </c>
      <c r="B19" s="13">
        <v>8</v>
      </c>
      <c r="C19" s="4">
        <f>IF(B$3=0,0,B19/B$3)</f>
        <v>0.2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9</v>
      </c>
    </row>
    <row r="20" spans="1:17" x14ac:dyDescent="0.4">
      <c r="A20" s="37" t="s">
        <v>13</v>
      </c>
      <c r="B20" s="34">
        <v>8</v>
      </c>
      <c r="C20" s="31">
        <f>IF(B$3=0,0,B20/B$3)</f>
        <v>0.2</v>
      </c>
      <c r="E20" s="44" t="s">
        <v>79</v>
      </c>
      <c r="F20" s="41" t="s">
        <v>34</v>
      </c>
      <c r="G20" s="34">
        <v>0</v>
      </c>
      <c r="H20" s="107">
        <f>IF(B$51=0,0,G20/B$51)</f>
        <v>0</v>
      </c>
      <c r="I20" s="68">
        <v>15</v>
      </c>
    </row>
    <row r="21" spans="1:17" x14ac:dyDescent="0.4">
      <c r="A21" s="37" t="s">
        <v>12</v>
      </c>
      <c r="B21" s="34">
        <v>2</v>
      </c>
      <c r="C21" s="31">
        <f>IF(B$19=0,0,B21/B$19)</f>
        <v>0.25</v>
      </c>
      <c r="E21" s="44" t="s">
        <v>80</v>
      </c>
      <c r="F21" s="41" t="s">
        <v>35</v>
      </c>
      <c r="G21" s="34">
        <v>0</v>
      </c>
      <c r="H21" s="107">
        <f>IF(B$51=0,0,G21/B$51)</f>
        <v>0</v>
      </c>
      <c r="I21" s="68">
        <v>3</v>
      </c>
    </row>
    <row r="22" spans="1:17" x14ac:dyDescent="0.4">
      <c r="A22" s="37" t="s">
        <v>11</v>
      </c>
      <c r="B22" s="34">
        <v>6</v>
      </c>
      <c r="C22" s="31">
        <f>IF(B$19=0,0,B22/B$19)</f>
        <v>0.75</v>
      </c>
      <c r="E22" s="44" t="s">
        <v>81</v>
      </c>
      <c r="F22" s="41" t="s">
        <v>36</v>
      </c>
      <c r="G22" s="34">
        <v>0</v>
      </c>
      <c r="H22" s="107">
        <f>IF(B$51=0,0,G22/B$51)</f>
        <v>0</v>
      </c>
      <c r="I22" s="68">
        <v>15</v>
      </c>
    </row>
    <row r="23" spans="1:17" x14ac:dyDescent="0.4">
      <c r="A23" s="37" t="s">
        <v>180</v>
      </c>
      <c r="B23" s="34">
        <v>6</v>
      </c>
      <c r="C23" s="31">
        <f>IF(B$19=0,0,B23/B$19)</f>
        <v>0.75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">
      <c r="A24" s="37" t="s">
        <v>178</v>
      </c>
      <c r="B24" s="34">
        <v>2</v>
      </c>
      <c r="C24" s="31">
        <f>IF(B$19=0,0,B24/B$19)</f>
        <v>0.25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">
      <c r="A25" s="37" t="s">
        <v>179</v>
      </c>
      <c r="B25" s="34">
        <v>0</v>
      </c>
      <c r="C25" s="31">
        <f>IF(B$19=0,0,B25/B$19)</f>
        <v>0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">
      <c r="A26" s="37" t="s">
        <v>5</v>
      </c>
      <c r="B26" s="17">
        <f>IF(B$19=0,0,C26/B$19)</f>
        <v>8512.5</v>
      </c>
      <c r="C26" s="8">
        <v>68100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17" x14ac:dyDescent="0.4">
      <c r="A27" s="38" t="s">
        <v>162</v>
      </c>
      <c r="B27" s="114">
        <f>IF($B$19-B$18=0,0,C27/($B$19-B$18))</f>
        <v>9766.6666666666661</v>
      </c>
      <c r="C27" s="115">
        <v>58600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">
      <c r="A28" s="38" t="s">
        <v>163</v>
      </c>
      <c r="B28" s="114">
        <f>IF(B$18=0,0,C28/B$18)</f>
        <v>4750</v>
      </c>
      <c r="C28" s="115">
        <v>9500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17" x14ac:dyDescent="0.4">
      <c r="A29" s="38" t="s">
        <v>161</v>
      </c>
      <c r="B29" s="114">
        <f>IF(B$20=0,0,C29/B$20)</f>
        <v>-7987.5</v>
      </c>
      <c r="C29" s="115">
        <v>-63900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17" x14ac:dyDescent="0.4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17" x14ac:dyDescent="0.4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39">
        <v>4</v>
      </c>
      <c r="C32" s="140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7">
        <v>52000</v>
      </c>
      <c r="C33" s="138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1">
        <v>1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1</v>
      </c>
      <c r="C37" s="31">
        <f t="shared" ref="C37:C48" si="2">IF(B$19=0,0,B37/B$19)</f>
        <v>0.125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4">
        <v>0</v>
      </c>
      <c r="C38" s="31">
        <f>IF(B$19=0,0,B38/B$19)</f>
        <v>0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4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4">
        <v>4</v>
      </c>
      <c r="C40" s="31">
        <f t="shared" si="2"/>
        <v>0.5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4">
        <v>1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4">
        <v>1</v>
      </c>
      <c r="C42" s="31">
        <f t="shared" si="2"/>
        <v>0.125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4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4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4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4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4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0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7">
        <v>40</v>
      </c>
      <c r="C50" s="128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35">
        <v>8</v>
      </c>
      <c r="C51" s="136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1365</vt:i4>
      </vt:variant>
    </vt:vector>
  </HeadingPairs>
  <TitlesOfParts>
    <vt:vector size="1388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あさひ!newアガリ数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ゆう!newアガリ数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かわたつ!newアガリ率</vt:lpstr>
      <vt:lpstr>だいち!newアガリ率</vt:lpstr>
      <vt:lpstr>たか!newアガリ率</vt:lpstr>
      <vt:lpstr>たかの!newアガリ率</vt:lpstr>
      <vt:lpstr>ただ!newアガリ率</vt:lpstr>
      <vt:lpstr>ちさと!newアガリ率</vt:lpstr>
      <vt:lpstr>ともき!newアガリ率</vt:lpstr>
      <vt:lpstr>のり!newアガリ率</vt:lpstr>
      <vt:lpstr>ぱぱ!newアガリ率</vt:lpstr>
      <vt:lpstr>ほたに!newアガリ率</vt:lpstr>
      <vt:lpstr>まっつん!newアガリ率</vt:lpstr>
      <vt:lpstr>やがさき!newアガリ率</vt:lpstr>
      <vt:lpstr>ゆう!newアガリ率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ゆう!new局数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ゆう!ツモ数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ゆう!ツモ率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あさひ!バランス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ゆう!ラス数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ゆう!ラス率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ゆう!ロン数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ゆう!ロン率</vt:lpstr>
      <vt:lpstr>りくと!ロン率</vt:lpstr>
      <vt:lpstr>れんたろう!ロン率</vt:lpstr>
      <vt:lpstr>全体!ロン率</vt:lpstr>
      <vt:lpstr>ロン率</vt:lpstr>
      <vt:lpstr>あさひ!一位スコア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あさひ!一位通算スコア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あさひ!一翻数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ゆう!一翻数</vt:lpstr>
      <vt:lpstr>りくと!一翻数</vt:lpstr>
      <vt:lpstr>れんたろう!一翻数</vt:lpstr>
      <vt:lpstr>全体!一翻数</vt:lpstr>
      <vt:lpstr>一翻数</vt:lpstr>
      <vt:lpstr>あさひ!一翻率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ゆう!一翻率</vt:lpstr>
      <vt:lpstr>りくと!一翻率</vt:lpstr>
      <vt:lpstr>れんたろう!一翻率</vt:lpstr>
      <vt:lpstr>全体!一翻率</vt:lpstr>
      <vt:lpstr>一翻率</vt:lpstr>
      <vt:lpstr>あさひ!現行連続アガリ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ゆう!最高点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あさひ!三位スコア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あさひ!三位通算スコア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ゆう!総局数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ゆう!対戦数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あさひ!二位数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ゆう!二位数</vt:lpstr>
      <vt:lpstr>りくと!二位数</vt:lpstr>
      <vt:lpstr>れんたろう!二位数</vt:lpstr>
      <vt:lpstr>全体!二位数</vt:lpstr>
      <vt:lpstr>二位数</vt:lpstr>
      <vt:lpstr>あさひ!二位通算スコア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あさひ!二位率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ゆう!二位率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ゆう!副露数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ゆう!副露率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ゆう!放銃数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ゆう!放銃率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ゆう!名前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2020-02-08T00:37:45Z</dcterms:modified>
</cp:coreProperties>
</file>