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D710E8D8-565A-40D5-896A-AF31754DEA03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907" r:id="rId4"/>
    <sheet name="だいち" sheetId="3908" r:id="rId5"/>
    <sheet name="かこたろう" sheetId="3909" r:id="rId6"/>
    <sheet name="ともき" sheetId="3910" r:id="rId7"/>
    <sheet name="りくと" sheetId="3911" r:id="rId8"/>
    <sheet name="いっしー" sheetId="3912" r:id="rId9"/>
    <sheet name="がくと" sheetId="3913" r:id="rId10"/>
    <sheet name="たかの" sheetId="3914" r:id="rId11"/>
    <sheet name="ただ" sheetId="3915" r:id="rId12"/>
    <sheet name="やがさき" sheetId="3916" r:id="rId13"/>
    <sheet name="れんたろう" sheetId="3917" r:id="rId14"/>
    <sheet name="あさひ" sheetId="3918" r:id="rId15"/>
    <sheet name="まっつん" sheetId="3919" r:id="rId16"/>
    <sheet name="ぱぱ" sheetId="3920" r:id="rId17"/>
    <sheet name="ほたに" sheetId="3921" r:id="rId18"/>
    <sheet name="かわたつ" sheetId="3922" r:id="rId19"/>
    <sheet name="のり" sheetId="3923" r:id="rId20"/>
    <sheet name="ちさと" sheetId="3924" r:id="rId21"/>
    <sheet name="たか" sheetId="3925" r:id="rId22"/>
    <sheet name="ゆう" sheetId="3926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926" l="1"/>
  <c r="O16" i="3926"/>
  <c r="O15" i="3926"/>
  <c r="H52" i="3926"/>
  <c r="H4" i="3926"/>
  <c r="H51" i="3926"/>
  <c r="H50" i="3926"/>
  <c r="H49" i="3926"/>
  <c r="C48" i="3926"/>
  <c r="H48" i="3926"/>
  <c r="C47" i="3926"/>
  <c r="H47" i="3926"/>
  <c r="C46" i="3926"/>
  <c r="H46" i="3926"/>
  <c r="C45" i="3926"/>
  <c r="H45" i="3926"/>
  <c r="C44" i="3926"/>
  <c r="H44" i="3926"/>
  <c r="C43" i="3926"/>
  <c r="H43" i="3926"/>
  <c r="C42" i="3926"/>
  <c r="H42" i="3926"/>
  <c r="C41" i="3926"/>
  <c r="H41" i="3926"/>
  <c r="C40" i="3926"/>
  <c r="H40" i="3926"/>
  <c r="C39" i="3926"/>
  <c r="H39" i="3926"/>
  <c r="C38" i="3926"/>
  <c r="H38" i="3926"/>
  <c r="C37" i="3926"/>
  <c r="H37" i="3926"/>
  <c r="C36" i="3926"/>
  <c r="H36" i="3926"/>
  <c r="H35" i="3926"/>
  <c r="C34" i="3926"/>
  <c r="H34" i="3926"/>
  <c r="H33" i="3926"/>
  <c r="H32" i="3926"/>
  <c r="H31" i="3926"/>
  <c r="H30" i="3926"/>
  <c r="B29" i="3926"/>
  <c r="H29" i="3926"/>
  <c r="B28" i="3926"/>
  <c r="H9" i="3926"/>
  <c r="B27" i="3926"/>
  <c r="H28" i="3926"/>
  <c r="B26" i="3926"/>
  <c r="H12" i="3926"/>
  <c r="C25" i="3926"/>
  <c r="H27" i="3926"/>
  <c r="C24" i="3926"/>
  <c r="H26" i="3926"/>
  <c r="C23" i="3926"/>
  <c r="H25" i="3926"/>
  <c r="C22" i="3926"/>
  <c r="H24" i="3926"/>
  <c r="C21" i="3926"/>
  <c r="H23" i="3926"/>
  <c r="C20" i="3926"/>
  <c r="H22" i="3926"/>
  <c r="C19" i="3926"/>
  <c r="H21" i="3926"/>
  <c r="C18" i="3926"/>
  <c r="H20" i="3926"/>
  <c r="C17" i="3926"/>
  <c r="H5" i="3926"/>
  <c r="C16" i="3926"/>
  <c r="H19" i="3926"/>
  <c r="C15" i="3926"/>
  <c r="H18" i="3926"/>
  <c r="C14" i="3926"/>
  <c r="H17" i="3926"/>
  <c r="B13" i="3926"/>
  <c r="O12" i="3926"/>
  <c r="H16" i="3926"/>
  <c r="B12" i="3926"/>
  <c r="O11" i="3926"/>
  <c r="H15" i="3926"/>
  <c r="B11" i="3926"/>
  <c r="O10" i="3926"/>
  <c r="H8" i="3926"/>
  <c r="B10" i="3926"/>
  <c r="H14" i="3926"/>
  <c r="C9" i="3926"/>
  <c r="H13" i="3926"/>
  <c r="C8" i="3926"/>
  <c r="O7" i="3926"/>
  <c r="H7" i="3926"/>
  <c r="C7" i="3926"/>
  <c r="O6" i="3926"/>
  <c r="H6" i="3926"/>
  <c r="B6" i="3926"/>
  <c r="O5" i="3926"/>
  <c r="H11" i="3926"/>
  <c r="B5" i="3926"/>
  <c r="O4" i="3926"/>
  <c r="H3" i="3926"/>
  <c r="O3" i="3926"/>
  <c r="H10" i="3926"/>
  <c r="O2" i="3926"/>
  <c r="H2" i="3926"/>
  <c r="O20" i="3925"/>
  <c r="O19" i="3925"/>
  <c r="O18" i="3925"/>
  <c r="O17" i="3925"/>
  <c r="O16" i="3925"/>
  <c r="O15" i="3925"/>
  <c r="H52" i="3925"/>
  <c r="H5" i="3925"/>
  <c r="H51" i="3925"/>
  <c r="H50" i="3925"/>
  <c r="H49" i="3925"/>
  <c r="C48" i="3925"/>
  <c r="H48" i="3925"/>
  <c r="C47" i="3925"/>
  <c r="H47" i="3925"/>
  <c r="C46" i="3925"/>
  <c r="H46" i="3925"/>
  <c r="C45" i="3925"/>
  <c r="H45" i="3925"/>
  <c r="C44" i="3925"/>
  <c r="H44" i="3925"/>
  <c r="C43" i="3925"/>
  <c r="H43" i="3925"/>
  <c r="C42" i="3925"/>
  <c r="H42" i="3925"/>
  <c r="C41" i="3925"/>
  <c r="H41" i="3925"/>
  <c r="C40" i="3925"/>
  <c r="H40" i="3925"/>
  <c r="C39" i="3925"/>
  <c r="H39" i="3925"/>
  <c r="C38" i="3925"/>
  <c r="H38" i="3925"/>
  <c r="C37" i="3925"/>
  <c r="H37" i="3925"/>
  <c r="C36" i="3925"/>
  <c r="H36" i="3925"/>
  <c r="H35" i="3925"/>
  <c r="C34" i="3925"/>
  <c r="H34" i="3925"/>
  <c r="H33" i="3925"/>
  <c r="H32" i="3925"/>
  <c r="H31" i="3925"/>
  <c r="H14" i="3925"/>
  <c r="B29" i="3925"/>
  <c r="H30" i="3925"/>
  <c r="B28" i="3925"/>
  <c r="H13" i="3925"/>
  <c r="B27" i="3925"/>
  <c r="H29" i="3925"/>
  <c r="B26" i="3925"/>
  <c r="H28" i="3925"/>
  <c r="C25" i="3925"/>
  <c r="H27" i="3925"/>
  <c r="C24" i="3925"/>
  <c r="H26" i="3925"/>
  <c r="C23" i="3925"/>
  <c r="H25" i="3925"/>
  <c r="C22" i="3925"/>
  <c r="H24" i="3925"/>
  <c r="C21" i="3925"/>
  <c r="H23" i="3925"/>
  <c r="C20" i="3925"/>
  <c r="H12" i="3925"/>
  <c r="C19" i="3925"/>
  <c r="H22" i="3925"/>
  <c r="C18" i="3925"/>
  <c r="H21" i="3925"/>
  <c r="C17" i="3925"/>
  <c r="H20" i="3925"/>
  <c r="C16" i="3925"/>
  <c r="H19" i="3925"/>
  <c r="C15" i="3925"/>
  <c r="H18" i="3925"/>
  <c r="C14" i="3925"/>
  <c r="H17" i="3925"/>
  <c r="O12" i="3925"/>
  <c r="H16" i="3925"/>
  <c r="B12" i="3925"/>
  <c r="O11" i="3925"/>
  <c r="H15" i="3925"/>
  <c r="B11" i="3925"/>
  <c r="O10" i="3925"/>
  <c r="H8" i="3925"/>
  <c r="B10" i="3925"/>
  <c r="B13" i="3925" s="1"/>
  <c r="H11" i="3925"/>
  <c r="C9" i="3925"/>
  <c r="H10" i="3925"/>
  <c r="C8" i="3925"/>
  <c r="O7" i="3925"/>
  <c r="H7" i="3925"/>
  <c r="C7" i="3925"/>
  <c r="O6" i="3925"/>
  <c r="H6" i="3925"/>
  <c r="B6" i="3925"/>
  <c r="O5" i="3925"/>
  <c r="H4" i="3925"/>
  <c r="B5" i="3925"/>
  <c r="O4" i="3925"/>
  <c r="H2" i="3925"/>
  <c r="O3" i="3925"/>
  <c r="H9" i="3925"/>
  <c r="O2" i="3925"/>
  <c r="H3" i="3925"/>
  <c r="O21" i="3910"/>
  <c r="O22" i="3910"/>
  <c r="O18" i="3910"/>
  <c r="O16" i="3910"/>
  <c r="O17" i="3910"/>
  <c r="O19" i="3912"/>
  <c r="O17" i="3920"/>
  <c r="O23" i="3923"/>
  <c r="O20" i="3923"/>
  <c r="O19" i="3923"/>
  <c r="O18" i="3923"/>
  <c r="O17" i="3923"/>
  <c r="O16" i="3923"/>
  <c r="O15" i="3923"/>
  <c r="O26" i="3919"/>
  <c r="O21" i="3919"/>
  <c r="O17" i="3917"/>
  <c r="O15" i="3911"/>
  <c r="O25" i="3915"/>
  <c r="O19" i="3908"/>
  <c r="O26" i="3914"/>
  <c r="O21" i="3914"/>
  <c r="O16" i="3914"/>
  <c r="O17" i="3907"/>
  <c r="O16" i="3924" l="1"/>
  <c r="O15" i="3924"/>
  <c r="H52" i="3924"/>
  <c r="H5" i="3924"/>
  <c r="H51" i="3924"/>
  <c r="H50" i="3924"/>
  <c r="H49" i="3924"/>
  <c r="C48" i="3924"/>
  <c r="H48" i="3924"/>
  <c r="C47" i="3924"/>
  <c r="H47" i="3924"/>
  <c r="C46" i="3924"/>
  <c r="H46" i="3924"/>
  <c r="C45" i="3924"/>
  <c r="H45" i="3924"/>
  <c r="C44" i="3924"/>
  <c r="H44" i="3924"/>
  <c r="C43" i="3924"/>
  <c r="H43" i="3924"/>
  <c r="C42" i="3924"/>
  <c r="H42" i="3924"/>
  <c r="C41" i="3924"/>
  <c r="H41" i="3924"/>
  <c r="C40" i="3924"/>
  <c r="H40" i="3924"/>
  <c r="C39" i="3924"/>
  <c r="H39" i="3924"/>
  <c r="C38" i="3924"/>
  <c r="H38" i="3924"/>
  <c r="C37" i="3924"/>
  <c r="H37" i="3924"/>
  <c r="C36" i="3924"/>
  <c r="H36" i="3924"/>
  <c r="H35" i="3924"/>
  <c r="C34" i="3924"/>
  <c r="H34" i="3924"/>
  <c r="H33" i="3924"/>
  <c r="H32" i="3924"/>
  <c r="H31" i="3924"/>
  <c r="H30" i="3924"/>
  <c r="B29" i="3924"/>
  <c r="H29" i="3924"/>
  <c r="B28" i="3924"/>
  <c r="H13" i="3924"/>
  <c r="B27" i="3924"/>
  <c r="H28" i="3924"/>
  <c r="B26" i="3924"/>
  <c r="H27" i="3924"/>
  <c r="C25" i="3924"/>
  <c r="H12" i="3924"/>
  <c r="C24" i="3924"/>
  <c r="H26" i="3924"/>
  <c r="C23" i="3924"/>
  <c r="H25" i="3924"/>
  <c r="C22" i="3924"/>
  <c r="H11" i="3924"/>
  <c r="C21" i="3924"/>
  <c r="H24" i="3924"/>
  <c r="C20" i="3924"/>
  <c r="H10" i="3924"/>
  <c r="C19" i="3924"/>
  <c r="H23" i="3924"/>
  <c r="C18" i="3924"/>
  <c r="H22" i="3924"/>
  <c r="C17" i="3924"/>
  <c r="H21" i="3924"/>
  <c r="C16" i="3924"/>
  <c r="H20" i="3924"/>
  <c r="C15" i="3924"/>
  <c r="H19" i="3924"/>
  <c r="C14" i="3924"/>
  <c r="H18" i="3924"/>
  <c r="O12" i="3924"/>
  <c r="H17" i="3924"/>
  <c r="B12" i="3924"/>
  <c r="O11" i="3924"/>
  <c r="H16" i="3924"/>
  <c r="B11" i="3924"/>
  <c r="O10" i="3924"/>
  <c r="H2" i="3924"/>
  <c r="B10" i="3924"/>
  <c r="B13" i="3924" s="1"/>
  <c r="H15" i="3924"/>
  <c r="C9" i="3924"/>
  <c r="H14" i="3924"/>
  <c r="C8" i="3924"/>
  <c r="O7" i="3924"/>
  <c r="H9" i="3924"/>
  <c r="C7" i="3924"/>
  <c r="O6" i="3924"/>
  <c r="H8" i="3924"/>
  <c r="B6" i="3924"/>
  <c r="O5" i="3924"/>
  <c r="H7" i="3924"/>
  <c r="B5" i="3924"/>
  <c r="O4" i="3924"/>
  <c r="H4" i="3924"/>
  <c r="O3" i="3924"/>
  <c r="H6" i="3924"/>
  <c r="O2" i="3924"/>
  <c r="H3" i="3924"/>
  <c r="O25" i="3923"/>
  <c r="O22" i="3923"/>
  <c r="O21" i="3923"/>
  <c r="O24" i="3923"/>
  <c r="H52" i="3923"/>
  <c r="H5" i="3923"/>
  <c r="H23" i="3923"/>
  <c r="H51" i="3923"/>
  <c r="H50" i="3923"/>
  <c r="C48" i="3923"/>
  <c r="H49" i="3923"/>
  <c r="C47" i="3923"/>
  <c r="H48" i="3923"/>
  <c r="C46" i="3923"/>
  <c r="H47" i="3923"/>
  <c r="C45" i="3923"/>
  <c r="H46" i="3923"/>
  <c r="C44" i="3923"/>
  <c r="H45" i="3923"/>
  <c r="C43" i="3923"/>
  <c r="H44" i="3923"/>
  <c r="C42" i="3923"/>
  <c r="H43" i="3923"/>
  <c r="C41" i="3923"/>
  <c r="H42" i="3923"/>
  <c r="C40" i="3923"/>
  <c r="H41" i="3923"/>
  <c r="C39" i="3923"/>
  <c r="H40" i="3923"/>
  <c r="C38" i="3923"/>
  <c r="H39" i="3923"/>
  <c r="C37" i="3923"/>
  <c r="H38" i="3923"/>
  <c r="C36" i="3923"/>
  <c r="H37" i="3923"/>
  <c r="H36" i="3923"/>
  <c r="C34" i="3923"/>
  <c r="H22" i="3923"/>
  <c r="H35" i="3923"/>
  <c r="H34" i="3923"/>
  <c r="H21" i="3923"/>
  <c r="H16" i="3923"/>
  <c r="B29" i="3923"/>
  <c r="H33" i="3923"/>
  <c r="B28" i="3923"/>
  <c r="H8" i="3923"/>
  <c r="B27" i="3923"/>
  <c r="H32" i="3923"/>
  <c r="B26" i="3923"/>
  <c r="H31" i="3923"/>
  <c r="C25" i="3923"/>
  <c r="H13" i="3923"/>
  <c r="C24" i="3923"/>
  <c r="H30" i="3923"/>
  <c r="C23" i="3923"/>
  <c r="H29" i="3923"/>
  <c r="C22" i="3923"/>
  <c r="H15" i="3923"/>
  <c r="C21" i="3923"/>
  <c r="H28" i="3923"/>
  <c r="C20" i="3923"/>
  <c r="H14" i="3923"/>
  <c r="C19" i="3923"/>
  <c r="H27" i="3923"/>
  <c r="C18" i="3923"/>
  <c r="H20" i="3923"/>
  <c r="C17" i="3923"/>
  <c r="H17" i="3923"/>
  <c r="C16" i="3923"/>
  <c r="H26" i="3923"/>
  <c r="C15" i="3923"/>
  <c r="H25" i="3923"/>
  <c r="C14" i="3923"/>
  <c r="H24" i="3923"/>
  <c r="O12" i="3923"/>
  <c r="H19" i="3923"/>
  <c r="B12" i="3923"/>
  <c r="O11" i="3923"/>
  <c r="H18" i="3923"/>
  <c r="B11" i="3923"/>
  <c r="O10" i="3923"/>
  <c r="H3" i="3923"/>
  <c r="B10" i="3923"/>
  <c r="H12" i="3923"/>
  <c r="C9" i="3923"/>
  <c r="H10" i="3923"/>
  <c r="C8" i="3923"/>
  <c r="O7" i="3923"/>
  <c r="H11" i="3923"/>
  <c r="C7" i="3923"/>
  <c r="O6" i="3923"/>
  <c r="H6" i="3923"/>
  <c r="B6" i="3923"/>
  <c r="O5" i="3923"/>
  <c r="H7" i="3923"/>
  <c r="B5" i="3923"/>
  <c r="O4" i="3923"/>
  <c r="H2" i="3923"/>
  <c r="O3" i="3923"/>
  <c r="H9" i="3923"/>
  <c r="O2" i="3923"/>
  <c r="H4" i="3923"/>
  <c r="O16" i="3922"/>
  <c r="O15" i="3922"/>
  <c r="H52" i="3922"/>
  <c r="H7" i="3922"/>
  <c r="H51" i="3922"/>
  <c r="H50" i="3922"/>
  <c r="H49" i="3922"/>
  <c r="C48" i="3922"/>
  <c r="H48" i="3922"/>
  <c r="C47" i="3922"/>
  <c r="H47" i="3922"/>
  <c r="C46" i="3922"/>
  <c r="H46" i="3922"/>
  <c r="C45" i="3922"/>
  <c r="H45" i="3922"/>
  <c r="C44" i="3922"/>
  <c r="H44" i="3922"/>
  <c r="C43" i="3922"/>
  <c r="H43" i="3922"/>
  <c r="C42" i="3922"/>
  <c r="H42" i="3922"/>
  <c r="C41" i="3922"/>
  <c r="H41" i="3922"/>
  <c r="C40" i="3922"/>
  <c r="H40" i="3922"/>
  <c r="C39" i="3922"/>
  <c r="H39" i="3922"/>
  <c r="C38" i="3922"/>
  <c r="H38" i="3922"/>
  <c r="C37" i="3922"/>
  <c r="H37" i="3922"/>
  <c r="C36" i="3922"/>
  <c r="H36" i="3922"/>
  <c r="H35" i="3922"/>
  <c r="C34" i="3922"/>
  <c r="H34" i="3922"/>
  <c r="H33" i="3922"/>
  <c r="H32" i="3922"/>
  <c r="H31" i="3922"/>
  <c r="H30" i="3922"/>
  <c r="B29" i="3922"/>
  <c r="H29" i="3922"/>
  <c r="B28" i="3922"/>
  <c r="H28" i="3922"/>
  <c r="B27" i="3922"/>
  <c r="H27" i="3922"/>
  <c r="B26" i="3922"/>
  <c r="H26" i="3922"/>
  <c r="C25" i="3922"/>
  <c r="H25" i="3922"/>
  <c r="C24" i="3922"/>
  <c r="H24" i="3922"/>
  <c r="C23" i="3922"/>
  <c r="H23" i="3922"/>
  <c r="C22" i="3922"/>
  <c r="H22" i="3922"/>
  <c r="C21" i="3922"/>
  <c r="H21" i="3922"/>
  <c r="C20" i="3922"/>
  <c r="H6" i="3922"/>
  <c r="C19" i="3922"/>
  <c r="H20" i="3922"/>
  <c r="C18" i="3922"/>
  <c r="H19" i="3922"/>
  <c r="C17" i="3922"/>
  <c r="H18" i="3922"/>
  <c r="C16" i="3922"/>
  <c r="H17" i="3922"/>
  <c r="C15" i="3922"/>
  <c r="H16" i="3922"/>
  <c r="C14" i="3922"/>
  <c r="H15" i="3922"/>
  <c r="O12" i="3922"/>
  <c r="H14" i="3922"/>
  <c r="B12" i="3922"/>
  <c r="O11" i="3922"/>
  <c r="H13" i="3922"/>
  <c r="B11" i="3922"/>
  <c r="O10" i="3922"/>
  <c r="H12" i="3922"/>
  <c r="B10" i="3922"/>
  <c r="B13" i="3922" s="1"/>
  <c r="H11" i="3922"/>
  <c r="C9" i="3922"/>
  <c r="H10" i="3922"/>
  <c r="C8" i="3922"/>
  <c r="O7" i="3922"/>
  <c r="H9" i="3922"/>
  <c r="C7" i="3922"/>
  <c r="O6" i="3922"/>
  <c r="H5" i="3922"/>
  <c r="B6" i="3922"/>
  <c r="O5" i="3922"/>
  <c r="H4" i="3922"/>
  <c r="B5" i="3922"/>
  <c r="O4" i="3922"/>
  <c r="H2" i="3922"/>
  <c r="O3" i="3922"/>
  <c r="H8" i="3922"/>
  <c r="O2" i="3922"/>
  <c r="H3" i="3922"/>
  <c r="O22" i="3921"/>
  <c r="O21" i="3921"/>
  <c r="O17" i="3921"/>
  <c r="O20" i="3921"/>
  <c r="O19" i="3921"/>
  <c r="O18" i="3921"/>
  <c r="O16" i="3921"/>
  <c r="O15" i="3921"/>
  <c r="H52" i="3921"/>
  <c r="H7" i="3921"/>
  <c r="H51" i="3921"/>
  <c r="H50" i="3921"/>
  <c r="H49" i="3921"/>
  <c r="C48" i="3921"/>
  <c r="H48" i="3921"/>
  <c r="C47" i="3921"/>
  <c r="H47" i="3921"/>
  <c r="C46" i="3921"/>
  <c r="H46" i="3921"/>
  <c r="C45" i="3921"/>
  <c r="H45" i="3921"/>
  <c r="C44" i="3921"/>
  <c r="H44" i="3921"/>
  <c r="C43" i="3921"/>
  <c r="H43" i="3921"/>
  <c r="C42" i="3921"/>
  <c r="H42" i="3921"/>
  <c r="C41" i="3921"/>
  <c r="H41" i="3921"/>
  <c r="C40" i="3921"/>
  <c r="H40" i="3921"/>
  <c r="C39" i="3921"/>
  <c r="H39" i="3921"/>
  <c r="C38" i="3921"/>
  <c r="H38" i="3921"/>
  <c r="C37" i="3921"/>
  <c r="H37" i="3921"/>
  <c r="C36" i="3921"/>
  <c r="H36" i="3921"/>
  <c r="H35" i="3921"/>
  <c r="C34" i="3921"/>
  <c r="H34" i="3921"/>
  <c r="H33" i="3921"/>
  <c r="H32" i="3921"/>
  <c r="H31" i="3921"/>
  <c r="H30" i="3921"/>
  <c r="B29" i="3921"/>
  <c r="H29" i="3921"/>
  <c r="B28" i="3921"/>
  <c r="H8" i="3921"/>
  <c r="B27" i="3921"/>
  <c r="H28" i="3921"/>
  <c r="B26" i="3921"/>
  <c r="H27" i="3921"/>
  <c r="C25" i="3921"/>
  <c r="H11" i="3921"/>
  <c r="C24" i="3921"/>
  <c r="H26" i="3921"/>
  <c r="C23" i="3921"/>
  <c r="H25" i="3921"/>
  <c r="C22" i="3921"/>
  <c r="H14" i="3921"/>
  <c r="C21" i="3921"/>
  <c r="H24" i="3921"/>
  <c r="C20" i="3921"/>
  <c r="H18" i="3921"/>
  <c r="C19" i="3921"/>
  <c r="H23" i="3921"/>
  <c r="C18" i="3921"/>
  <c r="H17" i="3921"/>
  <c r="C17" i="3921"/>
  <c r="H13" i="3921"/>
  <c r="C16" i="3921"/>
  <c r="H15" i="3921"/>
  <c r="C15" i="3921"/>
  <c r="H22" i="3921"/>
  <c r="C14" i="3921"/>
  <c r="H21" i="3921"/>
  <c r="O12" i="3921"/>
  <c r="H20" i="3921"/>
  <c r="B12" i="3921"/>
  <c r="O11" i="3921"/>
  <c r="H19" i="3921"/>
  <c r="B11" i="3921"/>
  <c r="O10" i="3921"/>
  <c r="H2" i="3921"/>
  <c r="B10" i="3921"/>
  <c r="H16" i="3921"/>
  <c r="C9" i="3921"/>
  <c r="H12" i="3921"/>
  <c r="C8" i="3921"/>
  <c r="O7" i="3921"/>
  <c r="H9" i="3921"/>
  <c r="C7" i="3921"/>
  <c r="O6" i="3921"/>
  <c r="H6" i="3921"/>
  <c r="B6" i="3921"/>
  <c r="O5" i="3921"/>
  <c r="H5" i="3921"/>
  <c r="B5" i="3921"/>
  <c r="O4" i="3921"/>
  <c r="H3" i="3921"/>
  <c r="O3" i="3921"/>
  <c r="H10" i="3921"/>
  <c r="O2" i="3921"/>
  <c r="H4" i="3921"/>
  <c r="O22" i="3918"/>
  <c r="O16" i="3918"/>
  <c r="O15" i="3918"/>
  <c r="O28" i="3919"/>
  <c r="O17" i="3919"/>
  <c r="O15" i="3919"/>
  <c r="O16" i="3919"/>
  <c r="O24" i="3920"/>
  <c r="O25" i="3920"/>
  <c r="O18" i="3920"/>
  <c r="O15" i="3920"/>
  <c r="O23" i="3914"/>
  <c r="O17" i="3914"/>
  <c r="O28" i="3917"/>
  <c r="O21" i="3917"/>
  <c r="O20" i="3915"/>
  <c r="O15" i="3915"/>
  <c r="O16" i="3915"/>
  <c r="O25" i="3911"/>
  <c r="O29" i="3908"/>
  <c r="O20" i="3908"/>
  <c r="O17" i="3908"/>
  <c r="O32" i="3907"/>
  <c r="O26" i="3907"/>
  <c r="O18" i="3907"/>
  <c r="O19" i="3907"/>
  <c r="B13" i="3923" l="1"/>
  <c r="B13" i="3921"/>
  <c r="O20" i="3920" l="1"/>
  <c r="O19" i="3920"/>
  <c r="O22" i="3920"/>
  <c r="O23" i="3920"/>
  <c r="O26" i="3920"/>
  <c r="O16" i="3920"/>
  <c r="O21" i="3920"/>
  <c r="H52" i="3920"/>
  <c r="H6" i="3920"/>
  <c r="H17" i="3920"/>
  <c r="H51" i="3920"/>
  <c r="H50" i="3920"/>
  <c r="C48" i="3920"/>
  <c r="H49" i="3920"/>
  <c r="C47" i="3920"/>
  <c r="H48" i="3920"/>
  <c r="C46" i="3920"/>
  <c r="H47" i="3920"/>
  <c r="C45" i="3920"/>
  <c r="H24" i="3920"/>
  <c r="C44" i="3920"/>
  <c r="H46" i="3920"/>
  <c r="C43" i="3920"/>
  <c r="H45" i="3920"/>
  <c r="C42" i="3920"/>
  <c r="H44" i="3920"/>
  <c r="C41" i="3920"/>
  <c r="H43" i="3920"/>
  <c r="C40" i="3920"/>
  <c r="H42" i="3920"/>
  <c r="C39" i="3920"/>
  <c r="H41" i="3920"/>
  <c r="C38" i="3920"/>
  <c r="H40" i="3920"/>
  <c r="C37" i="3920"/>
  <c r="H39" i="3920"/>
  <c r="C36" i="3920"/>
  <c r="H38" i="3920"/>
  <c r="H37" i="3920"/>
  <c r="C34" i="3920"/>
  <c r="H36" i="3920"/>
  <c r="H35" i="3920"/>
  <c r="H34" i="3920"/>
  <c r="H33" i="3920"/>
  <c r="H21" i="3920"/>
  <c r="B29" i="3920"/>
  <c r="H32" i="3920"/>
  <c r="B28" i="3920"/>
  <c r="H10" i="3920"/>
  <c r="B27" i="3920"/>
  <c r="H31" i="3920"/>
  <c r="B26" i="3920"/>
  <c r="H20" i="3920"/>
  <c r="C25" i="3920"/>
  <c r="H13" i="3920"/>
  <c r="C24" i="3920"/>
  <c r="H23" i="3920"/>
  <c r="C23" i="3920"/>
  <c r="H30" i="3920"/>
  <c r="C22" i="3920"/>
  <c r="H15" i="3920"/>
  <c r="C21" i="3920"/>
  <c r="H29" i="3920"/>
  <c r="C20" i="3920"/>
  <c r="H19" i="3920"/>
  <c r="C19" i="3920"/>
  <c r="H28" i="3920"/>
  <c r="C18" i="3920"/>
  <c r="H16" i="3920"/>
  <c r="C17" i="3920"/>
  <c r="H14" i="3920"/>
  <c r="C16" i="3920"/>
  <c r="H27" i="3920"/>
  <c r="C15" i="3920"/>
  <c r="H26" i="3920"/>
  <c r="C14" i="3920"/>
  <c r="H22" i="3920"/>
  <c r="O12" i="3920"/>
  <c r="H25" i="3920"/>
  <c r="B12" i="3920"/>
  <c r="O11" i="3920"/>
  <c r="H18" i="3920"/>
  <c r="B11" i="3920"/>
  <c r="O10" i="3920"/>
  <c r="H4" i="3920"/>
  <c r="B10" i="3920"/>
  <c r="H12" i="3920"/>
  <c r="C9" i="3920"/>
  <c r="H9" i="3920"/>
  <c r="C8" i="3920"/>
  <c r="O7" i="3920"/>
  <c r="H8" i="3920"/>
  <c r="C7" i="3920"/>
  <c r="O6" i="3920"/>
  <c r="H5" i="3920"/>
  <c r="B6" i="3920"/>
  <c r="O5" i="3920"/>
  <c r="H7" i="3920"/>
  <c r="B5" i="3920"/>
  <c r="O4" i="3920"/>
  <c r="H2" i="3920"/>
  <c r="O3" i="3920"/>
  <c r="H11" i="3920"/>
  <c r="O2" i="3920"/>
  <c r="H3" i="3920"/>
  <c r="O27" i="3919"/>
  <c r="O25" i="3919"/>
  <c r="O22" i="3919"/>
  <c r="O19" i="3919"/>
  <c r="O24" i="3919"/>
  <c r="O23" i="3919"/>
  <c r="O20" i="3919"/>
  <c r="O18" i="3919"/>
  <c r="H52" i="3919"/>
  <c r="H5" i="3919"/>
  <c r="H20" i="3919"/>
  <c r="H51" i="3919"/>
  <c r="H50" i="3919"/>
  <c r="C48" i="3919"/>
  <c r="H49" i="3919"/>
  <c r="C47" i="3919"/>
  <c r="H48" i="3919"/>
  <c r="C46" i="3919"/>
  <c r="H47" i="3919"/>
  <c r="C45" i="3919"/>
  <c r="H46" i="3919"/>
  <c r="C44" i="3919"/>
  <c r="H45" i="3919"/>
  <c r="C43" i="3919"/>
  <c r="H44" i="3919"/>
  <c r="C42" i="3919"/>
  <c r="H43" i="3919"/>
  <c r="C41" i="3919"/>
  <c r="H42" i="3919"/>
  <c r="C40" i="3919"/>
  <c r="H29" i="3919"/>
  <c r="C39" i="3919"/>
  <c r="H41" i="3919"/>
  <c r="C38" i="3919"/>
  <c r="H40" i="3919"/>
  <c r="C37" i="3919"/>
  <c r="H39" i="3919"/>
  <c r="C36" i="3919"/>
  <c r="H38" i="3919"/>
  <c r="H37" i="3919"/>
  <c r="C34" i="3919"/>
  <c r="H36" i="3919"/>
  <c r="H35" i="3919"/>
  <c r="H28" i="3919"/>
  <c r="H21" i="3919"/>
  <c r="H18" i="3919"/>
  <c r="B29" i="3919"/>
  <c r="H27" i="3919"/>
  <c r="B28" i="3919"/>
  <c r="H9" i="3919"/>
  <c r="B27" i="3919"/>
  <c r="H26" i="3919"/>
  <c r="B26" i="3919"/>
  <c r="H30" i="3919"/>
  <c r="C25" i="3919"/>
  <c r="H14" i="3919"/>
  <c r="C24" i="3919"/>
  <c r="H19" i="3919"/>
  <c r="C23" i="3919"/>
  <c r="H34" i="3919"/>
  <c r="C22" i="3919"/>
  <c r="H13" i="3919"/>
  <c r="C21" i="3919"/>
  <c r="H33" i="3919"/>
  <c r="C20" i="3919"/>
  <c r="H17" i="3919"/>
  <c r="C19" i="3919"/>
  <c r="H32" i="3919"/>
  <c r="C18" i="3919"/>
  <c r="H16" i="3919"/>
  <c r="C17" i="3919"/>
  <c r="H15" i="3919"/>
  <c r="C16" i="3919"/>
  <c r="H25" i="3919"/>
  <c r="C15" i="3919"/>
  <c r="H31" i="3919"/>
  <c r="C14" i="3919"/>
  <c r="H23" i="3919"/>
  <c r="O12" i="3919"/>
  <c r="H24" i="3919"/>
  <c r="B12" i="3919"/>
  <c r="O11" i="3919"/>
  <c r="H22" i="3919"/>
  <c r="B11" i="3919"/>
  <c r="O10" i="3919"/>
  <c r="H3" i="3919"/>
  <c r="B10" i="3919"/>
  <c r="H11" i="3919"/>
  <c r="C9" i="3919"/>
  <c r="H12" i="3919"/>
  <c r="C8" i="3919"/>
  <c r="O7" i="3919"/>
  <c r="H8" i="3919"/>
  <c r="C7" i="3919"/>
  <c r="O6" i="3919"/>
  <c r="H7" i="3919"/>
  <c r="B6" i="3919"/>
  <c r="O5" i="3919"/>
  <c r="H6" i="3919"/>
  <c r="B5" i="3919"/>
  <c r="O4" i="3919"/>
  <c r="H2" i="3919"/>
  <c r="O3" i="3919"/>
  <c r="H10" i="3919"/>
  <c r="O2" i="3919"/>
  <c r="H4" i="3919"/>
  <c r="O21" i="3918"/>
  <c r="O19" i="3918"/>
  <c r="O20" i="3918"/>
  <c r="O18" i="3918"/>
  <c r="O17" i="3918"/>
  <c r="H52" i="3918"/>
  <c r="H13" i="3918"/>
  <c r="H51" i="3918"/>
  <c r="H50" i="3918"/>
  <c r="H49" i="3918"/>
  <c r="C48" i="3918"/>
  <c r="H48" i="3918"/>
  <c r="C47" i="3918"/>
  <c r="H47" i="3918"/>
  <c r="C46" i="3918"/>
  <c r="H46" i="3918"/>
  <c r="C45" i="3918"/>
  <c r="H45" i="3918"/>
  <c r="C44" i="3918"/>
  <c r="H44" i="3918"/>
  <c r="C43" i="3918"/>
  <c r="H43" i="3918"/>
  <c r="C42" i="3918"/>
  <c r="H42" i="3918"/>
  <c r="C41" i="3918"/>
  <c r="H41" i="3918"/>
  <c r="C40" i="3918"/>
  <c r="H40" i="3918"/>
  <c r="C39" i="3918"/>
  <c r="H39" i="3918"/>
  <c r="C38" i="3918"/>
  <c r="H38" i="3918"/>
  <c r="C37" i="3918"/>
  <c r="H37" i="3918"/>
  <c r="C36" i="3918"/>
  <c r="H36" i="3918"/>
  <c r="H35" i="3918"/>
  <c r="C34" i="3918"/>
  <c r="H34" i="3918"/>
  <c r="H33" i="3918"/>
  <c r="H32" i="3918"/>
  <c r="H31" i="3918"/>
  <c r="H14" i="3918"/>
  <c r="B29" i="3918"/>
  <c r="H30" i="3918"/>
  <c r="B28" i="3918"/>
  <c r="H7" i="3918"/>
  <c r="B27" i="3918"/>
  <c r="H29" i="3918"/>
  <c r="B26" i="3918"/>
  <c r="H28" i="3918"/>
  <c r="C25" i="3918"/>
  <c r="H10" i="3918"/>
  <c r="C24" i="3918"/>
  <c r="H27" i="3918"/>
  <c r="C23" i="3918"/>
  <c r="H26" i="3918"/>
  <c r="C22" i="3918"/>
  <c r="H25" i="3918"/>
  <c r="C21" i="3918"/>
  <c r="H24" i="3918"/>
  <c r="C20" i="3918"/>
  <c r="H23" i="3918"/>
  <c r="C19" i="3918"/>
  <c r="H22" i="3918"/>
  <c r="C18" i="3918"/>
  <c r="H21" i="3918"/>
  <c r="C17" i="3918"/>
  <c r="H20" i="3918"/>
  <c r="C16" i="3918"/>
  <c r="H19" i="3918"/>
  <c r="C15" i="3918"/>
  <c r="H18" i="3918"/>
  <c r="C14" i="3918"/>
  <c r="H17" i="3918"/>
  <c r="O12" i="3918"/>
  <c r="H16" i="3918"/>
  <c r="B12" i="3918"/>
  <c r="O11" i="3918"/>
  <c r="H15" i="3918"/>
  <c r="B11" i="3918"/>
  <c r="B13" i="3918" s="1"/>
  <c r="O10" i="3918"/>
  <c r="H4" i="3918"/>
  <c r="B10" i="3918"/>
  <c r="H12" i="3918"/>
  <c r="C9" i="3918"/>
  <c r="H9" i="3918"/>
  <c r="C8" i="3918"/>
  <c r="O7" i="3918"/>
  <c r="H8" i="3918"/>
  <c r="C7" i="3918"/>
  <c r="O6" i="3918"/>
  <c r="H6" i="3918"/>
  <c r="B6" i="3918"/>
  <c r="O5" i="3918"/>
  <c r="H5" i="3918"/>
  <c r="B5" i="3918"/>
  <c r="O4" i="3918"/>
  <c r="H3" i="3918"/>
  <c r="O3" i="3918"/>
  <c r="H11" i="3918"/>
  <c r="O2" i="3918"/>
  <c r="H2" i="3918"/>
  <c r="O27" i="3917"/>
  <c r="O23" i="3917"/>
  <c r="O26" i="3917"/>
  <c r="O22" i="3917"/>
  <c r="O25" i="3917"/>
  <c r="O19" i="3917"/>
  <c r="O20" i="3917"/>
  <c r="O24" i="3917"/>
  <c r="O16" i="3917"/>
  <c r="O15" i="3917"/>
  <c r="O18" i="3917"/>
  <c r="H52" i="3917"/>
  <c r="H7" i="3917"/>
  <c r="H17" i="3917"/>
  <c r="H51" i="3917"/>
  <c r="H50" i="3917"/>
  <c r="C48" i="3917"/>
  <c r="H49" i="3917"/>
  <c r="C47" i="3917"/>
  <c r="H48" i="3917"/>
  <c r="C46" i="3917"/>
  <c r="H47" i="3917"/>
  <c r="C45" i="3917"/>
  <c r="H46" i="3917"/>
  <c r="C44" i="3917"/>
  <c r="H45" i="3917"/>
  <c r="C43" i="3917"/>
  <c r="H44" i="3917"/>
  <c r="C42" i="3917"/>
  <c r="H43" i="3917"/>
  <c r="C41" i="3917"/>
  <c r="H42" i="3917"/>
  <c r="C40" i="3917"/>
  <c r="H41" i="3917"/>
  <c r="C39" i="3917"/>
  <c r="H40" i="3917"/>
  <c r="C38" i="3917"/>
  <c r="H39" i="3917"/>
  <c r="C37" i="3917"/>
  <c r="H38" i="3917"/>
  <c r="C36" i="3917"/>
  <c r="H32" i="3917"/>
  <c r="H37" i="3917"/>
  <c r="C34" i="3917"/>
  <c r="H31" i="3917"/>
  <c r="H36" i="3917"/>
  <c r="H26" i="3917"/>
  <c r="H20" i="3917"/>
  <c r="H16" i="3917"/>
  <c r="B29" i="3917"/>
  <c r="H27" i="3917"/>
  <c r="B28" i="3917"/>
  <c r="H8" i="3917"/>
  <c r="B27" i="3917"/>
  <c r="H30" i="3917"/>
  <c r="B26" i="3917"/>
  <c r="H28" i="3917"/>
  <c r="C25" i="3917"/>
  <c r="H12" i="3917"/>
  <c r="C24" i="3917"/>
  <c r="H25" i="3917"/>
  <c r="C23" i="3917"/>
  <c r="H24" i="3917"/>
  <c r="C22" i="3917"/>
  <c r="H14" i="3917"/>
  <c r="C21" i="3917"/>
  <c r="H35" i="3917"/>
  <c r="C20" i="3917"/>
  <c r="H18" i="3917"/>
  <c r="C19" i="3917"/>
  <c r="H34" i="3917"/>
  <c r="C18" i="3917"/>
  <c r="H19" i="3917"/>
  <c r="C17" i="3917"/>
  <c r="H15" i="3917"/>
  <c r="C16" i="3917"/>
  <c r="H23" i="3917"/>
  <c r="C15" i="3917"/>
  <c r="H33" i="3917"/>
  <c r="C14" i="3917"/>
  <c r="H22" i="3917"/>
  <c r="O12" i="3917"/>
  <c r="H29" i="3917"/>
  <c r="B12" i="3917"/>
  <c r="B13" i="3917" s="1"/>
  <c r="O11" i="3917"/>
  <c r="H21" i="3917"/>
  <c r="B11" i="3917"/>
  <c r="O10" i="3917"/>
  <c r="H3" i="3917"/>
  <c r="B10" i="3917"/>
  <c r="H13" i="3917"/>
  <c r="C9" i="3917"/>
  <c r="H11" i="3917"/>
  <c r="C8" i="3917"/>
  <c r="O7" i="3917"/>
  <c r="H9" i="3917"/>
  <c r="C7" i="3917"/>
  <c r="O6" i="3917"/>
  <c r="H6" i="3917"/>
  <c r="B6" i="3917"/>
  <c r="O5" i="3917"/>
  <c r="H5" i="3917"/>
  <c r="B5" i="3917"/>
  <c r="O4" i="3917"/>
  <c r="H2" i="3917"/>
  <c r="O3" i="3917"/>
  <c r="H10" i="3917"/>
  <c r="O2" i="3917"/>
  <c r="H4" i="3917"/>
  <c r="O15" i="3916"/>
  <c r="O21" i="3916"/>
  <c r="O19" i="3916"/>
  <c r="O20" i="3916"/>
  <c r="O18" i="3916"/>
  <c r="O17" i="3916"/>
  <c r="O16" i="3916"/>
  <c r="H52" i="3916"/>
  <c r="H10" i="3916"/>
  <c r="H16" i="3916"/>
  <c r="H51" i="3916"/>
  <c r="H50" i="3916"/>
  <c r="C48" i="3916"/>
  <c r="H49" i="3916"/>
  <c r="C47" i="3916"/>
  <c r="H48" i="3916"/>
  <c r="C46" i="3916"/>
  <c r="H47" i="3916"/>
  <c r="C45" i="3916"/>
  <c r="H46" i="3916"/>
  <c r="C44" i="3916"/>
  <c r="H45" i="3916"/>
  <c r="C43" i="3916"/>
  <c r="H44" i="3916"/>
  <c r="C42" i="3916"/>
  <c r="H43" i="3916"/>
  <c r="C41" i="3916"/>
  <c r="H42" i="3916"/>
  <c r="C40" i="3916"/>
  <c r="H41" i="3916"/>
  <c r="C39" i="3916"/>
  <c r="H40" i="3916"/>
  <c r="C38" i="3916"/>
  <c r="H39" i="3916"/>
  <c r="C37" i="3916"/>
  <c r="H38" i="3916"/>
  <c r="C36" i="3916"/>
  <c r="H37" i="3916"/>
  <c r="H36" i="3916"/>
  <c r="C34" i="3916"/>
  <c r="H35" i="3916"/>
  <c r="H34" i="3916"/>
  <c r="H33" i="3916"/>
  <c r="H20" i="3916"/>
  <c r="H19" i="3916"/>
  <c r="B29" i="3916"/>
  <c r="H32" i="3916"/>
  <c r="B28" i="3916"/>
  <c r="H7" i="3916"/>
  <c r="B27" i="3916"/>
  <c r="H31" i="3916"/>
  <c r="B26" i="3916"/>
  <c r="H30" i="3916"/>
  <c r="C25" i="3916"/>
  <c r="H18" i="3916"/>
  <c r="C24" i="3916"/>
  <c r="H29" i="3916"/>
  <c r="C23" i="3916"/>
  <c r="H28" i="3916"/>
  <c r="C22" i="3916"/>
  <c r="H15" i="3916"/>
  <c r="C21" i="3916"/>
  <c r="H27" i="3916"/>
  <c r="C20" i="3916"/>
  <c r="H26" i="3916"/>
  <c r="C19" i="3916"/>
  <c r="H25" i="3916"/>
  <c r="C18" i="3916"/>
  <c r="H14" i="3916"/>
  <c r="C17" i="3916"/>
  <c r="H13" i="3916"/>
  <c r="C16" i="3916"/>
  <c r="H24" i="3916"/>
  <c r="C15" i="3916"/>
  <c r="H23" i="3916"/>
  <c r="C14" i="3916"/>
  <c r="H22" i="3916"/>
  <c r="O12" i="3916"/>
  <c r="H21" i="3916"/>
  <c r="B12" i="3916"/>
  <c r="O11" i="3916"/>
  <c r="H17" i="3916"/>
  <c r="B11" i="3916"/>
  <c r="O10" i="3916"/>
  <c r="H3" i="3916"/>
  <c r="B10" i="3916"/>
  <c r="H12" i="3916"/>
  <c r="C9" i="3916"/>
  <c r="H11" i="3916"/>
  <c r="C8" i="3916"/>
  <c r="O7" i="3916"/>
  <c r="H9" i="3916"/>
  <c r="C7" i="3916"/>
  <c r="O6" i="3916"/>
  <c r="H6" i="3916"/>
  <c r="B6" i="3916"/>
  <c r="O5" i="3916"/>
  <c r="H5" i="3916"/>
  <c r="B5" i="3916"/>
  <c r="O4" i="3916"/>
  <c r="H2" i="3916"/>
  <c r="O3" i="3916"/>
  <c r="H8" i="3916"/>
  <c r="O2" i="3916"/>
  <c r="H4" i="3916"/>
  <c r="O27" i="3915"/>
  <c r="O23" i="3915"/>
  <c r="O24" i="3915"/>
  <c r="O26" i="3915"/>
  <c r="O17" i="3915"/>
  <c r="O18" i="3915"/>
  <c r="O22" i="3915"/>
  <c r="O21" i="3915"/>
  <c r="O19" i="3915"/>
  <c r="H52" i="3915"/>
  <c r="H5" i="3915"/>
  <c r="H20" i="3915"/>
  <c r="H51" i="3915"/>
  <c r="H50" i="3915"/>
  <c r="C48" i="3915"/>
  <c r="H49" i="3915"/>
  <c r="C47" i="3915"/>
  <c r="H48" i="3915"/>
  <c r="C46" i="3915"/>
  <c r="H47" i="3915"/>
  <c r="C45" i="3915"/>
  <c r="H46" i="3915"/>
  <c r="C44" i="3915"/>
  <c r="H45" i="3915"/>
  <c r="C43" i="3915"/>
  <c r="H44" i="3915"/>
  <c r="C42" i="3915"/>
  <c r="H43" i="3915"/>
  <c r="C41" i="3915"/>
  <c r="H42" i="3915"/>
  <c r="C40" i="3915"/>
  <c r="H41" i="3915"/>
  <c r="C39" i="3915"/>
  <c r="H40" i="3915"/>
  <c r="C38" i="3915"/>
  <c r="H39" i="3915"/>
  <c r="C37" i="3915"/>
  <c r="H38" i="3915"/>
  <c r="C36" i="3915"/>
  <c r="H37" i="3915"/>
  <c r="H36" i="3915"/>
  <c r="C34" i="3915"/>
  <c r="H32" i="3915"/>
  <c r="H35" i="3915"/>
  <c r="H26" i="3915"/>
  <c r="H24" i="3915"/>
  <c r="H17" i="3915"/>
  <c r="B29" i="3915"/>
  <c r="H28" i="3915"/>
  <c r="B28" i="3915"/>
  <c r="H9" i="3915"/>
  <c r="B27" i="3915"/>
  <c r="H31" i="3915"/>
  <c r="B26" i="3915"/>
  <c r="H27" i="3915"/>
  <c r="C25" i="3915"/>
  <c r="H13" i="3915"/>
  <c r="C24" i="3915"/>
  <c r="H30" i="3915"/>
  <c r="C23" i="3915"/>
  <c r="H25" i="3915"/>
  <c r="C22" i="3915"/>
  <c r="H15" i="3915"/>
  <c r="C21" i="3915"/>
  <c r="H34" i="3915"/>
  <c r="C20" i="3915"/>
  <c r="H16" i="3915"/>
  <c r="C19" i="3915"/>
  <c r="H33" i="3915"/>
  <c r="C18" i="3915"/>
  <c r="H18" i="3915"/>
  <c r="C17" i="3915"/>
  <c r="H14" i="3915"/>
  <c r="C16" i="3915"/>
  <c r="H19" i="3915"/>
  <c r="C15" i="3915"/>
  <c r="H29" i="3915"/>
  <c r="C14" i="3915"/>
  <c r="H23" i="3915"/>
  <c r="O12" i="3915"/>
  <c r="H22" i="3915"/>
  <c r="B12" i="3915"/>
  <c r="O11" i="3915"/>
  <c r="H21" i="3915"/>
  <c r="B11" i="3915"/>
  <c r="O10" i="3915"/>
  <c r="H3" i="3915"/>
  <c r="B10" i="3915"/>
  <c r="H12" i="3915"/>
  <c r="C9" i="3915"/>
  <c r="H10" i="3915"/>
  <c r="C8" i="3915"/>
  <c r="O7" i="3915"/>
  <c r="H8" i="3915"/>
  <c r="C7" i="3915"/>
  <c r="O6" i="3915"/>
  <c r="H6" i="3915"/>
  <c r="B6" i="3915"/>
  <c r="O5" i="3915"/>
  <c r="H7" i="3915"/>
  <c r="B5" i="3915"/>
  <c r="O4" i="3915"/>
  <c r="H2" i="3915"/>
  <c r="O3" i="3915"/>
  <c r="H11" i="3915"/>
  <c r="O2" i="3915"/>
  <c r="H4" i="3915"/>
  <c r="O25" i="3914"/>
  <c r="O20" i="3914"/>
  <c r="O24" i="3914"/>
  <c r="O15" i="3914"/>
  <c r="O22" i="3914"/>
  <c r="O18" i="3914"/>
  <c r="O19" i="3914"/>
  <c r="H52" i="3914"/>
  <c r="H5" i="3914"/>
  <c r="H51" i="3914"/>
  <c r="H50" i="3914"/>
  <c r="H49" i="3914"/>
  <c r="C48" i="3914"/>
  <c r="H48" i="3914"/>
  <c r="C47" i="3914"/>
  <c r="H47" i="3914"/>
  <c r="C46" i="3914"/>
  <c r="H46" i="3914"/>
  <c r="C45" i="3914"/>
  <c r="H45" i="3914"/>
  <c r="C44" i="3914"/>
  <c r="H44" i="3914"/>
  <c r="C43" i="3914"/>
  <c r="H43" i="3914"/>
  <c r="C42" i="3914"/>
  <c r="H42" i="3914"/>
  <c r="C41" i="3914"/>
  <c r="H28" i="3914"/>
  <c r="C40" i="3914"/>
  <c r="H41" i="3914"/>
  <c r="C39" i="3914"/>
  <c r="H40" i="3914"/>
  <c r="C38" i="3914"/>
  <c r="H39" i="3914"/>
  <c r="C37" i="3914"/>
  <c r="H38" i="3914"/>
  <c r="C36" i="3914"/>
  <c r="H37" i="3914"/>
  <c r="H36" i="3914"/>
  <c r="C34" i="3914"/>
  <c r="H35" i="3914"/>
  <c r="H34" i="3914"/>
  <c r="H24" i="3914"/>
  <c r="H33" i="3914"/>
  <c r="H18" i="3914"/>
  <c r="B29" i="3914"/>
  <c r="H27" i="3914"/>
  <c r="B28" i="3914"/>
  <c r="H12" i="3914"/>
  <c r="B27" i="3914"/>
  <c r="H23" i="3914"/>
  <c r="B26" i="3914"/>
  <c r="H22" i="3914"/>
  <c r="C25" i="3914"/>
  <c r="H15" i="3914"/>
  <c r="C24" i="3914"/>
  <c r="H32" i="3914"/>
  <c r="C23" i="3914"/>
  <c r="H26" i="3914"/>
  <c r="C22" i="3914"/>
  <c r="H13" i="3914"/>
  <c r="C21" i="3914"/>
  <c r="H31" i="3914"/>
  <c r="C20" i="3914"/>
  <c r="H14" i="3914"/>
  <c r="C19" i="3914"/>
  <c r="H30" i="3914"/>
  <c r="C18" i="3914"/>
  <c r="H17" i="3914"/>
  <c r="C17" i="3914"/>
  <c r="H16" i="3914"/>
  <c r="C16" i="3914"/>
  <c r="H21" i="3914"/>
  <c r="C15" i="3914"/>
  <c r="H29" i="3914"/>
  <c r="C14" i="3914"/>
  <c r="H19" i="3914"/>
  <c r="O12" i="3914"/>
  <c r="H20" i="3914"/>
  <c r="B12" i="3914"/>
  <c r="O11" i="3914"/>
  <c r="H25" i="3914"/>
  <c r="B11" i="3914"/>
  <c r="O10" i="3914"/>
  <c r="H3" i="3914"/>
  <c r="B10" i="3914"/>
  <c r="H10" i="3914"/>
  <c r="C9" i="3914"/>
  <c r="H11" i="3914"/>
  <c r="C8" i="3914"/>
  <c r="O7" i="3914"/>
  <c r="H8" i="3914"/>
  <c r="C7" i="3914"/>
  <c r="O6" i="3914"/>
  <c r="H6" i="3914"/>
  <c r="B6" i="3914"/>
  <c r="O5" i="3914"/>
  <c r="H7" i="3914"/>
  <c r="B5" i="3914"/>
  <c r="O4" i="3914"/>
  <c r="H2" i="3914"/>
  <c r="O3" i="3914"/>
  <c r="H9" i="3914"/>
  <c r="O2" i="3914"/>
  <c r="H4" i="3914"/>
  <c r="O19" i="3913"/>
  <c r="O18" i="3913"/>
  <c r="O17" i="3913"/>
  <c r="O16" i="3913"/>
  <c r="O15" i="3913"/>
  <c r="H52" i="3913"/>
  <c r="H51" i="3913"/>
  <c r="H50" i="3913"/>
  <c r="H49" i="3913"/>
  <c r="H48" i="3913"/>
  <c r="C48" i="3913"/>
  <c r="H47" i="3913"/>
  <c r="C47" i="3913"/>
  <c r="H46" i="3913"/>
  <c r="C46" i="3913"/>
  <c r="H45" i="3913"/>
  <c r="C45" i="3913"/>
  <c r="H44" i="3913"/>
  <c r="C44" i="3913"/>
  <c r="H43" i="3913"/>
  <c r="C43" i="3913"/>
  <c r="H42" i="3913"/>
  <c r="C42" i="3913"/>
  <c r="H41" i="3913"/>
  <c r="C41" i="3913"/>
  <c r="H40" i="3913"/>
  <c r="C40" i="3913"/>
  <c r="H39" i="3913"/>
  <c r="C39" i="3913"/>
  <c r="H38" i="3913"/>
  <c r="C38" i="3913"/>
  <c r="H37" i="3913"/>
  <c r="C37" i="3913"/>
  <c r="H36" i="3913"/>
  <c r="C36" i="3913"/>
  <c r="H35" i="3913"/>
  <c r="H34" i="3913"/>
  <c r="C34" i="3913"/>
  <c r="H33" i="3913"/>
  <c r="H32" i="3913"/>
  <c r="H31" i="3913"/>
  <c r="H30" i="3913"/>
  <c r="H29" i="3913"/>
  <c r="B29" i="3913"/>
  <c r="H28" i="3913"/>
  <c r="B28" i="3913"/>
  <c r="H27" i="3913"/>
  <c r="B27" i="3913"/>
  <c r="H26" i="3913"/>
  <c r="B26" i="3913"/>
  <c r="H25" i="3913"/>
  <c r="C25" i="3913"/>
  <c r="H10" i="3913"/>
  <c r="C24" i="3913"/>
  <c r="H24" i="3913"/>
  <c r="C23" i="3913"/>
  <c r="H23" i="3913"/>
  <c r="C22" i="3913"/>
  <c r="H22" i="3913"/>
  <c r="C21" i="3913"/>
  <c r="H21" i="3913"/>
  <c r="C20" i="3913"/>
  <c r="H20" i="3913"/>
  <c r="C19" i="3913"/>
  <c r="H19" i="3913"/>
  <c r="C18" i="3913"/>
  <c r="H7" i="3913"/>
  <c r="C17" i="3913"/>
  <c r="H18" i="3913"/>
  <c r="C16" i="3913"/>
  <c r="H17" i="3913"/>
  <c r="C15" i="3913"/>
  <c r="H16" i="3913"/>
  <c r="C14" i="3913"/>
  <c r="H15" i="3913"/>
  <c r="B13" i="3913"/>
  <c r="O12" i="3913"/>
  <c r="H14" i="3913"/>
  <c r="B12" i="3913"/>
  <c r="O11" i="3913"/>
  <c r="H13" i="3913"/>
  <c r="B11" i="3913"/>
  <c r="O10" i="3913"/>
  <c r="H4" i="3913"/>
  <c r="B10" i="3913"/>
  <c r="H12" i="3913"/>
  <c r="C9" i="3913"/>
  <c r="H11" i="3913"/>
  <c r="C8" i="3913"/>
  <c r="O7" i="3913"/>
  <c r="H9" i="3913"/>
  <c r="C7" i="3913"/>
  <c r="O6" i="3913"/>
  <c r="H5" i="3913"/>
  <c r="B6" i="3913"/>
  <c r="O5" i="3913"/>
  <c r="H6" i="3913"/>
  <c r="B5" i="3913"/>
  <c r="O4" i="3913"/>
  <c r="H8" i="3913"/>
  <c r="O3" i="3913"/>
  <c r="H3" i="3913"/>
  <c r="O2" i="3913"/>
  <c r="H2" i="3913"/>
  <c r="O23" i="3912"/>
  <c r="O25" i="3912"/>
  <c r="O22" i="3912"/>
  <c r="O18" i="3912"/>
  <c r="O15" i="3912"/>
  <c r="O20" i="3912"/>
  <c r="O24" i="3912"/>
  <c r="O17" i="3912"/>
  <c r="O21" i="3912"/>
  <c r="O16" i="3912"/>
  <c r="O26" i="3912"/>
  <c r="H52" i="3912"/>
  <c r="H7" i="3912"/>
  <c r="H51" i="3912"/>
  <c r="H50" i="3912"/>
  <c r="H49" i="3912"/>
  <c r="C48" i="3912"/>
  <c r="H48" i="3912"/>
  <c r="C47" i="3912"/>
  <c r="H47" i="3912"/>
  <c r="C46" i="3912"/>
  <c r="H46" i="3912"/>
  <c r="C45" i="3912"/>
  <c r="H45" i="3912"/>
  <c r="C44" i="3912"/>
  <c r="H44" i="3912"/>
  <c r="C43" i="3912"/>
  <c r="H43" i="3912"/>
  <c r="C42" i="3912"/>
  <c r="H42" i="3912"/>
  <c r="C41" i="3912"/>
  <c r="H41" i="3912"/>
  <c r="C40" i="3912"/>
  <c r="H40" i="3912"/>
  <c r="C39" i="3912"/>
  <c r="H39" i="3912"/>
  <c r="C38" i="3912"/>
  <c r="H38" i="3912"/>
  <c r="C37" i="3912"/>
  <c r="H37" i="3912"/>
  <c r="C36" i="3912"/>
  <c r="H23" i="3912"/>
  <c r="H36" i="3912"/>
  <c r="C34" i="3912"/>
  <c r="H35" i="3912"/>
  <c r="H34" i="3912"/>
  <c r="H22" i="3912"/>
  <c r="H33" i="3912"/>
  <c r="H17" i="3912"/>
  <c r="B29" i="3912"/>
  <c r="H32" i="3912"/>
  <c r="B28" i="3912"/>
  <c r="H11" i="3912"/>
  <c r="B27" i="3912"/>
  <c r="H31" i="3912"/>
  <c r="B26" i="3912"/>
  <c r="H30" i="3912"/>
  <c r="C25" i="3912"/>
  <c r="H16" i="3912"/>
  <c r="C24" i="3912"/>
  <c r="H29" i="3912"/>
  <c r="C23" i="3912"/>
  <c r="H28" i="3912"/>
  <c r="C22" i="3912"/>
  <c r="H9" i="3912"/>
  <c r="C21" i="3912"/>
  <c r="H27" i="3912"/>
  <c r="C20" i="3912"/>
  <c r="H14" i="3912"/>
  <c r="C19" i="3912"/>
  <c r="H26" i="3912"/>
  <c r="C18" i="3912"/>
  <c r="H15" i="3912"/>
  <c r="C17" i="3912"/>
  <c r="H21" i="3912"/>
  <c r="C16" i="3912"/>
  <c r="H25" i="3912"/>
  <c r="C15" i="3912"/>
  <c r="H24" i="3912"/>
  <c r="C14" i="3912"/>
  <c r="H20" i="3912"/>
  <c r="O12" i="3912"/>
  <c r="H19" i="3912"/>
  <c r="B12" i="3912"/>
  <c r="O11" i="3912"/>
  <c r="H18" i="3912"/>
  <c r="B11" i="3912"/>
  <c r="O10" i="3912"/>
  <c r="H3" i="3912"/>
  <c r="B10" i="3912"/>
  <c r="H13" i="3912"/>
  <c r="C9" i="3912"/>
  <c r="H10" i="3912"/>
  <c r="C8" i="3912"/>
  <c r="O7" i="3912"/>
  <c r="H8" i="3912"/>
  <c r="C7" i="3912"/>
  <c r="O6" i="3912"/>
  <c r="H5" i="3912"/>
  <c r="B6" i="3912"/>
  <c r="O5" i="3912"/>
  <c r="H6" i="3912"/>
  <c r="B5" i="3912"/>
  <c r="O4" i="3912"/>
  <c r="H2" i="3912"/>
  <c r="O3" i="3912"/>
  <c r="H12" i="3912"/>
  <c r="O2" i="3912"/>
  <c r="H4" i="3912"/>
  <c r="O26" i="3911"/>
  <c r="O23" i="3911"/>
  <c r="O22" i="3911"/>
  <c r="O21" i="3911"/>
  <c r="O24" i="3911"/>
  <c r="O20" i="3911"/>
  <c r="O18" i="3911"/>
  <c r="O17" i="3911"/>
  <c r="O19" i="3911"/>
  <c r="O16" i="3911"/>
  <c r="H52" i="3911"/>
  <c r="H7" i="3911"/>
  <c r="H19" i="3911"/>
  <c r="H51" i="3911"/>
  <c r="H50" i="3911"/>
  <c r="C48" i="3911"/>
  <c r="H49" i="3911"/>
  <c r="C47" i="3911"/>
  <c r="H48" i="3911"/>
  <c r="C46" i="3911"/>
  <c r="H47" i="3911"/>
  <c r="C45" i="3911"/>
  <c r="H46" i="3911"/>
  <c r="C44" i="3911"/>
  <c r="H45" i="3911"/>
  <c r="C43" i="3911"/>
  <c r="H44" i="3911"/>
  <c r="C42" i="3911"/>
  <c r="H43" i="3911"/>
  <c r="C41" i="3911"/>
  <c r="H42" i="3911"/>
  <c r="C40" i="3911"/>
  <c r="H41" i="3911"/>
  <c r="C39" i="3911"/>
  <c r="H40" i="3911"/>
  <c r="C38" i="3911"/>
  <c r="H39" i="3911"/>
  <c r="C37" i="3911"/>
  <c r="H38" i="3911"/>
  <c r="C36" i="3911"/>
  <c r="H37" i="3911"/>
  <c r="H36" i="3911"/>
  <c r="C34" i="3911"/>
  <c r="H31" i="3911"/>
  <c r="H35" i="3911"/>
  <c r="H30" i="3911"/>
  <c r="H22" i="3911"/>
  <c r="H17" i="3911"/>
  <c r="B29" i="3911"/>
  <c r="H34" i="3911"/>
  <c r="B28" i="3911"/>
  <c r="H10" i="3911"/>
  <c r="B27" i="3911"/>
  <c r="H27" i="3911"/>
  <c r="B26" i="3911"/>
  <c r="H26" i="3911"/>
  <c r="C25" i="3911"/>
  <c r="H12" i="3911"/>
  <c r="C24" i="3911"/>
  <c r="H25" i="3911"/>
  <c r="C23" i="3911"/>
  <c r="H24" i="3911"/>
  <c r="C22" i="3911"/>
  <c r="H13" i="3911"/>
  <c r="C21" i="3911"/>
  <c r="H33" i="3911"/>
  <c r="C20" i="3911"/>
  <c r="H15" i="3911"/>
  <c r="C19" i="3911"/>
  <c r="H29" i="3911"/>
  <c r="C18" i="3911"/>
  <c r="H18" i="3911"/>
  <c r="C17" i="3911"/>
  <c r="H16" i="3911"/>
  <c r="C16" i="3911"/>
  <c r="H28" i="3911"/>
  <c r="C15" i="3911"/>
  <c r="H32" i="3911"/>
  <c r="C14" i="3911"/>
  <c r="H20" i="3911"/>
  <c r="O12" i="3911"/>
  <c r="H23" i="3911"/>
  <c r="B12" i="3911"/>
  <c r="O11" i="3911"/>
  <c r="H21" i="3911"/>
  <c r="B11" i="3911"/>
  <c r="O10" i="3911"/>
  <c r="H4" i="3911"/>
  <c r="B10" i="3911"/>
  <c r="H14" i="3911"/>
  <c r="C9" i="3911"/>
  <c r="H11" i="3911"/>
  <c r="C8" i="3911"/>
  <c r="O7" i="3911"/>
  <c r="H8" i="3911"/>
  <c r="C7" i="3911"/>
  <c r="O6" i="3911"/>
  <c r="H5" i="3911"/>
  <c r="B6" i="3911"/>
  <c r="O5" i="3911"/>
  <c r="H6" i="3911"/>
  <c r="B5" i="3911"/>
  <c r="O4" i="3911"/>
  <c r="H2" i="3911"/>
  <c r="O3" i="3911"/>
  <c r="H9" i="3911"/>
  <c r="O2" i="3911"/>
  <c r="H3" i="3911"/>
  <c r="O19" i="3910"/>
  <c r="O23" i="3910"/>
  <c r="O20" i="3910"/>
  <c r="O15" i="3910"/>
  <c r="H52" i="3910"/>
  <c r="H7" i="3910"/>
  <c r="H51" i="3910"/>
  <c r="H50" i="3910"/>
  <c r="H49" i="3910"/>
  <c r="C48" i="3910"/>
  <c r="H48" i="3910"/>
  <c r="C47" i="3910"/>
  <c r="H47" i="3910"/>
  <c r="C46" i="3910"/>
  <c r="H46" i="3910"/>
  <c r="C45" i="3910"/>
  <c r="H45" i="3910"/>
  <c r="C44" i="3910"/>
  <c r="H44" i="3910"/>
  <c r="C43" i="3910"/>
  <c r="H43" i="3910"/>
  <c r="C42" i="3910"/>
  <c r="H42" i="3910"/>
  <c r="C41" i="3910"/>
  <c r="H41" i="3910"/>
  <c r="C40" i="3910"/>
  <c r="H40" i="3910"/>
  <c r="C39" i="3910"/>
  <c r="H39" i="3910"/>
  <c r="C38" i="3910"/>
  <c r="H38" i="3910"/>
  <c r="C37" i="3910"/>
  <c r="H37" i="3910"/>
  <c r="C36" i="3910"/>
  <c r="H36" i="3910"/>
  <c r="H35" i="3910"/>
  <c r="C34" i="3910"/>
  <c r="H34" i="3910"/>
  <c r="H33" i="3910"/>
  <c r="H32" i="3910"/>
  <c r="H31" i="3910"/>
  <c r="H30" i="3910"/>
  <c r="B29" i="3910"/>
  <c r="H29" i="3910"/>
  <c r="B28" i="3910"/>
  <c r="H10" i="3910"/>
  <c r="B27" i="3910"/>
  <c r="H28" i="3910"/>
  <c r="B26" i="3910"/>
  <c r="H27" i="3910"/>
  <c r="C25" i="3910"/>
  <c r="H17" i="3910"/>
  <c r="C24" i="3910"/>
  <c r="H16" i="3910"/>
  <c r="C23" i="3910"/>
  <c r="H26" i="3910"/>
  <c r="C22" i="3910"/>
  <c r="H13" i="3910"/>
  <c r="C21" i="3910"/>
  <c r="H25" i="3910"/>
  <c r="C20" i="3910"/>
  <c r="H24" i="3910"/>
  <c r="C19" i="3910"/>
  <c r="H23" i="3910"/>
  <c r="C18" i="3910"/>
  <c r="H15" i="3910"/>
  <c r="C17" i="3910"/>
  <c r="H22" i="3910"/>
  <c r="C16" i="3910"/>
  <c r="H18" i="3910"/>
  <c r="C15" i="3910"/>
  <c r="H21" i="3910"/>
  <c r="C14" i="3910"/>
  <c r="H14" i="3910"/>
  <c r="O12" i="3910"/>
  <c r="H20" i="3910"/>
  <c r="B12" i="3910"/>
  <c r="O11" i="3910"/>
  <c r="H19" i="3910"/>
  <c r="B11" i="3910"/>
  <c r="O10" i="3910"/>
  <c r="H4" i="3910"/>
  <c r="B10" i="3910"/>
  <c r="H12" i="3910"/>
  <c r="C9" i="3910"/>
  <c r="H11" i="3910"/>
  <c r="C8" i="3910"/>
  <c r="O7" i="3910"/>
  <c r="H9" i="3910"/>
  <c r="C7" i="3910"/>
  <c r="O6" i="3910"/>
  <c r="H6" i="3910"/>
  <c r="B6" i="3910"/>
  <c r="O5" i="3910"/>
  <c r="H5" i="3910"/>
  <c r="B5" i="3910"/>
  <c r="O4" i="3910"/>
  <c r="H2" i="3910"/>
  <c r="O3" i="3910"/>
  <c r="H8" i="3910"/>
  <c r="O2" i="3910"/>
  <c r="H3" i="3910"/>
  <c r="O17" i="3909"/>
  <c r="O16" i="3909"/>
  <c r="O15" i="3909"/>
  <c r="H52" i="3909"/>
  <c r="H51" i="3909"/>
  <c r="H50" i="3909"/>
  <c r="H49" i="3909"/>
  <c r="H48" i="3909"/>
  <c r="C48" i="3909"/>
  <c r="H47" i="3909"/>
  <c r="C47" i="3909"/>
  <c r="H46" i="3909"/>
  <c r="C46" i="3909"/>
  <c r="H45" i="3909"/>
  <c r="C45" i="3909"/>
  <c r="H44" i="3909"/>
  <c r="C44" i="3909"/>
  <c r="H43" i="3909"/>
  <c r="C43" i="3909"/>
  <c r="H42" i="3909"/>
  <c r="C42" i="3909"/>
  <c r="H41" i="3909"/>
  <c r="C41" i="3909"/>
  <c r="H40" i="3909"/>
  <c r="C40" i="3909"/>
  <c r="H39" i="3909"/>
  <c r="C39" i="3909"/>
  <c r="H38" i="3909"/>
  <c r="C38" i="3909"/>
  <c r="H37" i="3909"/>
  <c r="C37" i="3909"/>
  <c r="H36" i="3909"/>
  <c r="C36" i="3909"/>
  <c r="H35" i="3909"/>
  <c r="H34" i="3909"/>
  <c r="C34" i="3909"/>
  <c r="H33" i="3909"/>
  <c r="H32" i="3909"/>
  <c r="H31" i="3909"/>
  <c r="H30" i="3909"/>
  <c r="H29" i="3909"/>
  <c r="B29" i="3909"/>
  <c r="H28" i="3909"/>
  <c r="B28" i="3909"/>
  <c r="H27" i="3909"/>
  <c r="B27" i="3909"/>
  <c r="H26" i="3909"/>
  <c r="B26" i="3909"/>
  <c r="H25" i="3909"/>
  <c r="C25" i="3909"/>
  <c r="H24" i="3909"/>
  <c r="C24" i="3909"/>
  <c r="H23" i="3909"/>
  <c r="C23" i="3909"/>
  <c r="H22" i="3909"/>
  <c r="C22" i="3909"/>
  <c r="H21" i="3909"/>
  <c r="C21" i="3909"/>
  <c r="H20" i="3909"/>
  <c r="C20" i="3909"/>
  <c r="H19" i="3909"/>
  <c r="C19" i="3909"/>
  <c r="H18" i="3909"/>
  <c r="C18" i="3909"/>
  <c r="H17" i="3909"/>
  <c r="C17" i="3909"/>
  <c r="H16" i="3909"/>
  <c r="C16" i="3909"/>
  <c r="H15" i="3909"/>
  <c r="C15" i="3909"/>
  <c r="H14" i="3909"/>
  <c r="C14" i="3909"/>
  <c r="H13" i="3909"/>
  <c r="O12" i="3909"/>
  <c r="H12" i="3909"/>
  <c r="B12" i="3909"/>
  <c r="O11" i="3909"/>
  <c r="H11" i="3909"/>
  <c r="B11" i="3909"/>
  <c r="O10" i="3909"/>
  <c r="H10" i="3909"/>
  <c r="B10" i="3909"/>
  <c r="B13" i="3909" s="1"/>
  <c r="H9" i="3909"/>
  <c r="C9" i="3909"/>
  <c r="H8" i="3909"/>
  <c r="C8" i="3909"/>
  <c r="O7" i="3909"/>
  <c r="H7" i="3909"/>
  <c r="C7" i="3909"/>
  <c r="O6" i="3909"/>
  <c r="H6" i="3909"/>
  <c r="B6" i="3909"/>
  <c r="O5" i="3909"/>
  <c r="H5" i="3909"/>
  <c r="B5" i="3909"/>
  <c r="O4" i="3909"/>
  <c r="H4" i="3909"/>
  <c r="O3" i="3909"/>
  <c r="H3" i="3909"/>
  <c r="O2" i="3909"/>
  <c r="H2" i="3909"/>
  <c r="O26" i="3908"/>
  <c r="O25" i="3908"/>
  <c r="O18" i="3908"/>
  <c r="O27" i="3908"/>
  <c r="O24" i="3908"/>
  <c r="O28" i="3908"/>
  <c r="O22" i="3908"/>
  <c r="O21" i="3908"/>
  <c r="O23" i="3908"/>
  <c r="O16" i="3908"/>
  <c r="O15" i="3908"/>
  <c r="H52" i="3908"/>
  <c r="H6" i="3908"/>
  <c r="H16" i="3908"/>
  <c r="H51" i="3908"/>
  <c r="H50" i="3908"/>
  <c r="C48" i="3908"/>
  <c r="H49" i="3908"/>
  <c r="C47" i="3908"/>
  <c r="H48" i="3908"/>
  <c r="C46" i="3908"/>
  <c r="H47" i="3908"/>
  <c r="C45" i="3908"/>
  <c r="H32" i="3908"/>
  <c r="C44" i="3908"/>
  <c r="H46" i="3908"/>
  <c r="C43" i="3908"/>
  <c r="H45" i="3908"/>
  <c r="C42" i="3908"/>
  <c r="H44" i="3908"/>
  <c r="C41" i="3908"/>
  <c r="H43" i="3908"/>
  <c r="C40" i="3908"/>
  <c r="H42" i="3908"/>
  <c r="C39" i="3908"/>
  <c r="H41" i="3908"/>
  <c r="C38" i="3908"/>
  <c r="H40" i="3908"/>
  <c r="C37" i="3908"/>
  <c r="H39" i="3908"/>
  <c r="C36" i="3908"/>
  <c r="H38" i="3908"/>
  <c r="H37" i="3908"/>
  <c r="C34" i="3908"/>
  <c r="H29" i="3908"/>
  <c r="H36" i="3908"/>
  <c r="H28" i="3908"/>
  <c r="H20" i="3908"/>
  <c r="H18" i="3908"/>
  <c r="B29" i="3908"/>
  <c r="H27" i="3908"/>
  <c r="B28" i="3908"/>
  <c r="H8" i="3908"/>
  <c r="B27" i="3908"/>
  <c r="H31" i="3908"/>
  <c r="B26" i="3908"/>
  <c r="H26" i="3908"/>
  <c r="C25" i="3908"/>
  <c r="H12" i="3908"/>
  <c r="C24" i="3908"/>
  <c r="H21" i="3908"/>
  <c r="C23" i="3908"/>
  <c r="H30" i="3908"/>
  <c r="C22" i="3908"/>
  <c r="H14" i="3908"/>
  <c r="C21" i="3908"/>
  <c r="H35" i="3908"/>
  <c r="C20" i="3908"/>
  <c r="H17" i="3908"/>
  <c r="C19" i="3908"/>
  <c r="H34" i="3908"/>
  <c r="C18" i="3908"/>
  <c r="H19" i="3908"/>
  <c r="C17" i="3908"/>
  <c r="H15" i="3908"/>
  <c r="C16" i="3908"/>
  <c r="H22" i="3908"/>
  <c r="C15" i="3908"/>
  <c r="H33" i="3908"/>
  <c r="C14" i="3908"/>
  <c r="H23" i="3908"/>
  <c r="O12" i="3908"/>
  <c r="H25" i="3908"/>
  <c r="B12" i="3908"/>
  <c r="O11" i="3908"/>
  <c r="H24" i="3908"/>
  <c r="B11" i="3908"/>
  <c r="O10" i="3908"/>
  <c r="H3" i="3908"/>
  <c r="B10" i="3908"/>
  <c r="H13" i="3908"/>
  <c r="C9" i="3908"/>
  <c r="H11" i="3908"/>
  <c r="C8" i="3908"/>
  <c r="O7" i="3908"/>
  <c r="H9" i="3908"/>
  <c r="C7" i="3908"/>
  <c r="O6" i="3908"/>
  <c r="H5" i="3908"/>
  <c r="B6" i="3908"/>
  <c r="O5" i="3908"/>
  <c r="H7" i="3908"/>
  <c r="B5" i="3908"/>
  <c r="O4" i="3908"/>
  <c r="H2" i="3908"/>
  <c r="O3" i="3908"/>
  <c r="H10" i="3908"/>
  <c r="O2" i="3908"/>
  <c r="H4" i="3908"/>
  <c r="O31" i="3907"/>
  <c r="O30" i="3907"/>
  <c r="O27" i="3907"/>
  <c r="O24" i="3907"/>
  <c r="O29" i="3907"/>
  <c r="O28" i="3907"/>
  <c r="O22" i="3907"/>
  <c r="O21" i="3907"/>
  <c r="O23" i="3907"/>
  <c r="O25" i="3907"/>
  <c r="O20" i="3907"/>
  <c r="O16" i="3907"/>
  <c r="O15" i="3907"/>
  <c r="H52" i="3907"/>
  <c r="H6" i="3907"/>
  <c r="H19" i="3907"/>
  <c r="H51" i="3907"/>
  <c r="H50" i="3907"/>
  <c r="C48" i="3907"/>
  <c r="H49" i="3907"/>
  <c r="C47" i="3907"/>
  <c r="H48" i="3907"/>
  <c r="C46" i="3907"/>
  <c r="H47" i="3907"/>
  <c r="C45" i="3907"/>
  <c r="H32" i="3907"/>
  <c r="C44" i="3907"/>
  <c r="H46" i="3907"/>
  <c r="C43" i="3907"/>
  <c r="H45" i="3907"/>
  <c r="C42" i="3907"/>
  <c r="H44" i="3907"/>
  <c r="C41" i="3907"/>
  <c r="H37" i="3907"/>
  <c r="C40" i="3907"/>
  <c r="H34" i="3907"/>
  <c r="C39" i="3907"/>
  <c r="H43" i="3907"/>
  <c r="C38" i="3907"/>
  <c r="H42" i="3907"/>
  <c r="C37" i="3907"/>
  <c r="H41" i="3907"/>
  <c r="C36" i="3907"/>
  <c r="H33" i="3907"/>
  <c r="H40" i="3907"/>
  <c r="C34" i="3907"/>
  <c r="H31" i="3907"/>
  <c r="H39" i="3907"/>
  <c r="H26" i="3907"/>
  <c r="H21" i="3907"/>
  <c r="H17" i="3907"/>
  <c r="B29" i="3907"/>
  <c r="H29" i="3907"/>
  <c r="B28" i="3907"/>
  <c r="H9" i="3907"/>
  <c r="B27" i="3907"/>
  <c r="H30" i="3907"/>
  <c r="B26" i="3907"/>
  <c r="H28" i="3907"/>
  <c r="C25" i="3907"/>
  <c r="H13" i="3907"/>
  <c r="C24" i="3907"/>
  <c r="H24" i="3907"/>
  <c r="C23" i="3907"/>
  <c r="H27" i="3907"/>
  <c r="C22" i="3907"/>
  <c r="H14" i="3907"/>
  <c r="C21" i="3907"/>
  <c r="H38" i="3907"/>
  <c r="C20" i="3907"/>
  <c r="H16" i="3907"/>
  <c r="C19" i="3907"/>
  <c r="H36" i="3907"/>
  <c r="C18" i="3907"/>
  <c r="H18" i="3907"/>
  <c r="C17" i="3907"/>
  <c r="H15" i="3907"/>
  <c r="C16" i="3907"/>
  <c r="H23" i="3907"/>
  <c r="C15" i="3907"/>
  <c r="H35" i="3907"/>
  <c r="C14" i="3907"/>
  <c r="H20" i="3907"/>
  <c r="O12" i="3907"/>
  <c r="H25" i="3907"/>
  <c r="B12" i="3907"/>
  <c r="O11" i="3907"/>
  <c r="H22" i="3907"/>
  <c r="B11" i="3907"/>
  <c r="O10" i="3907"/>
  <c r="H3" i="3907"/>
  <c r="B10" i="3907"/>
  <c r="H12" i="3907"/>
  <c r="C9" i="3907"/>
  <c r="H11" i="3907"/>
  <c r="C8" i="3907"/>
  <c r="O7" i="3907"/>
  <c r="H8" i="3907"/>
  <c r="C7" i="3907"/>
  <c r="O6" i="3907"/>
  <c r="H5" i="3907"/>
  <c r="B6" i="3907"/>
  <c r="O5" i="3907"/>
  <c r="H7" i="3907"/>
  <c r="B5" i="3907"/>
  <c r="O4" i="3907"/>
  <c r="H2" i="3907"/>
  <c r="O3" i="3907"/>
  <c r="H10" i="3907"/>
  <c r="O2" i="3907"/>
  <c r="H4" i="3907"/>
  <c r="B13" i="3910" l="1"/>
  <c r="B13" i="3912"/>
  <c r="B13" i="3920"/>
  <c r="B13" i="3915"/>
  <c r="B13" i="3916"/>
  <c r="B13" i="3919"/>
  <c r="B13" i="3914"/>
  <c r="B13" i="3911"/>
  <c r="B13" i="3908"/>
  <c r="B13" i="3907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<sst xmlns="http://schemas.openxmlformats.org/spreadsheetml/2006/main" count="4364" uniqueCount="207">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</sst>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全体!$K$2:$K$3221</c:f>
              <c:numCache>
                <c:formatCode>General</c:formatCode>
                <c:ptCount val="3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</c:numCache>
            </c:numRef>
          </c:xVal>
          <c:yVal>
            <c:numRef>
              <c:f>全体!$L$2:$L$3221</c:f>
              <c:numCache>
                <c:formatCode>\+0.0;\-0.0;\±0</c:formatCode>
                <c:ptCount val="322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BE-400B-BBD2-A7CBBD152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-20.657276995305164</c:v>
                </c:pt>
                <c:pt idx="1">
                  <c:v>-0.64164260506897663</c:v>
                </c:pt>
                <c:pt idx="2">
                  <c:v>5.4588877516206074</c:v>
                </c:pt>
                <c:pt idx="3">
                  <c:v>2.9795158286778398</c:v>
                </c:pt>
                <c:pt idx="4">
                  <c:v>-0.82712985938792394</c:v>
                </c:pt>
                <c:pt idx="5">
                  <c:v>22.156573116691284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5-48ED-99FD-A05C1A6D1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509</c:v>
                </c:pt>
                <c:pt idx="1">
                  <c:v>1120</c:v>
                </c:pt>
                <c:pt idx="2">
                  <c:v>1379</c:v>
                </c:pt>
                <c:pt idx="3">
                  <c:v>1370</c:v>
                </c:pt>
                <c:pt idx="4">
                  <c:v>1142</c:v>
                </c:pt>
                <c:pt idx="5">
                  <c:v>738</c:v>
                </c:pt>
                <c:pt idx="6">
                  <c:v>440</c:v>
                </c:pt>
                <c:pt idx="7">
                  <c:v>241</c:v>
                </c:pt>
                <c:pt idx="8">
                  <c:v>136</c:v>
                </c:pt>
                <c:pt idx="9">
                  <c:v>67</c:v>
                </c:pt>
                <c:pt idx="10">
                  <c:v>38</c:v>
                </c:pt>
                <c:pt idx="11">
                  <c:v>16</c:v>
                </c:pt>
                <c:pt idx="12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49-449F-B6B0-4B463782C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だいち!$K$2:$K$747</c:f>
              <c:numCache>
                <c:formatCode>General</c:formatCode>
                <c:ptCount val="7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</c:numCache>
            </c:numRef>
          </c:xVal>
          <c:yVal>
            <c:numRef>
              <c:f>だいち!$L$2:$L$747</c:f>
              <c:numCache>
                <c:formatCode>\+0.0;\-0.0;\±0</c:formatCode>
                <c:ptCount val="74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03-492A-85DB-0C17BB224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1248.3085250338295</c:v>
                </c:pt>
                <c:pt idx="1">
                  <c:v>1531.1111111111111</c:v>
                </c:pt>
                <c:pt idx="2">
                  <c:v>1573.9067055393587</c:v>
                </c:pt>
                <c:pt idx="3">
                  <c:v>1664.6964856230031</c:v>
                </c:pt>
                <c:pt idx="4">
                  <c:v>1276.3765541740675</c:v>
                </c:pt>
                <c:pt idx="5">
                  <c:v>1444.2307692307693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22-4274-9C17-A4FF59238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130</c:v>
                </c:pt>
                <c:pt idx="1">
                  <c:v>271</c:v>
                </c:pt>
                <c:pt idx="2">
                  <c:v>361</c:v>
                </c:pt>
                <c:pt idx="3">
                  <c:v>371</c:v>
                </c:pt>
                <c:pt idx="4">
                  <c:v>283</c:v>
                </c:pt>
                <c:pt idx="5">
                  <c:v>199</c:v>
                </c:pt>
                <c:pt idx="6">
                  <c:v>124</c:v>
                </c:pt>
                <c:pt idx="7">
                  <c:v>58</c:v>
                </c:pt>
                <c:pt idx="8">
                  <c:v>36</c:v>
                </c:pt>
                <c:pt idx="9">
                  <c:v>16</c:v>
                </c:pt>
                <c:pt idx="10">
                  <c:v>9</c:v>
                </c:pt>
                <c:pt idx="11">
                  <c:v>3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6-47B3-87E9-3DDDF9F2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4A-44B0-8EB7-E339F9BCD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3B-4D7A-B2FF-6AAC449AC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79-49F3-AC90-30D77FC84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ともき!$L$2:$L$33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6E-4E2A-B09D-996317BCC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-2703.3333333333335</c:v>
                </c:pt>
                <c:pt idx="1">
                  <c:v>-933.33333333333337</c:v>
                </c:pt>
                <c:pt idx="2">
                  <c:v>-2843.3333333333335</c:v>
                </c:pt>
                <c:pt idx="3">
                  <c:v>1876.9230769230769</c:v>
                </c:pt>
                <c:pt idx="4">
                  <c:v>1234.7826086956522</c:v>
                </c:pt>
                <c:pt idx="5">
                  <c:v>-1371.4285714285713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C5-449B-B9A9-00FA7C3B6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3-43BD-A202-B4822C323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りくと!$K$2:$K$442</c:f>
              <c:numCache>
                <c:formatCode>General</c:formatCode>
                <c:ptCount val="4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</c:numCache>
            </c:numRef>
          </c:xVal>
          <c:yVal>
            <c:numRef>
              <c:f>りくと!$L$2:$L$442</c:f>
              <c:numCache>
                <c:formatCode>\+0.0;\-0.0;\±0</c:formatCode>
                <c:ptCount val="441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7-4EB0-9235-7EE8EA87B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-559.72540045766596</c:v>
                </c:pt>
                <c:pt idx="1">
                  <c:v>-1167.1361502347418</c:v>
                </c:pt>
                <c:pt idx="2">
                  <c:v>11.358024691358025</c:v>
                </c:pt>
                <c:pt idx="3">
                  <c:v>-614.59459459459458</c:v>
                </c:pt>
                <c:pt idx="4">
                  <c:v>-1063.5542168674699</c:v>
                </c:pt>
                <c:pt idx="5">
                  <c:v>-1042.9577464788733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FA-43F4-BF1A-8B2219C5D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50</c:v>
                </c:pt>
                <c:pt idx="1">
                  <c:v>118</c:v>
                </c:pt>
                <c:pt idx="2">
                  <c:v>178</c:v>
                </c:pt>
                <c:pt idx="3">
                  <c:v>159</c:v>
                </c:pt>
                <c:pt idx="4">
                  <c:v>146</c:v>
                </c:pt>
                <c:pt idx="5">
                  <c:v>101</c:v>
                </c:pt>
                <c:pt idx="6">
                  <c:v>63</c:v>
                </c:pt>
                <c:pt idx="7">
                  <c:v>31</c:v>
                </c:pt>
                <c:pt idx="8">
                  <c:v>14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9-4950-AE47-7416E39D9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A0-4530-86C9-2C88D11EC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6-49C5-83FC-A5A7F7E4D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4D-47E5-9618-E050105D6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BD-48FD-8818-FCE4EB11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4-48AD-9206-DCB7BEAEB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C-483D-ADCF-64EAF5087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たかの!$K$2:$K$300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xVal>
          <c:yVal>
            <c:numRef>
              <c:f>たかの!$L$2:$L$300</c:f>
              <c:numCache>
                <c:formatCode>\+0.0;\-0.0;\±0</c:formatCode>
                <c:ptCount val="299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7F-4D12-A068-C93491965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134.8993288590604</c:v>
                </c:pt>
                <c:pt idx="1">
                  <c:v>-1823.4482758620691</c:v>
                </c:pt>
                <c:pt idx="2">
                  <c:v>-1305.5555555555557</c:v>
                </c:pt>
                <c:pt idx="3">
                  <c:v>-40.316205533596836</c:v>
                </c:pt>
                <c:pt idx="4">
                  <c:v>-690.47619047619048</c:v>
                </c:pt>
                <c:pt idx="5">
                  <c:v>-1226.5625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E-4467-976C-2BFEFC19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73</c:v>
                </c:pt>
                <c:pt idx="1">
                  <c:v>151</c:v>
                </c:pt>
                <c:pt idx="2">
                  <c:v>137</c:v>
                </c:pt>
                <c:pt idx="3">
                  <c:v>136</c:v>
                </c:pt>
                <c:pt idx="4">
                  <c:v>98</c:v>
                </c:pt>
                <c:pt idx="5">
                  <c:v>45</c:v>
                </c:pt>
                <c:pt idx="6">
                  <c:v>25</c:v>
                </c:pt>
                <c:pt idx="7">
                  <c:v>17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82-4013-B659-5AD8A22D9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ただ!$K$2:$K$514</c:f>
              <c:numCache>
                <c:formatCode>General</c:formatCode>
                <c:ptCount val="5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</c:numCache>
            </c:numRef>
          </c:xVal>
          <c:yVal>
            <c:numRef>
              <c:f>ただ!$L$2:$L$514</c:f>
              <c:numCache>
                <c:formatCode>\+0.0;\-0.0;\±0</c:formatCode>
                <c:ptCount val="513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A-4CBB-8206-FAFFBE67F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-516.56804733727813</c:v>
                </c:pt>
                <c:pt idx="1">
                  <c:v>-236.3821138211382</c:v>
                </c:pt>
                <c:pt idx="2">
                  <c:v>284.84848484848487</c:v>
                </c:pt>
                <c:pt idx="3">
                  <c:v>-1142.5581395348838</c:v>
                </c:pt>
                <c:pt idx="4">
                  <c:v>-181.60621761658032</c:v>
                </c:pt>
                <c:pt idx="5">
                  <c:v>101.80722891566265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F-49F4-8126-9B8CA522D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82</c:v>
                </c:pt>
                <c:pt idx="1">
                  <c:v>211</c:v>
                </c:pt>
                <c:pt idx="2">
                  <c:v>259</c:v>
                </c:pt>
                <c:pt idx="3">
                  <c:v>234</c:v>
                </c:pt>
                <c:pt idx="4">
                  <c:v>170</c:v>
                </c:pt>
                <c:pt idx="5">
                  <c:v>108</c:v>
                </c:pt>
                <c:pt idx="6">
                  <c:v>53</c:v>
                </c:pt>
                <c:pt idx="7">
                  <c:v>38</c:v>
                </c:pt>
                <c:pt idx="8">
                  <c:v>18</c:v>
                </c:pt>
                <c:pt idx="9">
                  <c:v>12</c:v>
                </c:pt>
                <c:pt idx="10">
                  <c:v>10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7-4F80-AF99-2A0EB4B06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9D-4E3F-A9F8-6DD28B7F3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B4-444F-893D-D6A4E129A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A-4DD6-8C90-66C63A950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れんたろう!$K$2:$K$434</c:f>
              <c:numCache>
                <c:formatCode>General</c:formatCode>
                <c:ptCount val="4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</c:numCache>
            </c:numRef>
          </c:xVal>
          <c:yVal>
            <c:numRef>
              <c:f>れんたろう!$L$2:$L$434</c:f>
              <c:numCache>
                <c:formatCode>\+0.0;\-0.0;\±0</c:formatCode>
                <c:ptCount val="43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6E-454A-9AF4-06753FB0E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400</c:v>
                </c:pt>
                <c:pt idx="1">
                  <c:v>-352.99760191846525</c:v>
                </c:pt>
                <c:pt idx="2">
                  <c:v>290.93264248704662</c:v>
                </c:pt>
                <c:pt idx="3">
                  <c:v>588.25214899713467</c:v>
                </c:pt>
                <c:pt idx="4">
                  <c:v>-685.89341692789969</c:v>
                </c:pt>
                <c:pt idx="5">
                  <c:v>708.0459770114943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7-4E9D-9D0A-8B01322A2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31</c:v>
                </c:pt>
                <c:pt idx="1">
                  <c:v>97</c:v>
                </c:pt>
                <c:pt idx="2">
                  <c:v>141</c:v>
                </c:pt>
                <c:pt idx="3">
                  <c:v>196</c:v>
                </c:pt>
                <c:pt idx="4">
                  <c:v>185</c:v>
                </c:pt>
                <c:pt idx="5">
                  <c:v>117</c:v>
                </c:pt>
                <c:pt idx="6">
                  <c:v>77</c:v>
                </c:pt>
                <c:pt idx="7">
                  <c:v>51</c:v>
                </c:pt>
                <c:pt idx="8">
                  <c:v>33</c:v>
                </c:pt>
                <c:pt idx="9">
                  <c:v>12</c:v>
                </c:pt>
                <c:pt idx="10">
                  <c:v>8</c:v>
                </c:pt>
                <c:pt idx="11">
                  <c:v>4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F-4740-871F-B0BA019D8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B-4F44-B770-8DCDB538A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6-43AD-8E75-6D6BB8AB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5-4816-A0CC-F81EC71F1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まっつん!$K$2:$K$356</c:f>
              <c:numCache>
                <c:formatCode>General</c:formatCode>
                <c:ptCount val="3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</c:numCache>
            </c:numRef>
          </c:xVal>
          <c:yVal>
            <c:numRef>
              <c:f>まっつん!$L$2:$L$356</c:f>
              <c:numCache>
                <c:formatCode>\+0.0;\-0.0;\±0</c:formatCode>
                <c:ptCount val="355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28-4B6C-87B2-74795DB96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-75.354107648725218</c:v>
                </c:pt>
                <c:pt idx="1">
                  <c:v>550.86705202312135</c:v>
                </c:pt>
                <c:pt idx="2">
                  <c:v>-521.2962962962963</c:v>
                </c:pt>
                <c:pt idx="3">
                  <c:v>-216.77852348993289</c:v>
                </c:pt>
                <c:pt idx="4">
                  <c:v>-1024.907063197026</c:v>
                </c:pt>
                <c:pt idx="5">
                  <c:v>-282.66666666666669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C-4191-A029-8EC44B147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56</c:v>
                </c:pt>
                <c:pt idx="1">
                  <c:v>120</c:v>
                </c:pt>
                <c:pt idx="2">
                  <c:v>145</c:v>
                </c:pt>
                <c:pt idx="3">
                  <c:v>140</c:v>
                </c:pt>
                <c:pt idx="4">
                  <c:v>115</c:v>
                </c:pt>
                <c:pt idx="5">
                  <c:v>78</c:v>
                </c:pt>
                <c:pt idx="6">
                  <c:v>47</c:v>
                </c:pt>
                <c:pt idx="7">
                  <c:v>19</c:v>
                </c:pt>
                <c:pt idx="8">
                  <c:v>15</c:v>
                </c:pt>
                <c:pt idx="9">
                  <c:v>10</c:v>
                </c:pt>
                <c:pt idx="10">
                  <c:v>3</c:v>
                </c:pt>
                <c:pt idx="11">
                  <c:v>2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8B-4A9E-89D0-0B299552B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F8-4533-9B7A-93111D2B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446.06741573033707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9-4499-8896-8A304DBB6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87-43AB-84A7-44B09D14A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B-4ECF-9BFB-B2CA9A01C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C5-40DA-A29F-1CF73DF6E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C5-4F49-96B6-C55AC6A36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56-44C9-8D1F-69B71F08A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EC-4B43-A61A-70B36209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80-44BF-A601-175DAA1C6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のり!$L$2:$L$95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4-420A-90AE-E176976E5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-3480.6451612903224</c:v>
                </c:pt>
                <c:pt idx="1">
                  <c:v>175</c:v>
                </c:pt>
                <c:pt idx="2">
                  <c:v>-1548.8372093023256</c:v>
                </c:pt>
                <c:pt idx="3">
                  <c:v>-1244.7368421052631</c:v>
                </c:pt>
                <c:pt idx="4">
                  <c:v>-1552.8571428571429</c:v>
                </c:pt>
                <c:pt idx="5">
                  <c:v>-2296.4912280701756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4-4842-BFDB-FC5CE6467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17</c:v>
                </c:pt>
                <c:pt idx="1">
                  <c:v>32</c:v>
                </c:pt>
                <c:pt idx="2">
                  <c:v>39</c:v>
                </c:pt>
                <c:pt idx="3">
                  <c:v>33</c:v>
                </c:pt>
                <c:pt idx="4">
                  <c:v>26</c:v>
                </c:pt>
                <c:pt idx="5">
                  <c:v>15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8-4572-8118-E92EE96A0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48-43AD-8C45-6BE4A2253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E-4A26-9384-46232E280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7F-4832-8387-C90CF295C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FE-4866-A49B-3A2805EB8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1F-49D8-B811-B7D186827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C-4F00-ABBC-D1484D17A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3-4262-AEB8-18C963954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CE-4B10-BD8C-B8A1FCE54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D-4E8E-AC26-F1A9258CC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20421B-E506-404C-B999-CB2888225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6878CB-A26F-4DA4-A7F4-FBAC737BFD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AAD574E-B0E9-40B2-AB82-663967EE93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B88102A-131B-4D72-BADF-D6AE97A18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C1D187-4194-40C4-8266-523301D24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2EC81C-BAB1-45C1-8671-8F5C21181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E9DC988-B5C4-4AA5-985B-ECFF2C9F5D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B3CB65-93AE-4997-945B-870C9C2ECE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09855D-AF2D-401E-98D4-2CAFE94560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F4036E2-A80E-458A-9FF3-53DD7522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42A3A2-51F3-44D9-8B85-B861BFDE85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2824AA5-BF36-4FA0-BBFD-AEB8B29598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C78F7F-B3E1-44B2-9249-E3A82012DE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4C1017-A2DF-4977-8694-7A0B8E1C55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5E324DA-1EBB-4604-A214-E1F65A1AA7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3CB003-2FF1-4F11-8C2D-BC7B248E1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CA7CB85-F6EB-49FD-A0D7-9DB8A874CA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6FC14F1-B948-437D-AE86-CABAB52D87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BCBDD5-3537-444A-B88A-E642CF260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FB44A0-0C9E-4016-8DC6-1B99EDC36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9F66BC3-2CBA-4638-AB40-104AEA9BA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9BD131-C512-4D75-80B0-C609CBC44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F4767DD-64B3-46AF-BC27-7EFDED8F5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AD01C4F-49B4-4C98-92C8-F41D81767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AF92E6-9968-4524-AD16-DA3AA897C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BBE120-9D7F-4921-819A-00438F953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78634A-20ED-4E44-BC4A-5B96E293B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E70119-D787-4F72-994C-3CF8831F7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F1B95C-5ED4-48FB-95B6-6EB47CA29E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3B8D354-D3E3-49CE-BD31-D7F6289EE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5A3D5C-4413-4C69-9139-353197322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9BFEF2-228A-433C-A578-3CC3BE84B5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468D6D-CC1B-42AD-BA5E-FF7931D50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B7B577-28A1-45F2-A897-1003A7DB70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C28358-808E-4758-BCD5-66D5C1D67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DADEAF-37AA-4515-B10A-99F85DF92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4844A8-A32C-4925-AF90-C4CA8E413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55D4F8-8FD0-4A3C-A073-1F043EF465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89CE2E7-C1C6-42D8-9E10-0A8AB9DE8F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66B2A1-D8B4-4181-A5B2-DD18E4770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F05013-B2B8-405F-8748-D47121E48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F668316-A22D-41C4-8A7A-780A3287E0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107E27-E6B9-4CE4-8DAA-1F11494EF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993F03-B634-4FBD-9D4A-768B60BE89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785691D-621C-42BC-A80F-0D6289AC3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E935A2-928B-4907-8BE2-E565F2390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A651168-60EC-45E3-BCA2-2B0379517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EC9587-D3A4-4F26-A916-A7771B11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B389B3-CBE9-4FDC-8126-20B585F32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C22EDE-BB9B-4378-A2B4-8DD8660A62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C5AA346-266D-4F68-A2A3-3843A42055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31AD61-7253-494C-9881-8ABD5BBED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9137C3E-1F1D-4446-BF0A-FDDF56255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4845BFD-F21A-43CB-B104-E1C2175458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A1C1D3-90B7-452C-A8C5-3A9286FDA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ACCF2C-C535-4E67-9F9C-FF1F13261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5D88DCB-6B63-4B28-8F5E-E9F21FD91F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E25133-E68B-41E5-A9C0-B748AE31DC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21078A-EC65-47C3-B058-E9156F4DF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87A4B6A-2771-45A7-B19A-B9499AA911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41"/>
      <c r="C1" s="142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31">
        <v>0</v>
      </c>
      <c r="C2" s="132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43">
        <v>0</v>
      </c>
      <c r="C3" s="144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5">
      <c r="A4" s="20" t="s">
        <v>6</v>
      </c>
      <c r="B4" s="145">
        <v>0</v>
      </c>
      <c r="C4" s="146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5">
      <c r="A5" s="20" t="s">
        <v>7</v>
      </c>
      <c r="B5" s="139">
        <f>IF(B$2=0,0,B$4/B$2)</f>
        <v>0</v>
      </c>
      <c r="C5" s="140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5">
      <c r="A6" s="20" t="s">
        <v>1</v>
      </c>
      <c r="B6" s="137">
        <f>IF(B$2=0,0,(B$7*1+B$8*2+B$9*3)/B$2)</f>
        <v>0</v>
      </c>
      <c r="C6" s="138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0</v>
      </c>
      <c r="C13" s="140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5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5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5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5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5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5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5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5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5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5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5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5">
      <c r="A32" s="64" t="s">
        <v>134</v>
      </c>
      <c r="B32" s="135">
        <v>0</v>
      </c>
      <c r="C32" s="136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5">
      <c r="A33" s="40" t="s">
        <v>177</v>
      </c>
      <c r="B33" s="133">
        <v>-1000000</v>
      </c>
      <c r="C33" s="134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5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5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5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5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5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5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5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5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5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5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5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5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5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5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5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5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5">
      <c r="A51" s="39" t="s">
        <v>182</v>
      </c>
      <c r="B51" s="129">
        <v>0</v>
      </c>
      <c r="C51" s="130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5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1:C1"/>
    <mergeCell ref="B2:C2"/>
    <mergeCell ref="B3:C3"/>
    <mergeCell ref="B4:C4"/>
    <mergeCell ref="B5:C5"/>
    <mergeCell ref="B51:C51"/>
    <mergeCell ref="B50:C50"/>
    <mergeCell ref="B33:C33"/>
    <mergeCell ref="B32:C32"/>
    <mergeCell ref="B6:C6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2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9" customWidth="1"/>
    <col min="3" max="3" width="10.69921875" style="123" customWidth="1"/>
    <col min="4" max="4" width="10.69921875" style="57" customWidth="1"/>
    <col min="5" max="5" width="10.69921875" style="58" customWidth="1"/>
    <col min="6" max="6" width="10.69921875" style="59" customWidth="1"/>
    <col min="7" max="7" width="10.69921875" style="71" customWidth="1"/>
    <col min="8" max="8" width="10.69921875" style="59" customWidth="1"/>
    <col min="9" max="9" width="10.69921875" style="71" customWidth="1"/>
    <col min="10" max="10" width="10.69921875" style="59" customWidth="1"/>
    <col min="11" max="11" width="10.69921875" style="60" customWidth="1"/>
    <col min="12" max="12" width="10.69921875" style="59" customWidth="1"/>
    <col min="13" max="13" width="10.69921875" style="61" customWidth="1"/>
    <col min="14" max="14" width="10.69921875" style="59" customWidth="1"/>
    <col min="15" max="15" width="10.69921875" style="61" customWidth="1"/>
    <col min="16" max="16" width="10.69921875" style="59" customWidth="1"/>
    <col min="17" max="17" width="10.69921875" style="62" customWidth="1"/>
    <col min="18" max="18" width="10.69921875" style="59" customWidth="1"/>
    <col min="19" max="19" width="10.69921875" style="62" customWidth="1"/>
    <col min="20" max="20" width="10.69921875" style="59" customWidth="1"/>
    <col min="21" max="21" width="10.69921875" style="63" customWidth="1"/>
    <col min="22" max="22" width="10.69921875" style="59" customWidth="1"/>
    <col min="23" max="23" width="10.69921875" style="63" customWidth="1"/>
    <col min="24" max="24" width="10.69921875" style="59" customWidth="1"/>
    <col min="25" max="25" width="10.69921875" style="61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2" customWidth="1"/>
    <col min="34" max="34" width="10.69921875" style="59" customWidth="1"/>
    <col min="35" max="35" width="10.69921875" style="62" customWidth="1"/>
    <col min="36" max="36" width="10.69921875" style="59" customWidth="1"/>
    <col min="37" max="37" width="10.69921875" style="66" customWidth="1"/>
    <col min="38" max="16384" width="9" style="47"/>
  </cols>
  <sheetData>
    <row r="1" spans="1:37" x14ac:dyDescent="0.45">
      <c r="A1" s="46"/>
      <c r="B1" s="147" t="s">
        <v>9</v>
      </c>
      <c r="C1" s="148"/>
      <c r="D1" s="151" t="s">
        <v>6</v>
      </c>
      <c r="E1" s="152"/>
      <c r="F1" s="151" t="s">
        <v>7</v>
      </c>
      <c r="G1" s="152"/>
      <c r="H1" s="147" t="s">
        <v>206</v>
      </c>
      <c r="I1" s="148"/>
      <c r="J1" s="151" t="s">
        <v>15</v>
      </c>
      <c r="K1" s="152"/>
      <c r="L1" s="151" t="s">
        <v>14</v>
      </c>
      <c r="M1" s="152"/>
      <c r="N1" s="151" t="s">
        <v>147</v>
      </c>
      <c r="O1" s="152"/>
      <c r="P1" s="151" t="s">
        <v>137</v>
      </c>
      <c r="Q1" s="152"/>
      <c r="R1" s="151" t="s">
        <v>138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139</v>
      </c>
      <c r="AG1" s="152"/>
      <c r="AH1" s="151" t="s">
        <v>136</v>
      </c>
      <c r="AI1" s="152"/>
      <c r="AJ1" s="151" t="s">
        <v>177</v>
      </c>
      <c r="AK1" s="152"/>
    </row>
    <row r="2" spans="1:37" x14ac:dyDescent="0.45">
      <c r="A2" s="46" t="s">
        <v>146</v>
      </c>
      <c r="B2" s="149">
        <v>0.49581190043795509</v>
      </c>
      <c r="C2" s="150"/>
      <c r="D2" s="153"/>
      <c r="E2" s="154"/>
      <c r="F2" s="153"/>
      <c r="G2" s="154"/>
      <c r="H2" s="149">
        <v>0.28813405278756893</v>
      </c>
      <c r="I2" s="150"/>
      <c r="J2" s="149">
        <v>0.78400901791834587</v>
      </c>
      <c r="K2" s="150"/>
      <c r="L2" s="149">
        <v>0.6116123074758093</v>
      </c>
      <c r="M2" s="150"/>
      <c r="N2" s="149">
        <v>0.63401699652800236</v>
      </c>
      <c r="O2" s="150"/>
      <c r="P2" s="149">
        <v>0.6070878857022256</v>
      </c>
      <c r="Q2" s="150"/>
      <c r="R2" s="149">
        <v>0.4041561394661719</v>
      </c>
      <c r="S2" s="150"/>
      <c r="T2" s="149">
        <v>0.24331840465399651</v>
      </c>
      <c r="U2" s="150"/>
      <c r="V2" s="149">
        <v>-7.1392170154759113E-2</v>
      </c>
      <c r="W2" s="150"/>
      <c r="X2" s="149">
        <v>0.39054776938018043</v>
      </c>
      <c r="Y2" s="150"/>
      <c r="Z2" s="149">
        <v>0.2353690528388572</v>
      </c>
      <c r="AA2" s="150"/>
      <c r="AB2" s="149">
        <v>-6.2835706915906808E-4</v>
      </c>
      <c r="AC2" s="150"/>
      <c r="AD2" s="149">
        <v>0.40323339666478092</v>
      </c>
      <c r="AE2" s="150"/>
      <c r="AF2" s="149">
        <v>0.33160203434887731</v>
      </c>
      <c r="AG2" s="150"/>
      <c r="AH2" s="149">
        <v>-0.28757368372706404</v>
      </c>
      <c r="AI2" s="150"/>
      <c r="AJ2" s="149">
        <v>0.57106206528829184</v>
      </c>
      <c r="AK2" s="150"/>
    </row>
    <row r="3" spans="1:37" x14ac:dyDescent="0.45">
      <c r="A3" s="48">
        <v>1</v>
      </c>
      <c r="B3" s="51" t="s">
        <v>183</v>
      </c>
      <c r="C3" s="122">
        <v>1073</v>
      </c>
      <c r="D3" s="49" t="s">
        <v>195</v>
      </c>
      <c r="E3" s="50">
        <v>7245.2999999999993</v>
      </c>
      <c r="F3" s="51" t="s">
        <v>200</v>
      </c>
      <c r="G3" s="70">
        <v>13.3</v>
      </c>
      <c r="H3" s="51" t="s">
        <v>200</v>
      </c>
      <c r="I3" s="70">
        <v>4.4333333333333336</v>
      </c>
      <c r="J3" s="51" t="s">
        <v>196</v>
      </c>
      <c r="K3" s="52">
        <v>1.6666666666666667</v>
      </c>
      <c r="L3" s="51" t="s">
        <v>196</v>
      </c>
      <c r="M3" s="53">
        <v>0.55555555555555558</v>
      </c>
      <c r="N3" s="51" t="s">
        <v>200</v>
      </c>
      <c r="O3" s="53">
        <v>0</v>
      </c>
      <c r="P3" s="51" t="s">
        <v>196</v>
      </c>
      <c r="Q3" s="54">
        <v>0.34782608695652173</v>
      </c>
      <c r="R3" s="51" t="s">
        <v>200</v>
      </c>
      <c r="S3" s="54">
        <v>7.6923076923076927E-2</v>
      </c>
      <c r="T3" s="51" t="s">
        <v>200</v>
      </c>
      <c r="U3" s="55">
        <v>13800</v>
      </c>
      <c r="V3" s="51" t="s">
        <v>187</v>
      </c>
      <c r="W3" s="55">
        <v>-7379.9043062200953</v>
      </c>
      <c r="X3" s="51" t="s">
        <v>200</v>
      </c>
      <c r="Y3" s="53">
        <v>0</v>
      </c>
      <c r="Z3" s="51" t="s">
        <v>202</v>
      </c>
      <c r="AA3" s="54">
        <v>0.38461538461538464</v>
      </c>
      <c r="AB3" s="51" t="s">
        <v>198</v>
      </c>
      <c r="AC3" s="54">
        <v>0.375</v>
      </c>
      <c r="AD3" s="51" t="s">
        <v>185</v>
      </c>
      <c r="AE3" s="54">
        <v>0.75</v>
      </c>
      <c r="AF3" s="51" t="s">
        <v>189</v>
      </c>
      <c r="AG3" s="54">
        <v>0.66666666666666663</v>
      </c>
      <c r="AH3" s="51" t="s">
        <v>184</v>
      </c>
      <c r="AI3" s="54">
        <v>1</v>
      </c>
      <c r="AJ3" s="51" t="s">
        <v>195</v>
      </c>
      <c r="AK3" s="65">
        <v>149100</v>
      </c>
    </row>
    <row r="4" spans="1:37" x14ac:dyDescent="0.45">
      <c r="A4" s="56">
        <v>2</v>
      </c>
      <c r="B4" s="59" t="s">
        <v>195</v>
      </c>
      <c r="C4" s="123">
        <v>745</v>
      </c>
      <c r="D4" s="57" t="s">
        <v>191</v>
      </c>
      <c r="E4" s="58">
        <v>570.60000000000036</v>
      </c>
      <c r="F4" s="59" t="s">
        <v>196</v>
      </c>
      <c r="G4" s="71">
        <v>12.111111111111111</v>
      </c>
      <c r="H4" s="59" t="s">
        <v>192</v>
      </c>
      <c r="I4" s="71">
        <v>3.0839682539682549</v>
      </c>
      <c r="J4" s="59" t="s">
        <v>195</v>
      </c>
      <c r="K4" s="60">
        <v>1.7583892617449663</v>
      </c>
      <c r="L4" s="59" t="s">
        <v>202</v>
      </c>
      <c r="M4" s="61">
        <v>0.5</v>
      </c>
      <c r="N4" s="59" t="s">
        <v>196</v>
      </c>
      <c r="O4" s="61">
        <v>0.22222222222222221</v>
      </c>
      <c r="P4" s="59" t="s">
        <v>195</v>
      </c>
      <c r="Q4" s="62">
        <v>0.34516997643890945</v>
      </c>
      <c r="R4" s="59" t="s">
        <v>196</v>
      </c>
      <c r="S4" s="62">
        <v>8.6956521739130432E-2</v>
      </c>
      <c r="T4" s="59" t="s">
        <v>192</v>
      </c>
      <c r="U4" s="63">
        <v>11250.561797752809</v>
      </c>
      <c r="V4" s="59" t="s">
        <v>201</v>
      </c>
      <c r="W4" s="63">
        <v>-7987.5</v>
      </c>
      <c r="X4" s="59" t="s">
        <v>195</v>
      </c>
      <c r="Y4" s="61">
        <v>7.5167785234899323E-2</v>
      </c>
      <c r="Z4" s="59" t="s">
        <v>196</v>
      </c>
      <c r="AA4" s="62">
        <v>0.37681159420289856</v>
      </c>
      <c r="AB4" s="59" t="s">
        <v>199</v>
      </c>
      <c r="AC4" s="62">
        <v>0.33201581027667987</v>
      </c>
      <c r="AD4" s="59" t="s">
        <v>202</v>
      </c>
      <c r="AE4" s="62">
        <v>0.6333333333333333</v>
      </c>
      <c r="AF4" s="59" t="s">
        <v>196</v>
      </c>
      <c r="AG4" s="62">
        <v>0.5</v>
      </c>
      <c r="AH4" s="59" t="s">
        <v>189</v>
      </c>
      <c r="AI4" s="62">
        <v>0.54054054054054057</v>
      </c>
      <c r="AJ4" s="59" t="s">
        <v>183</v>
      </c>
      <c r="AK4" s="66">
        <v>149100</v>
      </c>
    </row>
    <row r="5" spans="1:37" x14ac:dyDescent="0.45">
      <c r="A5" s="56">
        <v>3</v>
      </c>
      <c r="B5" s="59" t="s">
        <v>193</v>
      </c>
      <c r="C5" s="123">
        <v>512</v>
      </c>
      <c r="D5" s="57" t="s">
        <v>196</v>
      </c>
      <c r="E5" s="58">
        <v>109</v>
      </c>
      <c r="F5" s="59" t="s">
        <v>195</v>
      </c>
      <c r="G5" s="71">
        <v>9.7252348993288589</v>
      </c>
      <c r="H5" s="59" t="s">
        <v>191</v>
      </c>
      <c r="I5" s="71">
        <v>1.9322475183245349</v>
      </c>
      <c r="J5" s="59" t="s">
        <v>199</v>
      </c>
      <c r="K5" s="60">
        <v>1.9285714285714286</v>
      </c>
      <c r="L5" s="59" t="s">
        <v>195</v>
      </c>
      <c r="M5" s="61">
        <v>0.46577181208053692</v>
      </c>
      <c r="N5" s="59" t="s">
        <v>195</v>
      </c>
      <c r="O5" s="61">
        <v>0.22416107382550335</v>
      </c>
      <c r="P5" s="59" t="s">
        <v>202</v>
      </c>
      <c r="Q5" s="62">
        <v>0.33333333333333331</v>
      </c>
      <c r="R5" s="59" t="s">
        <v>195</v>
      </c>
      <c r="S5" s="62">
        <v>0.13732749915853248</v>
      </c>
      <c r="T5" s="59" t="s">
        <v>191</v>
      </c>
      <c r="U5" s="63">
        <v>10634.146341463415</v>
      </c>
      <c r="V5" s="59" t="s">
        <v>186</v>
      </c>
      <c r="W5" s="63">
        <v>-8135.5329949238576</v>
      </c>
      <c r="X5" s="59" t="s">
        <v>196</v>
      </c>
      <c r="Y5" s="61">
        <v>0.1111111111111111</v>
      </c>
      <c r="Z5" s="59" t="s">
        <v>201</v>
      </c>
      <c r="AA5" s="62">
        <v>0.375</v>
      </c>
      <c r="AB5" s="59" t="s">
        <v>188</v>
      </c>
      <c r="AC5" s="62">
        <v>0.27994791666666669</v>
      </c>
      <c r="AD5" s="59" t="s">
        <v>196</v>
      </c>
      <c r="AE5" s="62">
        <v>0.61538461538461542</v>
      </c>
      <c r="AF5" s="59" t="s">
        <v>195</v>
      </c>
      <c r="AG5" s="62">
        <v>0.49140049140049141</v>
      </c>
      <c r="AH5" s="59" t="s">
        <v>186</v>
      </c>
      <c r="AI5" s="62">
        <v>0.52788104089219334</v>
      </c>
      <c r="AJ5" s="59" t="s">
        <v>191</v>
      </c>
      <c r="AK5" s="66">
        <v>124700</v>
      </c>
    </row>
    <row r="6" spans="1:37" x14ac:dyDescent="0.45">
      <c r="A6" s="56">
        <v>4</v>
      </c>
      <c r="B6" s="59" t="s">
        <v>190</v>
      </c>
      <c r="C6" s="123">
        <v>440</v>
      </c>
      <c r="D6" s="57" t="s">
        <v>192</v>
      </c>
      <c r="E6" s="58">
        <v>91.000000000000014</v>
      </c>
      <c r="F6" s="59" t="s">
        <v>192</v>
      </c>
      <c r="G6" s="71">
        <v>2.3333333333333335</v>
      </c>
      <c r="H6" s="59" t="s">
        <v>196</v>
      </c>
      <c r="I6" s="71">
        <v>1.0266666666666648</v>
      </c>
      <c r="J6" s="59" t="s">
        <v>194</v>
      </c>
      <c r="K6" s="60">
        <v>1.9890109890109891</v>
      </c>
      <c r="L6" s="59" t="s">
        <v>192</v>
      </c>
      <c r="M6" s="61">
        <v>0.35897435897435898</v>
      </c>
      <c r="N6" s="59" t="s">
        <v>199</v>
      </c>
      <c r="O6" s="61">
        <v>0.2857142857142857</v>
      </c>
      <c r="P6" s="59" t="s">
        <v>194</v>
      </c>
      <c r="Q6" s="62">
        <v>0.32835820895522388</v>
      </c>
      <c r="R6" s="59" t="s">
        <v>187</v>
      </c>
      <c r="S6" s="62">
        <v>0.14620496677159847</v>
      </c>
      <c r="T6" s="59" t="s">
        <v>202</v>
      </c>
      <c r="U6" s="63">
        <v>9534.6153846153848</v>
      </c>
      <c r="V6" s="59" t="s">
        <v>197</v>
      </c>
      <c r="W6" s="63">
        <v>-8183.0985915492956</v>
      </c>
      <c r="X6" s="59" t="s">
        <v>188</v>
      </c>
      <c r="Y6" s="61">
        <v>0.11409395973154363</v>
      </c>
      <c r="Z6" s="59" t="s">
        <v>189</v>
      </c>
      <c r="AA6" s="62">
        <v>0.33891213389121339</v>
      </c>
      <c r="AB6" s="59" t="s">
        <v>194</v>
      </c>
      <c r="AC6" s="62">
        <v>0.27777777777777779</v>
      </c>
      <c r="AD6" s="59" t="s">
        <v>194</v>
      </c>
      <c r="AE6" s="62">
        <v>0.61386138613861385</v>
      </c>
      <c r="AF6" s="59" t="s">
        <v>194</v>
      </c>
      <c r="AG6" s="62">
        <v>0.43333333333333335</v>
      </c>
      <c r="AH6" s="59" t="s">
        <v>199</v>
      </c>
      <c r="AI6" s="62">
        <v>0.51249999999999996</v>
      </c>
      <c r="AJ6" s="59" t="s">
        <v>194</v>
      </c>
      <c r="AK6" s="66">
        <v>118000</v>
      </c>
    </row>
    <row r="7" spans="1:37" x14ac:dyDescent="0.45">
      <c r="A7" s="56">
        <v>5</v>
      </c>
      <c r="B7" s="59" t="s">
        <v>191</v>
      </c>
      <c r="C7" s="123">
        <v>432</v>
      </c>
      <c r="D7" s="57" t="s">
        <v>200</v>
      </c>
      <c r="E7" s="58">
        <v>13.3</v>
      </c>
      <c r="F7" s="59" t="s">
        <v>191</v>
      </c>
      <c r="G7" s="71">
        <v>1.3208333333333342</v>
      </c>
      <c r="H7" s="59" t="s">
        <v>195</v>
      </c>
      <c r="I7" s="71">
        <v>0.8783988991464492</v>
      </c>
      <c r="J7" s="59" t="s">
        <v>202</v>
      </c>
      <c r="K7" s="60">
        <v>2</v>
      </c>
      <c r="L7" s="59" t="s">
        <v>199</v>
      </c>
      <c r="M7" s="61">
        <v>0.35714285714285715</v>
      </c>
      <c r="N7" s="59" t="s">
        <v>194</v>
      </c>
      <c r="O7" s="61">
        <v>0.32967032967032966</v>
      </c>
      <c r="P7" s="59" t="s">
        <v>199</v>
      </c>
      <c r="Q7" s="62">
        <v>0.31620553359683795</v>
      </c>
      <c r="R7" s="59" t="s">
        <v>198</v>
      </c>
      <c r="S7" s="62">
        <v>0.15625</v>
      </c>
      <c r="T7" s="59" t="s">
        <v>194</v>
      </c>
      <c r="U7" s="63">
        <v>9344.0909090909099</v>
      </c>
      <c r="V7" s="59" t="s">
        <v>189</v>
      </c>
      <c r="W7" s="63">
        <v>-8239.1304347826081</v>
      </c>
      <c r="X7" s="59" t="s">
        <v>187</v>
      </c>
      <c r="Y7" s="61">
        <v>0.11581920903954802</v>
      </c>
      <c r="Z7" s="59" t="s">
        <v>191</v>
      </c>
      <c r="AA7" s="62">
        <v>0.29808251016850668</v>
      </c>
      <c r="AB7" s="59" t="s">
        <v>193</v>
      </c>
      <c r="AC7" s="62">
        <v>0.24616526472043543</v>
      </c>
      <c r="AD7" s="59" t="s">
        <v>195</v>
      </c>
      <c r="AE7" s="62">
        <v>0.60548119821542379</v>
      </c>
      <c r="AF7" s="59" t="s">
        <v>183</v>
      </c>
      <c r="AG7" s="62">
        <v>0.40695333943275391</v>
      </c>
      <c r="AH7" s="59" t="s">
        <v>200</v>
      </c>
      <c r="AI7" s="62">
        <v>0.5</v>
      </c>
      <c r="AJ7" s="59" t="s">
        <v>186</v>
      </c>
      <c r="AK7" s="66">
        <v>113300</v>
      </c>
    </row>
    <row r="8" spans="1:37" x14ac:dyDescent="0.45">
      <c r="A8" s="56">
        <v>6</v>
      </c>
      <c r="B8" s="59" t="s">
        <v>187</v>
      </c>
      <c r="C8" s="123">
        <v>354</v>
      </c>
      <c r="D8" s="57" t="s">
        <v>202</v>
      </c>
      <c r="E8" s="58">
        <v>9.2999999999999972</v>
      </c>
      <c r="F8" s="59" t="s">
        <v>202</v>
      </c>
      <c r="G8" s="71">
        <v>0.92999999999999972</v>
      </c>
      <c r="H8" s="59" t="s">
        <v>187</v>
      </c>
      <c r="I8" s="71">
        <v>0.6283565870522404</v>
      </c>
      <c r="J8" s="59" t="s">
        <v>183</v>
      </c>
      <c r="K8" s="60">
        <v>2</v>
      </c>
      <c r="L8" s="59" t="s">
        <v>194</v>
      </c>
      <c r="M8" s="61">
        <v>0.34065934065934067</v>
      </c>
      <c r="N8" s="59" t="s">
        <v>187</v>
      </c>
      <c r="O8" s="61">
        <v>0.33050847457627119</v>
      </c>
      <c r="P8" s="59" t="s">
        <v>198</v>
      </c>
      <c r="Q8" s="62">
        <v>0.3125</v>
      </c>
      <c r="R8" s="59" t="s">
        <v>188</v>
      </c>
      <c r="S8" s="62">
        <v>0.16223832528180354</v>
      </c>
      <c r="T8" s="59" t="s">
        <v>195</v>
      </c>
      <c r="U8" s="63">
        <v>9192.1501706484651</v>
      </c>
      <c r="V8" s="59" t="s">
        <v>184</v>
      </c>
      <c r="W8" s="63">
        <v>-8240</v>
      </c>
      <c r="X8" s="59" t="s">
        <v>193</v>
      </c>
      <c r="Y8" s="61">
        <v>0.119140625</v>
      </c>
      <c r="Z8" s="59" t="s">
        <v>195</v>
      </c>
      <c r="AA8" s="62">
        <v>0.28600072912869123</v>
      </c>
      <c r="AB8" s="59" t="s">
        <v>192</v>
      </c>
      <c r="AC8" s="62">
        <v>0.23931623931623933</v>
      </c>
      <c r="AD8" s="59" t="s">
        <v>199</v>
      </c>
      <c r="AE8" s="62">
        <v>0.58730158730158732</v>
      </c>
      <c r="AF8" s="59" t="s">
        <v>188</v>
      </c>
      <c r="AG8" s="62">
        <v>0.40155038759689921</v>
      </c>
      <c r="AH8" s="59" t="s">
        <v>192</v>
      </c>
      <c r="AI8" s="62">
        <v>0.48314606741573035</v>
      </c>
      <c r="AJ8" s="59" t="s">
        <v>193</v>
      </c>
      <c r="AK8" s="66">
        <v>109300</v>
      </c>
    </row>
    <row r="9" spans="1:37" x14ac:dyDescent="0.45">
      <c r="A9" s="56">
        <v>7</v>
      </c>
      <c r="B9" s="59" t="s">
        <v>188</v>
      </c>
      <c r="C9" s="123">
        <v>298</v>
      </c>
      <c r="D9" s="57" t="s">
        <v>183</v>
      </c>
      <c r="E9" s="58">
        <v>8.8817841970012523E-15</v>
      </c>
      <c r="F9" s="59" t="s">
        <v>183</v>
      </c>
      <c r="G9" s="71">
        <v>2.7591749602364871E-18</v>
      </c>
      <c r="H9" s="59" t="s">
        <v>202</v>
      </c>
      <c r="I9" s="71">
        <v>0.61999999999999977</v>
      </c>
      <c r="J9" s="59" t="s">
        <v>200</v>
      </c>
      <c r="K9" s="60">
        <v>2</v>
      </c>
      <c r="L9" s="59" t="s">
        <v>191</v>
      </c>
      <c r="M9" s="61">
        <v>0.33564814814814814</v>
      </c>
      <c r="N9" s="59" t="s">
        <v>183</v>
      </c>
      <c r="O9" s="61">
        <v>0.33333333333333331</v>
      </c>
      <c r="P9" s="59" t="s">
        <v>189</v>
      </c>
      <c r="Q9" s="62">
        <v>0.30327868852459017</v>
      </c>
      <c r="R9" s="59" t="s">
        <v>183</v>
      </c>
      <c r="S9" s="62">
        <v>0.16486216693542194</v>
      </c>
      <c r="T9" s="59" t="s">
        <v>190</v>
      </c>
      <c r="U9" s="63">
        <v>9177.8012684989426</v>
      </c>
      <c r="V9" s="59" t="s">
        <v>190</v>
      </c>
      <c r="W9" s="63">
        <v>-8341.9207317073178</v>
      </c>
      <c r="X9" s="59" t="s">
        <v>183</v>
      </c>
      <c r="Y9" s="61">
        <v>0.12053432743087915</v>
      </c>
      <c r="Z9" s="59" t="s">
        <v>190</v>
      </c>
      <c r="AA9" s="62">
        <v>0.28519417475728154</v>
      </c>
      <c r="AB9" s="59" t="s">
        <v>197</v>
      </c>
      <c r="AC9" s="62">
        <v>0.23390275952693823</v>
      </c>
      <c r="AD9" s="59" t="s">
        <v>187</v>
      </c>
      <c r="AE9" s="62">
        <v>0.56633380884450779</v>
      </c>
      <c r="AF9" s="59" t="s">
        <v>199</v>
      </c>
      <c r="AG9" s="62">
        <v>0.39285714285714285</v>
      </c>
      <c r="AH9" s="59" t="s">
        <v>197</v>
      </c>
      <c r="AI9" s="62">
        <v>0.46195652173913043</v>
      </c>
      <c r="AJ9" s="59" t="s">
        <v>192</v>
      </c>
      <c r="AK9" s="66">
        <v>109300</v>
      </c>
    </row>
    <row r="10" spans="1:37" x14ac:dyDescent="0.45">
      <c r="A10" s="56">
        <v>8</v>
      </c>
      <c r="B10" s="59" t="s">
        <v>186</v>
      </c>
      <c r="C10" s="123">
        <v>118</v>
      </c>
      <c r="D10" s="57" t="s">
        <v>194</v>
      </c>
      <c r="E10" s="58">
        <v>-3.4999999999999893</v>
      </c>
      <c r="F10" s="59" t="s">
        <v>194</v>
      </c>
      <c r="G10" s="71">
        <v>-3.8461538461538346E-2</v>
      </c>
      <c r="H10" s="59" t="s">
        <v>183</v>
      </c>
      <c r="I10" s="71">
        <v>0</v>
      </c>
      <c r="J10" s="59" t="s">
        <v>193</v>
      </c>
      <c r="K10" s="60">
        <v>2.015625</v>
      </c>
      <c r="L10" s="59" t="s">
        <v>193</v>
      </c>
      <c r="M10" s="61">
        <v>0.333984375</v>
      </c>
      <c r="N10" s="59" t="s">
        <v>193</v>
      </c>
      <c r="O10" s="61">
        <v>0.349609375</v>
      </c>
      <c r="P10" s="59" t="s">
        <v>188</v>
      </c>
      <c r="Q10" s="62">
        <v>0.29951690821256038</v>
      </c>
      <c r="R10" s="59" t="s">
        <v>192</v>
      </c>
      <c r="S10" s="62">
        <v>0.16772151898734178</v>
      </c>
      <c r="T10" s="59" t="s">
        <v>183</v>
      </c>
      <c r="U10" s="63">
        <v>8952.4518048906721</v>
      </c>
      <c r="V10" s="59" t="s">
        <v>183</v>
      </c>
      <c r="W10" s="63">
        <v>-8371.0293432696781</v>
      </c>
      <c r="X10" s="59" t="s">
        <v>189</v>
      </c>
      <c r="Y10" s="61">
        <v>0.12903225806451613</v>
      </c>
      <c r="Z10" s="59" t="s">
        <v>192</v>
      </c>
      <c r="AA10" s="62">
        <v>0.27777777777777779</v>
      </c>
      <c r="AB10" s="59" t="s">
        <v>187</v>
      </c>
      <c r="AC10" s="62">
        <v>0.22630290311297657</v>
      </c>
      <c r="AD10" s="59" t="s">
        <v>186</v>
      </c>
      <c r="AE10" s="62">
        <v>0.5662650602409639</v>
      </c>
      <c r="AF10" s="59" t="s">
        <v>191</v>
      </c>
      <c r="AG10" s="62">
        <v>0.39236641221374047</v>
      </c>
      <c r="AH10" s="59" t="s">
        <v>202</v>
      </c>
      <c r="AI10" s="62">
        <v>0.46153846153846156</v>
      </c>
      <c r="AJ10" s="59" t="s">
        <v>190</v>
      </c>
      <c r="AK10" s="66">
        <v>107600</v>
      </c>
    </row>
    <row r="11" spans="1:37" x14ac:dyDescent="0.45">
      <c r="A11" s="56">
        <v>9</v>
      </c>
      <c r="B11" s="59" t="s">
        <v>197</v>
      </c>
      <c r="C11" s="123">
        <v>93</v>
      </c>
      <c r="D11" s="57" t="s">
        <v>199</v>
      </c>
      <c r="E11" s="58">
        <v>-22.000000000000028</v>
      </c>
      <c r="F11" s="59" t="s">
        <v>199</v>
      </c>
      <c r="G11" s="71">
        <v>-0.7857142857142867</v>
      </c>
      <c r="H11" s="59" t="s">
        <v>188</v>
      </c>
      <c r="I11" s="71">
        <v>-0.19169133027213311</v>
      </c>
      <c r="J11" s="59" t="s">
        <v>191</v>
      </c>
      <c r="K11" s="60">
        <v>2.0185185185185186</v>
      </c>
      <c r="L11" s="59" t="s">
        <v>183</v>
      </c>
      <c r="M11" s="61">
        <v>0.33333333333333331</v>
      </c>
      <c r="N11" s="59" t="s">
        <v>191</v>
      </c>
      <c r="O11" s="61">
        <v>0.35416666666666669</v>
      </c>
      <c r="P11" s="59" t="s">
        <v>193</v>
      </c>
      <c r="Q11" s="62">
        <v>0.29918426103646834</v>
      </c>
      <c r="R11" s="59" t="s">
        <v>199</v>
      </c>
      <c r="S11" s="62">
        <v>0.16996047430830039</v>
      </c>
      <c r="T11" s="59" t="s">
        <v>196</v>
      </c>
      <c r="U11" s="63">
        <v>8891.6666666666661</v>
      </c>
      <c r="V11" s="59" t="s">
        <v>196</v>
      </c>
      <c r="W11" s="63">
        <v>-8400</v>
      </c>
      <c r="X11" s="59" t="s">
        <v>191</v>
      </c>
      <c r="Y11" s="61">
        <v>0.13194444444444445</v>
      </c>
      <c r="Z11" s="59" t="s">
        <v>183</v>
      </c>
      <c r="AA11" s="62">
        <v>0.26358099878197322</v>
      </c>
      <c r="AB11" s="59" t="s">
        <v>195</v>
      </c>
      <c r="AC11" s="62">
        <v>0.22256653299307327</v>
      </c>
      <c r="AD11" s="59" t="s">
        <v>183</v>
      </c>
      <c r="AE11" s="62">
        <v>0.56623536660505236</v>
      </c>
      <c r="AF11" s="59" t="s">
        <v>202</v>
      </c>
      <c r="AG11" s="62">
        <v>0.38461538461538464</v>
      </c>
      <c r="AH11" s="59" t="s">
        <v>191</v>
      </c>
      <c r="AI11" s="62">
        <v>0.4532520325203252</v>
      </c>
      <c r="AJ11" s="59" t="s">
        <v>188</v>
      </c>
      <c r="AK11" s="66">
        <v>106500</v>
      </c>
    </row>
    <row r="12" spans="1:37" x14ac:dyDescent="0.45">
      <c r="A12" s="56">
        <v>10</v>
      </c>
      <c r="B12" s="59" t="s">
        <v>194</v>
      </c>
      <c r="C12" s="123">
        <v>91</v>
      </c>
      <c r="D12" s="57" t="s">
        <v>198</v>
      </c>
      <c r="E12" s="58">
        <v>-56.2</v>
      </c>
      <c r="F12" s="59" t="s">
        <v>187</v>
      </c>
      <c r="G12" s="71">
        <v>-1.4228813559322033</v>
      </c>
      <c r="H12" s="59" t="s">
        <v>190</v>
      </c>
      <c r="I12" s="71">
        <v>-0.31665611648636371</v>
      </c>
      <c r="J12" s="59" t="s">
        <v>192</v>
      </c>
      <c r="K12" s="60">
        <v>2.0256410256410255</v>
      </c>
      <c r="L12" s="59" t="s">
        <v>189</v>
      </c>
      <c r="M12" s="61">
        <v>0.29032258064516131</v>
      </c>
      <c r="N12" s="59" t="s">
        <v>190</v>
      </c>
      <c r="O12" s="61">
        <v>0.38409090909090909</v>
      </c>
      <c r="P12" s="59" t="s">
        <v>183</v>
      </c>
      <c r="Q12" s="62">
        <v>0.29674422176149889</v>
      </c>
      <c r="R12" s="59" t="s">
        <v>193</v>
      </c>
      <c r="S12" s="62">
        <v>0.17082533589251439</v>
      </c>
      <c r="T12" s="59" t="s">
        <v>187</v>
      </c>
      <c r="U12" s="63">
        <v>8617.105263157895</v>
      </c>
      <c r="V12" s="59" t="s">
        <v>195</v>
      </c>
      <c r="W12" s="63">
        <v>-8410.5392156862745</v>
      </c>
      <c r="X12" s="59" t="s">
        <v>190</v>
      </c>
      <c r="Y12" s="61">
        <v>0.14318181818181819</v>
      </c>
      <c r="Z12" s="59" t="s">
        <v>185</v>
      </c>
      <c r="AA12" s="62">
        <v>0.25806451612903225</v>
      </c>
      <c r="AB12" s="59" t="s">
        <v>183</v>
      </c>
      <c r="AC12" s="62">
        <v>0.22188388144539181</v>
      </c>
      <c r="AD12" s="59" t="s">
        <v>190</v>
      </c>
      <c r="AE12" s="62">
        <v>0.56489361702127661</v>
      </c>
      <c r="AF12" s="59" t="s">
        <v>193</v>
      </c>
      <c r="AG12" s="62">
        <v>0.38291457286432162</v>
      </c>
      <c r="AH12" s="59" t="s">
        <v>190</v>
      </c>
      <c r="AI12" s="62">
        <v>0.45243128964059198</v>
      </c>
      <c r="AJ12" s="59" t="s">
        <v>199</v>
      </c>
      <c r="AK12" s="66">
        <v>106300</v>
      </c>
    </row>
    <row r="13" spans="1:37" x14ac:dyDescent="0.45">
      <c r="A13" s="56">
        <v>11</v>
      </c>
      <c r="B13" s="59" t="s">
        <v>192</v>
      </c>
      <c r="C13" s="123">
        <v>39</v>
      </c>
      <c r="D13" s="57" t="s">
        <v>201</v>
      </c>
      <c r="E13" s="58">
        <v>-80.800000000000011</v>
      </c>
      <c r="F13" s="59" t="s">
        <v>193</v>
      </c>
      <c r="G13" s="71">
        <v>-2.1656250000000012</v>
      </c>
      <c r="H13" s="59" t="s">
        <v>194</v>
      </c>
      <c r="I13" s="71">
        <v>-0.4518996415770597</v>
      </c>
      <c r="J13" s="59" t="s">
        <v>187</v>
      </c>
      <c r="K13" s="60">
        <v>2.0508474576271185</v>
      </c>
      <c r="L13" s="59" t="s">
        <v>187</v>
      </c>
      <c r="M13" s="61">
        <v>0.27966101694915252</v>
      </c>
      <c r="N13" s="59" t="s">
        <v>192</v>
      </c>
      <c r="O13" s="61">
        <v>0.38461538461538464</v>
      </c>
      <c r="P13" s="59" t="s">
        <v>191</v>
      </c>
      <c r="Q13" s="62">
        <v>0.2828398965219891</v>
      </c>
      <c r="R13" s="59" t="s">
        <v>194</v>
      </c>
      <c r="S13" s="62">
        <v>0.17164179104477612</v>
      </c>
      <c r="T13" s="59" t="s">
        <v>201</v>
      </c>
      <c r="U13" s="63">
        <v>8512.5</v>
      </c>
      <c r="V13" s="59" t="s">
        <v>193</v>
      </c>
      <c r="W13" s="63">
        <v>-8463.6235955056181</v>
      </c>
      <c r="X13" s="59" t="s">
        <v>194</v>
      </c>
      <c r="Y13" s="61">
        <v>0.15384615384615385</v>
      </c>
      <c r="Z13" s="59" t="s">
        <v>199</v>
      </c>
      <c r="AA13" s="62">
        <v>0.24901185770750989</v>
      </c>
      <c r="AB13" s="59" t="s">
        <v>186</v>
      </c>
      <c r="AC13" s="62">
        <v>0.19038272816486751</v>
      </c>
      <c r="AD13" s="59" t="s">
        <v>191</v>
      </c>
      <c r="AE13" s="62">
        <v>0.55458089668615984</v>
      </c>
      <c r="AF13" s="59" t="s">
        <v>197</v>
      </c>
      <c r="AG13" s="62">
        <v>0.37640449438202245</v>
      </c>
      <c r="AH13" s="59" t="s">
        <v>187</v>
      </c>
      <c r="AI13" s="62">
        <v>0.44078947368421051</v>
      </c>
      <c r="AJ13" s="59" t="s">
        <v>187</v>
      </c>
      <c r="AK13" s="66">
        <v>103000</v>
      </c>
    </row>
    <row r="14" spans="1:37" x14ac:dyDescent="0.45">
      <c r="A14" s="56">
        <v>12</v>
      </c>
      <c r="B14" s="59" t="s">
        <v>189</v>
      </c>
      <c r="C14" s="123">
        <v>31</v>
      </c>
      <c r="D14" s="57" t="s">
        <v>185</v>
      </c>
      <c r="E14" s="58">
        <v>-86.4</v>
      </c>
      <c r="F14" s="59" t="s">
        <v>188</v>
      </c>
      <c r="G14" s="71">
        <v>-4.7731543624161086</v>
      </c>
      <c r="H14" s="59" t="s">
        <v>193</v>
      </c>
      <c r="I14" s="71">
        <v>-1.5776967074559256</v>
      </c>
      <c r="J14" s="59" t="s">
        <v>189</v>
      </c>
      <c r="K14" s="60">
        <v>2.096774193548387</v>
      </c>
      <c r="L14" s="59" t="s">
        <v>186</v>
      </c>
      <c r="M14" s="61">
        <v>0.2711864406779661</v>
      </c>
      <c r="N14" s="59" t="s">
        <v>188</v>
      </c>
      <c r="O14" s="61">
        <v>0.38590604026845637</v>
      </c>
      <c r="P14" s="59" t="s">
        <v>192</v>
      </c>
      <c r="Q14" s="62">
        <v>0.28164556962025317</v>
      </c>
      <c r="R14" s="59" t="s">
        <v>191</v>
      </c>
      <c r="S14" s="62">
        <v>0.18281115263006611</v>
      </c>
      <c r="T14" s="59" t="s">
        <v>193</v>
      </c>
      <c r="U14" s="63">
        <v>8474.0978348035278</v>
      </c>
      <c r="V14" s="59" t="s">
        <v>188</v>
      </c>
      <c r="W14" s="63">
        <v>-8480.645161290322</v>
      </c>
      <c r="X14" s="59" t="s">
        <v>192</v>
      </c>
      <c r="Y14" s="61">
        <v>0.15384615384615385</v>
      </c>
      <c r="Z14" s="59" t="s">
        <v>187</v>
      </c>
      <c r="AA14" s="62">
        <v>0.24519062609303952</v>
      </c>
      <c r="AB14" s="59" t="s">
        <v>191</v>
      </c>
      <c r="AC14" s="62">
        <v>0.19029633933759443</v>
      </c>
      <c r="AD14" s="59" t="s">
        <v>193</v>
      </c>
      <c r="AE14" s="62">
        <v>0.53985872855701311</v>
      </c>
      <c r="AF14" s="59" t="s">
        <v>187</v>
      </c>
      <c r="AG14" s="62">
        <v>0.37403400309119011</v>
      </c>
      <c r="AH14" s="59" t="s">
        <v>183</v>
      </c>
      <c r="AI14" s="62">
        <v>0.43653771509897787</v>
      </c>
      <c r="AJ14" s="59" t="s">
        <v>197</v>
      </c>
      <c r="AK14" s="66">
        <v>85100</v>
      </c>
    </row>
    <row r="15" spans="1:37" x14ac:dyDescent="0.45">
      <c r="A15" s="56">
        <v>13</v>
      </c>
      <c r="B15" s="59" t="s">
        <v>199</v>
      </c>
      <c r="C15" s="123">
        <v>28</v>
      </c>
      <c r="D15" s="57" t="s">
        <v>184</v>
      </c>
      <c r="E15" s="58">
        <v>-132.1</v>
      </c>
      <c r="F15" s="59" t="s">
        <v>190</v>
      </c>
      <c r="G15" s="71">
        <v>-4.9438636363636359</v>
      </c>
      <c r="H15" s="59" t="s">
        <v>197</v>
      </c>
      <c r="I15" s="71">
        <v>-1.9642818428184299</v>
      </c>
      <c r="J15" s="59" t="s">
        <v>190</v>
      </c>
      <c r="K15" s="60">
        <v>2.1272727272727274</v>
      </c>
      <c r="L15" s="59" t="s">
        <v>188</v>
      </c>
      <c r="M15" s="61">
        <v>0.25838926174496646</v>
      </c>
      <c r="N15" s="59" t="s">
        <v>189</v>
      </c>
      <c r="O15" s="61">
        <v>0.38709677419354838</v>
      </c>
      <c r="P15" s="59" t="s">
        <v>185</v>
      </c>
      <c r="Q15" s="62">
        <v>0.27027027027027029</v>
      </c>
      <c r="R15" s="59" t="s">
        <v>190</v>
      </c>
      <c r="S15" s="62">
        <v>0.18442507731234187</v>
      </c>
      <c r="T15" s="59" t="s">
        <v>197</v>
      </c>
      <c r="U15" s="63">
        <v>8136.95652173913</v>
      </c>
      <c r="V15" s="59" t="s">
        <v>191</v>
      </c>
      <c r="W15" s="63">
        <v>-8594.6540880503144</v>
      </c>
      <c r="X15" s="59" t="s">
        <v>197</v>
      </c>
      <c r="Y15" s="61">
        <v>0.16129032258064516</v>
      </c>
      <c r="Z15" s="59" t="s">
        <v>193</v>
      </c>
      <c r="AA15" s="62">
        <v>0.24517565561603166</v>
      </c>
      <c r="AB15" s="59" t="s">
        <v>190</v>
      </c>
      <c r="AC15" s="62">
        <v>0.1808252427184466</v>
      </c>
      <c r="AD15" s="59" t="s">
        <v>192</v>
      </c>
      <c r="AE15" s="62">
        <v>0.53846153846153844</v>
      </c>
      <c r="AF15" s="59" t="s">
        <v>190</v>
      </c>
      <c r="AG15" s="62">
        <v>0.36241610738255031</v>
      </c>
      <c r="AH15" s="59" t="s">
        <v>194</v>
      </c>
      <c r="AI15" s="62">
        <v>0.43636363636363634</v>
      </c>
      <c r="AJ15" s="59" t="s">
        <v>196</v>
      </c>
      <c r="AK15" s="66">
        <v>78000</v>
      </c>
    </row>
    <row r="16" spans="1:37" x14ac:dyDescent="0.45">
      <c r="A16" s="56">
        <v>14</v>
      </c>
      <c r="B16" s="59" t="s">
        <v>202</v>
      </c>
      <c r="C16" s="123">
        <v>10</v>
      </c>
      <c r="D16" s="57" t="s">
        <v>189</v>
      </c>
      <c r="E16" s="58">
        <v>-178.29999999999998</v>
      </c>
      <c r="F16" s="59" t="s">
        <v>189</v>
      </c>
      <c r="G16" s="71">
        <v>-5.7516129032258059</v>
      </c>
      <c r="H16" s="59" t="s">
        <v>189</v>
      </c>
      <c r="I16" s="71">
        <v>-2.5812962962962942</v>
      </c>
      <c r="J16" s="59" t="s">
        <v>188</v>
      </c>
      <c r="K16" s="60">
        <v>2.1275167785234901</v>
      </c>
      <c r="L16" s="59" t="s">
        <v>190</v>
      </c>
      <c r="M16" s="61">
        <v>0.25681818181818183</v>
      </c>
      <c r="N16" s="59" t="s">
        <v>185</v>
      </c>
      <c r="O16" s="61">
        <v>0.4</v>
      </c>
      <c r="P16" s="59" t="s">
        <v>190</v>
      </c>
      <c r="Q16" s="62">
        <v>0.2659544560022491</v>
      </c>
      <c r="R16" s="59" t="s">
        <v>197</v>
      </c>
      <c r="S16" s="62">
        <v>0.18659658344283836</v>
      </c>
      <c r="T16" s="59" t="s">
        <v>199</v>
      </c>
      <c r="U16" s="63">
        <v>7901.25</v>
      </c>
      <c r="V16" s="59" t="s">
        <v>199</v>
      </c>
      <c r="W16" s="63">
        <v>-8765.1162790697672</v>
      </c>
      <c r="X16" s="59" t="s">
        <v>186</v>
      </c>
      <c r="Y16" s="61">
        <v>0.17796610169491525</v>
      </c>
      <c r="Z16" s="59" t="s">
        <v>186</v>
      </c>
      <c r="AA16" s="62">
        <v>0.24435721295387636</v>
      </c>
      <c r="AB16" s="59" t="s">
        <v>202</v>
      </c>
      <c r="AC16" s="62">
        <v>0.16666666666666666</v>
      </c>
      <c r="AD16" s="59" t="s">
        <v>197</v>
      </c>
      <c r="AE16" s="62">
        <v>0.53503184713375795</v>
      </c>
      <c r="AF16" s="59" t="s">
        <v>186</v>
      </c>
      <c r="AG16" s="62">
        <v>0.33505154639175255</v>
      </c>
      <c r="AH16" s="59" t="s">
        <v>188</v>
      </c>
      <c r="AI16" s="62">
        <v>0.43010752688172044</v>
      </c>
      <c r="AJ16" s="59" t="s">
        <v>202</v>
      </c>
      <c r="AK16" s="66">
        <v>70900</v>
      </c>
    </row>
    <row r="17" spans="1:37" x14ac:dyDescent="0.45">
      <c r="A17" s="56">
        <v>15</v>
      </c>
      <c r="B17" s="59" t="s">
        <v>196</v>
      </c>
      <c r="C17" s="123">
        <v>9</v>
      </c>
      <c r="D17" s="57" t="s">
        <v>187</v>
      </c>
      <c r="E17" s="58">
        <v>-503.7</v>
      </c>
      <c r="F17" s="59" t="s">
        <v>186</v>
      </c>
      <c r="G17" s="71">
        <v>-8.6033898305084744</v>
      </c>
      <c r="H17" s="59" t="s">
        <v>186</v>
      </c>
      <c r="I17" s="71">
        <v>-2.7244212962962941</v>
      </c>
      <c r="J17" s="59" t="s">
        <v>186</v>
      </c>
      <c r="K17" s="60">
        <v>2.152542372881356</v>
      </c>
      <c r="L17" s="59" t="s">
        <v>198</v>
      </c>
      <c r="M17" s="61">
        <v>0.25</v>
      </c>
      <c r="N17" s="59" t="s">
        <v>201</v>
      </c>
      <c r="O17" s="61">
        <v>0.4</v>
      </c>
      <c r="P17" s="59" t="s">
        <v>187</v>
      </c>
      <c r="Q17" s="62">
        <v>0.26582721231199719</v>
      </c>
      <c r="R17" s="59" t="s">
        <v>189</v>
      </c>
      <c r="S17" s="62">
        <v>0.18852459016393441</v>
      </c>
      <c r="T17" s="59" t="s">
        <v>186</v>
      </c>
      <c r="U17" s="63">
        <v>7805.2044609665427</v>
      </c>
      <c r="V17" s="59" t="s">
        <v>192</v>
      </c>
      <c r="W17" s="63">
        <v>-9054.7169811320746</v>
      </c>
      <c r="X17" s="59" t="s">
        <v>202</v>
      </c>
      <c r="Y17" s="61">
        <v>0.2</v>
      </c>
      <c r="Z17" s="59" t="s">
        <v>194</v>
      </c>
      <c r="AA17" s="62">
        <v>0.23379629629629631</v>
      </c>
      <c r="AB17" s="59" t="s">
        <v>185</v>
      </c>
      <c r="AC17" s="62">
        <v>0.16129032258064516</v>
      </c>
      <c r="AD17" s="59" t="s">
        <v>188</v>
      </c>
      <c r="AE17" s="62">
        <v>0.52826086956521734</v>
      </c>
      <c r="AF17" s="59" t="s">
        <v>201</v>
      </c>
      <c r="AG17" s="62">
        <v>0.33333333333333331</v>
      </c>
      <c r="AH17" s="59" t="s">
        <v>193</v>
      </c>
      <c r="AI17" s="62">
        <v>0.4202085004009623</v>
      </c>
      <c r="AJ17" s="59" t="s">
        <v>189</v>
      </c>
      <c r="AK17" s="66">
        <v>66700</v>
      </c>
    </row>
    <row r="18" spans="1:37" x14ac:dyDescent="0.45">
      <c r="A18" s="56">
        <v>16</v>
      </c>
      <c r="B18" s="59" t="s">
        <v>185</v>
      </c>
      <c r="C18" s="123">
        <v>5</v>
      </c>
      <c r="D18" s="57" t="s">
        <v>186</v>
      </c>
      <c r="E18" s="58">
        <v>-1015.2</v>
      </c>
      <c r="F18" s="59" t="s">
        <v>197</v>
      </c>
      <c r="G18" s="71">
        <v>-13.481720430107529</v>
      </c>
      <c r="H18" s="59" t="s">
        <v>198</v>
      </c>
      <c r="I18" s="71">
        <v>-2.9833333333333321</v>
      </c>
      <c r="J18" s="59" t="s">
        <v>185</v>
      </c>
      <c r="K18" s="60">
        <v>2.2000000000000002</v>
      </c>
      <c r="L18" s="59" t="s">
        <v>185</v>
      </c>
      <c r="M18" s="61">
        <v>0.2</v>
      </c>
      <c r="N18" s="59" t="s">
        <v>186</v>
      </c>
      <c r="O18" s="61">
        <v>0.42372881355932202</v>
      </c>
      <c r="P18" s="59" t="s">
        <v>186</v>
      </c>
      <c r="Q18" s="62">
        <v>0.26398429833169773</v>
      </c>
      <c r="R18" s="59" t="s">
        <v>186</v>
      </c>
      <c r="S18" s="62">
        <v>0.19332679097154074</v>
      </c>
      <c r="T18" s="59" t="s">
        <v>184</v>
      </c>
      <c r="U18" s="63">
        <v>7800</v>
      </c>
      <c r="V18" s="59" t="s">
        <v>194</v>
      </c>
      <c r="W18" s="63">
        <v>-9212.173913043478</v>
      </c>
      <c r="X18" s="59" t="s">
        <v>201</v>
      </c>
      <c r="Y18" s="61">
        <v>0.2</v>
      </c>
      <c r="Z18" s="59" t="s">
        <v>200</v>
      </c>
      <c r="AA18" s="62">
        <v>0.23076923076923078</v>
      </c>
      <c r="AB18" s="59" t="s">
        <v>201</v>
      </c>
      <c r="AC18" s="62">
        <v>0.15</v>
      </c>
      <c r="AD18" s="59" t="s">
        <v>189</v>
      </c>
      <c r="AE18" s="62">
        <v>0.50617283950617287</v>
      </c>
      <c r="AF18" s="59" t="s">
        <v>192</v>
      </c>
      <c r="AG18" s="62">
        <v>0.32142857142857145</v>
      </c>
      <c r="AH18" s="59" t="s">
        <v>195</v>
      </c>
      <c r="AI18" s="62">
        <v>0.41199414919551436</v>
      </c>
      <c r="AJ18" s="59" t="s">
        <v>185</v>
      </c>
      <c r="AK18" s="66">
        <v>57800</v>
      </c>
    </row>
    <row r="19" spans="1:37" x14ac:dyDescent="0.45">
      <c r="A19" s="56">
        <v>17</v>
      </c>
      <c r="B19" s="59" t="s">
        <v>201</v>
      </c>
      <c r="C19" s="123">
        <v>5</v>
      </c>
      <c r="D19" s="57" t="s">
        <v>193</v>
      </c>
      <c r="E19" s="58">
        <v>-1108.8000000000006</v>
      </c>
      <c r="F19" s="59" t="s">
        <v>198</v>
      </c>
      <c r="G19" s="71">
        <v>-14.05</v>
      </c>
      <c r="H19" s="59" t="s">
        <v>199</v>
      </c>
      <c r="I19" s="71">
        <v>-4.0783333333333331</v>
      </c>
      <c r="J19" s="59" t="s">
        <v>201</v>
      </c>
      <c r="K19" s="60">
        <v>2.2000000000000002</v>
      </c>
      <c r="L19" s="59" t="s">
        <v>201</v>
      </c>
      <c r="M19" s="61">
        <v>0.2</v>
      </c>
      <c r="N19" s="59" t="s">
        <v>197</v>
      </c>
      <c r="O19" s="61">
        <v>0.44086021505376344</v>
      </c>
      <c r="P19" s="59" t="s">
        <v>197</v>
      </c>
      <c r="Q19" s="62">
        <v>0.24178712220762155</v>
      </c>
      <c r="R19" s="59" t="s">
        <v>201</v>
      </c>
      <c r="S19" s="62">
        <v>0.2</v>
      </c>
      <c r="T19" s="59" t="s">
        <v>189</v>
      </c>
      <c r="U19" s="63">
        <v>7740.5405405405409</v>
      </c>
      <c r="V19" s="59" t="s">
        <v>202</v>
      </c>
      <c r="W19" s="63">
        <v>-10010.526315789473</v>
      </c>
      <c r="X19" s="59" t="s">
        <v>199</v>
      </c>
      <c r="Y19" s="61">
        <v>0.25</v>
      </c>
      <c r="Z19" s="59" t="s">
        <v>198</v>
      </c>
      <c r="AA19" s="62">
        <v>0.21875</v>
      </c>
      <c r="AB19" s="59" t="s">
        <v>196</v>
      </c>
      <c r="AC19" s="62">
        <v>0.14492753623188406</v>
      </c>
      <c r="AD19" s="59" t="s">
        <v>198</v>
      </c>
      <c r="AE19" s="62">
        <v>0.42857142857142855</v>
      </c>
      <c r="AF19" s="59" t="s">
        <v>198</v>
      </c>
      <c r="AG19" s="62">
        <v>0.25</v>
      </c>
      <c r="AH19" s="59" t="s">
        <v>185</v>
      </c>
      <c r="AI19" s="62">
        <v>0.3</v>
      </c>
      <c r="AJ19" s="59" t="s">
        <v>198</v>
      </c>
      <c r="AK19" s="66">
        <v>55200</v>
      </c>
    </row>
    <row r="20" spans="1:37" x14ac:dyDescent="0.45">
      <c r="A20" s="56">
        <v>18</v>
      </c>
      <c r="B20" s="59" t="s">
        <v>184</v>
      </c>
      <c r="C20" s="123">
        <v>4</v>
      </c>
      <c r="D20" s="57" t="s">
        <v>197</v>
      </c>
      <c r="E20" s="58">
        <v>-1253.8000000000002</v>
      </c>
      <c r="F20" s="59" t="s">
        <v>201</v>
      </c>
      <c r="G20" s="71">
        <v>-16.160000000000004</v>
      </c>
      <c r="H20" s="59" t="s">
        <v>201</v>
      </c>
      <c r="I20" s="71">
        <v>-8.9666666666666668</v>
      </c>
      <c r="J20" s="59" t="s">
        <v>198</v>
      </c>
      <c r="K20" s="60">
        <v>2.25</v>
      </c>
      <c r="L20" s="59" t="s">
        <v>197</v>
      </c>
      <c r="M20" s="61">
        <v>0.12903225806451613</v>
      </c>
      <c r="N20" s="59" t="s">
        <v>202</v>
      </c>
      <c r="O20" s="61">
        <v>0.5</v>
      </c>
      <c r="P20" s="59" t="s">
        <v>201</v>
      </c>
      <c r="Q20" s="62">
        <v>0.2</v>
      </c>
      <c r="R20" s="59" t="s">
        <v>185</v>
      </c>
      <c r="S20" s="62">
        <v>0.21621621621621623</v>
      </c>
      <c r="T20" s="59" t="s">
        <v>188</v>
      </c>
      <c r="U20" s="63">
        <v>7438.3064516129034</v>
      </c>
      <c r="V20" s="59" t="s">
        <v>198</v>
      </c>
      <c r="W20" s="63">
        <v>-11280</v>
      </c>
      <c r="X20" s="59" t="s">
        <v>198</v>
      </c>
      <c r="Y20" s="61">
        <v>0.25</v>
      </c>
      <c r="Z20" s="59" t="s">
        <v>197</v>
      </c>
      <c r="AA20" s="62">
        <v>0.20630749014454666</v>
      </c>
      <c r="AB20" s="59" t="s">
        <v>189</v>
      </c>
      <c r="AC20" s="62">
        <v>0.11297071129707113</v>
      </c>
      <c r="AD20" s="59" t="s">
        <v>201</v>
      </c>
      <c r="AE20" s="62">
        <v>0.4</v>
      </c>
      <c r="AF20" s="59" t="s">
        <v>185</v>
      </c>
      <c r="AG20" s="62">
        <v>0.2</v>
      </c>
      <c r="AH20" s="59" t="s">
        <v>198</v>
      </c>
      <c r="AI20" s="62">
        <v>0.3</v>
      </c>
      <c r="AJ20" s="59" t="s">
        <v>201</v>
      </c>
      <c r="AK20" s="66">
        <v>52000</v>
      </c>
    </row>
    <row r="21" spans="1:37" x14ac:dyDescent="0.45">
      <c r="A21" s="56">
        <v>19</v>
      </c>
      <c r="B21" s="59" t="s">
        <v>198</v>
      </c>
      <c r="C21" s="123">
        <v>4</v>
      </c>
      <c r="D21" s="57" t="s">
        <v>188</v>
      </c>
      <c r="E21" s="58">
        <v>-1422.4000000000003</v>
      </c>
      <c r="F21" s="59" t="s">
        <v>185</v>
      </c>
      <c r="G21" s="71">
        <v>-17.28</v>
      </c>
      <c r="H21" s="59" t="s">
        <v>185</v>
      </c>
      <c r="I21" s="71">
        <v>-10.6</v>
      </c>
      <c r="J21" s="59" t="s">
        <v>197</v>
      </c>
      <c r="K21" s="60">
        <v>2.3118279569892475</v>
      </c>
      <c r="L21" s="59" t="s">
        <v>184</v>
      </c>
      <c r="M21" s="61">
        <v>0</v>
      </c>
      <c r="N21" s="59" t="s">
        <v>198</v>
      </c>
      <c r="O21" s="61">
        <v>0.5</v>
      </c>
      <c r="P21" s="59" t="s">
        <v>200</v>
      </c>
      <c r="Q21" s="62">
        <v>0.15384615384615385</v>
      </c>
      <c r="R21" s="59" t="s">
        <v>202</v>
      </c>
      <c r="S21" s="62">
        <v>0.24358974358974358</v>
      </c>
      <c r="T21" s="59" t="s">
        <v>185</v>
      </c>
      <c r="U21" s="63">
        <v>7100</v>
      </c>
      <c r="V21" s="59" t="s">
        <v>200</v>
      </c>
      <c r="W21" s="63">
        <v>-12000</v>
      </c>
      <c r="X21" s="59" t="s">
        <v>185</v>
      </c>
      <c r="Y21" s="61">
        <v>0.4</v>
      </c>
      <c r="Z21" s="59" t="s">
        <v>188</v>
      </c>
      <c r="AA21" s="62">
        <v>0.19965277777777779</v>
      </c>
      <c r="AB21" s="59" t="s">
        <v>200</v>
      </c>
      <c r="AC21" s="62">
        <v>7.6923076923076927E-2</v>
      </c>
      <c r="AD21" s="59" t="s">
        <v>200</v>
      </c>
      <c r="AE21" s="62">
        <v>0.33333333333333331</v>
      </c>
      <c r="AF21" s="59" t="s">
        <v>184</v>
      </c>
      <c r="AG21" s="62">
        <v>0</v>
      </c>
      <c r="AH21" s="59" t="s">
        <v>196</v>
      </c>
      <c r="AI21" s="62">
        <v>0.29166666666666669</v>
      </c>
      <c r="AJ21" s="59" t="s">
        <v>200</v>
      </c>
      <c r="AK21" s="66">
        <v>48300</v>
      </c>
    </row>
    <row r="22" spans="1:37" x14ac:dyDescent="0.45">
      <c r="A22" s="56">
        <v>20</v>
      </c>
      <c r="B22" s="59" t="s">
        <v>200</v>
      </c>
      <c r="C22" s="123">
        <v>1</v>
      </c>
      <c r="D22" s="57" t="s">
        <v>190</v>
      </c>
      <c r="E22" s="58">
        <v>-2175.2999999999997</v>
      </c>
      <c r="F22" s="59" t="s">
        <v>184</v>
      </c>
      <c r="G22" s="71">
        <v>-33.024999999999999</v>
      </c>
      <c r="H22" s="59" t="s">
        <v>184</v>
      </c>
      <c r="I22" s="71">
        <v>-11.008333333333333</v>
      </c>
      <c r="J22" s="59" t="s">
        <v>184</v>
      </c>
      <c r="K22" s="60">
        <v>3</v>
      </c>
      <c r="L22" s="59" t="s">
        <v>200</v>
      </c>
      <c r="M22" s="61">
        <v>0</v>
      </c>
      <c r="N22" s="59" t="s">
        <v>184</v>
      </c>
      <c r="O22" s="61">
        <v>1</v>
      </c>
      <c r="P22" s="59" t="s">
        <v>184</v>
      </c>
      <c r="Q22" s="62">
        <v>0.04</v>
      </c>
      <c r="R22" s="59" t="s">
        <v>184</v>
      </c>
      <c r="S22" s="62">
        <v>0.4</v>
      </c>
      <c r="T22" s="59" t="s">
        <v>198</v>
      </c>
      <c r="U22" s="63">
        <v>4940</v>
      </c>
      <c r="V22" s="59" t="s">
        <v>185</v>
      </c>
      <c r="W22" s="63">
        <v>-12487.5</v>
      </c>
      <c r="X22" s="59" t="s">
        <v>184</v>
      </c>
      <c r="Y22" s="61">
        <v>0.5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184</v>
      </c>
      <c r="AE22" s="62">
        <v>0</v>
      </c>
      <c r="AF22" s="59" t="s">
        <v>200</v>
      </c>
      <c r="AG22" s="62">
        <v>0</v>
      </c>
      <c r="AH22" s="59" t="s">
        <v>201</v>
      </c>
      <c r="AI22" s="62">
        <v>0.25</v>
      </c>
      <c r="AJ22" s="59" t="s">
        <v>184</v>
      </c>
      <c r="AK22" s="66">
        <v>13000</v>
      </c>
    </row>
  </sheetData>
  <sortState xmlns:xlrd2="http://schemas.microsoft.com/office/spreadsheetml/2017/richdata2" ref="AJ3:AK6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82970-6F76-4FFA-B472-057517050D4F}">
  <sheetPr codeName="Sheet3"/>
  <dimension ref="A1:Q3221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183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3219</v>
      </c>
      <c r="C2" s="132"/>
      <c r="E2" s="43" t="s">
        <v>66</v>
      </c>
      <c r="F2" s="25" t="s">
        <v>22</v>
      </c>
      <c r="G2" s="13">
        <v>5338</v>
      </c>
      <c r="H2" s="106">
        <f>IF(B$51=0,0,G2/B$51)</f>
        <v>0.73173406442769018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-20.657276995305164</v>
      </c>
      <c r="P2" s="92">
        <v>3195</v>
      </c>
      <c r="Q2" s="76">
        <v>-66000</v>
      </c>
    </row>
    <row r="3" spans="1:17" x14ac:dyDescent="0.45">
      <c r="A3" s="37" t="s">
        <v>8</v>
      </c>
      <c r="B3" s="143">
        <v>26046</v>
      </c>
      <c r="C3" s="144"/>
      <c r="E3" s="44" t="s">
        <v>72</v>
      </c>
      <c r="F3" s="41" t="s">
        <v>27</v>
      </c>
      <c r="G3" s="34">
        <v>3935</v>
      </c>
      <c r="H3" s="107">
        <f>IF(B$51=0,0,G3/B$51)</f>
        <v>0.53941055517477721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-0.64164260506897663</v>
      </c>
      <c r="P3" s="93">
        <v>3117</v>
      </c>
      <c r="Q3" s="77">
        <v>-2000</v>
      </c>
    </row>
    <row r="4" spans="1:17" x14ac:dyDescent="0.45">
      <c r="A4" s="37" t="s">
        <v>6</v>
      </c>
      <c r="B4" s="145">
        <v>8.8817841970012523E-15</v>
      </c>
      <c r="C4" s="146"/>
      <c r="E4" s="44" t="s">
        <v>64</v>
      </c>
      <c r="F4" s="41" t="s">
        <v>20</v>
      </c>
      <c r="G4" s="34">
        <v>3546</v>
      </c>
      <c r="H4" s="107">
        <f>IF(B$51=0,0,G4/B$51)</f>
        <v>0.4860863605209047</v>
      </c>
      <c r="I4" s="68">
        <v>12</v>
      </c>
      <c r="K4" s="5">
        <v>2</v>
      </c>
      <c r="L4" s="73">
        <v>-7</v>
      </c>
      <c r="N4" s="89" t="s">
        <v>128</v>
      </c>
      <c r="O4" s="96">
        <f t="shared" si="0"/>
        <v>5.4588877516206074</v>
      </c>
      <c r="P4" s="93">
        <v>2931</v>
      </c>
      <c r="Q4" s="77">
        <v>16000</v>
      </c>
    </row>
    <row r="5" spans="1:17" x14ac:dyDescent="0.45">
      <c r="A5" s="37" t="s">
        <v>7</v>
      </c>
      <c r="B5" s="139">
        <f>IF(B$2=0,0,B$4/B$2)</f>
        <v>2.7591749602364871E-18</v>
      </c>
      <c r="C5" s="140"/>
      <c r="E5" s="44" t="s">
        <v>68</v>
      </c>
      <c r="F5" s="41" t="s">
        <v>12</v>
      </c>
      <c r="G5" s="34">
        <v>2273</v>
      </c>
      <c r="H5" s="107">
        <f>IF(B$51=0,0,G5/B$51)</f>
        <v>0.31158327621658671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2.9795158286778398</v>
      </c>
      <c r="P5" s="93">
        <v>2685</v>
      </c>
      <c r="Q5" s="77">
        <v>8000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157</v>
      </c>
      <c r="F6" s="41" t="s">
        <v>158</v>
      </c>
      <c r="G6" s="34">
        <v>2259</v>
      </c>
      <c r="H6" s="107">
        <f>IF(B$51=0,0,G6/B$51)</f>
        <v>0.30966415352981497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-0.82712985938792394</v>
      </c>
      <c r="P6" s="93">
        <v>2418</v>
      </c>
      <c r="Q6" s="77">
        <v>-2000</v>
      </c>
    </row>
    <row r="7" spans="1:17" x14ac:dyDescent="0.45">
      <c r="A7" s="37" t="s">
        <v>2</v>
      </c>
      <c r="B7" s="34">
        <v>1073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2091</v>
      </c>
      <c r="H7" s="107">
        <f>IF(B$51=0,0,G7/B$51)</f>
        <v>0.28663468128855379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22.156573116691284</v>
      </c>
      <c r="P7" s="94">
        <v>2031</v>
      </c>
      <c r="Q7" s="78">
        <v>45000</v>
      </c>
    </row>
    <row r="8" spans="1:17" x14ac:dyDescent="0.45">
      <c r="A8" s="37" t="s">
        <v>3</v>
      </c>
      <c r="B8" s="34">
        <v>1073</v>
      </c>
      <c r="C8" s="31">
        <f t="shared" si="1"/>
        <v>0.33333333333333331</v>
      </c>
      <c r="E8" s="44" t="s">
        <v>69</v>
      </c>
      <c r="F8" s="41" t="s">
        <v>24</v>
      </c>
      <c r="G8" s="34">
        <v>1091</v>
      </c>
      <c r="H8" s="107">
        <f>IF(B$51=0,0,G8/B$51)</f>
        <v>0.14955448937628513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1073</v>
      </c>
      <c r="C9" s="7">
        <f t="shared" si="1"/>
        <v>0.33333333333333331</v>
      </c>
      <c r="E9" s="44" t="s">
        <v>89</v>
      </c>
      <c r="F9" s="41" t="s">
        <v>44</v>
      </c>
      <c r="G9" s="34">
        <v>1021</v>
      </c>
      <c r="H9" s="107">
        <f>IF(B$51=0,0,G9/B$51)</f>
        <v>0.13995887594242631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37.859273066169628</v>
      </c>
      <c r="C10" s="121">
        <v>40623.000000000007</v>
      </c>
      <c r="E10" s="44" t="s">
        <v>65</v>
      </c>
      <c r="F10" s="41" t="s">
        <v>21</v>
      </c>
      <c r="G10" s="34">
        <v>799</v>
      </c>
      <c r="H10" s="107">
        <f>IF(B$51=0,0,G10/B$51)</f>
        <v>0.10952707333790267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-3.3240186915887842</v>
      </c>
      <c r="P10" s="92">
        <v>1070</v>
      </c>
      <c r="Q10" s="80">
        <v>-3556.6999999999989</v>
      </c>
    </row>
    <row r="11" spans="1:17" x14ac:dyDescent="0.45">
      <c r="A11" s="38" t="s">
        <v>204</v>
      </c>
      <c r="B11" s="120">
        <f>IF(B8=0,0,C11/B8)</f>
        <v>-0.97474370922646714</v>
      </c>
      <c r="C11" s="121">
        <v>-1045.8999999999992</v>
      </c>
      <c r="E11" s="44" t="s">
        <v>70</v>
      </c>
      <c r="F11" s="41" t="s">
        <v>25</v>
      </c>
      <c r="G11" s="34">
        <v>702</v>
      </c>
      <c r="H11" s="107">
        <f>IF(B$51=0,0,G11/B$51)</f>
        <v>9.623029472241261E-2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1.1014953271028036</v>
      </c>
      <c r="P11" s="93">
        <v>1070</v>
      </c>
      <c r="Q11" s="81">
        <v>1178.5999999999999</v>
      </c>
    </row>
    <row r="12" spans="1:17" x14ac:dyDescent="0.45">
      <c r="A12" s="38" t="s">
        <v>205</v>
      </c>
      <c r="B12" s="120">
        <f>IF(B9=0,0,C12/B9)</f>
        <v>-36.884529356943155</v>
      </c>
      <c r="C12" s="121">
        <v>-39577.100000000006</v>
      </c>
      <c r="E12" s="44" t="s">
        <v>71</v>
      </c>
      <c r="F12" s="41" t="s">
        <v>26</v>
      </c>
      <c r="G12" s="34">
        <v>495</v>
      </c>
      <c r="H12" s="107">
        <f>IF(B$51=0,0,G12/B$51)</f>
        <v>6.7854694996572998E-2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2.2225233644859812</v>
      </c>
      <c r="P12" s="94">
        <v>1070</v>
      </c>
      <c r="Q12" s="82">
        <v>2378.1</v>
      </c>
    </row>
    <row r="13" spans="1:17" x14ac:dyDescent="0.45">
      <c r="A13" s="38" t="s">
        <v>206</v>
      </c>
      <c r="B13" s="139">
        <f>AVERAGE(B10:B12)</f>
        <v>0</v>
      </c>
      <c r="C13" s="140"/>
      <c r="E13" s="44" t="s">
        <v>86</v>
      </c>
      <c r="F13" s="41" t="s">
        <v>41</v>
      </c>
      <c r="G13" s="34">
        <v>412</v>
      </c>
      <c r="H13" s="107">
        <f>IF(B$51=0,0,G13/B$51)</f>
        <v>5.6477039067854694E-2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388</v>
      </c>
      <c r="C14" s="32">
        <f t="shared" si="1"/>
        <v>0.12053432743087915</v>
      </c>
      <c r="E14" s="44" t="s">
        <v>83</v>
      </c>
      <c r="F14" s="41" t="s">
        <v>38</v>
      </c>
      <c r="G14" s="34">
        <v>350</v>
      </c>
      <c r="H14" s="107">
        <f>IF(B$51=0,0,G14/B$51)</f>
        <v>4.7978067169294036E-2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6492</v>
      </c>
      <c r="C15" s="11">
        <f>IF(B$50=0,0,B15/B$50)</f>
        <v>0.26358099878197322</v>
      </c>
      <c r="E15" s="44" t="s">
        <v>78</v>
      </c>
      <c r="F15" s="41" t="s">
        <v>33</v>
      </c>
      <c r="G15" s="34">
        <v>204</v>
      </c>
      <c r="H15" s="107">
        <f>IF(B$51=0,0,G15/B$51)</f>
        <v>2.796435915010281E-2</v>
      </c>
      <c r="I15" s="68">
        <v>8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118</v>
      </c>
      <c r="B16" s="34">
        <v>5465</v>
      </c>
      <c r="C16" s="31">
        <f>IF(B$50=0,0,B16/B$50)</f>
        <v>0.22188388144539181</v>
      </c>
      <c r="E16" s="44" t="s">
        <v>81</v>
      </c>
      <c r="F16" s="41" t="s">
        <v>36</v>
      </c>
      <c r="G16" s="34">
        <v>184</v>
      </c>
      <c r="H16" s="107">
        <f>IF(B$51=0,0,G16/B$51)</f>
        <v>2.5222755311857435E-2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19" t="s">
        <v>123</v>
      </c>
      <c r="B17" s="13">
        <v>3676</v>
      </c>
      <c r="C17" s="4">
        <f>IF(B$15=0,0,B17/B$15)</f>
        <v>0.56623536660505236</v>
      </c>
      <c r="E17" s="44" t="s">
        <v>91</v>
      </c>
      <c r="F17" s="41" t="s">
        <v>46</v>
      </c>
      <c r="G17" s="34">
        <v>135</v>
      </c>
      <c r="H17" s="107">
        <f>IF(B$51=0,0,G17/B$51)</f>
        <v>1.8505825908156272E-2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5">
      <c r="A18" s="19" t="s">
        <v>124</v>
      </c>
      <c r="B18" s="13">
        <v>2224</v>
      </c>
      <c r="C18" s="4">
        <f>IF(B$16=0,0,B18/B$16)</f>
        <v>0.40695333943275391</v>
      </c>
      <c r="E18" s="44" t="s">
        <v>79</v>
      </c>
      <c r="F18" s="41" t="s">
        <v>34</v>
      </c>
      <c r="G18" s="34">
        <v>113</v>
      </c>
      <c r="H18" s="107">
        <f>IF(B$51=0,0,G18/B$51)</f>
        <v>1.5490061686086361E-2</v>
      </c>
      <c r="I18" s="68">
        <v>11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19" t="s">
        <v>10</v>
      </c>
      <c r="B19" s="13">
        <v>7729</v>
      </c>
      <c r="C19" s="4">
        <f>IF(B$3=0,0,B19/B$3)</f>
        <v>0.29674422176149889</v>
      </c>
      <c r="E19" s="44" t="s">
        <v>153</v>
      </c>
      <c r="F19" s="41" t="s">
        <v>154</v>
      </c>
      <c r="G19" s="34">
        <v>107</v>
      </c>
      <c r="H19" s="107">
        <f>IF(B$51=0,0,G19/B$51)</f>
        <v>1.4667580534612748E-2</v>
      </c>
      <c r="I19" s="68">
        <v>5</v>
      </c>
      <c r="K19" s="5">
        <v>17</v>
      </c>
      <c r="L19" s="73">
        <v>-8</v>
      </c>
      <c r="N19" s="89" t="s">
        <v>197</v>
      </c>
      <c r="O19" s="99">
        <f>IF(P19=0,0,Q19/P19)</f>
        <v>20.222580645161269</v>
      </c>
      <c r="P19" s="93">
        <v>186</v>
      </c>
      <c r="Q19" s="81">
        <v>3761.399999999996</v>
      </c>
    </row>
    <row r="20" spans="1:17" x14ac:dyDescent="0.45">
      <c r="A20" s="37" t="s">
        <v>13</v>
      </c>
      <c r="B20" s="34">
        <v>4294</v>
      </c>
      <c r="C20" s="31">
        <f>IF(B$3=0,0,B20/B$3)</f>
        <v>0.16486216693542194</v>
      </c>
      <c r="E20" s="44" t="s">
        <v>75</v>
      </c>
      <c r="F20" s="41" t="s">
        <v>30</v>
      </c>
      <c r="G20" s="34">
        <v>47</v>
      </c>
      <c r="H20" s="107">
        <f>IF(B$51=0,0,G20/B$51)</f>
        <v>6.4427690198766282E-3</v>
      </c>
      <c r="I20" s="68">
        <v>7</v>
      </c>
      <c r="K20" s="5">
        <v>18</v>
      </c>
      <c r="L20" s="73">
        <v>0</v>
      </c>
      <c r="N20" s="89" t="s">
        <v>186</v>
      </c>
      <c r="O20" s="99">
        <f>IF(P20=0,0,Q20/P20)</f>
        <v>12.905084745762711</v>
      </c>
      <c r="P20" s="93">
        <v>236</v>
      </c>
      <c r="Q20" s="81">
        <v>3045.6</v>
      </c>
    </row>
    <row r="21" spans="1:17" x14ac:dyDescent="0.45">
      <c r="A21" s="37" t="s">
        <v>12</v>
      </c>
      <c r="B21" s="34">
        <v>3374</v>
      </c>
      <c r="C21" s="31">
        <f>IF(B$19=0,0,B21/B$19)</f>
        <v>0.43653771509897787</v>
      </c>
      <c r="E21" s="44" t="s">
        <v>92</v>
      </c>
      <c r="F21" s="41" t="s">
        <v>47</v>
      </c>
      <c r="G21" s="34">
        <v>45</v>
      </c>
      <c r="H21" s="107">
        <f>IF(B$51=0,0,G21/B$51)</f>
        <v>6.1686086360520902E-3</v>
      </c>
      <c r="I21" s="68">
        <v>5</v>
      </c>
      <c r="K21" s="5">
        <v>19</v>
      </c>
      <c r="L21" s="73">
        <v>-6.1</v>
      </c>
      <c r="N21" s="89" t="s">
        <v>189</v>
      </c>
      <c r="O21" s="99">
        <f>IF(P21=0,0,Q21/P21)</f>
        <v>8.6274193548387075</v>
      </c>
      <c r="P21" s="93">
        <v>62</v>
      </c>
      <c r="Q21" s="81">
        <v>534.89999999999986</v>
      </c>
    </row>
    <row r="22" spans="1:17" x14ac:dyDescent="0.45">
      <c r="A22" s="37" t="s">
        <v>11</v>
      </c>
      <c r="B22" s="34">
        <v>4355</v>
      </c>
      <c r="C22" s="31">
        <f>IF(B$19=0,0,B22/B$19)</f>
        <v>0.56346228490102213</v>
      </c>
      <c r="E22" s="44" t="s">
        <v>73</v>
      </c>
      <c r="F22" s="41" t="s">
        <v>28</v>
      </c>
      <c r="G22" s="34">
        <v>40</v>
      </c>
      <c r="H22" s="107">
        <f>IF(B$51=0,0,G22/B$51)</f>
        <v>5.4832076764907475E-3</v>
      </c>
      <c r="I22" s="68">
        <v>7</v>
      </c>
      <c r="K22" s="5">
        <v>20</v>
      </c>
      <c r="L22" s="73">
        <v>4.9000000000000004</v>
      </c>
      <c r="N22" s="89" t="s">
        <v>190</v>
      </c>
      <c r="O22" s="99">
        <f>IF(P22=0,0,Q22/P22)</f>
        <v>7.4157954545454539</v>
      </c>
      <c r="P22" s="93">
        <v>880</v>
      </c>
      <c r="Q22" s="81">
        <v>6525.9</v>
      </c>
    </row>
    <row r="23" spans="1:17" x14ac:dyDescent="0.45">
      <c r="A23" s="37" t="s">
        <v>180</v>
      </c>
      <c r="B23" s="34">
        <v>3676</v>
      </c>
      <c r="C23" s="31">
        <f>IF(B$19=0,0,B23/B$19)</f>
        <v>0.47561133393711996</v>
      </c>
      <c r="E23" s="44" t="s">
        <v>77</v>
      </c>
      <c r="F23" s="41" t="s">
        <v>32</v>
      </c>
      <c r="G23" s="34">
        <v>38</v>
      </c>
      <c r="H23" s="107">
        <f>IF(B$51=0,0,G23/B$51)</f>
        <v>5.2090472926662095E-3</v>
      </c>
      <c r="I23" s="68">
        <v>6</v>
      </c>
      <c r="K23" s="5">
        <v>21</v>
      </c>
      <c r="L23" s="73">
        <v>0</v>
      </c>
      <c r="N23" s="89" t="s">
        <v>188</v>
      </c>
      <c r="O23" s="99">
        <f>IF(P23=0,0,Q23/P23)</f>
        <v>6.8819805194805168</v>
      </c>
      <c r="P23" s="93">
        <v>616</v>
      </c>
      <c r="Q23" s="81">
        <v>4239.2999999999984</v>
      </c>
    </row>
    <row r="24" spans="1:17" x14ac:dyDescent="0.45">
      <c r="A24" s="37" t="s">
        <v>178</v>
      </c>
      <c r="B24" s="34">
        <v>2224</v>
      </c>
      <c r="C24" s="31">
        <f>IF(B$19=0,0,B24/B$19)</f>
        <v>0.28774744468883429</v>
      </c>
      <c r="E24" s="44" t="s">
        <v>85</v>
      </c>
      <c r="F24" s="41" t="s">
        <v>40</v>
      </c>
      <c r="G24" s="34">
        <v>35</v>
      </c>
      <c r="H24" s="107">
        <f>IF(B$51=0,0,G24/B$51)</f>
        <v>4.7978067169294038E-3</v>
      </c>
      <c r="I24" s="68">
        <v>5</v>
      </c>
      <c r="K24" s="5">
        <v>22</v>
      </c>
      <c r="L24" s="73">
        <v>-36</v>
      </c>
      <c r="N24" s="89" t="s">
        <v>193</v>
      </c>
      <c r="O24" s="99">
        <f>IF(P24=0,0,Q24/P24)</f>
        <v>3.2484375000000076</v>
      </c>
      <c r="P24" s="93">
        <v>1024</v>
      </c>
      <c r="Q24" s="81">
        <v>3326.4000000000078</v>
      </c>
    </row>
    <row r="25" spans="1:17" x14ac:dyDescent="0.45">
      <c r="A25" s="37" t="s">
        <v>179</v>
      </c>
      <c r="B25" s="34">
        <v>1829</v>
      </c>
      <c r="C25" s="31">
        <f>IF(B$19=0,0,B25/B$19)</f>
        <v>0.23664122137404581</v>
      </c>
      <c r="E25" s="44" t="s">
        <v>74</v>
      </c>
      <c r="F25" s="41" t="s">
        <v>29</v>
      </c>
      <c r="G25" s="34">
        <v>25</v>
      </c>
      <c r="H25" s="107">
        <f>IF(B$51=0,0,G25/B$51)</f>
        <v>3.4270047978067169E-3</v>
      </c>
      <c r="I25" s="68">
        <v>6</v>
      </c>
      <c r="K25" s="5">
        <v>23</v>
      </c>
      <c r="L25" s="73">
        <v>-3</v>
      </c>
      <c r="N25" s="89" t="s">
        <v>187</v>
      </c>
      <c r="O25" s="99">
        <f>IF(P25=0,0,Q25/P25)</f>
        <v>2.1343220338983051</v>
      </c>
      <c r="P25" s="93">
        <v>708</v>
      </c>
      <c r="Q25" s="81">
        <v>1511.1000000000001</v>
      </c>
    </row>
    <row r="26" spans="1:17" x14ac:dyDescent="0.45">
      <c r="A26" s="37" t="s">
        <v>5</v>
      </c>
      <c r="B26" s="17">
        <f>IF(B$19=0,0,C26/B$19)</f>
        <v>8952.4518048906721</v>
      </c>
      <c r="C26" s="8">
        <v>69193500</v>
      </c>
      <c r="E26" s="44" t="s">
        <v>93</v>
      </c>
      <c r="F26" s="41" t="s">
        <v>48</v>
      </c>
      <c r="G26" s="34">
        <v>19</v>
      </c>
      <c r="H26" s="107">
        <f>IF(B$51=0,0,G26/B$51)</f>
        <v>2.6045236463331047E-3</v>
      </c>
      <c r="I26" s="68">
        <v>7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5">
      <c r="A27" s="38" t="s">
        <v>162</v>
      </c>
      <c r="B27" s="114">
        <f>IF($B$19-B$18=0,0,C27/($B$19-B$18))</f>
        <v>9542.8519527702083</v>
      </c>
      <c r="C27" s="115">
        <v>52533400</v>
      </c>
      <c r="E27" s="44" t="s">
        <v>84</v>
      </c>
      <c r="F27" s="41" t="s">
        <v>39</v>
      </c>
      <c r="G27" s="34">
        <v>18</v>
      </c>
      <c r="H27" s="107">
        <f>IF(B$51=0,0,G27/B$51)</f>
        <v>2.4674434544208362E-3</v>
      </c>
      <c r="I27" s="68">
        <v>4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5">
      <c r="A28" s="38" t="s">
        <v>163</v>
      </c>
      <c r="B28" s="114">
        <f>IF(B$18=0,0,C28/B$18)</f>
        <v>7491.0521582733809</v>
      </c>
      <c r="C28" s="115">
        <v>16660100</v>
      </c>
      <c r="E28" s="44" t="s">
        <v>87</v>
      </c>
      <c r="F28" s="41" t="s">
        <v>42</v>
      </c>
      <c r="G28" s="34">
        <v>18</v>
      </c>
      <c r="H28" s="107">
        <f>IF(B$51=0,0,G28/B$51)</f>
        <v>2.4674434544208362E-3</v>
      </c>
      <c r="I28" s="68">
        <v>6</v>
      </c>
      <c r="K28" s="5">
        <v>26</v>
      </c>
      <c r="L28" s="73">
        <v>11.5</v>
      </c>
      <c r="N28" s="89" t="s">
        <v>191</v>
      </c>
      <c r="O28" s="99">
        <f>IF(P28=0,0,Q28/P28)</f>
        <v>-1.9812499999999997</v>
      </c>
      <c r="P28" s="93">
        <v>864</v>
      </c>
      <c r="Q28" s="81">
        <v>-1711.7999999999997</v>
      </c>
    </row>
    <row r="29" spans="1:17" x14ac:dyDescent="0.45">
      <c r="A29" s="38" t="s">
        <v>161</v>
      </c>
      <c r="B29" s="114">
        <f>IF(B$20=0,0,C29/B$20)</f>
        <v>-8371.0293432696781</v>
      </c>
      <c r="C29" s="115">
        <v>-35945200</v>
      </c>
      <c r="E29" s="44" t="s">
        <v>90</v>
      </c>
      <c r="F29" s="41" t="s">
        <v>45</v>
      </c>
      <c r="G29" s="34">
        <v>13</v>
      </c>
      <c r="H29" s="107">
        <f>IF(B$51=0,0,G29/B$51)</f>
        <v>1.7820424948594928E-3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5">
      <c r="A30" s="37" t="s">
        <v>155</v>
      </c>
      <c r="B30" s="34">
        <v>9</v>
      </c>
      <c r="C30" s="109">
        <v>0</v>
      </c>
      <c r="E30" s="44" t="s">
        <v>88</v>
      </c>
      <c r="F30" s="41" t="s">
        <v>43</v>
      </c>
      <c r="G30" s="34">
        <v>12</v>
      </c>
      <c r="H30" s="107">
        <f>IF(B$51=0,0,G30/B$51)</f>
        <v>1.6449623029472242E-3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-14.587852348993287</v>
      </c>
      <c r="P30" s="93">
        <v>1490</v>
      </c>
      <c r="Q30" s="81">
        <v>-21735.899999999998</v>
      </c>
    </row>
    <row r="31" spans="1:17" x14ac:dyDescent="0.45">
      <c r="A31" s="37" t="s">
        <v>156</v>
      </c>
      <c r="B31" s="34">
        <v>35</v>
      </c>
      <c r="C31" s="109">
        <v>0</v>
      </c>
      <c r="E31" s="44" t="s">
        <v>95</v>
      </c>
      <c r="F31" s="41" t="s">
        <v>50</v>
      </c>
      <c r="G31" s="34">
        <v>9</v>
      </c>
      <c r="H31" s="107">
        <f>IF(B$51=0,0,G31/B$51)</f>
        <v>1.2337217272104181E-3</v>
      </c>
      <c r="I31" s="68">
        <v>3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5">
      <c r="A32" s="64" t="s">
        <v>134</v>
      </c>
      <c r="B32" s="135">
        <v>10</v>
      </c>
      <c r="C32" s="136"/>
      <c r="E32" s="44" t="s">
        <v>106</v>
      </c>
      <c r="F32" s="41" t="s">
        <v>113</v>
      </c>
      <c r="G32" s="34">
        <v>3</v>
      </c>
      <c r="H32" s="107">
        <f>IF(B$51=0,0,G32/B$51)</f>
        <v>4.1124057573680605E-4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5">
      <c r="A33" s="40" t="s">
        <v>177</v>
      </c>
      <c r="B33" s="133">
        <v>149100</v>
      </c>
      <c r="C33" s="134"/>
      <c r="E33" s="44" t="s">
        <v>97</v>
      </c>
      <c r="F33" s="41" t="s">
        <v>52</v>
      </c>
      <c r="G33" s="34">
        <v>2</v>
      </c>
      <c r="H33" s="107">
        <f>IF(B$51=0,0,G33/B$51)</f>
        <v>2.7416038382453733E-4</v>
      </c>
      <c r="I33" s="68">
        <v>3</v>
      </c>
      <c r="K33" s="5">
        <v>31</v>
      </c>
      <c r="L33" s="73">
        <v>18.3</v>
      </c>
    </row>
    <row r="34" spans="1:12" x14ac:dyDescent="0.45">
      <c r="A34" s="39" t="s">
        <v>135</v>
      </c>
      <c r="B34" s="27">
        <v>73</v>
      </c>
      <c r="C34" s="32">
        <f>IF(B$3=0,0,B34/B$3)</f>
        <v>2.8027336251247792E-3</v>
      </c>
      <c r="E34" s="44" t="s">
        <v>101</v>
      </c>
      <c r="F34" s="41" t="s">
        <v>56</v>
      </c>
      <c r="G34" s="34">
        <v>2</v>
      </c>
      <c r="H34" s="107">
        <f>IF(B$51=0,0,G34/B$51)</f>
        <v>2.7416038382453733E-4</v>
      </c>
      <c r="I34" s="68">
        <v>2</v>
      </c>
      <c r="K34" s="5">
        <v>32</v>
      </c>
      <c r="L34" s="73">
        <v>8.6000000000000014</v>
      </c>
    </row>
    <row r="35" spans="1:12" x14ac:dyDescent="0.45">
      <c r="E35" s="44" t="s">
        <v>76</v>
      </c>
      <c r="F35" s="41" t="s">
        <v>31</v>
      </c>
      <c r="G35" s="34">
        <v>1</v>
      </c>
      <c r="H35" s="107">
        <f>IF(B$51=0,0,G35/B$51)</f>
        <v>1.3708019191226866E-4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64" t="s">
        <v>168</v>
      </c>
      <c r="B36" s="126">
        <v>509</v>
      </c>
      <c r="C36" s="119">
        <f>IF(B$19=0,0,B36/B$19)</f>
        <v>6.5855867511967911E-2</v>
      </c>
      <c r="E36" s="44" t="s">
        <v>80</v>
      </c>
      <c r="F36" s="41" t="s">
        <v>35</v>
      </c>
      <c r="G36" s="34">
        <v>1</v>
      </c>
      <c r="H36" s="107">
        <f>IF(B$51=0,0,G36/B$51)</f>
        <v>1.3708019191226866E-4</v>
      </c>
      <c r="I36" s="68">
        <v>2</v>
      </c>
      <c r="K36" s="5">
        <v>34</v>
      </c>
      <c r="L36" s="73">
        <v>12.800000000000002</v>
      </c>
    </row>
    <row r="37" spans="1:12" x14ac:dyDescent="0.45">
      <c r="A37" s="37" t="s">
        <v>164</v>
      </c>
      <c r="B37" s="34">
        <v>1120</v>
      </c>
      <c r="C37" s="31">
        <f t="shared" ref="C37:C48" si="2">IF(B$19=0,0,B37/B$19)</f>
        <v>0.14490878509509639</v>
      </c>
      <c r="E37" s="44" t="s">
        <v>102</v>
      </c>
      <c r="F37" s="41" t="s">
        <v>57</v>
      </c>
      <c r="G37" s="34">
        <v>1</v>
      </c>
      <c r="H37" s="107">
        <f>IF(B$51=0,0,G37/B$51)</f>
        <v>1.3708019191226866E-4</v>
      </c>
      <c r="I37" s="68">
        <v>2</v>
      </c>
      <c r="K37" s="5">
        <v>35</v>
      </c>
      <c r="L37" s="73">
        <v>36.400000000000006</v>
      </c>
    </row>
    <row r="38" spans="1:12" x14ac:dyDescent="0.45">
      <c r="A38" s="37" t="s">
        <v>165</v>
      </c>
      <c r="B38" s="127">
        <v>1379</v>
      </c>
      <c r="C38" s="31">
        <f>IF(B$19=0,0,B38/B$19)</f>
        <v>0.17841894164833744</v>
      </c>
      <c r="E38" s="44" t="s">
        <v>82</v>
      </c>
      <c r="F38" s="41" t="s">
        <v>37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166</v>
      </c>
      <c r="B39" s="127">
        <v>1370</v>
      </c>
      <c r="C39" s="31">
        <f t="shared" si="2"/>
        <v>0.17725449605382326</v>
      </c>
      <c r="E39" s="44" t="s">
        <v>94</v>
      </c>
      <c r="F39" s="41" t="s">
        <v>49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167</v>
      </c>
      <c r="B40" s="127">
        <v>1142</v>
      </c>
      <c r="C40" s="31">
        <f t="shared" si="2"/>
        <v>0.14775520765946434</v>
      </c>
      <c r="E40" s="44" t="s">
        <v>96</v>
      </c>
      <c r="F40" s="41" t="s">
        <v>51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169</v>
      </c>
      <c r="B41" s="127">
        <v>738</v>
      </c>
      <c r="C41" s="31">
        <f t="shared" si="2"/>
        <v>9.5484538750161732E-2</v>
      </c>
      <c r="E41" s="44" t="s">
        <v>98</v>
      </c>
      <c r="F41" s="41" t="s">
        <v>53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170</v>
      </c>
      <c r="B42" s="127">
        <v>440</v>
      </c>
      <c r="C42" s="31">
        <f t="shared" si="2"/>
        <v>5.6928451287359294E-2</v>
      </c>
      <c r="E42" s="44" t="s">
        <v>99</v>
      </c>
      <c r="F42" s="41" t="s">
        <v>54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171</v>
      </c>
      <c r="B43" s="127">
        <v>241</v>
      </c>
      <c r="C43" s="31">
        <f t="shared" si="2"/>
        <v>3.1181265364212705E-2</v>
      </c>
      <c r="E43" s="44" t="s">
        <v>100</v>
      </c>
      <c r="F43" s="41" t="s">
        <v>55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7" t="s">
        <v>172</v>
      </c>
      <c r="B44" s="127">
        <v>136</v>
      </c>
      <c r="C44" s="31">
        <f t="shared" si="2"/>
        <v>1.7596066761547419E-2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A45" s="37" t="s">
        <v>173</v>
      </c>
      <c r="B45" s="127">
        <v>67</v>
      </c>
      <c r="C45" s="31">
        <f t="shared" si="2"/>
        <v>8.6686505369388024E-3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37" t="s">
        <v>174</v>
      </c>
      <c r="B46" s="127">
        <v>38</v>
      </c>
      <c r="C46" s="31">
        <f t="shared" si="2"/>
        <v>4.9165480657264848E-3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7" t="s">
        <v>175</v>
      </c>
      <c r="B47" s="127">
        <v>16</v>
      </c>
      <c r="C47" s="31">
        <f t="shared" si="2"/>
        <v>2.0701255013585197E-3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A48" s="39" t="s">
        <v>176</v>
      </c>
      <c r="B48" s="128">
        <v>99</v>
      </c>
      <c r="C48" s="32">
        <f t="shared" si="2"/>
        <v>1.2808901539655842E-2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5">
      <c r="A50" s="64" t="s">
        <v>181</v>
      </c>
      <c r="B50" s="131">
        <v>24630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5">
      <c r="A51" s="39" t="s">
        <v>182</v>
      </c>
      <c r="B51" s="129">
        <v>7295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5">
      <c r="K53" s="5">
        <v>51</v>
      </c>
      <c r="L53" s="73">
        <v>7.1054273576010019E-15</v>
      </c>
    </row>
    <row r="54" spans="1:12" x14ac:dyDescent="0.45">
      <c r="K54" s="5">
        <v>52</v>
      </c>
      <c r="L54" s="73">
        <v>14.900000000000007</v>
      </c>
    </row>
    <row r="55" spans="1:12" x14ac:dyDescent="0.45">
      <c r="K55" s="5">
        <v>53</v>
      </c>
      <c r="L55" s="73">
        <v>1.2000000000000082</v>
      </c>
    </row>
    <row r="56" spans="1:12" x14ac:dyDescent="0.45">
      <c r="K56" s="5">
        <v>54</v>
      </c>
      <c r="L56" s="73">
        <v>8.2156503822261584E-15</v>
      </c>
    </row>
    <row r="57" spans="1:12" x14ac:dyDescent="0.45">
      <c r="K57" s="5">
        <v>55</v>
      </c>
      <c r="L57" s="73">
        <v>57.20000000000001</v>
      </c>
    </row>
    <row r="58" spans="1:12" x14ac:dyDescent="0.45">
      <c r="K58" s="5">
        <v>56</v>
      </c>
      <c r="L58" s="73">
        <v>18.800000000000011</v>
      </c>
    </row>
    <row r="59" spans="1:12" x14ac:dyDescent="0.45">
      <c r="K59" s="5">
        <v>57</v>
      </c>
      <c r="L59" s="73">
        <v>1.0658141036401503E-14</v>
      </c>
    </row>
    <row r="60" spans="1:12" x14ac:dyDescent="0.45">
      <c r="K60" s="5">
        <v>58</v>
      </c>
      <c r="L60" s="73">
        <v>26.20000000000001</v>
      </c>
    </row>
    <row r="61" spans="1:12" x14ac:dyDescent="0.45">
      <c r="K61" s="5">
        <v>59</v>
      </c>
      <c r="L61" s="73">
        <v>1.0000000000000107</v>
      </c>
    </row>
    <row r="62" spans="1:12" x14ac:dyDescent="0.45">
      <c r="K62" s="5">
        <v>60</v>
      </c>
      <c r="L62" s="73">
        <v>1.0658141036401503E-14</v>
      </c>
    </row>
    <row r="63" spans="1:12" x14ac:dyDescent="0.45">
      <c r="K63" s="5">
        <v>61</v>
      </c>
      <c r="L63" s="73">
        <v>56.500000000000014</v>
      </c>
    </row>
    <row r="64" spans="1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  <row r="2748" spans="11:12" x14ac:dyDescent="0.45">
      <c r="K2748" s="5">
        <v>2746</v>
      </c>
      <c r="L2748" s="73">
        <v>-28.999999999999943</v>
      </c>
    </row>
    <row r="2749" spans="11:12" x14ac:dyDescent="0.45">
      <c r="K2749" s="5">
        <v>2747</v>
      </c>
      <c r="L2749" s="73">
        <v>49.300000000000054</v>
      </c>
    </row>
    <row r="2750" spans="11:12" x14ac:dyDescent="0.45">
      <c r="K2750" s="5">
        <v>2748</v>
      </c>
      <c r="L2750" s="73">
        <v>5.8619775700208265E-14</v>
      </c>
    </row>
    <row r="2751" spans="11:12" x14ac:dyDescent="0.45">
      <c r="K2751" s="5">
        <v>2749</v>
      </c>
      <c r="L2751" s="73">
        <v>15.600000000000058</v>
      </c>
    </row>
    <row r="2752" spans="11:12" x14ac:dyDescent="0.45">
      <c r="K2752" s="5">
        <v>2750</v>
      </c>
      <c r="L2752" s="73">
        <v>52.500000000000057</v>
      </c>
    </row>
    <row r="2753" spans="11:12" x14ac:dyDescent="0.45">
      <c r="K2753" s="5">
        <v>2751</v>
      </c>
      <c r="L2753" s="73">
        <v>5.8619775700208265E-14</v>
      </c>
    </row>
    <row r="2754" spans="11:12" x14ac:dyDescent="0.45">
      <c r="K2754" s="5">
        <v>2752</v>
      </c>
      <c r="L2754" s="73">
        <v>-1.4999999999999414</v>
      </c>
    </row>
    <row r="2755" spans="11:12" x14ac:dyDescent="0.45">
      <c r="K2755" s="5">
        <v>2753</v>
      </c>
      <c r="L2755" s="73">
        <v>20.20000000000006</v>
      </c>
    </row>
    <row r="2756" spans="11:12" x14ac:dyDescent="0.45">
      <c r="K2756" s="5">
        <v>2754</v>
      </c>
      <c r="L2756" s="73">
        <v>5.8619775700208265E-14</v>
      </c>
    </row>
    <row r="2757" spans="11:12" x14ac:dyDescent="0.45">
      <c r="K2757" s="5">
        <v>2755</v>
      </c>
      <c r="L2757" s="73">
        <v>-29.999999999999943</v>
      </c>
    </row>
    <row r="2758" spans="11:12" x14ac:dyDescent="0.45">
      <c r="K2758" s="5">
        <v>2756</v>
      </c>
      <c r="L2758" s="73">
        <v>1.0000000000000586</v>
      </c>
    </row>
    <row r="2759" spans="11:12" x14ac:dyDescent="0.45">
      <c r="K2759" s="5">
        <v>2757</v>
      </c>
      <c r="L2759" s="73">
        <v>5.8619775700208265E-14</v>
      </c>
    </row>
    <row r="2760" spans="11:12" x14ac:dyDescent="0.45">
      <c r="K2760" s="5">
        <v>2758</v>
      </c>
      <c r="L2760" s="73">
        <v>-55.999999999999943</v>
      </c>
    </row>
    <row r="2761" spans="11:12" x14ac:dyDescent="0.45">
      <c r="K2761" s="5">
        <v>2759</v>
      </c>
      <c r="L2761" s="73">
        <v>-46.499999999999943</v>
      </c>
    </row>
    <row r="2762" spans="11:12" x14ac:dyDescent="0.45">
      <c r="K2762" s="5">
        <v>2760</v>
      </c>
      <c r="L2762" s="73">
        <v>5.8619775700208265E-14</v>
      </c>
    </row>
    <row r="2763" spans="11:12" x14ac:dyDescent="0.45">
      <c r="K2763" s="5">
        <v>2761</v>
      </c>
      <c r="L2763" s="73">
        <v>-22.29999999999994</v>
      </c>
    </row>
    <row r="2764" spans="11:12" x14ac:dyDescent="0.45">
      <c r="K2764" s="5">
        <v>2762</v>
      </c>
      <c r="L2764" s="73">
        <v>-19.099999999999945</v>
      </c>
    </row>
    <row r="2765" spans="11:12" x14ac:dyDescent="0.45">
      <c r="K2765" s="5">
        <v>2763</v>
      </c>
      <c r="L2765" s="73">
        <v>5.8619775700208265E-14</v>
      </c>
    </row>
    <row r="2766" spans="11:12" x14ac:dyDescent="0.45">
      <c r="K2766" s="5">
        <v>2764</v>
      </c>
      <c r="L2766" s="73">
        <v>-48.599999999999945</v>
      </c>
    </row>
    <row r="2767" spans="11:12" x14ac:dyDescent="0.45">
      <c r="K2767" s="5">
        <v>2765</v>
      </c>
      <c r="L2767" s="73">
        <v>-48.799999999999947</v>
      </c>
    </row>
    <row r="2768" spans="11:12" x14ac:dyDescent="0.45">
      <c r="K2768" s="5">
        <v>2766</v>
      </c>
      <c r="L2768" s="73">
        <v>5.1514348342607263E-14</v>
      </c>
    </row>
    <row r="2769" spans="11:12" x14ac:dyDescent="0.45">
      <c r="K2769" s="5">
        <v>2767</v>
      </c>
      <c r="L2769" s="73">
        <v>-29.199999999999946</v>
      </c>
    </row>
    <row r="2770" spans="11:12" x14ac:dyDescent="0.45">
      <c r="K2770" s="5">
        <v>2768</v>
      </c>
      <c r="L2770" s="73">
        <v>-30.699999999999946</v>
      </c>
    </row>
    <row r="2771" spans="11:12" x14ac:dyDescent="0.45">
      <c r="K2771" s="5">
        <v>2769</v>
      </c>
      <c r="L2771" s="73">
        <v>5.1514348342607263E-14</v>
      </c>
    </row>
    <row r="2772" spans="11:12" x14ac:dyDescent="0.45">
      <c r="K2772" s="5">
        <v>2770</v>
      </c>
      <c r="L2772" s="73">
        <v>-20.599999999999952</v>
      </c>
    </row>
    <row r="2773" spans="11:12" x14ac:dyDescent="0.45">
      <c r="K2773" s="5">
        <v>2771</v>
      </c>
      <c r="L2773" s="73">
        <v>39.600000000000051</v>
      </c>
    </row>
    <row r="2774" spans="11:12" x14ac:dyDescent="0.45">
      <c r="K2774" s="5">
        <v>2772</v>
      </c>
      <c r="L2774" s="73">
        <v>5.1514348342607263E-14</v>
      </c>
    </row>
    <row r="2775" spans="11:12" x14ac:dyDescent="0.45">
      <c r="K2775" s="5">
        <v>2773</v>
      </c>
      <c r="L2775" s="73">
        <v>34.400000000000048</v>
      </c>
    </row>
    <row r="2776" spans="11:12" x14ac:dyDescent="0.45">
      <c r="K2776" s="5">
        <v>2774</v>
      </c>
      <c r="L2776" s="73">
        <v>22.900000000000048</v>
      </c>
    </row>
    <row r="2777" spans="11:12" x14ac:dyDescent="0.45">
      <c r="K2777" s="5">
        <v>2775</v>
      </c>
      <c r="L2777" s="73">
        <v>5.1514348342607263E-14</v>
      </c>
    </row>
    <row r="2778" spans="11:12" x14ac:dyDescent="0.45">
      <c r="K2778" s="5">
        <v>2776</v>
      </c>
      <c r="L2778" s="73">
        <v>4.2000000000000517</v>
      </c>
    </row>
    <row r="2779" spans="11:12" x14ac:dyDescent="0.45">
      <c r="K2779" s="5">
        <v>2777</v>
      </c>
      <c r="L2779" s="73">
        <v>34.400000000000048</v>
      </c>
    </row>
    <row r="2780" spans="11:12" x14ac:dyDescent="0.45">
      <c r="K2780" s="5">
        <v>2778</v>
      </c>
      <c r="L2780" s="73">
        <v>5.1514348342607263E-14</v>
      </c>
    </row>
    <row r="2781" spans="11:12" x14ac:dyDescent="0.45">
      <c r="K2781" s="5">
        <v>2779</v>
      </c>
      <c r="L2781" s="73">
        <v>-28.799999999999947</v>
      </c>
    </row>
    <row r="2782" spans="11:12" x14ac:dyDescent="0.45">
      <c r="K2782" s="5">
        <v>2780</v>
      </c>
      <c r="L2782" s="73">
        <v>-87.099999999999952</v>
      </c>
    </row>
    <row r="2783" spans="11:12" x14ac:dyDescent="0.45">
      <c r="K2783" s="5">
        <v>2781</v>
      </c>
      <c r="L2783" s="73">
        <v>4.4408920985006262E-14</v>
      </c>
    </row>
    <row r="2784" spans="11:12" x14ac:dyDescent="0.45">
      <c r="K2784" s="5">
        <v>2782</v>
      </c>
      <c r="L2784" s="73">
        <v>2.8000000000000442</v>
      </c>
    </row>
    <row r="2785" spans="11:12" x14ac:dyDescent="0.45">
      <c r="K2785" s="5">
        <v>2783</v>
      </c>
      <c r="L2785" s="73">
        <v>33.30000000000004</v>
      </c>
    </row>
    <row r="2786" spans="11:12" x14ac:dyDescent="0.45">
      <c r="K2786" s="5">
        <v>2784</v>
      </c>
      <c r="L2786" s="73">
        <v>4.4408920985006262E-14</v>
      </c>
    </row>
    <row r="2787" spans="11:12" x14ac:dyDescent="0.45">
      <c r="K2787" s="5">
        <v>2785</v>
      </c>
      <c r="L2787" s="73">
        <v>-11.999999999999956</v>
      </c>
    </row>
    <row r="2788" spans="11:12" x14ac:dyDescent="0.45">
      <c r="K2788" s="5">
        <v>2786</v>
      </c>
      <c r="L2788" s="73">
        <v>-62.399999999999956</v>
      </c>
    </row>
    <row r="2789" spans="11:12" x14ac:dyDescent="0.45">
      <c r="K2789" s="5">
        <v>2787</v>
      </c>
      <c r="L2789" s="73">
        <v>4.4408920985006262E-14</v>
      </c>
    </row>
    <row r="2790" spans="11:12" x14ac:dyDescent="0.45">
      <c r="K2790" s="5">
        <v>2788</v>
      </c>
      <c r="L2790" s="73">
        <v>22.100000000000044</v>
      </c>
    </row>
    <row r="2791" spans="11:12" x14ac:dyDescent="0.45">
      <c r="K2791" s="5">
        <v>2789</v>
      </c>
      <c r="L2791" s="73">
        <v>23.400000000000048</v>
      </c>
    </row>
    <row r="2792" spans="11:12" x14ac:dyDescent="0.45">
      <c r="K2792" s="5">
        <v>2790</v>
      </c>
      <c r="L2792" s="73">
        <v>4.7961634663806763E-14</v>
      </c>
    </row>
    <row r="2793" spans="11:12" x14ac:dyDescent="0.45">
      <c r="K2793" s="5">
        <v>2791</v>
      </c>
      <c r="L2793" s="73">
        <v>60.600000000000051</v>
      </c>
    </row>
    <row r="2794" spans="11:12" x14ac:dyDescent="0.45">
      <c r="K2794" s="5">
        <v>2792</v>
      </c>
      <c r="L2794" s="73">
        <v>46.200000000000053</v>
      </c>
    </row>
    <row r="2795" spans="11:12" x14ac:dyDescent="0.45">
      <c r="K2795" s="5">
        <v>2793</v>
      </c>
      <c r="L2795" s="73">
        <v>5.1514348342607263E-14</v>
      </c>
    </row>
    <row r="2796" spans="11:12" x14ac:dyDescent="0.45">
      <c r="K2796" s="5">
        <v>2794</v>
      </c>
      <c r="L2796" s="73">
        <v>-38.49999999999995</v>
      </c>
    </row>
    <row r="2797" spans="11:12" x14ac:dyDescent="0.45">
      <c r="K2797" s="5">
        <v>2795</v>
      </c>
      <c r="L2797" s="73">
        <v>-26.299999999999947</v>
      </c>
    </row>
    <row r="2798" spans="11:12" x14ac:dyDescent="0.45">
      <c r="K2798" s="5">
        <v>2796</v>
      </c>
      <c r="L2798" s="73">
        <v>5.1514348342607263E-14</v>
      </c>
    </row>
    <row r="2799" spans="11:12" x14ac:dyDescent="0.45">
      <c r="K2799" s="5">
        <v>2797</v>
      </c>
      <c r="L2799" s="73">
        <v>39.800000000000047</v>
      </c>
    </row>
    <row r="2800" spans="11:12" x14ac:dyDescent="0.45">
      <c r="K2800" s="5">
        <v>2798</v>
      </c>
      <c r="L2800" s="73">
        <v>-10.699999999999951</v>
      </c>
    </row>
    <row r="2801" spans="11:12" x14ac:dyDescent="0.45">
      <c r="K2801" s="5">
        <v>2799</v>
      </c>
      <c r="L2801" s="73">
        <v>4.7961634663806763E-14</v>
      </c>
    </row>
    <row r="2802" spans="11:12" x14ac:dyDescent="0.45">
      <c r="K2802" s="5">
        <v>2800</v>
      </c>
      <c r="L2802" s="73">
        <v>-31.999999999999957</v>
      </c>
    </row>
    <row r="2803" spans="11:12" x14ac:dyDescent="0.45">
      <c r="K2803" s="5">
        <v>2801</v>
      </c>
      <c r="L2803" s="73">
        <v>1.900000000000043</v>
      </c>
    </row>
    <row r="2804" spans="11:12" x14ac:dyDescent="0.45">
      <c r="K2804" s="5">
        <v>2802</v>
      </c>
      <c r="L2804" s="73">
        <v>4.3076653355456074E-14</v>
      </c>
    </row>
    <row r="2805" spans="11:12" x14ac:dyDescent="0.45">
      <c r="K2805" s="5">
        <v>2803</v>
      </c>
      <c r="L2805" s="73">
        <v>-42.299999999999955</v>
      </c>
    </row>
    <row r="2806" spans="11:12" x14ac:dyDescent="0.45">
      <c r="K2806" s="5">
        <v>2804</v>
      </c>
      <c r="L2806" s="73">
        <v>-60.799999999999955</v>
      </c>
    </row>
    <row r="2807" spans="11:12" x14ac:dyDescent="0.45">
      <c r="K2807" s="5">
        <v>2805</v>
      </c>
      <c r="L2807" s="73">
        <v>4.4408920985006262E-14</v>
      </c>
    </row>
    <row r="2808" spans="11:12" x14ac:dyDescent="0.45">
      <c r="K2808" s="5">
        <v>2806</v>
      </c>
      <c r="L2808" s="73">
        <v>33.000000000000043</v>
      </c>
    </row>
    <row r="2809" spans="11:12" x14ac:dyDescent="0.45">
      <c r="K2809" s="5">
        <v>2807</v>
      </c>
      <c r="L2809" s="73">
        <v>-1.9999999999999556</v>
      </c>
    </row>
    <row r="2810" spans="11:12" x14ac:dyDescent="0.45">
      <c r="K2810" s="5">
        <v>2808</v>
      </c>
      <c r="L2810" s="73">
        <v>4.4408920985006262E-14</v>
      </c>
    </row>
    <row r="2811" spans="11:12" x14ac:dyDescent="0.45">
      <c r="K2811" s="5">
        <v>2809</v>
      </c>
      <c r="L2811" s="73">
        <v>26.800000000000047</v>
      </c>
    </row>
    <row r="2812" spans="11:12" x14ac:dyDescent="0.45">
      <c r="K2812" s="5">
        <v>2810</v>
      </c>
      <c r="L2812" s="73">
        <v>32.200000000000045</v>
      </c>
    </row>
    <row r="2813" spans="11:12" x14ac:dyDescent="0.45">
      <c r="K2813" s="5">
        <v>2811</v>
      </c>
      <c r="L2813" s="73">
        <v>4.4408920985006262E-14</v>
      </c>
    </row>
    <row r="2814" spans="11:12" x14ac:dyDescent="0.45">
      <c r="K2814" s="5">
        <v>2812</v>
      </c>
      <c r="L2814" s="73">
        <v>45.200000000000045</v>
      </c>
    </row>
    <row r="2815" spans="11:12" x14ac:dyDescent="0.45">
      <c r="K2815" s="5">
        <v>2813</v>
      </c>
      <c r="L2815" s="73">
        <v>10.200000000000047</v>
      </c>
    </row>
    <row r="2816" spans="11:12" x14ac:dyDescent="0.45">
      <c r="K2816" s="5">
        <v>2814</v>
      </c>
      <c r="L2816" s="73">
        <v>4.7961634663806763E-14</v>
      </c>
    </row>
    <row r="2817" spans="11:12" x14ac:dyDescent="0.45">
      <c r="K2817" s="5">
        <v>2815</v>
      </c>
      <c r="L2817" s="73">
        <v>-12.499999999999952</v>
      </c>
    </row>
    <row r="2818" spans="11:12" x14ac:dyDescent="0.45">
      <c r="K2818" s="5">
        <v>2816</v>
      </c>
      <c r="L2818" s="73">
        <v>-12.199999999999951</v>
      </c>
    </row>
    <row r="2819" spans="11:12" x14ac:dyDescent="0.45">
      <c r="K2819" s="5">
        <v>2817</v>
      </c>
      <c r="L2819" s="73">
        <v>4.7961634663806763E-14</v>
      </c>
    </row>
    <row r="2820" spans="11:12" x14ac:dyDescent="0.45">
      <c r="K2820" s="5">
        <v>2818</v>
      </c>
      <c r="L2820" s="73">
        <v>-65.499999999999957</v>
      </c>
    </row>
    <row r="2821" spans="11:12" x14ac:dyDescent="0.45">
      <c r="K2821" s="5">
        <v>2819</v>
      </c>
      <c r="L2821" s="73">
        <v>-11.999999999999956</v>
      </c>
    </row>
    <row r="2822" spans="11:12" x14ac:dyDescent="0.45">
      <c r="K2822" s="5">
        <v>2820</v>
      </c>
      <c r="L2822" s="73">
        <v>4.4408920985006262E-14</v>
      </c>
    </row>
    <row r="2823" spans="11:12" x14ac:dyDescent="0.45">
      <c r="K2823" s="5">
        <v>2821</v>
      </c>
      <c r="L2823" s="73">
        <v>-9.1999999999999549</v>
      </c>
    </row>
    <row r="2824" spans="11:12" x14ac:dyDescent="0.45">
      <c r="K2824" s="5">
        <v>2822</v>
      </c>
      <c r="L2824" s="73">
        <v>-39.69999999999996</v>
      </c>
    </row>
    <row r="2825" spans="11:12" x14ac:dyDescent="0.45">
      <c r="K2825" s="5">
        <v>2823</v>
      </c>
      <c r="L2825" s="73">
        <v>4.4408920985006262E-14</v>
      </c>
    </row>
    <row r="2826" spans="11:12" x14ac:dyDescent="0.45">
      <c r="K2826" s="5">
        <v>2824</v>
      </c>
      <c r="L2826" s="73">
        <v>-36.299999999999955</v>
      </c>
    </row>
    <row r="2827" spans="11:12" x14ac:dyDescent="0.45">
      <c r="K2827" s="5">
        <v>2825</v>
      </c>
      <c r="L2827" s="73">
        <v>-56.299999999999955</v>
      </c>
    </row>
    <row r="2828" spans="11:12" x14ac:dyDescent="0.45">
      <c r="K2828" s="5">
        <v>2826</v>
      </c>
      <c r="L2828" s="73">
        <v>4.4408920985006262E-14</v>
      </c>
    </row>
    <row r="2829" spans="11:12" x14ac:dyDescent="0.45">
      <c r="K2829" s="5">
        <v>2827</v>
      </c>
      <c r="L2829" s="73">
        <v>-37.19999999999996</v>
      </c>
    </row>
    <row r="2830" spans="11:12" x14ac:dyDescent="0.45">
      <c r="K2830" s="5">
        <v>2828</v>
      </c>
      <c r="L2830" s="73">
        <v>-8.3999999999999577</v>
      </c>
    </row>
    <row r="2831" spans="11:12" x14ac:dyDescent="0.45">
      <c r="K2831" s="5">
        <v>2829</v>
      </c>
      <c r="L2831" s="73">
        <v>4.2632564145606011E-14</v>
      </c>
    </row>
    <row r="2832" spans="11:12" x14ac:dyDescent="0.45">
      <c r="K2832" s="5">
        <v>2830</v>
      </c>
      <c r="L2832" s="73">
        <v>-27.399999999999956</v>
      </c>
    </row>
    <row r="2833" spans="11:12" x14ac:dyDescent="0.45">
      <c r="K2833" s="5">
        <v>2831</v>
      </c>
      <c r="L2833" s="73">
        <v>-35.69999999999996</v>
      </c>
    </row>
    <row r="2834" spans="11:12" x14ac:dyDescent="0.45">
      <c r="K2834" s="5">
        <v>2832</v>
      </c>
      <c r="L2834" s="73">
        <v>4.4408920985006262E-14</v>
      </c>
    </row>
    <row r="2835" spans="11:12" x14ac:dyDescent="0.45">
      <c r="K2835" s="5">
        <v>2833</v>
      </c>
      <c r="L2835" s="73">
        <v>-3.3999999999999555</v>
      </c>
    </row>
    <row r="2836" spans="11:12" x14ac:dyDescent="0.45">
      <c r="K2836" s="5">
        <v>2834</v>
      </c>
      <c r="L2836" s="73">
        <v>17.600000000000044</v>
      </c>
    </row>
    <row r="2837" spans="11:12" x14ac:dyDescent="0.45">
      <c r="K2837" s="5">
        <v>2835</v>
      </c>
      <c r="L2837" s="73">
        <v>4.4408920985006262E-14</v>
      </c>
    </row>
    <row r="2838" spans="11:12" x14ac:dyDescent="0.45">
      <c r="K2838" s="5">
        <v>2836</v>
      </c>
      <c r="L2838" s="73">
        <v>-10.999999999999956</v>
      </c>
    </row>
    <row r="2839" spans="11:12" x14ac:dyDescent="0.45">
      <c r="K2839" s="5">
        <v>2837</v>
      </c>
      <c r="L2839" s="73">
        <v>27.200000000000045</v>
      </c>
    </row>
    <row r="2840" spans="11:12" x14ac:dyDescent="0.45">
      <c r="K2840" s="5">
        <v>2838</v>
      </c>
      <c r="L2840" s="73">
        <v>4.7961634663806763E-14</v>
      </c>
    </row>
    <row r="2841" spans="11:12" x14ac:dyDescent="0.45">
      <c r="K2841" s="5">
        <v>2839</v>
      </c>
      <c r="L2841" s="73">
        <v>-28.699999999999953</v>
      </c>
    </row>
    <row r="2842" spans="11:12" x14ac:dyDescent="0.45">
      <c r="K2842" s="5">
        <v>2840</v>
      </c>
      <c r="L2842" s="73">
        <v>-27.899999999999949</v>
      </c>
    </row>
    <row r="2843" spans="11:12" x14ac:dyDescent="0.45">
      <c r="K2843" s="5">
        <v>2841</v>
      </c>
      <c r="L2843" s="73">
        <v>4.7961634663806763E-14</v>
      </c>
    </row>
    <row r="2844" spans="11:12" x14ac:dyDescent="0.45">
      <c r="K2844" s="5">
        <v>2842</v>
      </c>
      <c r="L2844" s="73">
        <v>-43.999999999999957</v>
      </c>
    </row>
    <row r="2845" spans="11:12" x14ac:dyDescent="0.45">
      <c r="K2845" s="5">
        <v>2843</v>
      </c>
      <c r="L2845" s="73">
        <v>0.80000000000004157</v>
      </c>
    </row>
    <row r="2846" spans="11:12" x14ac:dyDescent="0.45">
      <c r="K2846" s="5">
        <v>2844</v>
      </c>
      <c r="L2846" s="73">
        <v>4.1522341120980855E-14</v>
      </c>
    </row>
    <row r="2847" spans="11:12" x14ac:dyDescent="0.45">
      <c r="K2847" s="5">
        <v>2845</v>
      </c>
      <c r="L2847" s="73">
        <v>-18.899999999999956</v>
      </c>
    </row>
    <row r="2848" spans="11:12" x14ac:dyDescent="0.45">
      <c r="K2848" s="5">
        <v>2846</v>
      </c>
      <c r="L2848" s="73">
        <v>-56.399999999999963</v>
      </c>
    </row>
    <row r="2849" spans="11:12" x14ac:dyDescent="0.45">
      <c r="K2849" s="5">
        <v>2847</v>
      </c>
      <c r="L2849" s="73">
        <v>3.730349362740526E-14</v>
      </c>
    </row>
    <row r="2850" spans="11:12" x14ac:dyDescent="0.45">
      <c r="K2850" s="5">
        <v>2848</v>
      </c>
      <c r="L2850" s="73">
        <v>12.200000000000037</v>
      </c>
    </row>
    <row r="2851" spans="11:12" x14ac:dyDescent="0.45">
      <c r="K2851" s="5">
        <v>2849</v>
      </c>
      <c r="L2851" s="73">
        <v>34.500000000000036</v>
      </c>
    </row>
    <row r="2852" spans="11:12" x14ac:dyDescent="0.45">
      <c r="K2852" s="5">
        <v>2850</v>
      </c>
      <c r="L2852" s="73">
        <v>3.730349362740526E-14</v>
      </c>
    </row>
    <row r="2853" spans="11:12" x14ac:dyDescent="0.45">
      <c r="K2853" s="5">
        <v>2851</v>
      </c>
      <c r="L2853" s="73">
        <v>-46.999999999999964</v>
      </c>
    </row>
    <row r="2854" spans="11:12" x14ac:dyDescent="0.45">
      <c r="K2854" s="5">
        <v>2852</v>
      </c>
      <c r="L2854" s="73">
        <v>-47.299999999999962</v>
      </c>
    </row>
    <row r="2855" spans="11:12" x14ac:dyDescent="0.45">
      <c r="K2855" s="5">
        <v>2853</v>
      </c>
      <c r="L2855" s="73">
        <v>3.730349362740526E-14</v>
      </c>
    </row>
    <row r="2856" spans="11:12" x14ac:dyDescent="0.45">
      <c r="K2856" s="5">
        <v>2854</v>
      </c>
      <c r="L2856" s="73">
        <v>-34.499999999999964</v>
      </c>
    </row>
    <row r="2857" spans="11:12" x14ac:dyDescent="0.45">
      <c r="K2857" s="5">
        <v>2855</v>
      </c>
      <c r="L2857" s="73">
        <v>-47.499999999999964</v>
      </c>
    </row>
    <row r="2858" spans="11:12" x14ac:dyDescent="0.45">
      <c r="K2858" s="5">
        <v>2856</v>
      </c>
      <c r="L2858" s="73">
        <v>3.730349362740526E-14</v>
      </c>
    </row>
    <row r="2859" spans="11:12" x14ac:dyDescent="0.45">
      <c r="K2859" s="5">
        <v>2857</v>
      </c>
      <c r="L2859" s="73">
        <v>-21.999999999999964</v>
      </c>
    </row>
    <row r="2860" spans="11:12" x14ac:dyDescent="0.45">
      <c r="K2860" s="5">
        <v>2858</v>
      </c>
      <c r="L2860" s="73">
        <v>-60.699999999999967</v>
      </c>
    </row>
    <row r="2861" spans="11:12" x14ac:dyDescent="0.45">
      <c r="K2861" s="5">
        <v>2859</v>
      </c>
      <c r="L2861" s="73">
        <v>3.730349362740526E-14</v>
      </c>
    </row>
    <row r="2862" spans="11:12" x14ac:dyDescent="0.45">
      <c r="K2862" s="5">
        <v>2860</v>
      </c>
      <c r="L2862" s="73">
        <v>31.200000000000038</v>
      </c>
    </row>
    <row r="2863" spans="11:12" x14ac:dyDescent="0.45">
      <c r="K2863" s="5">
        <v>2861</v>
      </c>
      <c r="L2863" s="73">
        <v>6.7000000000000366</v>
      </c>
    </row>
    <row r="2864" spans="11:12" x14ac:dyDescent="0.45">
      <c r="K2864" s="5">
        <v>2862</v>
      </c>
      <c r="L2864" s="73">
        <v>3.6415315207705135E-14</v>
      </c>
    </row>
    <row r="2865" spans="11:12" x14ac:dyDescent="0.45">
      <c r="K2865" s="5">
        <v>2863</v>
      </c>
      <c r="L2865" s="73">
        <v>-45.299999999999962</v>
      </c>
    </row>
    <row r="2866" spans="11:12" x14ac:dyDescent="0.45">
      <c r="K2866" s="5">
        <v>2864</v>
      </c>
      <c r="L2866" s="73">
        <v>-4.4999999999999627</v>
      </c>
    </row>
    <row r="2867" spans="11:12" x14ac:dyDescent="0.45">
      <c r="K2867" s="5">
        <v>2865</v>
      </c>
      <c r="L2867" s="73">
        <v>3.730349362740526E-14</v>
      </c>
    </row>
    <row r="2868" spans="11:12" x14ac:dyDescent="0.45">
      <c r="K2868" s="5">
        <v>2866</v>
      </c>
      <c r="L2868" s="73">
        <v>-31.69999999999996</v>
      </c>
    </row>
    <row r="2869" spans="11:12" x14ac:dyDescent="0.45">
      <c r="K2869" s="5">
        <v>2867</v>
      </c>
      <c r="L2869" s="73">
        <v>-25.19999999999996</v>
      </c>
    </row>
    <row r="2870" spans="11:12" x14ac:dyDescent="0.45">
      <c r="K2870" s="5">
        <v>2868</v>
      </c>
      <c r="L2870" s="73">
        <v>3.730349362740526E-14</v>
      </c>
    </row>
    <row r="2871" spans="11:12" x14ac:dyDescent="0.45">
      <c r="K2871" s="5">
        <v>2869</v>
      </c>
      <c r="L2871" s="73">
        <v>-61.299999999999962</v>
      </c>
    </row>
    <row r="2872" spans="11:12" x14ac:dyDescent="0.45">
      <c r="K2872" s="5">
        <v>2870</v>
      </c>
      <c r="L2872" s="73">
        <v>-20.099999999999959</v>
      </c>
    </row>
    <row r="2873" spans="11:12" x14ac:dyDescent="0.45">
      <c r="K2873" s="5">
        <v>2871</v>
      </c>
      <c r="L2873" s="73">
        <v>4.4408920985006262E-14</v>
      </c>
    </row>
    <row r="2874" spans="11:12" x14ac:dyDescent="0.45">
      <c r="K2874" s="5">
        <v>2872</v>
      </c>
      <c r="L2874" s="73">
        <v>-25.699999999999953</v>
      </c>
    </row>
    <row r="2875" spans="11:12" x14ac:dyDescent="0.45">
      <c r="K2875" s="5">
        <v>2873</v>
      </c>
      <c r="L2875" s="73">
        <v>7.7000000000000437</v>
      </c>
    </row>
    <row r="2876" spans="11:12" x14ac:dyDescent="0.45">
      <c r="K2876" s="5">
        <v>2874</v>
      </c>
      <c r="L2876" s="73">
        <v>4.3520742565306136E-14</v>
      </c>
    </row>
    <row r="2877" spans="11:12" x14ac:dyDescent="0.45">
      <c r="K2877" s="5">
        <v>2875</v>
      </c>
      <c r="L2877" s="73">
        <v>-31.799999999999955</v>
      </c>
    </row>
    <row r="2878" spans="11:12" x14ac:dyDescent="0.45">
      <c r="K2878" s="5">
        <v>2876</v>
      </c>
      <c r="L2878" s="73">
        <v>-24.19999999999996</v>
      </c>
    </row>
    <row r="2879" spans="11:12" x14ac:dyDescent="0.45">
      <c r="K2879" s="5">
        <v>2877</v>
      </c>
      <c r="L2879" s="73">
        <v>4.0856207306205761E-14</v>
      </c>
    </row>
    <row r="2880" spans="11:12" x14ac:dyDescent="0.45">
      <c r="K2880" s="5">
        <v>2878</v>
      </c>
      <c r="L2880" s="73">
        <v>-0.59999999999995912</v>
      </c>
    </row>
    <row r="2881" spans="11:12" x14ac:dyDescent="0.45">
      <c r="K2881" s="5">
        <v>2879</v>
      </c>
      <c r="L2881" s="73">
        <v>-25.19999999999996</v>
      </c>
    </row>
    <row r="2882" spans="11:12" x14ac:dyDescent="0.45">
      <c r="K2882" s="5">
        <v>2880</v>
      </c>
      <c r="L2882" s="73">
        <v>3.730349362740526E-14</v>
      </c>
    </row>
    <row r="2883" spans="11:12" x14ac:dyDescent="0.45">
      <c r="K2883" s="5">
        <v>2881</v>
      </c>
      <c r="L2883" s="73">
        <v>31.700000000000038</v>
      </c>
    </row>
    <row r="2884" spans="11:12" x14ac:dyDescent="0.45">
      <c r="K2884" s="5">
        <v>2882</v>
      </c>
      <c r="L2884" s="73">
        <v>23.800000000000033</v>
      </c>
    </row>
    <row r="2885" spans="11:12" x14ac:dyDescent="0.45">
      <c r="K2885" s="5">
        <v>2883</v>
      </c>
      <c r="L2885" s="73">
        <v>3.3750779948604759E-14</v>
      </c>
    </row>
    <row r="2886" spans="11:12" x14ac:dyDescent="0.45">
      <c r="K2886" s="5">
        <v>2884</v>
      </c>
      <c r="L2886" s="73">
        <v>-7.7999999999999661</v>
      </c>
    </row>
    <row r="2887" spans="11:12" x14ac:dyDescent="0.45">
      <c r="K2887" s="5">
        <v>2885</v>
      </c>
      <c r="L2887" s="73">
        <v>-32.199999999999967</v>
      </c>
    </row>
    <row r="2888" spans="11:12" x14ac:dyDescent="0.45">
      <c r="K2888" s="5">
        <v>2886</v>
      </c>
      <c r="L2888" s="73">
        <v>3.730349362740526E-14</v>
      </c>
    </row>
    <row r="2889" spans="11:12" x14ac:dyDescent="0.45">
      <c r="K2889" s="5">
        <v>2887</v>
      </c>
      <c r="L2889" s="73">
        <v>-2.8999999999999626</v>
      </c>
    </row>
    <row r="2890" spans="11:12" x14ac:dyDescent="0.45">
      <c r="K2890" s="5">
        <v>2888</v>
      </c>
      <c r="L2890" s="73">
        <v>33.100000000000037</v>
      </c>
    </row>
    <row r="2891" spans="11:12" x14ac:dyDescent="0.45">
      <c r="K2891" s="5">
        <v>2889</v>
      </c>
      <c r="L2891" s="73">
        <v>3.730349362740526E-14</v>
      </c>
    </row>
    <row r="2892" spans="11:12" x14ac:dyDescent="0.45">
      <c r="K2892" s="5">
        <v>2890</v>
      </c>
      <c r="L2892" s="73">
        <v>32.000000000000036</v>
      </c>
    </row>
    <row r="2893" spans="11:12" x14ac:dyDescent="0.45">
      <c r="K2893" s="5">
        <v>2891</v>
      </c>
      <c r="L2893" s="73">
        <v>38.000000000000036</v>
      </c>
    </row>
    <row r="2894" spans="11:12" x14ac:dyDescent="0.45">
      <c r="K2894" s="5">
        <v>2892</v>
      </c>
      <c r="L2894" s="73">
        <v>3.730349362740526E-14</v>
      </c>
    </row>
    <row r="2895" spans="11:12" x14ac:dyDescent="0.45">
      <c r="K2895" s="5">
        <v>2893</v>
      </c>
      <c r="L2895" s="73">
        <v>-52.999999999999964</v>
      </c>
    </row>
    <row r="2896" spans="11:12" x14ac:dyDescent="0.45">
      <c r="K2896" s="5">
        <v>2894</v>
      </c>
      <c r="L2896" s="73">
        <v>-11.499999999999963</v>
      </c>
    </row>
    <row r="2897" spans="11:12" x14ac:dyDescent="0.45">
      <c r="K2897" s="5">
        <v>2895</v>
      </c>
      <c r="L2897" s="73">
        <v>3.730349362740526E-14</v>
      </c>
    </row>
    <row r="2898" spans="11:12" x14ac:dyDescent="0.45">
      <c r="K2898" s="5">
        <v>2896</v>
      </c>
      <c r="L2898" s="73">
        <v>-53.199999999999967</v>
      </c>
    </row>
    <row r="2899" spans="11:12" x14ac:dyDescent="0.45">
      <c r="K2899" s="5">
        <v>2897</v>
      </c>
      <c r="L2899" s="73">
        <v>-16.599999999999966</v>
      </c>
    </row>
    <row r="2900" spans="11:12" x14ac:dyDescent="0.45">
      <c r="K2900" s="5">
        <v>2898</v>
      </c>
      <c r="L2900" s="73">
        <v>3.730349362740526E-14</v>
      </c>
    </row>
    <row r="2901" spans="11:12" x14ac:dyDescent="0.45">
      <c r="K2901" s="5">
        <v>2899</v>
      </c>
      <c r="L2901" s="73">
        <v>-23.19999999999996</v>
      </c>
    </row>
    <row r="2902" spans="11:12" x14ac:dyDescent="0.45">
      <c r="K2902" s="5">
        <v>2900</v>
      </c>
      <c r="L2902" s="73">
        <v>-31.899999999999963</v>
      </c>
    </row>
    <row r="2903" spans="11:12" x14ac:dyDescent="0.45">
      <c r="K2903" s="5">
        <v>2901</v>
      </c>
      <c r="L2903" s="73">
        <v>3.730349362740526E-14</v>
      </c>
    </row>
    <row r="2904" spans="11:12" x14ac:dyDescent="0.45">
      <c r="K2904" s="5">
        <v>2902</v>
      </c>
      <c r="L2904" s="73">
        <v>-47.399999999999963</v>
      </c>
    </row>
    <row r="2905" spans="11:12" x14ac:dyDescent="0.45">
      <c r="K2905" s="5">
        <v>2903</v>
      </c>
      <c r="L2905" s="73">
        <v>-41.499999999999964</v>
      </c>
    </row>
    <row r="2906" spans="11:12" x14ac:dyDescent="0.45">
      <c r="K2906" s="5">
        <v>2904</v>
      </c>
      <c r="L2906" s="73">
        <v>3.730349362740526E-14</v>
      </c>
    </row>
    <row r="2907" spans="11:12" x14ac:dyDescent="0.45">
      <c r="K2907" s="5">
        <v>2905</v>
      </c>
      <c r="L2907" s="73">
        <v>-10.899999999999963</v>
      </c>
    </row>
    <row r="2908" spans="11:12" x14ac:dyDescent="0.45">
      <c r="K2908" s="5">
        <v>2906</v>
      </c>
      <c r="L2908" s="73">
        <v>-49.599999999999966</v>
      </c>
    </row>
    <row r="2909" spans="11:12" x14ac:dyDescent="0.45">
      <c r="K2909" s="5">
        <v>2907</v>
      </c>
      <c r="L2909" s="73">
        <v>3.730349362740526E-14</v>
      </c>
    </row>
    <row r="2910" spans="11:12" x14ac:dyDescent="0.45">
      <c r="K2910" s="5">
        <v>2908</v>
      </c>
      <c r="L2910" s="73">
        <v>9.2000000000000366</v>
      </c>
    </row>
    <row r="2911" spans="11:12" x14ac:dyDescent="0.45">
      <c r="K2911" s="5">
        <v>2909</v>
      </c>
      <c r="L2911" s="73">
        <v>45.500000000000028</v>
      </c>
    </row>
    <row r="2912" spans="11:12" x14ac:dyDescent="0.45">
      <c r="K2912" s="5">
        <v>2910</v>
      </c>
      <c r="L2912" s="73">
        <v>3.0198066269804258E-14</v>
      </c>
    </row>
    <row r="2913" spans="11:12" x14ac:dyDescent="0.45">
      <c r="K2913" s="5">
        <v>2911</v>
      </c>
      <c r="L2913" s="73">
        <v>30.300000000000033</v>
      </c>
    </row>
    <row r="2914" spans="11:12" x14ac:dyDescent="0.45">
      <c r="K2914" s="5">
        <v>2912</v>
      </c>
      <c r="L2914" s="73">
        <v>46.500000000000028</v>
      </c>
    </row>
    <row r="2915" spans="11:12" x14ac:dyDescent="0.45">
      <c r="K2915" s="5">
        <v>2913</v>
      </c>
      <c r="L2915" s="73">
        <v>3.0198066269804258E-14</v>
      </c>
    </row>
    <row r="2916" spans="11:12" x14ac:dyDescent="0.45">
      <c r="K2916" s="5">
        <v>2914</v>
      </c>
      <c r="L2916" s="73">
        <v>30.400000000000027</v>
      </c>
    </row>
    <row r="2917" spans="11:12" x14ac:dyDescent="0.45">
      <c r="K2917" s="5">
        <v>2915</v>
      </c>
      <c r="L2917" s="73">
        <v>45.500000000000028</v>
      </c>
    </row>
    <row r="2918" spans="11:12" x14ac:dyDescent="0.45">
      <c r="K2918" s="5">
        <v>2916</v>
      </c>
      <c r="L2918" s="73">
        <v>3.0198066269804258E-14</v>
      </c>
    </row>
    <row r="2919" spans="11:12" x14ac:dyDescent="0.45">
      <c r="K2919" s="5">
        <v>2917</v>
      </c>
      <c r="L2919" s="73">
        <v>34.60000000000003</v>
      </c>
    </row>
    <row r="2920" spans="11:12" x14ac:dyDescent="0.45">
      <c r="K2920" s="5">
        <v>2918</v>
      </c>
      <c r="L2920" s="73">
        <v>-11.49999999999997</v>
      </c>
    </row>
    <row r="2921" spans="11:12" x14ac:dyDescent="0.45">
      <c r="K2921" s="5">
        <v>2919</v>
      </c>
      <c r="L2921" s="73">
        <v>3.0198066269804258E-14</v>
      </c>
    </row>
    <row r="2922" spans="11:12" x14ac:dyDescent="0.45">
      <c r="K2922" s="5">
        <v>2920</v>
      </c>
      <c r="L2922" s="73">
        <v>1.3000000000000302</v>
      </c>
    </row>
    <row r="2923" spans="11:12" x14ac:dyDescent="0.45">
      <c r="K2923" s="5">
        <v>2921</v>
      </c>
      <c r="L2923" s="73">
        <v>-15.799999999999971</v>
      </c>
    </row>
    <row r="2924" spans="11:12" x14ac:dyDescent="0.45">
      <c r="K2924" s="5">
        <v>2922</v>
      </c>
      <c r="L2924" s="73">
        <v>3.0198066269804258E-14</v>
      </c>
    </row>
    <row r="2925" spans="11:12" x14ac:dyDescent="0.45">
      <c r="K2925" s="5">
        <v>2923</v>
      </c>
      <c r="L2925" s="73">
        <v>74.100000000000023</v>
      </c>
    </row>
    <row r="2926" spans="11:12" x14ac:dyDescent="0.45">
      <c r="K2926" s="5">
        <v>2924</v>
      </c>
      <c r="L2926" s="73">
        <v>27.500000000000021</v>
      </c>
    </row>
    <row r="2927" spans="11:12" x14ac:dyDescent="0.45">
      <c r="K2927" s="5">
        <v>2925</v>
      </c>
      <c r="L2927" s="73">
        <v>2.3092638912203256E-14</v>
      </c>
    </row>
    <row r="2928" spans="11:12" x14ac:dyDescent="0.45">
      <c r="K2928" s="5">
        <v>2926</v>
      </c>
      <c r="L2928" s="73">
        <v>62.600000000000023</v>
      </c>
    </row>
    <row r="2929" spans="11:12" x14ac:dyDescent="0.45">
      <c r="K2929" s="5">
        <v>2927</v>
      </c>
      <c r="L2929" s="73">
        <v>9.5000000000000231</v>
      </c>
    </row>
    <row r="2930" spans="11:12" x14ac:dyDescent="0.45">
      <c r="K2930" s="5">
        <v>2928</v>
      </c>
      <c r="L2930" s="73">
        <v>2.3092638912203256E-14</v>
      </c>
    </row>
    <row r="2931" spans="11:12" x14ac:dyDescent="0.45">
      <c r="K2931" s="5">
        <v>2929</v>
      </c>
      <c r="L2931" s="73">
        <v>-51.999999999999979</v>
      </c>
    </row>
    <row r="2932" spans="11:12" x14ac:dyDescent="0.45">
      <c r="K2932" s="5">
        <v>2930</v>
      </c>
      <c r="L2932" s="73">
        <v>-55.499999999999979</v>
      </c>
    </row>
    <row r="2933" spans="11:12" x14ac:dyDescent="0.45">
      <c r="K2933" s="5">
        <v>2931</v>
      </c>
      <c r="L2933" s="73">
        <v>2.3092638912203256E-14</v>
      </c>
    </row>
    <row r="2934" spans="11:12" x14ac:dyDescent="0.45">
      <c r="K2934" s="5">
        <v>2932</v>
      </c>
      <c r="L2934" s="73">
        <v>-45.199999999999982</v>
      </c>
    </row>
    <row r="2935" spans="11:12" x14ac:dyDescent="0.45">
      <c r="K2935" s="5">
        <v>2933</v>
      </c>
      <c r="L2935" s="73">
        <v>-28.199999999999982</v>
      </c>
    </row>
    <row r="2936" spans="11:12" x14ac:dyDescent="0.45">
      <c r="K2936" s="5">
        <v>2934</v>
      </c>
      <c r="L2936" s="73">
        <v>1.9539925233402755E-14</v>
      </c>
    </row>
    <row r="2937" spans="11:12" x14ac:dyDescent="0.45">
      <c r="K2937" s="5">
        <v>2935</v>
      </c>
      <c r="L2937" s="73">
        <v>24.100000000000023</v>
      </c>
    </row>
    <row r="2938" spans="11:12" x14ac:dyDescent="0.45">
      <c r="K2938" s="5">
        <v>2936</v>
      </c>
      <c r="L2938" s="73">
        <v>24.90000000000002</v>
      </c>
    </row>
    <row r="2939" spans="11:12" x14ac:dyDescent="0.45">
      <c r="K2939" s="5">
        <v>2937</v>
      </c>
      <c r="L2939" s="73">
        <v>2.3092638912203256E-14</v>
      </c>
    </row>
    <row r="2940" spans="11:12" x14ac:dyDescent="0.45">
      <c r="K2940" s="5">
        <v>2938</v>
      </c>
      <c r="L2940" s="73">
        <v>22.40000000000002</v>
      </c>
    </row>
    <row r="2941" spans="11:12" x14ac:dyDescent="0.45">
      <c r="K2941" s="5">
        <v>2939</v>
      </c>
      <c r="L2941" s="73">
        <v>17.40000000000002</v>
      </c>
    </row>
    <row r="2942" spans="11:12" x14ac:dyDescent="0.45">
      <c r="K2942" s="5">
        <v>2940</v>
      </c>
      <c r="L2942" s="73">
        <v>2.3092638912203256E-14</v>
      </c>
    </row>
    <row r="2943" spans="11:12" x14ac:dyDescent="0.45">
      <c r="K2943" s="5">
        <v>2941</v>
      </c>
      <c r="L2943" s="73">
        <v>-35.999999999999979</v>
      </c>
    </row>
    <row r="2944" spans="11:12" x14ac:dyDescent="0.45">
      <c r="K2944" s="5">
        <v>2942</v>
      </c>
      <c r="L2944" s="73">
        <v>4.7000000000000259</v>
      </c>
    </row>
    <row r="2945" spans="11:12" x14ac:dyDescent="0.45">
      <c r="K2945" s="5">
        <v>2943</v>
      </c>
      <c r="L2945" s="73">
        <v>2.5757174171303632E-14</v>
      </c>
    </row>
    <row r="2946" spans="11:12" x14ac:dyDescent="0.45">
      <c r="K2946" s="5">
        <v>2944</v>
      </c>
      <c r="L2946" s="73">
        <v>-13.299999999999974</v>
      </c>
    </row>
    <row r="2947" spans="11:12" x14ac:dyDescent="0.45">
      <c r="K2947" s="5">
        <v>2945</v>
      </c>
      <c r="L2947" s="73">
        <v>-13.999999999999973</v>
      </c>
    </row>
    <row r="2948" spans="11:12" x14ac:dyDescent="0.45">
      <c r="K2948" s="5">
        <v>2946</v>
      </c>
      <c r="L2948" s="73">
        <v>2.6645352591003757E-14</v>
      </c>
    </row>
    <row r="2949" spans="11:12" x14ac:dyDescent="0.45">
      <c r="K2949" s="5">
        <v>2947</v>
      </c>
      <c r="L2949" s="73">
        <v>6.8000000000000265</v>
      </c>
    </row>
    <row r="2950" spans="11:12" x14ac:dyDescent="0.45">
      <c r="K2950" s="5">
        <v>2948</v>
      </c>
      <c r="L2950" s="73">
        <v>35.800000000000026</v>
      </c>
    </row>
    <row r="2951" spans="11:12" x14ac:dyDescent="0.45">
      <c r="K2951" s="5">
        <v>2949</v>
      </c>
      <c r="L2951" s="73">
        <v>3.0198066269804258E-14</v>
      </c>
    </row>
    <row r="2952" spans="11:12" x14ac:dyDescent="0.45">
      <c r="K2952" s="5">
        <v>2950</v>
      </c>
      <c r="L2952" s="73">
        <v>-47.599999999999973</v>
      </c>
    </row>
    <row r="2953" spans="11:12" x14ac:dyDescent="0.45">
      <c r="K2953" s="5">
        <v>2951</v>
      </c>
      <c r="L2953" s="73">
        <v>19.300000000000033</v>
      </c>
    </row>
    <row r="2954" spans="11:12" x14ac:dyDescent="0.45">
      <c r="K2954" s="5">
        <v>2952</v>
      </c>
      <c r="L2954" s="73">
        <v>3.3750779948604759E-14</v>
      </c>
    </row>
    <row r="2955" spans="11:12" x14ac:dyDescent="0.45">
      <c r="K2955" s="5">
        <v>2953</v>
      </c>
      <c r="L2955" s="73">
        <v>16.700000000000031</v>
      </c>
    </row>
    <row r="2956" spans="11:12" x14ac:dyDescent="0.45">
      <c r="K2956" s="5">
        <v>2954</v>
      </c>
      <c r="L2956" s="73">
        <v>46.700000000000031</v>
      </c>
    </row>
    <row r="2957" spans="11:12" x14ac:dyDescent="0.45">
      <c r="K2957" s="5">
        <v>2955</v>
      </c>
      <c r="L2957" s="73">
        <v>3.0198066269804258E-14</v>
      </c>
    </row>
    <row r="2958" spans="11:12" x14ac:dyDescent="0.45">
      <c r="K2958" s="5">
        <v>2956</v>
      </c>
      <c r="L2958" s="73">
        <v>-62.199999999999974</v>
      </c>
    </row>
    <row r="2959" spans="11:12" x14ac:dyDescent="0.45">
      <c r="K2959" s="5">
        <v>2957</v>
      </c>
      <c r="L2959" s="73">
        <v>-3.1999999999999726</v>
      </c>
    </row>
    <row r="2960" spans="11:12" x14ac:dyDescent="0.45">
      <c r="K2960" s="5">
        <v>2958</v>
      </c>
      <c r="L2960" s="73">
        <v>2.7533531010703882E-14</v>
      </c>
    </row>
    <row r="2961" spans="11:12" x14ac:dyDescent="0.45">
      <c r="K2961" s="5">
        <v>2959</v>
      </c>
      <c r="L2961" s="73">
        <v>16.500000000000028</v>
      </c>
    </row>
    <row r="2962" spans="11:12" x14ac:dyDescent="0.45">
      <c r="K2962" s="5">
        <v>2960</v>
      </c>
      <c r="L2962" s="73">
        <v>16.200000000000024</v>
      </c>
    </row>
    <row r="2963" spans="11:12" x14ac:dyDescent="0.45">
      <c r="K2963" s="5">
        <v>2961</v>
      </c>
      <c r="L2963" s="73">
        <v>2.6645352591003757E-14</v>
      </c>
    </row>
    <row r="2964" spans="11:12" x14ac:dyDescent="0.45">
      <c r="K2964" s="5">
        <v>2962</v>
      </c>
      <c r="L2964" s="73">
        <v>-54.699999999999974</v>
      </c>
    </row>
    <row r="2965" spans="11:12" x14ac:dyDescent="0.45">
      <c r="K2965" s="5">
        <v>2963</v>
      </c>
      <c r="L2965" s="73">
        <v>-14.799999999999974</v>
      </c>
    </row>
    <row r="2966" spans="11:12" x14ac:dyDescent="0.45">
      <c r="K2966" s="5">
        <v>2964</v>
      </c>
      <c r="L2966" s="73">
        <v>2.6645352591003757E-14</v>
      </c>
    </row>
    <row r="2967" spans="11:12" x14ac:dyDescent="0.45">
      <c r="K2967" s="5">
        <v>2965</v>
      </c>
      <c r="L2967" s="73">
        <v>20.900000000000027</v>
      </c>
    </row>
    <row r="2968" spans="11:12" x14ac:dyDescent="0.45">
      <c r="K2968" s="5">
        <v>2966</v>
      </c>
      <c r="L2968" s="73">
        <v>2.2000000000000259</v>
      </c>
    </row>
    <row r="2969" spans="11:12" x14ac:dyDescent="0.45">
      <c r="K2969" s="5">
        <v>2967</v>
      </c>
      <c r="L2969" s="73">
        <v>2.5757174171303632E-14</v>
      </c>
    </row>
    <row r="2970" spans="11:12" x14ac:dyDescent="0.45">
      <c r="K2970" s="5">
        <v>2968</v>
      </c>
      <c r="L2970" s="73">
        <v>60.90000000000002</v>
      </c>
    </row>
    <row r="2971" spans="11:12" x14ac:dyDescent="0.45">
      <c r="K2971" s="5">
        <v>2969</v>
      </c>
      <c r="L2971" s="73">
        <v>51.100000000000023</v>
      </c>
    </row>
    <row r="2972" spans="11:12" x14ac:dyDescent="0.45">
      <c r="K2972" s="5">
        <v>2970</v>
      </c>
      <c r="L2972" s="73">
        <v>2.3092638912203256E-14</v>
      </c>
    </row>
    <row r="2973" spans="11:12" x14ac:dyDescent="0.45">
      <c r="K2973" s="5">
        <v>2971</v>
      </c>
      <c r="L2973" s="73">
        <v>-3.8999999999999768</v>
      </c>
    </row>
    <row r="2974" spans="11:12" x14ac:dyDescent="0.45">
      <c r="K2974" s="5">
        <v>2972</v>
      </c>
      <c r="L2974" s="73">
        <v>14.400000000000023</v>
      </c>
    </row>
    <row r="2975" spans="11:12" x14ac:dyDescent="0.45">
      <c r="K2975" s="5">
        <v>2973</v>
      </c>
      <c r="L2975" s="73">
        <v>2.3092638912203256E-14</v>
      </c>
    </row>
    <row r="2976" spans="11:12" x14ac:dyDescent="0.45">
      <c r="K2976" s="5">
        <v>2974</v>
      </c>
      <c r="L2976" s="73">
        <v>-21.199999999999974</v>
      </c>
    </row>
    <row r="2977" spans="11:12" x14ac:dyDescent="0.45">
      <c r="K2977" s="5">
        <v>2975</v>
      </c>
      <c r="L2977" s="73">
        <v>4.1000000000000245</v>
      </c>
    </row>
    <row r="2978" spans="11:12" x14ac:dyDescent="0.45">
      <c r="K2978" s="5">
        <v>2976</v>
      </c>
      <c r="L2978" s="73">
        <v>2.4868995751603507E-14</v>
      </c>
    </row>
    <row r="2979" spans="11:12" x14ac:dyDescent="0.45">
      <c r="K2979" s="5">
        <v>2977</v>
      </c>
      <c r="L2979" s="73">
        <v>-41.999999999999979</v>
      </c>
    </row>
    <row r="2980" spans="11:12" x14ac:dyDescent="0.45">
      <c r="K2980" s="5">
        <v>2978</v>
      </c>
      <c r="L2980" s="73">
        <v>-48.899999999999977</v>
      </c>
    </row>
    <row r="2981" spans="11:12" x14ac:dyDescent="0.45">
      <c r="K2981" s="5">
        <v>2979</v>
      </c>
      <c r="L2981" s="73">
        <v>2.3092638912203256E-14</v>
      </c>
    </row>
    <row r="2982" spans="11:12" x14ac:dyDescent="0.45">
      <c r="K2982" s="5">
        <v>2980</v>
      </c>
      <c r="L2982" s="73">
        <v>21.700000000000024</v>
      </c>
    </row>
    <row r="2983" spans="11:12" x14ac:dyDescent="0.45">
      <c r="K2983" s="5">
        <v>2981</v>
      </c>
      <c r="L2983" s="73">
        <v>26.90000000000002</v>
      </c>
    </row>
    <row r="2984" spans="11:12" x14ac:dyDescent="0.45">
      <c r="K2984" s="5">
        <v>2982</v>
      </c>
      <c r="L2984" s="73">
        <v>2.3092638912203256E-14</v>
      </c>
    </row>
    <row r="2985" spans="11:12" x14ac:dyDescent="0.45">
      <c r="K2985" s="5">
        <v>2983</v>
      </c>
      <c r="L2985" s="73">
        <v>44.500000000000021</v>
      </c>
    </row>
    <row r="2986" spans="11:12" x14ac:dyDescent="0.45">
      <c r="K2986" s="5">
        <v>2984</v>
      </c>
      <c r="L2986" s="73">
        <v>54.600000000000023</v>
      </c>
    </row>
    <row r="2987" spans="11:12" x14ac:dyDescent="0.45">
      <c r="K2987" s="5">
        <v>2985</v>
      </c>
      <c r="L2987" s="73">
        <v>2.3092638912203256E-14</v>
      </c>
    </row>
    <row r="2988" spans="11:12" x14ac:dyDescent="0.45">
      <c r="K2988" s="5">
        <v>2986</v>
      </c>
      <c r="L2988" s="73">
        <v>-60.199999999999982</v>
      </c>
    </row>
    <row r="2989" spans="11:12" x14ac:dyDescent="0.45">
      <c r="K2989" s="5">
        <v>2987</v>
      </c>
      <c r="L2989" s="73">
        <v>4.9000000000000146</v>
      </c>
    </row>
    <row r="2990" spans="11:12" x14ac:dyDescent="0.45">
      <c r="K2990" s="5">
        <v>2988</v>
      </c>
      <c r="L2990" s="73">
        <v>1.4210854715202004E-14</v>
      </c>
    </row>
    <row r="2991" spans="11:12" x14ac:dyDescent="0.45">
      <c r="K2991" s="5">
        <v>2989</v>
      </c>
      <c r="L2991" s="73">
        <v>37.500000000000014</v>
      </c>
    </row>
    <row r="2992" spans="11:12" x14ac:dyDescent="0.45">
      <c r="K2992" s="5">
        <v>2990</v>
      </c>
      <c r="L2992" s="73">
        <v>-8.6999999999999869</v>
      </c>
    </row>
    <row r="2993" spans="11:12" x14ac:dyDescent="0.45">
      <c r="K2993" s="5">
        <v>2991</v>
      </c>
      <c r="L2993" s="73">
        <v>1.2434497875801753E-14</v>
      </c>
    </row>
    <row r="2994" spans="11:12" x14ac:dyDescent="0.45">
      <c r="K2994" s="5">
        <v>2992</v>
      </c>
      <c r="L2994" s="73">
        <v>-21.79999999999999</v>
      </c>
    </row>
    <row r="2995" spans="11:12" x14ac:dyDescent="0.45">
      <c r="K2995" s="5">
        <v>2993</v>
      </c>
      <c r="L2995" s="73">
        <v>-32.29999999999999</v>
      </c>
    </row>
    <row r="2996" spans="11:12" x14ac:dyDescent="0.45">
      <c r="K2996" s="5">
        <v>2994</v>
      </c>
      <c r="L2996" s="73">
        <v>8.8817841970012523E-15</v>
      </c>
    </row>
    <row r="2997" spans="11:12" x14ac:dyDescent="0.45">
      <c r="K2997" s="5">
        <v>2995</v>
      </c>
      <c r="L2997" s="73">
        <v>12.700000000000008</v>
      </c>
    </row>
    <row r="2998" spans="11:12" x14ac:dyDescent="0.45">
      <c r="K2998" s="5">
        <v>2996</v>
      </c>
      <c r="L2998" s="73">
        <v>13.100000000000009</v>
      </c>
    </row>
    <row r="2999" spans="11:12" x14ac:dyDescent="0.45">
      <c r="K2999" s="5">
        <v>2997</v>
      </c>
      <c r="L2999" s="73">
        <v>8.8817841970012523E-15</v>
      </c>
    </row>
    <row r="3000" spans="11:12" x14ac:dyDescent="0.45">
      <c r="K3000" s="5">
        <v>2998</v>
      </c>
      <c r="L3000" s="73">
        <v>-17.099999999999994</v>
      </c>
    </row>
    <row r="3001" spans="11:12" x14ac:dyDescent="0.45">
      <c r="K3001" s="5">
        <v>2999</v>
      </c>
      <c r="L3001" s="73">
        <v>4.800000000000006</v>
      </c>
    </row>
    <row r="3002" spans="11:12" x14ac:dyDescent="0.45">
      <c r="K3002" s="5">
        <v>3000</v>
      </c>
      <c r="L3002" s="73">
        <v>6.2172489379008766E-15</v>
      </c>
    </row>
    <row r="3003" spans="11:12" x14ac:dyDescent="0.45">
      <c r="K3003" s="5">
        <v>3001</v>
      </c>
      <c r="L3003" s="73">
        <v>-49.399999999999991</v>
      </c>
    </row>
    <row r="3004" spans="11:12" x14ac:dyDescent="0.45">
      <c r="K3004" s="5">
        <v>3002</v>
      </c>
      <c r="L3004" s="73">
        <v>7.0000000000000089</v>
      </c>
    </row>
    <row r="3005" spans="11:12" x14ac:dyDescent="0.45">
      <c r="K3005" s="5">
        <v>3003</v>
      </c>
      <c r="L3005" s="73">
        <v>8.8817841970012523E-15</v>
      </c>
    </row>
    <row r="3006" spans="11:12" x14ac:dyDescent="0.45">
      <c r="K3006" s="5">
        <v>3004</v>
      </c>
      <c r="L3006" s="73">
        <v>-6.7999999999999909</v>
      </c>
    </row>
    <row r="3007" spans="11:12" x14ac:dyDescent="0.45">
      <c r="K3007" s="5">
        <v>3005</v>
      </c>
      <c r="L3007" s="73">
        <v>-40.399999999999991</v>
      </c>
    </row>
    <row r="3008" spans="11:12" x14ac:dyDescent="0.45">
      <c r="K3008" s="5">
        <v>3006</v>
      </c>
      <c r="L3008" s="73">
        <v>8.8817841970012523E-15</v>
      </c>
    </row>
    <row r="3009" spans="11:12" x14ac:dyDescent="0.45">
      <c r="K3009" s="5">
        <v>3007</v>
      </c>
      <c r="L3009" s="73">
        <v>-8.2999999999999918</v>
      </c>
    </row>
    <row r="3010" spans="11:12" x14ac:dyDescent="0.45">
      <c r="K3010" s="5">
        <v>3008</v>
      </c>
      <c r="L3010" s="73">
        <v>18.600000000000009</v>
      </c>
    </row>
    <row r="3011" spans="11:12" x14ac:dyDescent="0.45">
      <c r="K3011" s="5">
        <v>3009</v>
      </c>
      <c r="L3011" s="73">
        <v>5.3290705182007514E-15</v>
      </c>
    </row>
    <row r="3012" spans="11:12" x14ac:dyDescent="0.45">
      <c r="K3012" s="5">
        <v>3010</v>
      </c>
      <c r="L3012" s="73">
        <v>31.400000000000006</v>
      </c>
    </row>
    <row r="3013" spans="11:12" x14ac:dyDescent="0.45">
      <c r="K3013" s="5">
        <v>3011</v>
      </c>
      <c r="L3013" s="73">
        <v>43.400000000000006</v>
      </c>
    </row>
    <row r="3014" spans="11:12" x14ac:dyDescent="0.45">
      <c r="K3014" s="5">
        <v>3012</v>
      </c>
      <c r="L3014" s="73">
        <v>8.8817841970012523E-15</v>
      </c>
    </row>
    <row r="3015" spans="11:12" x14ac:dyDescent="0.45">
      <c r="K3015" s="5">
        <v>3013</v>
      </c>
      <c r="L3015" s="73">
        <v>-38.999999999999993</v>
      </c>
    </row>
    <row r="3016" spans="11:12" x14ac:dyDescent="0.45">
      <c r="K3016" s="5">
        <v>3014</v>
      </c>
      <c r="L3016" s="73">
        <v>3.7000000000000117</v>
      </c>
    </row>
    <row r="3017" spans="11:12" x14ac:dyDescent="0.45">
      <c r="K3017" s="5">
        <v>3015</v>
      </c>
      <c r="L3017" s="73">
        <v>1.1546319456101628E-14</v>
      </c>
    </row>
    <row r="3018" spans="11:12" x14ac:dyDescent="0.45">
      <c r="K3018" s="5">
        <v>3016</v>
      </c>
      <c r="L3018" s="73">
        <v>1.2000000000000115</v>
      </c>
    </row>
    <row r="3019" spans="11:12" x14ac:dyDescent="0.45">
      <c r="K3019" s="5">
        <v>3017</v>
      </c>
      <c r="L3019" s="73">
        <v>-24.79999999999999</v>
      </c>
    </row>
    <row r="3020" spans="11:12" x14ac:dyDescent="0.45">
      <c r="K3020" s="5">
        <v>3018</v>
      </c>
      <c r="L3020" s="73">
        <v>1.2434497875801753E-14</v>
      </c>
    </row>
    <row r="3021" spans="11:12" x14ac:dyDescent="0.45">
      <c r="K3021" s="5">
        <v>3019</v>
      </c>
      <c r="L3021" s="73">
        <v>16.900000000000013</v>
      </c>
    </row>
    <row r="3022" spans="11:12" x14ac:dyDescent="0.45">
      <c r="K3022" s="5">
        <v>3020</v>
      </c>
      <c r="L3022" s="73">
        <v>0.40000000000001101</v>
      </c>
    </row>
    <row r="3023" spans="11:12" x14ac:dyDescent="0.45">
      <c r="K3023" s="5">
        <v>3021</v>
      </c>
      <c r="L3023" s="73">
        <v>1.099120794378905E-14</v>
      </c>
    </row>
    <row r="3024" spans="11:12" x14ac:dyDescent="0.45">
      <c r="K3024" s="5">
        <v>3022</v>
      </c>
      <c r="L3024" s="73">
        <v>28.000000000000014</v>
      </c>
    </row>
    <row r="3025" spans="11:12" x14ac:dyDescent="0.45">
      <c r="K3025" s="5">
        <v>3023</v>
      </c>
      <c r="L3025" s="73">
        <v>41.800000000000011</v>
      </c>
    </row>
    <row r="3026" spans="11:12" x14ac:dyDescent="0.45">
      <c r="K3026" s="5">
        <v>3024</v>
      </c>
      <c r="L3026" s="73">
        <v>1.5987211554602254E-14</v>
      </c>
    </row>
    <row r="3027" spans="11:12" x14ac:dyDescent="0.45">
      <c r="K3027" s="5">
        <v>3025</v>
      </c>
      <c r="L3027" s="73">
        <v>-48.699999999999989</v>
      </c>
    </row>
    <row r="3028" spans="11:12" x14ac:dyDescent="0.45">
      <c r="K3028" s="5">
        <v>3026</v>
      </c>
      <c r="L3028" s="73">
        <v>-16.29999999999999</v>
      </c>
    </row>
    <row r="3029" spans="11:12" x14ac:dyDescent="0.45">
      <c r="K3029" s="5">
        <v>3027</v>
      </c>
      <c r="L3029" s="73">
        <v>1.2434497875801753E-14</v>
      </c>
    </row>
    <row r="3030" spans="11:12" x14ac:dyDescent="0.45">
      <c r="K3030" s="5">
        <v>3028</v>
      </c>
      <c r="L3030" s="73">
        <v>-19.699999999999989</v>
      </c>
    </row>
    <row r="3031" spans="11:12" x14ac:dyDescent="0.45">
      <c r="K3031" s="5">
        <v>3029</v>
      </c>
      <c r="L3031" s="73">
        <v>9.5000000000000124</v>
      </c>
    </row>
    <row r="3032" spans="11:12" x14ac:dyDescent="0.45">
      <c r="K3032" s="5">
        <v>3030</v>
      </c>
      <c r="L3032" s="73">
        <v>1.2434497875801753E-14</v>
      </c>
    </row>
    <row r="3033" spans="11:12" x14ac:dyDescent="0.45">
      <c r="K3033" s="5">
        <v>3031</v>
      </c>
      <c r="L3033" s="73">
        <v>-46.399999999999991</v>
      </c>
    </row>
    <row r="3034" spans="11:12" x14ac:dyDescent="0.45">
      <c r="K3034" s="5">
        <v>3032</v>
      </c>
      <c r="L3034" s="73">
        <v>-54.199999999999989</v>
      </c>
    </row>
    <row r="3035" spans="11:12" x14ac:dyDescent="0.45">
      <c r="K3035" s="5">
        <v>3033</v>
      </c>
      <c r="L3035" s="73">
        <v>1.5987211554602254E-14</v>
      </c>
    </row>
    <row r="3036" spans="11:12" x14ac:dyDescent="0.45">
      <c r="K3036" s="5">
        <v>3034</v>
      </c>
      <c r="L3036" s="73">
        <v>-16.499999999999986</v>
      </c>
    </row>
    <row r="3037" spans="11:12" x14ac:dyDescent="0.45">
      <c r="K3037" s="5">
        <v>3035</v>
      </c>
      <c r="L3037" s="73">
        <v>55.800000000000011</v>
      </c>
    </row>
    <row r="3038" spans="11:12" x14ac:dyDescent="0.45">
      <c r="K3038" s="5">
        <v>3036</v>
      </c>
      <c r="L3038" s="73">
        <v>1.5987211554602254E-14</v>
      </c>
    </row>
    <row r="3039" spans="11:12" x14ac:dyDescent="0.45">
      <c r="K3039" s="5">
        <v>3037</v>
      </c>
      <c r="L3039" s="73">
        <v>-70.899999999999991</v>
      </c>
    </row>
    <row r="3040" spans="11:12" x14ac:dyDescent="0.45">
      <c r="K3040" s="5">
        <v>3038</v>
      </c>
      <c r="L3040" s="73">
        <v>-7.9999999999999911</v>
      </c>
    </row>
    <row r="3041" spans="11:12" x14ac:dyDescent="0.45">
      <c r="K3041" s="5">
        <v>3039</v>
      </c>
      <c r="L3041" s="73">
        <v>8.8817841970012523E-15</v>
      </c>
    </row>
    <row r="3042" spans="11:12" x14ac:dyDescent="0.45">
      <c r="K3042" s="5">
        <v>3040</v>
      </c>
      <c r="L3042" s="73">
        <v>33.000000000000007</v>
      </c>
    </row>
    <row r="3043" spans="11:12" x14ac:dyDescent="0.45">
      <c r="K3043" s="5">
        <v>3041</v>
      </c>
      <c r="L3043" s="73">
        <v>7.4000000000000075</v>
      </c>
    </row>
    <row r="3044" spans="11:12" x14ac:dyDescent="0.45">
      <c r="K3044" s="5">
        <v>3042</v>
      </c>
      <c r="L3044" s="73">
        <v>7.1054273576010019E-15</v>
      </c>
    </row>
    <row r="3045" spans="11:12" x14ac:dyDescent="0.45">
      <c r="K3045" s="5">
        <v>3043</v>
      </c>
      <c r="L3045" s="73">
        <v>-56.199999999999996</v>
      </c>
    </row>
    <row r="3046" spans="11:12" x14ac:dyDescent="0.45">
      <c r="K3046" s="5">
        <v>3044</v>
      </c>
      <c r="L3046" s="73">
        <v>-12.399999999999997</v>
      </c>
    </row>
    <row r="3047" spans="11:12" x14ac:dyDescent="0.45">
      <c r="K3047" s="5">
        <v>3045</v>
      </c>
      <c r="L3047" s="73">
        <v>3.5527136788005009E-15</v>
      </c>
    </row>
    <row r="3048" spans="11:12" x14ac:dyDescent="0.45">
      <c r="K3048" s="5">
        <v>3046</v>
      </c>
      <c r="L3048" s="73">
        <v>25.6</v>
      </c>
    </row>
    <row r="3049" spans="11:12" x14ac:dyDescent="0.45">
      <c r="K3049" s="5">
        <v>3047</v>
      </c>
      <c r="L3049" s="73">
        <v>33.900000000000006</v>
      </c>
    </row>
    <row r="3050" spans="11:12" x14ac:dyDescent="0.45">
      <c r="K3050" s="5">
        <v>3048</v>
      </c>
      <c r="L3050" s="73">
        <v>8.8817841970012523E-15</v>
      </c>
    </row>
    <row r="3051" spans="11:12" x14ac:dyDescent="0.45">
      <c r="K3051" s="5">
        <v>3049</v>
      </c>
      <c r="L3051" s="73">
        <v>-31.29999999999999</v>
      </c>
    </row>
    <row r="3052" spans="11:12" x14ac:dyDescent="0.45">
      <c r="K3052" s="5">
        <v>3050</v>
      </c>
      <c r="L3052" s="73">
        <v>-6.3999999999999932</v>
      </c>
    </row>
    <row r="3053" spans="11:12" x14ac:dyDescent="0.45">
      <c r="K3053" s="5">
        <v>3051</v>
      </c>
      <c r="L3053" s="73">
        <v>7.1054273576010019E-15</v>
      </c>
    </row>
    <row r="3054" spans="11:12" x14ac:dyDescent="0.45">
      <c r="K3054" s="5">
        <v>3052</v>
      </c>
      <c r="L3054" s="73">
        <v>-29.999999999999993</v>
      </c>
    </row>
    <row r="3055" spans="11:12" x14ac:dyDescent="0.45">
      <c r="K3055" s="5">
        <v>3053</v>
      </c>
      <c r="L3055" s="73">
        <v>10.60000000000001</v>
      </c>
    </row>
    <row r="3056" spans="11:12" x14ac:dyDescent="0.45">
      <c r="K3056" s="5">
        <v>3054</v>
      </c>
      <c r="L3056" s="73">
        <v>1.0658141036401503E-14</v>
      </c>
    </row>
    <row r="3057" spans="11:12" x14ac:dyDescent="0.45">
      <c r="K3057" s="5">
        <v>3055</v>
      </c>
      <c r="L3057" s="73">
        <v>-8.9999999999999893</v>
      </c>
    </row>
    <row r="3058" spans="11:12" x14ac:dyDescent="0.45">
      <c r="K3058" s="5">
        <v>3056</v>
      </c>
      <c r="L3058" s="73">
        <v>30.100000000000009</v>
      </c>
    </row>
    <row r="3059" spans="11:12" x14ac:dyDescent="0.45">
      <c r="K3059" s="5">
        <v>3057</v>
      </c>
      <c r="L3059" s="73">
        <v>8.8817841970012523E-15</v>
      </c>
    </row>
    <row r="3060" spans="11:12" x14ac:dyDescent="0.45">
      <c r="K3060" s="5">
        <v>3058</v>
      </c>
      <c r="L3060" s="73">
        <v>-48.499999999999993</v>
      </c>
    </row>
    <row r="3061" spans="11:12" x14ac:dyDescent="0.45">
      <c r="K3061" s="5">
        <v>3059</v>
      </c>
      <c r="L3061" s="73">
        <v>-42.499999999999993</v>
      </c>
    </row>
    <row r="3062" spans="11:12" x14ac:dyDescent="0.45">
      <c r="K3062" s="5">
        <v>3060</v>
      </c>
      <c r="L3062" s="73">
        <v>8.8817841970012523E-15</v>
      </c>
    </row>
    <row r="3063" spans="11:12" x14ac:dyDescent="0.45">
      <c r="K3063" s="5">
        <v>3061</v>
      </c>
      <c r="L3063" s="73">
        <v>48.20000000000001</v>
      </c>
    </row>
    <row r="3064" spans="11:12" x14ac:dyDescent="0.45">
      <c r="K3064" s="5">
        <v>3062</v>
      </c>
      <c r="L3064" s="73">
        <v>-0.29999999999998828</v>
      </c>
    </row>
    <row r="3065" spans="11:12" x14ac:dyDescent="0.45">
      <c r="K3065" s="5">
        <v>3063</v>
      </c>
      <c r="L3065" s="73">
        <v>1.1712852909795402E-14</v>
      </c>
    </row>
    <row r="3066" spans="11:12" x14ac:dyDescent="0.45">
      <c r="K3066" s="5">
        <v>3064</v>
      </c>
      <c r="L3066" s="73">
        <v>-2.4999999999999885</v>
      </c>
    </row>
    <row r="3067" spans="11:12" x14ac:dyDescent="0.45">
      <c r="K3067" s="5">
        <v>3065</v>
      </c>
      <c r="L3067" s="73">
        <v>-16.899999999999991</v>
      </c>
    </row>
    <row r="3068" spans="11:12" x14ac:dyDescent="0.45">
      <c r="K3068" s="5">
        <v>3066</v>
      </c>
      <c r="L3068" s="73">
        <v>8.8817841970012523E-15</v>
      </c>
    </row>
    <row r="3069" spans="11:12" x14ac:dyDescent="0.45">
      <c r="K3069" s="5">
        <v>3067</v>
      </c>
      <c r="L3069" s="73">
        <v>-34.499999999999993</v>
      </c>
    </row>
    <row r="3070" spans="11:12" x14ac:dyDescent="0.45">
      <c r="K3070" s="5">
        <v>3068</v>
      </c>
      <c r="L3070" s="73">
        <v>-11.499999999999991</v>
      </c>
    </row>
    <row r="3071" spans="11:12" x14ac:dyDescent="0.45">
      <c r="K3071" s="5">
        <v>3069</v>
      </c>
      <c r="L3071" s="73">
        <v>8.8817841970012523E-15</v>
      </c>
    </row>
    <row r="3072" spans="11:12" x14ac:dyDescent="0.45">
      <c r="K3072" s="5">
        <v>3070</v>
      </c>
      <c r="L3072" s="73">
        <v>-25.599999999999994</v>
      </c>
    </row>
    <row r="3073" spans="11:12" x14ac:dyDescent="0.45">
      <c r="K3073" s="5">
        <v>3071</v>
      </c>
      <c r="L3073" s="73">
        <v>-27.599999999999994</v>
      </c>
    </row>
    <row r="3074" spans="11:12" x14ac:dyDescent="0.45">
      <c r="K3074" s="5">
        <v>3072</v>
      </c>
      <c r="L3074" s="73">
        <v>8.8817841970012523E-15</v>
      </c>
    </row>
    <row r="3075" spans="11:12" x14ac:dyDescent="0.45">
      <c r="K3075" s="5">
        <v>3073</v>
      </c>
      <c r="L3075" s="73">
        <v>-15.399999999999991</v>
      </c>
    </row>
    <row r="3076" spans="11:12" x14ac:dyDescent="0.45">
      <c r="K3076" s="5">
        <v>3074</v>
      </c>
      <c r="L3076" s="73">
        <v>-48.399999999999991</v>
      </c>
    </row>
    <row r="3077" spans="11:12" x14ac:dyDescent="0.45">
      <c r="K3077" s="5">
        <v>3075</v>
      </c>
      <c r="L3077" s="73">
        <v>8.8817841970012523E-15</v>
      </c>
    </row>
    <row r="3078" spans="11:12" x14ac:dyDescent="0.45">
      <c r="K3078" s="5">
        <v>3076</v>
      </c>
      <c r="L3078" s="73">
        <v>-7.3999999999999915</v>
      </c>
    </row>
    <row r="3079" spans="11:12" x14ac:dyDescent="0.45">
      <c r="K3079" s="5">
        <v>3077</v>
      </c>
      <c r="L3079" s="73">
        <v>31.100000000000009</v>
      </c>
    </row>
    <row r="3080" spans="11:12" x14ac:dyDescent="0.45">
      <c r="K3080" s="5">
        <v>3078</v>
      </c>
      <c r="L3080" s="73">
        <v>8.8817841970012523E-15</v>
      </c>
    </row>
    <row r="3081" spans="11:12" x14ac:dyDescent="0.45">
      <c r="K3081" s="5">
        <v>3079</v>
      </c>
      <c r="L3081" s="73">
        <v>-2.899999999999991</v>
      </c>
    </row>
    <row r="3082" spans="11:12" x14ac:dyDescent="0.45">
      <c r="K3082" s="5">
        <v>3080</v>
      </c>
      <c r="L3082" s="73">
        <v>-39.199999999999989</v>
      </c>
    </row>
    <row r="3083" spans="11:12" x14ac:dyDescent="0.45">
      <c r="K3083" s="5">
        <v>3081</v>
      </c>
      <c r="L3083" s="73">
        <v>1.5987211554602254E-14</v>
      </c>
    </row>
    <row r="3084" spans="11:12" x14ac:dyDescent="0.45">
      <c r="K3084" s="5">
        <v>3082</v>
      </c>
      <c r="L3084" s="73">
        <v>-55.499999999999986</v>
      </c>
    </row>
    <row r="3085" spans="11:12" x14ac:dyDescent="0.45">
      <c r="K3085" s="5">
        <v>3083</v>
      </c>
      <c r="L3085" s="73">
        <v>-55.999999999999986</v>
      </c>
    </row>
    <row r="3086" spans="11:12" x14ac:dyDescent="0.45">
      <c r="K3086" s="5">
        <v>3084</v>
      </c>
      <c r="L3086" s="73">
        <v>1.5987211554602254E-14</v>
      </c>
    </row>
    <row r="3087" spans="11:12" x14ac:dyDescent="0.45">
      <c r="K3087" s="5">
        <v>3085</v>
      </c>
      <c r="L3087" s="73">
        <v>-50.999999999999986</v>
      </c>
    </row>
    <row r="3088" spans="11:12" x14ac:dyDescent="0.45">
      <c r="K3088" s="5">
        <v>3086</v>
      </c>
      <c r="L3088" s="73">
        <v>-81.499999999999986</v>
      </c>
    </row>
    <row r="3089" spans="11:12" x14ac:dyDescent="0.45">
      <c r="K3089" s="5">
        <v>3087</v>
      </c>
      <c r="L3089" s="73">
        <v>8.8817841970012523E-15</v>
      </c>
    </row>
    <row r="3090" spans="11:12" x14ac:dyDescent="0.45">
      <c r="K3090" s="5">
        <v>3088</v>
      </c>
      <c r="L3090" s="73">
        <v>60.400000000000006</v>
      </c>
    </row>
    <row r="3091" spans="11:12" x14ac:dyDescent="0.45">
      <c r="K3091" s="5">
        <v>3089</v>
      </c>
      <c r="L3091" s="73">
        <v>-1.8999999999999897</v>
      </c>
    </row>
    <row r="3092" spans="11:12" x14ac:dyDescent="0.45">
      <c r="K3092" s="5">
        <v>3090</v>
      </c>
      <c r="L3092" s="73">
        <v>1.021405182655144E-14</v>
      </c>
    </row>
    <row r="3093" spans="11:12" x14ac:dyDescent="0.45">
      <c r="K3093" s="5">
        <v>3091</v>
      </c>
      <c r="L3093" s="73">
        <v>14.300000000000011</v>
      </c>
    </row>
    <row r="3094" spans="11:12" x14ac:dyDescent="0.45">
      <c r="K3094" s="5">
        <v>3092</v>
      </c>
      <c r="L3094" s="73">
        <v>12.800000000000011</v>
      </c>
    </row>
    <row r="3095" spans="11:12" x14ac:dyDescent="0.45">
      <c r="K3095" s="5">
        <v>3093</v>
      </c>
      <c r="L3095" s="73">
        <v>1.0658141036401503E-14</v>
      </c>
    </row>
    <row r="3096" spans="11:12" x14ac:dyDescent="0.45">
      <c r="K3096" s="5">
        <v>3094</v>
      </c>
      <c r="L3096" s="73">
        <v>3.4000000000000106</v>
      </c>
    </row>
    <row r="3097" spans="11:12" x14ac:dyDescent="0.45">
      <c r="K3097" s="5">
        <v>3095</v>
      </c>
      <c r="L3097" s="73">
        <v>-35.799999999999997</v>
      </c>
    </row>
    <row r="3098" spans="11:12" x14ac:dyDescent="0.45">
      <c r="K3098" s="5">
        <v>3096</v>
      </c>
      <c r="L3098" s="73">
        <v>1.7763568394002505E-15</v>
      </c>
    </row>
    <row r="3099" spans="11:12" x14ac:dyDescent="0.45">
      <c r="K3099" s="5">
        <v>3097</v>
      </c>
      <c r="L3099" s="73">
        <v>-27.1</v>
      </c>
    </row>
    <row r="3100" spans="11:12" x14ac:dyDescent="0.45">
      <c r="K3100" s="5">
        <v>3098</v>
      </c>
      <c r="L3100" s="73">
        <v>-28.6</v>
      </c>
    </row>
    <row r="3101" spans="11:12" x14ac:dyDescent="0.45">
      <c r="K3101" s="5">
        <v>3099</v>
      </c>
      <c r="L3101" s="73">
        <v>1.7763568394002505E-15</v>
      </c>
    </row>
    <row r="3102" spans="11:12" x14ac:dyDescent="0.45">
      <c r="K3102" s="5">
        <v>3100</v>
      </c>
      <c r="L3102" s="73">
        <v>-7.4999999999999982</v>
      </c>
    </row>
    <row r="3103" spans="11:12" x14ac:dyDescent="0.45">
      <c r="K3103" s="5">
        <v>3101</v>
      </c>
      <c r="L3103" s="73">
        <v>-41.6</v>
      </c>
    </row>
    <row r="3104" spans="11:12" x14ac:dyDescent="0.45">
      <c r="K3104" s="5">
        <v>3102</v>
      </c>
      <c r="L3104" s="73">
        <v>1.7763568394002505E-15</v>
      </c>
    </row>
    <row r="3105" spans="11:12" x14ac:dyDescent="0.45">
      <c r="K3105" s="5">
        <v>3103</v>
      </c>
      <c r="L3105" s="73">
        <v>-20.9</v>
      </c>
    </row>
    <row r="3106" spans="11:12" x14ac:dyDescent="0.45">
      <c r="K3106" s="5">
        <v>3104</v>
      </c>
      <c r="L3106" s="73">
        <v>-21.4</v>
      </c>
    </row>
    <row r="3107" spans="11:12" x14ac:dyDescent="0.45">
      <c r="K3107" s="5">
        <v>3105</v>
      </c>
      <c r="L3107" s="73">
        <v>1.7763568394002505E-15</v>
      </c>
    </row>
    <row r="3108" spans="11:12" x14ac:dyDescent="0.45">
      <c r="K3108" s="5">
        <v>3106</v>
      </c>
      <c r="L3108" s="73">
        <v>4.0000000000000018</v>
      </c>
    </row>
    <row r="3109" spans="11:12" x14ac:dyDescent="0.45">
      <c r="K3109" s="5">
        <v>3107</v>
      </c>
      <c r="L3109" s="73">
        <v>30</v>
      </c>
    </row>
    <row r="3110" spans="11:12" x14ac:dyDescent="0.45">
      <c r="K3110" s="5">
        <v>3108</v>
      </c>
      <c r="L3110" s="73">
        <v>1.7763568394002505E-15</v>
      </c>
    </row>
    <row r="3111" spans="11:12" x14ac:dyDescent="0.45">
      <c r="K3111" s="5">
        <v>3109</v>
      </c>
      <c r="L3111" s="73">
        <v>-22.5</v>
      </c>
    </row>
    <row r="3112" spans="11:12" x14ac:dyDescent="0.45">
      <c r="K3112" s="5">
        <v>3110</v>
      </c>
      <c r="L3112" s="73">
        <v>-31.9</v>
      </c>
    </row>
    <row r="3113" spans="11:12" x14ac:dyDescent="0.45">
      <c r="K3113" s="5">
        <v>3111</v>
      </c>
      <c r="L3113" s="73">
        <v>1.7763568394002505E-15</v>
      </c>
    </row>
    <row r="3114" spans="11:12" x14ac:dyDescent="0.45">
      <c r="K3114" s="5">
        <v>3112</v>
      </c>
      <c r="L3114" s="73">
        <v>-35.9</v>
      </c>
    </row>
    <row r="3115" spans="11:12" x14ac:dyDescent="0.45">
      <c r="K3115" s="5">
        <v>3113</v>
      </c>
      <c r="L3115" s="73">
        <v>-25.599999999999994</v>
      </c>
    </row>
    <row r="3116" spans="11:12" x14ac:dyDescent="0.45">
      <c r="K3116" s="5">
        <v>3114</v>
      </c>
      <c r="L3116" s="73">
        <v>5.3290705182007514E-15</v>
      </c>
    </row>
    <row r="3117" spans="11:12" x14ac:dyDescent="0.45">
      <c r="K3117" s="5">
        <v>3115</v>
      </c>
      <c r="L3117" s="73">
        <v>-26.699999999999996</v>
      </c>
    </row>
    <row r="3118" spans="11:12" x14ac:dyDescent="0.45">
      <c r="K3118" s="5">
        <v>3116</v>
      </c>
      <c r="L3118" s="73">
        <v>-18.699999999999996</v>
      </c>
    </row>
    <row r="3119" spans="11:12" x14ac:dyDescent="0.45">
      <c r="K3119" s="5">
        <v>3117</v>
      </c>
      <c r="L3119" s="73">
        <v>5.3290705182007514E-15</v>
      </c>
    </row>
    <row r="3120" spans="11:12" x14ac:dyDescent="0.45">
      <c r="K3120" s="5">
        <v>3118</v>
      </c>
      <c r="L3120" s="73">
        <v>21.500000000000007</v>
      </c>
    </row>
    <row r="3121" spans="11:12" x14ac:dyDescent="0.45">
      <c r="K3121" s="5">
        <v>3119</v>
      </c>
      <c r="L3121" s="73">
        <v>-5.3999999999999932</v>
      </c>
    </row>
    <row r="3122" spans="11:12" x14ac:dyDescent="0.45">
      <c r="K3122" s="5">
        <v>3120</v>
      </c>
      <c r="L3122" s="73">
        <v>7.1054273576010019E-15</v>
      </c>
    </row>
    <row r="3123" spans="11:12" x14ac:dyDescent="0.45">
      <c r="K3123" s="5">
        <v>3121</v>
      </c>
      <c r="L3123" s="73">
        <v>-46.599999999999994</v>
      </c>
    </row>
    <row r="3124" spans="11:12" x14ac:dyDescent="0.45">
      <c r="K3124" s="5">
        <v>3122</v>
      </c>
      <c r="L3124" s="73">
        <v>31.100000000000009</v>
      </c>
    </row>
    <row r="3125" spans="11:12" x14ac:dyDescent="0.45">
      <c r="K3125" s="5">
        <v>3123</v>
      </c>
      <c r="L3125" s="73">
        <v>8.8817841970012523E-15</v>
      </c>
    </row>
    <row r="3126" spans="11:12" x14ac:dyDescent="0.45">
      <c r="K3126" s="5">
        <v>3124</v>
      </c>
      <c r="L3126" s="73">
        <v>-41.599999999999994</v>
      </c>
    </row>
    <row r="3127" spans="11:12" x14ac:dyDescent="0.45">
      <c r="K3127" s="5">
        <v>3125</v>
      </c>
      <c r="L3127" s="73">
        <v>-27.899999999999991</v>
      </c>
    </row>
    <row r="3128" spans="11:12" x14ac:dyDescent="0.45">
      <c r="K3128" s="5">
        <v>3126</v>
      </c>
      <c r="L3128" s="73">
        <v>5.3290705182007514E-15</v>
      </c>
    </row>
    <row r="3129" spans="11:12" x14ac:dyDescent="0.45">
      <c r="K3129" s="5">
        <v>3127</v>
      </c>
      <c r="L3129" s="73">
        <v>-38.29999999999999</v>
      </c>
    </row>
    <row r="3130" spans="11:12" x14ac:dyDescent="0.45">
      <c r="K3130" s="5">
        <v>3128</v>
      </c>
      <c r="L3130" s="73">
        <v>-26.999999999999986</v>
      </c>
    </row>
    <row r="3131" spans="11:12" x14ac:dyDescent="0.45">
      <c r="K3131" s="5">
        <v>3129</v>
      </c>
      <c r="L3131" s="73">
        <v>1.2434497875801753E-14</v>
      </c>
    </row>
    <row r="3132" spans="11:12" x14ac:dyDescent="0.45">
      <c r="K3132" s="5">
        <v>3130</v>
      </c>
      <c r="L3132" s="73">
        <v>68.200000000000017</v>
      </c>
    </row>
    <row r="3133" spans="11:12" x14ac:dyDescent="0.45">
      <c r="K3133" s="5">
        <v>3131</v>
      </c>
      <c r="L3133" s="73">
        <v>44.70000000000001</v>
      </c>
    </row>
    <row r="3134" spans="11:12" x14ac:dyDescent="0.45">
      <c r="K3134" s="5">
        <v>3132</v>
      </c>
      <c r="L3134" s="73">
        <v>8.8817841970012523E-15</v>
      </c>
    </row>
    <row r="3135" spans="11:12" x14ac:dyDescent="0.45">
      <c r="K3135" s="5">
        <v>3133</v>
      </c>
      <c r="L3135" s="73">
        <v>-0.99999999999999112</v>
      </c>
    </row>
    <row r="3136" spans="11:12" x14ac:dyDescent="0.45">
      <c r="K3136" s="5">
        <v>3134</v>
      </c>
      <c r="L3136" s="73">
        <v>27.000000000000007</v>
      </c>
    </row>
    <row r="3137" spans="11:12" x14ac:dyDescent="0.45">
      <c r="K3137" s="5">
        <v>3135</v>
      </c>
      <c r="L3137" s="73">
        <v>8.8817841970012523E-15</v>
      </c>
    </row>
    <row r="3138" spans="11:12" x14ac:dyDescent="0.45">
      <c r="K3138" s="5">
        <v>3136</v>
      </c>
      <c r="L3138" s="73">
        <v>-32.29999999999999</v>
      </c>
    </row>
    <row r="3139" spans="11:12" x14ac:dyDescent="0.45">
      <c r="K3139" s="5">
        <v>3137</v>
      </c>
      <c r="L3139" s="73">
        <v>-52.199999999999989</v>
      </c>
    </row>
    <row r="3140" spans="11:12" x14ac:dyDescent="0.45">
      <c r="K3140" s="5">
        <v>3138</v>
      </c>
      <c r="L3140" s="73">
        <v>1.5987211554602254E-14</v>
      </c>
    </row>
    <row r="3141" spans="11:12" x14ac:dyDescent="0.45">
      <c r="K3141" s="5">
        <v>3139</v>
      </c>
      <c r="L3141" s="73">
        <v>43.500000000000014</v>
      </c>
    </row>
    <row r="3142" spans="11:12" x14ac:dyDescent="0.45">
      <c r="K3142" s="5">
        <v>3140</v>
      </c>
      <c r="L3142" s="73">
        <v>7.8000000000000131</v>
      </c>
    </row>
    <row r="3143" spans="11:12" x14ac:dyDescent="0.45">
      <c r="K3143" s="5">
        <v>3141</v>
      </c>
      <c r="L3143" s="73">
        <v>1.3322676295501878E-14</v>
      </c>
    </row>
    <row r="3144" spans="11:12" x14ac:dyDescent="0.45">
      <c r="K3144" s="5">
        <v>3142</v>
      </c>
      <c r="L3144" s="73">
        <v>-52.799999999999983</v>
      </c>
    </row>
    <row r="3145" spans="11:12" x14ac:dyDescent="0.45">
      <c r="K3145" s="5">
        <v>3143</v>
      </c>
      <c r="L3145" s="73">
        <v>7.500000000000016</v>
      </c>
    </row>
    <row r="3146" spans="11:12" x14ac:dyDescent="0.45">
      <c r="K3146" s="5">
        <v>3144</v>
      </c>
      <c r="L3146" s="73">
        <v>1.5987211554602254E-14</v>
      </c>
    </row>
    <row r="3147" spans="11:12" x14ac:dyDescent="0.45">
      <c r="K3147" s="5">
        <v>3145</v>
      </c>
      <c r="L3147" s="73">
        <v>-14.799999999999985</v>
      </c>
    </row>
    <row r="3148" spans="11:12" x14ac:dyDescent="0.45">
      <c r="K3148" s="5">
        <v>3146</v>
      </c>
      <c r="L3148" s="73">
        <v>-49.499999999999993</v>
      </c>
    </row>
    <row r="3149" spans="11:12" x14ac:dyDescent="0.45">
      <c r="K3149" s="5">
        <v>3147</v>
      </c>
      <c r="L3149" s="73">
        <v>8.8817841970012523E-15</v>
      </c>
    </row>
    <row r="3150" spans="11:12" x14ac:dyDescent="0.45">
      <c r="K3150" s="5">
        <v>3148</v>
      </c>
      <c r="L3150" s="73">
        <v>6.4000000000000092</v>
      </c>
    </row>
    <row r="3151" spans="11:12" x14ac:dyDescent="0.45">
      <c r="K3151" s="5">
        <v>3149</v>
      </c>
      <c r="L3151" s="73">
        <v>-24.599999999999994</v>
      </c>
    </row>
    <row r="3152" spans="11:12" x14ac:dyDescent="0.45">
      <c r="K3152" s="5">
        <v>3150</v>
      </c>
      <c r="L3152" s="73">
        <v>8.8817841970012523E-15</v>
      </c>
    </row>
    <row r="3153" spans="11:12" x14ac:dyDescent="0.45">
      <c r="K3153" s="5">
        <v>3151</v>
      </c>
      <c r="L3153" s="73">
        <v>-49.399999999999991</v>
      </c>
    </row>
    <row r="3154" spans="11:12" x14ac:dyDescent="0.45">
      <c r="K3154" s="5">
        <v>3152</v>
      </c>
      <c r="L3154" s="73">
        <v>-37.199999999999996</v>
      </c>
    </row>
    <row r="3155" spans="11:12" x14ac:dyDescent="0.45">
      <c r="K3155" s="5">
        <v>3153</v>
      </c>
      <c r="L3155" s="73">
        <v>8.8817841970012523E-15</v>
      </c>
    </row>
    <row r="3156" spans="11:12" x14ac:dyDescent="0.45">
      <c r="K3156" s="5">
        <v>3154</v>
      </c>
      <c r="L3156" s="73">
        <v>-14.599999999999991</v>
      </c>
    </row>
    <row r="3157" spans="11:12" x14ac:dyDescent="0.45">
      <c r="K3157" s="5">
        <v>3155</v>
      </c>
      <c r="L3157" s="73">
        <v>-63.499999999999993</v>
      </c>
    </row>
    <row r="3158" spans="11:12" x14ac:dyDescent="0.45">
      <c r="K3158" s="5">
        <v>3156</v>
      </c>
      <c r="L3158" s="73">
        <v>8.8817841970012523E-15</v>
      </c>
    </row>
    <row r="3159" spans="11:12" x14ac:dyDescent="0.45">
      <c r="K3159" s="5">
        <v>3157</v>
      </c>
      <c r="L3159" s="73">
        <v>30.000000000000007</v>
      </c>
    </row>
    <row r="3160" spans="11:12" x14ac:dyDescent="0.45">
      <c r="K3160" s="5">
        <v>3158</v>
      </c>
      <c r="L3160" s="73">
        <v>21.600000000000009</v>
      </c>
    </row>
    <row r="3161" spans="11:12" x14ac:dyDescent="0.45">
      <c r="K3161" s="5">
        <v>3159</v>
      </c>
      <c r="L3161" s="73">
        <v>8.8817841970012523E-15</v>
      </c>
    </row>
    <row r="3162" spans="11:12" x14ac:dyDescent="0.45">
      <c r="K3162" s="5">
        <v>3160</v>
      </c>
      <c r="L3162" s="73">
        <v>1.5000000000000089</v>
      </c>
    </row>
    <row r="3163" spans="11:12" x14ac:dyDescent="0.45">
      <c r="K3163" s="5">
        <v>3161</v>
      </c>
      <c r="L3163" s="73">
        <v>50.100000000000009</v>
      </c>
    </row>
    <row r="3164" spans="11:12" x14ac:dyDescent="0.45">
      <c r="K3164" s="5">
        <v>3162</v>
      </c>
      <c r="L3164" s="73">
        <v>8.8817841970012523E-15</v>
      </c>
    </row>
    <row r="3165" spans="11:12" x14ac:dyDescent="0.45">
      <c r="K3165" s="5">
        <v>3163</v>
      </c>
      <c r="L3165" s="73">
        <v>26.000000000000007</v>
      </c>
    </row>
    <row r="3166" spans="11:12" x14ac:dyDescent="0.45">
      <c r="K3166" s="5">
        <v>3164</v>
      </c>
      <c r="L3166" s="73">
        <v>-5.6999999999999904</v>
      </c>
    </row>
    <row r="3167" spans="11:12" x14ac:dyDescent="0.45">
      <c r="K3167" s="5">
        <v>3165</v>
      </c>
      <c r="L3167" s="73">
        <v>9.7699626167013776E-15</v>
      </c>
    </row>
    <row r="3168" spans="11:12" x14ac:dyDescent="0.45">
      <c r="K3168" s="5">
        <v>3166</v>
      </c>
      <c r="L3168" s="73">
        <v>-45.199999999999996</v>
      </c>
    </row>
    <row r="3169" spans="11:12" x14ac:dyDescent="0.45">
      <c r="K3169" s="5">
        <v>3167</v>
      </c>
      <c r="L3169" s="73">
        <v>-3.4999999999999911</v>
      </c>
    </row>
    <row r="3170" spans="11:12" x14ac:dyDescent="0.45">
      <c r="K3170" s="5">
        <v>3168</v>
      </c>
      <c r="L3170" s="73">
        <v>8.8817841970012523E-15</v>
      </c>
    </row>
    <row r="3171" spans="11:12" x14ac:dyDescent="0.45">
      <c r="K3171" s="5">
        <v>3169</v>
      </c>
      <c r="L3171" s="73">
        <v>-10.69999999999999</v>
      </c>
    </row>
    <row r="3172" spans="11:12" x14ac:dyDescent="0.45">
      <c r="K3172" s="5">
        <v>3170</v>
      </c>
      <c r="L3172" s="73">
        <v>-33.999999999999993</v>
      </c>
    </row>
    <row r="3173" spans="11:12" x14ac:dyDescent="0.45">
      <c r="K3173" s="5">
        <v>3171</v>
      </c>
      <c r="L3173" s="73">
        <v>8.8817841970012523E-15</v>
      </c>
    </row>
    <row r="3174" spans="11:12" x14ac:dyDescent="0.45">
      <c r="K3174" s="5">
        <v>3172</v>
      </c>
      <c r="L3174" s="73">
        <v>-0.89999999999999114</v>
      </c>
    </row>
    <row r="3175" spans="11:12" x14ac:dyDescent="0.45">
      <c r="K3175" s="5">
        <v>3173</v>
      </c>
      <c r="L3175" s="73">
        <v>15.20000000000001</v>
      </c>
    </row>
    <row r="3176" spans="11:12" x14ac:dyDescent="0.45">
      <c r="K3176" s="5">
        <v>3174</v>
      </c>
      <c r="L3176" s="73">
        <v>1.0658141036401503E-14</v>
      </c>
    </row>
    <row r="3177" spans="11:12" x14ac:dyDescent="0.45">
      <c r="K3177" s="5">
        <v>3175</v>
      </c>
      <c r="L3177" s="73">
        <v>-12.599999999999989</v>
      </c>
    </row>
    <row r="3178" spans="11:12" x14ac:dyDescent="0.45">
      <c r="K3178" s="5">
        <v>3176</v>
      </c>
      <c r="L3178" s="73">
        <v>-57.79999999999999</v>
      </c>
    </row>
    <row r="3179" spans="11:12" x14ac:dyDescent="0.45">
      <c r="K3179" s="5">
        <v>3177</v>
      </c>
      <c r="L3179" s="73">
        <v>8.8817841970012523E-15</v>
      </c>
    </row>
    <row r="3180" spans="11:12" x14ac:dyDescent="0.45">
      <c r="K3180" s="5">
        <v>3178</v>
      </c>
      <c r="L3180" s="73">
        <v>-3.9999999999999911</v>
      </c>
    </row>
    <row r="3181" spans="11:12" x14ac:dyDescent="0.45">
      <c r="K3181" s="5">
        <v>3179</v>
      </c>
      <c r="L3181" s="73">
        <v>47.300000000000004</v>
      </c>
    </row>
    <row r="3182" spans="11:12" x14ac:dyDescent="0.45">
      <c r="K3182" s="5">
        <v>3180</v>
      </c>
      <c r="L3182" s="73">
        <v>8.8817841970012523E-15</v>
      </c>
    </row>
    <row r="3183" spans="11:12" x14ac:dyDescent="0.45">
      <c r="K3183" s="5">
        <v>3181</v>
      </c>
      <c r="L3183" s="73">
        <v>-57.099999999999994</v>
      </c>
    </row>
    <row r="3184" spans="11:12" x14ac:dyDescent="0.45">
      <c r="K3184" s="5">
        <v>3182</v>
      </c>
      <c r="L3184" s="73">
        <v>-52.8</v>
      </c>
    </row>
    <row r="3185" spans="11:12" x14ac:dyDescent="0.45">
      <c r="K3185" s="5">
        <v>3183</v>
      </c>
      <c r="L3185" s="73">
        <v>1.7763568394002505E-15</v>
      </c>
    </row>
    <row r="3186" spans="11:12" x14ac:dyDescent="0.45">
      <c r="K3186" s="5">
        <v>3184</v>
      </c>
      <c r="L3186" s="73">
        <v>-20</v>
      </c>
    </row>
    <row r="3187" spans="11:12" x14ac:dyDescent="0.45">
      <c r="K3187" s="5">
        <v>3185</v>
      </c>
      <c r="L3187" s="73">
        <v>53</v>
      </c>
    </row>
    <row r="3188" spans="11:12" x14ac:dyDescent="0.45">
      <c r="K3188" s="5">
        <v>3186</v>
      </c>
      <c r="L3188" s="73">
        <v>1.7763568394002505E-15</v>
      </c>
    </row>
    <row r="3189" spans="11:12" x14ac:dyDescent="0.45">
      <c r="K3189" s="5">
        <v>3187</v>
      </c>
      <c r="L3189" s="73">
        <v>54.4</v>
      </c>
    </row>
    <row r="3190" spans="11:12" x14ac:dyDescent="0.45">
      <c r="K3190" s="5">
        <v>3188</v>
      </c>
      <c r="L3190" s="73">
        <v>4.2999999999999989</v>
      </c>
    </row>
    <row r="3191" spans="11:12" x14ac:dyDescent="0.45">
      <c r="K3191" s="5">
        <v>3189</v>
      </c>
      <c r="L3191" s="73">
        <v>-8.8817841970012523E-16</v>
      </c>
    </row>
    <row r="3192" spans="11:12" x14ac:dyDescent="0.45">
      <c r="K3192" s="5">
        <v>3190</v>
      </c>
      <c r="L3192" s="73">
        <v>-48.2</v>
      </c>
    </row>
    <row r="3193" spans="11:12" x14ac:dyDescent="0.45">
      <c r="K3193" s="5">
        <v>3191</v>
      </c>
      <c r="L3193" s="73">
        <v>11.500000000000002</v>
      </c>
    </row>
    <row r="3194" spans="11:12" x14ac:dyDescent="0.45">
      <c r="K3194" s="5">
        <v>3192</v>
      </c>
      <c r="L3194" s="73">
        <v>1.7763568394002505E-15</v>
      </c>
    </row>
    <row r="3195" spans="11:12" x14ac:dyDescent="0.45">
      <c r="K3195" s="5">
        <v>3193</v>
      </c>
      <c r="L3195" s="73">
        <v>22.300000000000004</v>
      </c>
    </row>
    <row r="3196" spans="11:12" x14ac:dyDescent="0.45">
      <c r="K3196" s="5">
        <v>3194</v>
      </c>
      <c r="L3196" s="73">
        <v>27.300000000000004</v>
      </c>
    </row>
    <row r="3197" spans="11:12" x14ac:dyDescent="0.45">
      <c r="K3197" s="5">
        <v>3195</v>
      </c>
      <c r="L3197" s="73">
        <v>1.7763568394002505E-15</v>
      </c>
    </row>
    <row r="3198" spans="11:12" x14ac:dyDescent="0.45">
      <c r="K3198" s="5">
        <v>3196</v>
      </c>
      <c r="L3198" s="73">
        <v>-9.4999999999999982</v>
      </c>
    </row>
    <row r="3199" spans="11:12" x14ac:dyDescent="0.45">
      <c r="K3199" s="5">
        <v>3197</v>
      </c>
      <c r="L3199" s="73">
        <v>22.1</v>
      </c>
    </row>
    <row r="3200" spans="11:12" x14ac:dyDescent="0.45">
      <c r="K3200" s="5">
        <v>3198</v>
      </c>
      <c r="L3200" s="73">
        <v>1.7763568394002505E-15</v>
      </c>
    </row>
    <row r="3201" spans="11:12" x14ac:dyDescent="0.45">
      <c r="K3201" s="5">
        <v>3199</v>
      </c>
      <c r="L3201" s="73">
        <v>-36.4</v>
      </c>
    </row>
    <row r="3202" spans="11:12" x14ac:dyDescent="0.45">
      <c r="K3202" s="5">
        <v>3200</v>
      </c>
      <c r="L3202" s="73">
        <v>-61.6</v>
      </c>
    </row>
    <row r="3203" spans="11:12" x14ac:dyDescent="0.45">
      <c r="K3203" s="5">
        <v>3201</v>
      </c>
      <c r="L3203" s="73">
        <v>1.7763568394002505E-15</v>
      </c>
    </row>
    <row r="3204" spans="11:12" x14ac:dyDescent="0.45">
      <c r="K3204" s="5">
        <v>3202</v>
      </c>
      <c r="L3204" s="73">
        <v>-2.299999999999998</v>
      </c>
    </row>
    <row r="3205" spans="11:12" x14ac:dyDescent="0.45">
      <c r="K3205" s="5">
        <v>3203</v>
      </c>
      <c r="L3205" s="73">
        <v>-24.799999999999997</v>
      </c>
    </row>
    <row r="3206" spans="11:12" x14ac:dyDescent="0.45">
      <c r="K3206" s="5">
        <v>3204</v>
      </c>
      <c r="L3206" s="73">
        <v>1.7763568394002505E-15</v>
      </c>
    </row>
    <row r="3207" spans="11:12" x14ac:dyDescent="0.45">
      <c r="K3207" s="5">
        <v>3205</v>
      </c>
      <c r="L3207" s="73">
        <v>-27.5</v>
      </c>
    </row>
    <row r="3208" spans="11:12" x14ac:dyDescent="0.45">
      <c r="K3208" s="5">
        <v>3206</v>
      </c>
      <c r="L3208" s="73">
        <v>-22</v>
      </c>
    </row>
    <row r="3209" spans="11:12" x14ac:dyDescent="0.45">
      <c r="K3209" s="5">
        <v>3207</v>
      </c>
      <c r="L3209" s="73">
        <v>1.7763568394002505E-15</v>
      </c>
    </row>
    <row r="3210" spans="11:12" x14ac:dyDescent="0.45">
      <c r="K3210" s="5">
        <v>3208</v>
      </c>
      <c r="L3210" s="73">
        <v>70.000000000000014</v>
      </c>
    </row>
    <row r="3211" spans="11:12" x14ac:dyDescent="0.45">
      <c r="K3211" s="5">
        <v>3209</v>
      </c>
      <c r="L3211" s="73">
        <v>46.500000000000007</v>
      </c>
    </row>
    <row r="3212" spans="11:12" x14ac:dyDescent="0.45">
      <c r="K3212" s="5">
        <v>3210</v>
      </c>
      <c r="L3212" s="73">
        <v>8.8817841970012523E-15</v>
      </c>
    </row>
    <row r="3213" spans="11:12" x14ac:dyDescent="0.45">
      <c r="K3213" s="5">
        <v>3211</v>
      </c>
      <c r="L3213" s="73">
        <v>-5.3999999999999915</v>
      </c>
    </row>
    <row r="3214" spans="11:12" x14ac:dyDescent="0.45">
      <c r="K3214" s="5">
        <v>3212</v>
      </c>
      <c r="L3214" s="73">
        <v>31.900000000000006</v>
      </c>
    </row>
    <row r="3215" spans="11:12" x14ac:dyDescent="0.45">
      <c r="K3215" s="5">
        <v>3213</v>
      </c>
      <c r="L3215" s="73">
        <v>8.8817841970012523E-15</v>
      </c>
    </row>
    <row r="3216" spans="11:12" x14ac:dyDescent="0.45">
      <c r="K3216" s="5">
        <v>3214</v>
      </c>
      <c r="L3216" s="73">
        <v>1.3000000000000089</v>
      </c>
    </row>
    <row r="3217" spans="11:12" x14ac:dyDescent="0.45">
      <c r="K3217" s="5">
        <v>3215</v>
      </c>
      <c r="L3217" s="73">
        <v>-13.79999999999999</v>
      </c>
    </row>
    <row r="3218" spans="11:12" x14ac:dyDescent="0.45">
      <c r="K3218" s="5">
        <v>3216</v>
      </c>
      <c r="L3218" s="73">
        <v>1.0658141036401503E-14</v>
      </c>
    </row>
    <row r="3219" spans="11:12" x14ac:dyDescent="0.45">
      <c r="K3219" s="5">
        <v>3217</v>
      </c>
      <c r="L3219" s="73">
        <v>87.300000000000011</v>
      </c>
    </row>
    <row r="3220" spans="11:12" x14ac:dyDescent="0.45">
      <c r="K3220" s="5">
        <v>3218</v>
      </c>
      <c r="L3220" s="73">
        <v>65.000000000000014</v>
      </c>
    </row>
    <row r="3221" spans="11:12" x14ac:dyDescent="0.45">
      <c r="K3221" s="5">
        <v>3219</v>
      </c>
      <c r="L3221" s="73">
        <v>8.8817841970012523E-15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871DE-03A6-44AF-A3D1-65F072EAC8CA}">
  <sheetPr codeName="Sheet4"/>
  <dimension ref="A1:Q74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195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745</v>
      </c>
      <c r="C2" s="132"/>
      <c r="E2" s="43" t="s">
        <v>66</v>
      </c>
      <c r="F2" s="25" t="s">
        <v>22</v>
      </c>
      <c r="G2" s="13">
        <v>1385</v>
      </c>
      <c r="H2" s="106">
        <f>IF(B$51=0,0,G2/B$51)</f>
        <v>0.73087071240105539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1248.3085250338295</v>
      </c>
      <c r="P2" s="92">
        <v>739</v>
      </c>
      <c r="Q2" s="76">
        <v>922500</v>
      </c>
    </row>
    <row r="3" spans="1:17" x14ac:dyDescent="0.45">
      <c r="A3" s="37" t="s">
        <v>8</v>
      </c>
      <c r="B3" s="143">
        <v>5942</v>
      </c>
      <c r="C3" s="144"/>
      <c r="E3" s="44" t="s">
        <v>72</v>
      </c>
      <c r="F3" s="41" t="s">
        <v>27</v>
      </c>
      <c r="G3" s="34">
        <v>1030</v>
      </c>
      <c r="H3" s="107">
        <f>IF(B$51=0,0,G3/B$51)</f>
        <v>0.54353562005277045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1531.1111111111111</v>
      </c>
      <c r="P3" s="93">
        <v>720</v>
      </c>
      <c r="Q3" s="77">
        <v>1102400</v>
      </c>
    </row>
    <row r="4" spans="1:17" x14ac:dyDescent="0.45">
      <c r="A4" s="37" t="s">
        <v>6</v>
      </c>
      <c r="B4" s="145">
        <v>7245.2999999999993</v>
      </c>
      <c r="C4" s="146"/>
      <c r="E4" s="44" t="s">
        <v>64</v>
      </c>
      <c r="F4" s="41" t="s">
        <v>20</v>
      </c>
      <c r="G4" s="34">
        <v>898</v>
      </c>
      <c r="H4" s="107">
        <f>IF(B$51=0,0,G4/B$51)</f>
        <v>0.47387862796833774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1573.9067055393587</v>
      </c>
      <c r="P4" s="93">
        <v>686</v>
      </c>
      <c r="Q4" s="77">
        <v>1079700</v>
      </c>
    </row>
    <row r="5" spans="1:17" x14ac:dyDescent="0.45">
      <c r="A5" s="37" t="s">
        <v>7</v>
      </c>
      <c r="B5" s="139">
        <f>IF(B$2=0,0,B$4/B$2)</f>
        <v>9.7252348993288589</v>
      </c>
      <c r="C5" s="140"/>
      <c r="E5" s="44" t="s">
        <v>68</v>
      </c>
      <c r="F5" s="41" t="s">
        <v>12</v>
      </c>
      <c r="G5" s="34">
        <v>546</v>
      </c>
      <c r="H5" s="107">
        <f>IF(B$51=0,0,G5/B$51)</f>
        <v>0.28812664907651714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1664.6964856230031</v>
      </c>
      <c r="P5" s="93">
        <v>626</v>
      </c>
      <c r="Q5" s="77">
        <v>1042100</v>
      </c>
    </row>
    <row r="6" spans="1:17" x14ac:dyDescent="0.45">
      <c r="A6" s="37" t="s">
        <v>1</v>
      </c>
      <c r="B6" s="137">
        <f>IF(B$2=0,0,(B$7*1+B$8*2+B$9*3)/B$2)</f>
        <v>1.7583892617449663</v>
      </c>
      <c r="C6" s="138"/>
      <c r="E6" s="44" t="s">
        <v>157</v>
      </c>
      <c r="F6" s="41" t="s">
        <v>158</v>
      </c>
      <c r="G6" s="34">
        <v>529</v>
      </c>
      <c r="H6" s="107">
        <f>IF(B$51=0,0,G6/B$51)</f>
        <v>0.27915567282321901</v>
      </c>
      <c r="I6" s="68">
        <v>14</v>
      </c>
      <c r="K6" s="5">
        <v>4</v>
      </c>
      <c r="L6" s="73">
        <v>114.30000000000001</v>
      </c>
      <c r="N6" s="89" t="s">
        <v>130</v>
      </c>
      <c r="O6" s="96">
        <f t="shared" si="0"/>
        <v>1276.3765541740675</v>
      </c>
      <c r="P6" s="93">
        <v>563</v>
      </c>
      <c r="Q6" s="77">
        <v>718600</v>
      </c>
    </row>
    <row r="7" spans="1:17" x14ac:dyDescent="0.45">
      <c r="A7" s="37" t="s">
        <v>2</v>
      </c>
      <c r="B7" s="34">
        <v>347</v>
      </c>
      <c r="C7" s="31">
        <f t="shared" ref="C7:C14" si="1">IF(B$2=0,0,B7/B$2)</f>
        <v>0.46577181208053692</v>
      </c>
      <c r="E7" s="44" t="s">
        <v>67</v>
      </c>
      <c r="F7" s="41" t="s">
        <v>23</v>
      </c>
      <c r="G7" s="34">
        <v>526</v>
      </c>
      <c r="H7" s="107">
        <f>IF(B$51=0,0,G7/B$51)</f>
        <v>0.27757255936675462</v>
      </c>
      <c r="I7" s="68">
        <v>11</v>
      </c>
      <c r="K7" s="5">
        <v>5</v>
      </c>
      <c r="L7" s="73">
        <v>145.80000000000001</v>
      </c>
      <c r="N7" s="90" t="s">
        <v>131</v>
      </c>
      <c r="O7" s="97">
        <f t="shared" si="0"/>
        <v>1444.2307692307693</v>
      </c>
      <c r="P7" s="94">
        <v>468</v>
      </c>
      <c r="Q7" s="78">
        <v>675900</v>
      </c>
    </row>
    <row r="8" spans="1:17" x14ac:dyDescent="0.45">
      <c r="A8" s="37" t="s">
        <v>3</v>
      </c>
      <c r="B8" s="34">
        <v>231</v>
      </c>
      <c r="C8" s="31">
        <f t="shared" si="1"/>
        <v>0.31006711409395971</v>
      </c>
      <c r="E8" s="44" t="s">
        <v>89</v>
      </c>
      <c r="F8" s="41" t="s">
        <v>44</v>
      </c>
      <c r="G8" s="34">
        <v>312</v>
      </c>
      <c r="H8" s="107">
        <f>IF(B$51=0,0,G8/B$51)</f>
        <v>0.16464379947229552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167</v>
      </c>
      <c r="C9" s="7">
        <f t="shared" si="1"/>
        <v>0.22416107382550335</v>
      </c>
      <c r="E9" s="44" t="s">
        <v>69</v>
      </c>
      <c r="F9" s="41" t="s">
        <v>24</v>
      </c>
      <c r="G9" s="34">
        <v>274</v>
      </c>
      <c r="H9" s="107">
        <f>IF(B$51=0,0,G9/B$51)</f>
        <v>0.14459102902374671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37.761383285302585</v>
      </c>
      <c r="C10" s="121">
        <v>13103.199999999997</v>
      </c>
      <c r="E10" s="44" t="s">
        <v>65</v>
      </c>
      <c r="F10" s="41" t="s">
        <v>21</v>
      </c>
      <c r="G10" s="34">
        <v>222</v>
      </c>
      <c r="H10" s="107">
        <f>IF(B$51=0,0,G10/B$51)</f>
        <v>0.11715039577836411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12.314000000000004</v>
      </c>
      <c r="P10" s="92">
        <v>200</v>
      </c>
      <c r="Q10" s="80">
        <v>2462.8000000000006</v>
      </c>
    </row>
    <row r="11" spans="1:17" x14ac:dyDescent="0.45">
      <c r="A11" s="38" t="s">
        <v>204</v>
      </c>
      <c r="B11" s="120">
        <f>IF(B8=0,0,C11/B8)</f>
        <v>0.12770562770562727</v>
      </c>
      <c r="C11" s="121">
        <v>29.499999999999901</v>
      </c>
      <c r="E11" s="44" t="s">
        <v>70</v>
      </c>
      <c r="F11" s="41" t="s">
        <v>25</v>
      </c>
      <c r="G11" s="34">
        <v>140</v>
      </c>
      <c r="H11" s="107">
        <f>IF(B$51=0,0,G11/B$51)</f>
        <v>7.3878627968337732E-2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7.9391489361702128</v>
      </c>
      <c r="P11" s="93">
        <v>235</v>
      </c>
      <c r="Q11" s="81">
        <v>1865.7</v>
      </c>
    </row>
    <row r="12" spans="1:17" x14ac:dyDescent="0.45">
      <c r="A12" s="38" t="s">
        <v>205</v>
      </c>
      <c r="B12" s="120">
        <f>IF(B9=0,0,C12/B9)</f>
        <v>-35.253892215568868</v>
      </c>
      <c r="C12" s="121">
        <v>-5887.4000000000015</v>
      </c>
      <c r="E12" s="44" t="s">
        <v>86</v>
      </c>
      <c r="F12" s="41" t="s">
        <v>41</v>
      </c>
      <c r="G12" s="34">
        <v>128</v>
      </c>
      <c r="H12" s="107">
        <f>IF(B$51=0,0,G12/B$51)</f>
        <v>6.7546174142480209E-2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9.4110749185667757</v>
      </c>
      <c r="P12" s="94">
        <v>307</v>
      </c>
      <c r="Q12" s="82">
        <v>2889.2000000000003</v>
      </c>
    </row>
    <row r="13" spans="1:17" x14ac:dyDescent="0.45">
      <c r="A13" s="38" t="s">
        <v>206</v>
      </c>
      <c r="B13" s="139">
        <f>AVERAGE(B10:B12)</f>
        <v>0.8783988991464492</v>
      </c>
      <c r="C13" s="140"/>
      <c r="E13" s="44" t="s">
        <v>71</v>
      </c>
      <c r="F13" s="41" t="s">
        <v>26</v>
      </c>
      <c r="G13" s="34">
        <v>126</v>
      </c>
      <c r="H13" s="107">
        <f>IF(B$51=0,0,G13/B$51)</f>
        <v>6.6490765171503957E-2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56</v>
      </c>
      <c r="C14" s="32">
        <f t="shared" si="1"/>
        <v>7.5167785234899323E-2</v>
      </c>
      <c r="E14" s="44" t="s">
        <v>83</v>
      </c>
      <c r="F14" s="41" t="s">
        <v>38</v>
      </c>
      <c r="G14" s="34">
        <v>90</v>
      </c>
      <c r="H14" s="107">
        <f>IF(B$51=0,0,G14/B$51)</f>
        <v>4.7493403693931395E-2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1569</v>
      </c>
      <c r="C15" s="11">
        <f>IF(B$50=0,0,B15/B$50)</f>
        <v>0.28600072912869123</v>
      </c>
      <c r="E15" s="44" t="s">
        <v>78</v>
      </c>
      <c r="F15" s="41" t="s">
        <v>33</v>
      </c>
      <c r="G15" s="34">
        <v>45</v>
      </c>
      <c r="H15" s="107">
        <f>IF(B$51=0,0,G15/B$51)</f>
        <v>2.3746701846965697E-2</v>
      </c>
      <c r="I15" s="68">
        <v>10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118</v>
      </c>
      <c r="B16" s="34">
        <v>1221</v>
      </c>
      <c r="C16" s="31">
        <f>IF(B$50=0,0,B16/B$50)</f>
        <v>0.22256653299307327</v>
      </c>
      <c r="E16" s="44" t="s">
        <v>153</v>
      </c>
      <c r="F16" s="41" t="s">
        <v>154</v>
      </c>
      <c r="G16" s="34">
        <v>45</v>
      </c>
      <c r="H16" s="107">
        <f>IF(B$51=0,0,G16/B$51)</f>
        <v>2.3746701846965697E-2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19" t="s">
        <v>123</v>
      </c>
      <c r="B17" s="13">
        <v>950</v>
      </c>
      <c r="C17" s="4">
        <f>IF(B$15=0,0,B17/B$15)</f>
        <v>0.60548119821542379</v>
      </c>
      <c r="E17" s="44" t="s">
        <v>81</v>
      </c>
      <c r="F17" s="41" t="s">
        <v>36</v>
      </c>
      <c r="G17" s="34">
        <v>35</v>
      </c>
      <c r="H17" s="107">
        <f>IF(B$51=0,0,G17/B$51)</f>
        <v>1.8469656992084433E-2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19" t="s">
        <v>124</v>
      </c>
      <c r="B18" s="13">
        <v>600</v>
      </c>
      <c r="C18" s="4">
        <f>IF(B$16=0,0,B18/B$16)</f>
        <v>0.49140049140049141</v>
      </c>
      <c r="E18" s="44" t="s">
        <v>91</v>
      </c>
      <c r="F18" s="41" t="s">
        <v>46</v>
      </c>
      <c r="G18" s="34">
        <v>30</v>
      </c>
      <c r="H18" s="107">
        <f>IF(B$51=0,0,G18/B$51)</f>
        <v>1.5831134564643801E-2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37.292307692307688</v>
      </c>
      <c r="P18" s="93">
        <v>13</v>
      </c>
      <c r="Q18" s="81">
        <v>484.79999999999995</v>
      </c>
    </row>
    <row r="19" spans="1:17" x14ac:dyDescent="0.45">
      <c r="A19" s="19" t="s">
        <v>10</v>
      </c>
      <c r="B19" s="13">
        <v>2051</v>
      </c>
      <c r="C19" s="4">
        <f>IF(B$3=0,0,B19/B$3)</f>
        <v>0.34516997643890945</v>
      </c>
      <c r="E19" s="44" t="s">
        <v>79</v>
      </c>
      <c r="F19" s="41" t="s">
        <v>34</v>
      </c>
      <c r="G19" s="34">
        <v>21</v>
      </c>
      <c r="H19" s="107">
        <f>IF(B$51=0,0,G19/B$51)</f>
        <v>1.108179419525066E-2</v>
      </c>
      <c r="I19" s="68">
        <v>13</v>
      </c>
      <c r="K19" s="5">
        <v>17</v>
      </c>
      <c r="L19" s="73">
        <v>-29.499999999999986</v>
      </c>
      <c r="N19" s="89" t="s">
        <v>197</v>
      </c>
      <c r="O19" s="99">
        <f>IF(P19=0,0,Q19/P19)</f>
        <v>30.043333333333344</v>
      </c>
      <c r="P19" s="93">
        <v>30</v>
      </c>
      <c r="Q19" s="81">
        <v>901.3000000000003</v>
      </c>
    </row>
    <row r="20" spans="1:17" x14ac:dyDescent="0.45">
      <c r="A20" s="37" t="s">
        <v>13</v>
      </c>
      <c r="B20" s="34">
        <v>816</v>
      </c>
      <c r="C20" s="31">
        <f>IF(B$3=0,0,B20/B$3)</f>
        <v>0.13732749915853248</v>
      </c>
      <c r="E20" s="44" t="s">
        <v>92</v>
      </c>
      <c r="F20" s="41" t="s">
        <v>47</v>
      </c>
      <c r="G20" s="34">
        <v>16</v>
      </c>
      <c r="H20" s="107">
        <f>IF(B$51=0,0,G20/B$51)</f>
        <v>8.4432717678100261E-3</v>
      </c>
      <c r="I20" s="68">
        <v>3</v>
      </c>
      <c r="K20" s="5">
        <v>18</v>
      </c>
      <c r="L20" s="73">
        <v>-14.599999999999985</v>
      </c>
      <c r="N20" s="89" t="s">
        <v>200</v>
      </c>
      <c r="O20" s="99">
        <f>IF(P20=0,0,Q20/P20)</f>
        <v>29.599999999999998</v>
      </c>
      <c r="P20" s="93">
        <v>1</v>
      </c>
      <c r="Q20" s="81">
        <v>29.599999999999998</v>
      </c>
    </row>
    <row r="21" spans="1:17" x14ac:dyDescent="0.45">
      <c r="A21" s="37" t="s">
        <v>12</v>
      </c>
      <c r="B21" s="34">
        <v>845</v>
      </c>
      <c r="C21" s="31">
        <f>IF(B$19=0,0,B21/B$19)</f>
        <v>0.41199414919551436</v>
      </c>
      <c r="E21" s="44" t="s">
        <v>85</v>
      </c>
      <c r="F21" s="41" t="s">
        <v>40</v>
      </c>
      <c r="G21" s="34">
        <v>13</v>
      </c>
      <c r="H21" s="107">
        <f>IF(B$51=0,0,G21/B$51)</f>
        <v>6.8601583113456462E-3</v>
      </c>
      <c r="I21" s="68">
        <v>3</v>
      </c>
      <c r="K21" s="5">
        <v>19</v>
      </c>
      <c r="L21" s="73">
        <v>42.600000000000016</v>
      </c>
      <c r="N21" s="89" t="s">
        <v>186</v>
      </c>
      <c r="O21" s="99">
        <f>IF(P21=0,0,Q21/P21)</f>
        <v>24.82586206896552</v>
      </c>
      <c r="P21" s="93">
        <v>58</v>
      </c>
      <c r="Q21" s="81">
        <v>1439.9</v>
      </c>
    </row>
    <row r="22" spans="1:17" x14ac:dyDescent="0.45">
      <c r="A22" s="37" t="s">
        <v>11</v>
      </c>
      <c r="B22" s="34">
        <v>1206</v>
      </c>
      <c r="C22" s="31">
        <f>IF(B$19=0,0,B22/B$19)</f>
        <v>0.58800585080448564</v>
      </c>
      <c r="E22" s="44" t="s">
        <v>77</v>
      </c>
      <c r="F22" s="41" t="s">
        <v>32</v>
      </c>
      <c r="G22" s="34">
        <v>12</v>
      </c>
      <c r="H22" s="107">
        <f>IF(B$51=0,0,G22/B$51)</f>
        <v>6.3324538258575196E-3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20.594082840236688</v>
      </c>
      <c r="P22" s="93">
        <v>169</v>
      </c>
      <c r="Q22" s="81">
        <v>3480.4</v>
      </c>
    </row>
    <row r="23" spans="1:17" x14ac:dyDescent="0.45">
      <c r="A23" s="37" t="s">
        <v>180</v>
      </c>
      <c r="B23" s="34">
        <v>950</v>
      </c>
      <c r="C23" s="31">
        <f>IF(B$19=0,0,B23/B$19)</f>
        <v>0.46318868844466116</v>
      </c>
      <c r="E23" s="44" t="s">
        <v>75</v>
      </c>
      <c r="F23" s="41" t="s">
        <v>30</v>
      </c>
      <c r="G23" s="34">
        <v>10</v>
      </c>
      <c r="H23" s="107">
        <f>IF(B$51=0,0,G23/B$51)</f>
        <v>5.2770448548812663E-3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18.885795454545459</v>
      </c>
      <c r="P23" s="93">
        <v>176</v>
      </c>
      <c r="Q23" s="81">
        <v>3323.9000000000005</v>
      </c>
    </row>
    <row r="24" spans="1:17" x14ac:dyDescent="0.45">
      <c r="A24" s="37" t="s">
        <v>178</v>
      </c>
      <c r="B24" s="34">
        <v>600</v>
      </c>
      <c r="C24" s="31">
        <f>IF(B$19=0,0,B24/B$19)</f>
        <v>0.29254022428083859</v>
      </c>
      <c r="E24" s="44" t="s">
        <v>73</v>
      </c>
      <c r="F24" s="41" t="s">
        <v>28</v>
      </c>
      <c r="G24" s="34">
        <v>8</v>
      </c>
      <c r="H24" s="107">
        <f>IF(B$51=0,0,G24/B$51)</f>
        <v>4.221635883905013E-3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15.691823899371069</v>
      </c>
      <c r="P24" s="93">
        <v>318</v>
      </c>
      <c r="Q24" s="81">
        <v>4990</v>
      </c>
    </row>
    <row r="25" spans="1:17" x14ac:dyDescent="0.45">
      <c r="A25" s="37" t="s">
        <v>179</v>
      </c>
      <c r="B25" s="34">
        <v>501</v>
      </c>
      <c r="C25" s="31">
        <f>IF(B$19=0,0,B25/B$19)</f>
        <v>0.24427108727450025</v>
      </c>
      <c r="E25" s="44" t="s">
        <v>74</v>
      </c>
      <c r="F25" s="41" t="s">
        <v>29</v>
      </c>
      <c r="G25" s="34">
        <v>6</v>
      </c>
      <c r="H25" s="107">
        <f>IF(B$51=0,0,G25/B$51)</f>
        <v>3.1662269129287598E-3</v>
      </c>
      <c r="I25" s="68">
        <v>8</v>
      </c>
      <c r="K25" s="5">
        <v>23</v>
      </c>
      <c r="L25" s="73">
        <v>124.50000000000001</v>
      </c>
      <c r="N25" s="89" t="s">
        <v>193</v>
      </c>
      <c r="O25" s="99">
        <f>IF(P25=0,0,Q25/P25)</f>
        <v>13.307323943661977</v>
      </c>
      <c r="P25" s="93">
        <v>355</v>
      </c>
      <c r="Q25" s="81">
        <v>4724.1000000000022</v>
      </c>
    </row>
    <row r="26" spans="1:17" x14ac:dyDescent="0.45">
      <c r="A26" s="37" t="s">
        <v>5</v>
      </c>
      <c r="B26" s="17">
        <f>IF(B$19=0,0,C26/B$19)</f>
        <v>9192.1501706484651</v>
      </c>
      <c r="C26" s="8">
        <v>18853100</v>
      </c>
      <c r="E26" s="44" t="s">
        <v>87</v>
      </c>
      <c r="F26" s="41" t="s">
        <v>42</v>
      </c>
      <c r="G26" s="34">
        <v>5</v>
      </c>
      <c r="H26" s="107">
        <f>IF(B$51=0,0,G26/B$51)</f>
        <v>2.6385224274406332E-3</v>
      </c>
      <c r="I26" s="68">
        <v>4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5">
      <c r="A27" s="38" t="s">
        <v>162</v>
      </c>
      <c r="B27" s="114">
        <f>IF($B$19-B$18=0,0,C27/($B$19-B$18))</f>
        <v>9591.5230875258439</v>
      </c>
      <c r="C27" s="115">
        <v>13917300</v>
      </c>
      <c r="E27" s="44" t="s">
        <v>90</v>
      </c>
      <c r="F27" s="41" t="s">
        <v>45</v>
      </c>
      <c r="G27" s="34">
        <v>5</v>
      </c>
      <c r="H27" s="107">
        <f>IF(B$51=0,0,G27/B$51)</f>
        <v>2.6385224274406332E-3</v>
      </c>
      <c r="I27" s="68">
        <v>2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5">
      <c r="A28" s="38" t="s">
        <v>163</v>
      </c>
      <c r="B28" s="114">
        <f>IF(B$18=0,0,C28/B$18)</f>
        <v>8226.3333333333339</v>
      </c>
      <c r="C28" s="115">
        <v>4935800</v>
      </c>
      <c r="E28" s="44" t="s">
        <v>93</v>
      </c>
      <c r="F28" s="41" t="s">
        <v>48</v>
      </c>
      <c r="G28" s="34">
        <v>5</v>
      </c>
      <c r="H28" s="107">
        <f>IF(B$51=0,0,G28/B$51)</f>
        <v>2.6385224274406332E-3</v>
      </c>
      <c r="I28" s="68">
        <v>5</v>
      </c>
      <c r="K28" s="5">
        <v>26</v>
      </c>
      <c r="L28" s="73">
        <v>108.20000000000002</v>
      </c>
      <c r="N28" s="89" t="s">
        <v>191</v>
      </c>
      <c r="O28" s="99">
        <f>IF(P28=0,0,Q28/P28)</f>
        <v>5.1698473282442743</v>
      </c>
      <c r="P28" s="93">
        <v>262</v>
      </c>
      <c r="Q28" s="81">
        <v>1354.4999999999998</v>
      </c>
    </row>
    <row r="29" spans="1:17" x14ac:dyDescent="0.45">
      <c r="A29" s="38" t="s">
        <v>161</v>
      </c>
      <c r="B29" s="114">
        <f>IF(B$20=0,0,C29/B$20)</f>
        <v>-8410.5392156862745</v>
      </c>
      <c r="C29" s="115">
        <v>-6863000</v>
      </c>
      <c r="E29" s="44" t="s">
        <v>95</v>
      </c>
      <c r="F29" s="41" t="s">
        <v>50</v>
      </c>
      <c r="G29" s="34">
        <v>5</v>
      </c>
      <c r="H29" s="107">
        <f>IF(B$51=0,0,G29/B$51)</f>
        <v>2.6385224274406332E-3</v>
      </c>
      <c r="I29" s="68">
        <v>2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84</v>
      </c>
      <c r="F30" s="41" t="s">
        <v>39</v>
      </c>
      <c r="G30" s="34">
        <v>4</v>
      </c>
      <c r="H30" s="107">
        <f>IF(B$51=0,0,G30/B$51)</f>
        <v>2.1108179419525065E-3</v>
      </c>
      <c r="I30" s="68">
        <v>5</v>
      </c>
      <c r="K30" s="5">
        <v>28</v>
      </c>
      <c r="L30" s="73">
        <v>129.20000000000002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88</v>
      </c>
      <c r="F31" s="41" t="s">
        <v>43</v>
      </c>
      <c r="G31" s="34">
        <v>4</v>
      </c>
      <c r="H31" s="107">
        <f>IF(B$51=0,0,G31/B$51)</f>
        <v>2.1108179419525065E-3</v>
      </c>
      <c r="I31" s="68">
        <v>4</v>
      </c>
      <c r="K31" s="5">
        <v>29</v>
      </c>
      <c r="L31" s="73">
        <v>120.80000000000001</v>
      </c>
    </row>
    <row r="32" spans="1:17" x14ac:dyDescent="0.45">
      <c r="A32" s="64" t="s">
        <v>134</v>
      </c>
      <c r="B32" s="135">
        <v>10</v>
      </c>
      <c r="C32" s="136"/>
      <c r="E32" s="44" t="s">
        <v>106</v>
      </c>
      <c r="F32" s="41" t="s">
        <v>113</v>
      </c>
      <c r="G32" s="34">
        <v>2</v>
      </c>
      <c r="H32" s="107">
        <f>IF(B$51=0,0,G32/B$51)</f>
        <v>1.0554089709762533E-3</v>
      </c>
      <c r="I32" s="68">
        <v>2</v>
      </c>
      <c r="K32" s="5">
        <v>30</v>
      </c>
      <c r="L32" s="73">
        <v>174.10000000000002</v>
      </c>
    </row>
    <row r="33" spans="1:12" x14ac:dyDescent="0.45">
      <c r="A33" s="40" t="s">
        <v>177</v>
      </c>
      <c r="B33" s="133">
        <v>149100</v>
      </c>
      <c r="C33" s="134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5">
      <c r="A34" s="39" t="s">
        <v>135</v>
      </c>
      <c r="B34" s="27">
        <v>5</v>
      </c>
      <c r="C34" s="32">
        <f>IF(B$3=0,0,B34/B$3)</f>
        <v>8.4146751935375297E-4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64" t="s">
        <v>168</v>
      </c>
      <c r="B36" s="126">
        <v>130</v>
      </c>
      <c r="C36" s="119">
        <f>IF(B$19=0,0,B36/B$19)</f>
        <v>6.3383715260848364E-2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164</v>
      </c>
      <c r="B37" s="34">
        <v>271</v>
      </c>
      <c r="C37" s="31">
        <f t="shared" ref="C37:C48" si="2">IF(B$19=0,0,B37/B$19)</f>
        <v>0.13213066796684544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165</v>
      </c>
      <c r="B38" s="127">
        <v>361</v>
      </c>
      <c r="C38" s="31">
        <f>IF(B$19=0,0,B38/B$19)</f>
        <v>0.17601170160897123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166</v>
      </c>
      <c r="B39" s="127">
        <v>371</v>
      </c>
      <c r="C39" s="31">
        <f t="shared" si="2"/>
        <v>0.18088737201365188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167</v>
      </c>
      <c r="B40" s="127">
        <v>283</v>
      </c>
      <c r="C40" s="31">
        <f t="shared" si="2"/>
        <v>0.1379814724524622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169</v>
      </c>
      <c r="B41" s="127">
        <v>199</v>
      </c>
      <c r="C41" s="31">
        <f t="shared" si="2"/>
        <v>9.702584105314481E-2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170</v>
      </c>
      <c r="B42" s="127">
        <v>124</v>
      </c>
      <c r="C42" s="31">
        <f t="shared" si="2"/>
        <v>6.0458313018039979E-2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171</v>
      </c>
      <c r="B43" s="127">
        <v>58</v>
      </c>
      <c r="C43" s="31">
        <f t="shared" si="2"/>
        <v>2.8278888347147733E-2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155.20000000000005</v>
      </c>
    </row>
    <row r="44" spans="1:12" x14ac:dyDescent="0.45">
      <c r="A44" s="37" t="s">
        <v>172</v>
      </c>
      <c r="B44" s="127">
        <v>36</v>
      </c>
      <c r="C44" s="31">
        <f t="shared" si="2"/>
        <v>1.7552413456850317E-2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A45" s="37" t="s">
        <v>173</v>
      </c>
      <c r="B45" s="127">
        <v>16</v>
      </c>
      <c r="C45" s="31">
        <f t="shared" si="2"/>
        <v>7.8010726474890294E-3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37" t="s">
        <v>174</v>
      </c>
      <c r="B46" s="127">
        <v>9</v>
      </c>
      <c r="C46" s="31">
        <f t="shared" si="2"/>
        <v>4.3881033642125793E-3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7" t="s">
        <v>175</v>
      </c>
      <c r="B47" s="127">
        <v>3</v>
      </c>
      <c r="C47" s="31">
        <f t="shared" si="2"/>
        <v>1.4627011214041932E-3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A48" s="39" t="s">
        <v>176</v>
      </c>
      <c r="B48" s="128">
        <v>34</v>
      </c>
      <c r="C48" s="32">
        <f t="shared" si="2"/>
        <v>1.6577279375914189E-2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5">
      <c r="A50" s="64" t="s">
        <v>181</v>
      </c>
      <c r="B50" s="131">
        <v>5486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5">
      <c r="A51" s="39" t="s">
        <v>182</v>
      </c>
      <c r="B51" s="129">
        <v>1895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5">
      <c r="K53" s="5">
        <v>51</v>
      </c>
      <c r="L53" s="73">
        <v>145.80000000000004</v>
      </c>
    </row>
    <row r="54" spans="1:12" x14ac:dyDescent="0.45">
      <c r="K54" s="5">
        <v>52</v>
      </c>
      <c r="L54" s="73">
        <v>139.10000000000005</v>
      </c>
    </row>
    <row r="55" spans="1:12" x14ac:dyDescent="0.45">
      <c r="K55" s="5">
        <v>53</v>
      </c>
      <c r="L55" s="73">
        <v>111.10000000000005</v>
      </c>
    </row>
    <row r="56" spans="1:12" x14ac:dyDescent="0.45">
      <c r="K56" s="5">
        <v>54</v>
      </c>
      <c r="L56" s="73">
        <v>127.80000000000005</v>
      </c>
    </row>
    <row r="57" spans="1:12" x14ac:dyDescent="0.45">
      <c r="K57" s="5">
        <v>55</v>
      </c>
      <c r="L57" s="73">
        <v>120.80000000000005</v>
      </c>
    </row>
    <row r="58" spans="1:12" x14ac:dyDescent="0.45">
      <c r="K58" s="5">
        <v>56</v>
      </c>
      <c r="L58" s="73">
        <v>152.40000000000006</v>
      </c>
    </row>
    <row r="59" spans="1:12" x14ac:dyDescent="0.45">
      <c r="K59" s="5">
        <v>57</v>
      </c>
      <c r="L59" s="73">
        <v>168.20000000000007</v>
      </c>
    </row>
    <row r="60" spans="1:12" x14ac:dyDescent="0.45">
      <c r="K60" s="5">
        <v>58</v>
      </c>
      <c r="L60" s="73">
        <v>225.20000000000007</v>
      </c>
    </row>
    <row r="61" spans="1:12" x14ac:dyDescent="0.45">
      <c r="K61" s="5">
        <v>59</v>
      </c>
      <c r="L61" s="73">
        <v>230.50000000000009</v>
      </c>
    </row>
    <row r="62" spans="1:12" x14ac:dyDescent="0.45">
      <c r="K62" s="5">
        <v>60</v>
      </c>
      <c r="L62" s="73">
        <v>184.40000000000009</v>
      </c>
    </row>
    <row r="63" spans="1:12" x14ac:dyDescent="0.45">
      <c r="K63" s="5">
        <v>61</v>
      </c>
      <c r="L63" s="73">
        <v>205.50000000000009</v>
      </c>
    </row>
    <row r="64" spans="1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  <row r="637" spans="11:12" x14ac:dyDescent="0.45">
      <c r="K637" s="5">
        <v>635</v>
      </c>
      <c r="L637" s="73">
        <v>5982.7999999999993</v>
      </c>
    </row>
    <row r="638" spans="11:12" x14ac:dyDescent="0.45">
      <c r="K638" s="5">
        <v>636</v>
      </c>
      <c r="L638" s="73">
        <v>5981.2999999999993</v>
      </c>
    </row>
    <row r="639" spans="11:12" x14ac:dyDescent="0.45">
      <c r="K639" s="5">
        <v>637</v>
      </c>
      <c r="L639" s="73">
        <v>6012.2999999999993</v>
      </c>
    </row>
    <row r="640" spans="11:12" x14ac:dyDescent="0.45">
      <c r="K640" s="5">
        <v>638</v>
      </c>
      <c r="L640" s="73">
        <v>6058.7999999999993</v>
      </c>
    </row>
    <row r="641" spans="11:12" x14ac:dyDescent="0.45">
      <c r="K641" s="5">
        <v>639</v>
      </c>
      <c r="L641" s="73">
        <v>6062</v>
      </c>
    </row>
    <row r="642" spans="11:12" x14ac:dyDescent="0.45">
      <c r="K642" s="5">
        <v>640</v>
      </c>
      <c r="L642" s="73">
        <v>6039.0999999999995</v>
      </c>
    </row>
    <row r="643" spans="11:12" x14ac:dyDescent="0.45">
      <c r="K643" s="5">
        <v>641</v>
      </c>
      <c r="L643" s="73">
        <v>6069.2999999999993</v>
      </c>
    </row>
    <row r="644" spans="11:12" x14ac:dyDescent="0.45">
      <c r="K644" s="5">
        <v>642</v>
      </c>
      <c r="L644" s="73">
        <v>6091.4</v>
      </c>
    </row>
    <row r="645" spans="11:12" x14ac:dyDescent="0.45">
      <c r="K645" s="5">
        <v>643</v>
      </c>
      <c r="L645" s="73">
        <v>6045.2</v>
      </c>
    </row>
    <row r="646" spans="11:12" x14ac:dyDescent="0.45">
      <c r="K646" s="5">
        <v>644</v>
      </c>
      <c r="L646" s="73">
        <v>6071.5</v>
      </c>
    </row>
    <row r="647" spans="11:12" x14ac:dyDescent="0.45">
      <c r="K647" s="5">
        <v>645</v>
      </c>
      <c r="L647" s="73">
        <v>6111.2999999999993</v>
      </c>
    </row>
    <row r="648" spans="11:12" x14ac:dyDescent="0.45">
      <c r="K648" s="5">
        <v>646</v>
      </c>
      <c r="L648" s="73">
        <v>6109.4</v>
      </c>
    </row>
    <row r="649" spans="11:12" x14ac:dyDescent="0.45">
      <c r="K649" s="5">
        <v>647</v>
      </c>
      <c r="L649" s="73">
        <v>6170.1999999999989</v>
      </c>
    </row>
    <row r="650" spans="11:12" x14ac:dyDescent="0.45">
      <c r="K650" s="5">
        <v>648</v>
      </c>
      <c r="L650" s="73">
        <v>6172.1999999999989</v>
      </c>
    </row>
    <row r="651" spans="11:12" x14ac:dyDescent="0.45">
      <c r="K651" s="5">
        <v>649</v>
      </c>
      <c r="L651" s="73">
        <v>6139.9999999999991</v>
      </c>
    </row>
    <row r="652" spans="11:12" x14ac:dyDescent="0.45">
      <c r="K652" s="5">
        <v>650</v>
      </c>
      <c r="L652" s="73">
        <v>6185.1999999999989</v>
      </c>
    </row>
    <row r="653" spans="11:12" x14ac:dyDescent="0.45">
      <c r="K653" s="5">
        <v>651</v>
      </c>
      <c r="L653" s="73">
        <v>6172.6999999999989</v>
      </c>
    </row>
    <row r="654" spans="11:12" x14ac:dyDescent="0.45">
      <c r="K654" s="5">
        <v>652</v>
      </c>
      <c r="L654" s="73">
        <v>6201.4999999999991</v>
      </c>
    </row>
    <row r="655" spans="11:12" x14ac:dyDescent="0.45">
      <c r="K655" s="5">
        <v>653</v>
      </c>
      <c r="L655" s="73">
        <v>6174.0999999999995</v>
      </c>
    </row>
    <row r="656" spans="11:12" x14ac:dyDescent="0.45">
      <c r="K656" s="5">
        <v>654</v>
      </c>
      <c r="L656" s="73">
        <v>6163.0999999999995</v>
      </c>
    </row>
    <row r="657" spans="11:12" x14ac:dyDescent="0.45">
      <c r="K657" s="5">
        <v>655</v>
      </c>
      <c r="L657" s="73">
        <v>6190.9999999999991</v>
      </c>
    </row>
    <row r="658" spans="11:12" x14ac:dyDescent="0.45">
      <c r="K658" s="5">
        <v>656</v>
      </c>
      <c r="L658" s="73">
        <v>6190.1999999999989</v>
      </c>
    </row>
    <row r="659" spans="11:12" x14ac:dyDescent="0.45">
      <c r="K659" s="5">
        <v>657</v>
      </c>
      <c r="L659" s="73">
        <v>6189.9</v>
      </c>
    </row>
    <row r="660" spans="11:12" x14ac:dyDescent="0.45">
      <c r="K660" s="5">
        <v>658</v>
      </c>
      <c r="L660" s="73">
        <v>6237.4</v>
      </c>
    </row>
    <row r="661" spans="11:12" x14ac:dyDescent="0.45">
      <c r="K661" s="5">
        <v>659</v>
      </c>
      <c r="L661" s="73">
        <v>6215.4</v>
      </c>
    </row>
    <row r="662" spans="11:12" x14ac:dyDescent="0.45">
      <c r="K662" s="5">
        <v>660</v>
      </c>
      <c r="L662" s="73">
        <v>6190.9</v>
      </c>
    </row>
    <row r="663" spans="11:12" x14ac:dyDescent="0.45">
      <c r="K663" s="5">
        <v>661</v>
      </c>
      <c r="L663" s="73">
        <v>6231.6999999999989</v>
      </c>
    </row>
    <row r="664" spans="11:12" x14ac:dyDescent="0.45">
      <c r="K664" s="5">
        <v>662</v>
      </c>
      <c r="L664" s="73">
        <v>6272.9</v>
      </c>
    </row>
    <row r="665" spans="11:12" x14ac:dyDescent="0.45">
      <c r="K665" s="5">
        <v>663</v>
      </c>
      <c r="L665" s="73">
        <v>6265.1999999999989</v>
      </c>
    </row>
    <row r="666" spans="11:12" x14ac:dyDescent="0.45">
      <c r="K666" s="5">
        <v>664</v>
      </c>
      <c r="L666" s="73">
        <v>6296.9</v>
      </c>
    </row>
    <row r="667" spans="11:12" x14ac:dyDescent="0.45">
      <c r="K667" s="5">
        <v>665</v>
      </c>
      <c r="L667" s="73">
        <v>6329.0999999999995</v>
      </c>
    </row>
    <row r="668" spans="11:12" x14ac:dyDescent="0.45">
      <c r="K668" s="5">
        <v>666</v>
      </c>
      <c r="L668" s="73">
        <v>6326.1999999999989</v>
      </c>
    </row>
    <row r="669" spans="11:12" x14ac:dyDescent="0.45">
      <c r="K669" s="5">
        <v>667</v>
      </c>
      <c r="L669" s="73">
        <v>6358.1999999999989</v>
      </c>
    </row>
    <row r="670" spans="11:12" x14ac:dyDescent="0.45">
      <c r="K670" s="5">
        <v>668</v>
      </c>
      <c r="L670" s="73">
        <v>6399.6999999999989</v>
      </c>
    </row>
    <row r="671" spans="11:12" x14ac:dyDescent="0.45">
      <c r="K671" s="5">
        <v>669</v>
      </c>
      <c r="L671" s="73">
        <v>6436.2999999999993</v>
      </c>
    </row>
    <row r="672" spans="11:12" x14ac:dyDescent="0.45">
      <c r="K672" s="5">
        <v>670</v>
      </c>
      <c r="L672" s="73">
        <v>6468.1999999999989</v>
      </c>
    </row>
    <row r="673" spans="11:12" x14ac:dyDescent="0.45">
      <c r="K673" s="5">
        <v>671</v>
      </c>
      <c r="L673" s="73">
        <v>6509.6999999999989</v>
      </c>
    </row>
    <row r="674" spans="11:12" x14ac:dyDescent="0.45">
      <c r="K674" s="5">
        <v>672</v>
      </c>
      <c r="L674" s="73">
        <v>6470.9999999999991</v>
      </c>
    </row>
    <row r="675" spans="11:12" x14ac:dyDescent="0.45">
      <c r="K675" s="5">
        <v>673</v>
      </c>
      <c r="L675" s="73">
        <v>6425.4999999999991</v>
      </c>
    </row>
    <row r="676" spans="11:12" x14ac:dyDescent="0.45">
      <c r="K676" s="5">
        <v>674</v>
      </c>
      <c r="L676" s="73">
        <v>6441.6999999999989</v>
      </c>
    </row>
    <row r="677" spans="11:12" x14ac:dyDescent="0.45">
      <c r="K677" s="5">
        <v>675</v>
      </c>
      <c r="L677" s="73">
        <v>6442.9999999999991</v>
      </c>
    </row>
    <row r="678" spans="11:12" x14ac:dyDescent="0.45">
      <c r="K678" s="5">
        <v>676</v>
      </c>
      <c r="L678" s="73">
        <v>6467.0999999999995</v>
      </c>
    </row>
    <row r="679" spans="11:12" x14ac:dyDescent="0.45">
      <c r="K679" s="5">
        <v>677</v>
      </c>
      <c r="L679" s="73">
        <v>6449.6999999999989</v>
      </c>
    </row>
    <row r="680" spans="11:12" x14ac:dyDescent="0.45">
      <c r="K680" s="5">
        <v>678</v>
      </c>
      <c r="L680" s="73">
        <v>6490.4</v>
      </c>
    </row>
    <row r="681" spans="11:12" x14ac:dyDescent="0.45">
      <c r="K681" s="5">
        <v>679</v>
      </c>
      <c r="L681" s="73">
        <v>6504.4</v>
      </c>
    </row>
    <row r="682" spans="11:12" x14ac:dyDescent="0.45">
      <c r="K682" s="5">
        <v>680</v>
      </c>
      <c r="L682" s="73">
        <v>6571.2999999999993</v>
      </c>
    </row>
    <row r="683" spans="11:12" x14ac:dyDescent="0.45">
      <c r="K683" s="5">
        <v>681</v>
      </c>
      <c r="L683" s="73">
        <v>6574.4999999999991</v>
      </c>
    </row>
    <row r="684" spans="11:12" x14ac:dyDescent="0.45">
      <c r="K684" s="5">
        <v>682</v>
      </c>
      <c r="L684" s="73">
        <v>6574.1999999999989</v>
      </c>
    </row>
    <row r="685" spans="11:12" x14ac:dyDescent="0.45">
      <c r="K685" s="5">
        <v>683</v>
      </c>
      <c r="L685" s="73">
        <v>6614.0999999999995</v>
      </c>
    </row>
    <row r="686" spans="11:12" x14ac:dyDescent="0.45">
      <c r="K686" s="5">
        <v>684</v>
      </c>
      <c r="L686" s="73">
        <v>6611.9</v>
      </c>
    </row>
    <row r="687" spans="11:12" x14ac:dyDescent="0.45">
      <c r="K687" s="5">
        <v>685</v>
      </c>
      <c r="L687" s="73">
        <v>6560.7999999999993</v>
      </c>
    </row>
    <row r="688" spans="11:12" x14ac:dyDescent="0.45">
      <c r="K688" s="5">
        <v>686</v>
      </c>
      <c r="L688" s="73">
        <v>6586.0999999999995</v>
      </c>
    </row>
    <row r="689" spans="11:12" x14ac:dyDescent="0.45">
      <c r="K689" s="5">
        <v>687</v>
      </c>
      <c r="L689" s="73">
        <v>6607.7999999999993</v>
      </c>
    </row>
    <row r="690" spans="11:12" x14ac:dyDescent="0.45">
      <c r="K690" s="5">
        <v>688</v>
      </c>
      <c r="L690" s="73">
        <v>6652.2999999999993</v>
      </c>
    </row>
    <row r="691" spans="11:12" x14ac:dyDescent="0.45">
      <c r="K691" s="5">
        <v>689</v>
      </c>
      <c r="L691" s="73">
        <v>6689.7999999999993</v>
      </c>
    </row>
    <row r="692" spans="11:12" x14ac:dyDescent="0.45">
      <c r="K692" s="5">
        <v>690</v>
      </c>
      <c r="L692" s="73">
        <v>6667.9999999999991</v>
      </c>
    </row>
    <row r="693" spans="11:12" x14ac:dyDescent="0.45">
      <c r="K693" s="5">
        <v>691</v>
      </c>
      <c r="L693" s="73">
        <v>6654.9</v>
      </c>
    </row>
    <row r="694" spans="11:12" x14ac:dyDescent="0.45">
      <c r="K694" s="5">
        <v>692</v>
      </c>
      <c r="L694" s="73">
        <v>6650.0999999999995</v>
      </c>
    </row>
    <row r="695" spans="11:12" x14ac:dyDescent="0.45">
      <c r="K695" s="5">
        <v>693</v>
      </c>
      <c r="L695" s="73">
        <v>6600.6999999999989</v>
      </c>
    </row>
    <row r="696" spans="11:12" x14ac:dyDescent="0.45">
      <c r="K696" s="5">
        <v>694</v>
      </c>
      <c r="L696" s="73">
        <v>6567.0999999999995</v>
      </c>
    </row>
    <row r="697" spans="11:12" x14ac:dyDescent="0.45">
      <c r="K697" s="5">
        <v>695</v>
      </c>
      <c r="L697" s="73">
        <v>6594</v>
      </c>
    </row>
    <row r="698" spans="11:12" x14ac:dyDescent="0.45">
      <c r="K698" s="5">
        <v>696</v>
      </c>
      <c r="L698" s="73">
        <v>6606</v>
      </c>
    </row>
    <row r="699" spans="11:12" x14ac:dyDescent="0.45">
      <c r="K699" s="5">
        <v>697</v>
      </c>
      <c r="L699" s="73">
        <v>6602.2999999999993</v>
      </c>
    </row>
    <row r="700" spans="11:12" x14ac:dyDescent="0.45">
      <c r="K700" s="5">
        <v>698</v>
      </c>
      <c r="L700" s="73">
        <v>6592.7999999999993</v>
      </c>
    </row>
    <row r="701" spans="11:12" x14ac:dyDescent="0.45">
      <c r="K701" s="5">
        <v>699</v>
      </c>
      <c r="L701" s="73">
        <v>6647</v>
      </c>
    </row>
    <row r="702" spans="11:12" x14ac:dyDescent="0.45">
      <c r="K702" s="5">
        <v>700</v>
      </c>
      <c r="L702" s="73">
        <v>6672.5999999999995</v>
      </c>
    </row>
    <row r="703" spans="11:12" x14ac:dyDescent="0.45">
      <c r="K703" s="5">
        <v>701</v>
      </c>
      <c r="L703" s="73">
        <v>6679</v>
      </c>
    </row>
    <row r="704" spans="11:12" x14ac:dyDescent="0.45">
      <c r="K704" s="5">
        <v>702</v>
      </c>
      <c r="L704" s="73">
        <v>6668.4</v>
      </c>
    </row>
    <row r="705" spans="11:12" x14ac:dyDescent="0.45">
      <c r="K705" s="5">
        <v>703</v>
      </c>
      <c r="L705" s="73">
        <v>6638.2999999999993</v>
      </c>
    </row>
    <row r="706" spans="11:12" x14ac:dyDescent="0.45">
      <c r="K706" s="5">
        <v>704</v>
      </c>
      <c r="L706" s="73">
        <v>6644.2999999999993</v>
      </c>
    </row>
    <row r="707" spans="11:12" x14ac:dyDescent="0.45">
      <c r="K707" s="5">
        <v>705</v>
      </c>
      <c r="L707" s="73">
        <v>6595.7999999999993</v>
      </c>
    </row>
    <row r="708" spans="11:12" x14ac:dyDescent="0.45">
      <c r="K708" s="5">
        <v>706</v>
      </c>
      <c r="L708" s="73">
        <v>6581.4</v>
      </c>
    </row>
    <row r="709" spans="11:12" x14ac:dyDescent="0.45">
      <c r="K709" s="5">
        <v>707</v>
      </c>
      <c r="L709" s="73">
        <v>6604.4</v>
      </c>
    </row>
    <row r="710" spans="11:12" x14ac:dyDescent="0.45">
      <c r="K710" s="5">
        <v>708</v>
      </c>
      <c r="L710" s="73">
        <v>6632</v>
      </c>
    </row>
    <row r="711" spans="11:12" x14ac:dyDescent="0.45">
      <c r="K711" s="5">
        <v>709</v>
      </c>
      <c r="L711" s="73">
        <v>6680.4</v>
      </c>
    </row>
    <row r="712" spans="11:12" x14ac:dyDescent="0.45">
      <c r="K712" s="5">
        <v>710</v>
      </c>
      <c r="L712" s="73">
        <v>6718.9</v>
      </c>
    </row>
    <row r="713" spans="11:12" x14ac:dyDescent="0.45">
      <c r="K713" s="5">
        <v>711</v>
      </c>
      <c r="L713" s="73">
        <v>6758.0999999999995</v>
      </c>
    </row>
    <row r="714" spans="11:12" x14ac:dyDescent="0.45">
      <c r="K714" s="5">
        <v>712</v>
      </c>
      <c r="L714" s="73">
        <v>6818.5</v>
      </c>
    </row>
    <row r="715" spans="11:12" x14ac:dyDescent="0.45">
      <c r="K715" s="5">
        <v>713</v>
      </c>
      <c r="L715" s="73">
        <v>6817</v>
      </c>
    </row>
    <row r="716" spans="11:12" x14ac:dyDescent="0.45">
      <c r="K716" s="5">
        <v>714</v>
      </c>
      <c r="L716" s="73">
        <v>6820.4</v>
      </c>
    </row>
    <row r="717" spans="11:12" x14ac:dyDescent="0.45">
      <c r="K717" s="5">
        <v>715</v>
      </c>
      <c r="L717" s="73">
        <v>6862</v>
      </c>
    </row>
    <row r="718" spans="11:12" x14ac:dyDescent="0.45">
      <c r="K718" s="5">
        <v>716</v>
      </c>
      <c r="L718" s="73">
        <v>6883.4</v>
      </c>
    </row>
    <row r="719" spans="11:12" x14ac:dyDescent="0.45">
      <c r="K719" s="5">
        <v>717</v>
      </c>
      <c r="L719" s="73">
        <v>6887.4</v>
      </c>
    </row>
    <row r="720" spans="11:12" x14ac:dyDescent="0.45">
      <c r="K720" s="5">
        <v>718</v>
      </c>
      <c r="L720" s="73">
        <v>6851.5</v>
      </c>
    </row>
    <row r="721" spans="11:12" x14ac:dyDescent="0.45">
      <c r="K721" s="5">
        <v>719</v>
      </c>
      <c r="L721" s="73">
        <v>6870.2</v>
      </c>
    </row>
    <row r="722" spans="11:12" x14ac:dyDescent="0.45">
      <c r="K722" s="5">
        <v>720</v>
      </c>
      <c r="L722" s="73">
        <v>6947.9</v>
      </c>
    </row>
    <row r="723" spans="11:12" x14ac:dyDescent="0.45">
      <c r="K723" s="5">
        <v>721</v>
      </c>
      <c r="L723" s="73">
        <v>6961.5999999999995</v>
      </c>
    </row>
    <row r="724" spans="11:12" x14ac:dyDescent="0.45">
      <c r="K724" s="5">
        <v>722</v>
      </c>
      <c r="L724" s="73">
        <v>6916.9</v>
      </c>
    </row>
    <row r="725" spans="11:12" x14ac:dyDescent="0.45">
      <c r="K725" s="5">
        <v>723</v>
      </c>
      <c r="L725" s="73">
        <v>6915.9</v>
      </c>
    </row>
    <row r="726" spans="11:12" x14ac:dyDescent="0.45">
      <c r="K726" s="5">
        <v>724</v>
      </c>
      <c r="L726" s="73">
        <v>6968.0999999999995</v>
      </c>
    </row>
    <row r="727" spans="11:12" x14ac:dyDescent="0.45">
      <c r="K727" s="5">
        <v>725</v>
      </c>
      <c r="L727" s="73">
        <v>6932.4</v>
      </c>
    </row>
    <row r="728" spans="11:12" x14ac:dyDescent="0.45">
      <c r="K728" s="5">
        <v>726</v>
      </c>
      <c r="L728" s="73">
        <v>6992.7</v>
      </c>
    </row>
    <row r="729" spans="11:12" x14ac:dyDescent="0.45">
      <c r="K729" s="5">
        <v>727</v>
      </c>
      <c r="L729" s="73">
        <v>6961.7</v>
      </c>
    </row>
    <row r="730" spans="11:12" x14ac:dyDescent="0.45">
      <c r="K730" s="5">
        <v>728</v>
      </c>
      <c r="L730" s="73">
        <v>6998.9</v>
      </c>
    </row>
    <row r="731" spans="11:12" x14ac:dyDescent="0.45">
      <c r="K731" s="5">
        <v>729</v>
      </c>
      <c r="L731" s="73">
        <v>7000.4</v>
      </c>
    </row>
    <row r="732" spans="11:12" x14ac:dyDescent="0.45">
      <c r="K732" s="5">
        <v>730</v>
      </c>
      <c r="L732" s="73">
        <v>7006.0999999999995</v>
      </c>
    </row>
    <row r="733" spans="11:12" x14ac:dyDescent="0.45">
      <c r="K733" s="5">
        <v>731</v>
      </c>
      <c r="L733" s="73">
        <v>7005.2</v>
      </c>
    </row>
    <row r="734" spans="11:12" x14ac:dyDescent="0.45">
      <c r="K734" s="5">
        <v>732</v>
      </c>
      <c r="L734" s="73">
        <v>7063</v>
      </c>
    </row>
    <row r="735" spans="11:12" x14ac:dyDescent="0.45">
      <c r="K735" s="5">
        <v>733</v>
      </c>
      <c r="L735" s="73">
        <v>7115.7999999999993</v>
      </c>
    </row>
    <row r="736" spans="11:12" x14ac:dyDescent="0.45">
      <c r="K736" s="5">
        <v>734</v>
      </c>
      <c r="L736" s="73">
        <v>7188.7999999999993</v>
      </c>
    </row>
    <row r="737" spans="11:12" x14ac:dyDescent="0.45">
      <c r="K737" s="5">
        <v>735</v>
      </c>
      <c r="L737" s="73">
        <v>7184.5</v>
      </c>
    </row>
    <row r="738" spans="11:12" x14ac:dyDescent="0.45">
      <c r="K738" s="5">
        <v>736</v>
      </c>
      <c r="L738" s="73">
        <v>7244.2</v>
      </c>
    </row>
    <row r="739" spans="11:12" x14ac:dyDescent="0.45">
      <c r="K739" s="5">
        <v>737</v>
      </c>
      <c r="L739" s="73">
        <v>7249.2</v>
      </c>
    </row>
    <row r="740" spans="11:12" x14ac:dyDescent="0.45">
      <c r="K740" s="5">
        <v>738</v>
      </c>
      <c r="L740" s="73">
        <v>7280.7999999999993</v>
      </c>
    </row>
    <row r="741" spans="11:12" x14ac:dyDescent="0.45">
      <c r="K741" s="5">
        <v>739</v>
      </c>
      <c r="L741" s="73">
        <v>7342.4</v>
      </c>
    </row>
    <row r="742" spans="11:12" x14ac:dyDescent="0.45">
      <c r="K742" s="5">
        <v>740</v>
      </c>
      <c r="L742" s="73">
        <v>7319.9</v>
      </c>
    </row>
    <row r="743" spans="11:12" x14ac:dyDescent="0.45">
      <c r="K743" s="5">
        <v>741</v>
      </c>
      <c r="L743" s="73">
        <v>7325.4</v>
      </c>
    </row>
    <row r="744" spans="11:12" x14ac:dyDescent="0.45">
      <c r="K744" s="5">
        <v>742</v>
      </c>
      <c r="L744" s="73">
        <v>7301.9</v>
      </c>
    </row>
    <row r="745" spans="11:12" x14ac:dyDescent="0.45">
      <c r="K745" s="5">
        <v>743</v>
      </c>
      <c r="L745" s="73">
        <v>7296.5</v>
      </c>
    </row>
    <row r="746" spans="11:12" x14ac:dyDescent="0.45">
      <c r="K746" s="5">
        <v>744</v>
      </c>
      <c r="L746" s="73">
        <v>7310.2999999999993</v>
      </c>
    </row>
    <row r="747" spans="11:12" x14ac:dyDescent="0.45">
      <c r="K747" s="5">
        <v>745</v>
      </c>
      <c r="L747" s="73">
        <v>7245.2999999999993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A340C-4034-4011-966D-E18B12056EFA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184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43">
        <v>25</v>
      </c>
      <c r="C3" s="144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45">
        <v>-132.1</v>
      </c>
      <c r="C4" s="146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9">
        <f>IF(B$2=0,0,B$4/B$2)</f>
        <v>-33.024999999999999</v>
      </c>
      <c r="C5" s="140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37">
        <f>IF(B$2=0,0,(B$7*1+B$8*2+B$9*3)/B$2)</f>
        <v>3</v>
      </c>
      <c r="C6" s="138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38" t="s">
        <v>206</v>
      </c>
      <c r="B13" s="139">
        <f>AVERAGE(B10:B12)</f>
        <v>-11.008333333333333</v>
      </c>
      <c r="C13" s="140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10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5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5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9</v>
      </c>
    </row>
    <row r="24" spans="1:17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5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0</v>
      </c>
      <c r="C32" s="136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3">
        <v>13000</v>
      </c>
      <c r="C33" s="134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7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29">
        <v>0</v>
      </c>
      <c r="C51" s="13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62CC-4F70-41F7-BCCE-DC05E52E98DA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189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31</v>
      </c>
      <c r="C2" s="132"/>
      <c r="E2" s="43" t="s">
        <v>66</v>
      </c>
      <c r="F2" s="25" t="s">
        <v>22</v>
      </c>
      <c r="G2" s="13">
        <v>51</v>
      </c>
      <c r="H2" s="106">
        <f>IF(B$51=0,0,G2/B$51)</f>
        <v>0.70833333333333337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-2703.3333333333335</v>
      </c>
      <c r="P2" s="92">
        <v>30</v>
      </c>
      <c r="Q2" s="76">
        <v>-81100</v>
      </c>
    </row>
    <row r="3" spans="1:17" x14ac:dyDescent="0.45">
      <c r="A3" s="37" t="s">
        <v>8</v>
      </c>
      <c r="B3" s="143">
        <v>244</v>
      </c>
      <c r="C3" s="144"/>
      <c r="E3" s="44" t="s">
        <v>64</v>
      </c>
      <c r="F3" s="41" t="s">
        <v>20</v>
      </c>
      <c r="G3" s="34">
        <v>43</v>
      </c>
      <c r="H3" s="107">
        <f>IF(B$51=0,0,G3/B$51)</f>
        <v>0.59722222222222221</v>
      </c>
      <c r="I3" s="68">
        <v>5</v>
      </c>
      <c r="K3" s="5">
        <v>1</v>
      </c>
      <c r="L3" s="73">
        <v>7</v>
      </c>
      <c r="N3" s="89" t="s">
        <v>127</v>
      </c>
      <c r="O3" s="96">
        <f t="shared" si="0"/>
        <v>-933.33333333333337</v>
      </c>
      <c r="P3" s="93">
        <v>30</v>
      </c>
      <c r="Q3" s="77">
        <v>-28000</v>
      </c>
    </row>
    <row r="4" spans="1:17" x14ac:dyDescent="0.45">
      <c r="A4" s="37" t="s">
        <v>6</v>
      </c>
      <c r="B4" s="145">
        <v>-178.29999999999998</v>
      </c>
      <c r="C4" s="146"/>
      <c r="E4" s="44" t="s">
        <v>72</v>
      </c>
      <c r="F4" s="41" t="s">
        <v>27</v>
      </c>
      <c r="G4" s="34">
        <v>37</v>
      </c>
      <c r="H4" s="107">
        <f>IF(B$51=0,0,G4/B$51)</f>
        <v>0.51388888888888884</v>
      </c>
      <c r="I4" s="68">
        <v>13</v>
      </c>
      <c r="K4" s="5">
        <v>2</v>
      </c>
      <c r="L4" s="73">
        <v>-24.5</v>
      </c>
      <c r="N4" s="89" t="s">
        <v>128</v>
      </c>
      <c r="O4" s="96">
        <f t="shared" si="0"/>
        <v>-2843.3333333333335</v>
      </c>
      <c r="P4" s="93">
        <v>30</v>
      </c>
      <c r="Q4" s="77">
        <v>-85300</v>
      </c>
    </row>
    <row r="5" spans="1:17" x14ac:dyDescent="0.45">
      <c r="A5" s="37" t="s">
        <v>7</v>
      </c>
      <c r="B5" s="139">
        <f>IF(B$2=0,0,B$4/B$2)</f>
        <v>-5.7516129032258059</v>
      </c>
      <c r="C5" s="140"/>
      <c r="E5" s="44" t="s">
        <v>67</v>
      </c>
      <c r="F5" s="41" t="s">
        <v>23</v>
      </c>
      <c r="G5" s="34">
        <v>30</v>
      </c>
      <c r="H5" s="107">
        <f>IF(B$51=0,0,G5/B$51)</f>
        <v>0.41666666666666669</v>
      </c>
      <c r="I5" s="68">
        <v>4</v>
      </c>
      <c r="K5" s="5">
        <v>3</v>
      </c>
      <c r="L5" s="73">
        <v>-26.5</v>
      </c>
      <c r="N5" s="89" t="s">
        <v>129</v>
      </c>
      <c r="O5" s="96">
        <f t="shared" si="0"/>
        <v>1876.9230769230769</v>
      </c>
      <c r="P5" s="93">
        <v>26</v>
      </c>
      <c r="Q5" s="77">
        <v>48800</v>
      </c>
    </row>
    <row r="6" spans="1:17" x14ac:dyDescent="0.45">
      <c r="A6" s="37" t="s">
        <v>1</v>
      </c>
      <c r="B6" s="137">
        <f>IF(B$2=0,0,(B$7*1+B$8*2+B$9*3)/B$2)</f>
        <v>2.096774193548387</v>
      </c>
      <c r="C6" s="138"/>
      <c r="E6" s="44" t="s">
        <v>68</v>
      </c>
      <c r="F6" s="41" t="s">
        <v>12</v>
      </c>
      <c r="G6" s="34">
        <v>27</v>
      </c>
      <c r="H6" s="107">
        <f>IF(B$51=0,0,G6/B$51)</f>
        <v>0.375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1234.7826086956522</v>
      </c>
      <c r="P6" s="93">
        <v>23</v>
      </c>
      <c r="Q6" s="77">
        <v>28400</v>
      </c>
    </row>
    <row r="7" spans="1:17" x14ac:dyDescent="0.45">
      <c r="A7" s="37" t="s">
        <v>2</v>
      </c>
      <c r="B7" s="34">
        <v>9</v>
      </c>
      <c r="C7" s="31">
        <f t="shared" ref="C7:C14" si="1">IF(B$2=0,0,B7/B$2)</f>
        <v>0.29032258064516131</v>
      </c>
      <c r="E7" s="44" t="s">
        <v>157</v>
      </c>
      <c r="F7" s="41" t="s">
        <v>158</v>
      </c>
      <c r="G7" s="34">
        <v>23</v>
      </c>
      <c r="H7" s="107">
        <f>IF(B$51=0,0,G7/B$51)</f>
        <v>0.31944444444444442</v>
      </c>
      <c r="I7" s="68">
        <v>8</v>
      </c>
      <c r="K7" s="5">
        <v>5</v>
      </c>
      <c r="L7" s="73">
        <v>2.1000000000000014</v>
      </c>
      <c r="N7" s="90" t="s">
        <v>131</v>
      </c>
      <c r="O7" s="97">
        <f t="shared" si="0"/>
        <v>-1371.4285714285713</v>
      </c>
      <c r="P7" s="94">
        <v>21</v>
      </c>
      <c r="Q7" s="78">
        <v>-28800</v>
      </c>
    </row>
    <row r="8" spans="1:17" x14ac:dyDescent="0.45">
      <c r="A8" s="37" t="s">
        <v>3</v>
      </c>
      <c r="B8" s="34">
        <v>10</v>
      </c>
      <c r="C8" s="31">
        <f t="shared" si="1"/>
        <v>0.32258064516129031</v>
      </c>
      <c r="E8" s="44" t="s">
        <v>65</v>
      </c>
      <c r="F8" s="41" t="s">
        <v>21</v>
      </c>
      <c r="G8" s="34">
        <v>11</v>
      </c>
      <c r="H8" s="107">
        <f>IF(B$51=0,0,G8/B$51)</f>
        <v>0.15277777777777779</v>
      </c>
      <c r="I8" s="68">
        <v>3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12</v>
      </c>
      <c r="C9" s="7">
        <f t="shared" si="1"/>
        <v>0.38709677419354838</v>
      </c>
      <c r="E9" s="44" t="s">
        <v>69</v>
      </c>
      <c r="F9" s="41" t="s">
        <v>24</v>
      </c>
      <c r="G9" s="34">
        <v>8</v>
      </c>
      <c r="H9" s="107">
        <f>IF(B$51=0,0,G9/B$51)</f>
        <v>0.1111111111111111</v>
      </c>
      <c r="I9" s="68">
        <v>15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28.544444444444448</v>
      </c>
      <c r="C10" s="121">
        <v>256.90000000000003</v>
      </c>
      <c r="E10" s="44" t="s">
        <v>89</v>
      </c>
      <c r="F10" s="41" t="s">
        <v>44</v>
      </c>
      <c r="G10" s="34">
        <v>8</v>
      </c>
      <c r="H10" s="107">
        <f>IF(B$51=0,0,G10/B$51)</f>
        <v>0.1111111111111111</v>
      </c>
      <c r="I10" s="68">
        <v>12</v>
      </c>
      <c r="K10" s="5">
        <v>8</v>
      </c>
      <c r="L10" s="73">
        <v>37.6</v>
      </c>
      <c r="N10" s="88" t="s">
        <v>149</v>
      </c>
      <c r="O10" s="98">
        <f>IF(P10=0,0,Q10/P10)</f>
        <v>-10.809999999999999</v>
      </c>
      <c r="P10" s="92">
        <v>10</v>
      </c>
      <c r="Q10" s="80">
        <v>-108.1</v>
      </c>
    </row>
    <row r="11" spans="1:17" x14ac:dyDescent="0.45">
      <c r="A11" s="38" t="s">
        <v>204</v>
      </c>
      <c r="B11" s="120">
        <f>IF(B8=0,0,C11/B8)</f>
        <v>-0.13000000000000042</v>
      </c>
      <c r="C11" s="121">
        <v>-1.3000000000000043</v>
      </c>
      <c r="E11" s="44" t="s">
        <v>70</v>
      </c>
      <c r="F11" s="41" t="s">
        <v>25</v>
      </c>
      <c r="G11" s="34">
        <v>6</v>
      </c>
      <c r="H11" s="107">
        <f>IF(B$51=0,0,G11/B$51)</f>
        <v>8.3333333333333329E-2</v>
      </c>
      <c r="I11" s="68">
        <v>11</v>
      </c>
      <c r="K11" s="5">
        <v>9</v>
      </c>
      <c r="L11" s="73">
        <v>13.100000000000001</v>
      </c>
      <c r="N11" s="89" t="s">
        <v>150</v>
      </c>
      <c r="O11" s="99">
        <f>IF(P11=0,0,Q11/P11)</f>
        <v>-2.3923076923076918</v>
      </c>
      <c r="P11" s="93">
        <v>13</v>
      </c>
      <c r="Q11" s="81">
        <v>-31.099999999999994</v>
      </c>
    </row>
    <row r="12" spans="1:17" x14ac:dyDescent="0.45">
      <c r="A12" s="38" t="s">
        <v>205</v>
      </c>
      <c r="B12" s="120">
        <f>IF(B9=0,0,C12/B9)</f>
        <v>-36.158333333333331</v>
      </c>
      <c r="C12" s="121">
        <v>-433.9</v>
      </c>
      <c r="E12" s="44" t="s">
        <v>71</v>
      </c>
      <c r="F12" s="41" t="s">
        <v>26</v>
      </c>
      <c r="G12" s="34">
        <v>4</v>
      </c>
      <c r="H12" s="107">
        <f>IF(B$51=0,0,G12/B$51)</f>
        <v>5.5555555555555552E-2</v>
      </c>
      <c r="I12" s="68">
        <v>10</v>
      </c>
      <c r="K12" s="5">
        <v>10</v>
      </c>
      <c r="L12" s="73">
        <v>-33.299999999999997</v>
      </c>
      <c r="N12" s="90" t="s">
        <v>151</v>
      </c>
      <c r="O12" s="100">
        <f>IF(P12=0,0,Q12/P12)</f>
        <v>-4.8875000000000002</v>
      </c>
      <c r="P12" s="94">
        <v>8</v>
      </c>
      <c r="Q12" s="82">
        <v>-39.1</v>
      </c>
    </row>
    <row r="13" spans="1:17" x14ac:dyDescent="0.45">
      <c r="A13" s="38" t="s">
        <v>206</v>
      </c>
      <c r="B13" s="139">
        <f>AVERAGE(B10:B12)</f>
        <v>-2.5812962962962942</v>
      </c>
      <c r="C13" s="140"/>
      <c r="E13" s="44" t="s">
        <v>83</v>
      </c>
      <c r="F13" s="41" t="s">
        <v>38</v>
      </c>
      <c r="G13" s="34">
        <v>4</v>
      </c>
      <c r="H13" s="107">
        <f>IF(B$51=0,0,G13/B$51)</f>
        <v>5.5555555555555552E-2</v>
      </c>
      <c r="I13" s="68">
        <v>4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</v>
      </c>
      <c r="C14" s="32">
        <f t="shared" si="1"/>
        <v>0.12903225806451613</v>
      </c>
      <c r="E14" s="44" t="s">
        <v>75</v>
      </c>
      <c r="F14" s="41" t="s">
        <v>30</v>
      </c>
      <c r="G14" s="34">
        <v>2</v>
      </c>
      <c r="H14" s="107">
        <f>IF(B$51=0,0,G14/B$51)</f>
        <v>2.7777777777777776E-2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81</v>
      </c>
      <c r="C15" s="11">
        <f>IF(B$50=0,0,B15/B$50)</f>
        <v>0.33891213389121339</v>
      </c>
      <c r="E15" s="44" t="s">
        <v>79</v>
      </c>
      <c r="F15" s="41" t="s">
        <v>34</v>
      </c>
      <c r="G15" s="34">
        <v>2</v>
      </c>
      <c r="H15" s="107">
        <f>IF(B$51=0,0,G15/B$51)</f>
        <v>2.7777777777777776E-2</v>
      </c>
      <c r="I15" s="68">
        <v>3</v>
      </c>
      <c r="K15" s="5">
        <v>13</v>
      </c>
      <c r="L15" s="73">
        <v>64.199999999999989</v>
      </c>
      <c r="N15" s="88" t="s">
        <v>184</v>
      </c>
      <c r="O15" s="98">
        <f>IF(P15=0,0,Q15/P15)</f>
        <v>29</v>
      </c>
      <c r="P15" s="92">
        <v>1</v>
      </c>
      <c r="Q15" s="80">
        <v>29</v>
      </c>
    </row>
    <row r="16" spans="1:17" x14ac:dyDescent="0.45">
      <c r="A16" s="37" t="s">
        <v>118</v>
      </c>
      <c r="B16" s="34">
        <v>27</v>
      </c>
      <c r="C16" s="31">
        <f>IF(B$50=0,0,B16/B$50)</f>
        <v>0.11297071129707113</v>
      </c>
      <c r="E16" s="44" t="s">
        <v>85</v>
      </c>
      <c r="F16" s="41" t="s">
        <v>40</v>
      </c>
      <c r="G16" s="34">
        <v>2</v>
      </c>
      <c r="H16" s="107">
        <f>IF(B$51=0,0,G16/B$51)</f>
        <v>2.7777777777777776E-2</v>
      </c>
      <c r="I16" s="68">
        <v>1</v>
      </c>
      <c r="K16" s="5">
        <v>14</v>
      </c>
      <c r="L16" s="73">
        <v>70.599999999999994</v>
      </c>
      <c r="N16" s="89" t="s">
        <v>193</v>
      </c>
      <c r="O16" s="99">
        <f>IF(P16=0,0,Q16/P16)</f>
        <v>12.000000000000002</v>
      </c>
      <c r="P16" s="93">
        <v>6</v>
      </c>
      <c r="Q16" s="81">
        <v>72.000000000000014</v>
      </c>
    </row>
    <row r="17" spans="1:17" x14ac:dyDescent="0.45">
      <c r="A17" s="19" t="s">
        <v>123</v>
      </c>
      <c r="B17" s="13">
        <v>41</v>
      </c>
      <c r="C17" s="4">
        <f>IF(B$15=0,0,B17/B$15)</f>
        <v>0.50617283950617287</v>
      </c>
      <c r="E17" s="44" t="s">
        <v>86</v>
      </c>
      <c r="F17" s="41" t="s">
        <v>41</v>
      </c>
      <c r="G17" s="34">
        <v>2</v>
      </c>
      <c r="H17" s="107">
        <f>IF(B$51=0,0,G17/B$51)</f>
        <v>2.7777777777777776E-2</v>
      </c>
      <c r="I17" s="68">
        <v>14</v>
      </c>
      <c r="K17" s="5">
        <v>15</v>
      </c>
      <c r="L17" s="73">
        <v>38.699999999999996</v>
      </c>
      <c r="N17" s="89" t="s">
        <v>187</v>
      </c>
      <c r="O17" s="99">
        <f>IF(P17=0,0,Q17/P17)</f>
        <v>8.3571428571428594</v>
      </c>
      <c r="P17" s="93">
        <v>7</v>
      </c>
      <c r="Q17" s="81">
        <v>58.500000000000014</v>
      </c>
    </row>
    <row r="18" spans="1:17" x14ac:dyDescent="0.45">
      <c r="A18" s="19" t="s">
        <v>124</v>
      </c>
      <c r="B18" s="13">
        <v>18</v>
      </c>
      <c r="C18" s="4">
        <f>IF(B$16=0,0,B18/B$16)</f>
        <v>0.66666666666666663</v>
      </c>
      <c r="E18" s="44" t="s">
        <v>77</v>
      </c>
      <c r="F18" s="41" t="s">
        <v>32</v>
      </c>
      <c r="G18" s="34">
        <v>1</v>
      </c>
      <c r="H18" s="107">
        <f>IF(B$51=0,0,G18/B$51)</f>
        <v>1.3888888888888888E-2</v>
      </c>
      <c r="I18" s="68">
        <v>2</v>
      </c>
      <c r="K18" s="5">
        <v>16</v>
      </c>
      <c r="L18" s="73">
        <v>-10.600000000000001</v>
      </c>
      <c r="N18" s="89" t="s">
        <v>186</v>
      </c>
      <c r="O18" s="99">
        <f>IF(P18=0,0,Q18/P18)</f>
        <v>-0.16666666666666882</v>
      </c>
      <c r="P18" s="93">
        <v>3</v>
      </c>
      <c r="Q18" s="81">
        <v>-0.50000000000000644</v>
      </c>
    </row>
    <row r="19" spans="1:17" x14ac:dyDescent="0.45">
      <c r="A19" s="19" t="s">
        <v>10</v>
      </c>
      <c r="B19" s="13">
        <v>74</v>
      </c>
      <c r="C19" s="4">
        <f>IF(B$3=0,0,B19/B$3)</f>
        <v>0.30327868852459017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-63.1</v>
      </c>
      <c r="N19" s="89" t="s">
        <v>190</v>
      </c>
      <c r="O19" s="99">
        <f>IF(P19=0,0,Q19/P19)</f>
        <v>-0.34285714285714569</v>
      </c>
      <c r="P19" s="93">
        <v>7</v>
      </c>
      <c r="Q19" s="81">
        <v>-2.4000000000000199</v>
      </c>
    </row>
    <row r="20" spans="1:17" x14ac:dyDescent="0.45">
      <c r="A20" s="37" t="s">
        <v>13</v>
      </c>
      <c r="B20" s="34">
        <v>46</v>
      </c>
      <c r="C20" s="31">
        <f>IF(B$3=0,0,B20/B$3)</f>
        <v>0.18852459016393441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-71</v>
      </c>
      <c r="N20" s="89" t="s">
        <v>191</v>
      </c>
      <c r="O20" s="99">
        <f>IF(P20=0,0,Q20/P20)</f>
        <v>-3.8647058823529403</v>
      </c>
      <c r="P20" s="93">
        <v>17</v>
      </c>
      <c r="Q20" s="81">
        <v>-65.699999999999989</v>
      </c>
    </row>
    <row r="21" spans="1:17" x14ac:dyDescent="0.45">
      <c r="A21" s="37" t="s">
        <v>12</v>
      </c>
      <c r="B21" s="34">
        <v>40</v>
      </c>
      <c r="C21" s="31">
        <f>IF(B$19=0,0,B21/B$19)</f>
        <v>0.54054054054054057</v>
      </c>
      <c r="E21" s="44" t="s">
        <v>76</v>
      </c>
      <c r="F21" s="41" t="s">
        <v>31</v>
      </c>
      <c r="G21" s="34">
        <v>0</v>
      </c>
      <c r="H21" s="107">
        <f>IF(B$51=0,0,G21/B$51)</f>
        <v>0</v>
      </c>
      <c r="I21" s="68">
        <v>3</v>
      </c>
      <c r="K21" s="5">
        <v>19</v>
      </c>
      <c r="L21" s="73">
        <v>-40.6</v>
      </c>
      <c r="N21" s="89" t="s">
        <v>188</v>
      </c>
      <c r="O21" s="99">
        <f>IF(P21=0,0,Q21/P21)</f>
        <v>-14.439999999999998</v>
      </c>
      <c r="P21" s="93">
        <v>5</v>
      </c>
      <c r="Q21" s="81">
        <v>-72.199999999999989</v>
      </c>
    </row>
    <row r="22" spans="1:17" x14ac:dyDescent="0.45">
      <c r="A22" s="37" t="s">
        <v>11</v>
      </c>
      <c r="B22" s="34">
        <v>34</v>
      </c>
      <c r="C22" s="31">
        <f>IF(B$19=0,0,B22/B$19)</f>
        <v>0.45945945945945948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197</v>
      </c>
      <c r="O22" s="99">
        <f>IF(P22=0,0,Q22/P22)</f>
        <v>-22.933333333333334</v>
      </c>
      <c r="P22" s="93">
        <v>3</v>
      </c>
      <c r="Q22" s="81">
        <v>-68.8</v>
      </c>
    </row>
    <row r="23" spans="1:17" x14ac:dyDescent="0.45">
      <c r="A23" s="37" t="s">
        <v>180</v>
      </c>
      <c r="B23" s="34">
        <v>41</v>
      </c>
      <c r="C23" s="31">
        <f>IF(B$19=0,0,B23/B$19)</f>
        <v>0.55405405405405406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195</v>
      </c>
      <c r="O23" s="99">
        <f>IF(P23=0,0,Q23/P23)</f>
        <v>-37.292307692307688</v>
      </c>
      <c r="P23" s="93">
        <v>13</v>
      </c>
      <c r="Q23" s="81">
        <v>-484.79999999999995</v>
      </c>
    </row>
    <row r="24" spans="1:17" x14ac:dyDescent="0.45">
      <c r="A24" s="37" t="s">
        <v>178</v>
      </c>
      <c r="B24" s="34">
        <v>18</v>
      </c>
      <c r="C24" s="31">
        <f>IF(B$19=0,0,B24/B$19)</f>
        <v>0.24324324324324326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5">
      <c r="A25" s="37" t="s">
        <v>179</v>
      </c>
      <c r="B25" s="34">
        <v>15</v>
      </c>
      <c r="C25" s="31">
        <f>IF(B$19=0,0,B25/B$19)</f>
        <v>0.20270270270270271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-117.5</v>
      </c>
    </row>
    <row r="26" spans="1:17" x14ac:dyDescent="0.45">
      <c r="A26" s="37" t="s">
        <v>5</v>
      </c>
      <c r="B26" s="17">
        <f>IF(B$19=0,0,C26/B$19)</f>
        <v>7740.5405405405409</v>
      </c>
      <c r="C26" s="8">
        <v>572800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  <c r="K26" s="5">
        <v>24</v>
      </c>
      <c r="L26" s="73">
        <v>-151.4</v>
      </c>
    </row>
    <row r="27" spans="1:17" x14ac:dyDescent="0.45">
      <c r="A27" s="38" t="s">
        <v>162</v>
      </c>
      <c r="B27" s="114">
        <f>IF($B$19-B$18=0,0,C27/($B$19-B$18))</f>
        <v>8008.9285714285716</v>
      </c>
      <c r="C27" s="115">
        <v>448500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-187.7</v>
      </c>
    </row>
    <row r="28" spans="1:17" x14ac:dyDescent="0.45">
      <c r="A28" s="38" t="s">
        <v>163</v>
      </c>
      <c r="B28" s="114">
        <f>IF(B$18=0,0,C28/B$18)</f>
        <v>6905.5555555555557</v>
      </c>
      <c r="C28" s="115">
        <v>124300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-226.9</v>
      </c>
    </row>
    <row r="29" spans="1:17" x14ac:dyDescent="0.45">
      <c r="A29" s="38" t="s">
        <v>161</v>
      </c>
      <c r="B29" s="114">
        <f>IF(B$20=0,0,C29/B$20)</f>
        <v>-8239.1304347826081</v>
      </c>
      <c r="C29" s="115">
        <v>-379000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-241.7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-235.3</v>
      </c>
    </row>
    <row r="31" spans="1:17" x14ac:dyDescent="0.45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-209.3</v>
      </c>
    </row>
    <row r="32" spans="1:17" x14ac:dyDescent="0.45">
      <c r="A32" s="64" t="s">
        <v>134</v>
      </c>
      <c r="B32" s="135">
        <v>7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-167.6</v>
      </c>
    </row>
    <row r="33" spans="1:12" x14ac:dyDescent="0.45">
      <c r="A33" s="40" t="s">
        <v>177</v>
      </c>
      <c r="B33" s="133">
        <v>66700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-178.29999999999998</v>
      </c>
    </row>
    <row r="34" spans="1:12" x14ac:dyDescent="0.45">
      <c r="A34" s="39" t="s">
        <v>135</v>
      </c>
      <c r="B34" s="27">
        <v>3</v>
      </c>
      <c r="C34" s="32">
        <f>IF(B$3=0,0,B34/B$3)</f>
        <v>1.2295081967213115E-2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12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12" x14ac:dyDescent="0.45">
      <c r="A36" s="64" t="s">
        <v>168</v>
      </c>
      <c r="B36" s="126">
        <v>6</v>
      </c>
      <c r="C36" s="119">
        <f>IF(B$19=0,0,B36/B$19)</f>
        <v>8.1081081081081086E-2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0.24324324324324326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12" x14ac:dyDescent="0.45">
      <c r="A38" s="37" t="s">
        <v>165</v>
      </c>
      <c r="B38" s="127">
        <v>8</v>
      </c>
      <c r="C38" s="31">
        <f>IF(B$19=0,0,B38/B$19)</f>
        <v>0.10810810810810811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12" x14ac:dyDescent="0.45">
      <c r="A39" s="37" t="s">
        <v>166</v>
      </c>
      <c r="B39" s="127">
        <v>11</v>
      </c>
      <c r="C39" s="31">
        <f t="shared" si="2"/>
        <v>0.14864864864864866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12" x14ac:dyDescent="0.45">
      <c r="A40" s="37" t="s">
        <v>167</v>
      </c>
      <c r="B40" s="127">
        <v>14</v>
      </c>
      <c r="C40" s="31">
        <f t="shared" si="2"/>
        <v>0.1891891891891892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12" x14ac:dyDescent="0.45">
      <c r="A41" s="37" t="s">
        <v>169</v>
      </c>
      <c r="B41" s="127">
        <v>8</v>
      </c>
      <c r="C41" s="31">
        <f t="shared" si="2"/>
        <v>0.10810810810810811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12" x14ac:dyDescent="0.45">
      <c r="A42" s="37" t="s">
        <v>170</v>
      </c>
      <c r="B42" s="127">
        <v>4</v>
      </c>
      <c r="C42" s="31">
        <f t="shared" si="2"/>
        <v>5.4054054054054057E-2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12" x14ac:dyDescent="0.45">
      <c r="A43" s="37" t="s">
        <v>171</v>
      </c>
      <c r="B43" s="127">
        <v>1</v>
      </c>
      <c r="C43" s="31">
        <f t="shared" si="2"/>
        <v>1.3513513513513514E-2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7">
        <v>2</v>
      </c>
      <c r="C45" s="31">
        <f t="shared" si="2"/>
        <v>2.7027027027027029E-2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12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239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72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15FB7-896E-4F9B-BDE0-58649BFB0C35}">
  <sheetPr codeName="Sheet7"/>
  <dimension ref="A1:Q44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190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440</v>
      </c>
      <c r="C2" s="132"/>
      <c r="E2" s="43" t="s">
        <v>66</v>
      </c>
      <c r="F2" s="25" t="s">
        <v>22</v>
      </c>
      <c r="G2" s="13">
        <v>640</v>
      </c>
      <c r="H2" s="106">
        <f>IF(B$51=0,0,G2/B$51)</f>
        <v>0.7231638418079096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-559.72540045766596</v>
      </c>
      <c r="P2" s="92">
        <v>437</v>
      </c>
      <c r="Q2" s="76">
        <v>-244600</v>
      </c>
    </row>
    <row r="3" spans="1:17" x14ac:dyDescent="0.45">
      <c r="A3" s="37" t="s">
        <v>8</v>
      </c>
      <c r="B3" s="143">
        <v>3557</v>
      </c>
      <c r="C3" s="144"/>
      <c r="E3" s="44" t="s">
        <v>64</v>
      </c>
      <c r="F3" s="41" t="s">
        <v>20</v>
      </c>
      <c r="G3" s="34">
        <v>516</v>
      </c>
      <c r="H3" s="107">
        <f>IF(B$51=0,0,G3/B$51)</f>
        <v>0.58305084745762714</v>
      </c>
      <c r="I3" s="68">
        <v>6</v>
      </c>
      <c r="K3" s="5">
        <v>1</v>
      </c>
      <c r="L3" s="73">
        <v>40.9</v>
      </c>
      <c r="N3" s="89" t="s">
        <v>127</v>
      </c>
      <c r="O3" s="96">
        <f t="shared" si="0"/>
        <v>-1167.1361502347418</v>
      </c>
      <c r="P3" s="93">
        <v>426</v>
      </c>
      <c r="Q3" s="77">
        <v>-497200</v>
      </c>
    </row>
    <row r="4" spans="1:17" x14ac:dyDescent="0.45">
      <c r="A4" s="37" t="s">
        <v>6</v>
      </c>
      <c r="B4" s="145">
        <v>-2175.2999999999997</v>
      </c>
      <c r="C4" s="146"/>
      <c r="E4" s="44" t="s">
        <v>72</v>
      </c>
      <c r="F4" s="41" t="s">
        <v>27</v>
      </c>
      <c r="G4" s="34">
        <v>429</v>
      </c>
      <c r="H4" s="107">
        <f>IF(B$51=0,0,G4/B$51)</f>
        <v>0.48474576271186443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11.358024691358025</v>
      </c>
      <c r="P4" s="93">
        <v>405</v>
      </c>
      <c r="Q4" s="77">
        <v>4600</v>
      </c>
    </row>
    <row r="5" spans="1:17" x14ac:dyDescent="0.45">
      <c r="A5" s="37" t="s">
        <v>7</v>
      </c>
      <c r="B5" s="139">
        <f>IF(B$2=0,0,B$4/B$2)</f>
        <v>-4.9438636363636359</v>
      </c>
      <c r="C5" s="140"/>
      <c r="E5" s="44" t="s">
        <v>68</v>
      </c>
      <c r="F5" s="41" t="s">
        <v>12</v>
      </c>
      <c r="G5" s="34">
        <v>316</v>
      </c>
      <c r="H5" s="107">
        <f>IF(B$51=0,0,G5/B$51)</f>
        <v>0.35706214689265536</v>
      </c>
      <c r="I5" s="68">
        <v>5</v>
      </c>
      <c r="K5" s="5">
        <v>3</v>
      </c>
      <c r="L5" s="73">
        <v>-36.4</v>
      </c>
      <c r="N5" s="89" t="s">
        <v>129</v>
      </c>
      <c r="O5" s="96">
        <f t="shared" si="0"/>
        <v>-614.59459459459458</v>
      </c>
      <c r="P5" s="93">
        <v>370</v>
      </c>
      <c r="Q5" s="77">
        <v>-227400</v>
      </c>
    </row>
    <row r="6" spans="1:17" x14ac:dyDescent="0.45">
      <c r="A6" s="37" t="s">
        <v>1</v>
      </c>
      <c r="B6" s="137">
        <f>IF(B$2=0,0,(B$7*1+B$8*2+B$9*3)/B$2)</f>
        <v>2.1272727272727274</v>
      </c>
      <c r="C6" s="138"/>
      <c r="E6" s="44" t="s">
        <v>67</v>
      </c>
      <c r="F6" s="41" t="s">
        <v>23</v>
      </c>
      <c r="G6" s="34">
        <v>295</v>
      </c>
      <c r="H6" s="107">
        <f>IF(B$51=0,0,G6/B$51)</f>
        <v>0.33333333333333331</v>
      </c>
      <c r="I6" s="68">
        <v>8</v>
      </c>
      <c r="K6" s="5">
        <v>4</v>
      </c>
      <c r="L6" s="73">
        <v>3.6000000000000014</v>
      </c>
      <c r="N6" s="89" t="s">
        <v>130</v>
      </c>
      <c r="O6" s="96">
        <f t="shared" si="0"/>
        <v>-1063.5542168674699</v>
      </c>
      <c r="P6" s="93">
        <v>332</v>
      </c>
      <c r="Q6" s="77">
        <v>-353100</v>
      </c>
    </row>
    <row r="7" spans="1:17" x14ac:dyDescent="0.45">
      <c r="A7" s="37" t="s">
        <v>2</v>
      </c>
      <c r="B7" s="34">
        <v>113</v>
      </c>
      <c r="C7" s="31">
        <f t="shared" ref="C7:C14" si="1">IF(B$2=0,0,B7/B$2)</f>
        <v>0.25681818181818183</v>
      </c>
      <c r="E7" s="44" t="s">
        <v>157</v>
      </c>
      <c r="F7" s="41" t="s">
        <v>158</v>
      </c>
      <c r="G7" s="34">
        <v>277</v>
      </c>
      <c r="H7" s="107">
        <f>IF(B$51=0,0,G7/B$51)</f>
        <v>0.3129943502824859</v>
      </c>
      <c r="I7" s="68">
        <v>10</v>
      </c>
      <c r="K7" s="5">
        <v>5</v>
      </c>
      <c r="L7" s="73">
        <v>14.600000000000001</v>
      </c>
      <c r="N7" s="90" t="s">
        <v>131</v>
      </c>
      <c r="O7" s="97">
        <f t="shared" si="0"/>
        <v>-1042.9577464788733</v>
      </c>
      <c r="P7" s="94">
        <v>284</v>
      </c>
      <c r="Q7" s="78">
        <v>-296200</v>
      </c>
    </row>
    <row r="8" spans="1:17" x14ac:dyDescent="0.45">
      <c r="A8" s="37" t="s">
        <v>3</v>
      </c>
      <c r="B8" s="34">
        <v>158</v>
      </c>
      <c r="C8" s="31">
        <f t="shared" si="1"/>
        <v>0.35909090909090907</v>
      </c>
      <c r="E8" s="44" t="s">
        <v>69</v>
      </c>
      <c r="F8" s="41" t="s">
        <v>24</v>
      </c>
      <c r="G8" s="34">
        <v>160</v>
      </c>
      <c r="H8" s="107">
        <f>IF(B$51=0,0,G8/B$51)</f>
        <v>0.1807909604519774</v>
      </c>
      <c r="I8" s="68">
        <v>3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169</v>
      </c>
      <c r="C9" s="7">
        <f t="shared" si="1"/>
        <v>0.38409090909090909</v>
      </c>
      <c r="E9" s="44" t="s">
        <v>65</v>
      </c>
      <c r="F9" s="41" t="s">
        <v>21</v>
      </c>
      <c r="G9" s="34">
        <v>118</v>
      </c>
      <c r="H9" s="107">
        <f>IF(B$51=0,0,G9/B$51)</f>
        <v>0.13333333333333333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36.151327433628317</v>
      </c>
      <c r="C10" s="121">
        <v>4085.1</v>
      </c>
      <c r="E10" s="44" t="s">
        <v>89</v>
      </c>
      <c r="F10" s="41" t="s">
        <v>44</v>
      </c>
      <c r="G10" s="34">
        <v>116</v>
      </c>
      <c r="H10" s="107">
        <f>IF(B$51=0,0,G10/B$51)</f>
        <v>0.13107344632768361</v>
      </c>
      <c r="I10" s="68">
        <v>10</v>
      </c>
      <c r="K10" s="5">
        <v>8</v>
      </c>
      <c r="L10" s="73">
        <v>60.199999999999996</v>
      </c>
      <c r="N10" s="88" t="s">
        <v>149</v>
      </c>
      <c r="O10" s="98">
        <f>IF(P10=0,0,Q10/P10)</f>
        <v>-7.9700564971751424</v>
      </c>
      <c r="P10" s="92">
        <v>177</v>
      </c>
      <c r="Q10" s="80">
        <v>-1410.7000000000003</v>
      </c>
    </row>
    <row r="11" spans="1:17" x14ac:dyDescent="0.45">
      <c r="A11" s="38" t="s">
        <v>204</v>
      </c>
      <c r="B11" s="120">
        <f>IF(B8=0,0,C11/B8)</f>
        <v>-0.88354430379746818</v>
      </c>
      <c r="C11" s="121">
        <v>-139.59999999999997</v>
      </c>
      <c r="E11" s="44" t="s">
        <v>70</v>
      </c>
      <c r="F11" s="41" t="s">
        <v>25</v>
      </c>
      <c r="G11" s="34">
        <v>108</v>
      </c>
      <c r="H11" s="107">
        <f>IF(B$51=0,0,G11/B$51)</f>
        <v>0.12203389830508475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-4.1821428571428578</v>
      </c>
      <c r="P11" s="93">
        <v>140</v>
      </c>
      <c r="Q11" s="81">
        <v>-585.50000000000011</v>
      </c>
    </row>
    <row r="12" spans="1:17" x14ac:dyDescent="0.45">
      <c r="A12" s="38" t="s">
        <v>205</v>
      </c>
      <c r="B12" s="120">
        <f>IF(B9=0,0,C12/B9)</f>
        <v>-36.217751479289937</v>
      </c>
      <c r="C12" s="121">
        <v>-6120.7999999999993</v>
      </c>
      <c r="E12" s="44" t="s">
        <v>86</v>
      </c>
      <c r="F12" s="41" t="s">
        <v>41</v>
      </c>
      <c r="G12" s="34">
        <v>53</v>
      </c>
      <c r="H12" s="107">
        <f>IF(B$51=0,0,G12/B$51)</f>
        <v>5.9887005649717516E-2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-1.8778688524590161</v>
      </c>
      <c r="P12" s="94">
        <v>122</v>
      </c>
      <c r="Q12" s="82">
        <v>-229.09999999999997</v>
      </c>
    </row>
    <row r="13" spans="1:17" x14ac:dyDescent="0.45">
      <c r="A13" s="38" t="s">
        <v>206</v>
      </c>
      <c r="B13" s="139">
        <f>AVERAGE(B10:B12)</f>
        <v>-0.31665611648636371</v>
      </c>
      <c r="C13" s="140"/>
      <c r="E13" s="44" t="s">
        <v>83</v>
      </c>
      <c r="F13" s="41" t="s">
        <v>38</v>
      </c>
      <c r="G13" s="34">
        <v>46</v>
      </c>
      <c r="H13" s="107">
        <f>IF(B$51=0,0,G13/B$51)</f>
        <v>5.19774011299435E-2</v>
      </c>
      <c r="I13" s="68">
        <v>7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63</v>
      </c>
      <c r="C14" s="32">
        <f t="shared" si="1"/>
        <v>0.14318181818181819</v>
      </c>
      <c r="E14" s="44" t="s">
        <v>71</v>
      </c>
      <c r="F14" s="41" t="s">
        <v>26</v>
      </c>
      <c r="G14" s="34">
        <v>36</v>
      </c>
      <c r="H14" s="107">
        <f>IF(B$51=0,0,G14/B$51)</f>
        <v>4.0677966101694912E-2</v>
      </c>
      <c r="I14" s="68">
        <v>14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940</v>
      </c>
      <c r="C15" s="11">
        <f>IF(B$50=0,0,B15/B$50)</f>
        <v>0.28519417475728154</v>
      </c>
      <c r="E15" s="44" t="s">
        <v>81</v>
      </c>
      <c r="F15" s="41" t="s">
        <v>36</v>
      </c>
      <c r="G15" s="34">
        <v>28</v>
      </c>
      <c r="H15" s="107">
        <f>IF(B$51=0,0,G15/B$51)</f>
        <v>3.1638418079096044E-2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20.2</v>
      </c>
      <c r="P15" s="92">
        <v>9</v>
      </c>
      <c r="Q15" s="80">
        <v>181.79999999999998</v>
      </c>
    </row>
    <row r="16" spans="1:17" x14ac:dyDescent="0.45">
      <c r="A16" s="37" t="s">
        <v>118</v>
      </c>
      <c r="B16" s="34">
        <v>596</v>
      </c>
      <c r="C16" s="31">
        <f>IF(B$50=0,0,B16/B$50)</f>
        <v>0.1808252427184466</v>
      </c>
      <c r="E16" s="44" t="s">
        <v>78</v>
      </c>
      <c r="F16" s="41" t="s">
        <v>33</v>
      </c>
      <c r="G16" s="34">
        <v>22</v>
      </c>
      <c r="H16" s="107">
        <f>IF(B$51=0,0,G16/B$51)</f>
        <v>2.4858757062146894E-2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8.4682926829268297</v>
      </c>
      <c r="P16" s="93">
        <v>41</v>
      </c>
      <c r="Q16" s="81">
        <v>347.2</v>
      </c>
    </row>
    <row r="17" spans="1:17" x14ac:dyDescent="0.45">
      <c r="A17" s="19" t="s">
        <v>123</v>
      </c>
      <c r="B17" s="13">
        <v>531</v>
      </c>
      <c r="C17" s="4">
        <f>IF(B$15=0,0,B17/B$15)</f>
        <v>0.56489361702127661</v>
      </c>
      <c r="E17" s="44" t="s">
        <v>91</v>
      </c>
      <c r="F17" s="41" t="s">
        <v>46</v>
      </c>
      <c r="G17" s="34">
        <v>16</v>
      </c>
      <c r="H17" s="107">
        <f>IF(B$51=0,0,G17/B$51)</f>
        <v>1.8079096045197741E-2</v>
      </c>
      <c r="I17" s="68">
        <v>8</v>
      </c>
      <c r="K17" s="5">
        <v>15</v>
      </c>
      <c r="L17" s="73">
        <v>38.5</v>
      </c>
      <c r="N17" s="89" t="s">
        <v>188</v>
      </c>
      <c r="O17" s="99">
        <f>IF(P17=0,0,Q17/P17)</f>
        <v>1.2744186046511636</v>
      </c>
      <c r="P17" s="93">
        <v>86</v>
      </c>
      <c r="Q17" s="81">
        <v>109.60000000000008</v>
      </c>
    </row>
    <row r="18" spans="1:17" x14ac:dyDescent="0.45">
      <c r="A18" s="19" t="s">
        <v>124</v>
      </c>
      <c r="B18" s="13">
        <v>216</v>
      </c>
      <c r="C18" s="4">
        <f>IF(B$16=0,0,B18/B$16)</f>
        <v>0.36241610738255031</v>
      </c>
      <c r="E18" s="44" t="s">
        <v>79</v>
      </c>
      <c r="F18" s="41" t="s">
        <v>34</v>
      </c>
      <c r="G18" s="34">
        <v>14</v>
      </c>
      <c r="H18" s="107">
        <f>IF(B$51=0,0,G18/B$51)</f>
        <v>1.5819209039548022E-2</v>
      </c>
      <c r="I18" s="68">
        <v>10</v>
      </c>
      <c r="K18" s="5">
        <v>16</v>
      </c>
      <c r="L18" s="73">
        <v>14.600000000000001</v>
      </c>
      <c r="N18" s="89" t="s">
        <v>191</v>
      </c>
      <c r="O18" s="99">
        <f>IF(P18=0,0,Q18/P18)</f>
        <v>1.1939130434782621</v>
      </c>
      <c r="P18" s="93">
        <v>115</v>
      </c>
      <c r="Q18" s="81">
        <v>137.30000000000015</v>
      </c>
    </row>
    <row r="19" spans="1:17" x14ac:dyDescent="0.45">
      <c r="A19" s="19" t="s">
        <v>10</v>
      </c>
      <c r="B19" s="13">
        <v>946</v>
      </c>
      <c r="C19" s="4">
        <f>IF(B$3=0,0,B19/B$3)</f>
        <v>0.2659544560022491</v>
      </c>
      <c r="E19" s="44" t="s">
        <v>153</v>
      </c>
      <c r="F19" s="41" t="s">
        <v>154</v>
      </c>
      <c r="G19" s="34">
        <v>12</v>
      </c>
      <c r="H19" s="107">
        <f>IF(B$51=0,0,G19/B$51)</f>
        <v>1.3559322033898305E-2</v>
      </c>
      <c r="I19" s="68">
        <v>6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5">
      <c r="A20" s="37" t="s">
        <v>13</v>
      </c>
      <c r="B20" s="34">
        <v>656</v>
      </c>
      <c r="C20" s="31">
        <f>IF(B$3=0,0,B20/B$3)</f>
        <v>0.18442507731234187</v>
      </c>
      <c r="E20" s="44" t="s">
        <v>75</v>
      </c>
      <c r="F20" s="41" t="s">
        <v>30</v>
      </c>
      <c r="G20" s="34">
        <v>8</v>
      </c>
      <c r="H20" s="107">
        <f>IF(B$51=0,0,G20/B$51)</f>
        <v>9.0395480225988704E-3</v>
      </c>
      <c r="I20" s="68">
        <v>3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12</v>
      </c>
      <c r="B21" s="34">
        <v>428</v>
      </c>
      <c r="C21" s="31">
        <f>IF(B$19=0,0,B21/B$19)</f>
        <v>0.45243128964059198</v>
      </c>
      <c r="E21" s="44" t="s">
        <v>73</v>
      </c>
      <c r="F21" s="41" t="s">
        <v>28</v>
      </c>
      <c r="G21" s="34">
        <v>4</v>
      </c>
      <c r="H21" s="107">
        <f>IF(B$51=0,0,G21/B$51)</f>
        <v>4.5197740112994352E-3</v>
      </c>
      <c r="I21" s="68">
        <v>9</v>
      </c>
      <c r="K21" s="5">
        <v>19</v>
      </c>
      <c r="L21" s="73">
        <v>-26.699999999999996</v>
      </c>
      <c r="N21" s="89" t="s">
        <v>187</v>
      </c>
      <c r="O21" s="99">
        <f>IF(P21=0,0,Q21/P21)</f>
        <v>-4.8249999999999993</v>
      </c>
      <c r="P21" s="93">
        <v>72</v>
      </c>
      <c r="Q21" s="81">
        <v>-347.4</v>
      </c>
    </row>
    <row r="22" spans="1:17" x14ac:dyDescent="0.45">
      <c r="A22" s="37" t="s">
        <v>11</v>
      </c>
      <c r="B22" s="34">
        <v>518</v>
      </c>
      <c r="C22" s="31">
        <f>IF(B$19=0,0,B22/B$19)</f>
        <v>0.54756871035940802</v>
      </c>
      <c r="E22" s="44" t="s">
        <v>92</v>
      </c>
      <c r="F22" s="41" t="s">
        <v>47</v>
      </c>
      <c r="G22" s="34">
        <v>4</v>
      </c>
      <c r="H22" s="107">
        <f>IF(B$51=0,0,G22/B$51)</f>
        <v>4.5197740112994352E-3</v>
      </c>
      <c r="I22" s="68">
        <v>7</v>
      </c>
      <c r="K22" s="5">
        <v>20</v>
      </c>
      <c r="L22" s="73">
        <v>-57.899999999999991</v>
      </c>
      <c r="N22" s="89" t="s">
        <v>193</v>
      </c>
      <c r="O22" s="99">
        <f>IF(P22=0,0,Q22/P22)</f>
        <v>-8.3166666666666629</v>
      </c>
      <c r="P22" s="93">
        <v>168</v>
      </c>
      <c r="Q22" s="81">
        <v>-1397.1999999999994</v>
      </c>
    </row>
    <row r="23" spans="1:17" x14ac:dyDescent="0.45">
      <c r="A23" s="37" t="s">
        <v>180</v>
      </c>
      <c r="B23" s="34">
        <v>531</v>
      </c>
      <c r="C23" s="31">
        <f>IF(B$19=0,0,B23/B$19)</f>
        <v>0.56131078224101483</v>
      </c>
      <c r="E23" s="44" t="s">
        <v>74</v>
      </c>
      <c r="F23" s="41" t="s">
        <v>29</v>
      </c>
      <c r="G23" s="34">
        <v>3</v>
      </c>
      <c r="H23" s="107">
        <f>IF(B$51=0,0,G23/B$51)</f>
        <v>3.3898305084745762E-3</v>
      </c>
      <c r="I23" s="68">
        <v>7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5">
      <c r="A24" s="37" t="s">
        <v>178</v>
      </c>
      <c r="B24" s="34">
        <v>216</v>
      </c>
      <c r="C24" s="31">
        <f>IF(B$19=0,0,B24/B$19)</f>
        <v>0.22832980972515857</v>
      </c>
      <c r="E24" s="44" t="s">
        <v>84</v>
      </c>
      <c r="F24" s="41" t="s">
        <v>39</v>
      </c>
      <c r="G24" s="34">
        <v>3</v>
      </c>
      <c r="H24" s="107">
        <f>IF(B$51=0,0,G24/B$51)</f>
        <v>3.3898305084745762E-3</v>
      </c>
      <c r="I24" s="68">
        <v>2</v>
      </c>
      <c r="K24" s="5">
        <v>22</v>
      </c>
      <c r="L24" s="73">
        <v>-94.6</v>
      </c>
      <c r="N24" s="89" t="s">
        <v>195</v>
      </c>
      <c r="O24" s="99">
        <f>IF(P24=0,0,Q24/P24)</f>
        <v>-15.691823899371069</v>
      </c>
      <c r="P24" s="93">
        <v>318</v>
      </c>
      <c r="Q24" s="81">
        <v>-4990</v>
      </c>
    </row>
    <row r="25" spans="1:17" x14ac:dyDescent="0.45">
      <c r="A25" s="37" t="s">
        <v>179</v>
      </c>
      <c r="B25" s="34">
        <v>199</v>
      </c>
      <c r="C25" s="31">
        <f>IF(B$19=0,0,B25/B$19)</f>
        <v>0.21035940803382663</v>
      </c>
      <c r="E25" s="44" t="s">
        <v>85</v>
      </c>
      <c r="F25" s="41" t="s">
        <v>40</v>
      </c>
      <c r="G25" s="34">
        <v>3</v>
      </c>
      <c r="H25" s="107">
        <f>IF(B$51=0,0,G25/B$51)</f>
        <v>3.3898305084745762E-3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5</v>
      </c>
      <c r="B26" s="17">
        <f>IF(B$19=0,0,C26/B$19)</f>
        <v>9177.8012684989426</v>
      </c>
      <c r="C26" s="8">
        <v>8682200</v>
      </c>
      <c r="E26" s="44" t="s">
        <v>87</v>
      </c>
      <c r="F26" s="41" t="s">
        <v>42</v>
      </c>
      <c r="G26" s="34">
        <v>2</v>
      </c>
      <c r="H26" s="107">
        <f>IF(B$51=0,0,G26/B$51)</f>
        <v>2.2598870056497176E-3</v>
      </c>
      <c r="I26" s="68">
        <v>7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8" t="s">
        <v>162</v>
      </c>
      <c r="B27" s="114">
        <f>IF($B$19-B$18=0,0,C27/($B$19-B$18))</f>
        <v>9614.5205479452052</v>
      </c>
      <c r="C27" s="115">
        <v>7018600</v>
      </c>
      <c r="E27" s="44" t="s">
        <v>88</v>
      </c>
      <c r="F27" s="41" t="s">
        <v>43</v>
      </c>
      <c r="G27" s="34">
        <v>2</v>
      </c>
      <c r="H27" s="107">
        <f>IF(B$51=0,0,G27/B$51)</f>
        <v>2.2598870056497176E-3</v>
      </c>
      <c r="I27" s="68">
        <v>3</v>
      </c>
      <c r="K27" s="5">
        <v>25</v>
      </c>
      <c r="L27" s="73">
        <v>-70.899999999999991</v>
      </c>
    </row>
    <row r="28" spans="1:17" x14ac:dyDescent="0.45">
      <c r="A28" s="38" t="s">
        <v>163</v>
      </c>
      <c r="B28" s="114">
        <f>IF(B$18=0,0,C28/B$18)</f>
        <v>7701.8518518518522</v>
      </c>
      <c r="C28" s="115">
        <v>1663600</v>
      </c>
      <c r="E28" s="44" t="s">
        <v>77</v>
      </c>
      <c r="F28" s="41" t="s">
        <v>32</v>
      </c>
      <c r="G28" s="34">
        <v>1</v>
      </c>
      <c r="H28" s="107">
        <f>IF(B$51=0,0,G28/B$51)</f>
        <v>1.1299435028248588E-3</v>
      </c>
      <c r="I28" s="68">
        <v>9</v>
      </c>
      <c r="K28" s="5">
        <v>26</v>
      </c>
      <c r="L28" s="73">
        <v>-125.89999999999999</v>
      </c>
    </row>
    <row r="29" spans="1:17" x14ac:dyDescent="0.45">
      <c r="A29" s="38" t="s">
        <v>161</v>
      </c>
      <c r="B29" s="114">
        <f>IF(B$20=0,0,C29/B$20)</f>
        <v>-8341.9207317073178</v>
      </c>
      <c r="C29" s="115">
        <v>-5472300</v>
      </c>
      <c r="E29" s="44" t="s">
        <v>80</v>
      </c>
      <c r="F29" s="41" t="s">
        <v>35</v>
      </c>
      <c r="G29" s="34">
        <v>1</v>
      </c>
      <c r="H29" s="107">
        <f>IF(B$51=0,0,G29/B$51)</f>
        <v>1.1299435028248588E-3</v>
      </c>
      <c r="I29" s="68">
        <v>1</v>
      </c>
      <c r="K29" s="5">
        <v>27</v>
      </c>
      <c r="L29" s="73">
        <v>-163.6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1.1299435028248588E-3</v>
      </c>
      <c r="I30" s="68">
        <v>8</v>
      </c>
      <c r="K30" s="5">
        <v>28</v>
      </c>
      <c r="L30" s="73">
        <v>-169.5</v>
      </c>
    </row>
    <row r="31" spans="1:17" x14ac:dyDescent="0.45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1.1299435028248588E-3</v>
      </c>
      <c r="I31" s="68">
        <v>4</v>
      </c>
      <c r="K31" s="5">
        <v>29</v>
      </c>
      <c r="L31" s="73">
        <v>-163.30000000000001</v>
      </c>
    </row>
    <row r="32" spans="1:17" x14ac:dyDescent="0.45">
      <c r="A32" s="64" t="s">
        <v>134</v>
      </c>
      <c r="B32" s="135">
        <v>10</v>
      </c>
      <c r="C32" s="136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5">
      <c r="A33" s="40" t="s">
        <v>177</v>
      </c>
      <c r="B33" s="133">
        <v>107600</v>
      </c>
      <c r="C33" s="134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9" t="s">
        <v>135</v>
      </c>
      <c r="B34" s="27">
        <v>13</v>
      </c>
      <c r="C34" s="32">
        <f>IF(B$3=0,0,B34/B$3)</f>
        <v>3.6547652516165309E-3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64" t="s">
        <v>168</v>
      </c>
      <c r="B36" s="126">
        <v>50</v>
      </c>
      <c r="C36" s="119">
        <f>IF(B$19=0,0,B36/B$19)</f>
        <v>5.2854122621564484E-2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164</v>
      </c>
      <c r="B37" s="34">
        <v>118</v>
      </c>
      <c r="C37" s="31">
        <f t="shared" ref="C37:C48" si="2">IF(B$19=0,0,B37/B$19)</f>
        <v>0.12473572938689217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165</v>
      </c>
      <c r="B38" s="127">
        <v>178</v>
      </c>
      <c r="C38" s="31">
        <f>IF(B$19=0,0,B38/B$19)</f>
        <v>0.18816067653276955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166</v>
      </c>
      <c r="B39" s="127">
        <v>159</v>
      </c>
      <c r="C39" s="31">
        <f t="shared" si="2"/>
        <v>0.16807610993657504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167</v>
      </c>
      <c r="B40" s="127">
        <v>146</v>
      </c>
      <c r="C40" s="31">
        <f t="shared" si="2"/>
        <v>0.15433403805496829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169</v>
      </c>
      <c r="B41" s="127">
        <v>101</v>
      </c>
      <c r="C41" s="31">
        <f t="shared" si="2"/>
        <v>0.10676532769556026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170</v>
      </c>
      <c r="B42" s="127">
        <v>63</v>
      </c>
      <c r="C42" s="31">
        <f t="shared" si="2"/>
        <v>6.6596194503171252E-2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-279.7</v>
      </c>
    </row>
    <row r="43" spans="1:12" x14ac:dyDescent="0.45">
      <c r="A43" s="37" t="s">
        <v>171</v>
      </c>
      <c r="B43" s="127">
        <v>31</v>
      </c>
      <c r="C43" s="31">
        <f t="shared" si="2"/>
        <v>3.2769556025369982E-2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7" t="s">
        <v>172</v>
      </c>
      <c r="B44" s="127">
        <v>14</v>
      </c>
      <c r="C44" s="31">
        <f t="shared" si="2"/>
        <v>1.4799154334038054E-2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A45" s="37" t="s">
        <v>173</v>
      </c>
      <c r="B45" s="127">
        <v>8</v>
      </c>
      <c r="C45" s="31">
        <f t="shared" si="2"/>
        <v>8.4566596194503175E-3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37" t="s">
        <v>174</v>
      </c>
      <c r="B46" s="127">
        <v>3</v>
      </c>
      <c r="C46" s="31">
        <f t="shared" si="2"/>
        <v>3.1712473572938688E-3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7" t="s">
        <v>175</v>
      </c>
      <c r="B47" s="127">
        <v>5</v>
      </c>
      <c r="C47" s="31">
        <f t="shared" si="2"/>
        <v>5.2854122621564482E-3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A48" s="39" t="s">
        <v>176</v>
      </c>
      <c r="B48" s="128">
        <v>9</v>
      </c>
      <c r="C48" s="32">
        <f t="shared" si="2"/>
        <v>9.5137420718816069E-3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5">
      <c r="A50" s="64" t="s">
        <v>181</v>
      </c>
      <c r="B50" s="131">
        <v>3296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5">
      <c r="A51" s="39" t="s">
        <v>182</v>
      </c>
      <c r="B51" s="129">
        <v>885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5">
      <c r="K53" s="5">
        <v>51</v>
      </c>
      <c r="L53" s="73">
        <v>-269.59999999999997</v>
      </c>
    </row>
    <row r="54" spans="1:12" x14ac:dyDescent="0.45">
      <c r="K54" s="5">
        <v>52</v>
      </c>
      <c r="L54" s="73">
        <v>-308.09999999999997</v>
      </c>
    </row>
    <row r="55" spans="1:12" x14ac:dyDescent="0.45">
      <c r="K55" s="5">
        <v>53</v>
      </c>
      <c r="L55" s="73">
        <v>-336.49999999999994</v>
      </c>
    </row>
    <row r="56" spans="1:12" x14ac:dyDescent="0.45">
      <c r="K56" s="5">
        <v>54</v>
      </c>
      <c r="L56" s="73">
        <v>-378.89999999999992</v>
      </c>
    </row>
    <row r="57" spans="1:12" x14ac:dyDescent="0.45">
      <c r="K57" s="5">
        <v>55</v>
      </c>
      <c r="L57" s="73">
        <v>-364.2999999999999</v>
      </c>
    </row>
    <row r="58" spans="1:12" x14ac:dyDescent="0.45">
      <c r="K58" s="5">
        <v>56</v>
      </c>
      <c r="L58" s="73">
        <v>-316.2999999999999</v>
      </c>
    </row>
    <row r="59" spans="1:12" x14ac:dyDescent="0.45">
      <c r="K59" s="5">
        <v>57</v>
      </c>
      <c r="L59" s="73">
        <v>-312.49999999999989</v>
      </c>
    </row>
    <row r="60" spans="1:12" x14ac:dyDescent="0.45">
      <c r="K60" s="5">
        <v>58</v>
      </c>
      <c r="L60" s="73">
        <v>-254.59999999999988</v>
      </c>
    </row>
    <row r="61" spans="1:12" x14ac:dyDescent="0.45">
      <c r="K61" s="5">
        <v>59</v>
      </c>
      <c r="L61" s="73">
        <v>-205.09999999999988</v>
      </c>
    </row>
    <row r="62" spans="1:12" x14ac:dyDescent="0.45">
      <c r="K62" s="5">
        <v>60</v>
      </c>
      <c r="L62" s="73">
        <v>-214.59999999999988</v>
      </c>
    </row>
    <row r="63" spans="1:12" x14ac:dyDescent="0.45">
      <c r="K63" s="5">
        <v>61</v>
      </c>
      <c r="L63" s="73">
        <v>-211.89999999999989</v>
      </c>
    </row>
    <row r="64" spans="1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  <row r="401" spans="11:12" x14ac:dyDescent="0.45">
      <c r="K401" s="5">
        <v>399</v>
      </c>
      <c r="L401" s="73">
        <v>-1695.9999999999998</v>
      </c>
    </row>
    <row r="402" spans="11:12" x14ac:dyDescent="0.45">
      <c r="K402" s="5">
        <v>400</v>
      </c>
      <c r="L402" s="73">
        <v>-1676.8999999999996</v>
      </c>
    </row>
    <row r="403" spans="11:12" x14ac:dyDescent="0.45">
      <c r="K403" s="5">
        <v>401</v>
      </c>
      <c r="L403" s="73">
        <v>-1708.8999999999996</v>
      </c>
    </row>
    <row r="404" spans="11:12" x14ac:dyDescent="0.45">
      <c r="K404" s="5">
        <v>402</v>
      </c>
      <c r="L404" s="73">
        <v>-1751.1999999999998</v>
      </c>
    </row>
    <row r="405" spans="11:12" x14ac:dyDescent="0.45">
      <c r="K405" s="5">
        <v>403</v>
      </c>
      <c r="L405" s="73">
        <v>-1778.3999999999996</v>
      </c>
    </row>
    <row r="406" spans="11:12" x14ac:dyDescent="0.45">
      <c r="K406" s="5">
        <v>404</v>
      </c>
      <c r="L406" s="73">
        <v>-1785.1</v>
      </c>
    </row>
    <row r="407" spans="11:12" x14ac:dyDescent="0.45">
      <c r="K407" s="5">
        <v>405</v>
      </c>
      <c r="L407" s="73">
        <v>-1830.3999999999996</v>
      </c>
    </row>
    <row r="408" spans="11:12" x14ac:dyDescent="0.45">
      <c r="K408" s="5">
        <v>406</v>
      </c>
      <c r="L408" s="73">
        <v>-1843.6999999999998</v>
      </c>
    </row>
    <row r="409" spans="11:12" x14ac:dyDescent="0.45">
      <c r="K409" s="5">
        <v>407</v>
      </c>
      <c r="L409" s="73">
        <v>-1836.8999999999996</v>
      </c>
    </row>
    <row r="410" spans="11:12" x14ac:dyDescent="0.45">
      <c r="K410" s="5">
        <v>408</v>
      </c>
      <c r="L410" s="73">
        <v>-1818.6</v>
      </c>
    </row>
    <row r="411" spans="11:12" x14ac:dyDescent="0.45">
      <c r="K411" s="5">
        <v>409</v>
      </c>
      <c r="L411" s="73">
        <v>-1839.7999999999997</v>
      </c>
    </row>
    <row r="412" spans="11:12" x14ac:dyDescent="0.45">
      <c r="K412" s="5">
        <v>410</v>
      </c>
      <c r="L412" s="73">
        <v>-1827.1</v>
      </c>
    </row>
    <row r="413" spans="11:12" x14ac:dyDescent="0.45">
      <c r="K413" s="5">
        <v>411</v>
      </c>
      <c r="L413" s="73">
        <v>-1805.1999999999998</v>
      </c>
    </row>
    <row r="414" spans="11:12" x14ac:dyDescent="0.45">
      <c r="K414" s="5">
        <v>412</v>
      </c>
      <c r="L414" s="73">
        <v>-1762.4999999999998</v>
      </c>
    </row>
    <row r="415" spans="11:12" x14ac:dyDescent="0.45">
      <c r="K415" s="5">
        <v>413</v>
      </c>
      <c r="L415" s="73">
        <v>-1737.6999999999998</v>
      </c>
    </row>
    <row r="416" spans="11:12" x14ac:dyDescent="0.45">
      <c r="K416" s="5">
        <v>414</v>
      </c>
      <c r="L416" s="73">
        <v>-1754.1999999999998</v>
      </c>
    </row>
    <row r="417" spans="11:12" x14ac:dyDescent="0.45">
      <c r="K417" s="5">
        <v>415</v>
      </c>
      <c r="L417" s="73">
        <v>-1691.2999999999997</v>
      </c>
    </row>
    <row r="418" spans="11:12" x14ac:dyDescent="0.45">
      <c r="K418" s="5">
        <v>416</v>
      </c>
      <c r="L418" s="73">
        <v>-1716.8999999999999</v>
      </c>
    </row>
    <row r="419" spans="11:12" x14ac:dyDescent="0.45">
      <c r="K419" s="5">
        <v>417</v>
      </c>
      <c r="L419" s="73">
        <v>-1748.1999999999998</v>
      </c>
    </row>
    <row r="420" spans="11:12" x14ac:dyDescent="0.45">
      <c r="K420" s="5">
        <v>418</v>
      </c>
      <c r="L420" s="73">
        <v>-1778.1999999999998</v>
      </c>
    </row>
    <row r="421" spans="11:12" x14ac:dyDescent="0.45">
      <c r="K421" s="5">
        <v>419</v>
      </c>
      <c r="L421" s="73">
        <v>-1787.1999999999998</v>
      </c>
    </row>
    <row r="422" spans="11:12" x14ac:dyDescent="0.45">
      <c r="K422" s="5">
        <v>420</v>
      </c>
      <c r="L422" s="73">
        <v>-1835.6999999999998</v>
      </c>
    </row>
    <row r="423" spans="11:12" x14ac:dyDescent="0.45">
      <c r="K423" s="5">
        <v>421</v>
      </c>
      <c r="L423" s="73">
        <v>-1787.4999999999998</v>
      </c>
    </row>
    <row r="424" spans="11:12" x14ac:dyDescent="0.45">
      <c r="K424" s="5">
        <v>422</v>
      </c>
      <c r="L424" s="73">
        <v>-1789.9999999999998</v>
      </c>
    </row>
    <row r="425" spans="11:12" x14ac:dyDescent="0.45">
      <c r="K425" s="5">
        <v>423</v>
      </c>
      <c r="L425" s="73">
        <v>-1778.4999999999998</v>
      </c>
    </row>
    <row r="426" spans="11:12" x14ac:dyDescent="0.45">
      <c r="K426" s="5">
        <v>424</v>
      </c>
      <c r="L426" s="73">
        <v>-1780.4999999999998</v>
      </c>
    </row>
    <row r="427" spans="11:12" x14ac:dyDescent="0.45">
      <c r="K427" s="5">
        <v>425</v>
      </c>
      <c r="L427" s="73">
        <v>-1813.4999999999998</v>
      </c>
    </row>
    <row r="428" spans="11:12" x14ac:dyDescent="0.45">
      <c r="K428" s="5">
        <v>426</v>
      </c>
      <c r="L428" s="73">
        <v>-1844.6</v>
      </c>
    </row>
    <row r="429" spans="11:12" x14ac:dyDescent="0.45">
      <c r="K429" s="5">
        <v>427</v>
      </c>
      <c r="L429" s="73">
        <v>-1900.1</v>
      </c>
    </row>
    <row r="430" spans="11:12" x14ac:dyDescent="0.45">
      <c r="K430" s="5">
        <v>428</v>
      </c>
      <c r="L430" s="73">
        <v>-1951.1</v>
      </c>
    </row>
    <row r="431" spans="11:12" x14ac:dyDescent="0.45">
      <c r="K431" s="5">
        <v>429</v>
      </c>
      <c r="L431" s="73">
        <v>-1952.6</v>
      </c>
    </row>
    <row r="432" spans="11:12" x14ac:dyDescent="0.45">
      <c r="K432" s="5">
        <v>430</v>
      </c>
      <c r="L432" s="73">
        <v>-1960.1</v>
      </c>
    </row>
    <row r="433" spans="11:12" x14ac:dyDescent="0.45">
      <c r="K433" s="5">
        <v>431</v>
      </c>
      <c r="L433" s="73">
        <v>-1960.6</v>
      </c>
    </row>
    <row r="434" spans="11:12" x14ac:dyDescent="0.45">
      <c r="K434" s="5">
        <v>432</v>
      </c>
      <c r="L434" s="73">
        <v>-1990.6</v>
      </c>
    </row>
    <row r="435" spans="11:12" x14ac:dyDescent="0.45">
      <c r="K435" s="5">
        <v>433</v>
      </c>
      <c r="L435" s="73">
        <v>-2013.1</v>
      </c>
    </row>
    <row r="436" spans="11:12" x14ac:dyDescent="0.45">
      <c r="K436" s="5">
        <v>434</v>
      </c>
      <c r="L436" s="73">
        <v>-2001.8</v>
      </c>
    </row>
    <row r="437" spans="11:12" x14ac:dyDescent="0.45">
      <c r="K437" s="5">
        <v>435</v>
      </c>
      <c r="L437" s="73">
        <v>-2017</v>
      </c>
    </row>
    <row r="438" spans="11:12" x14ac:dyDescent="0.45">
      <c r="K438" s="5">
        <v>436</v>
      </c>
      <c r="L438" s="73">
        <v>-2062.1999999999998</v>
      </c>
    </row>
    <row r="439" spans="11:12" x14ac:dyDescent="0.45">
      <c r="K439" s="5">
        <v>437</v>
      </c>
      <c r="L439" s="73">
        <v>-2109.5</v>
      </c>
    </row>
    <row r="440" spans="11:12" x14ac:dyDescent="0.45">
      <c r="K440" s="5">
        <v>438</v>
      </c>
      <c r="L440" s="73">
        <v>-2105.1999999999998</v>
      </c>
    </row>
    <row r="441" spans="11:12" x14ac:dyDescent="0.45">
      <c r="K441" s="5">
        <v>439</v>
      </c>
      <c r="L441" s="73">
        <v>-2125.1999999999998</v>
      </c>
    </row>
    <row r="442" spans="11:12" x14ac:dyDescent="0.45">
      <c r="K442" s="5">
        <v>440</v>
      </c>
      <c r="L442" s="73">
        <v>-2175.2999999999997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3CF4B-E3BC-46DC-BDCC-9C1E05A325DE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194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91</v>
      </c>
      <c r="C2" s="132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43">
        <v>670</v>
      </c>
      <c r="C3" s="144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45">
        <v>-3.4999999999999893</v>
      </c>
      <c r="C4" s="146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9">
        <f>IF(B$2=0,0,B$4/B$2)</f>
        <v>-3.8461538461538346E-2</v>
      </c>
      <c r="C5" s="140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15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37">
        <f>IF(B$2=0,0,(B$7*1+B$8*2+B$9*3)/B$2)</f>
        <v>1.9890109890109891</v>
      </c>
      <c r="C6" s="138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14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38" t="s">
        <v>206</v>
      </c>
      <c r="B13" s="139">
        <f>AVERAGE(B10:B12)</f>
        <v>-0.4518996415770597</v>
      </c>
      <c r="C13" s="140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13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164.79999999999998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5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40" t="s">
        <v>177</v>
      </c>
      <c r="B33" s="133">
        <v>118000</v>
      </c>
      <c r="C33" s="134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5">
      <c r="A36" s="64" t="s">
        <v>168</v>
      </c>
      <c r="B36" s="126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165</v>
      </c>
      <c r="B38" s="127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166</v>
      </c>
      <c r="B39" s="127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167</v>
      </c>
      <c r="B40" s="127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169</v>
      </c>
      <c r="B41" s="127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236.00000000000003</v>
      </c>
    </row>
    <row r="42" spans="1:12" x14ac:dyDescent="0.45">
      <c r="A42" s="37" t="s">
        <v>170</v>
      </c>
      <c r="B42" s="127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171</v>
      </c>
      <c r="B43" s="127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7" t="s">
        <v>172</v>
      </c>
      <c r="B44" s="127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5">
      <c r="A45" s="37" t="s">
        <v>173</v>
      </c>
      <c r="B45" s="127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A48" s="39" t="s">
        <v>176</v>
      </c>
      <c r="B48" s="128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5">
      <c r="A50" s="64" t="s">
        <v>181</v>
      </c>
      <c r="B50" s="131">
        <v>432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5">
      <c r="A51" s="39" t="s">
        <v>182</v>
      </c>
      <c r="B51" s="129">
        <v>133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5">
      <c r="K53" s="5">
        <v>51</v>
      </c>
      <c r="L53" s="73">
        <v>292.60000000000002</v>
      </c>
    </row>
    <row r="54" spans="1:12" x14ac:dyDescent="0.45">
      <c r="K54" s="5">
        <v>52</v>
      </c>
      <c r="L54" s="73">
        <v>319.10000000000002</v>
      </c>
    </row>
    <row r="55" spans="1:12" x14ac:dyDescent="0.45">
      <c r="K55" s="5">
        <v>53</v>
      </c>
      <c r="L55" s="73">
        <v>268.60000000000002</v>
      </c>
    </row>
    <row r="56" spans="1:12" x14ac:dyDescent="0.45">
      <c r="K56" s="5">
        <v>54</v>
      </c>
      <c r="L56" s="73">
        <v>253.50000000000003</v>
      </c>
    </row>
    <row r="57" spans="1:12" x14ac:dyDescent="0.45">
      <c r="K57" s="5">
        <v>55</v>
      </c>
      <c r="L57" s="73">
        <v>269.40000000000003</v>
      </c>
    </row>
    <row r="58" spans="1:12" x14ac:dyDescent="0.45">
      <c r="K58" s="5">
        <v>56</v>
      </c>
      <c r="L58" s="73">
        <v>273.8</v>
      </c>
    </row>
    <row r="59" spans="1:12" x14ac:dyDescent="0.45">
      <c r="K59" s="5">
        <v>57</v>
      </c>
      <c r="L59" s="73">
        <v>260.3</v>
      </c>
    </row>
    <row r="60" spans="1:12" x14ac:dyDescent="0.45">
      <c r="K60" s="5">
        <v>58</v>
      </c>
      <c r="L60" s="73">
        <v>293.3</v>
      </c>
    </row>
    <row r="61" spans="1:12" x14ac:dyDescent="0.45">
      <c r="K61" s="5">
        <v>59</v>
      </c>
      <c r="L61" s="73">
        <v>283.3</v>
      </c>
    </row>
    <row r="62" spans="1:12" x14ac:dyDescent="0.45">
      <c r="K62" s="5">
        <v>60</v>
      </c>
      <c r="L62" s="73">
        <v>272.60000000000002</v>
      </c>
    </row>
    <row r="63" spans="1:12" x14ac:dyDescent="0.45">
      <c r="K63" s="5">
        <v>61</v>
      </c>
      <c r="L63" s="73">
        <v>259.20000000000005</v>
      </c>
    </row>
    <row r="64" spans="1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E3B75-FBEB-4597-AA5A-8F8084634C3B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185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43">
        <v>37</v>
      </c>
      <c r="C3" s="144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45">
        <v>-86.4</v>
      </c>
      <c r="C4" s="146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9">
        <f>IF(B$2=0,0,B$4/B$2)</f>
        <v>-17.28</v>
      </c>
      <c r="C5" s="140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37">
        <f>IF(B$2=0,0,(B$7*1+B$8*2+B$9*3)/B$2)</f>
        <v>2.2000000000000002</v>
      </c>
      <c r="C6" s="138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16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-10.6</v>
      </c>
      <c r="C13" s="140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10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17" x14ac:dyDescent="0.45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3</v>
      </c>
      <c r="C32" s="136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3">
        <v>57800</v>
      </c>
      <c r="C33" s="134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7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31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29">
        <v>9</v>
      </c>
      <c r="C51" s="13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5DCFD-0613-4CF8-99A9-0E8FFFEF67B8}">
  <sheetPr codeName="Sheet10"/>
  <dimension ref="A1:Q30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188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298</v>
      </c>
      <c r="C2" s="132"/>
      <c r="E2" s="43" t="s">
        <v>66</v>
      </c>
      <c r="F2" s="25" t="s">
        <v>22</v>
      </c>
      <c r="G2" s="13">
        <v>466</v>
      </c>
      <c r="H2" s="106">
        <f>IF(B$51=0,0,G2/B$51)</f>
        <v>0.67243867243867239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134.8993288590604</v>
      </c>
      <c r="P2" s="92">
        <v>298</v>
      </c>
      <c r="Q2" s="76">
        <v>40200</v>
      </c>
    </row>
    <row r="3" spans="1:17" x14ac:dyDescent="0.45">
      <c r="A3" s="37" t="s">
        <v>8</v>
      </c>
      <c r="B3" s="143">
        <v>2484</v>
      </c>
      <c r="C3" s="144"/>
      <c r="E3" s="44" t="s">
        <v>72</v>
      </c>
      <c r="F3" s="41" t="s">
        <v>27</v>
      </c>
      <c r="G3" s="34">
        <v>397</v>
      </c>
      <c r="H3" s="107">
        <f>IF(B$51=0,0,G3/B$51)</f>
        <v>0.57287157287157287</v>
      </c>
      <c r="I3" s="68">
        <v>6</v>
      </c>
      <c r="K3" s="5">
        <v>1</v>
      </c>
      <c r="L3" s="73">
        <v>68.2</v>
      </c>
      <c r="N3" s="89" t="s">
        <v>127</v>
      </c>
      <c r="O3" s="96">
        <f t="shared" si="0"/>
        <v>-1823.4482758620691</v>
      </c>
      <c r="P3" s="93">
        <v>290</v>
      </c>
      <c r="Q3" s="77">
        <v>-528800</v>
      </c>
    </row>
    <row r="4" spans="1:17" x14ac:dyDescent="0.45">
      <c r="A4" s="37" t="s">
        <v>6</v>
      </c>
      <c r="B4" s="145">
        <v>-1422.4000000000003</v>
      </c>
      <c r="C4" s="146"/>
      <c r="E4" s="44" t="s">
        <v>64</v>
      </c>
      <c r="F4" s="41" t="s">
        <v>20</v>
      </c>
      <c r="G4" s="34">
        <v>242</v>
      </c>
      <c r="H4" s="107">
        <f>IF(B$51=0,0,G4/B$51)</f>
        <v>0.34920634920634919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-1305.5555555555557</v>
      </c>
      <c r="P4" s="93">
        <v>270</v>
      </c>
      <c r="Q4" s="77">
        <v>-352500</v>
      </c>
    </row>
    <row r="5" spans="1:17" x14ac:dyDescent="0.45">
      <c r="A5" s="37" t="s">
        <v>7</v>
      </c>
      <c r="B5" s="139">
        <f>IF(B$2=0,0,B$4/B$2)</f>
        <v>-4.7731543624161086</v>
      </c>
      <c r="C5" s="140"/>
      <c r="E5" s="44" t="s">
        <v>157</v>
      </c>
      <c r="F5" s="41" t="s">
        <v>158</v>
      </c>
      <c r="G5" s="34">
        <v>214</v>
      </c>
      <c r="H5" s="107">
        <f>IF(B$51=0,0,G5/B$51)</f>
        <v>0.3088023088023088</v>
      </c>
      <c r="I5" s="68">
        <v>12</v>
      </c>
      <c r="K5" s="5">
        <v>3</v>
      </c>
      <c r="L5" s="73">
        <v>82.1</v>
      </c>
      <c r="N5" s="89" t="s">
        <v>129</v>
      </c>
      <c r="O5" s="96">
        <f t="shared" si="0"/>
        <v>-40.316205533596836</v>
      </c>
      <c r="P5" s="93">
        <v>253</v>
      </c>
      <c r="Q5" s="77">
        <v>-10200</v>
      </c>
    </row>
    <row r="6" spans="1:17" x14ac:dyDescent="0.45">
      <c r="A6" s="37" t="s">
        <v>1</v>
      </c>
      <c r="B6" s="137">
        <f>IF(B$2=0,0,(B$7*1+B$8*2+B$9*3)/B$2)</f>
        <v>2.1275167785234901</v>
      </c>
      <c r="C6" s="138"/>
      <c r="E6" s="44" t="s">
        <v>68</v>
      </c>
      <c r="F6" s="41" t="s">
        <v>12</v>
      </c>
      <c r="G6" s="34">
        <v>188</v>
      </c>
      <c r="H6" s="107">
        <f>IF(B$51=0,0,G6/B$51)</f>
        <v>0.27128427128427129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-690.47619047619048</v>
      </c>
      <c r="P6" s="93">
        <v>231</v>
      </c>
      <c r="Q6" s="77">
        <v>-159500</v>
      </c>
    </row>
    <row r="7" spans="1:17" x14ac:dyDescent="0.45">
      <c r="A7" s="37" t="s">
        <v>2</v>
      </c>
      <c r="B7" s="34">
        <v>77</v>
      </c>
      <c r="C7" s="31">
        <f t="shared" ref="C7:C14" si="1">IF(B$2=0,0,B7/B$2)</f>
        <v>0.25838926174496646</v>
      </c>
      <c r="E7" s="44" t="s">
        <v>67</v>
      </c>
      <c r="F7" s="41" t="s">
        <v>23</v>
      </c>
      <c r="G7" s="34">
        <v>123</v>
      </c>
      <c r="H7" s="107">
        <f>IF(B$51=0,0,G7/B$51)</f>
        <v>0.1774891774891775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-1226.5625</v>
      </c>
      <c r="P7" s="94">
        <v>192</v>
      </c>
      <c r="Q7" s="78">
        <v>-235500</v>
      </c>
    </row>
    <row r="8" spans="1:17" x14ac:dyDescent="0.45">
      <c r="A8" s="37" t="s">
        <v>3</v>
      </c>
      <c r="B8" s="34">
        <v>106</v>
      </c>
      <c r="C8" s="31">
        <f t="shared" si="1"/>
        <v>0.35570469798657717</v>
      </c>
      <c r="E8" s="44" t="s">
        <v>69</v>
      </c>
      <c r="F8" s="41" t="s">
        <v>24</v>
      </c>
      <c r="G8" s="34">
        <v>106</v>
      </c>
      <c r="H8" s="107">
        <f>IF(B$51=0,0,G8/B$51)</f>
        <v>0.15295815295815296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115</v>
      </c>
      <c r="C9" s="7">
        <f t="shared" si="1"/>
        <v>0.38590604026845637</v>
      </c>
      <c r="E9" s="44" t="s">
        <v>65</v>
      </c>
      <c r="F9" s="41" t="s">
        <v>21</v>
      </c>
      <c r="G9" s="34">
        <v>66</v>
      </c>
      <c r="H9" s="107">
        <f>IF(B$51=0,0,G9/B$51)</f>
        <v>9.5238095238095233E-2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36.131168831168829</v>
      </c>
      <c r="C10" s="121">
        <v>2782.1</v>
      </c>
      <c r="E10" s="44" t="s">
        <v>71</v>
      </c>
      <c r="F10" s="41" t="s">
        <v>26</v>
      </c>
      <c r="G10" s="34">
        <v>62</v>
      </c>
      <c r="H10" s="107">
        <f>IF(B$51=0,0,G10/B$51)</f>
        <v>8.9466089466089471E-2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-8.9171171171171189</v>
      </c>
      <c r="P10" s="92">
        <v>111</v>
      </c>
      <c r="Q10" s="80">
        <v>-989.80000000000018</v>
      </c>
    </row>
    <row r="11" spans="1:17" x14ac:dyDescent="0.45">
      <c r="A11" s="38" t="s">
        <v>204</v>
      </c>
      <c r="B11" s="120">
        <f>IF(B8=0,0,C11/B8)</f>
        <v>-1.8575471698113211</v>
      </c>
      <c r="C11" s="121">
        <v>-196.90000000000003</v>
      </c>
      <c r="E11" s="44" t="s">
        <v>70</v>
      </c>
      <c r="F11" s="41" t="s">
        <v>25</v>
      </c>
      <c r="G11" s="34">
        <v>59</v>
      </c>
      <c r="H11" s="107">
        <f>IF(B$51=0,0,G11/B$51)</f>
        <v>8.5137085137085136E-2</v>
      </c>
      <c r="I11" s="68">
        <v>10</v>
      </c>
      <c r="K11" s="5">
        <v>9</v>
      </c>
      <c r="L11" s="73">
        <v>82.8</v>
      </c>
      <c r="N11" s="89" t="s">
        <v>150</v>
      </c>
      <c r="O11" s="99">
        <f>IF(P11=0,0,Q11/P11)</f>
        <v>-3.0802325581395347</v>
      </c>
      <c r="P11" s="93">
        <v>86</v>
      </c>
      <c r="Q11" s="81">
        <v>-264.89999999999998</v>
      </c>
    </row>
    <row r="12" spans="1:17" x14ac:dyDescent="0.45">
      <c r="A12" s="38" t="s">
        <v>205</v>
      </c>
      <c r="B12" s="120">
        <f>IF(B9=0,0,C12/B9)</f>
        <v>-34.848695652173909</v>
      </c>
      <c r="C12" s="121">
        <v>-4007.5999999999995</v>
      </c>
      <c r="E12" s="44" t="s">
        <v>89</v>
      </c>
      <c r="F12" s="41" t="s">
        <v>44</v>
      </c>
      <c r="G12" s="34">
        <v>54</v>
      </c>
      <c r="H12" s="107">
        <f>IF(B$51=0,0,G12/B$51)</f>
        <v>7.792207792207792E-2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-1.6603960396039603</v>
      </c>
      <c r="P12" s="94">
        <v>101</v>
      </c>
      <c r="Q12" s="82">
        <v>-167.7</v>
      </c>
    </row>
    <row r="13" spans="1:17" x14ac:dyDescent="0.45">
      <c r="A13" s="38" t="s">
        <v>206</v>
      </c>
      <c r="B13" s="139">
        <f>AVERAGE(B10:B12)</f>
        <v>-0.19169133027213311</v>
      </c>
      <c r="C13" s="140"/>
      <c r="E13" s="44" t="s">
        <v>83</v>
      </c>
      <c r="F13" s="41" t="s">
        <v>38</v>
      </c>
      <c r="G13" s="34">
        <v>46</v>
      </c>
      <c r="H13" s="107">
        <f>IF(B$51=0,0,G13/B$51)</f>
        <v>6.6378066378066383E-2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34</v>
      </c>
      <c r="C14" s="32">
        <f t="shared" si="1"/>
        <v>0.11409395973154363</v>
      </c>
      <c r="E14" s="44" t="s">
        <v>81</v>
      </c>
      <c r="F14" s="41" t="s">
        <v>36</v>
      </c>
      <c r="G14" s="34">
        <v>25</v>
      </c>
      <c r="H14" s="107">
        <f>IF(B$51=0,0,G14/B$51)</f>
        <v>3.6075036075036072E-2</v>
      </c>
      <c r="I14" s="68">
        <v>6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460</v>
      </c>
      <c r="C15" s="11">
        <f>IF(B$50=0,0,B15/B$50)</f>
        <v>0.19965277777777779</v>
      </c>
      <c r="E15" s="44" t="s">
        <v>86</v>
      </c>
      <c r="F15" s="41" t="s">
        <v>41</v>
      </c>
      <c r="G15" s="34">
        <v>25</v>
      </c>
      <c r="H15" s="107">
        <f>IF(B$51=0,0,G15/B$51)</f>
        <v>3.6075036075036072E-2</v>
      </c>
      <c r="I15" s="68">
        <v>13</v>
      </c>
      <c r="K15" s="5">
        <v>13</v>
      </c>
      <c r="L15" s="73">
        <v>13.299999999999994</v>
      </c>
      <c r="N15" s="88" t="s">
        <v>194</v>
      </c>
      <c r="O15" s="98">
        <f>IF(P15=0,0,Q15/P15)</f>
        <v>18.385714285714283</v>
      </c>
      <c r="P15" s="92">
        <v>7</v>
      </c>
      <c r="Q15" s="80">
        <v>128.69999999999999</v>
      </c>
    </row>
    <row r="16" spans="1:17" x14ac:dyDescent="0.45">
      <c r="A16" s="37" t="s">
        <v>118</v>
      </c>
      <c r="B16" s="34">
        <v>645</v>
      </c>
      <c r="C16" s="31">
        <f>IF(B$50=0,0,B16/B$50)</f>
        <v>0.27994791666666669</v>
      </c>
      <c r="E16" s="44" t="s">
        <v>78</v>
      </c>
      <c r="F16" s="41" t="s">
        <v>33</v>
      </c>
      <c r="G16" s="34">
        <v>13</v>
      </c>
      <c r="H16" s="107">
        <f>IF(B$51=0,0,G16/B$51)</f>
        <v>1.875901875901876E-2</v>
      </c>
      <c r="I16" s="68">
        <v>12</v>
      </c>
      <c r="K16" s="5">
        <v>14</v>
      </c>
      <c r="L16" s="73">
        <v>4.7999999999999936</v>
      </c>
      <c r="N16" s="89" t="s">
        <v>189</v>
      </c>
      <c r="O16" s="99">
        <f>IF(P16=0,0,Q16/P16)</f>
        <v>14.440000000000003</v>
      </c>
      <c r="P16" s="93">
        <v>5</v>
      </c>
      <c r="Q16" s="81">
        <v>72.200000000000017</v>
      </c>
    </row>
    <row r="17" spans="1:17" x14ac:dyDescent="0.45">
      <c r="A17" s="19" t="s">
        <v>123</v>
      </c>
      <c r="B17" s="13">
        <v>243</v>
      </c>
      <c r="C17" s="4">
        <f>IF(B$15=0,0,B17/B$15)</f>
        <v>0.52826086956521734</v>
      </c>
      <c r="E17" s="44" t="s">
        <v>79</v>
      </c>
      <c r="F17" s="41" t="s">
        <v>34</v>
      </c>
      <c r="G17" s="34">
        <v>11</v>
      </c>
      <c r="H17" s="107">
        <f>IF(B$51=0,0,G17/B$51)</f>
        <v>1.5873015873015872E-2</v>
      </c>
      <c r="I17" s="68">
        <v>9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5">
      <c r="A18" s="19" t="s">
        <v>124</v>
      </c>
      <c r="B18" s="13">
        <v>259</v>
      </c>
      <c r="C18" s="4">
        <f>IF(B$16=0,0,B18/B$16)</f>
        <v>0.40155038759689921</v>
      </c>
      <c r="E18" s="44" t="s">
        <v>91</v>
      </c>
      <c r="F18" s="41" t="s">
        <v>46</v>
      </c>
      <c r="G18" s="34">
        <v>8</v>
      </c>
      <c r="H18" s="107">
        <f>IF(B$51=0,0,G18/B$51)</f>
        <v>1.1544011544011544E-2</v>
      </c>
      <c r="I18" s="68">
        <v>12</v>
      </c>
      <c r="K18" s="5">
        <v>16</v>
      </c>
      <c r="L18" s="73">
        <v>-45.300000000000004</v>
      </c>
      <c r="N18" s="89" t="s">
        <v>193</v>
      </c>
      <c r="O18" s="99">
        <f>IF(P18=0,0,Q18/P18)</f>
        <v>4.7433628318584047</v>
      </c>
      <c r="P18" s="93">
        <v>113</v>
      </c>
      <c r="Q18" s="81">
        <v>535.99999999999977</v>
      </c>
    </row>
    <row r="19" spans="1:17" x14ac:dyDescent="0.45">
      <c r="A19" s="19" t="s">
        <v>10</v>
      </c>
      <c r="B19" s="13">
        <v>744</v>
      </c>
      <c r="C19" s="4">
        <f>IF(B$3=0,0,B19/B$3)</f>
        <v>0.29951690821256038</v>
      </c>
      <c r="E19" s="44" t="s">
        <v>75</v>
      </c>
      <c r="F19" s="41" t="s">
        <v>30</v>
      </c>
      <c r="G19" s="34">
        <v>5</v>
      </c>
      <c r="H19" s="107">
        <f>IF(B$51=0,0,G19/B$51)</f>
        <v>7.215007215007215E-3</v>
      </c>
      <c r="I19" s="68">
        <v>5</v>
      </c>
      <c r="K19" s="5">
        <v>17</v>
      </c>
      <c r="L19" s="73">
        <v>-45.000000000000007</v>
      </c>
      <c r="N19" s="89" t="s">
        <v>187</v>
      </c>
      <c r="O19" s="99">
        <f>IF(P19=0,0,Q19/P19)</f>
        <v>2.3185185185185171</v>
      </c>
      <c r="P19" s="93">
        <v>81</v>
      </c>
      <c r="Q19" s="81">
        <v>187.7999999999999</v>
      </c>
    </row>
    <row r="20" spans="1:17" x14ac:dyDescent="0.45">
      <c r="A20" s="37" t="s">
        <v>13</v>
      </c>
      <c r="B20" s="34">
        <v>403</v>
      </c>
      <c r="C20" s="31">
        <f>IF(B$3=0,0,B20/B$3)</f>
        <v>0.16223832528180354</v>
      </c>
      <c r="E20" s="44" t="s">
        <v>74</v>
      </c>
      <c r="F20" s="41" t="s">
        <v>29</v>
      </c>
      <c r="G20" s="34">
        <v>4</v>
      </c>
      <c r="H20" s="107">
        <f>IF(B$51=0,0,G20/B$51)</f>
        <v>5.772005772005772E-3</v>
      </c>
      <c r="I20" s="68">
        <v>2</v>
      </c>
      <c r="K20" s="5">
        <v>18</v>
      </c>
      <c r="L20" s="73">
        <v>-30.300000000000008</v>
      </c>
      <c r="N20" s="89" t="s">
        <v>190</v>
      </c>
      <c r="O20" s="99">
        <f>IF(P20=0,0,Q20/P20)</f>
        <v>-1.274418604651165</v>
      </c>
      <c r="P20" s="93">
        <v>86</v>
      </c>
      <c r="Q20" s="81">
        <v>-109.60000000000019</v>
      </c>
    </row>
    <row r="21" spans="1:17" x14ac:dyDescent="0.45">
      <c r="A21" s="37" t="s">
        <v>12</v>
      </c>
      <c r="B21" s="34">
        <v>320</v>
      </c>
      <c r="C21" s="31">
        <f>IF(B$19=0,0,B21/B$19)</f>
        <v>0.43010752688172044</v>
      </c>
      <c r="E21" s="44" t="s">
        <v>77</v>
      </c>
      <c r="F21" s="41" t="s">
        <v>32</v>
      </c>
      <c r="G21" s="34">
        <v>3</v>
      </c>
      <c r="H21" s="107">
        <f>IF(B$51=0,0,G21/B$51)</f>
        <v>4.329004329004329E-3</v>
      </c>
      <c r="I21" s="68">
        <v>7</v>
      </c>
      <c r="K21" s="5">
        <v>19</v>
      </c>
      <c r="L21" s="73">
        <v>17.699999999999992</v>
      </c>
      <c r="N21" s="89" t="s">
        <v>197</v>
      </c>
      <c r="O21" s="99">
        <f>IF(P21=0,0,Q21/P21)</f>
        <v>-11.755555555555553</v>
      </c>
      <c r="P21" s="93">
        <v>18</v>
      </c>
      <c r="Q21" s="81">
        <v>-211.59999999999997</v>
      </c>
    </row>
    <row r="22" spans="1:17" x14ac:dyDescent="0.45">
      <c r="A22" s="37" t="s">
        <v>11</v>
      </c>
      <c r="B22" s="34">
        <v>424</v>
      </c>
      <c r="C22" s="31">
        <f>IF(B$19=0,0,B22/B$19)</f>
        <v>0.56989247311827962</v>
      </c>
      <c r="E22" s="44" t="s">
        <v>87</v>
      </c>
      <c r="F22" s="41" t="s">
        <v>42</v>
      </c>
      <c r="G22" s="34">
        <v>2</v>
      </c>
      <c r="H22" s="107">
        <f>IF(B$51=0,0,G22/B$51)</f>
        <v>2.886002886002886E-3</v>
      </c>
      <c r="I22" s="68">
        <v>3</v>
      </c>
      <c r="K22" s="5">
        <v>20</v>
      </c>
      <c r="L22" s="73">
        <v>-24.100000000000005</v>
      </c>
      <c r="N22" s="89" t="s">
        <v>191</v>
      </c>
      <c r="O22" s="99">
        <f>IF(P22=0,0,Q22/P22)</f>
        <v>-12.124657534246575</v>
      </c>
      <c r="P22" s="93">
        <v>73</v>
      </c>
      <c r="Q22" s="81">
        <v>-885.1</v>
      </c>
    </row>
    <row r="23" spans="1:17" x14ac:dyDescent="0.45">
      <c r="A23" s="37" t="s">
        <v>180</v>
      </c>
      <c r="B23" s="34">
        <v>243</v>
      </c>
      <c r="C23" s="31">
        <f>IF(B$19=0,0,B23/B$19)</f>
        <v>0.32661290322580644</v>
      </c>
      <c r="E23" s="44" t="s">
        <v>88</v>
      </c>
      <c r="F23" s="41" t="s">
        <v>43</v>
      </c>
      <c r="G23" s="34">
        <v>2</v>
      </c>
      <c r="H23" s="107">
        <f>IF(B$51=0,0,G23/B$51)</f>
        <v>2.886002886002886E-3</v>
      </c>
      <c r="I23" s="68">
        <v>1</v>
      </c>
      <c r="K23" s="5">
        <v>21</v>
      </c>
      <c r="L23" s="73">
        <v>-29.600000000000005</v>
      </c>
      <c r="N23" s="89" t="s">
        <v>199</v>
      </c>
      <c r="O23" s="99">
        <f>IF(P23=0,0,Q23/P23)</f>
        <v>-16.62857142857143</v>
      </c>
      <c r="P23" s="93">
        <v>7</v>
      </c>
      <c r="Q23" s="81">
        <v>-116.40000000000002</v>
      </c>
    </row>
    <row r="24" spans="1:17" x14ac:dyDescent="0.45">
      <c r="A24" s="37" t="s">
        <v>178</v>
      </c>
      <c r="B24" s="34">
        <v>259</v>
      </c>
      <c r="C24" s="31">
        <f>IF(B$19=0,0,B24/B$19)</f>
        <v>0.3481182795698925</v>
      </c>
      <c r="E24" s="44" t="s">
        <v>93</v>
      </c>
      <c r="F24" s="41" t="s">
        <v>48</v>
      </c>
      <c r="G24" s="34">
        <v>2</v>
      </c>
      <c r="H24" s="107">
        <f>IF(B$51=0,0,G24/B$51)</f>
        <v>2.886002886002886E-3</v>
      </c>
      <c r="I24" s="68">
        <v>4</v>
      </c>
      <c r="K24" s="5">
        <v>22</v>
      </c>
      <c r="L24" s="73">
        <v>-4.7000000000000064</v>
      </c>
      <c r="N24" s="89" t="s">
        <v>195</v>
      </c>
      <c r="O24" s="99">
        <f>IF(P24=0,0,Q24/P24)</f>
        <v>-20.530952380952382</v>
      </c>
      <c r="P24" s="93">
        <v>168</v>
      </c>
      <c r="Q24" s="81">
        <v>-3449.2000000000003</v>
      </c>
    </row>
    <row r="25" spans="1:17" x14ac:dyDescent="0.45">
      <c r="A25" s="37" t="s">
        <v>179</v>
      </c>
      <c r="B25" s="34">
        <v>242</v>
      </c>
      <c r="C25" s="31">
        <f>IF(B$19=0,0,B25/B$19)</f>
        <v>0.32526881720430106</v>
      </c>
      <c r="E25" s="44" t="s">
        <v>73</v>
      </c>
      <c r="F25" s="41" t="s">
        <v>28</v>
      </c>
      <c r="G25" s="34">
        <v>1</v>
      </c>
      <c r="H25" s="107">
        <f>IF(B$51=0,0,G25/B$51)</f>
        <v>1.443001443001443E-3</v>
      </c>
      <c r="I25" s="68">
        <v>11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5">
      <c r="A26" s="37" t="s">
        <v>5</v>
      </c>
      <c r="B26" s="17">
        <f>IF(B$19=0,0,C26/B$19)</f>
        <v>7438.3064516129034</v>
      </c>
      <c r="C26" s="8">
        <v>5534100</v>
      </c>
      <c r="E26" s="44" t="s">
        <v>84</v>
      </c>
      <c r="F26" s="41" t="s">
        <v>39</v>
      </c>
      <c r="G26" s="34">
        <v>1</v>
      </c>
      <c r="H26" s="107">
        <f>IF(B$51=0,0,G26/B$51)</f>
        <v>1.443001443001443E-3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8" t="s">
        <v>162</v>
      </c>
      <c r="B27" s="114">
        <f>IF($B$19-B$18=0,0,C27/($B$19-B$18))</f>
        <v>8104.9484536082473</v>
      </c>
      <c r="C27" s="115">
        <v>3930900</v>
      </c>
      <c r="E27" s="44" t="s">
        <v>90</v>
      </c>
      <c r="F27" s="41" t="s">
        <v>45</v>
      </c>
      <c r="G27" s="34">
        <v>1</v>
      </c>
      <c r="H27" s="107">
        <f>IF(B$51=0,0,G27/B$51)</f>
        <v>1.443001443001443E-3</v>
      </c>
      <c r="I27" s="68">
        <v>6</v>
      </c>
      <c r="K27" s="5">
        <v>25</v>
      </c>
      <c r="L27" s="73">
        <v>-37.900000000000006</v>
      </c>
    </row>
    <row r="28" spans="1:17" x14ac:dyDescent="0.45">
      <c r="A28" s="38" t="s">
        <v>163</v>
      </c>
      <c r="B28" s="114">
        <f>IF(B$18=0,0,C28/B$18)</f>
        <v>6189.9613899613896</v>
      </c>
      <c r="C28" s="115">
        <v>1603200</v>
      </c>
      <c r="E28" s="44" t="s">
        <v>102</v>
      </c>
      <c r="F28" s="41" t="s">
        <v>57</v>
      </c>
      <c r="G28" s="34">
        <v>1</v>
      </c>
      <c r="H28" s="107">
        <f>IF(B$51=0,0,G28/B$51)</f>
        <v>1.443001443001443E-3</v>
      </c>
      <c r="I28" s="68">
        <v>1</v>
      </c>
      <c r="K28" s="5">
        <v>26</v>
      </c>
      <c r="L28" s="73">
        <v>-59.800000000000004</v>
      </c>
    </row>
    <row r="29" spans="1:17" x14ac:dyDescent="0.45">
      <c r="A29" s="38" t="s">
        <v>161</v>
      </c>
      <c r="B29" s="114">
        <f>IF(B$20=0,0,C29/B$20)</f>
        <v>-8480.645161290322</v>
      </c>
      <c r="C29" s="115">
        <v>-3417700</v>
      </c>
      <c r="E29" s="44" t="s">
        <v>76</v>
      </c>
      <c r="F29" s="41" t="s">
        <v>31</v>
      </c>
      <c r="G29" s="34">
        <v>0</v>
      </c>
      <c r="H29" s="107">
        <f>IF(B$51=0,0,G29/B$51)</f>
        <v>0</v>
      </c>
      <c r="I29" s="68">
        <v>3</v>
      </c>
      <c r="K29" s="5">
        <v>27</v>
      </c>
      <c r="L29" s="73">
        <v>-53.7</v>
      </c>
    </row>
    <row r="30" spans="1:17" x14ac:dyDescent="0.45">
      <c r="A30" s="37" t="s">
        <v>155</v>
      </c>
      <c r="B30" s="34">
        <v>10</v>
      </c>
      <c r="C30" s="109">
        <v>0</v>
      </c>
      <c r="E30" s="44" t="s">
        <v>80</v>
      </c>
      <c r="F30" s="41" t="s">
        <v>35</v>
      </c>
      <c r="G30" s="34">
        <v>0</v>
      </c>
      <c r="H30" s="107">
        <f>IF(B$51=0,0,G30/B$51)</f>
        <v>0</v>
      </c>
      <c r="I30" s="68">
        <v>3</v>
      </c>
      <c r="K30" s="5">
        <v>28</v>
      </c>
      <c r="L30" s="73">
        <v>-53.1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82</v>
      </c>
      <c r="F31" s="41" t="s">
        <v>37</v>
      </c>
      <c r="G31" s="34">
        <v>0</v>
      </c>
      <c r="H31" s="107">
        <f>IF(B$51=0,0,G31/B$51)</f>
        <v>0</v>
      </c>
      <c r="I31" s="68">
        <v>1</v>
      </c>
      <c r="K31" s="5">
        <v>29</v>
      </c>
      <c r="L31" s="73">
        <v>-12.899999999999999</v>
      </c>
    </row>
    <row r="32" spans="1:17" x14ac:dyDescent="0.45">
      <c r="A32" s="64" t="s">
        <v>134</v>
      </c>
      <c r="B32" s="135">
        <v>7</v>
      </c>
      <c r="C32" s="136"/>
      <c r="E32" s="44" t="s">
        <v>85</v>
      </c>
      <c r="F32" s="41" t="s">
        <v>40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-48.6</v>
      </c>
    </row>
    <row r="33" spans="1:12" x14ac:dyDescent="0.45">
      <c r="A33" s="40" t="s">
        <v>177</v>
      </c>
      <c r="B33" s="133">
        <v>106500</v>
      </c>
      <c r="C33" s="134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-64.599999999999994</v>
      </c>
    </row>
    <row r="34" spans="1:12" x14ac:dyDescent="0.45">
      <c r="A34" s="39" t="s">
        <v>135</v>
      </c>
      <c r="B34" s="27">
        <v>6</v>
      </c>
      <c r="C34" s="32">
        <f>IF(B$3=0,0,B34/B$3)</f>
        <v>2.4154589371980675E-3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-70.399999999999991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-122.29999999999998</v>
      </c>
    </row>
    <row r="36" spans="1:12" x14ac:dyDescent="0.45">
      <c r="A36" s="64" t="s">
        <v>168</v>
      </c>
      <c r="B36" s="126">
        <v>73</v>
      </c>
      <c r="C36" s="119">
        <f>IF(B$19=0,0,B36/B$19)</f>
        <v>9.8118279569892469E-2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-134.29999999999998</v>
      </c>
    </row>
    <row r="37" spans="1:12" x14ac:dyDescent="0.45">
      <c r="A37" s="37" t="s">
        <v>164</v>
      </c>
      <c r="B37" s="34">
        <v>151</v>
      </c>
      <c r="C37" s="31">
        <f t="shared" ref="C37:C48" si="2">IF(B$19=0,0,B37/B$19)</f>
        <v>0.20295698924731181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-100.89999999999998</v>
      </c>
    </row>
    <row r="38" spans="1:12" x14ac:dyDescent="0.45">
      <c r="A38" s="37" t="s">
        <v>165</v>
      </c>
      <c r="B38" s="127">
        <v>137</v>
      </c>
      <c r="C38" s="31">
        <f>IF(B$19=0,0,B38/B$19)</f>
        <v>0.18413978494623656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166</v>
      </c>
      <c r="B39" s="127">
        <v>136</v>
      </c>
      <c r="C39" s="31">
        <f t="shared" si="2"/>
        <v>0.18279569892473119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167</v>
      </c>
      <c r="B40" s="127">
        <v>98</v>
      </c>
      <c r="C40" s="31">
        <f t="shared" si="2"/>
        <v>0.13172043010752688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-128.29999999999998</v>
      </c>
    </row>
    <row r="41" spans="1:12" x14ac:dyDescent="0.45">
      <c r="A41" s="37" t="s">
        <v>169</v>
      </c>
      <c r="B41" s="127">
        <v>45</v>
      </c>
      <c r="C41" s="31">
        <f t="shared" si="2"/>
        <v>6.0483870967741937E-2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-135.99999999999997</v>
      </c>
    </row>
    <row r="42" spans="1:12" x14ac:dyDescent="0.45">
      <c r="A42" s="37" t="s">
        <v>170</v>
      </c>
      <c r="B42" s="127">
        <v>25</v>
      </c>
      <c r="C42" s="31">
        <f t="shared" si="2"/>
        <v>3.3602150537634407E-2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171</v>
      </c>
      <c r="B43" s="127">
        <v>17</v>
      </c>
      <c r="C43" s="31">
        <f t="shared" si="2"/>
        <v>2.2849462365591398E-2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7" t="s">
        <v>172</v>
      </c>
      <c r="B44" s="127">
        <v>5</v>
      </c>
      <c r="C44" s="31">
        <f t="shared" si="2"/>
        <v>6.7204301075268818E-3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A45" s="37" t="s">
        <v>173</v>
      </c>
      <c r="B45" s="127">
        <v>2</v>
      </c>
      <c r="C45" s="31">
        <f t="shared" si="2"/>
        <v>2.6881720430107529E-3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37" t="s">
        <v>174</v>
      </c>
      <c r="B46" s="127">
        <v>1</v>
      </c>
      <c r="C46" s="31">
        <f t="shared" si="2"/>
        <v>1.3440860215053765E-3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A48" s="39" t="s">
        <v>176</v>
      </c>
      <c r="B48" s="128">
        <v>3</v>
      </c>
      <c r="C48" s="32">
        <f t="shared" si="2"/>
        <v>4.0322580645161289E-3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5">
      <c r="A50" s="64" t="s">
        <v>181</v>
      </c>
      <c r="B50" s="131">
        <v>2304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5">
      <c r="A51" s="39" t="s">
        <v>182</v>
      </c>
      <c r="B51" s="129">
        <v>693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5">
      <c r="K53" s="5">
        <v>51</v>
      </c>
      <c r="L53" s="73">
        <v>-417.29999999999995</v>
      </c>
    </row>
    <row r="54" spans="1:12" x14ac:dyDescent="0.45">
      <c r="K54" s="5">
        <v>52</v>
      </c>
      <c r="L54" s="73">
        <v>-421.29999999999995</v>
      </c>
    </row>
    <row r="55" spans="1:12" x14ac:dyDescent="0.45">
      <c r="K55" s="5">
        <v>53</v>
      </c>
      <c r="L55" s="73">
        <v>-451.69999999999993</v>
      </c>
    </row>
    <row r="56" spans="1:12" x14ac:dyDescent="0.45">
      <c r="K56" s="5">
        <v>54</v>
      </c>
      <c r="L56" s="73">
        <v>-445.09999999999991</v>
      </c>
    </row>
    <row r="57" spans="1:12" x14ac:dyDescent="0.45">
      <c r="K57" s="5">
        <v>55</v>
      </c>
      <c r="L57" s="73">
        <v>-465.59999999999991</v>
      </c>
    </row>
    <row r="58" spans="1:12" x14ac:dyDescent="0.45">
      <c r="K58" s="5">
        <v>56</v>
      </c>
      <c r="L58" s="73">
        <v>-502.59999999999991</v>
      </c>
    </row>
    <row r="59" spans="1:12" x14ac:dyDescent="0.45">
      <c r="K59" s="5">
        <v>57</v>
      </c>
      <c r="L59" s="73">
        <v>-533.29999999999995</v>
      </c>
    </row>
    <row r="60" spans="1:12" x14ac:dyDescent="0.45">
      <c r="K60" s="5">
        <v>58</v>
      </c>
      <c r="L60" s="73">
        <v>-573.29999999999995</v>
      </c>
    </row>
    <row r="61" spans="1:12" x14ac:dyDescent="0.45">
      <c r="K61" s="5">
        <v>59</v>
      </c>
      <c r="L61" s="73">
        <v>-550.79999999999995</v>
      </c>
    </row>
    <row r="62" spans="1:12" x14ac:dyDescent="0.45">
      <c r="K62" s="5">
        <v>60</v>
      </c>
      <c r="L62" s="73">
        <v>-535.29999999999995</v>
      </c>
    </row>
    <row r="63" spans="1:12" x14ac:dyDescent="0.45">
      <c r="K63" s="5">
        <v>61</v>
      </c>
      <c r="L63" s="73">
        <v>-492.29999999999995</v>
      </c>
    </row>
    <row r="64" spans="1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  <row r="266" spans="11:12" x14ac:dyDescent="0.45">
      <c r="K266" s="5">
        <v>264</v>
      </c>
      <c r="L266" s="73">
        <v>-1263.2000000000003</v>
      </c>
    </row>
    <row r="267" spans="11:12" x14ac:dyDescent="0.45">
      <c r="K267" s="5">
        <v>265</v>
      </c>
      <c r="L267" s="73">
        <v>-1264.7000000000003</v>
      </c>
    </row>
    <row r="268" spans="11:12" x14ac:dyDescent="0.45">
      <c r="K268" s="5">
        <v>266</v>
      </c>
      <c r="L268" s="73">
        <v>-1323.0000000000002</v>
      </c>
    </row>
    <row r="269" spans="11:12" x14ac:dyDescent="0.45">
      <c r="K269" s="5">
        <v>267</v>
      </c>
      <c r="L269" s="73">
        <v>-1292.5000000000002</v>
      </c>
    </row>
    <row r="270" spans="11:12" x14ac:dyDescent="0.45">
      <c r="K270" s="5">
        <v>268</v>
      </c>
      <c r="L270" s="73">
        <v>-1230.1000000000004</v>
      </c>
    </row>
    <row r="271" spans="11:12" x14ac:dyDescent="0.45">
      <c r="K271" s="5">
        <v>269</v>
      </c>
      <c r="L271" s="73">
        <v>-1221.7000000000003</v>
      </c>
    </row>
    <row r="272" spans="11:12" x14ac:dyDescent="0.45">
      <c r="K272" s="5">
        <v>270</v>
      </c>
      <c r="L272" s="73">
        <v>-1230.0000000000002</v>
      </c>
    </row>
    <row r="273" spans="11:12" x14ac:dyDescent="0.45">
      <c r="K273" s="5">
        <v>271</v>
      </c>
      <c r="L273" s="73">
        <v>-1233.4000000000003</v>
      </c>
    </row>
    <row r="274" spans="11:12" x14ac:dyDescent="0.45">
      <c r="K274" s="5">
        <v>272</v>
      </c>
      <c r="L274" s="73">
        <v>-1270.9000000000003</v>
      </c>
    </row>
    <row r="275" spans="11:12" x14ac:dyDescent="0.45">
      <c r="K275" s="5">
        <v>273</v>
      </c>
      <c r="L275" s="73">
        <v>-1305.4000000000003</v>
      </c>
    </row>
    <row r="276" spans="11:12" x14ac:dyDescent="0.45">
      <c r="K276" s="5">
        <v>274</v>
      </c>
      <c r="L276" s="73">
        <v>-1366.7000000000003</v>
      </c>
    </row>
    <row r="277" spans="11:12" x14ac:dyDescent="0.45">
      <c r="K277" s="5">
        <v>275</v>
      </c>
      <c r="L277" s="73">
        <v>-1392.4000000000003</v>
      </c>
    </row>
    <row r="278" spans="11:12" x14ac:dyDescent="0.45">
      <c r="K278" s="5">
        <v>276</v>
      </c>
      <c r="L278" s="73">
        <v>-1384.8000000000002</v>
      </c>
    </row>
    <row r="279" spans="11:12" x14ac:dyDescent="0.45">
      <c r="K279" s="5">
        <v>277</v>
      </c>
      <c r="L279" s="73">
        <v>-1409.4000000000003</v>
      </c>
    </row>
    <row r="280" spans="11:12" x14ac:dyDescent="0.45">
      <c r="K280" s="5">
        <v>278</v>
      </c>
      <c r="L280" s="73">
        <v>-1400.2000000000003</v>
      </c>
    </row>
    <row r="281" spans="11:12" x14ac:dyDescent="0.45">
      <c r="K281" s="5">
        <v>279</v>
      </c>
      <c r="L281" s="73">
        <v>-1383.5000000000002</v>
      </c>
    </row>
    <row r="282" spans="11:12" x14ac:dyDescent="0.45">
      <c r="K282" s="5">
        <v>280</v>
      </c>
      <c r="L282" s="73">
        <v>-1387.4</v>
      </c>
    </row>
    <row r="283" spans="11:12" x14ac:dyDescent="0.45">
      <c r="K283" s="5">
        <v>281</v>
      </c>
      <c r="L283" s="73">
        <v>-1391.5000000000002</v>
      </c>
    </row>
    <row r="284" spans="11:12" x14ac:dyDescent="0.45">
      <c r="K284" s="5">
        <v>282</v>
      </c>
      <c r="L284" s="73">
        <v>-1446.1000000000004</v>
      </c>
    </row>
    <row r="285" spans="11:12" x14ac:dyDescent="0.45">
      <c r="K285" s="5">
        <v>283</v>
      </c>
      <c r="L285" s="73">
        <v>-1506.3000000000002</v>
      </c>
    </row>
    <row r="286" spans="11:12" x14ac:dyDescent="0.45">
      <c r="K286" s="5">
        <v>284</v>
      </c>
      <c r="L286" s="73">
        <v>-1505.1000000000004</v>
      </c>
    </row>
    <row r="287" spans="11:12" x14ac:dyDescent="0.45">
      <c r="K287" s="5">
        <v>285</v>
      </c>
      <c r="L287" s="73">
        <v>-1505.5000000000002</v>
      </c>
    </row>
    <row r="288" spans="11:12" x14ac:dyDescent="0.45">
      <c r="K288" s="5">
        <v>286</v>
      </c>
      <c r="L288" s="73">
        <v>-1449.5000000000002</v>
      </c>
    </row>
    <row r="289" spans="11:12" x14ac:dyDescent="0.45">
      <c r="K289" s="5">
        <v>287</v>
      </c>
      <c r="L289" s="73">
        <v>-1368.0000000000002</v>
      </c>
    </row>
    <row r="290" spans="11:12" x14ac:dyDescent="0.45">
      <c r="K290" s="5">
        <v>288</v>
      </c>
      <c r="L290" s="73">
        <v>-1346.5000000000002</v>
      </c>
    </row>
    <row r="291" spans="11:12" x14ac:dyDescent="0.45">
      <c r="K291" s="5">
        <v>289</v>
      </c>
      <c r="L291" s="73">
        <v>-1393.1000000000001</v>
      </c>
    </row>
    <row r="292" spans="11:12" x14ac:dyDescent="0.45">
      <c r="K292" s="5">
        <v>290</v>
      </c>
      <c r="L292" s="73">
        <v>-1365.2000000000003</v>
      </c>
    </row>
    <row r="293" spans="11:12" x14ac:dyDescent="0.45">
      <c r="K293" s="5">
        <v>291</v>
      </c>
      <c r="L293" s="73">
        <v>-1338.2000000000003</v>
      </c>
    </row>
    <row r="294" spans="11:12" x14ac:dyDescent="0.45">
      <c r="K294" s="5">
        <v>292</v>
      </c>
      <c r="L294" s="73">
        <v>-1387.1000000000001</v>
      </c>
    </row>
    <row r="295" spans="11:12" x14ac:dyDescent="0.45">
      <c r="K295" s="5">
        <v>293</v>
      </c>
      <c r="L295" s="73">
        <v>-1408.7000000000003</v>
      </c>
    </row>
    <row r="296" spans="11:12" x14ac:dyDescent="0.45">
      <c r="K296" s="5">
        <v>294</v>
      </c>
      <c r="L296" s="73">
        <v>-1453.9000000000003</v>
      </c>
    </row>
    <row r="297" spans="11:12" x14ac:dyDescent="0.45">
      <c r="K297" s="5">
        <v>295</v>
      </c>
      <c r="L297" s="73">
        <v>-1477.2000000000003</v>
      </c>
    </row>
    <row r="298" spans="11:12" x14ac:dyDescent="0.45">
      <c r="K298" s="5">
        <v>296</v>
      </c>
      <c r="L298" s="73">
        <v>-1461.1000000000001</v>
      </c>
    </row>
    <row r="299" spans="11:12" x14ac:dyDescent="0.45">
      <c r="K299" s="5">
        <v>297</v>
      </c>
      <c r="L299" s="73">
        <v>-1473.7000000000003</v>
      </c>
    </row>
    <row r="300" spans="11:12" x14ac:dyDescent="0.45">
      <c r="K300" s="5">
        <v>298</v>
      </c>
      <c r="L300" s="73">
        <v>-1422.4000000000003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4065B-D3A9-43BA-B199-59032E5E5A89}">
  <sheetPr codeName="Sheet11"/>
  <dimension ref="A1:Q514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193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512</v>
      </c>
      <c r="C2" s="132"/>
      <c r="E2" s="43" t="s">
        <v>66</v>
      </c>
      <c r="F2" s="25" t="s">
        <v>22</v>
      </c>
      <c r="G2" s="13">
        <v>923</v>
      </c>
      <c r="H2" s="106">
        <f>IF(B$51=0,0,G2/B$51)</f>
        <v>0.76280991735537185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-516.56804733727813</v>
      </c>
      <c r="P2" s="92">
        <v>507</v>
      </c>
      <c r="Q2" s="76">
        <v>-261900</v>
      </c>
    </row>
    <row r="3" spans="1:17" x14ac:dyDescent="0.45">
      <c r="A3" s="37" t="s">
        <v>8</v>
      </c>
      <c r="B3" s="143">
        <v>4168</v>
      </c>
      <c r="C3" s="144"/>
      <c r="E3" s="44" t="s">
        <v>72</v>
      </c>
      <c r="F3" s="41" t="s">
        <v>27</v>
      </c>
      <c r="G3" s="34">
        <v>637</v>
      </c>
      <c r="H3" s="107">
        <f>IF(B$51=0,0,G3/B$51)</f>
        <v>0.52644628099173552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-236.3821138211382</v>
      </c>
      <c r="P3" s="93">
        <v>492</v>
      </c>
      <c r="Q3" s="77">
        <v>-116300</v>
      </c>
    </row>
    <row r="4" spans="1:17" x14ac:dyDescent="0.45">
      <c r="A4" s="37" t="s">
        <v>6</v>
      </c>
      <c r="B4" s="145">
        <v>-1108.8000000000006</v>
      </c>
      <c r="C4" s="146"/>
      <c r="E4" s="44" t="s">
        <v>64</v>
      </c>
      <c r="F4" s="41" t="s">
        <v>20</v>
      </c>
      <c r="G4" s="34">
        <v>521</v>
      </c>
      <c r="H4" s="107">
        <f>IF(B$51=0,0,G4/B$51)</f>
        <v>0.4305785123966942</v>
      </c>
      <c r="I4" s="68">
        <v>17</v>
      </c>
      <c r="K4" s="5">
        <v>2</v>
      </c>
      <c r="L4" s="73">
        <v>-45.300000000000004</v>
      </c>
      <c r="N4" s="89" t="s">
        <v>128</v>
      </c>
      <c r="O4" s="96">
        <f t="shared" si="0"/>
        <v>284.84848484848487</v>
      </c>
      <c r="P4" s="93">
        <v>462</v>
      </c>
      <c r="Q4" s="77">
        <v>131600</v>
      </c>
    </row>
    <row r="5" spans="1:17" x14ac:dyDescent="0.45">
      <c r="A5" s="37" t="s">
        <v>7</v>
      </c>
      <c r="B5" s="139">
        <f>IF(B$2=0,0,B$4/B$2)</f>
        <v>-2.1656250000000012</v>
      </c>
      <c r="C5" s="140"/>
      <c r="E5" s="44" t="s">
        <v>157</v>
      </c>
      <c r="F5" s="41" t="s">
        <v>158</v>
      </c>
      <c r="G5" s="34">
        <v>386</v>
      </c>
      <c r="H5" s="107">
        <f>IF(B$51=0,0,G5/B$51)</f>
        <v>0.31900826446280994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-1142.5581395348838</v>
      </c>
      <c r="P5" s="93">
        <v>430</v>
      </c>
      <c r="Q5" s="77">
        <v>-491300</v>
      </c>
    </row>
    <row r="6" spans="1:17" x14ac:dyDescent="0.45">
      <c r="A6" s="37" t="s">
        <v>1</v>
      </c>
      <c r="B6" s="137">
        <f>IF(B$2=0,0,(B$7*1+B$8*2+B$9*3)/B$2)</f>
        <v>2.015625</v>
      </c>
      <c r="C6" s="138"/>
      <c r="E6" s="44" t="s">
        <v>68</v>
      </c>
      <c r="F6" s="41" t="s">
        <v>12</v>
      </c>
      <c r="G6" s="34">
        <v>361</v>
      </c>
      <c r="H6" s="107">
        <f>IF(B$51=0,0,G6/B$51)</f>
        <v>0.29834710743801651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-181.60621761658032</v>
      </c>
      <c r="P6" s="93">
        <v>386</v>
      </c>
      <c r="Q6" s="77">
        <v>-70100</v>
      </c>
    </row>
    <row r="7" spans="1:17" x14ac:dyDescent="0.45">
      <c r="A7" s="37" t="s">
        <v>2</v>
      </c>
      <c r="B7" s="34">
        <v>171</v>
      </c>
      <c r="C7" s="31">
        <f t="shared" ref="C7:C14" si="1">IF(B$2=0,0,B7/B$2)</f>
        <v>0.333984375</v>
      </c>
      <c r="E7" s="44" t="s">
        <v>67</v>
      </c>
      <c r="F7" s="41" t="s">
        <v>23</v>
      </c>
      <c r="G7" s="34">
        <v>295</v>
      </c>
      <c r="H7" s="107">
        <f>IF(B$51=0,0,G7/B$51)</f>
        <v>0.24380165289256198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101.80722891566265</v>
      </c>
      <c r="P7" s="94">
        <v>332</v>
      </c>
      <c r="Q7" s="78">
        <v>33800</v>
      </c>
    </row>
    <row r="8" spans="1:17" x14ac:dyDescent="0.45">
      <c r="A8" s="37" t="s">
        <v>3</v>
      </c>
      <c r="B8" s="34">
        <v>162</v>
      </c>
      <c r="C8" s="31">
        <f t="shared" si="1"/>
        <v>0.31640625</v>
      </c>
      <c r="E8" s="44" t="s">
        <v>69</v>
      </c>
      <c r="F8" s="41" t="s">
        <v>24</v>
      </c>
      <c r="G8" s="34">
        <v>168</v>
      </c>
      <c r="H8" s="107">
        <f>IF(B$51=0,0,G8/B$51)</f>
        <v>0.13884297520661157</v>
      </c>
      <c r="I8" s="68">
        <v>10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179</v>
      </c>
      <c r="C9" s="7">
        <f t="shared" si="1"/>
        <v>0.349609375</v>
      </c>
      <c r="E9" s="44" t="s">
        <v>89</v>
      </c>
      <c r="F9" s="41" t="s">
        <v>44</v>
      </c>
      <c r="G9" s="34">
        <v>150</v>
      </c>
      <c r="H9" s="107">
        <f>IF(B$51=0,0,G9/B$51)</f>
        <v>0.12396694214876033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35.918713450292408</v>
      </c>
      <c r="C10" s="121">
        <v>6142.1000000000013</v>
      </c>
      <c r="E10" s="44" t="s">
        <v>70</v>
      </c>
      <c r="F10" s="41" t="s">
        <v>25</v>
      </c>
      <c r="G10" s="34">
        <v>137</v>
      </c>
      <c r="H10" s="107">
        <f>IF(B$51=0,0,G10/B$51)</f>
        <v>0.11322314049586776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-2.8075581395348825</v>
      </c>
      <c r="P10" s="92">
        <v>172</v>
      </c>
      <c r="Q10" s="80">
        <v>-482.89999999999981</v>
      </c>
    </row>
    <row r="11" spans="1:17" x14ac:dyDescent="0.45">
      <c r="A11" s="38" t="s">
        <v>204</v>
      </c>
      <c r="B11" s="120">
        <f>IF(B8=0,0,C11/B8)</f>
        <v>-1.5160493827160493</v>
      </c>
      <c r="C11" s="121">
        <v>-245.59999999999997</v>
      </c>
      <c r="E11" s="44" t="s">
        <v>65</v>
      </c>
      <c r="F11" s="41" t="s">
        <v>21</v>
      </c>
      <c r="G11" s="34">
        <v>109</v>
      </c>
      <c r="H11" s="107">
        <f>IF(B$51=0,0,G11/B$51)</f>
        <v>9.0082644628099173E-2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-0.67869822485207099</v>
      </c>
      <c r="P11" s="93">
        <v>169</v>
      </c>
      <c r="Q11" s="81">
        <v>-114.7</v>
      </c>
    </row>
    <row r="12" spans="1:17" x14ac:dyDescent="0.45">
      <c r="A12" s="38" t="s">
        <v>205</v>
      </c>
      <c r="B12" s="120">
        <f>IF(B9=0,0,C12/B9)</f>
        <v>-39.135754189944137</v>
      </c>
      <c r="C12" s="121">
        <v>-7005.3000000000011</v>
      </c>
      <c r="E12" s="44" t="s">
        <v>71</v>
      </c>
      <c r="F12" s="41" t="s">
        <v>26</v>
      </c>
      <c r="G12" s="34">
        <v>105</v>
      </c>
      <c r="H12" s="107">
        <f>IF(B$51=0,0,G12/B$51)</f>
        <v>8.6776859504132234E-2</v>
      </c>
      <c r="I12" s="68">
        <v>3</v>
      </c>
      <c r="K12" s="5">
        <v>10</v>
      </c>
      <c r="L12" s="73">
        <v>-72.800000000000026</v>
      </c>
      <c r="N12" s="90" t="s">
        <v>151</v>
      </c>
      <c r="O12" s="100">
        <f>IF(P12=0,0,Q12/P12)</f>
        <v>-3.2301775147928984</v>
      </c>
      <c r="P12" s="94">
        <v>169</v>
      </c>
      <c r="Q12" s="82">
        <v>-545.89999999999986</v>
      </c>
    </row>
    <row r="13" spans="1:17" x14ac:dyDescent="0.45">
      <c r="A13" s="38" t="s">
        <v>206</v>
      </c>
      <c r="B13" s="139">
        <f>AVERAGE(B10:B12)</f>
        <v>-1.5776967074559256</v>
      </c>
      <c r="C13" s="140"/>
      <c r="E13" s="44" t="s">
        <v>86</v>
      </c>
      <c r="F13" s="41" t="s">
        <v>41</v>
      </c>
      <c r="G13" s="34">
        <v>60</v>
      </c>
      <c r="H13" s="107">
        <f>IF(B$51=0,0,G13/B$51)</f>
        <v>4.9586776859504134E-2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61</v>
      </c>
      <c r="C14" s="32">
        <f t="shared" si="1"/>
        <v>0.119140625</v>
      </c>
      <c r="E14" s="44" t="s">
        <v>78</v>
      </c>
      <c r="F14" s="41" t="s">
        <v>33</v>
      </c>
      <c r="G14" s="34">
        <v>48</v>
      </c>
      <c r="H14" s="107">
        <f>IF(B$51=0,0,G14/B$51)</f>
        <v>3.9669421487603308E-2</v>
      </c>
      <c r="I14" s="68">
        <v>4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991</v>
      </c>
      <c r="C15" s="11">
        <f>IF(B$50=0,0,B15/B$50)</f>
        <v>0.24517565561603166</v>
      </c>
      <c r="E15" s="44" t="s">
        <v>83</v>
      </c>
      <c r="F15" s="41" t="s">
        <v>38</v>
      </c>
      <c r="G15" s="34">
        <v>48</v>
      </c>
      <c r="H15" s="107">
        <f>IF(B$51=0,0,G15/B$51)</f>
        <v>3.9669421487603308E-2</v>
      </c>
      <c r="I15" s="68">
        <v>11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118</v>
      </c>
      <c r="B16" s="34">
        <v>995</v>
      </c>
      <c r="C16" s="31">
        <f>IF(B$50=0,0,B16/B$50)</f>
        <v>0.24616526472043543</v>
      </c>
      <c r="E16" s="44" t="s">
        <v>81</v>
      </c>
      <c r="F16" s="41" t="s">
        <v>36</v>
      </c>
      <c r="G16" s="34">
        <v>35</v>
      </c>
      <c r="H16" s="107">
        <f>IF(B$51=0,0,G16/B$51)</f>
        <v>2.8925619834710745E-2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5">
      <c r="A17" s="19" t="s">
        <v>123</v>
      </c>
      <c r="B17" s="13">
        <v>535</v>
      </c>
      <c r="C17" s="4">
        <f>IF(B$15=0,0,B17/B$15)</f>
        <v>0.53985872855701311</v>
      </c>
      <c r="E17" s="44" t="s">
        <v>91</v>
      </c>
      <c r="F17" s="41" t="s">
        <v>46</v>
      </c>
      <c r="G17" s="34">
        <v>25</v>
      </c>
      <c r="H17" s="107">
        <f>IF(B$51=0,0,G17/B$51)</f>
        <v>2.0661157024793389E-2</v>
      </c>
      <c r="I17" s="68">
        <v>6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19" t="s">
        <v>124</v>
      </c>
      <c r="B18" s="13">
        <v>381</v>
      </c>
      <c r="C18" s="4">
        <f>IF(B$16=0,0,B18/B$16)</f>
        <v>0.38291457286432162</v>
      </c>
      <c r="E18" s="44" t="s">
        <v>79</v>
      </c>
      <c r="F18" s="41" t="s">
        <v>34</v>
      </c>
      <c r="G18" s="34">
        <v>16</v>
      </c>
      <c r="H18" s="107">
        <f>IF(B$51=0,0,G18/B$51)</f>
        <v>1.3223140495867768E-2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8.3166666666666629</v>
      </c>
      <c r="P18" s="93">
        <v>168</v>
      </c>
      <c r="Q18" s="81">
        <v>1397.1999999999994</v>
      </c>
    </row>
    <row r="19" spans="1:17" x14ac:dyDescent="0.45">
      <c r="A19" s="19" t="s">
        <v>10</v>
      </c>
      <c r="B19" s="13">
        <v>1247</v>
      </c>
      <c r="C19" s="4">
        <f>IF(B$3=0,0,B19/B$3)</f>
        <v>0.29918426103646834</v>
      </c>
      <c r="E19" s="44" t="s">
        <v>77</v>
      </c>
      <c r="F19" s="41" t="s">
        <v>32</v>
      </c>
      <c r="G19" s="34">
        <v>9</v>
      </c>
      <c r="H19" s="107">
        <f>IF(B$51=0,0,G19/B$51)</f>
        <v>7.4380165289256199E-3</v>
      </c>
      <c r="I19" s="68">
        <v>3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5">
      <c r="A20" s="37" t="s">
        <v>13</v>
      </c>
      <c r="B20" s="34">
        <v>712</v>
      </c>
      <c r="C20" s="31">
        <f>IF(B$3=0,0,B20/B$3)</f>
        <v>0.17082533589251439</v>
      </c>
      <c r="E20" s="44" t="s">
        <v>153</v>
      </c>
      <c r="F20" s="41" t="s">
        <v>154</v>
      </c>
      <c r="G20" s="34">
        <v>8</v>
      </c>
      <c r="H20" s="107">
        <f>IF(B$51=0,0,G20/B$51)</f>
        <v>6.6115702479338841E-3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12</v>
      </c>
      <c r="B21" s="34">
        <v>524</v>
      </c>
      <c r="C21" s="31">
        <f>IF(B$19=0,0,B21/B$19)</f>
        <v>0.4202085004009623</v>
      </c>
      <c r="E21" s="44" t="s">
        <v>73</v>
      </c>
      <c r="F21" s="41" t="s">
        <v>28</v>
      </c>
      <c r="G21" s="34">
        <v>7</v>
      </c>
      <c r="H21" s="107">
        <f>IF(B$51=0,0,G21/B$51)</f>
        <v>5.7851239669421484E-3</v>
      </c>
      <c r="I21" s="68">
        <v>6</v>
      </c>
      <c r="K21" s="5">
        <v>19</v>
      </c>
      <c r="L21" s="73">
        <v>125.69999999999996</v>
      </c>
      <c r="N21" s="89" t="s">
        <v>187</v>
      </c>
      <c r="O21" s="99">
        <f>IF(P21=0,0,Q21/P21)</f>
        <v>1.8181818181819284E-2</v>
      </c>
      <c r="P21" s="93">
        <v>143</v>
      </c>
      <c r="Q21" s="81">
        <v>2.6000000000001577</v>
      </c>
    </row>
    <row r="22" spans="1:17" x14ac:dyDescent="0.45">
      <c r="A22" s="37" t="s">
        <v>11</v>
      </c>
      <c r="B22" s="34">
        <v>723</v>
      </c>
      <c r="C22" s="31">
        <f>IF(B$19=0,0,B22/B$19)</f>
        <v>0.57979149959903764</v>
      </c>
      <c r="E22" s="44" t="s">
        <v>74</v>
      </c>
      <c r="F22" s="41" t="s">
        <v>29</v>
      </c>
      <c r="G22" s="34">
        <v>6</v>
      </c>
      <c r="H22" s="107">
        <f>IF(B$51=0,0,G22/B$51)</f>
        <v>4.9586776859504135E-3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-2.6853333333333307</v>
      </c>
      <c r="P22" s="93">
        <v>150</v>
      </c>
      <c r="Q22" s="81">
        <v>-402.79999999999961</v>
      </c>
    </row>
    <row r="23" spans="1:17" x14ac:dyDescent="0.45">
      <c r="A23" s="37" t="s">
        <v>180</v>
      </c>
      <c r="B23" s="34">
        <v>535</v>
      </c>
      <c r="C23" s="31">
        <f>IF(B$19=0,0,B23/B$19)</f>
        <v>0.42902967121090618</v>
      </c>
      <c r="E23" s="44" t="s">
        <v>75</v>
      </c>
      <c r="F23" s="41" t="s">
        <v>30</v>
      </c>
      <c r="G23" s="34">
        <v>6</v>
      </c>
      <c r="H23" s="107">
        <f>IF(B$51=0,0,G23/B$51)</f>
        <v>4.9586776859504135E-3</v>
      </c>
      <c r="I23" s="68">
        <v>9</v>
      </c>
      <c r="K23" s="5">
        <v>21</v>
      </c>
      <c r="L23" s="73">
        <v>129.69999999999996</v>
      </c>
      <c r="N23" s="89" t="s">
        <v>188</v>
      </c>
      <c r="O23" s="99">
        <f>IF(P23=0,0,Q23/P23)</f>
        <v>-4.7433628318584073</v>
      </c>
      <c r="P23" s="93">
        <v>113</v>
      </c>
      <c r="Q23" s="81">
        <v>-536</v>
      </c>
    </row>
    <row r="24" spans="1:17" x14ac:dyDescent="0.45">
      <c r="A24" s="37" t="s">
        <v>178</v>
      </c>
      <c r="B24" s="34">
        <v>381</v>
      </c>
      <c r="C24" s="31">
        <f>IF(B$19=0,0,B24/B$19)</f>
        <v>0.30553327987169204</v>
      </c>
      <c r="E24" s="44" t="s">
        <v>92</v>
      </c>
      <c r="F24" s="41" t="s">
        <v>47</v>
      </c>
      <c r="G24" s="34">
        <v>5</v>
      </c>
      <c r="H24" s="107">
        <f>IF(B$51=0,0,G24/B$51)</f>
        <v>4.1322314049586778E-3</v>
      </c>
      <c r="I24" s="68">
        <v>8</v>
      </c>
      <c r="K24" s="5">
        <v>22</v>
      </c>
      <c r="L24" s="73">
        <v>174.29999999999995</v>
      </c>
      <c r="N24" s="89" t="s">
        <v>196</v>
      </c>
      <c r="O24" s="99">
        <f>IF(P24=0,0,Q24/P24)</f>
        <v>-6.2</v>
      </c>
      <c r="P24" s="93">
        <v>3</v>
      </c>
      <c r="Q24" s="81">
        <v>-18.600000000000001</v>
      </c>
    </row>
    <row r="25" spans="1:17" x14ac:dyDescent="0.45">
      <c r="A25" s="37" t="s">
        <v>179</v>
      </c>
      <c r="B25" s="34">
        <v>331</v>
      </c>
      <c r="C25" s="31">
        <f>IF(B$19=0,0,B25/B$19)</f>
        <v>0.26543704891740177</v>
      </c>
      <c r="E25" s="44" t="s">
        <v>84</v>
      </c>
      <c r="F25" s="41" t="s">
        <v>39</v>
      </c>
      <c r="G25" s="34">
        <v>4</v>
      </c>
      <c r="H25" s="107">
        <f>IF(B$51=0,0,G25/B$51)</f>
        <v>3.3057851239669421E-3</v>
      </c>
      <c r="I25" s="68">
        <v>3</v>
      </c>
      <c r="K25" s="5">
        <v>23</v>
      </c>
      <c r="L25" s="73">
        <v>172.89999999999995</v>
      </c>
      <c r="N25" s="89" t="s">
        <v>189</v>
      </c>
      <c r="O25" s="99">
        <f>IF(P25=0,0,Q25/P25)</f>
        <v>-12</v>
      </c>
      <c r="P25" s="93">
        <v>6</v>
      </c>
      <c r="Q25" s="81">
        <v>-72</v>
      </c>
    </row>
    <row r="26" spans="1:17" x14ac:dyDescent="0.45">
      <c r="A26" s="37" t="s">
        <v>5</v>
      </c>
      <c r="B26" s="17">
        <f>IF(B$19=0,0,C26/B$19)</f>
        <v>8474.0978348035278</v>
      </c>
      <c r="C26" s="8">
        <v>10567200</v>
      </c>
      <c r="E26" s="44" t="s">
        <v>93</v>
      </c>
      <c r="F26" s="41" t="s">
        <v>48</v>
      </c>
      <c r="G26" s="34">
        <v>4</v>
      </c>
      <c r="H26" s="107">
        <f>IF(B$51=0,0,G26/B$51)</f>
        <v>3.3057851239669421E-3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-13.307323943661981</v>
      </c>
      <c r="P26" s="93">
        <v>355</v>
      </c>
      <c r="Q26" s="81">
        <v>-4724.1000000000031</v>
      </c>
    </row>
    <row r="27" spans="1:17" x14ac:dyDescent="0.45">
      <c r="A27" s="38" t="s">
        <v>162</v>
      </c>
      <c r="B27" s="114">
        <f>IF($B$19-B$18=0,0,C27/($B$19-B$18))</f>
        <v>9163.1639722863747</v>
      </c>
      <c r="C27" s="115">
        <v>7935300</v>
      </c>
      <c r="E27" s="44" t="s">
        <v>87</v>
      </c>
      <c r="F27" s="41" t="s">
        <v>42</v>
      </c>
      <c r="G27" s="34">
        <v>3</v>
      </c>
      <c r="H27" s="107">
        <f>IF(B$51=0,0,G27/B$51)</f>
        <v>2.4793388429752068E-3</v>
      </c>
      <c r="I27" s="68">
        <v>5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38" t="s">
        <v>163</v>
      </c>
      <c r="B28" s="114">
        <f>IF(B$18=0,0,C28/B$18)</f>
        <v>6907.8740157480315</v>
      </c>
      <c r="C28" s="115">
        <v>2631900</v>
      </c>
      <c r="E28" s="44" t="s">
        <v>90</v>
      </c>
      <c r="F28" s="41" t="s">
        <v>45</v>
      </c>
      <c r="G28" s="34">
        <v>2</v>
      </c>
      <c r="H28" s="107">
        <f>IF(B$51=0,0,G28/B$51)</f>
        <v>1.652892561983471E-3</v>
      </c>
      <c r="I28" s="68">
        <v>5</v>
      </c>
      <c r="K28" s="5">
        <v>26</v>
      </c>
      <c r="L28" s="73">
        <v>128.69999999999993</v>
      </c>
    </row>
    <row r="29" spans="1:17" x14ac:dyDescent="0.45">
      <c r="A29" s="38" t="s">
        <v>161</v>
      </c>
      <c r="B29" s="114">
        <f>IF(B$20=0,0,C29/B$20)</f>
        <v>-8463.6235955056181</v>
      </c>
      <c r="C29" s="115">
        <v>-6026100</v>
      </c>
      <c r="E29" s="44" t="s">
        <v>76</v>
      </c>
      <c r="F29" s="41" t="s">
        <v>31</v>
      </c>
      <c r="G29" s="34">
        <v>1</v>
      </c>
      <c r="H29" s="107">
        <f>IF(B$51=0,0,G29/B$51)</f>
        <v>8.2644628099173552E-4</v>
      </c>
      <c r="I29" s="68">
        <v>1</v>
      </c>
      <c r="K29" s="5">
        <v>27</v>
      </c>
      <c r="L29" s="73">
        <v>84.699999999999932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8.2644628099173552E-4</v>
      </c>
      <c r="I30" s="68">
        <v>8</v>
      </c>
      <c r="K30" s="5">
        <v>28</v>
      </c>
      <c r="L30" s="73">
        <v>43.699999999999932</v>
      </c>
    </row>
    <row r="31" spans="1:17" x14ac:dyDescent="0.45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8.2644628099173552E-4</v>
      </c>
      <c r="I31" s="68">
        <v>7</v>
      </c>
      <c r="K31" s="5">
        <v>29</v>
      </c>
      <c r="L31" s="73">
        <v>32.899999999999935</v>
      </c>
    </row>
    <row r="32" spans="1:17" x14ac:dyDescent="0.45">
      <c r="A32" s="64" t="s">
        <v>134</v>
      </c>
      <c r="B32" s="135">
        <v>9</v>
      </c>
      <c r="C32" s="136"/>
      <c r="E32" s="44" t="s">
        <v>95</v>
      </c>
      <c r="F32" s="41" t="s">
        <v>50</v>
      </c>
      <c r="G32" s="34">
        <v>1</v>
      </c>
      <c r="H32" s="107">
        <f>IF(B$51=0,0,G32/B$51)</f>
        <v>8.2644628099173552E-4</v>
      </c>
      <c r="I32" s="68">
        <v>6</v>
      </c>
      <c r="K32" s="5">
        <v>30</v>
      </c>
      <c r="L32" s="73">
        <v>48.499999999999936</v>
      </c>
    </row>
    <row r="33" spans="1:12" x14ac:dyDescent="0.45">
      <c r="A33" s="40" t="s">
        <v>177</v>
      </c>
      <c r="B33" s="133">
        <v>109300</v>
      </c>
      <c r="C33" s="134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9" t="s">
        <v>135</v>
      </c>
      <c r="B34" s="27">
        <v>14</v>
      </c>
      <c r="C34" s="32">
        <f>IF(B$3=0,0,B34/B$3)</f>
        <v>3.3589251439539347E-3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64" t="s">
        <v>168</v>
      </c>
      <c r="B36" s="126">
        <v>82</v>
      </c>
      <c r="C36" s="119">
        <f>IF(B$19=0,0,B36/B$19)</f>
        <v>6.5757818765036086E-2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164</v>
      </c>
      <c r="B37" s="34">
        <v>211</v>
      </c>
      <c r="C37" s="31">
        <f t="shared" ref="C37:C48" si="2">IF(B$19=0,0,B37/B$19)</f>
        <v>0.16920609462710506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165</v>
      </c>
      <c r="B38" s="127">
        <v>259</v>
      </c>
      <c r="C38" s="31">
        <f>IF(B$19=0,0,B38/B$19)</f>
        <v>0.20769847634322375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166</v>
      </c>
      <c r="B39" s="127">
        <v>234</v>
      </c>
      <c r="C39" s="31">
        <f t="shared" si="2"/>
        <v>0.18765036086607859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167</v>
      </c>
      <c r="B40" s="127">
        <v>170</v>
      </c>
      <c r="C40" s="31">
        <f t="shared" si="2"/>
        <v>0.13632718524458701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169</v>
      </c>
      <c r="B41" s="127">
        <v>108</v>
      </c>
      <c r="C41" s="31">
        <f t="shared" si="2"/>
        <v>8.660785886126704E-2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170</v>
      </c>
      <c r="B42" s="127">
        <v>53</v>
      </c>
      <c r="C42" s="31">
        <f t="shared" si="2"/>
        <v>4.2502004811547714E-2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156.59999999999994</v>
      </c>
    </row>
    <row r="43" spans="1:12" x14ac:dyDescent="0.45">
      <c r="A43" s="37" t="s">
        <v>171</v>
      </c>
      <c r="B43" s="127">
        <v>38</v>
      </c>
      <c r="C43" s="31">
        <f t="shared" si="2"/>
        <v>3.0473135525260625E-2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7" t="s">
        <v>172</v>
      </c>
      <c r="B44" s="127">
        <v>18</v>
      </c>
      <c r="C44" s="31">
        <f t="shared" si="2"/>
        <v>1.4434643143544507E-2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A45" s="37" t="s">
        <v>173</v>
      </c>
      <c r="B45" s="127">
        <v>12</v>
      </c>
      <c r="C45" s="31">
        <f t="shared" si="2"/>
        <v>9.6230954290296711E-3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37" t="s">
        <v>174</v>
      </c>
      <c r="B46" s="127">
        <v>10</v>
      </c>
      <c r="C46" s="31">
        <f t="shared" si="2"/>
        <v>8.0192461908580592E-3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7" t="s">
        <v>175</v>
      </c>
      <c r="B47" s="127">
        <v>2</v>
      </c>
      <c r="C47" s="31">
        <f t="shared" si="2"/>
        <v>1.6038492381716118E-3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A48" s="39" t="s">
        <v>176</v>
      </c>
      <c r="B48" s="128">
        <v>13</v>
      </c>
      <c r="C48" s="32">
        <f t="shared" si="2"/>
        <v>1.0425020048115477E-2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5">
      <c r="A50" s="64" t="s">
        <v>181</v>
      </c>
      <c r="B50" s="131">
        <v>4042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5">
      <c r="A51" s="39" t="s">
        <v>182</v>
      </c>
      <c r="B51" s="129">
        <v>1210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5">
      <c r="K53" s="5">
        <v>51</v>
      </c>
      <c r="L53" s="73">
        <v>196.99999999999994</v>
      </c>
    </row>
    <row r="54" spans="1:12" x14ac:dyDescent="0.45">
      <c r="K54" s="5">
        <v>52</v>
      </c>
      <c r="L54" s="73">
        <v>196.59999999999994</v>
      </c>
    </row>
    <row r="55" spans="1:12" x14ac:dyDescent="0.45">
      <c r="K55" s="5">
        <v>53</v>
      </c>
      <c r="L55" s="73">
        <v>214.69999999999993</v>
      </c>
    </row>
    <row r="56" spans="1:12" x14ac:dyDescent="0.45">
      <c r="K56" s="5">
        <v>54</v>
      </c>
      <c r="L56" s="73">
        <v>237.49999999999994</v>
      </c>
    </row>
    <row r="57" spans="1:12" x14ac:dyDescent="0.45">
      <c r="K57" s="5">
        <v>55</v>
      </c>
      <c r="L57" s="73">
        <v>224.69999999999993</v>
      </c>
    </row>
    <row r="58" spans="1:12" x14ac:dyDescent="0.45">
      <c r="K58" s="5">
        <v>56</v>
      </c>
      <c r="L58" s="73">
        <v>260.69999999999993</v>
      </c>
    </row>
    <row r="59" spans="1:12" x14ac:dyDescent="0.45">
      <c r="K59" s="5">
        <v>57</v>
      </c>
      <c r="L59" s="73">
        <v>211.59999999999994</v>
      </c>
    </row>
    <row r="60" spans="1:12" x14ac:dyDescent="0.45">
      <c r="K60" s="5">
        <v>58</v>
      </c>
      <c r="L60" s="73">
        <v>208.99999999999994</v>
      </c>
    </row>
    <row r="61" spans="1:12" x14ac:dyDescent="0.45">
      <c r="K61" s="5">
        <v>59</v>
      </c>
      <c r="L61" s="73">
        <v>221.49999999999994</v>
      </c>
    </row>
    <row r="62" spans="1:12" x14ac:dyDescent="0.45">
      <c r="K62" s="5">
        <v>60</v>
      </c>
      <c r="L62" s="73">
        <v>233.79999999999995</v>
      </c>
    </row>
    <row r="63" spans="1:12" x14ac:dyDescent="0.45">
      <c r="K63" s="5">
        <v>61</v>
      </c>
      <c r="L63" s="73">
        <v>234.69999999999996</v>
      </c>
    </row>
    <row r="64" spans="1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  <row r="443" spans="11:12" x14ac:dyDescent="0.45">
      <c r="K443" s="5">
        <v>441</v>
      </c>
      <c r="L443" s="73">
        <v>-970.00000000000057</v>
      </c>
    </row>
    <row r="444" spans="11:12" x14ac:dyDescent="0.45">
      <c r="K444" s="5">
        <v>442</v>
      </c>
      <c r="L444" s="73">
        <v>-990.2000000000005</v>
      </c>
    </row>
    <row r="445" spans="11:12" x14ac:dyDescent="0.45">
      <c r="K445" s="5">
        <v>443</v>
      </c>
      <c r="L445" s="73">
        <v>-1020.2000000000005</v>
      </c>
    </row>
    <row r="446" spans="11:12" x14ac:dyDescent="0.45">
      <c r="K446" s="5">
        <v>444</v>
      </c>
      <c r="L446" s="73">
        <v>-971.40000000000055</v>
      </c>
    </row>
    <row r="447" spans="11:12" x14ac:dyDescent="0.45">
      <c r="K447" s="5">
        <v>445</v>
      </c>
      <c r="L447" s="73">
        <v>-940.7000000000005</v>
      </c>
    </row>
    <row r="448" spans="11:12" x14ac:dyDescent="0.45">
      <c r="K448" s="5">
        <v>446</v>
      </c>
      <c r="L448" s="73">
        <v>-980.30000000000052</v>
      </c>
    </row>
    <row r="449" spans="11:12" x14ac:dyDescent="0.45">
      <c r="K449" s="5">
        <v>447</v>
      </c>
      <c r="L449" s="73">
        <v>-945.90000000000055</v>
      </c>
    </row>
    <row r="450" spans="11:12" x14ac:dyDescent="0.45">
      <c r="K450" s="5">
        <v>448</v>
      </c>
      <c r="L450" s="73">
        <v>-980.30000000000052</v>
      </c>
    </row>
    <row r="451" spans="11:12" x14ac:dyDescent="0.45">
      <c r="K451" s="5">
        <v>449</v>
      </c>
      <c r="L451" s="73">
        <v>-1003.7000000000005</v>
      </c>
    </row>
    <row r="452" spans="11:12" x14ac:dyDescent="0.45">
      <c r="K452" s="5">
        <v>450</v>
      </c>
      <c r="L452" s="73">
        <v>-943.10000000000059</v>
      </c>
    </row>
    <row r="453" spans="11:12" x14ac:dyDescent="0.45">
      <c r="K453" s="5">
        <v>451</v>
      </c>
      <c r="L453" s="73">
        <v>-981.60000000000059</v>
      </c>
    </row>
    <row r="454" spans="11:12" x14ac:dyDescent="0.45">
      <c r="K454" s="5">
        <v>452</v>
      </c>
      <c r="L454" s="73">
        <v>-1016.6000000000006</v>
      </c>
    </row>
    <row r="455" spans="11:12" x14ac:dyDescent="0.45">
      <c r="K455" s="5">
        <v>453</v>
      </c>
      <c r="L455" s="73">
        <v>-1011.2000000000005</v>
      </c>
    </row>
    <row r="456" spans="11:12" x14ac:dyDescent="0.45">
      <c r="K456" s="5">
        <v>454</v>
      </c>
      <c r="L456" s="73">
        <v>-1046.2000000000005</v>
      </c>
    </row>
    <row r="457" spans="11:12" x14ac:dyDescent="0.45">
      <c r="K457" s="5">
        <v>455</v>
      </c>
      <c r="L457" s="73">
        <v>-1045.9000000000005</v>
      </c>
    </row>
    <row r="458" spans="11:12" x14ac:dyDescent="0.45">
      <c r="K458" s="5">
        <v>456</v>
      </c>
      <c r="L458" s="73">
        <v>-1033.9000000000005</v>
      </c>
    </row>
    <row r="459" spans="11:12" x14ac:dyDescent="0.45">
      <c r="K459" s="5">
        <v>457</v>
      </c>
      <c r="L459" s="73">
        <v>-994.2000000000005</v>
      </c>
    </row>
    <row r="460" spans="11:12" x14ac:dyDescent="0.45">
      <c r="K460" s="5">
        <v>458</v>
      </c>
      <c r="L460" s="73">
        <v>-1014.2000000000005</v>
      </c>
    </row>
    <row r="461" spans="11:12" x14ac:dyDescent="0.45">
      <c r="K461" s="5">
        <v>459</v>
      </c>
      <c r="L461" s="73">
        <v>-993.2000000000005</v>
      </c>
    </row>
    <row r="462" spans="11:12" x14ac:dyDescent="0.45">
      <c r="K462" s="5">
        <v>460</v>
      </c>
      <c r="L462" s="73">
        <v>-955.00000000000057</v>
      </c>
    </row>
    <row r="463" spans="11:12" x14ac:dyDescent="0.45">
      <c r="K463" s="5">
        <v>461</v>
      </c>
      <c r="L463" s="73">
        <v>-983.7000000000005</v>
      </c>
    </row>
    <row r="464" spans="11:12" x14ac:dyDescent="0.45">
      <c r="K464" s="5">
        <v>462</v>
      </c>
      <c r="L464" s="73">
        <v>-1027.7000000000005</v>
      </c>
    </row>
    <row r="465" spans="11:12" x14ac:dyDescent="0.45">
      <c r="K465" s="5">
        <v>463</v>
      </c>
      <c r="L465" s="73">
        <v>-1046.6000000000006</v>
      </c>
    </row>
    <row r="466" spans="11:12" x14ac:dyDescent="0.45">
      <c r="K466" s="5">
        <v>464</v>
      </c>
      <c r="L466" s="73">
        <v>-1024.3000000000006</v>
      </c>
    </row>
    <row r="467" spans="11:12" x14ac:dyDescent="0.45">
      <c r="K467" s="5">
        <v>465</v>
      </c>
      <c r="L467" s="73">
        <v>-977.00000000000057</v>
      </c>
    </row>
    <row r="468" spans="11:12" x14ac:dyDescent="0.45">
      <c r="K468" s="5">
        <v>466</v>
      </c>
      <c r="L468" s="73">
        <v>-1011.5000000000006</v>
      </c>
    </row>
    <row r="469" spans="11:12" x14ac:dyDescent="0.45">
      <c r="K469" s="5">
        <v>467</v>
      </c>
      <c r="L469" s="73">
        <v>-1050.2000000000005</v>
      </c>
    </row>
    <row r="470" spans="11:12" x14ac:dyDescent="0.45">
      <c r="K470" s="5">
        <v>468</v>
      </c>
      <c r="L470" s="73">
        <v>-1025.0000000000005</v>
      </c>
    </row>
    <row r="471" spans="11:12" x14ac:dyDescent="0.45">
      <c r="K471" s="5">
        <v>469</v>
      </c>
      <c r="L471" s="73">
        <v>-1004.9000000000005</v>
      </c>
    </row>
    <row r="472" spans="11:12" x14ac:dyDescent="0.45">
      <c r="K472" s="5">
        <v>470</v>
      </c>
      <c r="L472" s="73">
        <v>-980.7000000000005</v>
      </c>
    </row>
    <row r="473" spans="11:12" x14ac:dyDescent="0.45">
      <c r="K473" s="5">
        <v>471</v>
      </c>
      <c r="L473" s="73">
        <v>-981.30000000000052</v>
      </c>
    </row>
    <row r="474" spans="11:12" x14ac:dyDescent="0.45">
      <c r="K474" s="5">
        <v>472</v>
      </c>
      <c r="L474" s="73">
        <v>-1005.1000000000006</v>
      </c>
    </row>
    <row r="475" spans="11:12" x14ac:dyDescent="0.45">
      <c r="K475" s="5">
        <v>473</v>
      </c>
      <c r="L475" s="73">
        <v>-1029.5000000000005</v>
      </c>
    </row>
    <row r="476" spans="11:12" x14ac:dyDescent="0.45">
      <c r="K476" s="5">
        <v>474</v>
      </c>
      <c r="L476" s="73">
        <v>-1062.6000000000006</v>
      </c>
    </row>
    <row r="477" spans="11:12" x14ac:dyDescent="0.45">
      <c r="K477" s="5">
        <v>475</v>
      </c>
      <c r="L477" s="73">
        <v>-1073.5000000000005</v>
      </c>
    </row>
    <row r="478" spans="11:12" x14ac:dyDescent="0.45">
      <c r="K478" s="5">
        <v>476</v>
      </c>
      <c r="L478" s="73">
        <v>-1043.2000000000005</v>
      </c>
    </row>
    <row r="479" spans="11:12" x14ac:dyDescent="0.45">
      <c r="K479" s="5">
        <v>477</v>
      </c>
      <c r="L479" s="73">
        <v>-1070.7000000000005</v>
      </c>
    </row>
    <row r="480" spans="11:12" x14ac:dyDescent="0.45">
      <c r="K480" s="5">
        <v>478</v>
      </c>
      <c r="L480" s="73">
        <v>-1008.1000000000006</v>
      </c>
    </row>
    <row r="481" spans="11:12" x14ac:dyDescent="0.45">
      <c r="K481" s="5">
        <v>479</v>
      </c>
      <c r="L481" s="73">
        <v>-1013.1000000000006</v>
      </c>
    </row>
    <row r="482" spans="11:12" x14ac:dyDescent="0.45">
      <c r="K482" s="5">
        <v>480</v>
      </c>
      <c r="L482" s="73">
        <v>-1049.1000000000006</v>
      </c>
    </row>
    <row r="483" spans="11:12" x14ac:dyDescent="0.45">
      <c r="K483" s="5">
        <v>481</v>
      </c>
      <c r="L483" s="73">
        <v>-1103.8000000000006</v>
      </c>
    </row>
    <row r="484" spans="11:12" x14ac:dyDescent="0.45">
      <c r="K484" s="5">
        <v>482</v>
      </c>
      <c r="L484" s="73">
        <v>-1082.9000000000005</v>
      </c>
    </row>
    <row r="485" spans="11:12" x14ac:dyDescent="0.45">
      <c r="K485" s="5">
        <v>483</v>
      </c>
      <c r="L485" s="73">
        <v>-1092.7000000000005</v>
      </c>
    </row>
    <row r="486" spans="11:12" x14ac:dyDescent="0.45">
      <c r="K486" s="5">
        <v>484</v>
      </c>
      <c r="L486" s="73">
        <v>-1099.6000000000006</v>
      </c>
    </row>
    <row r="487" spans="11:12" x14ac:dyDescent="0.45">
      <c r="K487" s="5">
        <v>485</v>
      </c>
      <c r="L487" s="73">
        <v>-1094.4000000000005</v>
      </c>
    </row>
    <row r="488" spans="11:12" x14ac:dyDescent="0.45">
      <c r="K488" s="5">
        <v>486</v>
      </c>
      <c r="L488" s="73">
        <v>-1029.3000000000006</v>
      </c>
    </row>
    <row r="489" spans="11:12" x14ac:dyDescent="0.45">
      <c r="K489" s="5">
        <v>487</v>
      </c>
      <c r="L489" s="73">
        <v>-1020.6000000000006</v>
      </c>
    </row>
    <row r="490" spans="11:12" x14ac:dyDescent="0.45">
      <c r="K490" s="5">
        <v>488</v>
      </c>
      <c r="L490" s="73">
        <v>-1031.1000000000006</v>
      </c>
    </row>
    <row r="491" spans="11:12" x14ac:dyDescent="0.45">
      <c r="K491" s="5">
        <v>489</v>
      </c>
      <c r="L491" s="73">
        <v>-1030.7000000000005</v>
      </c>
    </row>
    <row r="492" spans="11:12" x14ac:dyDescent="0.45">
      <c r="K492" s="5">
        <v>490</v>
      </c>
      <c r="L492" s="73">
        <v>-1047.8000000000006</v>
      </c>
    </row>
    <row r="493" spans="11:12" x14ac:dyDescent="0.45">
      <c r="K493" s="5">
        <v>491</v>
      </c>
      <c r="L493" s="73">
        <v>-1091.2000000000005</v>
      </c>
    </row>
    <row r="494" spans="11:12" x14ac:dyDescent="0.45">
      <c r="K494" s="5">
        <v>492</v>
      </c>
      <c r="L494" s="73">
        <v>-1074.3000000000006</v>
      </c>
    </row>
    <row r="495" spans="11:12" x14ac:dyDescent="0.45">
      <c r="K495" s="5">
        <v>493</v>
      </c>
      <c r="L495" s="73">
        <v>-1041.9000000000005</v>
      </c>
    </row>
    <row r="496" spans="11:12" x14ac:dyDescent="0.45">
      <c r="K496" s="5">
        <v>494</v>
      </c>
      <c r="L496" s="73">
        <v>-1061.6000000000006</v>
      </c>
    </row>
    <row r="497" spans="11:12" x14ac:dyDescent="0.45">
      <c r="K497" s="5">
        <v>495</v>
      </c>
      <c r="L497" s="73">
        <v>-1036.7000000000005</v>
      </c>
    </row>
    <row r="498" spans="11:12" x14ac:dyDescent="0.45">
      <c r="K498" s="5">
        <v>496</v>
      </c>
      <c r="L498" s="73">
        <v>-996.10000000000059</v>
      </c>
    </row>
    <row r="499" spans="11:12" x14ac:dyDescent="0.45">
      <c r="K499" s="5">
        <v>497</v>
      </c>
      <c r="L499" s="73">
        <v>-957.00000000000057</v>
      </c>
    </row>
    <row r="500" spans="11:12" x14ac:dyDescent="0.45">
      <c r="K500" s="5">
        <v>498</v>
      </c>
      <c r="L500" s="73">
        <v>-914.50000000000057</v>
      </c>
    </row>
    <row r="501" spans="11:12" x14ac:dyDescent="0.45">
      <c r="K501" s="5">
        <v>499</v>
      </c>
      <c r="L501" s="73">
        <v>-914.20000000000061</v>
      </c>
    </row>
    <row r="502" spans="11:12" x14ac:dyDescent="0.45">
      <c r="K502" s="5">
        <v>500</v>
      </c>
      <c r="L502" s="73">
        <v>-897.30000000000064</v>
      </c>
    </row>
    <row r="503" spans="11:12" x14ac:dyDescent="0.45">
      <c r="K503" s="5">
        <v>501</v>
      </c>
      <c r="L503" s="73">
        <v>-931.80000000000064</v>
      </c>
    </row>
    <row r="504" spans="11:12" x14ac:dyDescent="0.45">
      <c r="K504" s="5">
        <v>502</v>
      </c>
      <c r="L504" s="73">
        <v>-957.40000000000055</v>
      </c>
    </row>
    <row r="505" spans="11:12" x14ac:dyDescent="0.45">
      <c r="K505" s="5">
        <v>503</v>
      </c>
      <c r="L505" s="73">
        <v>-972.80000000000064</v>
      </c>
    </row>
    <row r="506" spans="11:12" x14ac:dyDescent="0.45">
      <c r="K506" s="5">
        <v>504</v>
      </c>
      <c r="L506" s="73">
        <v>-980.20000000000061</v>
      </c>
    </row>
    <row r="507" spans="11:12" x14ac:dyDescent="0.45">
      <c r="K507" s="5">
        <v>505</v>
      </c>
      <c r="L507" s="73">
        <v>-912.00000000000057</v>
      </c>
    </row>
    <row r="508" spans="11:12" x14ac:dyDescent="0.45">
      <c r="K508" s="5">
        <v>506</v>
      </c>
      <c r="L508" s="73">
        <v>-939.00000000000057</v>
      </c>
    </row>
    <row r="509" spans="11:12" x14ac:dyDescent="0.45">
      <c r="K509" s="5">
        <v>507</v>
      </c>
      <c r="L509" s="73">
        <v>-971.30000000000064</v>
      </c>
    </row>
    <row r="510" spans="11:12" x14ac:dyDescent="0.45">
      <c r="K510" s="5">
        <v>508</v>
      </c>
      <c r="L510" s="73">
        <v>-1021.4000000000007</v>
      </c>
    </row>
    <row r="511" spans="11:12" x14ac:dyDescent="0.45">
      <c r="K511" s="5">
        <v>509</v>
      </c>
      <c r="L511" s="73">
        <v>-1053.1000000000006</v>
      </c>
    </row>
    <row r="512" spans="11:12" x14ac:dyDescent="0.45">
      <c r="K512" s="5">
        <v>510</v>
      </c>
      <c r="L512" s="73">
        <v>-1110.2000000000007</v>
      </c>
    </row>
    <row r="513" spans="11:12" x14ac:dyDescent="0.45">
      <c r="K513" s="5">
        <v>511</v>
      </c>
      <c r="L513" s="73">
        <v>-1163.2000000000007</v>
      </c>
    </row>
    <row r="514" spans="11:12" x14ac:dyDescent="0.45">
      <c r="K514" s="5">
        <v>512</v>
      </c>
      <c r="L514" s="73">
        <v>-1108.8000000000006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48B88-DEBD-4734-98B1-0D94528A68F6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192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39</v>
      </c>
      <c r="C2" s="132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43">
        <v>316</v>
      </c>
      <c r="C3" s="144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45">
        <v>91.000000000000014</v>
      </c>
      <c r="C4" s="146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9">
        <f>IF(B$2=0,0,B$4/B$2)</f>
        <v>2.3333333333333335</v>
      </c>
      <c r="C5" s="140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37">
        <f>IF(B$2=0,0,(B$7*1+B$8*2+B$9*3)/B$2)</f>
        <v>2.0256410256410255</v>
      </c>
      <c r="C6" s="138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12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38" t="s">
        <v>206</v>
      </c>
      <c r="B13" s="139">
        <f>AVERAGE(B10:B12)</f>
        <v>3.0839682539682549</v>
      </c>
      <c r="C13" s="140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2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5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10</v>
      </c>
      <c r="K24" s="5">
        <v>22</v>
      </c>
      <c r="L24" s="73">
        <v>101.30000000000003</v>
      </c>
    </row>
    <row r="25" spans="1:17" x14ac:dyDescent="0.45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64.700000000000031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40" t="s">
        <v>177</v>
      </c>
      <c r="B33" s="133">
        <v>109300</v>
      </c>
      <c r="C33" s="134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5">
      <c r="A36" s="64" t="s">
        <v>168</v>
      </c>
      <c r="B36" s="126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165</v>
      </c>
      <c r="B38" s="127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166</v>
      </c>
      <c r="B39" s="127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167</v>
      </c>
      <c r="B40" s="127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169</v>
      </c>
      <c r="B41" s="127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170</v>
      </c>
      <c r="B42" s="127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</row>
    <row r="43" spans="1:12" x14ac:dyDescent="0.45">
      <c r="A43" s="37" t="s">
        <v>171</v>
      </c>
      <c r="B43" s="127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7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7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5">
      <c r="A46" s="37" t="s">
        <v>174</v>
      </c>
      <c r="B46" s="127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8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234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61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D11D4-B07E-456B-A94A-224275E822FD}">
  <sheetPr codeName="Sheet13"/>
  <dimension ref="A1:Q434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191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432</v>
      </c>
      <c r="C2" s="132"/>
      <c r="E2" s="43" t="s">
        <v>66</v>
      </c>
      <c r="F2" s="25" t="s">
        <v>22</v>
      </c>
      <c r="G2" s="13">
        <v>819</v>
      </c>
      <c r="H2" s="106">
        <f>IF(B$51=0,0,G2/B$51)</f>
        <v>0.84086242299794656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400</v>
      </c>
      <c r="P2" s="92">
        <v>426</v>
      </c>
      <c r="Q2" s="76">
        <v>170400</v>
      </c>
    </row>
    <row r="3" spans="1:17" x14ac:dyDescent="0.45">
      <c r="A3" s="37" t="s">
        <v>8</v>
      </c>
      <c r="B3" s="143">
        <v>3479</v>
      </c>
      <c r="C3" s="144"/>
      <c r="E3" s="44" t="s">
        <v>72</v>
      </c>
      <c r="F3" s="41" t="s">
        <v>27</v>
      </c>
      <c r="G3" s="34">
        <v>554</v>
      </c>
      <c r="H3" s="107">
        <f>IF(B$51=0,0,G3/B$51)</f>
        <v>0.56878850102669409</v>
      </c>
      <c r="I3" s="68">
        <v>7</v>
      </c>
      <c r="K3" s="5">
        <v>1</v>
      </c>
      <c r="L3" s="73">
        <v>3.9</v>
      </c>
      <c r="N3" s="89" t="s">
        <v>127</v>
      </c>
      <c r="O3" s="96">
        <f t="shared" si="0"/>
        <v>-352.99760191846525</v>
      </c>
      <c r="P3" s="93">
        <v>417</v>
      </c>
      <c r="Q3" s="77">
        <v>-147200</v>
      </c>
    </row>
    <row r="4" spans="1:17" x14ac:dyDescent="0.45">
      <c r="A4" s="37" t="s">
        <v>6</v>
      </c>
      <c r="B4" s="145">
        <v>570.60000000000036</v>
      </c>
      <c r="C4" s="146"/>
      <c r="E4" s="44" t="s">
        <v>64</v>
      </c>
      <c r="F4" s="41" t="s">
        <v>20</v>
      </c>
      <c r="G4" s="34">
        <v>539</v>
      </c>
      <c r="H4" s="107">
        <f>IF(B$51=0,0,G4/B$51)</f>
        <v>0.55338809034907599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290.93264248704662</v>
      </c>
      <c r="P4" s="93">
        <v>386</v>
      </c>
      <c r="Q4" s="77">
        <v>112300</v>
      </c>
    </row>
    <row r="5" spans="1:17" x14ac:dyDescent="0.45">
      <c r="A5" s="37" t="s">
        <v>7</v>
      </c>
      <c r="B5" s="139">
        <f>IF(B$2=0,0,B$4/B$2)</f>
        <v>1.3208333333333342</v>
      </c>
      <c r="C5" s="140"/>
      <c r="E5" s="44" t="s">
        <v>67</v>
      </c>
      <c r="F5" s="41" t="s">
        <v>23</v>
      </c>
      <c r="G5" s="34">
        <v>349</v>
      </c>
      <c r="H5" s="107">
        <f>IF(B$51=0,0,G5/B$51)</f>
        <v>0.35831622176591377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588.25214899713467</v>
      </c>
      <c r="P5" s="93">
        <v>349</v>
      </c>
      <c r="Q5" s="77">
        <v>205300</v>
      </c>
    </row>
    <row r="6" spans="1:17" x14ac:dyDescent="0.45">
      <c r="A6" s="37" t="s">
        <v>1</v>
      </c>
      <c r="B6" s="137">
        <f>IF(B$2=0,0,(B$7*1+B$8*2+B$9*3)/B$2)</f>
        <v>2.0185185185185186</v>
      </c>
      <c r="C6" s="138"/>
      <c r="E6" s="44" t="s">
        <v>68</v>
      </c>
      <c r="F6" s="41" t="s">
        <v>12</v>
      </c>
      <c r="G6" s="34">
        <v>326</v>
      </c>
      <c r="H6" s="107">
        <f>IF(B$51=0,0,G6/B$51)</f>
        <v>0.3347022587268994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-685.89341692789969</v>
      </c>
      <c r="P6" s="93">
        <v>319</v>
      </c>
      <c r="Q6" s="77">
        <v>-218800</v>
      </c>
    </row>
    <row r="7" spans="1:17" x14ac:dyDescent="0.45">
      <c r="A7" s="37" t="s">
        <v>2</v>
      </c>
      <c r="B7" s="34">
        <v>145</v>
      </c>
      <c r="C7" s="31">
        <f t="shared" ref="C7:C14" si="1">IF(B$2=0,0,B7/B$2)</f>
        <v>0.33564814814814814</v>
      </c>
      <c r="E7" s="44" t="s">
        <v>157</v>
      </c>
      <c r="F7" s="41" t="s">
        <v>158</v>
      </c>
      <c r="G7" s="34">
        <v>281</v>
      </c>
      <c r="H7" s="107">
        <f>IF(B$51=0,0,G7/B$51)</f>
        <v>0.28850102669404515</v>
      </c>
      <c r="I7" s="68">
        <v>13</v>
      </c>
      <c r="K7" s="5">
        <v>5</v>
      </c>
      <c r="L7" s="73">
        <v>-80.099999999999994</v>
      </c>
      <c r="N7" s="90" t="s">
        <v>131</v>
      </c>
      <c r="O7" s="97">
        <f t="shared" si="0"/>
        <v>708.0459770114943</v>
      </c>
      <c r="P7" s="94">
        <v>261</v>
      </c>
      <c r="Q7" s="78">
        <v>184800</v>
      </c>
    </row>
    <row r="8" spans="1:17" x14ac:dyDescent="0.45">
      <c r="A8" s="37" t="s">
        <v>3</v>
      </c>
      <c r="B8" s="34">
        <v>134</v>
      </c>
      <c r="C8" s="31">
        <f t="shared" si="1"/>
        <v>0.31018518518518517</v>
      </c>
      <c r="E8" s="44" t="s">
        <v>89</v>
      </c>
      <c r="F8" s="41" t="s">
        <v>44</v>
      </c>
      <c r="G8" s="34">
        <v>179</v>
      </c>
      <c r="H8" s="107">
        <f>IF(B$51=0,0,G8/B$51)</f>
        <v>0.1837782340862423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153</v>
      </c>
      <c r="C9" s="7">
        <f t="shared" si="1"/>
        <v>0.35416666666666669</v>
      </c>
      <c r="E9" s="44" t="s">
        <v>69</v>
      </c>
      <c r="F9" s="41" t="s">
        <v>24</v>
      </c>
      <c r="G9" s="34">
        <v>172</v>
      </c>
      <c r="H9" s="107">
        <f>IF(B$51=0,0,G9/B$51)</f>
        <v>0.17659137577002054</v>
      </c>
      <c r="I9" s="68">
        <v>4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42.24413793103448</v>
      </c>
      <c r="C10" s="121">
        <v>6125.4</v>
      </c>
      <c r="E10" s="44" t="s">
        <v>65</v>
      </c>
      <c r="F10" s="41" t="s">
        <v>21</v>
      </c>
      <c r="G10" s="34">
        <v>121</v>
      </c>
      <c r="H10" s="107">
        <f>IF(B$51=0,0,G10/B$51)</f>
        <v>0.12422997946611909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-5.6633587786259545</v>
      </c>
      <c r="P10" s="92">
        <v>131</v>
      </c>
      <c r="Q10" s="80">
        <v>-741.90000000000009</v>
      </c>
    </row>
    <row r="11" spans="1:17" x14ac:dyDescent="0.45">
      <c r="A11" s="38" t="s">
        <v>204</v>
      </c>
      <c r="B11" s="120">
        <f>IF(B8=0,0,C11/B8)</f>
        <v>-1.1395522388059707</v>
      </c>
      <c r="C11" s="121">
        <v>-152.70000000000007</v>
      </c>
      <c r="E11" s="44" t="s">
        <v>70</v>
      </c>
      <c r="F11" s="41" t="s">
        <v>25</v>
      </c>
      <c r="G11" s="34">
        <v>111</v>
      </c>
      <c r="H11" s="107">
        <f>IF(B$51=0,0,G11/B$51)</f>
        <v>0.11396303901437371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4.1616352201257847</v>
      </c>
      <c r="P11" s="93">
        <v>159</v>
      </c>
      <c r="Q11" s="81">
        <v>661.69999999999982</v>
      </c>
    </row>
    <row r="12" spans="1:17" x14ac:dyDescent="0.45">
      <c r="A12" s="38" t="s">
        <v>205</v>
      </c>
      <c r="B12" s="120">
        <f>IF(B9=0,0,C12/B9)</f>
        <v>-35.307843137254906</v>
      </c>
      <c r="C12" s="121">
        <v>-5402.1</v>
      </c>
      <c r="E12" s="44" t="s">
        <v>86</v>
      </c>
      <c r="F12" s="41" t="s">
        <v>41</v>
      </c>
      <c r="G12" s="34">
        <v>62</v>
      </c>
      <c r="H12" s="107">
        <f>IF(B$51=0,0,G12/B$51)</f>
        <v>6.3655030800821355E-2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5.4899280575539562</v>
      </c>
      <c r="P12" s="94">
        <v>139</v>
      </c>
      <c r="Q12" s="82">
        <v>763.09999999999991</v>
      </c>
    </row>
    <row r="13" spans="1:17" x14ac:dyDescent="0.45">
      <c r="A13" s="38" t="s">
        <v>206</v>
      </c>
      <c r="B13" s="139">
        <f>AVERAGE(B10:B12)</f>
        <v>1.9322475183245349</v>
      </c>
      <c r="C13" s="140"/>
      <c r="E13" s="44" t="s">
        <v>71</v>
      </c>
      <c r="F13" s="41" t="s">
        <v>26</v>
      </c>
      <c r="G13" s="34">
        <v>53</v>
      </c>
      <c r="H13" s="107">
        <f>IF(B$51=0,0,G13/B$51)</f>
        <v>5.4414784394250515E-2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57</v>
      </c>
      <c r="C14" s="32">
        <f t="shared" si="1"/>
        <v>0.13194444444444445</v>
      </c>
      <c r="E14" s="44" t="s">
        <v>83</v>
      </c>
      <c r="F14" s="41" t="s">
        <v>38</v>
      </c>
      <c r="G14" s="34">
        <v>34</v>
      </c>
      <c r="H14" s="107">
        <f>IF(B$51=0,0,G14/B$51)</f>
        <v>3.4907597535934289E-2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1026</v>
      </c>
      <c r="C15" s="11">
        <f>IF(B$50=0,0,B15/B$50)</f>
        <v>0.29808251016850668</v>
      </c>
      <c r="E15" s="44" t="s">
        <v>78</v>
      </c>
      <c r="F15" s="41" t="s">
        <v>33</v>
      </c>
      <c r="G15" s="34">
        <v>28</v>
      </c>
      <c r="H15" s="107">
        <f>IF(B$51=0,0,G15/B$51)</f>
        <v>2.8747433264887063E-2</v>
      </c>
      <c r="I15" s="68">
        <v>7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118</v>
      </c>
      <c r="B16" s="34">
        <v>655</v>
      </c>
      <c r="C16" s="31">
        <f>IF(B$50=0,0,B16/B$50)</f>
        <v>0.19029633933759443</v>
      </c>
      <c r="E16" s="44" t="s">
        <v>91</v>
      </c>
      <c r="F16" s="41" t="s">
        <v>46</v>
      </c>
      <c r="G16" s="34">
        <v>28</v>
      </c>
      <c r="H16" s="107">
        <f>IF(B$51=0,0,G16/B$51)</f>
        <v>2.8747433264887063E-2</v>
      </c>
      <c r="I16" s="68">
        <v>3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19" t="s">
        <v>123</v>
      </c>
      <c r="B17" s="13">
        <v>569</v>
      </c>
      <c r="C17" s="4">
        <f>IF(B$15=0,0,B17/B$15)</f>
        <v>0.55458089668615984</v>
      </c>
      <c r="E17" s="44" t="s">
        <v>153</v>
      </c>
      <c r="F17" s="41" t="s">
        <v>154</v>
      </c>
      <c r="G17" s="34">
        <v>26</v>
      </c>
      <c r="H17" s="107">
        <f>IF(B$51=0,0,G17/B$51)</f>
        <v>2.6694045174537988E-2</v>
      </c>
      <c r="I17" s="68">
        <v>2</v>
      </c>
      <c r="K17" s="5">
        <v>15</v>
      </c>
      <c r="L17" s="73">
        <v>-212.5</v>
      </c>
      <c r="N17" s="89" t="s">
        <v>197</v>
      </c>
      <c r="O17" s="99">
        <f>IF(P17=0,0,Q17/P17)</f>
        <v>19.176470588235297</v>
      </c>
      <c r="P17" s="93">
        <v>34</v>
      </c>
      <c r="Q17" s="81">
        <v>652.00000000000011</v>
      </c>
    </row>
    <row r="18" spans="1:17" x14ac:dyDescent="0.45">
      <c r="A18" s="19" t="s">
        <v>124</v>
      </c>
      <c r="B18" s="13">
        <v>257</v>
      </c>
      <c r="C18" s="4">
        <f>IF(B$16=0,0,B18/B$16)</f>
        <v>0.39236641221374047</v>
      </c>
      <c r="E18" s="44" t="s">
        <v>81</v>
      </c>
      <c r="F18" s="41" t="s">
        <v>36</v>
      </c>
      <c r="G18" s="34">
        <v>22</v>
      </c>
      <c r="H18" s="107">
        <f>IF(B$51=0,0,G18/B$51)</f>
        <v>2.2587268993839837E-2</v>
      </c>
      <c r="I18" s="68">
        <v>10</v>
      </c>
      <c r="K18" s="5">
        <v>16</v>
      </c>
      <c r="L18" s="73">
        <v>-233.2</v>
      </c>
      <c r="N18" s="89" t="s">
        <v>186</v>
      </c>
      <c r="O18" s="99">
        <f>IF(P18=0,0,Q18/P18)</f>
        <v>17.893478260869564</v>
      </c>
      <c r="P18" s="93">
        <v>46</v>
      </c>
      <c r="Q18" s="81">
        <v>823.1</v>
      </c>
    </row>
    <row r="19" spans="1:17" x14ac:dyDescent="0.45">
      <c r="A19" s="19" t="s">
        <v>10</v>
      </c>
      <c r="B19" s="13">
        <v>984</v>
      </c>
      <c r="C19" s="4">
        <f>IF(B$3=0,0,B19/B$3)</f>
        <v>0.2828398965219891</v>
      </c>
      <c r="E19" s="44" t="s">
        <v>79</v>
      </c>
      <c r="F19" s="41" t="s">
        <v>34</v>
      </c>
      <c r="G19" s="34">
        <v>16</v>
      </c>
      <c r="H19" s="107">
        <f>IF(B$51=0,0,G19/B$51)</f>
        <v>1.6427104722792608E-2</v>
      </c>
      <c r="I19" s="68">
        <v>8</v>
      </c>
      <c r="K19" s="5">
        <v>17</v>
      </c>
      <c r="L19" s="73">
        <v>-268.7</v>
      </c>
      <c r="N19" s="89" t="s">
        <v>188</v>
      </c>
      <c r="O19" s="99">
        <f>IF(P19=0,0,Q19/P19)</f>
        <v>14.213333333333333</v>
      </c>
      <c r="P19" s="93">
        <v>75</v>
      </c>
      <c r="Q19" s="81">
        <v>1066</v>
      </c>
    </row>
    <row r="20" spans="1:17" x14ac:dyDescent="0.45">
      <c r="A20" s="37" t="s">
        <v>13</v>
      </c>
      <c r="B20" s="34">
        <v>636</v>
      </c>
      <c r="C20" s="31">
        <f>IF(B$3=0,0,B20/B$3)</f>
        <v>0.18281115263006611</v>
      </c>
      <c r="E20" s="44" t="s">
        <v>92</v>
      </c>
      <c r="F20" s="41" t="s">
        <v>47</v>
      </c>
      <c r="G20" s="34">
        <v>12</v>
      </c>
      <c r="H20" s="107">
        <f>IF(B$51=0,0,G20/B$51)</f>
        <v>1.2320328542094456E-2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5">
      <c r="A21" s="37" t="s">
        <v>12</v>
      </c>
      <c r="B21" s="34">
        <v>446</v>
      </c>
      <c r="C21" s="31">
        <f>IF(B$19=0,0,B21/B$19)</f>
        <v>0.4532520325203252</v>
      </c>
      <c r="E21" s="44" t="s">
        <v>73</v>
      </c>
      <c r="F21" s="41" t="s">
        <v>28</v>
      </c>
      <c r="G21" s="34">
        <v>9</v>
      </c>
      <c r="H21" s="107">
        <f>IF(B$51=0,0,G21/B$51)</f>
        <v>9.2402464065708418E-3</v>
      </c>
      <c r="I21" s="68">
        <v>3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11</v>
      </c>
      <c r="B22" s="34">
        <v>538</v>
      </c>
      <c r="C22" s="31">
        <f>IF(B$19=0,0,B22/B$19)</f>
        <v>0.5467479674796748</v>
      </c>
      <c r="E22" s="44" t="s">
        <v>75</v>
      </c>
      <c r="F22" s="41" t="s">
        <v>30</v>
      </c>
      <c r="G22" s="34">
        <v>9</v>
      </c>
      <c r="H22" s="107">
        <f>IF(B$51=0,0,G22/B$51)</f>
        <v>9.2402464065708418E-3</v>
      </c>
      <c r="I22" s="68">
        <v>2</v>
      </c>
      <c r="K22" s="5">
        <v>20</v>
      </c>
      <c r="L22" s="73">
        <v>-270</v>
      </c>
      <c r="N22" s="89" t="s">
        <v>189</v>
      </c>
      <c r="O22" s="99">
        <f>IF(P22=0,0,Q22/P22)</f>
        <v>3.8647058823529403</v>
      </c>
      <c r="P22" s="93">
        <v>17</v>
      </c>
      <c r="Q22" s="81">
        <v>65.699999999999989</v>
      </c>
    </row>
    <row r="23" spans="1:17" x14ac:dyDescent="0.45">
      <c r="A23" s="37" t="s">
        <v>180</v>
      </c>
      <c r="B23" s="34">
        <v>569</v>
      </c>
      <c r="C23" s="31">
        <f>IF(B$19=0,0,B23/B$19)</f>
        <v>0.5782520325203252</v>
      </c>
      <c r="E23" s="44" t="s">
        <v>77</v>
      </c>
      <c r="F23" s="41" t="s">
        <v>32</v>
      </c>
      <c r="G23" s="34">
        <v>6</v>
      </c>
      <c r="H23" s="107">
        <f>IF(B$51=0,0,G23/B$51)</f>
        <v>6.1601642710472282E-3</v>
      </c>
      <c r="I23" s="68">
        <v>5</v>
      </c>
      <c r="K23" s="5">
        <v>21</v>
      </c>
      <c r="L23" s="73">
        <v>-242</v>
      </c>
      <c r="N23" s="89" t="s">
        <v>193</v>
      </c>
      <c r="O23" s="99">
        <f>IF(P23=0,0,Q23/P23)</f>
        <v>2.6853333333333302</v>
      </c>
      <c r="P23" s="93">
        <v>150</v>
      </c>
      <c r="Q23" s="81">
        <v>402.79999999999956</v>
      </c>
    </row>
    <row r="24" spans="1:17" x14ac:dyDescent="0.45">
      <c r="A24" s="37" t="s">
        <v>178</v>
      </c>
      <c r="B24" s="34">
        <v>257</v>
      </c>
      <c r="C24" s="31">
        <f>IF(B$19=0,0,B24/B$19)</f>
        <v>0.26117886178861788</v>
      </c>
      <c r="E24" s="44" t="s">
        <v>84</v>
      </c>
      <c r="F24" s="41" t="s">
        <v>39</v>
      </c>
      <c r="G24" s="34">
        <v>6</v>
      </c>
      <c r="H24" s="107">
        <f>IF(B$51=0,0,G24/B$51)</f>
        <v>6.1601642710472282E-3</v>
      </c>
      <c r="I24" s="68">
        <v>1</v>
      </c>
      <c r="K24" s="5">
        <v>22</v>
      </c>
      <c r="L24" s="73">
        <v>-202.9</v>
      </c>
      <c r="N24" s="89" t="s">
        <v>187</v>
      </c>
      <c r="O24" s="99">
        <f>IF(P24=0,0,Q24/P24)</f>
        <v>-0.42878787878788066</v>
      </c>
      <c r="P24" s="93">
        <v>132</v>
      </c>
      <c r="Q24" s="81">
        <v>-56.60000000000025</v>
      </c>
    </row>
    <row r="25" spans="1:17" x14ac:dyDescent="0.45">
      <c r="A25" s="37" t="s">
        <v>179</v>
      </c>
      <c r="B25" s="34">
        <v>158</v>
      </c>
      <c r="C25" s="31">
        <f>IF(B$19=0,0,B25/B$19)</f>
        <v>0.16056910569105692</v>
      </c>
      <c r="E25" s="44" t="s">
        <v>85</v>
      </c>
      <c r="F25" s="41" t="s">
        <v>40</v>
      </c>
      <c r="G25" s="34">
        <v>5</v>
      </c>
      <c r="H25" s="107">
        <f>IF(B$51=0,0,G25/B$51)</f>
        <v>5.1334702258726897E-3</v>
      </c>
      <c r="I25" s="68">
        <v>4</v>
      </c>
      <c r="K25" s="5">
        <v>23</v>
      </c>
      <c r="L25" s="73">
        <v>-200.9</v>
      </c>
      <c r="N25" s="89" t="s">
        <v>190</v>
      </c>
      <c r="O25" s="99">
        <f>IF(P25=0,0,Q25/P25)</f>
        <v>-1.1939130434782612</v>
      </c>
      <c r="P25" s="93">
        <v>115</v>
      </c>
      <c r="Q25" s="81">
        <v>-137.30000000000004</v>
      </c>
    </row>
    <row r="26" spans="1:17" x14ac:dyDescent="0.45">
      <c r="A26" s="37" t="s">
        <v>5</v>
      </c>
      <c r="B26" s="17">
        <f>IF(B$19=0,0,C26/B$19)</f>
        <v>10634.146341463415</v>
      </c>
      <c r="C26" s="8">
        <v>10464000</v>
      </c>
      <c r="E26" s="44" t="s">
        <v>93</v>
      </c>
      <c r="F26" s="41" t="s">
        <v>48</v>
      </c>
      <c r="G26" s="34">
        <v>4</v>
      </c>
      <c r="H26" s="107">
        <f>IF(B$51=0,0,G26/B$51)</f>
        <v>4.1067761806981521E-3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-5.1698473282442743</v>
      </c>
      <c r="P26" s="93">
        <v>262</v>
      </c>
      <c r="Q26" s="81">
        <v>-1354.4999999999998</v>
      </c>
    </row>
    <row r="27" spans="1:17" x14ac:dyDescent="0.45">
      <c r="A27" s="38" t="s">
        <v>162</v>
      </c>
      <c r="B27" s="114">
        <f>IF($B$19-B$18=0,0,C27/($B$19-B$18))</f>
        <v>11335.488308115544</v>
      </c>
      <c r="C27" s="115">
        <v>8240900</v>
      </c>
      <c r="E27" s="44" t="s">
        <v>90</v>
      </c>
      <c r="F27" s="41" t="s">
        <v>45</v>
      </c>
      <c r="G27" s="34">
        <v>3</v>
      </c>
      <c r="H27" s="107">
        <f>IF(B$51=0,0,G27/B$51)</f>
        <v>3.0800821355236141E-3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38" t="s">
        <v>163</v>
      </c>
      <c r="B28" s="114">
        <f>IF(B$18=0,0,C28/B$18)</f>
        <v>8650.1945525291831</v>
      </c>
      <c r="C28" s="115">
        <v>2223100</v>
      </c>
      <c r="E28" s="44" t="s">
        <v>87</v>
      </c>
      <c r="F28" s="41" t="s">
        <v>42</v>
      </c>
      <c r="G28" s="34">
        <v>2</v>
      </c>
      <c r="H28" s="107">
        <f>IF(B$51=0,0,G28/B$51)</f>
        <v>2.0533880903490761E-3</v>
      </c>
      <c r="I28" s="68">
        <v>8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38" t="s">
        <v>161</v>
      </c>
      <c r="B29" s="114">
        <f>IF(B$20=0,0,C29/B$20)</f>
        <v>-8594.6540880503144</v>
      </c>
      <c r="C29" s="115">
        <v>-5466200</v>
      </c>
      <c r="E29" s="44" t="s">
        <v>74</v>
      </c>
      <c r="F29" s="41" t="s">
        <v>29</v>
      </c>
      <c r="G29" s="34">
        <v>1</v>
      </c>
      <c r="H29" s="107">
        <f>IF(B$51=0,0,G29/B$51)</f>
        <v>1.026694045174538E-3</v>
      </c>
      <c r="I29" s="68">
        <v>9</v>
      </c>
      <c r="K29" s="5">
        <v>27</v>
      </c>
      <c r="L29" s="73">
        <v>-296.29999999999995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1.026694045174538E-3</v>
      </c>
      <c r="I30" s="68">
        <v>6</v>
      </c>
      <c r="K30" s="5">
        <v>28</v>
      </c>
      <c r="L30" s="73">
        <v>-290.19999999999993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1.026694045174538E-3</v>
      </c>
      <c r="I31" s="68">
        <v>5</v>
      </c>
      <c r="K31" s="5">
        <v>29</v>
      </c>
      <c r="L31" s="73">
        <v>-239.19999999999993</v>
      </c>
    </row>
    <row r="32" spans="1:17" x14ac:dyDescent="0.45">
      <c r="A32" s="64" t="s">
        <v>134</v>
      </c>
      <c r="B32" s="135">
        <v>8</v>
      </c>
      <c r="C32" s="136"/>
      <c r="E32" s="44" t="s">
        <v>97</v>
      </c>
      <c r="F32" s="41" t="s">
        <v>52</v>
      </c>
      <c r="G32" s="34">
        <v>1</v>
      </c>
      <c r="H32" s="107">
        <f>IF(B$51=0,0,G32/B$51)</f>
        <v>1.026694045174538E-3</v>
      </c>
      <c r="I32" s="68">
        <v>2</v>
      </c>
      <c r="K32" s="5">
        <v>30</v>
      </c>
      <c r="L32" s="73">
        <v>-257.29999999999995</v>
      </c>
    </row>
    <row r="33" spans="1:12" x14ac:dyDescent="0.45">
      <c r="A33" s="40" t="s">
        <v>177</v>
      </c>
      <c r="B33" s="133">
        <v>124700</v>
      </c>
      <c r="C33" s="134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5">
      <c r="A34" s="39" t="s">
        <v>135</v>
      </c>
      <c r="B34" s="27">
        <v>12</v>
      </c>
      <c r="C34" s="32">
        <f>IF(B$3=0,0,B34/B$3)</f>
        <v>3.4492670307559644E-3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64" t="s">
        <v>168</v>
      </c>
      <c r="B36" s="126">
        <v>31</v>
      </c>
      <c r="C36" s="119">
        <f>IF(B$19=0,0,B36/B$19)</f>
        <v>3.1504065040650404E-2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5">
      <c r="A37" s="37" t="s">
        <v>164</v>
      </c>
      <c r="B37" s="34">
        <v>97</v>
      </c>
      <c r="C37" s="31">
        <f t="shared" ref="C37:C48" si="2">IF(B$19=0,0,B37/B$19)</f>
        <v>9.8577235772357719E-2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165</v>
      </c>
      <c r="B38" s="127">
        <v>141</v>
      </c>
      <c r="C38" s="31">
        <f>IF(B$19=0,0,B38/B$19)</f>
        <v>0.14329268292682926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166</v>
      </c>
      <c r="B39" s="127">
        <v>196</v>
      </c>
      <c r="C39" s="31">
        <f t="shared" si="2"/>
        <v>0.1991869918699187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167</v>
      </c>
      <c r="B40" s="127">
        <v>185</v>
      </c>
      <c r="C40" s="31">
        <f t="shared" si="2"/>
        <v>0.18800813008130082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169</v>
      </c>
      <c r="B41" s="127">
        <v>117</v>
      </c>
      <c r="C41" s="31">
        <f t="shared" si="2"/>
        <v>0.11890243902439024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170</v>
      </c>
      <c r="B42" s="127">
        <v>77</v>
      </c>
      <c r="C42" s="31">
        <f t="shared" si="2"/>
        <v>7.8252032520325199E-2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-378.59999999999991</v>
      </c>
    </row>
    <row r="43" spans="1:12" x14ac:dyDescent="0.45">
      <c r="A43" s="37" t="s">
        <v>171</v>
      </c>
      <c r="B43" s="127">
        <v>51</v>
      </c>
      <c r="C43" s="31">
        <f t="shared" si="2"/>
        <v>5.1829268292682924E-2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7" t="s">
        <v>172</v>
      </c>
      <c r="B44" s="127">
        <v>33</v>
      </c>
      <c r="C44" s="31">
        <f t="shared" si="2"/>
        <v>3.3536585365853661E-2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A45" s="37" t="s">
        <v>173</v>
      </c>
      <c r="B45" s="127">
        <v>12</v>
      </c>
      <c r="C45" s="31">
        <f t="shared" si="2"/>
        <v>1.2195121951219513E-2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37" t="s">
        <v>174</v>
      </c>
      <c r="B46" s="127">
        <v>8</v>
      </c>
      <c r="C46" s="31">
        <f t="shared" si="2"/>
        <v>8.130081300813009E-3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7" t="s">
        <v>175</v>
      </c>
      <c r="B47" s="127">
        <v>4</v>
      </c>
      <c r="C47" s="31">
        <f t="shared" si="2"/>
        <v>4.0650406504065045E-3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A48" s="39" t="s">
        <v>176</v>
      </c>
      <c r="B48" s="128">
        <v>22</v>
      </c>
      <c r="C48" s="32">
        <f t="shared" si="2"/>
        <v>2.2357723577235773E-2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5">
      <c r="A50" s="64" t="s">
        <v>181</v>
      </c>
      <c r="B50" s="131">
        <v>3442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5">
      <c r="A51" s="39" t="s">
        <v>182</v>
      </c>
      <c r="B51" s="129">
        <v>974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5">
      <c r="K53" s="5">
        <v>51</v>
      </c>
      <c r="L53" s="73">
        <v>-409.99999999999994</v>
      </c>
    </row>
    <row r="54" spans="1:12" x14ac:dyDescent="0.45">
      <c r="K54" s="5">
        <v>52</v>
      </c>
      <c r="L54" s="73">
        <v>-426.39999999999992</v>
      </c>
    </row>
    <row r="55" spans="1:12" x14ac:dyDescent="0.45">
      <c r="K55" s="5">
        <v>53</v>
      </c>
      <c r="L55" s="73">
        <v>-399.89999999999992</v>
      </c>
    </row>
    <row r="56" spans="1:12" x14ac:dyDescent="0.45">
      <c r="K56" s="5">
        <v>54</v>
      </c>
      <c r="L56" s="73">
        <v>-411.19999999999993</v>
      </c>
    </row>
    <row r="57" spans="1:12" x14ac:dyDescent="0.45">
      <c r="K57" s="5">
        <v>55</v>
      </c>
      <c r="L57" s="73">
        <v>-420.49999999999994</v>
      </c>
    </row>
    <row r="58" spans="1:12" x14ac:dyDescent="0.45">
      <c r="K58" s="5">
        <v>56</v>
      </c>
      <c r="L58" s="73">
        <v>-395.39999999999992</v>
      </c>
    </row>
    <row r="59" spans="1:12" x14ac:dyDescent="0.45">
      <c r="K59" s="5">
        <v>57</v>
      </c>
      <c r="L59" s="73">
        <v>-428.89999999999992</v>
      </c>
    </row>
    <row r="60" spans="1:12" x14ac:dyDescent="0.45">
      <c r="K60" s="5">
        <v>58</v>
      </c>
      <c r="L60" s="73">
        <v>-466.39999999999992</v>
      </c>
    </row>
    <row r="61" spans="1:12" x14ac:dyDescent="0.45">
      <c r="K61" s="5">
        <v>59</v>
      </c>
      <c r="L61" s="73">
        <v>-475.7999999999999</v>
      </c>
    </row>
    <row r="62" spans="1:12" x14ac:dyDescent="0.45">
      <c r="K62" s="5">
        <v>60</v>
      </c>
      <c r="L62" s="73">
        <v>-475.2999999999999</v>
      </c>
    </row>
    <row r="63" spans="1:12" x14ac:dyDescent="0.45">
      <c r="K63" s="5">
        <v>61</v>
      </c>
      <c r="L63" s="73">
        <v>-487.39999999999992</v>
      </c>
    </row>
    <row r="64" spans="1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  <row r="354" spans="11:12" x14ac:dyDescent="0.45">
      <c r="K354" s="5">
        <v>352</v>
      </c>
      <c r="L354" s="73">
        <v>275.8000000000003</v>
      </c>
    </row>
    <row r="355" spans="11:12" x14ac:dyDescent="0.45">
      <c r="K355" s="5">
        <v>353</v>
      </c>
      <c r="L355" s="73">
        <v>291.40000000000032</v>
      </c>
    </row>
    <row r="356" spans="11:12" x14ac:dyDescent="0.45">
      <c r="K356" s="5">
        <v>354</v>
      </c>
      <c r="L356" s="73">
        <v>313.10000000000036</v>
      </c>
    </row>
    <row r="357" spans="11:12" x14ac:dyDescent="0.45">
      <c r="K357" s="5">
        <v>355</v>
      </c>
      <c r="L357" s="73">
        <v>312.10000000000036</v>
      </c>
    </row>
    <row r="358" spans="11:12" x14ac:dyDescent="0.45">
      <c r="K358" s="5">
        <v>356</v>
      </c>
      <c r="L358" s="73">
        <v>256.10000000000036</v>
      </c>
    </row>
    <row r="359" spans="11:12" x14ac:dyDescent="0.45">
      <c r="K359" s="5">
        <v>357</v>
      </c>
      <c r="L359" s="73">
        <v>233.80000000000041</v>
      </c>
    </row>
    <row r="360" spans="11:12" x14ac:dyDescent="0.45">
      <c r="K360" s="5">
        <v>358</v>
      </c>
      <c r="L360" s="73">
        <v>294.00000000000045</v>
      </c>
    </row>
    <row r="361" spans="11:12" x14ac:dyDescent="0.45">
      <c r="K361" s="5">
        <v>359</v>
      </c>
      <c r="L361" s="73">
        <v>381.10000000000048</v>
      </c>
    </row>
    <row r="362" spans="11:12" x14ac:dyDescent="0.45">
      <c r="K362" s="5">
        <v>360</v>
      </c>
      <c r="L362" s="73">
        <v>347.80000000000052</v>
      </c>
    </row>
    <row r="363" spans="11:12" x14ac:dyDescent="0.45">
      <c r="K363" s="5">
        <v>361</v>
      </c>
      <c r="L363" s="73">
        <v>297.40000000000055</v>
      </c>
    </row>
    <row r="364" spans="11:12" x14ac:dyDescent="0.45">
      <c r="K364" s="5">
        <v>362</v>
      </c>
      <c r="L364" s="73">
        <v>298.7000000000005</v>
      </c>
    </row>
    <row r="365" spans="11:12" x14ac:dyDescent="0.45">
      <c r="K365" s="5">
        <v>363</v>
      </c>
      <c r="L365" s="73">
        <v>284.30000000000052</v>
      </c>
    </row>
    <row r="366" spans="11:12" x14ac:dyDescent="0.45">
      <c r="K366" s="5">
        <v>364</v>
      </c>
      <c r="L366" s="73">
        <v>296.50000000000057</v>
      </c>
    </row>
    <row r="367" spans="11:12" x14ac:dyDescent="0.45">
      <c r="K367" s="5">
        <v>365</v>
      </c>
      <c r="L367" s="73">
        <v>246.00000000000057</v>
      </c>
    </row>
    <row r="368" spans="11:12" x14ac:dyDescent="0.45">
      <c r="K368" s="5">
        <v>366</v>
      </c>
      <c r="L368" s="73">
        <v>180.50000000000057</v>
      </c>
    </row>
    <row r="369" spans="11:12" x14ac:dyDescent="0.45">
      <c r="K369" s="5">
        <v>367</v>
      </c>
      <c r="L369" s="73">
        <v>150.00000000000057</v>
      </c>
    </row>
    <row r="370" spans="11:12" x14ac:dyDescent="0.45">
      <c r="K370" s="5">
        <v>368</v>
      </c>
      <c r="L370" s="73">
        <v>206.30000000000052</v>
      </c>
    </row>
    <row r="371" spans="11:12" x14ac:dyDescent="0.45">
      <c r="K371" s="5">
        <v>369</v>
      </c>
      <c r="L371" s="73">
        <v>169.10000000000053</v>
      </c>
    </row>
    <row r="372" spans="11:12" x14ac:dyDescent="0.45">
      <c r="K372" s="5">
        <v>370</v>
      </c>
      <c r="L372" s="73">
        <v>204.80000000000052</v>
      </c>
    </row>
    <row r="373" spans="11:12" x14ac:dyDescent="0.45">
      <c r="K373" s="5">
        <v>371</v>
      </c>
      <c r="L373" s="73">
        <v>187.2000000000005</v>
      </c>
    </row>
    <row r="374" spans="11:12" x14ac:dyDescent="0.45">
      <c r="K374" s="5">
        <v>372</v>
      </c>
      <c r="L374" s="73">
        <v>140.2000000000005</v>
      </c>
    </row>
    <row r="375" spans="11:12" x14ac:dyDescent="0.45">
      <c r="K375" s="5">
        <v>373</v>
      </c>
      <c r="L375" s="73">
        <v>127.2000000000005</v>
      </c>
    </row>
    <row r="376" spans="11:12" x14ac:dyDescent="0.45">
      <c r="K376" s="5">
        <v>374</v>
      </c>
      <c r="L376" s="73">
        <v>187.90000000000055</v>
      </c>
    </row>
    <row r="377" spans="11:12" x14ac:dyDescent="0.45">
      <c r="K377" s="5">
        <v>375</v>
      </c>
      <c r="L377" s="73">
        <v>219.10000000000059</v>
      </c>
    </row>
    <row r="378" spans="11:12" x14ac:dyDescent="0.45">
      <c r="K378" s="5">
        <v>376</v>
      </c>
      <c r="L378" s="73">
        <v>223.60000000000059</v>
      </c>
    </row>
    <row r="379" spans="11:12" x14ac:dyDescent="0.45">
      <c r="K379" s="5">
        <v>377</v>
      </c>
      <c r="L379" s="73">
        <v>230.10000000000059</v>
      </c>
    </row>
    <row r="380" spans="11:12" x14ac:dyDescent="0.45">
      <c r="K380" s="5">
        <v>378</v>
      </c>
      <c r="L380" s="73">
        <v>263.50000000000057</v>
      </c>
    </row>
    <row r="381" spans="11:12" x14ac:dyDescent="0.45">
      <c r="K381" s="5">
        <v>379</v>
      </c>
      <c r="L381" s="73">
        <v>231.70000000000061</v>
      </c>
    </row>
    <row r="382" spans="11:12" x14ac:dyDescent="0.45">
      <c r="K382" s="5">
        <v>380</v>
      </c>
      <c r="L382" s="73">
        <v>256.90000000000066</v>
      </c>
    </row>
    <row r="383" spans="11:12" x14ac:dyDescent="0.45">
      <c r="K383" s="5">
        <v>381</v>
      </c>
      <c r="L383" s="73">
        <v>262.90000000000066</v>
      </c>
    </row>
    <row r="384" spans="11:12" x14ac:dyDescent="0.45">
      <c r="K384" s="5">
        <v>382</v>
      </c>
      <c r="L384" s="73">
        <v>209.90000000000066</v>
      </c>
    </row>
    <row r="385" spans="11:12" x14ac:dyDescent="0.45">
      <c r="K385" s="5">
        <v>383</v>
      </c>
      <c r="L385" s="73">
        <v>226.50000000000068</v>
      </c>
    </row>
    <row r="386" spans="11:12" x14ac:dyDescent="0.45">
      <c r="K386" s="5">
        <v>384</v>
      </c>
      <c r="L386" s="73">
        <v>203.30000000000064</v>
      </c>
    </row>
    <row r="387" spans="11:12" x14ac:dyDescent="0.45">
      <c r="K387" s="5">
        <v>385</v>
      </c>
      <c r="L387" s="73">
        <v>155.90000000000066</v>
      </c>
    </row>
    <row r="388" spans="11:12" x14ac:dyDescent="0.45">
      <c r="K388" s="5">
        <v>386</v>
      </c>
      <c r="L388" s="73">
        <v>171.00000000000068</v>
      </c>
    </row>
    <row r="389" spans="11:12" x14ac:dyDescent="0.45">
      <c r="K389" s="5">
        <v>387</v>
      </c>
      <c r="L389" s="73">
        <v>124.90000000000066</v>
      </c>
    </row>
    <row r="390" spans="11:12" x14ac:dyDescent="0.45">
      <c r="K390" s="5">
        <v>388</v>
      </c>
      <c r="L390" s="73">
        <v>199.00000000000068</v>
      </c>
    </row>
    <row r="391" spans="11:12" x14ac:dyDescent="0.45">
      <c r="K391" s="5">
        <v>389</v>
      </c>
      <c r="L391" s="73">
        <v>189.50000000000068</v>
      </c>
    </row>
    <row r="392" spans="11:12" x14ac:dyDescent="0.45">
      <c r="K392" s="5">
        <v>390</v>
      </c>
      <c r="L392" s="73">
        <v>245.00000000000068</v>
      </c>
    </row>
    <row r="393" spans="11:12" x14ac:dyDescent="0.45">
      <c r="K393" s="5">
        <v>391</v>
      </c>
      <c r="L393" s="73">
        <v>273.20000000000073</v>
      </c>
    </row>
    <row r="394" spans="11:12" x14ac:dyDescent="0.45">
      <c r="K394" s="5">
        <v>392</v>
      </c>
      <c r="L394" s="73">
        <v>268.50000000000068</v>
      </c>
    </row>
    <row r="395" spans="11:12" x14ac:dyDescent="0.45">
      <c r="K395" s="5">
        <v>393</v>
      </c>
      <c r="L395" s="73">
        <v>298.50000000000068</v>
      </c>
    </row>
    <row r="396" spans="11:12" x14ac:dyDescent="0.45">
      <c r="K396" s="5">
        <v>394</v>
      </c>
      <c r="L396" s="73">
        <v>357.50000000000068</v>
      </c>
    </row>
    <row r="397" spans="11:12" x14ac:dyDescent="0.45">
      <c r="K397" s="5">
        <v>395</v>
      </c>
      <c r="L397" s="73">
        <v>374.00000000000068</v>
      </c>
    </row>
    <row r="398" spans="11:12" x14ac:dyDescent="0.45">
      <c r="K398" s="5">
        <v>396</v>
      </c>
      <c r="L398" s="73">
        <v>388.80000000000064</v>
      </c>
    </row>
    <row r="399" spans="11:12" x14ac:dyDescent="0.45">
      <c r="K399" s="5">
        <v>397</v>
      </c>
      <c r="L399" s="73">
        <v>370.10000000000059</v>
      </c>
    </row>
    <row r="400" spans="11:12" x14ac:dyDescent="0.45">
      <c r="K400" s="5">
        <v>398</v>
      </c>
      <c r="L400" s="73">
        <v>431.00000000000057</v>
      </c>
    </row>
    <row r="401" spans="11:12" x14ac:dyDescent="0.45">
      <c r="K401" s="5">
        <v>399</v>
      </c>
      <c r="L401" s="73">
        <v>416.60000000000059</v>
      </c>
    </row>
    <row r="402" spans="11:12" x14ac:dyDescent="0.45">
      <c r="K402" s="5">
        <v>400</v>
      </c>
      <c r="L402" s="73">
        <v>374.60000000000059</v>
      </c>
    </row>
    <row r="403" spans="11:12" x14ac:dyDescent="0.45">
      <c r="K403" s="5">
        <v>401</v>
      </c>
      <c r="L403" s="73">
        <v>431.00000000000057</v>
      </c>
    </row>
    <row r="404" spans="11:12" x14ac:dyDescent="0.45">
      <c r="K404" s="5">
        <v>402</v>
      </c>
      <c r="L404" s="73">
        <v>471.40000000000055</v>
      </c>
    </row>
    <row r="405" spans="11:12" x14ac:dyDescent="0.45">
      <c r="K405" s="5">
        <v>403</v>
      </c>
      <c r="L405" s="73">
        <v>452.80000000000052</v>
      </c>
    </row>
    <row r="406" spans="11:12" x14ac:dyDescent="0.45">
      <c r="K406" s="5">
        <v>404</v>
      </c>
      <c r="L406" s="73">
        <v>466.60000000000048</v>
      </c>
    </row>
    <row r="407" spans="11:12" x14ac:dyDescent="0.45">
      <c r="K407" s="5">
        <v>405</v>
      </c>
      <c r="L407" s="73">
        <v>417.90000000000043</v>
      </c>
    </row>
    <row r="408" spans="11:12" x14ac:dyDescent="0.45">
      <c r="K408" s="5">
        <v>406</v>
      </c>
      <c r="L408" s="73">
        <v>447.10000000000048</v>
      </c>
    </row>
    <row r="409" spans="11:12" x14ac:dyDescent="0.45">
      <c r="K409" s="5">
        <v>407</v>
      </c>
      <c r="L409" s="73">
        <v>519.40000000000043</v>
      </c>
    </row>
    <row r="410" spans="11:12" x14ac:dyDescent="0.45">
      <c r="K410" s="5">
        <v>408</v>
      </c>
      <c r="L410" s="73">
        <v>563.20000000000039</v>
      </c>
    </row>
    <row r="411" spans="11:12" x14ac:dyDescent="0.45">
      <c r="K411" s="5">
        <v>409</v>
      </c>
      <c r="L411" s="73">
        <v>560.30000000000041</v>
      </c>
    </row>
    <row r="412" spans="11:12" x14ac:dyDescent="0.45">
      <c r="K412" s="5">
        <v>410</v>
      </c>
      <c r="L412" s="73">
        <v>596.10000000000036</v>
      </c>
    </row>
    <row r="413" spans="11:12" x14ac:dyDescent="0.45">
      <c r="K413" s="5">
        <v>411</v>
      </c>
      <c r="L413" s="73">
        <v>624.70000000000039</v>
      </c>
    </row>
    <row r="414" spans="11:12" x14ac:dyDescent="0.45">
      <c r="K414" s="5">
        <v>412</v>
      </c>
      <c r="L414" s="73">
        <v>590.60000000000036</v>
      </c>
    </row>
    <row r="415" spans="11:12" x14ac:dyDescent="0.45">
      <c r="K415" s="5">
        <v>413</v>
      </c>
      <c r="L415" s="73">
        <v>581.20000000000039</v>
      </c>
    </row>
    <row r="416" spans="11:12" x14ac:dyDescent="0.45">
      <c r="K416" s="5">
        <v>414</v>
      </c>
      <c r="L416" s="73">
        <v>606.80000000000041</v>
      </c>
    </row>
    <row r="417" spans="11:12" x14ac:dyDescent="0.45">
      <c r="K417" s="5">
        <v>415</v>
      </c>
      <c r="L417" s="73">
        <v>580.10000000000036</v>
      </c>
    </row>
    <row r="418" spans="11:12" x14ac:dyDescent="0.45">
      <c r="K418" s="5">
        <v>416</v>
      </c>
      <c r="L418" s="73">
        <v>553.20000000000039</v>
      </c>
    </row>
    <row r="419" spans="11:12" x14ac:dyDescent="0.45">
      <c r="K419" s="5">
        <v>417</v>
      </c>
      <c r="L419" s="73">
        <v>596.70000000000039</v>
      </c>
    </row>
    <row r="420" spans="11:12" x14ac:dyDescent="0.45">
      <c r="K420" s="5">
        <v>418</v>
      </c>
      <c r="L420" s="73">
        <v>589.20000000000039</v>
      </c>
    </row>
    <row r="421" spans="11:12" x14ac:dyDescent="0.45">
      <c r="K421" s="5">
        <v>419</v>
      </c>
      <c r="L421" s="73">
        <v>554.50000000000034</v>
      </c>
    </row>
    <row r="422" spans="11:12" x14ac:dyDescent="0.45">
      <c r="K422" s="5">
        <v>420</v>
      </c>
      <c r="L422" s="73">
        <v>579.10000000000036</v>
      </c>
    </row>
    <row r="423" spans="11:12" x14ac:dyDescent="0.45">
      <c r="K423" s="5">
        <v>421</v>
      </c>
      <c r="L423" s="73">
        <v>529.70000000000039</v>
      </c>
    </row>
    <row r="424" spans="11:12" x14ac:dyDescent="0.45">
      <c r="K424" s="5">
        <v>422</v>
      </c>
      <c r="L424" s="73">
        <v>578.30000000000041</v>
      </c>
    </row>
    <row r="425" spans="11:12" x14ac:dyDescent="0.45">
      <c r="K425" s="5">
        <v>423</v>
      </c>
      <c r="L425" s="73">
        <v>530.10000000000036</v>
      </c>
    </row>
    <row r="426" spans="11:12" x14ac:dyDescent="0.45">
      <c r="K426" s="5">
        <v>424</v>
      </c>
      <c r="L426" s="73">
        <v>552.40000000000043</v>
      </c>
    </row>
    <row r="427" spans="11:12" x14ac:dyDescent="0.45">
      <c r="K427" s="5">
        <v>425</v>
      </c>
      <c r="L427" s="73">
        <v>530.30000000000041</v>
      </c>
    </row>
    <row r="428" spans="11:12" x14ac:dyDescent="0.45">
      <c r="K428" s="5">
        <v>426</v>
      </c>
      <c r="L428" s="73">
        <v>493.90000000000038</v>
      </c>
    </row>
    <row r="429" spans="11:12" x14ac:dyDescent="0.45">
      <c r="K429" s="5">
        <v>427</v>
      </c>
      <c r="L429" s="73">
        <v>518.70000000000039</v>
      </c>
    </row>
    <row r="430" spans="11:12" x14ac:dyDescent="0.45">
      <c r="K430" s="5">
        <v>428</v>
      </c>
      <c r="L430" s="73">
        <v>491.20000000000039</v>
      </c>
    </row>
    <row r="431" spans="11:12" x14ac:dyDescent="0.45">
      <c r="K431" s="5">
        <v>429</v>
      </c>
      <c r="L431" s="73">
        <v>444.70000000000039</v>
      </c>
    </row>
    <row r="432" spans="11:12" x14ac:dyDescent="0.45">
      <c r="K432" s="5">
        <v>430</v>
      </c>
      <c r="L432" s="73">
        <v>482.00000000000034</v>
      </c>
    </row>
    <row r="433" spans="11:12" x14ac:dyDescent="0.45">
      <c r="K433" s="5">
        <v>431</v>
      </c>
      <c r="L433" s="73">
        <v>483.30000000000035</v>
      </c>
    </row>
    <row r="434" spans="11:12" x14ac:dyDescent="0.45">
      <c r="K434" s="5">
        <v>432</v>
      </c>
      <c r="L434" s="73">
        <v>570.60000000000036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E678D-2797-4217-9B40-229875409A07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196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</v>
      </c>
      <c r="C2" s="132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43">
        <v>69</v>
      </c>
      <c r="C3" s="144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45">
        <v>109</v>
      </c>
      <c r="C4" s="146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9">
        <f>IF(B$2=0,0,B$4/B$2)</f>
        <v>12.111111111111111</v>
      </c>
      <c r="C5" s="140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37">
        <f>IF(B$2=0,0,(B$7*1+B$8*2+B$9*3)/B$2)</f>
        <v>1.6666666666666667</v>
      </c>
      <c r="C6" s="138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38" t="s">
        <v>206</v>
      </c>
      <c r="B13" s="139">
        <f>AVERAGE(B10:B12)</f>
        <v>1.0266666666666648</v>
      </c>
      <c r="C13" s="140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10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5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5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5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9</v>
      </c>
    </row>
    <row r="28" spans="1:17" x14ac:dyDescent="0.45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78000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69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24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5A9D-89DA-4D11-9507-009738E2815A}">
  <sheetPr codeName="Sheet15"/>
  <dimension ref="A1:Q35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187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354</v>
      </c>
      <c r="C2" s="132"/>
      <c r="E2" s="43" t="s">
        <v>66</v>
      </c>
      <c r="F2" s="25" t="s">
        <v>22</v>
      </c>
      <c r="G2" s="13">
        <v>505</v>
      </c>
      <c r="H2" s="106">
        <f>IF(B$51=0,0,G2/B$51)</f>
        <v>0.66447368421052633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-75.354107648725218</v>
      </c>
      <c r="P2" s="92">
        <v>353</v>
      </c>
      <c r="Q2" s="76">
        <v>-26600</v>
      </c>
    </row>
    <row r="3" spans="1:17" x14ac:dyDescent="0.45">
      <c r="A3" s="37" t="s">
        <v>8</v>
      </c>
      <c r="B3" s="143">
        <v>2859</v>
      </c>
      <c r="C3" s="144"/>
      <c r="E3" s="44" t="s">
        <v>72</v>
      </c>
      <c r="F3" s="41" t="s">
        <v>27</v>
      </c>
      <c r="G3" s="34">
        <v>406</v>
      </c>
      <c r="H3" s="107">
        <f>IF(B$51=0,0,G3/B$51)</f>
        <v>0.53421052631578947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550.86705202312135</v>
      </c>
      <c r="P3" s="93">
        <v>346</v>
      </c>
      <c r="Q3" s="77">
        <v>190600</v>
      </c>
    </row>
    <row r="4" spans="1:17" x14ac:dyDescent="0.45">
      <c r="A4" s="37" t="s">
        <v>6</v>
      </c>
      <c r="B4" s="145">
        <v>-503.7</v>
      </c>
      <c r="C4" s="146"/>
      <c r="E4" s="44" t="s">
        <v>64</v>
      </c>
      <c r="F4" s="41" t="s">
        <v>20</v>
      </c>
      <c r="G4" s="34">
        <v>387</v>
      </c>
      <c r="H4" s="107">
        <f>IF(B$51=0,0,G4/B$51)</f>
        <v>0.50921052631578945</v>
      </c>
      <c r="I4" s="68">
        <v>10</v>
      </c>
      <c r="K4" s="5">
        <v>2</v>
      </c>
      <c r="L4" s="73">
        <v>-24.299999999999997</v>
      </c>
      <c r="N4" s="89" t="s">
        <v>128</v>
      </c>
      <c r="O4" s="96">
        <f t="shared" si="0"/>
        <v>-521.2962962962963</v>
      </c>
      <c r="P4" s="93">
        <v>324</v>
      </c>
      <c r="Q4" s="77">
        <v>-168900</v>
      </c>
    </row>
    <row r="5" spans="1:17" x14ac:dyDescent="0.45">
      <c r="A5" s="37" t="s">
        <v>7</v>
      </c>
      <c r="B5" s="139">
        <f>IF(B$2=0,0,B$4/B$2)</f>
        <v>-1.4228813559322033</v>
      </c>
      <c r="C5" s="140"/>
      <c r="E5" s="44" t="s">
        <v>157</v>
      </c>
      <c r="F5" s="41" t="s">
        <v>158</v>
      </c>
      <c r="G5" s="34">
        <v>311</v>
      </c>
      <c r="H5" s="107">
        <f>IF(B$51=0,0,G5/B$51)</f>
        <v>0.40921052631578947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-216.77852348993289</v>
      </c>
      <c r="P5" s="93">
        <v>298</v>
      </c>
      <c r="Q5" s="77">
        <v>-64600</v>
      </c>
    </row>
    <row r="6" spans="1:17" x14ac:dyDescent="0.45">
      <c r="A6" s="37" t="s">
        <v>1</v>
      </c>
      <c r="B6" s="137">
        <f>IF(B$2=0,0,(B$7*1+B$8*2+B$9*3)/B$2)</f>
        <v>2.0508474576271185</v>
      </c>
      <c r="C6" s="138"/>
      <c r="E6" s="44" t="s">
        <v>67</v>
      </c>
      <c r="F6" s="41" t="s">
        <v>23</v>
      </c>
      <c r="G6" s="34">
        <v>249</v>
      </c>
      <c r="H6" s="107">
        <f>IF(B$51=0,0,G6/B$51)</f>
        <v>0.32763157894736844</v>
      </c>
      <c r="I6" s="68">
        <v>9</v>
      </c>
      <c r="K6" s="5">
        <v>4</v>
      </c>
      <c r="L6" s="73">
        <v>5.1000000000000014</v>
      </c>
      <c r="N6" s="89" t="s">
        <v>130</v>
      </c>
      <c r="O6" s="96">
        <f t="shared" si="0"/>
        <v>-1024.907063197026</v>
      </c>
      <c r="P6" s="93">
        <v>269</v>
      </c>
      <c r="Q6" s="77">
        <v>-275700</v>
      </c>
    </row>
    <row r="7" spans="1:17" x14ac:dyDescent="0.45">
      <c r="A7" s="37" t="s">
        <v>2</v>
      </c>
      <c r="B7" s="34">
        <v>99</v>
      </c>
      <c r="C7" s="31">
        <f t="shared" ref="C7:C14" si="1">IF(B$2=0,0,B7/B$2)</f>
        <v>0.27966101694915252</v>
      </c>
      <c r="E7" s="44" t="s">
        <v>68</v>
      </c>
      <c r="F7" s="41" t="s">
        <v>12</v>
      </c>
      <c r="G7" s="34">
        <v>240</v>
      </c>
      <c r="H7" s="107">
        <f>IF(B$51=0,0,G7/B$51)</f>
        <v>0.31578947368421051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-282.66666666666669</v>
      </c>
      <c r="P7" s="94">
        <v>225</v>
      </c>
      <c r="Q7" s="78">
        <v>-63600</v>
      </c>
    </row>
    <row r="8" spans="1:17" x14ac:dyDescent="0.45">
      <c r="A8" s="37" t="s">
        <v>3</v>
      </c>
      <c r="B8" s="34">
        <v>138</v>
      </c>
      <c r="C8" s="31">
        <f t="shared" si="1"/>
        <v>0.38983050847457629</v>
      </c>
      <c r="E8" s="44" t="s">
        <v>69</v>
      </c>
      <c r="F8" s="41" t="s">
        <v>24</v>
      </c>
      <c r="G8" s="34">
        <v>101</v>
      </c>
      <c r="H8" s="107">
        <f>IF(B$51=0,0,G8/B$51)</f>
        <v>0.13289473684210526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117</v>
      </c>
      <c r="C9" s="7">
        <f t="shared" si="1"/>
        <v>0.33050847457627119</v>
      </c>
      <c r="E9" s="44" t="s">
        <v>89</v>
      </c>
      <c r="F9" s="41" t="s">
        <v>44</v>
      </c>
      <c r="G9" s="34">
        <v>101</v>
      </c>
      <c r="H9" s="107">
        <f>IF(B$51=0,0,G9/B$51)</f>
        <v>0.13289473684210526</v>
      </c>
      <c r="I9" s="68">
        <v>9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39.981818181818184</v>
      </c>
      <c r="C10" s="121">
        <v>3958.2000000000003</v>
      </c>
      <c r="E10" s="44" t="s">
        <v>65</v>
      </c>
      <c r="F10" s="41" t="s">
        <v>21</v>
      </c>
      <c r="G10" s="34">
        <v>71</v>
      </c>
      <c r="H10" s="107">
        <f>IF(B$51=0,0,G10/B$51)</f>
        <v>9.3421052631578946E-2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-5.0511450381679399</v>
      </c>
      <c r="P10" s="92">
        <v>131</v>
      </c>
      <c r="Q10" s="80">
        <v>-661.70000000000016</v>
      </c>
    </row>
    <row r="11" spans="1:17" x14ac:dyDescent="0.45">
      <c r="A11" s="38" t="s">
        <v>204</v>
      </c>
      <c r="B11" s="120">
        <f>IF(B8=0,0,C11/B8)</f>
        <v>-0.21811594202898538</v>
      </c>
      <c r="C11" s="121">
        <v>-30.099999999999984</v>
      </c>
      <c r="E11" s="44" t="s">
        <v>71</v>
      </c>
      <c r="F11" s="41" t="s">
        <v>26</v>
      </c>
      <c r="G11" s="34">
        <v>64</v>
      </c>
      <c r="H11" s="107">
        <f>IF(B$51=0,0,G11/B$51)</f>
        <v>8.4210526315789472E-2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-0.36160714285714296</v>
      </c>
      <c r="P11" s="93">
        <v>112</v>
      </c>
      <c r="Q11" s="81">
        <v>-40.500000000000014</v>
      </c>
    </row>
    <row r="12" spans="1:17" x14ac:dyDescent="0.45">
      <c r="A12" s="38" t="s">
        <v>205</v>
      </c>
      <c r="B12" s="120">
        <f>IF(B9=0,0,C12/B9)</f>
        <v>-37.878632478632476</v>
      </c>
      <c r="C12" s="121">
        <v>-4431.7999999999993</v>
      </c>
      <c r="E12" s="44" t="s">
        <v>70</v>
      </c>
      <c r="F12" s="41" t="s">
        <v>25</v>
      </c>
      <c r="G12" s="34">
        <v>62</v>
      </c>
      <c r="H12" s="107">
        <f>IF(B$51=0,0,G12/B$51)</f>
        <v>8.1578947368421056E-2</v>
      </c>
      <c r="I12" s="68">
        <v>13</v>
      </c>
      <c r="K12" s="5">
        <v>10</v>
      </c>
      <c r="L12" s="73">
        <v>-24.299999999999997</v>
      </c>
      <c r="N12" s="90" t="s">
        <v>151</v>
      </c>
      <c r="O12" s="100">
        <f>IF(P12=0,0,Q12/P12)</f>
        <v>1.788288288288288</v>
      </c>
      <c r="P12" s="94">
        <v>111</v>
      </c>
      <c r="Q12" s="82">
        <v>198.49999999999997</v>
      </c>
    </row>
    <row r="13" spans="1:17" x14ac:dyDescent="0.45">
      <c r="A13" s="38" t="s">
        <v>206</v>
      </c>
      <c r="B13" s="139">
        <f>AVERAGE(B10:B12)</f>
        <v>0.6283565870522404</v>
      </c>
      <c r="C13" s="140"/>
      <c r="E13" s="44" t="s">
        <v>83</v>
      </c>
      <c r="F13" s="41" t="s">
        <v>38</v>
      </c>
      <c r="G13" s="34">
        <v>42</v>
      </c>
      <c r="H13" s="107">
        <f>IF(B$51=0,0,G13/B$51)</f>
        <v>5.526315789473684E-2</v>
      </c>
      <c r="I13" s="68">
        <v>5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41</v>
      </c>
      <c r="C14" s="32">
        <f t="shared" si="1"/>
        <v>0.11581920903954802</v>
      </c>
      <c r="E14" s="44" t="s">
        <v>86</v>
      </c>
      <c r="F14" s="41" t="s">
        <v>41</v>
      </c>
      <c r="G14" s="34">
        <v>38</v>
      </c>
      <c r="H14" s="107">
        <f>IF(B$51=0,0,G14/B$51)</f>
        <v>0.05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701</v>
      </c>
      <c r="C15" s="11">
        <f>IF(B$50=0,0,B15/B$50)</f>
        <v>0.24519062609303952</v>
      </c>
      <c r="E15" s="44" t="s">
        <v>78</v>
      </c>
      <c r="F15" s="41" t="s">
        <v>33</v>
      </c>
      <c r="G15" s="34">
        <v>23</v>
      </c>
      <c r="H15" s="107">
        <f>IF(B$51=0,0,G15/B$51)</f>
        <v>3.0263157894736843E-2</v>
      </c>
      <c r="I15" s="68">
        <v>6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118</v>
      </c>
      <c r="B16" s="34">
        <v>647</v>
      </c>
      <c r="C16" s="31">
        <f>IF(B$50=0,0,B16/B$50)</f>
        <v>0.22630290311297657</v>
      </c>
      <c r="E16" s="44" t="s">
        <v>79</v>
      </c>
      <c r="F16" s="41" t="s">
        <v>34</v>
      </c>
      <c r="G16" s="34">
        <v>17</v>
      </c>
      <c r="H16" s="107">
        <f>IF(B$51=0,0,G16/B$51)</f>
        <v>2.2368421052631579E-2</v>
      </c>
      <c r="I16" s="68">
        <v>6</v>
      </c>
      <c r="K16" s="5">
        <v>14</v>
      </c>
      <c r="L16" s="73">
        <v>-5.7999999999999945</v>
      </c>
      <c r="N16" s="89" t="s">
        <v>197</v>
      </c>
      <c r="O16" s="99">
        <f>IF(P16=0,0,Q16/P16)</f>
        <v>25.099999999999998</v>
      </c>
      <c r="P16" s="93">
        <v>38</v>
      </c>
      <c r="Q16" s="81">
        <v>953.8</v>
      </c>
    </row>
    <row r="17" spans="1:17" x14ac:dyDescent="0.45">
      <c r="A17" s="19" t="s">
        <v>123</v>
      </c>
      <c r="B17" s="13">
        <v>397</v>
      </c>
      <c r="C17" s="4">
        <f>IF(B$15=0,0,B17/B$15)</f>
        <v>0.56633380884450779</v>
      </c>
      <c r="E17" s="44" t="s">
        <v>81</v>
      </c>
      <c r="F17" s="41" t="s">
        <v>36</v>
      </c>
      <c r="G17" s="34">
        <v>16</v>
      </c>
      <c r="H17" s="107">
        <f>IF(B$51=0,0,G17/B$51)</f>
        <v>2.1052631578947368E-2</v>
      </c>
      <c r="I17" s="68">
        <v>11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19" t="s">
        <v>124</v>
      </c>
      <c r="B18" s="13">
        <v>242</v>
      </c>
      <c r="C18" s="4">
        <f>IF(B$16=0,0,B18/B$16)</f>
        <v>0.37403400309119011</v>
      </c>
      <c r="E18" s="44" t="s">
        <v>91</v>
      </c>
      <c r="F18" s="41" t="s">
        <v>46</v>
      </c>
      <c r="G18" s="34">
        <v>16</v>
      </c>
      <c r="H18" s="107">
        <f>IF(B$51=0,0,G18/B$51)</f>
        <v>2.1052631578947368E-2</v>
      </c>
      <c r="I18" s="68">
        <v>5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19" t="s">
        <v>10</v>
      </c>
      <c r="B19" s="13">
        <v>760</v>
      </c>
      <c r="C19" s="4">
        <f>IF(B$3=0,0,B19/B$3)</f>
        <v>0.26582721231199719</v>
      </c>
      <c r="E19" s="44" t="s">
        <v>85</v>
      </c>
      <c r="F19" s="41" t="s">
        <v>40</v>
      </c>
      <c r="G19" s="34">
        <v>10</v>
      </c>
      <c r="H19" s="107">
        <f>IF(B$51=0,0,G19/B$51)</f>
        <v>1.3157894736842105E-2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12.52</v>
      </c>
      <c r="P19" s="93">
        <v>20</v>
      </c>
      <c r="Q19" s="81">
        <v>250.4</v>
      </c>
    </row>
    <row r="20" spans="1:17" x14ac:dyDescent="0.45">
      <c r="A20" s="37" t="s">
        <v>13</v>
      </c>
      <c r="B20" s="34">
        <v>418</v>
      </c>
      <c r="C20" s="31">
        <f>IF(B$3=0,0,B20/B$3)</f>
        <v>0.14620496677159847</v>
      </c>
      <c r="E20" s="44" t="s">
        <v>153</v>
      </c>
      <c r="F20" s="41" t="s">
        <v>154</v>
      </c>
      <c r="G20" s="34">
        <v>8</v>
      </c>
      <c r="H20" s="107">
        <f>IF(B$51=0,0,G20/B$51)</f>
        <v>1.0526315789473684E-2</v>
      </c>
      <c r="I20" s="68">
        <v>7</v>
      </c>
      <c r="K20" s="5">
        <v>18</v>
      </c>
      <c r="L20" s="73">
        <v>-60.4</v>
      </c>
      <c r="N20" s="89" t="s">
        <v>190</v>
      </c>
      <c r="O20" s="99">
        <f>IF(P20=0,0,Q20/P20)</f>
        <v>4.8250000000000002</v>
      </c>
      <c r="P20" s="93">
        <v>72</v>
      </c>
      <c r="Q20" s="81">
        <v>347.40000000000003</v>
      </c>
    </row>
    <row r="21" spans="1:17" x14ac:dyDescent="0.45">
      <c r="A21" s="37" t="s">
        <v>12</v>
      </c>
      <c r="B21" s="34">
        <v>335</v>
      </c>
      <c r="C21" s="31">
        <f>IF(B$19=0,0,B21/B$19)</f>
        <v>0.44078947368421051</v>
      </c>
      <c r="E21" s="44" t="s">
        <v>92</v>
      </c>
      <c r="F21" s="41" t="s">
        <v>47</v>
      </c>
      <c r="G21" s="34">
        <v>6</v>
      </c>
      <c r="H21" s="107">
        <f>IF(B$51=0,0,G21/B$51)</f>
        <v>7.8947368421052634E-3</v>
      </c>
      <c r="I21" s="68">
        <v>4</v>
      </c>
      <c r="K21" s="5">
        <v>19</v>
      </c>
      <c r="L21" s="73">
        <v>-60</v>
      </c>
      <c r="N21" s="89" t="s">
        <v>201</v>
      </c>
      <c r="O21" s="99">
        <f>IF(P21=0,0,Q21/P21)</f>
        <v>4.7999999999999989</v>
      </c>
      <c r="P21" s="93">
        <v>2</v>
      </c>
      <c r="Q21" s="81">
        <v>9.5999999999999979</v>
      </c>
    </row>
    <row r="22" spans="1:17" x14ac:dyDescent="0.45">
      <c r="A22" s="37" t="s">
        <v>11</v>
      </c>
      <c r="B22" s="34">
        <v>425</v>
      </c>
      <c r="C22" s="31">
        <f>IF(B$19=0,0,B22/B$19)</f>
        <v>0.55921052631578949</v>
      </c>
      <c r="E22" s="44" t="s">
        <v>73</v>
      </c>
      <c r="F22" s="41" t="s">
        <v>28</v>
      </c>
      <c r="G22" s="34">
        <v>5</v>
      </c>
      <c r="H22" s="107">
        <f>IF(B$51=0,0,G22/B$51)</f>
        <v>6.5789473684210523E-3</v>
      </c>
      <c r="I22" s="68">
        <v>5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5">
      <c r="A23" s="37" t="s">
        <v>180</v>
      </c>
      <c r="B23" s="34">
        <v>397</v>
      </c>
      <c r="C23" s="31">
        <f>IF(B$19=0,0,B23/B$19)</f>
        <v>0.52236842105263159</v>
      </c>
      <c r="E23" s="44" t="s">
        <v>75</v>
      </c>
      <c r="F23" s="41" t="s">
        <v>30</v>
      </c>
      <c r="G23" s="34">
        <v>5</v>
      </c>
      <c r="H23" s="107">
        <f>IF(B$51=0,0,G23/B$51)</f>
        <v>6.5789473684210523E-3</v>
      </c>
      <c r="I23" s="68">
        <v>6</v>
      </c>
      <c r="K23" s="5">
        <v>21</v>
      </c>
      <c r="L23" s="73">
        <v>-125.80000000000001</v>
      </c>
      <c r="N23" s="89" t="s">
        <v>191</v>
      </c>
      <c r="O23" s="99">
        <f>IF(P23=0,0,Q23/P23)</f>
        <v>0.42878787878788166</v>
      </c>
      <c r="P23" s="93">
        <v>132</v>
      </c>
      <c r="Q23" s="81">
        <v>56.600000000000378</v>
      </c>
    </row>
    <row r="24" spans="1:17" x14ac:dyDescent="0.45">
      <c r="A24" s="37" t="s">
        <v>178</v>
      </c>
      <c r="B24" s="34">
        <v>242</v>
      </c>
      <c r="C24" s="31">
        <f>IF(B$19=0,0,B24/B$19)</f>
        <v>0.31842105263157894</v>
      </c>
      <c r="E24" s="44" t="s">
        <v>74</v>
      </c>
      <c r="F24" s="41" t="s">
        <v>29</v>
      </c>
      <c r="G24" s="34">
        <v>3</v>
      </c>
      <c r="H24" s="107">
        <f>IF(B$51=0,0,G24/B$51)</f>
        <v>3.9473684210526317E-3</v>
      </c>
      <c r="I24" s="68">
        <v>5</v>
      </c>
      <c r="K24" s="5">
        <v>22</v>
      </c>
      <c r="L24" s="73">
        <v>-149.30000000000001</v>
      </c>
      <c r="N24" s="89" t="s">
        <v>193</v>
      </c>
      <c r="O24" s="99">
        <f>IF(P24=0,0,Q24/P24)</f>
        <v>-1.8181818181818687E-2</v>
      </c>
      <c r="P24" s="93">
        <v>143</v>
      </c>
      <c r="Q24" s="81">
        <v>-2.6000000000000725</v>
      </c>
    </row>
    <row r="25" spans="1:17" x14ac:dyDescent="0.45">
      <c r="A25" s="37" t="s">
        <v>179</v>
      </c>
      <c r="B25" s="34">
        <v>121</v>
      </c>
      <c r="C25" s="31">
        <f>IF(B$19=0,0,B25/B$19)</f>
        <v>0.15921052631578947</v>
      </c>
      <c r="E25" s="44" t="s">
        <v>77</v>
      </c>
      <c r="F25" s="41" t="s">
        <v>32</v>
      </c>
      <c r="G25" s="34">
        <v>3</v>
      </c>
      <c r="H25" s="107">
        <f>IF(B$51=0,0,G25/B$51)</f>
        <v>3.9473684210526317E-3</v>
      </c>
      <c r="I25" s="68">
        <v>8</v>
      </c>
      <c r="K25" s="5">
        <v>23</v>
      </c>
      <c r="L25" s="73">
        <v>-150.30000000000001</v>
      </c>
      <c r="N25" s="89" t="s">
        <v>188</v>
      </c>
      <c r="O25" s="99">
        <f>IF(P25=0,0,Q25/P25)</f>
        <v>-1.8428571428571427</v>
      </c>
      <c r="P25" s="93">
        <v>84</v>
      </c>
      <c r="Q25" s="81">
        <v>-154.79999999999998</v>
      </c>
    </row>
    <row r="26" spans="1:17" x14ac:dyDescent="0.45">
      <c r="A26" s="37" t="s">
        <v>5</v>
      </c>
      <c r="B26" s="17">
        <f>IF(B$19=0,0,C26/B$19)</f>
        <v>8617.105263157895</v>
      </c>
      <c r="C26" s="8">
        <v>6549000</v>
      </c>
      <c r="E26" s="44" t="s">
        <v>88</v>
      </c>
      <c r="F26" s="41" t="s">
        <v>43</v>
      </c>
      <c r="G26" s="34">
        <v>2</v>
      </c>
      <c r="H26" s="107">
        <f>IF(B$51=0,0,G26/B$51)</f>
        <v>2.631578947368421E-3</v>
      </c>
      <c r="I26" s="68">
        <v>2</v>
      </c>
      <c r="K26" s="5">
        <v>24</v>
      </c>
      <c r="L26" s="73">
        <v>-196.10000000000002</v>
      </c>
      <c r="N26" s="89" t="s">
        <v>189</v>
      </c>
      <c r="O26" s="99">
        <f>IF(P26=0,0,Q26/P26)</f>
        <v>-8.3571428571428594</v>
      </c>
      <c r="P26" s="93">
        <v>7</v>
      </c>
      <c r="Q26" s="81">
        <v>-58.500000000000014</v>
      </c>
    </row>
    <row r="27" spans="1:17" x14ac:dyDescent="0.45">
      <c r="A27" s="38" t="s">
        <v>162</v>
      </c>
      <c r="B27" s="114">
        <f>IF($B$19-B$18=0,0,C27/($B$19-B$18))</f>
        <v>9379.1505791505788</v>
      </c>
      <c r="C27" s="115">
        <v>4858400</v>
      </c>
      <c r="E27" s="44" t="s">
        <v>90</v>
      </c>
      <c r="F27" s="41" t="s">
        <v>45</v>
      </c>
      <c r="G27" s="34">
        <v>2</v>
      </c>
      <c r="H27" s="107">
        <f>IF(B$51=0,0,G27/B$51)</f>
        <v>2.631578947368421E-3</v>
      </c>
      <c r="I27" s="68">
        <v>3</v>
      </c>
      <c r="K27" s="5">
        <v>25</v>
      </c>
      <c r="L27" s="73">
        <v>-240.00000000000003</v>
      </c>
      <c r="N27" s="89" t="s">
        <v>195</v>
      </c>
      <c r="O27" s="99">
        <f>IF(P27=0,0,Q27/P27)</f>
        <v>-18.885795454545455</v>
      </c>
      <c r="P27" s="93">
        <v>176</v>
      </c>
      <c r="Q27" s="81">
        <v>-3323.9</v>
      </c>
    </row>
    <row r="28" spans="1:17" x14ac:dyDescent="0.45">
      <c r="A28" s="38" t="s">
        <v>163</v>
      </c>
      <c r="B28" s="114">
        <f>IF(B$18=0,0,C28/B$18)</f>
        <v>6985.9504132231405</v>
      </c>
      <c r="C28" s="115">
        <v>1690600</v>
      </c>
      <c r="E28" s="44" t="s">
        <v>93</v>
      </c>
      <c r="F28" s="41" t="s">
        <v>48</v>
      </c>
      <c r="G28" s="34">
        <v>2</v>
      </c>
      <c r="H28" s="107">
        <f>IF(B$51=0,0,G28/B$51)</f>
        <v>2.631578947368421E-3</v>
      </c>
      <c r="I28" s="68">
        <v>6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5">
      <c r="A29" s="38" t="s">
        <v>161</v>
      </c>
      <c r="B29" s="114">
        <f>IF(B$20=0,0,C29/B$20)</f>
        <v>-7379.9043062200953</v>
      </c>
      <c r="C29" s="115">
        <v>-3084800</v>
      </c>
      <c r="E29" s="44" t="s">
        <v>101</v>
      </c>
      <c r="F29" s="41" t="s">
        <v>56</v>
      </c>
      <c r="G29" s="34">
        <v>2</v>
      </c>
      <c r="H29" s="107">
        <f>IF(B$51=0,0,G29/B$51)</f>
        <v>2.631578947368421E-3</v>
      </c>
      <c r="I29" s="68">
        <v>1</v>
      </c>
      <c r="K29" s="5">
        <v>27</v>
      </c>
      <c r="L29" s="73">
        <v>-266.7</v>
      </c>
    </row>
    <row r="30" spans="1:17" x14ac:dyDescent="0.45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1.3157894736842105E-3</v>
      </c>
      <c r="I30" s="68">
        <v>9</v>
      </c>
      <c r="K30" s="5">
        <v>28</v>
      </c>
      <c r="L30" s="73">
        <v>-283.7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5">
      <c r="A32" s="64" t="s">
        <v>134</v>
      </c>
      <c r="B32" s="135">
        <v>8</v>
      </c>
      <c r="C32" s="136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40" t="s">
        <v>177</v>
      </c>
      <c r="B33" s="133">
        <v>103000</v>
      </c>
      <c r="C33" s="134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9" t="s">
        <v>135</v>
      </c>
      <c r="B34" s="27">
        <v>7</v>
      </c>
      <c r="C34" s="32">
        <f>IF(B$3=0,0,B34/B$3)</f>
        <v>2.4484085344526059E-3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64" t="s">
        <v>168</v>
      </c>
      <c r="B36" s="126">
        <v>56</v>
      </c>
      <c r="C36" s="119">
        <f>IF(B$19=0,0,B36/B$19)</f>
        <v>7.3684210526315783E-2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5">
      <c r="A37" s="37" t="s">
        <v>164</v>
      </c>
      <c r="B37" s="34">
        <v>120</v>
      </c>
      <c r="C37" s="31">
        <f t="shared" ref="C37:C48" si="2">IF(B$19=0,0,B37/B$19)</f>
        <v>0.15789473684210525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165</v>
      </c>
      <c r="B38" s="127">
        <v>145</v>
      </c>
      <c r="C38" s="31">
        <f>IF(B$19=0,0,B38/B$19)</f>
        <v>0.19078947368421054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166</v>
      </c>
      <c r="B39" s="127">
        <v>140</v>
      </c>
      <c r="C39" s="31">
        <f t="shared" si="2"/>
        <v>0.18421052631578946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167</v>
      </c>
      <c r="B40" s="127">
        <v>115</v>
      </c>
      <c r="C40" s="31">
        <f t="shared" si="2"/>
        <v>0.15131578947368421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169</v>
      </c>
      <c r="B41" s="127">
        <v>78</v>
      </c>
      <c r="C41" s="31">
        <f t="shared" si="2"/>
        <v>0.10263157894736842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170</v>
      </c>
      <c r="B42" s="127">
        <v>47</v>
      </c>
      <c r="C42" s="31">
        <f t="shared" si="2"/>
        <v>6.1842105263157893E-2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-414.89999999999992</v>
      </c>
    </row>
    <row r="43" spans="1:12" x14ac:dyDescent="0.45">
      <c r="A43" s="37" t="s">
        <v>171</v>
      </c>
      <c r="B43" s="127">
        <v>19</v>
      </c>
      <c r="C43" s="31">
        <f t="shared" si="2"/>
        <v>2.5000000000000001E-2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7" t="s">
        <v>172</v>
      </c>
      <c r="B44" s="127">
        <v>15</v>
      </c>
      <c r="C44" s="31">
        <f t="shared" si="2"/>
        <v>1.9736842105263157E-2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A45" s="37" t="s">
        <v>173</v>
      </c>
      <c r="B45" s="127">
        <v>10</v>
      </c>
      <c r="C45" s="31">
        <f t="shared" si="2"/>
        <v>1.3157894736842105E-2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37" t="s">
        <v>174</v>
      </c>
      <c r="B46" s="127">
        <v>3</v>
      </c>
      <c r="C46" s="31">
        <f t="shared" si="2"/>
        <v>3.9473684210526317E-3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7" t="s">
        <v>175</v>
      </c>
      <c r="B47" s="127">
        <v>2</v>
      </c>
      <c r="C47" s="31">
        <f t="shared" si="2"/>
        <v>2.631578947368421E-3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A48" s="39" t="s">
        <v>176</v>
      </c>
      <c r="B48" s="128">
        <v>10</v>
      </c>
      <c r="C48" s="32">
        <f t="shared" si="2"/>
        <v>1.3157894736842105E-2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5">
      <c r="A50" s="64" t="s">
        <v>181</v>
      </c>
      <c r="B50" s="131">
        <v>2859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5">
      <c r="A51" s="39" t="s">
        <v>182</v>
      </c>
      <c r="B51" s="129">
        <v>760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5">
      <c r="K53" s="5">
        <v>51</v>
      </c>
      <c r="L53" s="73">
        <v>-601.09999999999991</v>
      </c>
    </row>
    <row r="54" spans="1:12" x14ac:dyDescent="0.45">
      <c r="K54" s="5">
        <v>52</v>
      </c>
      <c r="L54" s="73">
        <v>-608.19999999999993</v>
      </c>
    </row>
    <row r="55" spans="1:12" x14ac:dyDescent="0.45">
      <c r="K55" s="5">
        <v>53</v>
      </c>
      <c r="L55" s="73">
        <v>-616.09999999999991</v>
      </c>
    </row>
    <row r="56" spans="1:12" x14ac:dyDescent="0.45">
      <c r="K56" s="5">
        <v>54</v>
      </c>
      <c r="L56" s="73">
        <v>-613.89999999999986</v>
      </c>
    </row>
    <row r="57" spans="1:12" x14ac:dyDescent="0.45">
      <c r="K57" s="5">
        <v>55</v>
      </c>
      <c r="L57" s="73">
        <v>-690.49999999999989</v>
      </c>
    </row>
    <row r="58" spans="1:12" x14ac:dyDescent="0.45">
      <c r="K58" s="5">
        <v>56</v>
      </c>
      <c r="L58" s="73">
        <v>-655.69999999999993</v>
      </c>
    </row>
    <row r="59" spans="1:12" x14ac:dyDescent="0.45">
      <c r="K59" s="5">
        <v>57</v>
      </c>
      <c r="L59" s="73">
        <v>-643.5</v>
      </c>
    </row>
    <row r="60" spans="1:12" x14ac:dyDescent="0.45">
      <c r="K60" s="5">
        <v>58</v>
      </c>
      <c r="L60" s="73">
        <v>-597.5</v>
      </c>
    </row>
    <row r="61" spans="1:12" x14ac:dyDescent="0.45">
      <c r="K61" s="5">
        <v>59</v>
      </c>
      <c r="L61" s="73">
        <v>-600.69999999999993</v>
      </c>
    </row>
    <row r="62" spans="1:12" x14ac:dyDescent="0.45">
      <c r="K62" s="5">
        <v>60</v>
      </c>
      <c r="L62" s="73">
        <v>-658.89999999999986</v>
      </c>
    </row>
    <row r="63" spans="1:12" x14ac:dyDescent="0.45">
      <c r="K63" s="5">
        <v>61</v>
      </c>
      <c r="L63" s="73">
        <v>-606.39999999999986</v>
      </c>
    </row>
    <row r="64" spans="1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  <row r="287" spans="11:12" x14ac:dyDescent="0.45">
      <c r="K287" s="5">
        <v>285</v>
      </c>
      <c r="L287" s="73">
        <v>-578.6</v>
      </c>
    </row>
    <row r="288" spans="11:12" x14ac:dyDescent="0.45">
      <c r="K288" s="5">
        <v>286</v>
      </c>
      <c r="L288" s="73">
        <v>-607.79999999999995</v>
      </c>
    </row>
    <row r="289" spans="11:12" x14ac:dyDescent="0.45">
      <c r="K289" s="5">
        <v>287</v>
      </c>
      <c r="L289" s="73">
        <v>-628.4</v>
      </c>
    </row>
    <row r="290" spans="11:12" x14ac:dyDescent="0.45">
      <c r="K290" s="5">
        <v>288</v>
      </c>
      <c r="L290" s="73">
        <v>-639.9</v>
      </c>
    </row>
    <row r="291" spans="11:12" x14ac:dyDescent="0.45">
      <c r="K291" s="5">
        <v>289</v>
      </c>
      <c r="L291" s="73">
        <v>-635.70000000000005</v>
      </c>
    </row>
    <row r="292" spans="11:12" x14ac:dyDescent="0.45">
      <c r="K292" s="5">
        <v>290</v>
      </c>
      <c r="L292" s="73">
        <v>-625</v>
      </c>
    </row>
    <row r="293" spans="11:12" x14ac:dyDescent="0.45">
      <c r="K293" s="5">
        <v>291</v>
      </c>
      <c r="L293" s="73">
        <v>-591.1</v>
      </c>
    </row>
    <row r="294" spans="11:12" x14ac:dyDescent="0.45">
      <c r="K294" s="5">
        <v>292</v>
      </c>
      <c r="L294" s="73">
        <v>-609.6</v>
      </c>
    </row>
    <row r="295" spans="11:12" x14ac:dyDescent="0.45">
      <c r="K295" s="5">
        <v>293</v>
      </c>
      <c r="L295" s="73">
        <v>-576.6</v>
      </c>
    </row>
    <row r="296" spans="11:12" x14ac:dyDescent="0.45">
      <c r="K296" s="5">
        <v>294</v>
      </c>
      <c r="L296" s="73">
        <v>-549.79999999999995</v>
      </c>
    </row>
    <row r="297" spans="11:12" x14ac:dyDescent="0.45">
      <c r="K297" s="5">
        <v>295</v>
      </c>
      <c r="L297" s="73">
        <v>-560</v>
      </c>
    </row>
    <row r="298" spans="11:12" x14ac:dyDescent="0.45">
      <c r="K298" s="5">
        <v>296</v>
      </c>
      <c r="L298" s="73">
        <v>-547.79999999999995</v>
      </c>
    </row>
    <row r="299" spans="11:12" x14ac:dyDescent="0.45">
      <c r="K299" s="5">
        <v>297</v>
      </c>
      <c r="L299" s="73">
        <v>-494.29999999999995</v>
      </c>
    </row>
    <row r="300" spans="11:12" x14ac:dyDescent="0.45">
      <c r="K300" s="5">
        <v>298</v>
      </c>
      <c r="L300" s="73">
        <v>-503.5</v>
      </c>
    </row>
    <row r="301" spans="11:12" x14ac:dyDescent="0.45">
      <c r="K301" s="5">
        <v>299</v>
      </c>
      <c r="L301" s="73">
        <v>-539.79999999999995</v>
      </c>
    </row>
    <row r="302" spans="11:12" x14ac:dyDescent="0.45">
      <c r="K302" s="5">
        <v>300</v>
      </c>
      <c r="L302" s="73">
        <v>-539</v>
      </c>
    </row>
    <row r="303" spans="11:12" x14ac:dyDescent="0.45">
      <c r="K303" s="5">
        <v>301</v>
      </c>
      <c r="L303" s="73">
        <v>-494.2</v>
      </c>
    </row>
    <row r="304" spans="11:12" x14ac:dyDescent="0.45">
      <c r="K304" s="5">
        <v>302</v>
      </c>
      <c r="L304" s="73">
        <v>-437.79999999999995</v>
      </c>
    </row>
    <row r="305" spans="11:12" x14ac:dyDescent="0.45">
      <c r="K305" s="5">
        <v>303</v>
      </c>
      <c r="L305" s="73">
        <v>-425.59999999999997</v>
      </c>
    </row>
    <row r="306" spans="11:12" x14ac:dyDescent="0.45">
      <c r="K306" s="5">
        <v>304</v>
      </c>
      <c r="L306" s="73">
        <v>-463.59999999999997</v>
      </c>
    </row>
    <row r="307" spans="11:12" x14ac:dyDescent="0.45">
      <c r="K307" s="5">
        <v>305</v>
      </c>
      <c r="L307" s="73">
        <v>-452.09999999999997</v>
      </c>
    </row>
    <row r="308" spans="11:12" x14ac:dyDescent="0.45">
      <c r="K308" s="5">
        <v>306</v>
      </c>
      <c r="L308" s="73">
        <v>-505.29999999999995</v>
      </c>
    </row>
    <row r="309" spans="11:12" x14ac:dyDescent="0.45">
      <c r="K309" s="5">
        <v>307</v>
      </c>
      <c r="L309" s="73">
        <v>-514</v>
      </c>
    </row>
    <row r="310" spans="11:12" x14ac:dyDescent="0.45">
      <c r="K310" s="5">
        <v>308</v>
      </c>
      <c r="L310" s="73">
        <v>-508.09999999999997</v>
      </c>
    </row>
    <row r="311" spans="11:12" x14ac:dyDescent="0.45">
      <c r="K311" s="5">
        <v>309</v>
      </c>
      <c r="L311" s="73">
        <v>-458.5</v>
      </c>
    </row>
    <row r="312" spans="11:12" x14ac:dyDescent="0.45">
      <c r="K312" s="5">
        <v>310</v>
      </c>
      <c r="L312" s="73">
        <v>-422.2</v>
      </c>
    </row>
    <row r="313" spans="11:12" x14ac:dyDescent="0.45">
      <c r="K313" s="5">
        <v>311</v>
      </c>
      <c r="L313" s="73">
        <v>-468.7</v>
      </c>
    </row>
    <row r="314" spans="11:12" x14ac:dyDescent="0.45">
      <c r="K314" s="5">
        <v>312</v>
      </c>
      <c r="L314" s="73">
        <v>-514.20000000000005</v>
      </c>
    </row>
    <row r="315" spans="11:12" x14ac:dyDescent="0.45">
      <c r="K315" s="5">
        <v>313</v>
      </c>
      <c r="L315" s="73">
        <v>-479.6</v>
      </c>
    </row>
    <row r="316" spans="11:12" x14ac:dyDescent="0.45">
      <c r="K316" s="5">
        <v>314</v>
      </c>
      <c r="L316" s="73">
        <v>-430.7</v>
      </c>
    </row>
    <row r="317" spans="11:12" x14ac:dyDescent="0.45">
      <c r="K317" s="5">
        <v>315</v>
      </c>
      <c r="L317" s="73">
        <v>-457.6</v>
      </c>
    </row>
    <row r="318" spans="11:12" x14ac:dyDescent="0.45">
      <c r="K318" s="5">
        <v>316</v>
      </c>
      <c r="L318" s="73">
        <v>-503.8</v>
      </c>
    </row>
    <row r="319" spans="11:12" x14ac:dyDescent="0.45">
      <c r="K319" s="5">
        <v>317</v>
      </c>
      <c r="L319" s="73">
        <v>-471.5</v>
      </c>
    </row>
    <row r="320" spans="11:12" x14ac:dyDescent="0.45">
      <c r="K320" s="5">
        <v>318</v>
      </c>
      <c r="L320" s="73">
        <v>-478.5</v>
      </c>
    </row>
    <row r="321" spans="11:12" x14ac:dyDescent="0.45">
      <c r="K321" s="5">
        <v>319</v>
      </c>
      <c r="L321" s="73">
        <v>-485.3</v>
      </c>
    </row>
    <row r="322" spans="11:12" x14ac:dyDescent="0.45">
      <c r="K322" s="5">
        <v>320</v>
      </c>
      <c r="L322" s="73">
        <v>-493.6</v>
      </c>
    </row>
    <row r="323" spans="11:12" x14ac:dyDescent="0.45">
      <c r="K323" s="5">
        <v>321</v>
      </c>
      <c r="L323" s="73">
        <v>-462.2</v>
      </c>
    </row>
    <row r="324" spans="11:12" x14ac:dyDescent="0.45">
      <c r="K324" s="5">
        <v>322</v>
      </c>
      <c r="L324" s="73">
        <v>-501.2</v>
      </c>
    </row>
    <row r="325" spans="11:12" x14ac:dyDescent="0.45">
      <c r="K325" s="5">
        <v>323</v>
      </c>
      <c r="L325" s="73">
        <v>-527.20000000000005</v>
      </c>
    </row>
    <row r="326" spans="11:12" x14ac:dyDescent="0.45">
      <c r="K326" s="5">
        <v>324</v>
      </c>
      <c r="L326" s="73">
        <v>-543.70000000000005</v>
      </c>
    </row>
    <row r="327" spans="11:12" x14ac:dyDescent="0.45">
      <c r="K327" s="5">
        <v>325</v>
      </c>
      <c r="L327" s="73">
        <v>-515.70000000000005</v>
      </c>
    </row>
    <row r="328" spans="11:12" x14ac:dyDescent="0.45">
      <c r="K328" s="5">
        <v>326</v>
      </c>
      <c r="L328" s="73">
        <v>-499.4</v>
      </c>
    </row>
    <row r="329" spans="11:12" x14ac:dyDescent="0.45">
      <c r="K329" s="5">
        <v>327</v>
      </c>
      <c r="L329" s="73">
        <v>-491.4</v>
      </c>
    </row>
    <row r="330" spans="11:12" x14ac:dyDescent="0.45">
      <c r="K330" s="5">
        <v>328</v>
      </c>
      <c r="L330" s="73">
        <v>-479</v>
      </c>
    </row>
    <row r="331" spans="11:12" x14ac:dyDescent="0.45">
      <c r="K331" s="5">
        <v>329</v>
      </c>
      <c r="L331" s="73">
        <v>-479.5</v>
      </c>
    </row>
    <row r="332" spans="11:12" x14ac:dyDescent="0.45">
      <c r="K332" s="5">
        <v>330</v>
      </c>
      <c r="L332" s="73">
        <v>-541.79999999999995</v>
      </c>
    </row>
    <row r="333" spans="11:12" x14ac:dyDescent="0.45">
      <c r="K333" s="5">
        <v>331</v>
      </c>
      <c r="L333" s="73">
        <v>-527.5</v>
      </c>
    </row>
    <row r="334" spans="11:12" x14ac:dyDescent="0.45">
      <c r="K334" s="5">
        <v>332</v>
      </c>
      <c r="L334" s="73">
        <v>-554.6</v>
      </c>
    </row>
    <row r="335" spans="11:12" x14ac:dyDescent="0.45">
      <c r="K335" s="5">
        <v>333</v>
      </c>
      <c r="L335" s="73">
        <v>-575.5</v>
      </c>
    </row>
    <row r="336" spans="11:12" x14ac:dyDescent="0.45">
      <c r="K336" s="5">
        <v>334</v>
      </c>
      <c r="L336" s="73">
        <v>-549.5</v>
      </c>
    </row>
    <row r="337" spans="11:12" x14ac:dyDescent="0.45">
      <c r="K337" s="5">
        <v>335</v>
      </c>
      <c r="L337" s="73">
        <v>-517.6</v>
      </c>
    </row>
    <row r="338" spans="11:12" x14ac:dyDescent="0.45">
      <c r="K338" s="5">
        <v>336</v>
      </c>
      <c r="L338" s="73">
        <v>-507.3</v>
      </c>
    </row>
    <row r="339" spans="11:12" x14ac:dyDescent="0.45">
      <c r="K339" s="5">
        <v>337</v>
      </c>
      <c r="L339" s="73">
        <v>-499.3</v>
      </c>
    </row>
    <row r="340" spans="11:12" x14ac:dyDescent="0.45">
      <c r="K340" s="5">
        <v>338</v>
      </c>
      <c r="L340" s="73">
        <v>-493.9</v>
      </c>
    </row>
    <row r="341" spans="11:12" x14ac:dyDescent="0.45">
      <c r="K341" s="5">
        <v>339</v>
      </c>
      <c r="L341" s="73">
        <v>-525</v>
      </c>
    </row>
    <row r="342" spans="11:12" x14ac:dyDescent="0.45">
      <c r="K342" s="5">
        <v>340</v>
      </c>
      <c r="L342" s="73">
        <v>-566.6</v>
      </c>
    </row>
    <row r="343" spans="11:12" x14ac:dyDescent="0.45">
      <c r="K343" s="5">
        <v>341</v>
      </c>
      <c r="L343" s="73">
        <v>-604.9</v>
      </c>
    </row>
    <row r="344" spans="11:12" x14ac:dyDescent="0.45">
      <c r="K344" s="5">
        <v>342</v>
      </c>
      <c r="L344" s="73">
        <v>-628.4</v>
      </c>
    </row>
    <row r="345" spans="11:12" x14ac:dyDescent="0.45">
      <c r="K345" s="5">
        <v>343</v>
      </c>
      <c r="L345" s="73">
        <v>-600.4</v>
      </c>
    </row>
    <row r="346" spans="11:12" x14ac:dyDescent="0.45">
      <c r="K346" s="5">
        <v>344</v>
      </c>
      <c r="L346" s="73">
        <v>-620.29999999999995</v>
      </c>
    </row>
    <row r="347" spans="11:12" x14ac:dyDescent="0.45">
      <c r="K347" s="5">
        <v>345</v>
      </c>
      <c r="L347" s="73">
        <v>-628.1</v>
      </c>
    </row>
    <row r="348" spans="11:12" x14ac:dyDescent="0.45">
      <c r="K348" s="5">
        <v>346</v>
      </c>
      <c r="L348" s="73">
        <v>-680.9</v>
      </c>
    </row>
    <row r="349" spans="11:12" x14ac:dyDescent="0.45">
      <c r="K349" s="5">
        <v>347</v>
      </c>
      <c r="L349" s="73">
        <v>-631.4</v>
      </c>
    </row>
    <row r="350" spans="11:12" x14ac:dyDescent="0.45">
      <c r="K350" s="5">
        <v>348</v>
      </c>
      <c r="L350" s="73">
        <v>-619.20000000000005</v>
      </c>
    </row>
    <row r="351" spans="11:12" x14ac:dyDescent="0.45">
      <c r="K351" s="5">
        <v>349</v>
      </c>
      <c r="L351" s="73">
        <v>-555.70000000000005</v>
      </c>
    </row>
    <row r="352" spans="11:12" x14ac:dyDescent="0.45">
      <c r="K352" s="5">
        <v>350</v>
      </c>
      <c r="L352" s="73">
        <v>-525.70000000000005</v>
      </c>
    </row>
    <row r="353" spans="11:12" x14ac:dyDescent="0.45">
      <c r="K353" s="5">
        <v>351</v>
      </c>
      <c r="L353" s="73">
        <v>-522.20000000000005</v>
      </c>
    </row>
    <row r="354" spans="11:12" x14ac:dyDescent="0.45">
      <c r="K354" s="5">
        <v>352</v>
      </c>
      <c r="L354" s="73">
        <v>-488.2</v>
      </c>
    </row>
    <row r="355" spans="11:12" x14ac:dyDescent="0.45">
      <c r="K355" s="5">
        <v>353</v>
      </c>
      <c r="L355" s="73">
        <v>-492.2</v>
      </c>
    </row>
    <row r="356" spans="11:12" x14ac:dyDescent="0.45">
      <c r="K356" s="5">
        <v>354</v>
      </c>
      <c r="L356" s="73">
        <v>-503.7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DB3E9-D491-4B7E-A4ED-F17E7B652111}">
  <sheetPr codeName="Sheet16"/>
  <dimension ref="A1:Q12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186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118</v>
      </c>
      <c r="C2" s="132"/>
      <c r="E2" s="43" t="s">
        <v>66</v>
      </c>
      <c r="F2" s="25" t="s">
        <v>22</v>
      </c>
      <c r="G2" s="13">
        <v>185</v>
      </c>
      <c r="H2" s="106">
        <f>IF(B$51=0,0,G2/B$51)</f>
        <v>0.68773234200743494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-1650</v>
      </c>
      <c r="P2" s="92">
        <v>116</v>
      </c>
      <c r="Q2" s="76">
        <v>-191400</v>
      </c>
    </row>
    <row r="3" spans="1:17" x14ac:dyDescent="0.45">
      <c r="A3" s="37" t="s">
        <v>8</v>
      </c>
      <c r="B3" s="143">
        <v>1019</v>
      </c>
      <c r="C3" s="144"/>
      <c r="E3" s="44" t="s">
        <v>64</v>
      </c>
      <c r="F3" s="41" t="s">
        <v>20</v>
      </c>
      <c r="G3" s="34">
        <v>137</v>
      </c>
      <c r="H3" s="107">
        <f>IF(B$51=0,0,G3/B$51)</f>
        <v>0.50929368029739774</v>
      </c>
      <c r="I3" s="68">
        <v>9</v>
      </c>
      <c r="K3" s="5">
        <v>1</v>
      </c>
      <c r="L3" s="73">
        <v>4</v>
      </c>
      <c r="N3" s="89" t="s">
        <v>127</v>
      </c>
      <c r="O3" s="96">
        <f t="shared" si="0"/>
        <v>-637.71929824561403</v>
      </c>
      <c r="P3" s="93">
        <v>114</v>
      </c>
      <c r="Q3" s="77">
        <v>-72700</v>
      </c>
    </row>
    <row r="4" spans="1:17" x14ac:dyDescent="0.45">
      <c r="A4" s="37" t="s">
        <v>6</v>
      </c>
      <c r="B4" s="145">
        <v>-1015.2</v>
      </c>
      <c r="C4" s="146"/>
      <c r="E4" s="44" t="s">
        <v>72</v>
      </c>
      <c r="F4" s="41" t="s">
        <v>27</v>
      </c>
      <c r="G4" s="34">
        <v>124</v>
      </c>
      <c r="H4" s="107">
        <f>IF(B$51=0,0,G4/B$51)</f>
        <v>0.46096654275092935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-1577.0642201834862</v>
      </c>
      <c r="P4" s="93">
        <v>109</v>
      </c>
      <c r="Q4" s="77">
        <v>-171900</v>
      </c>
    </row>
    <row r="5" spans="1:17" x14ac:dyDescent="0.45">
      <c r="A5" s="37" t="s">
        <v>7</v>
      </c>
      <c r="B5" s="139">
        <f>IF(B$2=0,0,B$4/B$2)</f>
        <v>-8.6033898305084744</v>
      </c>
      <c r="C5" s="140"/>
      <c r="E5" s="44" t="s">
        <v>68</v>
      </c>
      <c r="F5" s="41" t="s">
        <v>12</v>
      </c>
      <c r="G5" s="34">
        <v>112</v>
      </c>
      <c r="H5" s="107">
        <f>IF(B$51=0,0,G5/B$51)</f>
        <v>0.41635687732342008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-3033</v>
      </c>
      <c r="P5" s="93">
        <v>100</v>
      </c>
      <c r="Q5" s="77">
        <v>-303300</v>
      </c>
    </row>
    <row r="6" spans="1:17" x14ac:dyDescent="0.45">
      <c r="A6" s="37" t="s">
        <v>1</v>
      </c>
      <c r="B6" s="137">
        <f>IF(B$2=0,0,(B$7*1+B$8*2+B$9*3)/B$2)</f>
        <v>2.152542372881356</v>
      </c>
      <c r="C6" s="138"/>
      <c r="E6" s="44" t="s">
        <v>157</v>
      </c>
      <c r="F6" s="41" t="s">
        <v>158</v>
      </c>
      <c r="G6" s="34">
        <v>100</v>
      </c>
      <c r="H6" s="107">
        <f>IF(B$51=0,0,G6/B$51)</f>
        <v>0.37174721189591076</v>
      </c>
      <c r="I6" s="68">
        <v>5</v>
      </c>
      <c r="K6" s="5">
        <v>4</v>
      </c>
      <c r="L6" s="73">
        <v>52.3</v>
      </c>
      <c r="N6" s="89" t="s">
        <v>130</v>
      </c>
      <c r="O6" s="96">
        <f t="shared" si="0"/>
        <v>446.06741573033707</v>
      </c>
      <c r="P6" s="93">
        <v>89</v>
      </c>
      <c r="Q6" s="77">
        <v>39700</v>
      </c>
    </row>
    <row r="7" spans="1:17" x14ac:dyDescent="0.45">
      <c r="A7" s="37" t="s">
        <v>2</v>
      </c>
      <c r="B7" s="34">
        <v>32</v>
      </c>
      <c r="C7" s="31">
        <f t="shared" ref="C7:C14" si="1">IF(B$2=0,0,B7/B$2)</f>
        <v>0.2711864406779661</v>
      </c>
      <c r="E7" s="44" t="s">
        <v>67</v>
      </c>
      <c r="F7" s="41" t="s">
        <v>23</v>
      </c>
      <c r="G7" s="34">
        <v>62</v>
      </c>
      <c r="H7" s="107">
        <f>IF(B$51=0,0,G7/B$51)</f>
        <v>0.23048327137546468</v>
      </c>
      <c r="I7" s="68">
        <v>14</v>
      </c>
      <c r="K7" s="5">
        <v>5</v>
      </c>
      <c r="L7" s="73">
        <v>15</v>
      </c>
      <c r="N7" s="90" t="s">
        <v>131</v>
      </c>
      <c r="O7" s="97">
        <f t="shared" si="0"/>
        <v>-218.75</v>
      </c>
      <c r="P7" s="94">
        <v>80</v>
      </c>
      <c r="Q7" s="78">
        <v>-17500</v>
      </c>
    </row>
    <row r="8" spans="1:17" x14ac:dyDescent="0.45">
      <c r="A8" s="37" t="s">
        <v>3</v>
      </c>
      <c r="B8" s="34">
        <v>36</v>
      </c>
      <c r="C8" s="31">
        <f t="shared" si="1"/>
        <v>0.30508474576271188</v>
      </c>
      <c r="E8" s="44" t="s">
        <v>69</v>
      </c>
      <c r="F8" s="41" t="s">
        <v>24</v>
      </c>
      <c r="G8" s="34">
        <v>40</v>
      </c>
      <c r="H8" s="107">
        <f>IF(B$51=0,0,G8/B$51)</f>
        <v>0.14869888475836432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50</v>
      </c>
      <c r="C9" s="7">
        <f t="shared" si="1"/>
        <v>0.42372881355932202</v>
      </c>
      <c r="E9" s="44" t="s">
        <v>70</v>
      </c>
      <c r="F9" s="41" t="s">
        <v>25</v>
      </c>
      <c r="G9" s="34">
        <v>32</v>
      </c>
      <c r="H9" s="107">
        <f>IF(B$51=0,0,G9/B$51)</f>
        <v>0.11895910780669144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37.090625000000003</v>
      </c>
      <c r="C10" s="121">
        <v>1186.9000000000001</v>
      </c>
      <c r="E10" s="44" t="s">
        <v>89</v>
      </c>
      <c r="F10" s="41" t="s">
        <v>44</v>
      </c>
      <c r="G10" s="34">
        <v>29</v>
      </c>
      <c r="H10" s="107">
        <f>IF(B$51=0,0,G10/B$51)</f>
        <v>0.10780669144981413</v>
      </c>
      <c r="I10" s="68">
        <v>13</v>
      </c>
      <c r="K10" s="5">
        <v>8</v>
      </c>
      <c r="L10" s="73">
        <v>-31.1</v>
      </c>
      <c r="N10" s="88" t="s">
        <v>149</v>
      </c>
      <c r="O10" s="98">
        <f>IF(P10=0,0,Q10/P10)</f>
        <v>-10.148717948717948</v>
      </c>
      <c r="P10" s="92">
        <v>39</v>
      </c>
      <c r="Q10" s="80">
        <v>-395.8</v>
      </c>
    </row>
    <row r="11" spans="1:17" x14ac:dyDescent="0.45">
      <c r="A11" s="38" t="s">
        <v>204</v>
      </c>
      <c r="B11" s="120">
        <f>IF(B8=0,0,C11/B8)</f>
        <v>-4.3638888888888889</v>
      </c>
      <c r="C11" s="121">
        <v>-157.1</v>
      </c>
      <c r="E11" s="44" t="s">
        <v>65</v>
      </c>
      <c r="F11" s="41" t="s">
        <v>21</v>
      </c>
      <c r="G11" s="34">
        <v>24</v>
      </c>
      <c r="H11" s="107">
        <f>IF(B$51=0,0,G11/B$51)</f>
        <v>8.9219330855018583E-2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-8.2217391304347842</v>
      </c>
      <c r="P11" s="93">
        <v>46</v>
      </c>
      <c r="Q11" s="81">
        <v>-378.20000000000005</v>
      </c>
    </row>
    <row r="12" spans="1:17" x14ac:dyDescent="0.45">
      <c r="A12" s="38" t="s">
        <v>205</v>
      </c>
      <c r="B12" s="120">
        <f>IF(B9=0,0,C12/B9)</f>
        <v>-40.9</v>
      </c>
      <c r="C12" s="121">
        <v>-2045</v>
      </c>
      <c r="E12" s="44" t="s">
        <v>71</v>
      </c>
      <c r="F12" s="41" t="s">
        <v>26</v>
      </c>
      <c r="G12" s="34">
        <v>14</v>
      </c>
      <c r="H12" s="107">
        <f>IF(B$51=0,0,G12/B$51)</f>
        <v>5.204460966542751E-2</v>
      </c>
      <c r="I12" s="68">
        <v>12</v>
      </c>
      <c r="K12" s="5">
        <v>10</v>
      </c>
      <c r="L12" s="73">
        <v>-115.89999999999999</v>
      </c>
      <c r="N12" s="90" t="s">
        <v>151</v>
      </c>
      <c r="O12" s="100">
        <f>IF(P12=0,0,Q12/P12)</f>
        <v>-7.3090909090909086</v>
      </c>
      <c r="P12" s="94">
        <v>33</v>
      </c>
      <c r="Q12" s="82">
        <v>-241.2</v>
      </c>
    </row>
    <row r="13" spans="1:17" x14ac:dyDescent="0.45">
      <c r="A13" s="38" t="s">
        <v>206</v>
      </c>
      <c r="B13" s="139">
        <f>AVERAGE(B10:B12)</f>
        <v>-2.7244212962962941</v>
      </c>
      <c r="C13" s="140"/>
      <c r="E13" s="44" t="s">
        <v>86</v>
      </c>
      <c r="F13" s="41" t="s">
        <v>41</v>
      </c>
      <c r="G13" s="34">
        <v>14</v>
      </c>
      <c r="H13" s="107">
        <f>IF(B$51=0,0,G13/B$51)</f>
        <v>5.204460966542751E-2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21</v>
      </c>
      <c r="C14" s="32">
        <f t="shared" si="1"/>
        <v>0.17796610169491525</v>
      </c>
      <c r="E14" s="44" t="s">
        <v>78</v>
      </c>
      <c r="F14" s="41" t="s">
        <v>33</v>
      </c>
      <c r="G14" s="34">
        <v>10</v>
      </c>
      <c r="H14" s="107">
        <f>IF(B$51=0,0,G14/B$51)</f>
        <v>3.717472118959108E-2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249</v>
      </c>
      <c r="C15" s="11">
        <f>IF(B$50=0,0,B15/B$50)</f>
        <v>0.24435721295387636</v>
      </c>
      <c r="E15" s="44" t="s">
        <v>83</v>
      </c>
      <c r="F15" s="41" t="s">
        <v>38</v>
      </c>
      <c r="G15" s="34">
        <v>7</v>
      </c>
      <c r="H15" s="107">
        <f>IF(B$51=0,0,G15/B$51)</f>
        <v>2.6022304832713755E-2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52.280000000000008</v>
      </c>
      <c r="P15" s="92">
        <v>10</v>
      </c>
      <c r="Q15" s="80">
        <v>522.80000000000007</v>
      </c>
    </row>
    <row r="16" spans="1:17" x14ac:dyDescent="0.45">
      <c r="A16" s="37" t="s">
        <v>118</v>
      </c>
      <c r="B16" s="34">
        <v>194</v>
      </c>
      <c r="C16" s="31">
        <f>IF(B$50=0,0,B16/B$50)</f>
        <v>0.19038272816486751</v>
      </c>
      <c r="E16" s="44" t="s">
        <v>79</v>
      </c>
      <c r="F16" s="41" t="s">
        <v>34</v>
      </c>
      <c r="G16" s="34">
        <v>6</v>
      </c>
      <c r="H16" s="107">
        <f>IF(B$51=0,0,G16/B$51)</f>
        <v>2.2304832713754646E-2</v>
      </c>
      <c r="I16" s="68">
        <v>7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19" t="s">
        <v>123</v>
      </c>
      <c r="B17" s="13">
        <v>141</v>
      </c>
      <c r="C17" s="4">
        <f>IF(B$15=0,0,B17/B$15)</f>
        <v>0.5662650602409639</v>
      </c>
      <c r="E17" s="44" t="s">
        <v>153</v>
      </c>
      <c r="F17" s="41" t="s">
        <v>154</v>
      </c>
      <c r="G17" s="34">
        <v>5</v>
      </c>
      <c r="H17" s="107">
        <f>IF(B$51=0,0,G17/B$51)</f>
        <v>1.858736059479554E-2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5">
      <c r="A18" s="19" t="s">
        <v>124</v>
      </c>
      <c r="B18" s="13">
        <v>65</v>
      </c>
      <c r="C18" s="4">
        <f>IF(B$16=0,0,B18/B$16)</f>
        <v>0.33505154639175255</v>
      </c>
      <c r="E18" s="44" t="s">
        <v>73</v>
      </c>
      <c r="F18" s="41" t="s">
        <v>28</v>
      </c>
      <c r="G18" s="34">
        <v>3</v>
      </c>
      <c r="H18" s="107">
        <f>IF(B$51=0,0,G18/B$51)</f>
        <v>1.1152416356877323E-2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19" t="s">
        <v>10</v>
      </c>
      <c r="B19" s="13">
        <v>269</v>
      </c>
      <c r="C19" s="4">
        <f>IF(B$3=0,0,B19/B$3)</f>
        <v>0.26398429833169773</v>
      </c>
      <c r="E19" s="44" t="s">
        <v>81</v>
      </c>
      <c r="F19" s="41" t="s">
        <v>36</v>
      </c>
      <c r="G19" s="34">
        <v>3</v>
      </c>
      <c r="H19" s="107">
        <f>IF(B$51=0,0,G19/B$51)</f>
        <v>1.1152416356877323E-2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5">
      <c r="A20" s="37" t="s">
        <v>13</v>
      </c>
      <c r="B20" s="34">
        <v>197</v>
      </c>
      <c r="C20" s="31">
        <f>IF(B$3=0,0,B20/B$3)</f>
        <v>0.19332679097154074</v>
      </c>
      <c r="E20" s="44" t="s">
        <v>87</v>
      </c>
      <c r="F20" s="41" t="s">
        <v>42</v>
      </c>
      <c r="G20" s="34">
        <v>2</v>
      </c>
      <c r="H20" s="107">
        <f>IF(B$51=0,0,G20/B$51)</f>
        <v>7.4349442379182153E-3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-8.4682926829268279</v>
      </c>
      <c r="P20" s="93">
        <v>41</v>
      </c>
      <c r="Q20" s="81">
        <v>-347.19999999999993</v>
      </c>
    </row>
    <row r="21" spans="1:17" x14ac:dyDescent="0.45">
      <c r="A21" s="37" t="s">
        <v>12</v>
      </c>
      <c r="B21" s="34">
        <v>142</v>
      </c>
      <c r="C21" s="31">
        <f>IF(B$19=0,0,B21/B$19)</f>
        <v>0.52788104089219334</v>
      </c>
      <c r="E21" s="44" t="s">
        <v>91</v>
      </c>
      <c r="F21" s="41" t="s">
        <v>46</v>
      </c>
      <c r="G21" s="34">
        <v>2</v>
      </c>
      <c r="H21" s="107">
        <f>IF(B$51=0,0,G21/B$51)</f>
        <v>7.4349442379182153E-3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-12.52</v>
      </c>
      <c r="P21" s="93">
        <v>20</v>
      </c>
      <c r="Q21" s="81">
        <v>-250.4</v>
      </c>
    </row>
    <row r="22" spans="1:17" x14ac:dyDescent="0.45">
      <c r="A22" s="37" t="s">
        <v>11</v>
      </c>
      <c r="B22" s="34">
        <v>127</v>
      </c>
      <c r="C22" s="31">
        <f>IF(B$19=0,0,B22/B$19)</f>
        <v>0.47211895910780671</v>
      </c>
      <c r="E22" s="44" t="s">
        <v>75</v>
      </c>
      <c r="F22" s="41" t="s">
        <v>30</v>
      </c>
      <c r="G22" s="34">
        <v>1</v>
      </c>
      <c r="H22" s="107">
        <f>IF(B$51=0,0,G22/B$51)</f>
        <v>3.7174721189591076E-3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-17.893478260869564</v>
      </c>
      <c r="P22" s="93">
        <v>46</v>
      </c>
      <c r="Q22" s="81">
        <v>-823.1</v>
      </c>
    </row>
    <row r="23" spans="1:17" x14ac:dyDescent="0.45">
      <c r="A23" s="37" t="s">
        <v>180</v>
      </c>
      <c r="B23" s="34">
        <v>141</v>
      </c>
      <c r="C23" s="31">
        <f>IF(B$19=0,0,B23/B$19)</f>
        <v>0.52416356877323422</v>
      </c>
      <c r="E23" s="44" t="s">
        <v>85</v>
      </c>
      <c r="F23" s="41" t="s">
        <v>40</v>
      </c>
      <c r="G23" s="34">
        <v>1</v>
      </c>
      <c r="H23" s="107">
        <f>IF(B$51=0,0,G23/B$51)</f>
        <v>3.7174721189591076E-3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-24.825862068965524</v>
      </c>
      <c r="P23" s="93">
        <v>58</v>
      </c>
      <c r="Q23" s="81">
        <v>-1439.9000000000003</v>
      </c>
    </row>
    <row r="24" spans="1:17" x14ac:dyDescent="0.45">
      <c r="A24" s="37" t="s">
        <v>178</v>
      </c>
      <c r="B24" s="34">
        <v>65</v>
      </c>
      <c r="C24" s="31">
        <f>IF(B$19=0,0,B24/B$19)</f>
        <v>0.24163568773234201</v>
      </c>
      <c r="E24" s="44" t="s">
        <v>106</v>
      </c>
      <c r="F24" s="41" t="s">
        <v>113</v>
      </c>
      <c r="G24" s="34">
        <v>1</v>
      </c>
      <c r="H24" s="107">
        <f>IF(B$51=0,0,G24/B$51)</f>
        <v>3.7174721189591076E-3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5">
      <c r="A25" s="37" t="s">
        <v>179</v>
      </c>
      <c r="B25" s="34">
        <v>63</v>
      </c>
      <c r="C25" s="31">
        <f>IF(B$19=0,0,B25/B$19)</f>
        <v>0.2342007434944238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5">
      <c r="A26" s="37" t="s">
        <v>5</v>
      </c>
      <c r="B26" s="17">
        <f>IF(B$19=0,0,C26/B$19)</f>
        <v>7805.2044609665427</v>
      </c>
      <c r="C26" s="8">
        <v>2099600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8" t="s">
        <v>162</v>
      </c>
      <c r="B27" s="114">
        <f>IF($B$19-B$18=0,0,C27/($B$19-B$18))</f>
        <v>8397.5490196078426</v>
      </c>
      <c r="C27" s="115">
        <v>1713100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-457.69999999999993</v>
      </c>
    </row>
    <row r="28" spans="1:17" x14ac:dyDescent="0.45">
      <c r="A28" s="38" t="s">
        <v>163</v>
      </c>
      <c r="B28" s="114">
        <f>IF(B$18=0,0,C28/B$18)</f>
        <v>5946.1538461538457</v>
      </c>
      <c r="C28" s="115">
        <v>386500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38" t="s">
        <v>161</v>
      </c>
      <c r="B29" s="114">
        <f>IF(B$20=0,0,C29/B$20)</f>
        <v>-8135.5329949238576</v>
      </c>
      <c r="C29" s="115">
        <v>-1602700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5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40" t="s">
        <v>177</v>
      </c>
      <c r="B33" s="133">
        <v>113300</v>
      </c>
      <c r="C33" s="134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9" t="s">
        <v>135</v>
      </c>
      <c r="B34" s="27">
        <v>5</v>
      </c>
      <c r="C34" s="32">
        <f>IF(B$3=0,0,B34/B$3)</f>
        <v>4.9067713444553487E-3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64" t="s">
        <v>168</v>
      </c>
      <c r="B36" s="126">
        <v>31</v>
      </c>
      <c r="C36" s="119">
        <f>IF(B$19=0,0,B36/B$19)</f>
        <v>0.11524163568773234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5">
      <c r="A37" s="37" t="s">
        <v>164</v>
      </c>
      <c r="B37" s="34">
        <v>51</v>
      </c>
      <c r="C37" s="31">
        <f t="shared" ref="C37:C48" si="2">IF(B$19=0,0,B37/B$19)</f>
        <v>0.1895910780669145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165</v>
      </c>
      <c r="B38" s="127">
        <v>48</v>
      </c>
      <c r="C38" s="31">
        <f>IF(B$19=0,0,B38/B$19)</f>
        <v>0.17843866171003717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166</v>
      </c>
      <c r="B39" s="127">
        <v>43</v>
      </c>
      <c r="C39" s="31">
        <f t="shared" si="2"/>
        <v>0.15985130111524162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167</v>
      </c>
      <c r="B40" s="127">
        <v>42</v>
      </c>
      <c r="C40" s="31">
        <f t="shared" si="2"/>
        <v>0.15613382899628253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169</v>
      </c>
      <c r="B41" s="127">
        <v>28</v>
      </c>
      <c r="C41" s="31">
        <f t="shared" si="2"/>
        <v>0.10408921933085502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170</v>
      </c>
      <c r="B42" s="127">
        <v>12</v>
      </c>
      <c r="C42" s="31">
        <f t="shared" si="2"/>
        <v>4.4609665427509292E-2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171</v>
      </c>
      <c r="B43" s="127">
        <v>7</v>
      </c>
      <c r="C43" s="31">
        <f t="shared" si="2"/>
        <v>2.6022304832713755E-2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-332.4</v>
      </c>
    </row>
    <row r="44" spans="1:12" x14ac:dyDescent="0.45">
      <c r="A44" s="37" t="s">
        <v>172</v>
      </c>
      <c r="B44" s="127">
        <v>3</v>
      </c>
      <c r="C44" s="31">
        <f t="shared" si="2"/>
        <v>1.1152416356877323E-2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5">
      <c r="A45" s="37" t="s">
        <v>173</v>
      </c>
      <c r="B45" s="127">
        <v>2</v>
      </c>
      <c r="C45" s="31">
        <f t="shared" si="2"/>
        <v>7.4349442379182153E-3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37" t="s">
        <v>174</v>
      </c>
      <c r="B46" s="127">
        <v>1</v>
      </c>
      <c r="C46" s="31">
        <f t="shared" si="2"/>
        <v>3.7174721189591076E-3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5">
      <c r="A48" s="39" t="s">
        <v>176</v>
      </c>
      <c r="B48" s="128">
        <v>1</v>
      </c>
      <c r="C48" s="32">
        <f t="shared" si="2"/>
        <v>3.7174721189591076E-3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5">
      <c r="A50" s="64" t="s">
        <v>181</v>
      </c>
      <c r="B50" s="131">
        <v>1019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5">
      <c r="A51" s="39" t="s">
        <v>182</v>
      </c>
      <c r="B51" s="129">
        <v>269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5">
      <c r="K53" s="5">
        <v>51</v>
      </c>
      <c r="L53" s="73">
        <v>-379</v>
      </c>
    </row>
    <row r="54" spans="1:12" x14ac:dyDescent="0.45">
      <c r="K54" s="5">
        <v>52</v>
      </c>
      <c r="L54" s="73">
        <v>-435</v>
      </c>
    </row>
    <row r="55" spans="1:12" x14ac:dyDescent="0.45">
      <c r="K55" s="5">
        <v>53</v>
      </c>
      <c r="L55" s="73">
        <v>-458.69999999999993</v>
      </c>
    </row>
    <row r="56" spans="1:12" x14ac:dyDescent="0.45">
      <c r="K56" s="5">
        <v>54</v>
      </c>
      <c r="L56" s="73">
        <v>-493.79999999999995</v>
      </c>
    </row>
    <row r="57" spans="1:12" x14ac:dyDescent="0.45">
      <c r="K57" s="5">
        <v>55</v>
      </c>
      <c r="L57" s="73">
        <v>-444.79999999999995</v>
      </c>
    </row>
    <row r="58" spans="1:12" x14ac:dyDescent="0.45">
      <c r="K58" s="5">
        <v>56</v>
      </c>
      <c r="L58" s="73">
        <v>-417.69999999999993</v>
      </c>
    </row>
    <row r="59" spans="1:12" x14ac:dyDescent="0.45">
      <c r="K59" s="5">
        <v>57</v>
      </c>
      <c r="L59" s="73">
        <v>-450.5</v>
      </c>
    </row>
    <row r="60" spans="1:12" x14ac:dyDescent="0.45">
      <c r="K60" s="5">
        <v>58</v>
      </c>
      <c r="L60" s="73">
        <v>-532.5</v>
      </c>
    </row>
    <row r="61" spans="1:12" x14ac:dyDescent="0.45">
      <c r="K61" s="5">
        <v>59</v>
      </c>
      <c r="L61" s="73">
        <v>-594.79999999999995</v>
      </c>
    </row>
    <row r="62" spans="1:12" x14ac:dyDescent="0.45">
      <c r="K62" s="5">
        <v>60</v>
      </c>
      <c r="L62" s="73">
        <v>-542.79999999999995</v>
      </c>
    </row>
    <row r="63" spans="1:12" x14ac:dyDescent="0.45">
      <c r="K63" s="5">
        <v>61</v>
      </c>
      <c r="L63" s="73">
        <v>-588.1</v>
      </c>
    </row>
    <row r="64" spans="1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  <row r="101" spans="11:12" x14ac:dyDescent="0.45">
      <c r="K101" s="5">
        <v>99</v>
      </c>
      <c r="L101" s="73">
        <v>-745.6</v>
      </c>
    </row>
    <row r="102" spans="11:12" x14ac:dyDescent="0.45">
      <c r="K102" s="5">
        <v>100</v>
      </c>
      <c r="L102" s="73">
        <v>-792.2</v>
      </c>
    </row>
    <row r="103" spans="11:12" x14ac:dyDescent="0.45">
      <c r="K103" s="5">
        <v>101</v>
      </c>
      <c r="L103" s="73">
        <v>-845.30000000000007</v>
      </c>
    </row>
    <row r="104" spans="11:12" x14ac:dyDescent="0.45">
      <c r="K104" s="5">
        <v>102</v>
      </c>
      <c r="L104" s="73">
        <v>-844.5</v>
      </c>
    </row>
    <row r="105" spans="11:12" x14ac:dyDescent="0.45">
      <c r="K105" s="5">
        <v>103</v>
      </c>
      <c r="L105" s="73">
        <v>-822.1</v>
      </c>
    </row>
    <row r="106" spans="11:12" x14ac:dyDescent="0.45">
      <c r="K106" s="5">
        <v>104</v>
      </c>
      <c r="L106" s="73">
        <v>-793.1</v>
      </c>
    </row>
    <row r="107" spans="11:12" x14ac:dyDescent="0.45">
      <c r="K107" s="5">
        <v>105</v>
      </c>
      <c r="L107" s="73">
        <v>-812.4</v>
      </c>
    </row>
    <row r="108" spans="11:12" x14ac:dyDescent="0.45">
      <c r="K108" s="5">
        <v>106</v>
      </c>
      <c r="L108" s="73">
        <v>-854.2</v>
      </c>
    </row>
    <row r="109" spans="11:12" x14ac:dyDescent="0.45">
      <c r="K109" s="5">
        <v>107</v>
      </c>
      <c r="L109" s="73">
        <v>-910</v>
      </c>
    </row>
    <row r="110" spans="11:12" x14ac:dyDescent="0.45">
      <c r="K110" s="5">
        <v>108</v>
      </c>
      <c r="L110" s="73">
        <v>-917.4</v>
      </c>
    </row>
    <row r="111" spans="11:12" x14ac:dyDescent="0.45">
      <c r="K111" s="5">
        <v>109</v>
      </c>
      <c r="L111" s="73">
        <v>-973.6</v>
      </c>
    </row>
    <row r="112" spans="11:12" x14ac:dyDescent="0.45">
      <c r="K112" s="5">
        <v>110</v>
      </c>
      <c r="L112" s="73">
        <v>-1000.9</v>
      </c>
    </row>
    <row r="113" spans="11:12" x14ac:dyDescent="0.45">
      <c r="K113" s="5">
        <v>111</v>
      </c>
      <c r="L113" s="73">
        <v>-1010.4</v>
      </c>
    </row>
    <row r="114" spans="11:12" x14ac:dyDescent="0.45">
      <c r="K114" s="5">
        <v>112</v>
      </c>
      <c r="L114" s="73">
        <v>-1035.5999999999999</v>
      </c>
    </row>
    <row r="115" spans="11:12" x14ac:dyDescent="0.45">
      <c r="K115" s="5">
        <v>113</v>
      </c>
      <c r="L115" s="73">
        <v>-1037.9000000000001</v>
      </c>
    </row>
    <row r="116" spans="11:12" x14ac:dyDescent="0.45">
      <c r="K116" s="5">
        <v>114</v>
      </c>
      <c r="L116" s="73">
        <v>-1015.9</v>
      </c>
    </row>
    <row r="117" spans="11:12" x14ac:dyDescent="0.45">
      <c r="K117" s="5">
        <v>115</v>
      </c>
      <c r="L117" s="73">
        <v>-945.9</v>
      </c>
    </row>
    <row r="118" spans="11:12" x14ac:dyDescent="0.45">
      <c r="K118" s="5">
        <v>116</v>
      </c>
      <c r="L118" s="73">
        <v>-977.80000000000007</v>
      </c>
    </row>
    <row r="119" spans="11:12" x14ac:dyDescent="0.45">
      <c r="K119" s="5">
        <v>117</v>
      </c>
      <c r="L119" s="73">
        <v>-992.9</v>
      </c>
    </row>
    <row r="120" spans="11:12" x14ac:dyDescent="0.45">
      <c r="K120" s="5">
        <v>118</v>
      </c>
      <c r="L120" s="73">
        <v>-1015.2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200D5-A8B8-4A40-A744-F9058E9BD403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199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28</v>
      </c>
      <c r="C2" s="132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43">
        <v>253</v>
      </c>
      <c r="C3" s="144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45">
        <v>-22.000000000000028</v>
      </c>
      <c r="C4" s="146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9">
        <f>IF(B$2=0,0,B$4/B$2)</f>
        <v>-0.7857142857142867</v>
      </c>
      <c r="C5" s="140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7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37">
        <f>IF(B$2=0,0,(B$7*1+B$8*2+B$9*3)/B$2)</f>
        <v>1.9285714285714286</v>
      </c>
      <c r="C6" s="138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11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38" t="s">
        <v>206</v>
      </c>
      <c r="B13" s="139">
        <f>AVERAGE(B10:B12)</f>
        <v>-4.0783333333333331</v>
      </c>
      <c r="C13" s="140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10.899999999999977</v>
      </c>
    </row>
    <row r="27" spans="1:17" x14ac:dyDescent="0.45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5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4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106300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253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80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452EF-B0A1-44F5-9E07-B31F5D396A9A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200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</v>
      </c>
      <c r="C2" s="132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43">
        <v>13</v>
      </c>
      <c r="C3" s="144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11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45">
        <v>13.3</v>
      </c>
      <c r="C4" s="146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9">
        <f>IF(B$2=0,0,B$4/B$2)</f>
        <v>13.3</v>
      </c>
      <c r="C5" s="140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4.4333333333333336</v>
      </c>
      <c r="C13" s="140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5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5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5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5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9" x14ac:dyDescent="0.45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5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5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48300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13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76EC6-0B35-4C01-BCEC-197D3696F1D5}">
  <sheetPr codeName="Sheet19"/>
  <dimension ref="A1:Q9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197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93</v>
      </c>
      <c r="C2" s="132"/>
      <c r="E2" s="43" t="s">
        <v>66</v>
      </c>
      <c r="F2" s="25" t="s">
        <v>22</v>
      </c>
      <c r="G2" s="13">
        <v>118</v>
      </c>
      <c r="H2" s="106">
        <f>IF(B$51=0,0,G2/B$51)</f>
        <v>0.64130434782608692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-3480.6451612903224</v>
      </c>
      <c r="P2" s="92">
        <v>93</v>
      </c>
      <c r="Q2" s="76">
        <v>-323700</v>
      </c>
    </row>
    <row r="3" spans="1:17" x14ac:dyDescent="0.45">
      <c r="A3" s="37" t="s">
        <v>8</v>
      </c>
      <c r="B3" s="143">
        <v>761</v>
      </c>
      <c r="C3" s="144"/>
      <c r="E3" s="44" t="s">
        <v>72</v>
      </c>
      <c r="F3" s="41" t="s">
        <v>27</v>
      </c>
      <c r="G3" s="34">
        <v>114</v>
      </c>
      <c r="H3" s="107">
        <f>IF(B$51=0,0,G3/B$51)</f>
        <v>0.61956521739130432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175</v>
      </c>
      <c r="P3" s="93">
        <v>92</v>
      </c>
      <c r="Q3" s="77">
        <v>16100</v>
      </c>
    </row>
    <row r="4" spans="1:17" x14ac:dyDescent="0.45">
      <c r="A4" s="37" t="s">
        <v>6</v>
      </c>
      <c r="B4" s="145">
        <v>-1253.8000000000002</v>
      </c>
      <c r="C4" s="146"/>
      <c r="E4" s="44" t="s">
        <v>64</v>
      </c>
      <c r="F4" s="41" t="s">
        <v>20</v>
      </c>
      <c r="G4" s="34">
        <v>81</v>
      </c>
      <c r="H4" s="107">
        <f>IF(B$51=0,0,G4/B$51)</f>
        <v>0.44021739130434784</v>
      </c>
      <c r="I4" s="68">
        <v>16</v>
      </c>
      <c r="K4" s="5">
        <v>2</v>
      </c>
      <c r="L4" s="73">
        <v>-96.5</v>
      </c>
      <c r="N4" s="89" t="s">
        <v>128</v>
      </c>
      <c r="O4" s="96">
        <f t="shared" si="0"/>
        <v>-1548.8372093023256</v>
      </c>
      <c r="P4" s="93">
        <v>86</v>
      </c>
      <c r="Q4" s="77">
        <v>-133200</v>
      </c>
    </row>
    <row r="5" spans="1:17" x14ac:dyDescent="0.45">
      <c r="A5" s="37" t="s">
        <v>7</v>
      </c>
      <c r="B5" s="139">
        <f>IF(B$2=0,0,B$4/B$2)</f>
        <v>-13.481720430107529</v>
      </c>
      <c r="C5" s="140"/>
      <c r="E5" s="44" t="s">
        <v>157</v>
      </c>
      <c r="F5" s="41" t="s">
        <v>158</v>
      </c>
      <c r="G5" s="34">
        <v>68</v>
      </c>
      <c r="H5" s="107">
        <f>IF(B$51=0,0,G5/B$51)</f>
        <v>0.36956521739130432</v>
      </c>
      <c r="I5" s="68">
        <v>6</v>
      </c>
      <c r="K5" s="5">
        <v>3</v>
      </c>
      <c r="L5" s="73">
        <v>-151.9</v>
      </c>
      <c r="N5" s="89" t="s">
        <v>129</v>
      </c>
      <c r="O5" s="96">
        <f t="shared" si="0"/>
        <v>-1244.7368421052631</v>
      </c>
      <c r="P5" s="93">
        <v>76</v>
      </c>
      <c r="Q5" s="77">
        <v>-94600</v>
      </c>
    </row>
    <row r="6" spans="1:17" x14ac:dyDescent="0.45">
      <c r="A6" s="37" t="s">
        <v>1</v>
      </c>
      <c r="B6" s="137">
        <f>IF(B$2=0,0,(B$7*1+B$8*2+B$9*3)/B$2)</f>
        <v>2.3118279569892475</v>
      </c>
      <c r="C6" s="138"/>
      <c r="E6" s="44" t="s">
        <v>68</v>
      </c>
      <c r="F6" s="41" t="s">
        <v>12</v>
      </c>
      <c r="G6" s="34">
        <v>52</v>
      </c>
      <c r="H6" s="107">
        <f>IF(B$51=0,0,G6/B$51)</f>
        <v>0.28260869565217389</v>
      </c>
      <c r="I6" s="68">
        <v>14</v>
      </c>
      <c r="K6" s="5">
        <v>4</v>
      </c>
      <c r="L6" s="73">
        <v>-134.1</v>
      </c>
      <c r="N6" s="89" t="s">
        <v>130</v>
      </c>
      <c r="O6" s="96">
        <f t="shared" si="0"/>
        <v>-1552.8571428571429</v>
      </c>
      <c r="P6" s="93">
        <v>70</v>
      </c>
      <c r="Q6" s="77">
        <v>-108700</v>
      </c>
    </row>
    <row r="7" spans="1:17" x14ac:dyDescent="0.45">
      <c r="A7" s="37" t="s">
        <v>2</v>
      </c>
      <c r="B7" s="34">
        <v>12</v>
      </c>
      <c r="C7" s="31">
        <f t="shared" ref="C7:C14" si="1">IF(B$2=0,0,B7/B$2)</f>
        <v>0.12903225806451613</v>
      </c>
      <c r="E7" s="44" t="s">
        <v>67</v>
      </c>
      <c r="F7" s="41" t="s">
        <v>23</v>
      </c>
      <c r="G7" s="34">
        <v>42</v>
      </c>
      <c r="H7" s="107">
        <f>IF(B$51=0,0,G7/B$51)</f>
        <v>0.22826086956521738</v>
      </c>
      <c r="I7" s="68">
        <v>15</v>
      </c>
      <c r="K7" s="5">
        <v>5</v>
      </c>
      <c r="L7" s="73">
        <v>-152</v>
      </c>
      <c r="N7" s="90" t="s">
        <v>131</v>
      </c>
      <c r="O7" s="97">
        <f t="shared" si="0"/>
        <v>-2296.4912280701756</v>
      </c>
      <c r="P7" s="94">
        <v>57</v>
      </c>
      <c r="Q7" s="78">
        <v>-130900</v>
      </c>
    </row>
    <row r="8" spans="1:17" x14ac:dyDescent="0.45">
      <c r="A8" s="37" t="s">
        <v>3</v>
      </c>
      <c r="B8" s="34">
        <v>40</v>
      </c>
      <c r="C8" s="31">
        <f t="shared" si="1"/>
        <v>0.43010752688172044</v>
      </c>
      <c r="E8" s="44" t="s">
        <v>89</v>
      </c>
      <c r="F8" s="41" t="s">
        <v>44</v>
      </c>
      <c r="G8" s="34">
        <v>27</v>
      </c>
      <c r="H8" s="107">
        <f>IF(B$51=0,0,G8/B$51)</f>
        <v>0.14673913043478262</v>
      </c>
      <c r="I8" s="68">
        <v>7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41</v>
      </c>
      <c r="C9" s="7">
        <f t="shared" si="1"/>
        <v>0.44086021505376344</v>
      </c>
      <c r="E9" s="44" t="s">
        <v>65</v>
      </c>
      <c r="F9" s="41" t="s">
        <v>21</v>
      </c>
      <c r="G9" s="34">
        <v>19</v>
      </c>
      <c r="H9" s="107">
        <f>IF(B$51=0,0,G9/B$51)</f>
        <v>0.10326086956521739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34.966666666666661</v>
      </c>
      <c r="C10" s="121">
        <v>419.59999999999997</v>
      </c>
      <c r="E10" s="44" t="s">
        <v>70</v>
      </c>
      <c r="F10" s="41" t="s">
        <v>25</v>
      </c>
      <c r="G10" s="34">
        <v>16</v>
      </c>
      <c r="H10" s="107">
        <f>IF(B$51=0,0,G10/B$51)</f>
        <v>8.6956521739130432E-2</v>
      </c>
      <c r="I10" s="68">
        <v>9</v>
      </c>
      <c r="K10" s="5">
        <v>8</v>
      </c>
      <c r="L10" s="73">
        <v>-289.8</v>
      </c>
      <c r="N10" s="88" t="s">
        <v>149</v>
      </c>
      <c r="O10" s="98">
        <f>IF(P10=0,0,Q10/P10)</f>
        <v>-22.297435897435896</v>
      </c>
      <c r="P10" s="92">
        <v>39</v>
      </c>
      <c r="Q10" s="80">
        <v>-869.6</v>
      </c>
    </row>
    <row r="11" spans="1:17" x14ac:dyDescent="0.45">
      <c r="A11" s="38" t="s">
        <v>204</v>
      </c>
      <c r="B11" s="120">
        <f>IF(B8=0,0,C11/B8)</f>
        <v>-1.8399999999999999</v>
      </c>
      <c r="C11" s="121">
        <v>-73.599999999999994</v>
      </c>
      <c r="E11" s="44" t="s">
        <v>69</v>
      </c>
      <c r="F11" s="41" t="s">
        <v>24</v>
      </c>
      <c r="G11" s="34">
        <v>15</v>
      </c>
      <c r="H11" s="107">
        <f>IF(B$51=0,0,G11/B$51)</f>
        <v>8.1521739130434784E-2</v>
      </c>
      <c r="I11" s="68">
        <v>18</v>
      </c>
      <c r="K11" s="5">
        <v>9</v>
      </c>
      <c r="L11" s="73">
        <v>-292.60000000000002</v>
      </c>
      <c r="N11" s="89" t="s">
        <v>150</v>
      </c>
      <c r="O11" s="99">
        <f>IF(P11=0,0,Q11/P11)</f>
        <v>-4.8137931034482744</v>
      </c>
      <c r="P11" s="93">
        <v>29</v>
      </c>
      <c r="Q11" s="81">
        <v>-139.59999999999997</v>
      </c>
    </row>
    <row r="12" spans="1:17" x14ac:dyDescent="0.45">
      <c r="A12" s="38" t="s">
        <v>205</v>
      </c>
      <c r="B12" s="120">
        <f>IF(B9=0,0,C12/B9)</f>
        <v>-39.019512195121955</v>
      </c>
      <c r="C12" s="121">
        <v>-1599.8000000000002</v>
      </c>
      <c r="E12" s="44" t="s">
        <v>71</v>
      </c>
      <c r="F12" s="41" t="s">
        <v>26</v>
      </c>
      <c r="G12" s="34">
        <v>14</v>
      </c>
      <c r="H12" s="107">
        <f>IF(B$51=0,0,G12/B$51)</f>
        <v>7.6086956521739135E-2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-9.7840000000000007</v>
      </c>
      <c r="P12" s="94">
        <v>25</v>
      </c>
      <c r="Q12" s="82">
        <v>-244.60000000000002</v>
      </c>
    </row>
    <row r="13" spans="1:17" x14ac:dyDescent="0.45">
      <c r="A13" s="38" t="s">
        <v>206</v>
      </c>
      <c r="B13" s="139">
        <f>AVERAGE(B10:B12)</f>
        <v>-1.9642818428184299</v>
      </c>
      <c r="C13" s="140"/>
      <c r="E13" s="44" t="s">
        <v>86</v>
      </c>
      <c r="F13" s="41" t="s">
        <v>41</v>
      </c>
      <c r="G13" s="34">
        <v>12</v>
      </c>
      <c r="H13" s="107">
        <f>IF(B$51=0,0,G13/B$51)</f>
        <v>6.5217391304347824E-2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15</v>
      </c>
      <c r="C14" s="32">
        <f t="shared" si="1"/>
        <v>0.16129032258064516</v>
      </c>
      <c r="E14" s="44" t="s">
        <v>81</v>
      </c>
      <c r="F14" s="41" t="s">
        <v>36</v>
      </c>
      <c r="G14" s="34">
        <v>10</v>
      </c>
      <c r="H14" s="107">
        <f>IF(B$51=0,0,G14/B$51)</f>
        <v>5.434782608695652E-2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157</v>
      </c>
      <c r="C15" s="11">
        <f>IF(B$50=0,0,B15/B$50)</f>
        <v>0.20630749014454666</v>
      </c>
      <c r="E15" s="44" t="s">
        <v>83</v>
      </c>
      <c r="F15" s="41" t="s">
        <v>38</v>
      </c>
      <c r="G15" s="34">
        <v>10</v>
      </c>
      <c r="H15" s="107">
        <f>IF(B$51=0,0,G15/B$51)</f>
        <v>5.434782608695652E-2</v>
      </c>
      <c r="I15" s="68">
        <v>6</v>
      </c>
      <c r="K15" s="5">
        <v>13</v>
      </c>
      <c r="L15" s="73">
        <v>-373.1</v>
      </c>
      <c r="N15" s="88" t="s">
        <v>189</v>
      </c>
      <c r="O15" s="98">
        <f>IF(P15=0,0,Q15/P15)</f>
        <v>22.933333333333334</v>
      </c>
      <c r="P15" s="92">
        <v>3</v>
      </c>
      <c r="Q15" s="80">
        <v>68.8</v>
      </c>
    </row>
    <row r="16" spans="1:17" x14ac:dyDescent="0.45">
      <c r="A16" s="37" t="s">
        <v>118</v>
      </c>
      <c r="B16" s="34">
        <v>178</v>
      </c>
      <c r="C16" s="31">
        <f>IF(B$50=0,0,B16/B$50)</f>
        <v>0.23390275952693823</v>
      </c>
      <c r="E16" s="44" t="s">
        <v>91</v>
      </c>
      <c r="F16" s="41" t="s">
        <v>46</v>
      </c>
      <c r="G16" s="34">
        <v>5</v>
      </c>
      <c r="H16" s="107">
        <f>IF(B$51=0,0,G16/B$51)</f>
        <v>2.717391304347826E-2</v>
      </c>
      <c r="I16" s="68">
        <v>4</v>
      </c>
      <c r="K16" s="5">
        <v>14</v>
      </c>
      <c r="L16" s="73">
        <v>-416.90000000000003</v>
      </c>
      <c r="N16" s="89" t="s">
        <v>188</v>
      </c>
      <c r="O16" s="99">
        <f>IF(P16=0,0,Q16/P16)</f>
        <v>7.8115384615384604</v>
      </c>
      <c r="P16" s="93">
        <v>26</v>
      </c>
      <c r="Q16" s="81">
        <v>203.09999999999997</v>
      </c>
    </row>
    <row r="17" spans="1:17" x14ac:dyDescent="0.45">
      <c r="A17" s="19" t="s">
        <v>123</v>
      </c>
      <c r="B17" s="13">
        <v>84</v>
      </c>
      <c r="C17" s="4">
        <f>IF(B$15=0,0,B17/B$15)</f>
        <v>0.53503184713375795</v>
      </c>
      <c r="E17" s="44" t="s">
        <v>78</v>
      </c>
      <c r="F17" s="41" t="s">
        <v>33</v>
      </c>
      <c r="G17" s="34">
        <v>4</v>
      </c>
      <c r="H17" s="107">
        <f>IF(B$51=0,0,G17/B$51)</f>
        <v>2.1739130434782608E-2</v>
      </c>
      <c r="I17" s="68">
        <v>11</v>
      </c>
      <c r="K17" s="5">
        <v>15</v>
      </c>
      <c r="L17" s="73">
        <v>-452.20000000000005</v>
      </c>
      <c r="N17" s="89" t="s">
        <v>201</v>
      </c>
      <c r="O17" s="99">
        <f>IF(P17=0,0,Q17/P17)</f>
        <v>2.1000000000000014</v>
      </c>
      <c r="P17" s="93">
        <v>3</v>
      </c>
      <c r="Q17" s="81">
        <v>6.3000000000000043</v>
      </c>
    </row>
    <row r="18" spans="1:17" x14ac:dyDescent="0.45">
      <c r="A18" s="19" t="s">
        <v>124</v>
      </c>
      <c r="B18" s="13">
        <v>67</v>
      </c>
      <c r="C18" s="4">
        <f>IF(B$16=0,0,B18/B$16)</f>
        <v>0.37640449438202245</v>
      </c>
      <c r="E18" s="44" t="s">
        <v>73</v>
      </c>
      <c r="F18" s="41" t="s">
        <v>28</v>
      </c>
      <c r="G18" s="34">
        <v>1</v>
      </c>
      <c r="H18" s="107">
        <f>IF(B$51=0,0,G18/B$51)</f>
        <v>5.434782608695652E-3</v>
      </c>
      <c r="I18" s="68">
        <v>8</v>
      </c>
      <c r="K18" s="5">
        <v>16</v>
      </c>
      <c r="L18" s="73">
        <v>-392.1</v>
      </c>
      <c r="N18" s="89" t="s">
        <v>194</v>
      </c>
      <c r="O18" s="99">
        <f>IF(P18=0,0,Q18/P18)</f>
        <v>-17.649999999999999</v>
      </c>
      <c r="P18" s="93">
        <v>2</v>
      </c>
      <c r="Q18" s="81">
        <v>-35.299999999999997</v>
      </c>
    </row>
    <row r="19" spans="1:17" x14ac:dyDescent="0.45">
      <c r="A19" s="19" t="s">
        <v>10</v>
      </c>
      <c r="B19" s="13">
        <v>184</v>
      </c>
      <c r="C19" s="4">
        <f>IF(B$3=0,0,B19/B$3)</f>
        <v>0.24178712220762155</v>
      </c>
      <c r="E19" s="44" t="s">
        <v>74</v>
      </c>
      <c r="F19" s="41" t="s">
        <v>29</v>
      </c>
      <c r="G19" s="34">
        <v>1</v>
      </c>
      <c r="H19" s="107">
        <f>IF(B$51=0,0,G19/B$51)</f>
        <v>5.434782608695652E-3</v>
      </c>
      <c r="I19" s="68">
        <v>3</v>
      </c>
      <c r="K19" s="5">
        <v>17</v>
      </c>
      <c r="L19" s="73">
        <v>-445.20000000000005</v>
      </c>
      <c r="N19" s="89" t="s">
        <v>191</v>
      </c>
      <c r="O19" s="99">
        <f>IF(P19=0,0,Q19/P19)</f>
        <v>-19.176470588235293</v>
      </c>
      <c r="P19" s="93">
        <v>34</v>
      </c>
      <c r="Q19" s="81">
        <v>-652</v>
      </c>
    </row>
    <row r="20" spans="1:17" x14ac:dyDescent="0.45">
      <c r="A20" s="37" t="s">
        <v>13</v>
      </c>
      <c r="B20" s="34">
        <v>142</v>
      </c>
      <c r="C20" s="31">
        <f>IF(B$3=0,0,B20/B$3)</f>
        <v>0.18659658344283836</v>
      </c>
      <c r="E20" s="44" t="s">
        <v>79</v>
      </c>
      <c r="F20" s="41" t="s">
        <v>34</v>
      </c>
      <c r="G20" s="34">
        <v>1</v>
      </c>
      <c r="H20" s="107">
        <f>IF(B$51=0,0,G20/B$51)</f>
        <v>5.434782608695652E-3</v>
      </c>
      <c r="I20" s="68">
        <v>14</v>
      </c>
      <c r="K20" s="5">
        <v>18</v>
      </c>
      <c r="L20" s="73">
        <v>-443.20000000000005</v>
      </c>
      <c r="N20" s="89" t="s">
        <v>190</v>
      </c>
      <c r="O20" s="99">
        <f>IF(P20=0,0,Q20/P20)</f>
        <v>-20.2</v>
      </c>
      <c r="P20" s="93">
        <v>9</v>
      </c>
      <c r="Q20" s="81">
        <v>-181.79999999999998</v>
      </c>
    </row>
    <row r="21" spans="1:17" x14ac:dyDescent="0.45">
      <c r="A21" s="37" t="s">
        <v>12</v>
      </c>
      <c r="B21" s="34">
        <v>85</v>
      </c>
      <c r="C21" s="31">
        <f>IF(B$19=0,0,B21/B$19)</f>
        <v>0.46195652173913043</v>
      </c>
      <c r="E21" s="44" t="s">
        <v>92</v>
      </c>
      <c r="F21" s="41" t="s">
        <v>47</v>
      </c>
      <c r="G21" s="34">
        <v>1</v>
      </c>
      <c r="H21" s="107">
        <f>IF(B$51=0,0,G21/B$51)</f>
        <v>5.434782608695652E-3</v>
      </c>
      <c r="I21" s="68">
        <v>6</v>
      </c>
      <c r="K21" s="5">
        <v>19</v>
      </c>
      <c r="L21" s="73">
        <v>-443.70000000000005</v>
      </c>
      <c r="N21" s="89" t="s">
        <v>193</v>
      </c>
      <c r="O21" s="99">
        <f>IF(P21=0,0,Q21/P21)</f>
        <v>-20.954166666666666</v>
      </c>
      <c r="P21" s="93">
        <v>24</v>
      </c>
      <c r="Q21" s="81">
        <v>-502.9</v>
      </c>
    </row>
    <row r="22" spans="1:17" x14ac:dyDescent="0.45">
      <c r="A22" s="37" t="s">
        <v>11</v>
      </c>
      <c r="B22" s="34">
        <v>99</v>
      </c>
      <c r="C22" s="31">
        <f>IF(B$19=0,0,B22/B$19)</f>
        <v>0.53804347826086951</v>
      </c>
      <c r="E22" s="44" t="s">
        <v>95</v>
      </c>
      <c r="F22" s="41" t="s">
        <v>50</v>
      </c>
      <c r="G22" s="34">
        <v>1</v>
      </c>
      <c r="H22" s="107">
        <f>IF(B$51=0,0,G22/B$51)</f>
        <v>5.434782608695652E-3</v>
      </c>
      <c r="I22" s="68">
        <v>1</v>
      </c>
      <c r="K22" s="5">
        <v>20</v>
      </c>
      <c r="L22" s="73">
        <v>-467.6</v>
      </c>
      <c r="N22" s="89" t="s">
        <v>187</v>
      </c>
      <c r="O22" s="99">
        <f>IF(P22=0,0,Q22/P22)</f>
        <v>-25.1</v>
      </c>
      <c r="P22" s="93">
        <v>38</v>
      </c>
      <c r="Q22" s="81">
        <v>-953.80000000000007</v>
      </c>
    </row>
    <row r="23" spans="1:17" x14ac:dyDescent="0.45">
      <c r="A23" s="37" t="s">
        <v>180</v>
      </c>
      <c r="B23" s="34">
        <v>84</v>
      </c>
      <c r="C23" s="31">
        <f>IF(B$19=0,0,B23/B$19)</f>
        <v>0.45652173913043476</v>
      </c>
      <c r="E23" s="44" t="s">
        <v>153</v>
      </c>
      <c r="F23" s="41" t="s">
        <v>154</v>
      </c>
      <c r="G23" s="34">
        <v>1</v>
      </c>
      <c r="H23" s="107">
        <f>IF(B$51=0,0,G23/B$51)</f>
        <v>5.434782608695652E-3</v>
      </c>
      <c r="I23" s="68">
        <v>9</v>
      </c>
      <c r="K23" s="5">
        <v>21</v>
      </c>
      <c r="L23" s="73">
        <v>-469.5</v>
      </c>
      <c r="N23" s="89" t="s">
        <v>195</v>
      </c>
      <c r="O23" s="99">
        <f>IF(P23=0,0,Q23/P23)</f>
        <v>-30.043333333333347</v>
      </c>
      <c r="P23" s="93">
        <v>30</v>
      </c>
      <c r="Q23" s="81">
        <v>-901.30000000000041</v>
      </c>
    </row>
    <row r="24" spans="1:17" x14ac:dyDescent="0.45">
      <c r="A24" s="37" t="s">
        <v>178</v>
      </c>
      <c r="B24" s="34">
        <v>67</v>
      </c>
      <c r="C24" s="31">
        <f>IF(B$19=0,0,B24/B$19)</f>
        <v>0.3641304347826087</v>
      </c>
      <c r="E24" s="44" t="s">
        <v>75</v>
      </c>
      <c r="F24" s="41" t="s">
        <v>30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7" t="s">
        <v>179</v>
      </c>
      <c r="B25" s="34">
        <v>33</v>
      </c>
      <c r="C25" s="31">
        <f>IF(B$19=0,0,B25/B$19)</f>
        <v>0.17934782608695651</v>
      </c>
      <c r="E25" s="44" t="s">
        <v>76</v>
      </c>
      <c r="F25" s="41" t="s">
        <v>31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-559.5</v>
      </c>
      <c r="N25" s="89" t="s">
        <v>186</v>
      </c>
      <c r="O25" s="99">
        <f>IF(P25=0,0,Q25/P25)</f>
        <v>-52.280000000000008</v>
      </c>
      <c r="P25" s="93">
        <v>10</v>
      </c>
      <c r="Q25" s="81">
        <v>-522.80000000000007</v>
      </c>
    </row>
    <row r="26" spans="1:17" x14ac:dyDescent="0.45">
      <c r="A26" s="37" t="s">
        <v>5</v>
      </c>
      <c r="B26" s="17">
        <f>IF(B$19=0,0,C26/B$19)</f>
        <v>8136.95652173913</v>
      </c>
      <c r="C26" s="8">
        <v>1497200</v>
      </c>
      <c r="E26" s="44" t="s">
        <v>77</v>
      </c>
      <c r="F26" s="41" t="s">
        <v>32</v>
      </c>
      <c r="G26" s="34">
        <v>0</v>
      </c>
      <c r="H26" s="107">
        <f>IF(B$51=0,0,G26/B$51)</f>
        <v>0</v>
      </c>
      <c r="I26" s="68">
        <v>10</v>
      </c>
      <c r="K26" s="5">
        <v>24</v>
      </c>
      <c r="L26" s="73">
        <v>-565.10000000000014</v>
      </c>
    </row>
    <row r="27" spans="1:17" x14ac:dyDescent="0.45">
      <c r="A27" s="38" t="s">
        <v>162</v>
      </c>
      <c r="B27" s="114">
        <f>IF($B$19-B$18=0,0,C27/($B$19-B$18))</f>
        <v>8774.3589743589746</v>
      </c>
      <c r="C27" s="115">
        <v>1026600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38" t="s">
        <v>163</v>
      </c>
      <c r="B28" s="114">
        <f>IF(B$18=0,0,C28/B$18)</f>
        <v>7023.8805970149251</v>
      </c>
      <c r="C28" s="115">
        <v>470600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38" t="s">
        <v>161</v>
      </c>
      <c r="B29" s="114">
        <f>IF(B$20=0,0,C29/B$20)</f>
        <v>-8183.0985915492956</v>
      </c>
      <c r="C29" s="115">
        <v>-1162000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9</v>
      </c>
      <c r="K30" s="5">
        <v>28</v>
      </c>
      <c r="L30" s="73">
        <v>-693.2</v>
      </c>
    </row>
    <row r="31" spans="1:17" x14ac:dyDescent="0.45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134</v>
      </c>
      <c r="B32" s="135">
        <v>6</v>
      </c>
      <c r="C32" s="136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5">
      <c r="A33" s="40" t="s">
        <v>177</v>
      </c>
      <c r="B33" s="133">
        <v>85100</v>
      </c>
      <c r="C33" s="134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9" t="s">
        <v>135</v>
      </c>
      <c r="B34" s="27">
        <v>4</v>
      </c>
      <c r="C34" s="32">
        <f>IF(B$3=0,0,B34/B$3)</f>
        <v>5.2562417871222077E-3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64" t="s">
        <v>168</v>
      </c>
      <c r="B36" s="126">
        <v>17</v>
      </c>
      <c r="C36" s="119">
        <f>IF(B$19=0,0,B36/B$19)</f>
        <v>9.2391304347826081E-2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164</v>
      </c>
      <c r="B37" s="34">
        <v>32</v>
      </c>
      <c r="C37" s="31">
        <f t="shared" ref="C37:C48" si="2">IF(B$19=0,0,B37/B$19)</f>
        <v>0.17391304347826086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165</v>
      </c>
      <c r="B38" s="127">
        <v>39</v>
      </c>
      <c r="C38" s="31">
        <f>IF(B$19=0,0,B38/B$19)</f>
        <v>0.21195652173913043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166</v>
      </c>
      <c r="B39" s="127">
        <v>33</v>
      </c>
      <c r="C39" s="31">
        <f t="shared" si="2"/>
        <v>0.17934782608695651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167</v>
      </c>
      <c r="B40" s="127">
        <v>26</v>
      </c>
      <c r="C40" s="31">
        <f t="shared" si="2"/>
        <v>0.14130434782608695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169</v>
      </c>
      <c r="B41" s="127">
        <v>15</v>
      </c>
      <c r="C41" s="31">
        <f t="shared" si="2"/>
        <v>8.1521739130434784E-2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170</v>
      </c>
      <c r="B42" s="127">
        <v>10</v>
      </c>
      <c r="C42" s="31">
        <f t="shared" si="2"/>
        <v>5.434782608695652E-2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-765.70000000000016</v>
      </c>
    </row>
    <row r="43" spans="1:12" x14ac:dyDescent="0.45">
      <c r="A43" s="37" t="s">
        <v>171</v>
      </c>
      <c r="B43" s="127">
        <v>7</v>
      </c>
      <c r="C43" s="31">
        <f t="shared" si="2"/>
        <v>3.8043478260869568E-2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7" t="s">
        <v>172</v>
      </c>
      <c r="B44" s="127">
        <v>0</v>
      </c>
      <c r="C44" s="31">
        <f t="shared" si="2"/>
        <v>0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A45" s="37" t="s">
        <v>173</v>
      </c>
      <c r="B45" s="127">
        <v>1</v>
      </c>
      <c r="C45" s="31">
        <f t="shared" si="2"/>
        <v>5.434782608695652E-3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37" t="s">
        <v>174</v>
      </c>
      <c r="B46" s="127">
        <v>2</v>
      </c>
      <c r="C46" s="31">
        <f t="shared" si="2"/>
        <v>1.0869565217391304E-2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A48" s="39" t="s">
        <v>176</v>
      </c>
      <c r="B48" s="128">
        <v>2</v>
      </c>
      <c r="C48" s="32">
        <f t="shared" si="2"/>
        <v>1.0869565217391304E-2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5">
      <c r="A50" s="64" t="s">
        <v>181</v>
      </c>
      <c r="B50" s="131">
        <v>761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5">
      <c r="A51" s="39" t="s">
        <v>182</v>
      </c>
      <c r="B51" s="129">
        <v>184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5">
      <c r="K53" s="5">
        <v>51</v>
      </c>
      <c r="L53" s="73">
        <v>-897.40000000000009</v>
      </c>
    </row>
    <row r="54" spans="1:12" x14ac:dyDescent="0.45">
      <c r="K54" s="5">
        <v>52</v>
      </c>
      <c r="L54" s="73">
        <v>-915.90000000000009</v>
      </c>
    </row>
    <row r="55" spans="1:12" x14ac:dyDescent="0.45">
      <c r="K55" s="5">
        <v>53</v>
      </c>
      <c r="L55" s="73">
        <v>-880.7</v>
      </c>
    </row>
    <row r="56" spans="1:12" x14ac:dyDescent="0.45">
      <c r="K56" s="5">
        <v>54</v>
      </c>
      <c r="L56" s="73">
        <v>-851.80000000000007</v>
      </c>
    </row>
    <row r="57" spans="1:12" x14ac:dyDescent="0.45">
      <c r="K57" s="5">
        <v>55</v>
      </c>
      <c r="L57" s="73">
        <v>-848.50000000000011</v>
      </c>
    </row>
    <row r="58" spans="1:12" x14ac:dyDescent="0.45">
      <c r="K58" s="5">
        <v>56</v>
      </c>
      <c r="L58" s="73">
        <v>-843.20000000000016</v>
      </c>
    </row>
    <row r="59" spans="1:12" x14ac:dyDescent="0.45">
      <c r="K59" s="5">
        <v>57</v>
      </c>
      <c r="L59" s="73">
        <v>-837.60000000000014</v>
      </c>
    </row>
    <row r="60" spans="1:12" x14ac:dyDescent="0.45">
      <c r="K60" s="5">
        <v>58</v>
      </c>
      <c r="L60" s="73">
        <v>-873.90000000000009</v>
      </c>
    </row>
    <row r="61" spans="1:12" x14ac:dyDescent="0.45">
      <c r="K61" s="5">
        <v>59</v>
      </c>
      <c r="L61" s="73">
        <v>-871.90000000000009</v>
      </c>
    </row>
    <row r="62" spans="1:12" x14ac:dyDescent="0.45">
      <c r="K62" s="5">
        <v>60</v>
      </c>
      <c r="L62" s="73">
        <v>-907.30000000000007</v>
      </c>
    </row>
    <row r="63" spans="1:12" x14ac:dyDescent="0.45">
      <c r="K63" s="5">
        <v>61</v>
      </c>
      <c r="L63" s="73">
        <v>-895.7</v>
      </c>
    </row>
    <row r="64" spans="1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  <row r="71" spans="11:12" x14ac:dyDescent="0.45">
      <c r="K71" s="5">
        <v>69</v>
      </c>
      <c r="L71" s="73">
        <v>-948.80000000000007</v>
      </c>
    </row>
    <row r="72" spans="11:12" x14ac:dyDescent="0.45">
      <c r="K72" s="5">
        <v>70</v>
      </c>
      <c r="L72" s="73">
        <v>-946.00000000000011</v>
      </c>
    </row>
    <row r="73" spans="11:12" x14ac:dyDescent="0.45">
      <c r="K73" s="5">
        <v>71</v>
      </c>
      <c r="L73" s="73">
        <v>-958.00000000000011</v>
      </c>
    </row>
    <row r="74" spans="11:12" x14ac:dyDescent="0.45">
      <c r="K74" s="5">
        <v>72</v>
      </c>
      <c r="L74" s="73">
        <v>-989.70000000000016</v>
      </c>
    </row>
    <row r="75" spans="11:12" x14ac:dyDescent="0.45">
      <c r="K75" s="5">
        <v>73</v>
      </c>
      <c r="L75" s="73">
        <v>-997.50000000000011</v>
      </c>
    </row>
    <row r="76" spans="11:12" x14ac:dyDescent="0.45">
      <c r="K76" s="5">
        <v>74</v>
      </c>
      <c r="L76" s="73">
        <v>-961.50000000000011</v>
      </c>
    </row>
    <row r="77" spans="11:12" x14ac:dyDescent="0.45">
      <c r="K77" s="5">
        <v>75</v>
      </c>
      <c r="L77" s="73">
        <v>-965.00000000000011</v>
      </c>
    </row>
    <row r="78" spans="11:12" x14ac:dyDescent="0.45">
      <c r="K78" s="5">
        <v>76</v>
      </c>
      <c r="L78" s="73">
        <v>-948.00000000000011</v>
      </c>
    </row>
    <row r="79" spans="11:12" x14ac:dyDescent="0.45">
      <c r="K79" s="5">
        <v>77</v>
      </c>
      <c r="L79" s="73">
        <v>-948.70000000000016</v>
      </c>
    </row>
    <row r="80" spans="11:12" x14ac:dyDescent="0.45">
      <c r="K80" s="5">
        <v>78</v>
      </c>
      <c r="L80" s="73">
        <v>-984.50000000000011</v>
      </c>
    </row>
    <row r="81" spans="11:12" x14ac:dyDescent="0.45">
      <c r="K81" s="5">
        <v>79</v>
      </c>
      <c r="L81" s="73">
        <v>-1032.1000000000001</v>
      </c>
    </row>
    <row r="82" spans="11:12" x14ac:dyDescent="0.45">
      <c r="K82" s="5">
        <v>80</v>
      </c>
      <c r="L82" s="73">
        <v>-1078.8000000000002</v>
      </c>
    </row>
    <row r="83" spans="11:12" x14ac:dyDescent="0.45">
      <c r="K83" s="5">
        <v>81</v>
      </c>
      <c r="L83" s="73">
        <v>-1141.0000000000002</v>
      </c>
    </row>
    <row r="84" spans="11:12" x14ac:dyDescent="0.45">
      <c r="K84" s="5">
        <v>82</v>
      </c>
      <c r="L84" s="73">
        <v>-1157.2000000000003</v>
      </c>
    </row>
    <row r="85" spans="11:12" x14ac:dyDescent="0.45">
      <c r="K85" s="5">
        <v>83</v>
      </c>
      <c r="L85" s="73">
        <v>-1147.1000000000004</v>
      </c>
    </row>
    <row r="86" spans="11:12" x14ac:dyDescent="0.45">
      <c r="K86" s="5">
        <v>84</v>
      </c>
      <c r="L86" s="73">
        <v>-1152.0000000000002</v>
      </c>
    </row>
    <row r="87" spans="11:12" x14ac:dyDescent="0.45">
      <c r="K87" s="5">
        <v>85</v>
      </c>
      <c r="L87" s="73">
        <v>-1159.8000000000002</v>
      </c>
    </row>
    <row r="88" spans="11:12" x14ac:dyDescent="0.45">
      <c r="K88" s="5">
        <v>86</v>
      </c>
      <c r="L88" s="73">
        <v>-1230.7000000000003</v>
      </c>
    </row>
    <row r="89" spans="11:12" x14ac:dyDescent="0.45">
      <c r="K89" s="5">
        <v>87</v>
      </c>
      <c r="L89" s="73">
        <v>-1197.7000000000003</v>
      </c>
    </row>
    <row r="90" spans="11:12" x14ac:dyDescent="0.45">
      <c r="K90" s="5">
        <v>88</v>
      </c>
      <c r="L90" s="73">
        <v>-1189.4000000000001</v>
      </c>
    </row>
    <row r="91" spans="11:12" x14ac:dyDescent="0.45">
      <c r="K91" s="5">
        <v>89</v>
      </c>
      <c r="L91" s="73">
        <v>-1219.9000000000001</v>
      </c>
    </row>
    <row r="92" spans="11:12" x14ac:dyDescent="0.45">
      <c r="K92" s="5">
        <v>90</v>
      </c>
      <c r="L92" s="73">
        <v>-1218</v>
      </c>
    </row>
    <row r="93" spans="11:12" x14ac:dyDescent="0.45">
      <c r="K93" s="5">
        <v>91</v>
      </c>
      <c r="L93" s="73">
        <v>-1230.8000000000002</v>
      </c>
    </row>
    <row r="94" spans="11:12" x14ac:dyDescent="0.45">
      <c r="K94" s="5">
        <v>92</v>
      </c>
      <c r="L94" s="73">
        <v>-1245.4000000000001</v>
      </c>
    </row>
    <row r="95" spans="11:12" x14ac:dyDescent="0.45">
      <c r="K95" s="5">
        <v>93</v>
      </c>
      <c r="L95" s="73">
        <v>-1253.8000000000002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7AC44-B5CE-4A23-8E5C-D7242D30F30C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198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43">
        <v>32</v>
      </c>
      <c r="C3" s="144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45">
        <v>-56.2</v>
      </c>
      <c r="C4" s="146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9">
        <f>IF(B$2=0,0,B$4/B$2)</f>
        <v>-14.05</v>
      </c>
      <c r="C5" s="140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37">
        <f>IF(B$2=0,0,(B$7*1+B$8*2+B$9*3)/B$2)</f>
        <v>2.25</v>
      </c>
      <c r="C6" s="138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-2.9833333333333321</v>
      </c>
      <c r="C13" s="140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5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5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10</v>
      </c>
    </row>
    <row r="21" spans="1:9" x14ac:dyDescent="0.45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5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5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5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5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9" x14ac:dyDescent="0.45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5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5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35">
        <v>2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55200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10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0E99D-7F4F-4812-A66A-631D3895E3A2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202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10</v>
      </c>
      <c r="C2" s="132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5">
      <c r="A3" s="37" t="s">
        <v>8</v>
      </c>
      <c r="B3" s="143">
        <v>78</v>
      </c>
      <c r="C3" s="144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5">
      <c r="A4" s="37" t="s">
        <v>6</v>
      </c>
      <c r="B4" s="145">
        <v>9.2999999999999972</v>
      </c>
      <c r="C4" s="146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39">
        <f>IF(B$2=0,0,B$4/B$2)</f>
        <v>0.92999999999999972</v>
      </c>
      <c r="C5" s="140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2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38" t="s">
        <v>206</v>
      </c>
      <c r="B13" s="139">
        <f>AVERAGE(B10:B12)</f>
        <v>0.61999999999999977</v>
      </c>
      <c r="C13" s="140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5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10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5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5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70900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78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26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9A781-5532-408D-B02B-21494AA64E27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201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43">
        <v>40</v>
      </c>
      <c r="C3" s="144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45">
        <v>-80.800000000000011</v>
      </c>
      <c r="C4" s="146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39">
        <f>IF(B$2=0,0,B$4/B$2)</f>
        <v>-16.160000000000004</v>
      </c>
      <c r="C5" s="140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37">
        <f>IF(B$2=0,0,(B$7*1+B$8*2+B$9*3)/B$2)</f>
        <v>2.2000000000000002</v>
      </c>
      <c r="C6" s="138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38" t="s">
        <v>206</v>
      </c>
      <c r="B13" s="139">
        <f>AVERAGE(B10:B12)</f>
        <v>-8.9666666666666668</v>
      </c>
      <c r="C13" s="140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10</v>
      </c>
    </row>
    <row r="20" spans="1:17" x14ac:dyDescent="0.45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5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4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52000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40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8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2020-05-31T08:00:31Z</dcterms:modified>
</cp:coreProperties>
</file>