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B8F9C23B-4100-4A52-8627-A6CACCAA09FC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947" r:id="rId4"/>
    <sheet name="だいち" sheetId="3948" r:id="rId5"/>
    <sheet name="かこたろう" sheetId="3949" r:id="rId6"/>
    <sheet name="ともき" sheetId="3950" r:id="rId7"/>
    <sheet name="りくと" sheetId="3951" r:id="rId8"/>
    <sheet name="いっしー" sheetId="3952" r:id="rId9"/>
    <sheet name="がくと" sheetId="3953" r:id="rId10"/>
    <sheet name="たかの" sheetId="3954" r:id="rId11"/>
    <sheet name="ただ" sheetId="3955" r:id="rId12"/>
    <sheet name="やがさき" sheetId="3956" r:id="rId13"/>
    <sheet name="れんたろう" sheetId="3957" r:id="rId14"/>
    <sheet name="あさひ" sheetId="3958" r:id="rId15"/>
    <sheet name="まっつん" sheetId="3959" r:id="rId16"/>
    <sheet name="ぱぱ" sheetId="3960" r:id="rId17"/>
    <sheet name="ほたに" sheetId="3961" r:id="rId18"/>
    <sheet name="かわたつ" sheetId="3962" r:id="rId19"/>
    <sheet name="のり" sheetId="3963" r:id="rId20"/>
    <sheet name="ちさと" sheetId="3964" r:id="rId21"/>
    <sheet name="たか" sheetId="3965" r:id="rId22"/>
    <sheet name="ゆう" sheetId="396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966" l="1"/>
  <c r="O16" i="3966"/>
  <c r="O15" i="3966"/>
  <c r="H52" i="3966"/>
  <c r="H4" i="3966"/>
  <c r="H51" i="3966"/>
  <c r="H50" i="3966"/>
  <c r="H49" i="3966"/>
  <c r="C48" i="3966"/>
  <c r="H48" i="3966"/>
  <c r="C47" i="3966"/>
  <c r="H47" i="3966"/>
  <c r="C46" i="3966"/>
  <c r="H46" i="3966"/>
  <c r="C45" i="3966"/>
  <c r="H45" i="3966"/>
  <c r="C44" i="3966"/>
  <c r="H44" i="3966"/>
  <c r="C43" i="3966"/>
  <c r="H43" i="3966"/>
  <c r="C42" i="3966"/>
  <c r="H42" i="3966"/>
  <c r="C41" i="3966"/>
  <c r="H41" i="3966"/>
  <c r="C40" i="3966"/>
  <c r="H40" i="3966"/>
  <c r="C39" i="3966"/>
  <c r="H39" i="3966"/>
  <c r="C38" i="3966"/>
  <c r="H38" i="3966"/>
  <c r="C37" i="3966"/>
  <c r="H37" i="3966"/>
  <c r="C36" i="3966"/>
  <c r="H36" i="3966"/>
  <c r="H35" i="3966"/>
  <c r="C34" i="3966"/>
  <c r="H34" i="3966"/>
  <c r="H33" i="3966"/>
  <c r="H32" i="3966"/>
  <c r="H31" i="3966"/>
  <c r="H30" i="3966"/>
  <c r="B29" i="3966"/>
  <c r="H29" i="3966"/>
  <c r="B28" i="3966"/>
  <c r="H9" i="3966"/>
  <c r="B27" i="3966"/>
  <c r="H28" i="3966"/>
  <c r="B26" i="3966"/>
  <c r="H12" i="3966"/>
  <c r="C25" i="3966"/>
  <c r="H27" i="3966"/>
  <c r="C24" i="3966"/>
  <c r="H26" i="3966"/>
  <c r="C23" i="3966"/>
  <c r="H25" i="3966"/>
  <c r="C22" i="3966"/>
  <c r="H24" i="3966"/>
  <c r="C21" i="3966"/>
  <c r="H23" i="3966"/>
  <c r="C20" i="3966"/>
  <c r="H22" i="3966"/>
  <c r="C19" i="3966"/>
  <c r="H21" i="3966"/>
  <c r="C18" i="3966"/>
  <c r="H20" i="3966"/>
  <c r="C17" i="3966"/>
  <c r="H5" i="3966"/>
  <c r="C16" i="3966"/>
  <c r="H19" i="3966"/>
  <c r="C15" i="3966"/>
  <c r="H18" i="3966"/>
  <c r="C14" i="3966"/>
  <c r="H17" i="3966"/>
  <c r="O12" i="3966"/>
  <c r="H16" i="3966"/>
  <c r="B12" i="3966"/>
  <c r="O11" i="3966"/>
  <c r="H15" i="3966"/>
  <c r="B11" i="3966"/>
  <c r="O10" i="3966"/>
  <c r="H8" i="3966"/>
  <c r="B10" i="3966"/>
  <c r="H14" i="3966"/>
  <c r="C9" i="3966"/>
  <c r="H13" i="3966"/>
  <c r="C8" i="3966"/>
  <c r="O7" i="3966"/>
  <c r="H7" i="3966"/>
  <c r="C7" i="3966"/>
  <c r="O6" i="3966"/>
  <c r="H6" i="3966"/>
  <c r="B6" i="3966"/>
  <c r="O5" i="3966"/>
  <c r="H11" i="3966"/>
  <c r="B5" i="3966"/>
  <c r="O4" i="3966"/>
  <c r="H3" i="3966"/>
  <c r="O3" i="3966"/>
  <c r="H10" i="3966"/>
  <c r="O2" i="3966"/>
  <c r="H2" i="3966"/>
  <c r="O20" i="3965"/>
  <c r="O19" i="3965"/>
  <c r="O18" i="3965"/>
  <c r="O17" i="3965"/>
  <c r="O16" i="3965"/>
  <c r="O15" i="3965"/>
  <c r="H52" i="3965"/>
  <c r="H5" i="3965"/>
  <c r="H51" i="3965"/>
  <c r="H50" i="3965"/>
  <c r="H49" i="3965"/>
  <c r="C48" i="3965"/>
  <c r="H48" i="3965"/>
  <c r="C47" i="3965"/>
  <c r="H47" i="3965"/>
  <c r="C46" i="3965"/>
  <c r="H46" i="3965"/>
  <c r="C45" i="3965"/>
  <c r="H45" i="3965"/>
  <c r="C44" i="3965"/>
  <c r="H44" i="3965"/>
  <c r="C43" i="3965"/>
  <c r="H43" i="3965"/>
  <c r="C42" i="3965"/>
  <c r="H42" i="3965"/>
  <c r="C41" i="3965"/>
  <c r="H41" i="3965"/>
  <c r="C40" i="3965"/>
  <c r="H40" i="3965"/>
  <c r="C39" i="3965"/>
  <c r="H39" i="3965"/>
  <c r="C38" i="3965"/>
  <c r="H38" i="3965"/>
  <c r="C37" i="3965"/>
  <c r="H37" i="3965"/>
  <c r="C36" i="3965"/>
  <c r="H36" i="3965"/>
  <c r="H35" i="3965"/>
  <c r="C34" i="3965"/>
  <c r="H34" i="3965"/>
  <c r="H33" i="3965"/>
  <c r="H32" i="3965"/>
  <c r="H31" i="3965"/>
  <c r="H14" i="3965"/>
  <c r="B29" i="3965"/>
  <c r="H30" i="3965"/>
  <c r="B28" i="3965"/>
  <c r="H13" i="3965"/>
  <c r="B27" i="3965"/>
  <c r="H29" i="3965"/>
  <c r="B26" i="3965"/>
  <c r="H28" i="3965"/>
  <c r="C25" i="3965"/>
  <c r="H27" i="3965"/>
  <c r="C24" i="3965"/>
  <c r="H26" i="3965"/>
  <c r="C23" i="3965"/>
  <c r="H25" i="3965"/>
  <c r="C22" i="3965"/>
  <c r="H24" i="3965"/>
  <c r="C21" i="3965"/>
  <c r="H23" i="3965"/>
  <c r="C20" i="3965"/>
  <c r="H12" i="3965"/>
  <c r="C19" i="3965"/>
  <c r="H22" i="3965"/>
  <c r="C18" i="3965"/>
  <c r="H21" i="3965"/>
  <c r="C17" i="3965"/>
  <c r="H20" i="3965"/>
  <c r="C16" i="3965"/>
  <c r="H19" i="3965"/>
  <c r="C15" i="3965"/>
  <c r="H18" i="3965"/>
  <c r="C14" i="3965"/>
  <c r="H17" i="3965"/>
  <c r="B13" i="3965"/>
  <c r="O12" i="3965"/>
  <c r="H16" i="3965"/>
  <c r="B12" i="3965"/>
  <c r="O11" i="3965"/>
  <c r="H15" i="3965"/>
  <c r="B11" i="3965"/>
  <c r="O10" i="3965"/>
  <c r="H8" i="3965"/>
  <c r="B10" i="3965"/>
  <c r="H11" i="3965"/>
  <c r="C9" i="3965"/>
  <c r="H10" i="3965"/>
  <c r="C8" i="3965"/>
  <c r="O7" i="3965"/>
  <c r="H7" i="3965"/>
  <c r="C7" i="3965"/>
  <c r="O6" i="3965"/>
  <c r="H6" i="3965"/>
  <c r="B6" i="3965"/>
  <c r="O5" i="3965"/>
  <c r="H4" i="3965"/>
  <c r="B5" i="3965"/>
  <c r="O4" i="3965"/>
  <c r="H2" i="3965"/>
  <c r="O3" i="3965"/>
  <c r="H9" i="3965"/>
  <c r="O2" i="3965"/>
  <c r="H3" i="3965"/>
  <c r="O22" i="3950"/>
  <c r="O21" i="3950"/>
  <c r="O18" i="3950"/>
  <c r="O16" i="3950"/>
  <c r="O17" i="3950"/>
  <c r="O19" i="3952"/>
  <c r="O17" i="3960"/>
  <c r="O23" i="3963"/>
  <c r="O21" i="3963"/>
  <c r="O18" i="3963"/>
  <c r="O19" i="3963"/>
  <c r="O17" i="3963"/>
  <c r="O16" i="3963"/>
  <c r="O15" i="3963"/>
  <c r="O26" i="3959"/>
  <c r="O20" i="3959"/>
  <c r="O18" i="3957"/>
  <c r="O15" i="3951"/>
  <c r="O25" i="3955"/>
  <c r="O19" i="3948"/>
  <c r="O26" i="3954"/>
  <c r="O22" i="3954"/>
  <c r="O15" i="3954"/>
  <c r="O17" i="3947"/>
  <c r="B13" i="3966" l="1"/>
  <c r="O16" i="3964" l="1"/>
  <c r="O15" i="3964"/>
  <c r="H52" i="3964"/>
  <c r="H5" i="3964"/>
  <c r="H51" i="3964"/>
  <c r="H50" i="3964"/>
  <c r="H49" i="3964"/>
  <c r="C48" i="3964"/>
  <c r="H48" i="3964"/>
  <c r="C47" i="3964"/>
  <c r="H47" i="3964"/>
  <c r="C46" i="3964"/>
  <c r="H46" i="3964"/>
  <c r="C45" i="3964"/>
  <c r="H45" i="3964"/>
  <c r="C44" i="3964"/>
  <c r="H44" i="3964"/>
  <c r="C43" i="3964"/>
  <c r="H43" i="3964"/>
  <c r="C42" i="3964"/>
  <c r="H42" i="3964"/>
  <c r="C41" i="3964"/>
  <c r="H41" i="3964"/>
  <c r="C40" i="3964"/>
  <c r="H40" i="3964"/>
  <c r="C39" i="3964"/>
  <c r="H39" i="3964"/>
  <c r="C38" i="3964"/>
  <c r="H38" i="3964"/>
  <c r="C37" i="3964"/>
  <c r="H37" i="3964"/>
  <c r="C36" i="3964"/>
  <c r="H36" i="3964"/>
  <c r="H35" i="3964"/>
  <c r="C34" i="3964"/>
  <c r="H34" i="3964"/>
  <c r="H33" i="3964"/>
  <c r="H32" i="3964"/>
  <c r="H31" i="3964"/>
  <c r="H30" i="3964"/>
  <c r="B29" i="3964"/>
  <c r="H29" i="3964"/>
  <c r="B28" i="3964"/>
  <c r="H13" i="3964"/>
  <c r="B27" i="3964"/>
  <c r="H28" i="3964"/>
  <c r="B26" i="3964"/>
  <c r="H27" i="3964"/>
  <c r="C25" i="3964"/>
  <c r="H12" i="3964"/>
  <c r="C24" i="3964"/>
  <c r="H26" i="3964"/>
  <c r="C23" i="3964"/>
  <c r="H25" i="3964"/>
  <c r="C22" i="3964"/>
  <c r="H11" i="3964"/>
  <c r="C21" i="3964"/>
  <c r="H24" i="3964"/>
  <c r="C20" i="3964"/>
  <c r="H10" i="3964"/>
  <c r="C19" i="3964"/>
  <c r="H23" i="3964"/>
  <c r="C18" i="3964"/>
  <c r="H22" i="3964"/>
  <c r="C17" i="3964"/>
  <c r="H21" i="3964"/>
  <c r="C16" i="3964"/>
  <c r="H20" i="3964"/>
  <c r="C15" i="3964"/>
  <c r="H19" i="3964"/>
  <c r="C14" i="3964"/>
  <c r="H18" i="3964"/>
  <c r="O12" i="3964"/>
  <c r="H17" i="3964"/>
  <c r="B12" i="3964"/>
  <c r="O11" i="3964"/>
  <c r="H16" i="3964"/>
  <c r="B11" i="3964"/>
  <c r="O10" i="3964"/>
  <c r="H2" i="3964"/>
  <c r="B10" i="3964"/>
  <c r="H15" i="3964"/>
  <c r="C9" i="3964"/>
  <c r="H14" i="3964"/>
  <c r="C8" i="3964"/>
  <c r="O7" i="3964"/>
  <c r="H9" i="3964"/>
  <c r="C7" i="3964"/>
  <c r="O6" i="3964"/>
  <c r="H8" i="3964"/>
  <c r="B6" i="3964"/>
  <c r="O5" i="3964"/>
  <c r="H7" i="3964"/>
  <c r="B5" i="3964"/>
  <c r="O4" i="3964"/>
  <c r="H4" i="3964"/>
  <c r="O3" i="3964"/>
  <c r="H6" i="3964"/>
  <c r="O2" i="3964"/>
  <c r="H3" i="3964"/>
  <c r="O25" i="3963"/>
  <c r="O20" i="3963"/>
  <c r="O22" i="3963"/>
  <c r="O24" i="3963"/>
  <c r="H52" i="3963"/>
  <c r="H5" i="3963"/>
  <c r="H24" i="3963"/>
  <c r="H51" i="3963"/>
  <c r="H50" i="3963"/>
  <c r="C48" i="3963"/>
  <c r="H49" i="3963"/>
  <c r="C47" i="3963"/>
  <c r="H48" i="3963"/>
  <c r="C46" i="3963"/>
  <c r="H47" i="3963"/>
  <c r="C45" i="3963"/>
  <c r="H46" i="3963"/>
  <c r="C44" i="3963"/>
  <c r="H45" i="3963"/>
  <c r="C43" i="3963"/>
  <c r="H44" i="3963"/>
  <c r="C42" i="3963"/>
  <c r="H43" i="3963"/>
  <c r="C41" i="3963"/>
  <c r="H42" i="3963"/>
  <c r="C40" i="3963"/>
  <c r="H41" i="3963"/>
  <c r="C39" i="3963"/>
  <c r="H40" i="3963"/>
  <c r="C38" i="3963"/>
  <c r="H39" i="3963"/>
  <c r="C37" i="3963"/>
  <c r="H38" i="3963"/>
  <c r="C36" i="3963"/>
  <c r="H37" i="3963"/>
  <c r="H36" i="3963"/>
  <c r="C34" i="3963"/>
  <c r="H23" i="3963"/>
  <c r="H35" i="3963"/>
  <c r="H34" i="3963"/>
  <c r="H22" i="3963"/>
  <c r="H16" i="3963"/>
  <c r="B29" i="3963"/>
  <c r="H33" i="3963"/>
  <c r="B28" i="3963"/>
  <c r="H8" i="3963"/>
  <c r="B27" i="3963"/>
  <c r="H32" i="3963"/>
  <c r="B26" i="3963"/>
  <c r="H31" i="3963"/>
  <c r="C25" i="3963"/>
  <c r="H13" i="3963"/>
  <c r="C24" i="3963"/>
  <c r="H30" i="3963"/>
  <c r="C23" i="3963"/>
  <c r="H29" i="3963"/>
  <c r="C22" i="3963"/>
  <c r="H15" i="3963"/>
  <c r="C21" i="3963"/>
  <c r="H28" i="3963"/>
  <c r="C20" i="3963"/>
  <c r="H14" i="3963"/>
  <c r="C19" i="3963"/>
  <c r="H27" i="3963"/>
  <c r="C18" i="3963"/>
  <c r="H21" i="3963"/>
  <c r="C17" i="3963"/>
  <c r="H17" i="3963"/>
  <c r="C16" i="3963"/>
  <c r="H20" i="3963"/>
  <c r="C15" i="3963"/>
  <c r="H26" i="3963"/>
  <c r="C14" i="3963"/>
  <c r="H25" i="3963"/>
  <c r="O12" i="3963"/>
  <c r="H19" i="3963"/>
  <c r="B12" i="3963"/>
  <c r="O11" i="3963"/>
  <c r="H18" i="3963"/>
  <c r="B11" i="3963"/>
  <c r="O10" i="3963"/>
  <c r="H3" i="3963"/>
  <c r="B10" i="3963"/>
  <c r="H11" i="3963"/>
  <c r="C9" i="3963"/>
  <c r="H10" i="3963"/>
  <c r="C8" i="3963"/>
  <c r="O7" i="3963"/>
  <c r="H12" i="3963"/>
  <c r="C7" i="3963"/>
  <c r="O6" i="3963"/>
  <c r="H6" i="3963"/>
  <c r="B6" i="3963"/>
  <c r="O5" i="3963"/>
  <c r="H7" i="3963"/>
  <c r="B5" i="3963"/>
  <c r="O4" i="3963"/>
  <c r="H2" i="3963"/>
  <c r="O3" i="3963"/>
  <c r="H9" i="3963"/>
  <c r="O2" i="3963"/>
  <c r="H4" i="3963"/>
  <c r="O16" i="3962"/>
  <c r="O15" i="3962"/>
  <c r="H52" i="3962"/>
  <c r="H7" i="3962"/>
  <c r="H51" i="3962"/>
  <c r="H50" i="3962"/>
  <c r="H49" i="3962"/>
  <c r="C48" i="3962"/>
  <c r="H48" i="3962"/>
  <c r="C47" i="3962"/>
  <c r="H47" i="3962"/>
  <c r="C46" i="3962"/>
  <c r="H46" i="3962"/>
  <c r="C45" i="3962"/>
  <c r="H45" i="3962"/>
  <c r="C44" i="3962"/>
  <c r="H44" i="3962"/>
  <c r="C43" i="3962"/>
  <c r="H43" i="3962"/>
  <c r="C42" i="3962"/>
  <c r="H42" i="3962"/>
  <c r="C41" i="3962"/>
  <c r="H41" i="3962"/>
  <c r="C40" i="3962"/>
  <c r="H40" i="3962"/>
  <c r="C39" i="3962"/>
  <c r="H39" i="3962"/>
  <c r="C38" i="3962"/>
  <c r="H38" i="3962"/>
  <c r="C37" i="3962"/>
  <c r="H37" i="3962"/>
  <c r="C36" i="3962"/>
  <c r="H36" i="3962"/>
  <c r="H35" i="3962"/>
  <c r="C34" i="3962"/>
  <c r="H34" i="3962"/>
  <c r="H33" i="3962"/>
  <c r="H32" i="3962"/>
  <c r="H31" i="3962"/>
  <c r="H30" i="3962"/>
  <c r="B29" i="3962"/>
  <c r="H29" i="3962"/>
  <c r="B28" i="3962"/>
  <c r="H28" i="3962"/>
  <c r="B27" i="3962"/>
  <c r="H27" i="3962"/>
  <c r="B26" i="3962"/>
  <c r="H26" i="3962"/>
  <c r="C25" i="3962"/>
  <c r="H25" i="3962"/>
  <c r="C24" i="3962"/>
  <c r="H24" i="3962"/>
  <c r="C23" i="3962"/>
  <c r="H23" i="3962"/>
  <c r="C22" i="3962"/>
  <c r="H22" i="3962"/>
  <c r="C21" i="3962"/>
  <c r="H21" i="3962"/>
  <c r="C20" i="3962"/>
  <c r="H6" i="3962"/>
  <c r="C19" i="3962"/>
  <c r="H20" i="3962"/>
  <c r="C18" i="3962"/>
  <c r="H19" i="3962"/>
  <c r="C17" i="3962"/>
  <c r="H18" i="3962"/>
  <c r="C16" i="3962"/>
  <c r="H17" i="3962"/>
  <c r="C15" i="3962"/>
  <c r="H16" i="3962"/>
  <c r="C14" i="3962"/>
  <c r="H15" i="3962"/>
  <c r="B13" i="3962"/>
  <c r="O12" i="3962"/>
  <c r="H14" i="3962"/>
  <c r="B12" i="3962"/>
  <c r="O11" i="3962"/>
  <c r="H13" i="3962"/>
  <c r="B11" i="3962"/>
  <c r="O10" i="3962"/>
  <c r="H12" i="3962"/>
  <c r="B10" i="3962"/>
  <c r="H11" i="3962"/>
  <c r="C9" i="3962"/>
  <c r="H10" i="3962"/>
  <c r="C8" i="3962"/>
  <c r="O7" i="3962"/>
  <c r="H9" i="3962"/>
  <c r="C7" i="3962"/>
  <c r="O6" i="3962"/>
  <c r="H5" i="3962"/>
  <c r="B6" i="3962"/>
  <c r="O5" i="3962"/>
  <c r="H4" i="3962"/>
  <c r="B5" i="3962"/>
  <c r="O4" i="3962"/>
  <c r="H2" i="3962"/>
  <c r="O3" i="3962"/>
  <c r="H8" i="3962"/>
  <c r="O2" i="3962"/>
  <c r="H3" i="3962"/>
  <c r="O22" i="3961"/>
  <c r="O21" i="3961"/>
  <c r="O17" i="3961"/>
  <c r="O20" i="3961"/>
  <c r="O19" i="3961"/>
  <c r="O18" i="3961"/>
  <c r="O16" i="3961"/>
  <c r="O15" i="3961"/>
  <c r="H52" i="3961"/>
  <c r="H7" i="3961"/>
  <c r="H51" i="3961"/>
  <c r="H50" i="3961"/>
  <c r="H49" i="3961"/>
  <c r="C48" i="3961"/>
  <c r="H48" i="3961"/>
  <c r="C47" i="3961"/>
  <c r="H47" i="3961"/>
  <c r="C46" i="3961"/>
  <c r="H46" i="3961"/>
  <c r="C45" i="3961"/>
  <c r="H45" i="3961"/>
  <c r="C44" i="3961"/>
  <c r="H44" i="3961"/>
  <c r="C43" i="3961"/>
  <c r="H43" i="3961"/>
  <c r="C42" i="3961"/>
  <c r="H42" i="3961"/>
  <c r="C41" i="3961"/>
  <c r="H41" i="3961"/>
  <c r="C40" i="3961"/>
  <c r="H40" i="3961"/>
  <c r="C39" i="3961"/>
  <c r="H39" i="3961"/>
  <c r="C38" i="3961"/>
  <c r="H38" i="3961"/>
  <c r="C37" i="3961"/>
  <c r="H37" i="3961"/>
  <c r="C36" i="3961"/>
  <c r="H36" i="3961"/>
  <c r="H35" i="3961"/>
  <c r="C34" i="3961"/>
  <c r="H34" i="3961"/>
  <c r="H33" i="3961"/>
  <c r="H32" i="3961"/>
  <c r="H31" i="3961"/>
  <c r="H30" i="3961"/>
  <c r="B29" i="3961"/>
  <c r="H29" i="3961"/>
  <c r="B28" i="3961"/>
  <c r="H8" i="3961"/>
  <c r="B27" i="3961"/>
  <c r="H28" i="3961"/>
  <c r="B26" i="3961"/>
  <c r="H27" i="3961"/>
  <c r="C25" i="3961"/>
  <c r="H11" i="3961"/>
  <c r="C24" i="3961"/>
  <c r="H26" i="3961"/>
  <c r="C23" i="3961"/>
  <c r="H25" i="3961"/>
  <c r="C22" i="3961"/>
  <c r="H14" i="3961"/>
  <c r="C21" i="3961"/>
  <c r="H24" i="3961"/>
  <c r="C20" i="3961"/>
  <c r="H18" i="3961"/>
  <c r="C19" i="3961"/>
  <c r="H23" i="3961"/>
  <c r="C18" i="3961"/>
  <c r="H17" i="3961"/>
  <c r="C17" i="3961"/>
  <c r="H13" i="3961"/>
  <c r="C16" i="3961"/>
  <c r="H15" i="3961"/>
  <c r="C15" i="3961"/>
  <c r="H22" i="3961"/>
  <c r="C14" i="3961"/>
  <c r="H21" i="3961"/>
  <c r="O12" i="3961"/>
  <c r="H20" i="3961"/>
  <c r="B12" i="3961"/>
  <c r="O11" i="3961"/>
  <c r="H19" i="3961"/>
  <c r="B11" i="3961"/>
  <c r="O10" i="3961"/>
  <c r="H2" i="3961"/>
  <c r="B10" i="3961"/>
  <c r="B13" i="3961" s="1"/>
  <c r="H16" i="3961"/>
  <c r="C9" i="3961"/>
  <c r="H12" i="3961"/>
  <c r="C8" i="3961"/>
  <c r="O7" i="3961"/>
  <c r="H9" i="3961"/>
  <c r="C7" i="3961"/>
  <c r="O6" i="3961"/>
  <c r="H6" i="3961"/>
  <c r="B6" i="3961"/>
  <c r="O5" i="3961"/>
  <c r="H5" i="3961"/>
  <c r="B5" i="3961"/>
  <c r="O4" i="3961"/>
  <c r="H3" i="3961"/>
  <c r="O3" i="3961"/>
  <c r="H10" i="3961"/>
  <c r="O2" i="3961"/>
  <c r="H4" i="3961"/>
  <c r="O22" i="3958"/>
  <c r="O16" i="3958"/>
  <c r="O15" i="3958"/>
  <c r="O28" i="3959"/>
  <c r="O16" i="3959"/>
  <c r="O15" i="3959"/>
  <c r="O17" i="3959"/>
  <c r="O24" i="3960"/>
  <c r="O25" i="3960"/>
  <c r="O18" i="3960"/>
  <c r="O15" i="3960"/>
  <c r="O23" i="3954"/>
  <c r="O17" i="3954"/>
  <c r="O28" i="3957"/>
  <c r="O21" i="3957"/>
  <c r="O20" i="3955"/>
  <c r="O15" i="3955"/>
  <c r="O16" i="3955"/>
  <c r="O25" i="3951"/>
  <c r="O29" i="3948"/>
  <c r="O20" i="3948"/>
  <c r="O17" i="3948"/>
  <c r="O32" i="3947"/>
  <c r="O26" i="3947"/>
  <c r="O18" i="3947"/>
  <c r="O19" i="3947"/>
  <c r="B13" i="3963" l="1"/>
  <c r="B13" i="3964"/>
  <c r="O20" i="3960" l="1"/>
  <c r="O19" i="3960"/>
  <c r="O22" i="3960"/>
  <c r="O23" i="3960"/>
  <c r="O26" i="3960"/>
  <c r="O16" i="3960"/>
  <c r="O21" i="3960"/>
  <c r="H52" i="3960"/>
  <c r="H6" i="3960"/>
  <c r="H17" i="3960"/>
  <c r="H51" i="3960"/>
  <c r="H50" i="3960"/>
  <c r="C48" i="3960"/>
  <c r="H49" i="3960"/>
  <c r="C47" i="3960"/>
  <c r="H48" i="3960"/>
  <c r="C46" i="3960"/>
  <c r="H47" i="3960"/>
  <c r="C45" i="3960"/>
  <c r="H24" i="3960"/>
  <c r="C44" i="3960"/>
  <c r="H46" i="3960"/>
  <c r="C43" i="3960"/>
  <c r="H45" i="3960"/>
  <c r="C42" i="3960"/>
  <c r="H44" i="3960"/>
  <c r="C41" i="3960"/>
  <c r="H43" i="3960"/>
  <c r="C40" i="3960"/>
  <c r="H42" i="3960"/>
  <c r="C39" i="3960"/>
  <c r="H41" i="3960"/>
  <c r="C38" i="3960"/>
  <c r="H40" i="3960"/>
  <c r="C37" i="3960"/>
  <c r="H39" i="3960"/>
  <c r="C36" i="3960"/>
  <c r="H38" i="3960"/>
  <c r="H37" i="3960"/>
  <c r="C34" i="3960"/>
  <c r="H36" i="3960"/>
  <c r="H35" i="3960"/>
  <c r="H34" i="3960"/>
  <c r="H33" i="3960"/>
  <c r="H21" i="3960"/>
  <c r="B29" i="3960"/>
  <c r="H32" i="3960"/>
  <c r="B28" i="3960"/>
  <c r="H10" i="3960"/>
  <c r="B27" i="3960"/>
  <c r="H31" i="3960"/>
  <c r="B26" i="3960"/>
  <c r="H20" i="3960"/>
  <c r="C25" i="3960"/>
  <c r="H13" i="3960"/>
  <c r="C24" i="3960"/>
  <c r="H23" i="3960"/>
  <c r="C23" i="3960"/>
  <c r="H30" i="3960"/>
  <c r="C22" i="3960"/>
  <c r="H15" i="3960"/>
  <c r="C21" i="3960"/>
  <c r="H29" i="3960"/>
  <c r="C20" i="3960"/>
  <c r="H19" i="3960"/>
  <c r="C19" i="3960"/>
  <c r="H28" i="3960"/>
  <c r="C18" i="3960"/>
  <c r="H16" i="3960"/>
  <c r="C17" i="3960"/>
  <c r="H14" i="3960"/>
  <c r="C16" i="3960"/>
  <c r="H27" i="3960"/>
  <c r="C15" i="3960"/>
  <c r="H26" i="3960"/>
  <c r="C14" i="3960"/>
  <c r="H22" i="3960"/>
  <c r="O12" i="3960"/>
  <c r="H25" i="3960"/>
  <c r="B12" i="3960"/>
  <c r="O11" i="3960"/>
  <c r="H18" i="3960"/>
  <c r="B11" i="3960"/>
  <c r="O10" i="3960"/>
  <c r="H4" i="3960"/>
  <c r="B10" i="3960"/>
  <c r="H12" i="3960"/>
  <c r="C9" i="3960"/>
  <c r="H9" i="3960"/>
  <c r="C8" i="3960"/>
  <c r="O7" i="3960"/>
  <c r="H8" i="3960"/>
  <c r="C7" i="3960"/>
  <c r="O6" i="3960"/>
  <c r="H5" i="3960"/>
  <c r="B6" i="3960"/>
  <c r="O5" i="3960"/>
  <c r="H7" i="3960"/>
  <c r="B5" i="3960"/>
  <c r="O4" i="3960"/>
  <c r="H2" i="3960"/>
  <c r="O3" i="3960"/>
  <c r="H11" i="3960"/>
  <c r="O2" i="3960"/>
  <c r="H3" i="3960"/>
  <c r="O27" i="3959"/>
  <c r="O22" i="3959"/>
  <c r="O23" i="3959"/>
  <c r="O19" i="3959"/>
  <c r="O24" i="3959"/>
  <c r="O25" i="3959"/>
  <c r="O21" i="3959"/>
  <c r="O18" i="3959"/>
  <c r="H52" i="3959"/>
  <c r="H5" i="3959"/>
  <c r="H20" i="3959"/>
  <c r="H51" i="3959"/>
  <c r="H50" i="3959"/>
  <c r="C48" i="3959"/>
  <c r="H49" i="3959"/>
  <c r="C47" i="3959"/>
  <c r="H48" i="3959"/>
  <c r="C46" i="3959"/>
  <c r="H47" i="3959"/>
  <c r="C45" i="3959"/>
  <c r="H46" i="3959"/>
  <c r="C44" i="3959"/>
  <c r="H45" i="3959"/>
  <c r="C43" i="3959"/>
  <c r="H44" i="3959"/>
  <c r="C42" i="3959"/>
  <c r="H43" i="3959"/>
  <c r="C41" i="3959"/>
  <c r="H42" i="3959"/>
  <c r="C40" i="3959"/>
  <c r="H29" i="3959"/>
  <c r="C39" i="3959"/>
  <c r="H41" i="3959"/>
  <c r="C38" i="3959"/>
  <c r="H40" i="3959"/>
  <c r="C37" i="3959"/>
  <c r="H39" i="3959"/>
  <c r="C36" i="3959"/>
  <c r="H38" i="3959"/>
  <c r="H37" i="3959"/>
  <c r="C34" i="3959"/>
  <c r="H36" i="3959"/>
  <c r="H35" i="3959"/>
  <c r="H28" i="3959"/>
  <c r="H21" i="3959"/>
  <c r="H17" i="3959"/>
  <c r="B29" i="3959"/>
  <c r="H27" i="3959"/>
  <c r="B28" i="3959"/>
  <c r="H8" i="3959"/>
  <c r="B27" i="3959"/>
  <c r="H26" i="3959"/>
  <c r="B26" i="3959"/>
  <c r="H30" i="3959"/>
  <c r="C25" i="3959"/>
  <c r="H14" i="3959"/>
  <c r="C24" i="3959"/>
  <c r="H19" i="3959"/>
  <c r="C23" i="3959"/>
  <c r="H34" i="3959"/>
  <c r="C22" i="3959"/>
  <c r="H13" i="3959"/>
  <c r="C21" i="3959"/>
  <c r="H33" i="3959"/>
  <c r="C20" i="3959"/>
  <c r="H18" i="3959"/>
  <c r="C19" i="3959"/>
  <c r="H32" i="3959"/>
  <c r="C18" i="3959"/>
  <c r="H16" i="3959"/>
  <c r="C17" i="3959"/>
  <c r="H15" i="3959"/>
  <c r="C16" i="3959"/>
  <c r="H25" i="3959"/>
  <c r="C15" i="3959"/>
  <c r="H31" i="3959"/>
  <c r="C14" i="3959"/>
  <c r="H23" i="3959"/>
  <c r="O12" i="3959"/>
  <c r="H24" i="3959"/>
  <c r="B12" i="3959"/>
  <c r="O11" i="3959"/>
  <c r="H22" i="3959"/>
  <c r="B11" i="3959"/>
  <c r="O10" i="3959"/>
  <c r="H3" i="3959"/>
  <c r="B10" i="3959"/>
  <c r="H11" i="3959"/>
  <c r="C9" i="3959"/>
  <c r="H12" i="3959"/>
  <c r="C8" i="3959"/>
  <c r="O7" i="3959"/>
  <c r="H9" i="3959"/>
  <c r="C7" i="3959"/>
  <c r="O6" i="3959"/>
  <c r="H7" i="3959"/>
  <c r="B6" i="3959"/>
  <c r="O5" i="3959"/>
  <c r="H6" i="3959"/>
  <c r="B5" i="3959"/>
  <c r="O4" i="3959"/>
  <c r="H2" i="3959"/>
  <c r="O3" i="3959"/>
  <c r="H10" i="3959"/>
  <c r="O2" i="3959"/>
  <c r="H4" i="3959"/>
  <c r="O21" i="3958"/>
  <c r="O19" i="3958"/>
  <c r="O20" i="3958"/>
  <c r="O18" i="3958"/>
  <c r="O17" i="3958"/>
  <c r="H52" i="3958"/>
  <c r="H13" i="3958"/>
  <c r="H51" i="3958"/>
  <c r="H50" i="3958"/>
  <c r="H49" i="3958"/>
  <c r="C48" i="3958"/>
  <c r="H48" i="3958"/>
  <c r="C47" i="3958"/>
  <c r="H47" i="3958"/>
  <c r="C46" i="3958"/>
  <c r="H46" i="3958"/>
  <c r="C45" i="3958"/>
  <c r="H45" i="3958"/>
  <c r="C44" i="3958"/>
  <c r="H44" i="3958"/>
  <c r="C43" i="3958"/>
  <c r="H43" i="3958"/>
  <c r="C42" i="3958"/>
  <c r="H42" i="3958"/>
  <c r="C41" i="3958"/>
  <c r="H41" i="3958"/>
  <c r="C40" i="3958"/>
  <c r="H40" i="3958"/>
  <c r="C39" i="3958"/>
  <c r="H39" i="3958"/>
  <c r="C38" i="3958"/>
  <c r="H38" i="3958"/>
  <c r="C37" i="3958"/>
  <c r="H37" i="3958"/>
  <c r="C36" i="3958"/>
  <c r="H36" i="3958"/>
  <c r="H35" i="3958"/>
  <c r="C34" i="3958"/>
  <c r="H34" i="3958"/>
  <c r="H33" i="3958"/>
  <c r="H32" i="3958"/>
  <c r="H31" i="3958"/>
  <c r="H14" i="3958"/>
  <c r="B29" i="3958"/>
  <c r="H30" i="3958"/>
  <c r="B28" i="3958"/>
  <c r="H7" i="3958"/>
  <c r="B27" i="3958"/>
  <c r="H29" i="3958"/>
  <c r="B26" i="3958"/>
  <c r="H28" i="3958"/>
  <c r="C25" i="3958"/>
  <c r="H10" i="3958"/>
  <c r="C24" i="3958"/>
  <c r="H27" i="3958"/>
  <c r="C23" i="3958"/>
  <c r="H26" i="3958"/>
  <c r="C22" i="3958"/>
  <c r="H25" i="3958"/>
  <c r="C21" i="3958"/>
  <c r="H24" i="3958"/>
  <c r="C20" i="3958"/>
  <c r="H23" i="3958"/>
  <c r="C19" i="3958"/>
  <c r="H22" i="3958"/>
  <c r="C18" i="3958"/>
  <c r="H21" i="3958"/>
  <c r="C17" i="3958"/>
  <c r="H20" i="3958"/>
  <c r="C16" i="3958"/>
  <c r="H19" i="3958"/>
  <c r="C15" i="3958"/>
  <c r="H18" i="3958"/>
  <c r="C14" i="3958"/>
  <c r="H17" i="3958"/>
  <c r="O12" i="3958"/>
  <c r="H16" i="3958"/>
  <c r="B12" i="3958"/>
  <c r="O11" i="3958"/>
  <c r="H15" i="3958"/>
  <c r="B11" i="3958"/>
  <c r="O10" i="3958"/>
  <c r="H4" i="3958"/>
  <c r="B10" i="3958"/>
  <c r="H12" i="3958"/>
  <c r="C9" i="3958"/>
  <c r="H9" i="3958"/>
  <c r="C8" i="3958"/>
  <c r="O7" i="3958"/>
  <c r="H8" i="3958"/>
  <c r="C7" i="3958"/>
  <c r="O6" i="3958"/>
  <c r="H6" i="3958"/>
  <c r="B6" i="3958"/>
  <c r="O5" i="3958"/>
  <c r="H5" i="3958"/>
  <c r="B5" i="3958"/>
  <c r="O4" i="3958"/>
  <c r="H3" i="3958"/>
  <c r="O3" i="3958"/>
  <c r="H11" i="3958"/>
  <c r="O2" i="3958"/>
  <c r="H2" i="3958"/>
  <c r="O27" i="3957"/>
  <c r="O23" i="3957"/>
  <c r="O26" i="3957"/>
  <c r="O22" i="3957"/>
  <c r="O25" i="3957"/>
  <c r="O20" i="3957"/>
  <c r="O19" i="3957"/>
  <c r="O24" i="3957"/>
  <c r="O16" i="3957"/>
  <c r="O15" i="3957"/>
  <c r="O17" i="3957"/>
  <c r="H52" i="3957"/>
  <c r="H7" i="3957"/>
  <c r="H17" i="3957"/>
  <c r="H51" i="3957"/>
  <c r="H50" i="3957"/>
  <c r="C48" i="3957"/>
  <c r="H49" i="3957"/>
  <c r="C47" i="3957"/>
  <c r="H48" i="3957"/>
  <c r="C46" i="3957"/>
  <c r="H47" i="3957"/>
  <c r="C45" i="3957"/>
  <c r="H46" i="3957"/>
  <c r="C44" i="3957"/>
  <c r="H45" i="3957"/>
  <c r="C43" i="3957"/>
  <c r="H44" i="3957"/>
  <c r="C42" i="3957"/>
  <c r="H43" i="3957"/>
  <c r="C41" i="3957"/>
  <c r="H42" i="3957"/>
  <c r="C40" i="3957"/>
  <c r="H41" i="3957"/>
  <c r="C39" i="3957"/>
  <c r="H40" i="3957"/>
  <c r="C38" i="3957"/>
  <c r="H39" i="3957"/>
  <c r="C37" i="3957"/>
  <c r="H38" i="3957"/>
  <c r="C36" i="3957"/>
  <c r="H29" i="3957"/>
  <c r="H37" i="3957"/>
  <c r="C34" i="3957"/>
  <c r="H32" i="3957"/>
  <c r="H36" i="3957"/>
  <c r="H26" i="3957"/>
  <c r="H20" i="3957"/>
  <c r="H15" i="3957"/>
  <c r="B29" i="3957"/>
  <c r="H27" i="3957"/>
  <c r="B28" i="3957"/>
  <c r="H8" i="3957"/>
  <c r="B27" i="3957"/>
  <c r="H31" i="3957"/>
  <c r="B26" i="3957"/>
  <c r="H28" i="3957"/>
  <c r="C25" i="3957"/>
  <c r="H12" i="3957"/>
  <c r="C24" i="3957"/>
  <c r="H25" i="3957"/>
  <c r="C23" i="3957"/>
  <c r="H24" i="3957"/>
  <c r="C22" i="3957"/>
  <c r="H14" i="3957"/>
  <c r="C21" i="3957"/>
  <c r="H35" i="3957"/>
  <c r="C20" i="3957"/>
  <c r="H18" i="3957"/>
  <c r="C19" i="3957"/>
  <c r="H34" i="3957"/>
  <c r="C18" i="3957"/>
  <c r="H19" i="3957"/>
  <c r="C17" i="3957"/>
  <c r="H16" i="3957"/>
  <c r="C16" i="3957"/>
  <c r="H23" i="3957"/>
  <c r="C15" i="3957"/>
  <c r="H33" i="3957"/>
  <c r="C14" i="3957"/>
  <c r="H22" i="3957"/>
  <c r="O12" i="3957"/>
  <c r="H30" i="3957"/>
  <c r="B12" i="3957"/>
  <c r="O11" i="3957"/>
  <c r="H21" i="3957"/>
  <c r="B11" i="3957"/>
  <c r="O10" i="3957"/>
  <c r="H3" i="3957"/>
  <c r="B10" i="3957"/>
  <c r="H13" i="3957"/>
  <c r="C9" i="3957"/>
  <c r="H11" i="3957"/>
  <c r="C8" i="3957"/>
  <c r="O7" i="3957"/>
  <c r="H9" i="3957"/>
  <c r="C7" i="3957"/>
  <c r="O6" i="3957"/>
  <c r="H6" i="3957"/>
  <c r="B6" i="3957"/>
  <c r="O5" i="3957"/>
  <c r="H5" i="3957"/>
  <c r="B5" i="3957"/>
  <c r="O4" i="3957"/>
  <c r="H2" i="3957"/>
  <c r="O3" i="3957"/>
  <c r="H10" i="3957"/>
  <c r="O2" i="3957"/>
  <c r="H4" i="3957"/>
  <c r="O15" i="3956"/>
  <c r="O21" i="3956"/>
  <c r="O19" i="3956"/>
  <c r="O20" i="3956"/>
  <c r="O18" i="3956"/>
  <c r="O17" i="3956"/>
  <c r="O16" i="3956"/>
  <c r="H52" i="3956"/>
  <c r="H10" i="3956"/>
  <c r="H16" i="3956"/>
  <c r="H51" i="3956"/>
  <c r="H50" i="3956"/>
  <c r="C48" i="3956"/>
  <c r="H49" i="3956"/>
  <c r="C47" i="3956"/>
  <c r="H48" i="3956"/>
  <c r="C46" i="3956"/>
  <c r="H47" i="3956"/>
  <c r="C45" i="3956"/>
  <c r="H46" i="3956"/>
  <c r="C44" i="3956"/>
  <c r="H45" i="3956"/>
  <c r="C43" i="3956"/>
  <c r="H44" i="3956"/>
  <c r="C42" i="3956"/>
  <c r="H43" i="3956"/>
  <c r="C41" i="3956"/>
  <c r="H42" i="3956"/>
  <c r="C40" i="3956"/>
  <c r="H41" i="3956"/>
  <c r="C39" i="3956"/>
  <c r="H40" i="3956"/>
  <c r="C38" i="3956"/>
  <c r="H39" i="3956"/>
  <c r="C37" i="3956"/>
  <c r="H38" i="3956"/>
  <c r="C36" i="3956"/>
  <c r="H37" i="3956"/>
  <c r="H36" i="3956"/>
  <c r="C34" i="3956"/>
  <c r="H35" i="3956"/>
  <c r="H34" i="3956"/>
  <c r="H33" i="3956"/>
  <c r="H20" i="3956"/>
  <c r="H19" i="3956"/>
  <c r="B29" i="3956"/>
  <c r="H32" i="3956"/>
  <c r="B28" i="3956"/>
  <c r="H7" i="3956"/>
  <c r="B27" i="3956"/>
  <c r="H31" i="3956"/>
  <c r="B26" i="3956"/>
  <c r="H30" i="3956"/>
  <c r="C25" i="3956"/>
  <c r="H18" i="3956"/>
  <c r="C24" i="3956"/>
  <c r="H29" i="3956"/>
  <c r="C23" i="3956"/>
  <c r="H28" i="3956"/>
  <c r="C22" i="3956"/>
  <c r="H15" i="3956"/>
  <c r="C21" i="3956"/>
  <c r="H27" i="3956"/>
  <c r="C20" i="3956"/>
  <c r="H26" i="3956"/>
  <c r="C19" i="3956"/>
  <c r="H25" i="3956"/>
  <c r="C18" i="3956"/>
  <c r="H14" i="3956"/>
  <c r="C17" i="3956"/>
  <c r="H13" i="3956"/>
  <c r="C16" i="3956"/>
  <c r="H24" i="3956"/>
  <c r="C15" i="3956"/>
  <c r="H23" i="3956"/>
  <c r="C14" i="3956"/>
  <c r="H22" i="3956"/>
  <c r="B13" i="3956"/>
  <c r="O12" i="3956"/>
  <c r="H21" i="3956"/>
  <c r="B12" i="3956"/>
  <c r="O11" i="3956"/>
  <c r="H17" i="3956"/>
  <c r="B11" i="3956"/>
  <c r="O10" i="3956"/>
  <c r="H3" i="3956"/>
  <c r="B10" i="3956"/>
  <c r="H12" i="3956"/>
  <c r="C9" i="3956"/>
  <c r="H11" i="3956"/>
  <c r="C8" i="3956"/>
  <c r="O7" i="3956"/>
  <c r="H9" i="3956"/>
  <c r="C7" i="3956"/>
  <c r="O6" i="3956"/>
  <c r="H6" i="3956"/>
  <c r="B6" i="3956"/>
  <c r="O5" i="3956"/>
  <c r="H5" i="3956"/>
  <c r="B5" i="3956"/>
  <c r="O4" i="3956"/>
  <c r="H2" i="3956"/>
  <c r="O3" i="3956"/>
  <c r="H8" i="3956"/>
  <c r="O2" i="3956"/>
  <c r="H4" i="3956"/>
  <c r="O27" i="3955"/>
  <c r="O23" i="3955"/>
  <c r="O24" i="3955"/>
  <c r="O26" i="3955"/>
  <c r="O17" i="3955"/>
  <c r="O18" i="3955"/>
  <c r="O22" i="3955"/>
  <c r="O21" i="3955"/>
  <c r="O19" i="3955"/>
  <c r="H52" i="3955"/>
  <c r="H5" i="3955"/>
  <c r="H20" i="3955"/>
  <c r="H51" i="3955"/>
  <c r="H50" i="3955"/>
  <c r="C48" i="3955"/>
  <c r="H49" i="3955"/>
  <c r="C47" i="3955"/>
  <c r="H48" i="3955"/>
  <c r="C46" i="3955"/>
  <c r="H47" i="3955"/>
  <c r="C45" i="3955"/>
  <c r="H46" i="3955"/>
  <c r="C44" i="3955"/>
  <c r="H45" i="3955"/>
  <c r="C43" i="3955"/>
  <c r="H44" i="3955"/>
  <c r="C42" i="3955"/>
  <c r="H43" i="3955"/>
  <c r="C41" i="3955"/>
  <c r="H42" i="3955"/>
  <c r="C40" i="3955"/>
  <c r="H41" i="3955"/>
  <c r="C39" i="3955"/>
  <c r="H40" i="3955"/>
  <c r="C38" i="3955"/>
  <c r="H39" i="3955"/>
  <c r="C37" i="3955"/>
  <c r="H38" i="3955"/>
  <c r="C36" i="3955"/>
  <c r="H37" i="3955"/>
  <c r="H36" i="3955"/>
  <c r="C34" i="3955"/>
  <c r="H32" i="3955"/>
  <c r="H35" i="3955"/>
  <c r="H26" i="3955"/>
  <c r="H24" i="3955"/>
  <c r="H17" i="3955"/>
  <c r="B29" i="3955"/>
  <c r="H28" i="3955"/>
  <c r="B28" i="3955"/>
  <c r="H9" i="3955"/>
  <c r="B27" i="3955"/>
  <c r="H31" i="3955"/>
  <c r="B26" i="3955"/>
  <c r="H27" i="3955"/>
  <c r="C25" i="3955"/>
  <c r="H13" i="3955"/>
  <c r="C24" i="3955"/>
  <c r="H30" i="3955"/>
  <c r="C23" i="3955"/>
  <c r="H25" i="3955"/>
  <c r="C22" i="3955"/>
  <c r="H14" i="3955"/>
  <c r="C21" i="3955"/>
  <c r="H34" i="3955"/>
  <c r="C20" i="3955"/>
  <c r="H16" i="3955"/>
  <c r="C19" i="3955"/>
  <c r="H33" i="3955"/>
  <c r="C18" i="3955"/>
  <c r="H18" i="3955"/>
  <c r="C17" i="3955"/>
  <c r="H15" i="3955"/>
  <c r="C16" i="3955"/>
  <c r="H19" i="3955"/>
  <c r="C15" i="3955"/>
  <c r="H29" i="3955"/>
  <c r="C14" i="3955"/>
  <c r="H23" i="3955"/>
  <c r="O12" i="3955"/>
  <c r="H22" i="3955"/>
  <c r="B12" i="3955"/>
  <c r="O11" i="3955"/>
  <c r="H21" i="3955"/>
  <c r="B11" i="3955"/>
  <c r="O10" i="3955"/>
  <c r="H3" i="3955"/>
  <c r="B10" i="3955"/>
  <c r="H12" i="3955"/>
  <c r="C9" i="3955"/>
  <c r="H10" i="3955"/>
  <c r="C8" i="3955"/>
  <c r="O7" i="3955"/>
  <c r="H8" i="3955"/>
  <c r="C7" i="3955"/>
  <c r="O6" i="3955"/>
  <c r="H6" i="3955"/>
  <c r="B6" i="3955"/>
  <c r="O5" i="3955"/>
  <c r="H7" i="3955"/>
  <c r="B5" i="3955"/>
  <c r="O4" i="3955"/>
  <c r="H2" i="3955"/>
  <c r="O3" i="3955"/>
  <c r="H11" i="3955"/>
  <c r="O2" i="3955"/>
  <c r="H4" i="3955"/>
  <c r="O25" i="3954"/>
  <c r="O19" i="3954"/>
  <c r="O24" i="3954"/>
  <c r="O16" i="3954"/>
  <c r="O21" i="3954"/>
  <c r="O18" i="3954"/>
  <c r="O20" i="3954"/>
  <c r="H52" i="3954"/>
  <c r="H5" i="3954"/>
  <c r="H51" i="3954"/>
  <c r="H50" i="3954"/>
  <c r="H49" i="3954"/>
  <c r="C48" i="3954"/>
  <c r="H48" i="3954"/>
  <c r="C47" i="3954"/>
  <c r="H47" i="3954"/>
  <c r="C46" i="3954"/>
  <c r="H46" i="3954"/>
  <c r="C45" i="3954"/>
  <c r="H45" i="3954"/>
  <c r="C44" i="3954"/>
  <c r="H44" i="3954"/>
  <c r="C43" i="3954"/>
  <c r="H43" i="3954"/>
  <c r="C42" i="3954"/>
  <c r="H42" i="3954"/>
  <c r="C41" i="3954"/>
  <c r="H29" i="3954"/>
  <c r="C40" i="3954"/>
  <c r="H41" i="3954"/>
  <c r="C39" i="3954"/>
  <c r="H40" i="3954"/>
  <c r="C38" i="3954"/>
  <c r="H39" i="3954"/>
  <c r="C37" i="3954"/>
  <c r="H38" i="3954"/>
  <c r="C36" i="3954"/>
  <c r="H37" i="3954"/>
  <c r="H36" i="3954"/>
  <c r="C34" i="3954"/>
  <c r="H35" i="3954"/>
  <c r="H34" i="3954"/>
  <c r="H25" i="3954"/>
  <c r="H33" i="3954"/>
  <c r="H18" i="3954"/>
  <c r="B29" i="3954"/>
  <c r="H28" i="3954"/>
  <c r="B28" i="3954"/>
  <c r="H12" i="3954"/>
  <c r="B27" i="3954"/>
  <c r="H22" i="3954"/>
  <c r="B26" i="3954"/>
  <c r="H24" i="3954"/>
  <c r="C25" i="3954"/>
  <c r="H15" i="3954"/>
  <c r="C24" i="3954"/>
  <c r="H23" i="3954"/>
  <c r="C23" i="3954"/>
  <c r="H27" i="3954"/>
  <c r="C22" i="3954"/>
  <c r="H13" i="3954"/>
  <c r="C21" i="3954"/>
  <c r="H32" i="3954"/>
  <c r="C20" i="3954"/>
  <c r="H14" i="3954"/>
  <c r="C19" i="3954"/>
  <c r="H31" i="3954"/>
  <c r="C18" i="3954"/>
  <c r="H17" i="3954"/>
  <c r="C17" i="3954"/>
  <c r="H16" i="3954"/>
  <c r="C16" i="3954"/>
  <c r="H21" i="3954"/>
  <c r="C15" i="3954"/>
  <c r="H30" i="3954"/>
  <c r="C14" i="3954"/>
  <c r="H19" i="3954"/>
  <c r="O12" i="3954"/>
  <c r="H20" i="3954"/>
  <c r="B12" i="3954"/>
  <c r="O11" i="3954"/>
  <c r="H26" i="3954"/>
  <c r="B11" i="3954"/>
  <c r="O10" i="3954"/>
  <c r="H3" i="3954"/>
  <c r="B10" i="3954"/>
  <c r="H10" i="3954"/>
  <c r="C9" i="3954"/>
  <c r="H11" i="3954"/>
  <c r="C8" i="3954"/>
  <c r="O7" i="3954"/>
  <c r="H8" i="3954"/>
  <c r="C7" i="3954"/>
  <c r="O6" i="3954"/>
  <c r="H6" i="3954"/>
  <c r="B6" i="3954"/>
  <c r="O5" i="3954"/>
  <c r="H7" i="3954"/>
  <c r="B5" i="3954"/>
  <c r="O4" i="3954"/>
  <c r="H2" i="3954"/>
  <c r="O3" i="3954"/>
  <c r="H9" i="3954"/>
  <c r="O2" i="3954"/>
  <c r="H4" i="3954"/>
  <c r="O19" i="3953"/>
  <c r="O18" i="3953"/>
  <c r="O17" i="3953"/>
  <c r="O16" i="3953"/>
  <c r="O15" i="3953"/>
  <c r="H52" i="3953"/>
  <c r="H51" i="3953"/>
  <c r="H50" i="3953"/>
  <c r="H49" i="3953"/>
  <c r="H48" i="3953"/>
  <c r="C48" i="3953"/>
  <c r="H47" i="3953"/>
  <c r="C47" i="3953"/>
  <c r="H46" i="3953"/>
  <c r="C46" i="3953"/>
  <c r="H45" i="3953"/>
  <c r="C45" i="3953"/>
  <c r="H44" i="3953"/>
  <c r="C44" i="3953"/>
  <c r="H43" i="3953"/>
  <c r="C43" i="3953"/>
  <c r="H42" i="3953"/>
  <c r="C42" i="3953"/>
  <c r="H41" i="3953"/>
  <c r="C41" i="3953"/>
  <c r="H40" i="3953"/>
  <c r="C40" i="3953"/>
  <c r="H39" i="3953"/>
  <c r="C39" i="3953"/>
  <c r="H38" i="3953"/>
  <c r="C38" i="3953"/>
  <c r="H37" i="3953"/>
  <c r="C37" i="3953"/>
  <c r="H36" i="3953"/>
  <c r="C36" i="3953"/>
  <c r="H35" i="3953"/>
  <c r="H34" i="3953"/>
  <c r="C34" i="3953"/>
  <c r="H33" i="3953"/>
  <c r="H32" i="3953"/>
  <c r="H31" i="3953"/>
  <c r="H30" i="3953"/>
  <c r="H29" i="3953"/>
  <c r="B29" i="3953"/>
  <c r="H28" i="3953"/>
  <c r="B28" i="3953"/>
  <c r="H27" i="3953"/>
  <c r="B27" i="3953"/>
  <c r="H26" i="3953"/>
  <c r="B26" i="3953"/>
  <c r="H25" i="3953"/>
  <c r="C25" i="3953"/>
  <c r="H10" i="3953"/>
  <c r="C24" i="3953"/>
  <c r="H24" i="3953"/>
  <c r="C23" i="3953"/>
  <c r="H23" i="3953"/>
  <c r="C22" i="3953"/>
  <c r="H22" i="3953"/>
  <c r="C21" i="3953"/>
  <c r="H21" i="3953"/>
  <c r="C20" i="3953"/>
  <c r="H20" i="3953"/>
  <c r="C19" i="3953"/>
  <c r="H19" i="3953"/>
  <c r="C18" i="3953"/>
  <c r="H7" i="3953"/>
  <c r="C17" i="3953"/>
  <c r="H18" i="3953"/>
  <c r="C16" i="3953"/>
  <c r="H17" i="3953"/>
  <c r="C15" i="3953"/>
  <c r="H16" i="3953"/>
  <c r="C14" i="3953"/>
  <c r="H15" i="3953"/>
  <c r="O12" i="3953"/>
  <c r="H14" i="3953"/>
  <c r="B12" i="3953"/>
  <c r="O11" i="3953"/>
  <c r="H13" i="3953"/>
  <c r="B11" i="3953"/>
  <c r="O10" i="3953"/>
  <c r="H4" i="3953"/>
  <c r="B10" i="3953"/>
  <c r="H12" i="3953"/>
  <c r="C9" i="3953"/>
  <c r="H11" i="3953"/>
  <c r="C8" i="3953"/>
  <c r="O7" i="3953"/>
  <c r="H9" i="3953"/>
  <c r="C7" i="3953"/>
  <c r="O6" i="3953"/>
  <c r="H5" i="3953"/>
  <c r="B6" i="3953"/>
  <c r="O5" i="3953"/>
  <c r="H6" i="3953"/>
  <c r="B5" i="3953"/>
  <c r="O4" i="3953"/>
  <c r="H8" i="3953"/>
  <c r="O3" i="3953"/>
  <c r="H3" i="3953"/>
  <c r="O2" i="3953"/>
  <c r="H2" i="3953"/>
  <c r="O23" i="3952"/>
  <c r="O25" i="3952"/>
  <c r="O22" i="3952"/>
  <c r="O18" i="3952"/>
  <c r="O15" i="3952"/>
  <c r="O20" i="3952"/>
  <c r="O24" i="3952"/>
  <c r="O17" i="3952"/>
  <c r="O21" i="3952"/>
  <c r="O16" i="3952"/>
  <c r="O26" i="3952"/>
  <c r="H52" i="3952"/>
  <c r="H7" i="3952"/>
  <c r="H51" i="3952"/>
  <c r="H50" i="3952"/>
  <c r="H49" i="3952"/>
  <c r="C48" i="3952"/>
  <c r="H48" i="3952"/>
  <c r="C47" i="3952"/>
  <c r="H47" i="3952"/>
  <c r="C46" i="3952"/>
  <c r="H46" i="3952"/>
  <c r="C45" i="3952"/>
  <c r="H45" i="3952"/>
  <c r="C44" i="3952"/>
  <c r="H44" i="3952"/>
  <c r="C43" i="3952"/>
  <c r="H43" i="3952"/>
  <c r="C42" i="3952"/>
  <c r="H42" i="3952"/>
  <c r="C41" i="3952"/>
  <c r="H41" i="3952"/>
  <c r="C40" i="3952"/>
  <c r="H40" i="3952"/>
  <c r="C39" i="3952"/>
  <c r="H39" i="3952"/>
  <c r="C38" i="3952"/>
  <c r="H38" i="3952"/>
  <c r="C37" i="3952"/>
  <c r="H37" i="3952"/>
  <c r="C36" i="3952"/>
  <c r="H23" i="3952"/>
  <c r="H36" i="3952"/>
  <c r="C34" i="3952"/>
  <c r="H35" i="3952"/>
  <c r="H34" i="3952"/>
  <c r="H22" i="3952"/>
  <c r="H33" i="3952"/>
  <c r="H17" i="3952"/>
  <c r="B29" i="3952"/>
  <c r="H32" i="3952"/>
  <c r="B28" i="3952"/>
  <c r="H11" i="3952"/>
  <c r="B27" i="3952"/>
  <c r="H31" i="3952"/>
  <c r="B26" i="3952"/>
  <c r="H30" i="3952"/>
  <c r="C25" i="3952"/>
  <c r="H16" i="3952"/>
  <c r="C24" i="3952"/>
  <c r="H29" i="3952"/>
  <c r="C23" i="3952"/>
  <c r="H28" i="3952"/>
  <c r="C22" i="3952"/>
  <c r="H9" i="3952"/>
  <c r="C21" i="3952"/>
  <c r="H27" i="3952"/>
  <c r="C20" i="3952"/>
  <c r="H14" i="3952"/>
  <c r="C19" i="3952"/>
  <c r="H26" i="3952"/>
  <c r="C18" i="3952"/>
  <c r="H15" i="3952"/>
  <c r="C17" i="3952"/>
  <c r="H21" i="3952"/>
  <c r="C16" i="3952"/>
  <c r="H25" i="3952"/>
  <c r="C15" i="3952"/>
  <c r="H24" i="3952"/>
  <c r="C14" i="3952"/>
  <c r="H20" i="3952"/>
  <c r="O12" i="3952"/>
  <c r="H19" i="3952"/>
  <c r="B12" i="3952"/>
  <c r="O11" i="3952"/>
  <c r="H18" i="3952"/>
  <c r="B11" i="3952"/>
  <c r="O10" i="3952"/>
  <c r="H3" i="3952"/>
  <c r="B10" i="3952"/>
  <c r="H13" i="3952"/>
  <c r="C9" i="3952"/>
  <c r="H10" i="3952"/>
  <c r="C8" i="3952"/>
  <c r="O7" i="3952"/>
  <c r="H8" i="3952"/>
  <c r="C7" i="3952"/>
  <c r="O6" i="3952"/>
  <c r="H5" i="3952"/>
  <c r="B6" i="3952"/>
  <c r="O5" i="3952"/>
  <c r="H6" i="3952"/>
  <c r="B5" i="3952"/>
  <c r="O4" i="3952"/>
  <c r="H2" i="3952"/>
  <c r="O3" i="3952"/>
  <c r="H12" i="3952"/>
  <c r="O2" i="3952"/>
  <c r="H4" i="3952"/>
  <c r="O26" i="3951"/>
  <c r="O23" i="3951"/>
  <c r="O22" i="3951"/>
  <c r="O21" i="3951"/>
  <c r="O24" i="3951"/>
  <c r="O20" i="3951"/>
  <c r="O17" i="3951"/>
  <c r="O18" i="3951"/>
  <c r="O19" i="3951"/>
  <c r="O16" i="3951"/>
  <c r="H52" i="3951"/>
  <c r="H7" i="3951"/>
  <c r="H19" i="3951"/>
  <c r="H51" i="3951"/>
  <c r="H50" i="3951"/>
  <c r="C48" i="3951"/>
  <c r="H49" i="3951"/>
  <c r="C47" i="3951"/>
  <c r="H48" i="3951"/>
  <c r="C46" i="3951"/>
  <c r="H47" i="3951"/>
  <c r="C45" i="3951"/>
  <c r="H46" i="3951"/>
  <c r="C44" i="3951"/>
  <c r="H45" i="3951"/>
  <c r="C43" i="3951"/>
  <c r="H44" i="3951"/>
  <c r="C42" i="3951"/>
  <c r="H43" i="3951"/>
  <c r="C41" i="3951"/>
  <c r="H42" i="3951"/>
  <c r="C40" i="3951"/>
  <c r="H41" i="3951"/>
  <c r="C39" i="3951"/>
  <c r="H40" i="3951"/>
  <c r="C38" i="3951"/>
  <c r="H39" i="3951"/>
  <c r="C37" i="3951"/>
  <c r="H38" i="3951"/>
  <c r="C36" i="3951"/>
  <c r="H37" i="3951"/>
  <c r="H36" i="3951"/>
  <c r="C34" i="3951"/>
  <c r="H31" i="3951"/>
  <c r="H35" i="3951"/>
  <c r="H30" i="3951"/>
  <c r="H21" i="3951"/>
  <c r="H17" i="3951"/>
  <c r="B29" i="3951"/>
  <c r="H34" i="3951"/>
  <c r="B28" i="3951"/>
  <c r="H9" i="3951"/>
  <c r="B27" i="3951"/>
  <c r="H27" i="3951"/>
  <c r="B26" i="3951"/>
  <c r="H26" i="3951"/>
  <c r="C25" i="3951"/>
  <c r="H12" i="3951"/>
  <c r="C24" i="3951"/>
  <c r="H25" i="3951"/>
  <c r="C23" i="3951"/>
  <c r="H24" i="3951"/>
  <c r="C22" i="3951"/>
  <c r="H13" i="3951"/>
  <c r="C21" i="3951"/>
  <c r="H33" i="3951"/>
  <c r="C20" i="3951"/>
  <c r="H15" i="3951"/>
  <c r="C19" i="3951"/>
  <c r="H29" i="3951"/>
  <c r="C18" i="3951"/>
  <c r="H18" i="3951"/>
  <c r="C17" i="3951"/>
  <c r="H16" i="3951"/>
  <c r="C16" i="3951"/>
  <c r="H28" i="3951"/>
  <c r="C15" i="3951"/>
  <c r="H32" i="3951"/>
  <c r="C14" i="3951"/>
  <c r="H20" i="3951"/>
  <c r="O12" i="3951"/>
  <c r="H23" i="3951"/>
  <c r="B12" i="3951"/>
  <c r="O11" i="3951"/>
  <c r="H22" i="3951"/>
  <c r="B11" i="3951"/>
  <c r="O10" i="3951"/>
  <c r="H4" i="3951"/>
  <c r="B10" i="3951"/>
  <c r="H14" i="3951"/>
  <c r="C9" i="3951"/>
  <c r="H11" i="3951"/>
  <c r="C8" i="3951"/>
  <c r="O7" i="3951"/>
  <c r="H8" i="3951"/>
  <c r="C7" i="3951"/>
  <c r="O6" i="3951"/>
  <c r="H5" i="3951"/>
  <c r="B6" i="3951"/>
  <c r="O5" i="3951"/>
  <c r="H6" i="3951"/>
  <c r="B5" i="3951"/>
  <c r="O4" i="3951"/>
  <c r="H2" i="3951"/>
  <c r="O3" i="3951"/>
  <c r="H10" i="3951"/>
  <c r="O2" i="3951"/>
  <c r="H3" i="3951"/>
  <c r="O19" i="3950"/>
  <c r="O23" i="3950"/>
  <c r="O20" i="3950"/>
  <c r="O15" i="3950"/>
  <c r="H52" i="3950"/>
  <c r="H7" i="3950"/>
  <c r="H51" i="3950"/>
  <c r="H50" i="3950"/>
  <c r="H49" i="3950"/>
  <c r="C48" i="3950"/>
  <c r="H48" i="3950"/>
  <c r="C47" i="3950"/>
  <c r="H47" i="3950"/>
  <c r="C46" i="3950"/>
  <c r="H46" i="3950"/>
  <c r="C45" i="3950"/>
  <c r="H45" i="3950"/>
  <c r="C44" i="3950"/>
  <c r="H44" i="3950"/>
  <c r="C43" i="3950"/>
  <c r="H43" i="3950"/>
  <c r="C42" i="3950"/>
  <c r="H42" i="3950"/>
  <c r="C41" i="3950"/>
  <c r="H41" i="3950"/>
  <c r="C40" i="3950"/>
  <c r="H40" i="3950"/>
  <c r="C39" i="3950"/>
  <c r="H39" i="3950"/>
  <c r="C38" i="3950"/>
  <c r="H38" i="3950"/>
  <c r="C37" i="3950"/>
  <c r="H37" i="3950"/>
  <c r="C36" i="3950"/>
  <c r="H36" i="3950"/>
  <c r="H35" i="3950"/>
  <c r="C34" i="3950"/>
  <c r="H34" i="3950"/>
  <c r="H33" i="3950"/>
  <c r="H32" i="3950"/>
  <c r="H31" i="3950"/>
  <c r="H30" i="3950"/>
  <c r="B29" i="3950"/>
  <c r="H29" i="3950"/>
  <c r="B28" i="3950"/>
  <c r="H10" i="3950"/>
  <c r="B27" i="3950"/>
  <c r="H28" i="3950"/>
  <c r="B26" i="3950"/>
  <c r="H27" i="3950"/>
  <c r="C25" i="3950"/>
  <c r="H17" i="3950"/>
  <c r="C24" i="3950"/>
  <c r="H16" i="3950"/>
  <c r="C23" i="3950"/>
  <c r="H26" i="3950"/>
  <c r="C22" i="3950"/>
  <c r="H13" i="3950"/>
  <c r="C21" i="3950"/>
  <c r="H25" i="3950"/>
  <c r="C20" i="3950"/>
  <c r="H24" i="3950"/>
  <c r="C19" i="3950"/>
  <c r="H23" i="3950"/>
  <c r="C18" i="3950"/>
  <c r="H15" i="3950"/>
  <c r="C17" i="3950"/>
  <c r="H22" i="3950"/>
  <c r="C16" i="3950"/>
  <c r="H18" i="3950"/>
  <c r="C15" i="3950"/>
  <c r="H21" i="3950"/>
  <c r="C14" i="3950"/>
  <c r="H14" i="3950"/>
  <c r="O12" i="3950"/>
  <c r="H20" i="3950"/>
  <c r="B12" i="3950"/>
  <c r="O11" i="3950"/>
  <c r="H19" i="3950"/>
  <c r="B11" i="3950"/>
  <c r="O10" i="3950"/>
  <c r="H4" i="3950"/>
  <c r="B10" i="3950"/>
  <c r="H12" i="3950"/>
  <c r="C9" i="3950"/>
  <c r="H11" i="3950"/>
  <c r="C8" i="3950"/>
  <c r="O7" i="3950"/>
  <c r="H9" i="3950"/>
  <c r="C7" i="3950"/>
  <c r="O6" i="3950"/>
  <c r="H6" i="3950"/>
  <c r="B6" i="3950"/>
  <c r="O5" i="3950"/>
  <c r="H5" i="3950"/>
  <c r="B5" i="3950"/>
  <c r="O4" i="3950"/>
  <c r="H2" i="3950"/>
  <c r="O3" i="3950"/>
  <c r="H8" i="3950"/>
  <c r="O2" i="3950"/>
  <c r="H3" i="3950"/>
  <c r="O17" i="3949"/>
  <c r="O16" i="3949"/>
  <c r="O15" i="3949"/>
  <c r="H52" i="3949"/>
  <c r="H51" i="3949"/>
  <c r="H50" i="3949"/>
  <c r="H49" i="3949"/>
  <c r="H48" i="3949"/>
  <c r="C48" i="3949"/>
  <c r="H47" i="3949"/>
  <c r="C47" i="3949"/>
  <c r="H46" i="3949"/>
  <c r="C46" i="3949"/>
  <c r="H45" i="3949"/>
  <c r="C45" i="3949"/>
  <c r="H44" i="3949"/>
  <c r="C44" i="3949"/>
  <c r="H43" i="3949"/>
  <c r="C43" i="3949"/>
  <c r="H42" i="3949"/>
  <c r="C42" i="3949"/>
  <c r="H41" i="3949"/>
  <c r="C41" i="3949"/>
  <c r="H40" i="3949"/>
  <c r="C40" i="3949"/>
  <c r="H39" i="3949"/>
  <c r="C39" i="3949"/>
  <c r="H38" i="3949"/>
  <c r="C38" i="3949"/>
  <c r="H37" i="3949"/>
  <c r="C37" i="3949"/>
  <c r="H36" i="3949"/>
  <c r="C36" i="3949"/>
  <c r="H35" i="3949"/>
  <c r="H34" i="3949"/>
  <c r="C34" i="3949"/>
  <c r="H33" i="3949"/>
  <c r="H32" i="3949"/>
  <c r="H31" i="3949"/>
  <c r="H30" i="3949"/>
  <c r="H29" i="3949"/>
  <c r="B29" i="3949"/>
  <c r="H28" i="3949"/>
  <c r="B28" i="3949"/>
  <c r="H27" i="3949"/>
  <c r="B27" i="3949"/>
  <c r="H26" i="3949"/>
  <c r="B26" i="3949"/>
  <c r="H25" i="3949"/>
  <c r="C25" i="3949"/>
  <c r="H24" i="3949"/>
  <c r="C24" i="3949"/>
  <c r="H23" i="3949"/>
  <c r="C23" i="3949"/>
  <c r="H22" i="3949"/>
  <c r="C22" i="3949"/>
  <c r="H21" i="3949"/>
  <c r="C21" i="3949"/>
  <c r="H20" i="3949"/>
  <c r="C20" i="3949"/>
  <c r="H19" i="3949"/>
  <c r="C19" i="3949"/>
  <c r="H18" i="3949"/>
  <c r="C18" i="3949"/>
  <c r="H17" i="3949"/>
  <c r="C17" i="3949"/>
  <c r="H16" i="3949"/>
  <c r="C16" i="3949"/>
  <c r="H15" i="3949"/>
  <c r="C15" i="3949"/>
  <c r="H14" i="3949"/>
  <c r="C14" i="3949"/>
  <c r="H13" i="3949"/>
  <c r="O12" i="3949"/>
  <c r="H12" i="3949"/>
  <c r="B12" i="3949"/>
  <c r="O11" i="3949"/>
  <c r="H11" i="3949"/>
  <c r="B11" i="3949"/>
  <c r="O10" i="3949"/>
  <c r="H10" i="3949"/>
  <c r="B10" i="3949"/>
  <c r="H9" i="3949"/>
  <c r="C9" i="3949"/>
  <c r="H8" i="3949"/>
  <c r="C8" i="3949"/>
  <c r="O7" i="3949"/>
  <c r="H7" i="3949"/>
  <c r="C7" i="3949"/>
  <c r="O6" i="3949"/>
  <c r="H6" i="3949"/>
  <c r="B6" i="3949"/>
  <c r="O5" i="3949"/>
  <c r="H5" i="3949"/>
  <c r="B5" i="3949"/>
  <c r="O4" i="3949"/>
  <c r="H4" i="3949"/>
  <c r="O3" i="3949"/>
  <c r="H3" i="3949"/>
  <c r="O2" i="3949"/>
  <c r="H2" i="3949"/>
  <c r="O26" i="3948"/>
  <c r="O25" i="3948"/>
  <c r="O18" i="3948"/>
  <c r="O27" i="3948"/>
  <c r="O24" i="3948"/>
  <c r="O28" i="3948"/>
  <c r="O22" i="3948"/>
  <c r="O21" i="3948"/>
  <c r="O23" i="3948"/>
  <c r="O16" i="3948"/>
  <c r="O15" i="3948"/>
  <c r="H52" i="3948"/>
  <c r="H6" i="3948"/>
  <c r="H15" i="3948"/>
  <c r="H51" i="3948"/>
  <c r="H50" i="3948"/>
  <c r="C48" i="3948"/>
  <c r="H49" i="3948"/>
  <c r="C47" i="3948"/>
  <c r="H48" i="3948"/>
  <c r="C46" i="3948"/>
  <c r="H47" i="3948"/>
  <c r="C45" i="3948"/>
  <c r="H32" i="3948"/>
  <c r="C44" i="3948"/>
  <c r="H46" i="3948"/>
  <c r="C43" i="3948"/>
  <c r="H45" i="3948"/>
  <c r="C42" i="3948"/>
  <c r="H44" i="3948"/>
  <c r="C41" i="3948"/>
  <c r="H43" i="3948"/>
  <c r="C40" i="3948"/>
  <c r="H42" i="3948"/>
  <c r="C39" i="3948"/>
  <c r="H41" i="3948"/>
  <c r="C38" i="3948"/>
  <c r="H40" i="3948"/>
  <c r="C37" i="3948"/>
  <c r="H39" i="3948"/>
  <c r="C36" i="3948"/>
  <c r="H38" i="3948"/>
  <c r="H37" i="3948"/>
  <c r="C34" i="3948"/>
  <c r="H30" i="3948"/>
  <c r="H36" i="3948"/>
  <c r="H29" i="3948"/>
  <c r="H20" i="3948"/>
  <c r="H18" i="3948"/>
  <c r="B29" i="3948"/>
  <c r="H28" i="3948"/>
  <c r="B28" i="3948"/>
  <c r="H8" i="3948"/>
  <c r="B27" i="3948"/>
  <c r="H31" i="3948"/>
  <c r="B26" i="3948"/>
  <c r="H27" i="3948"/>
  <c r="C25" i="3948"/>
  <c r="H12" i="3948"/>
  <c r="C24" i="3948"/>
  <c r="H22" i="3948"/>
  <c r="C23" i="3948"/>
  <c r="H26" i="3948"/>
  <c r="C22" i="3948"/>
  <c r="H14" i="3948"/>
  <c r="C21" i="3948"/>
  <c r="H35" i="3948"/>
  <c r="C20" i="3948"/>
  <c r="H17" i="3948"/>
  <c r="C19" i="3948"/>
  <c r="H34" i="3948"/>
  <c r="C18" i="3948"/>
  <c r="H19" i="3948"/>
  <c r="C17" i="3948"/>
  <c r="H16" i="3948"/>
  <c r="C16" i="3948"/>
  <c r="H21" i="3948"/>
  <c r="C15" i="3948"/>
  <c r="H33" i="3948"/>
  <c r="C14" i="3948"/>
  <c r="H23" i="3948"/>
  <c r="O12" i="3948"/>
  <c r="H25" i="3948"/>
  <c r="B12" i="3948"/>
  <c r="O11" i="3948"/>
  <c r="H24" i="3948"/>
  <c r="B11" i="3948"/>
  <c r="O10" i="3948"/>
  <c r="H3" i="3948"/>
  <c r="B10" i="3948"/>
  <c r="H13" i="3948"/>
  <c r="C9" i="3948"/>
  <c r="H11" i="3948"/>
  <c r="C8" i="3948"/>
  <c r="O7" i="3948"/>
  <c r="H9" i="3948"/>
  <c r="C7" i="3948"/>
  <c r="O6" i="3948"/>
  <c r="H5" i="3948"/>
  <c r="B6" i="3948"/>
  <c r="O5" i="3948"/>
  <c r="H7" i="3948"/>
  <c r="B5" i="3948"/>
  <c r="O4" i="3948"/>
  <c r="H2" i="3948"/>
  <c r="O3" i="3948"/>
  <c r="H10" i="3948"/>
  <c r="O2" i="3948"/>
  <c r="H4" i="3948"/>
  <c r="O31" i="3947"/>
  <c r="O30" i="3947"/>
  <c r="O27" i="3947"/>
  <c r="O24" i="3947"/>
  <c r="O29" i="3947"/>
  <c r="O28" i="3947"/>
  <c r="O22" i="3947"/>
  <c r="O21" i="3947"/>
  <c r="O23" i="3947"/>
  <c r="O25" i="3947"/>
  <c r="O20" i="3947"/>
  <c r="O16" i="3947"/>
  <c r="O15" i="3947"/>
  <c r="H52" i="3947"/>
  <c r="H5" i="3947"/>
  <c r="H19" i="3947"/>
  <c r="H51" i="3947"/>
  <c r="H50" i="3947"/>
  <c r="C48" i="3947"/>
  <c r="H49" i="3947"/>
  <c r="C47" i="3947"/>
  <c r="H48" i="3947"/>
  <c r="C46" i="3947"/>
  <c r="H47" i="3947"/>
  <c r="C45" i="3947"/>
  <c r="H32" i="3947"/>
  <c r="C44" i="3947"/>
  <c r="H46" i="3947"/>
  <c r="C43" i="3947"/>
  <c r="H45" i="3947"/>
  <c r="C42" i="3947"/>
  <c r="H44" i="3947"/>
  <c r="C41" i="3947"/>
  <c r="H37" i="3947"/>
  <c r="C40" i="3947"/>
  <c r="H34" i="3947"/>
  <c r="C39" i="3947"/>
  <c r="H43" i="3947"/>
  <c r="C38" i="3947"/>
  <c r="H42" i="3947"/>
  <c r="C37" i="3947"/>
  <c r="H41" i="3947"/>
  <c r="C36" i="3947"/>
  <c r="H33" i="3947"/>
  <c r="H40" i="3947"/>
  <c r="C34" i="3947"/>
  <c r="H31" i="3947"/>
  <c r="H39" i="3947"/>
  <c r="H27" i="3947"/>
  <c r="H20" i="3947"/>
  <c r="H17" i="3947"/>
  <c r="B29" i="3947"/>
  <c r="H30" i="3947"/>
  <c r="B28" i="3947"/>
  <c r="H9" i="3947"/>
  <c r="B27" i="3947"/>
  <c r="H29" i="3947"/>
  <c r="B26" i="3947"/>
  <c r="H28" i="3947"/>
  <c r="C25" i="3947"/>
  <c r="H13" i="3947"/>
  <c r="C24" i="3947"/>
  <c r="H24" i="3947"/>
  <c r="C23" i="3947"/>
  <c r="H26" i="3947"/>
  <c r="C22" i="3947"/>
  <c r="H14" i="3947"/>
  <c r="C21" i="3947"/>
  <c r="H38" i="3947"/>
  <c r="C20" i="3947"/>
  <c r="H16" i="3947"/>
  <c r="C19" i="3947"/>
  <c r="H36" i="3947"/>
  <c r="C18" i="3947"/>
  <c r="H18" i="3947"/>
  <c r="C17" i="3947"/>
  <c r="H15" i="3947"/>
  <c r="C16" i="3947"/>
  <c r="H23" i="3947"/>
  <c r="C15" i="3947"/>
  <c r="H35" i="3947"/>
  <c r="C14" i="3947"/>
  <c r="H21" i="3947"/>
  <c r="O12" i="3947"/>
  <c r="H25" i="3947"/>
  <c r="B12" i="3947"/>
  <c r="O11" i="3947"/>
  <c r="H22" i="3947"/>
  <c r="B11" i="3947"/>
  <c r="O10" i="3947"/>
  <c r="H3" i="3947"/>
  <c r="B10" i="3947"/>
  <c r="H12" i="3947"/>
  <c r="C9" i="3947"/>
  <c r="H11" i="3947"/>
  <c r="C8" i="3947"/>
  <c r="O7" i="3947"/>
  <c r="H8" i="3947"/>
  <c r="C7" i="3947"/>
  <c r="O6" i="3947"/>
  <c r="H6" i="3947"/>
  <c r="B6" i="3947"/>
  <c r="O5" i="3947"/>
  <c r="H7" i="3947"/>
  <c r="B5" i="3947"/>
  <c r="O4" i="3947"/>
  <c r="H2" i="3947"/>
  <c r="O3" i="3947"/>
  <c r="H10" i="3947"/>
  <c r="O2" i="3947"/>
  <c r="H4" i="3947"/>
  <c r="B13" i="3954" l="1"/>
  <c r="B13" i="3958"/>
  <c r="B13" i="3959"/>
  <c r="B13" i="3957"/>
  <c r="B13" i="3955"/>
  <c r="B13" i="3948"/>
  <c r="B13" i="3947"/>
  <c r="B13" i="3960"/>
  <c r="B13" i="3953"/>
  <c r="B13" i="3952"/>
  <c r="B13" i="3951"/>
  <c r="B13" i="3950"/>
  <c r="B13" i="3949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<sst xmlns="http://schemas.openxmlformats.org/spreadsheetml/2006/main" count="4364" uniqueCount="207">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</sst>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全体!$K$2:$K$3362</c:f>
              <c:numCache>
                <c:formatCode>General</c:formatCode>
                <c:ptCount val="3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</c:numCache>
            </c:numRef>
          </c:xVal>
          <c:yVal>
            <c:numRef>
              <c:f>全体!$L$2:$L$3362</c:f>
              <c:numCache>
                <c:formatCode>\+0.0;\-0.0;\±0</c:formatCode>
                <c:ptCount val="336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4A-4AF8-924A-01741A375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-20.402040204020402</c:v>
                </c:pt>
                <c:pt idx="1">
                  <c:v>-0.61387354205033762</c:v>
                </c:pt>
                <c:pt idx="2">
                  <c:v>4.9019607843137258</c:v>
                </c:pt>
                <c:pt idx="3">
                  <c:v>3.9173789173789175</c:v>
                </c:pt>
                <c:pt idx="4">
                  <c:v>-3.9494470774091628</c:v>
                </c:pt>
                <c:pt idx="5">
                  <c:v>24.656235182550972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53-4DC5-8BEB-2A51707AA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537</c:v>
                </c:pt>
                <c:pt idx="1">
                  <c:v>1186</c:v>
                </c:pt>
                <c:pt idx="2">
                  <c:v>1445</c:v>
                </c:pt>
                <c:pt idx="3">
                  <c:v>1431</c:v>
                </c:pt>
                <c:pt idx="4">
                  <c:v>1186</c:v>
                </c:pt>
                <c:pt idx="5">
                  <c:v>772</c:v>
                </c:pt>
                <c:pt idx="6">
                  <c:v>458</c:v>
                </c:pt>
                <c:pt idx="7">
                  <c:v>249</c:v>
                </c:pt>
                <c:pt idx="8">
                  <c:v>144</c:v>
                </c:pt>
                <c:pt idx="9">
                  <c:v>71</c:v>
                </c:pt>
                <c:pt idx="10">
                  <c:v>40</c:v>
                </c:pt>
                <c:pt idx="11">
                  <c:v>17</c:v>
                </c:pt>
                <c:pt idx="12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9-40BA-B721-46C61D2BF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だいち!$K$2:$K$781</c:f>
              <c:numCache>
                <c:formatCode>General</c:formatCode>
                <c:ptCount val="7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</c:numCache>
            </c:numRef>
          </c:xVal>
          <c:yVal>
            <c:numRef>
              <c:f>だいち!$L$2:$L$781</c:f>
              <c:numCache>
                <c:formatCode>\+0.0;\-0.0;\±0</c:formatCode>
                <c:ptCount val="78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EF-4DFB-B9DA-D2DABC704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1203.2341526520052</c:v>
                </c:pt>
                <c:pt idx="1">
                  <c:v>1495.6233421750662</c:v>
                </c:pt>
                <c:pt idx="2">
                  <c:v>1501.6736401673641</c:v>
                </c:pt>
                <c:pt idx="3">
                  <c:v>1544.2748091603053</c:v>
                </c:pt>
                <c:pt idx="4">
                  <c:v>1184.263959390863</c:v>
                </c:pt>
                <c:pt idx="5">
                  <c:v>1559.3429158110882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17-44E6-82EB-5DF24D097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134</c:v>
                </c:pt>
                <c:pt idx="1">
                  <c:v>280</c:v>
                </c:pt>
                <c:pt idx="2">
                  <c:v>377</c:v>
                </c:pt>
                <c:pt idx="3">
                  <c:v>386</c:v>
                </c:pt>
                <c:pt idx="4">
                  <c:v>294</c:v>
                </c:pt>
                <c:pt idx="5">
                  <c:v>207</c:v>
                </c:pt>
                <c:pt idx="6">
                  <c:v>128</c:v>
                </c:pt>
                <c:pt idx="7">
                  <c:v>60</c:v>
                </c:pt>
                <c:pt idx="8">
                  <c:v>39</c:v>
                </c:pt>
                <c:pt idx="9">
                  <c:v>18</c:v>
                </c:pt>
                <c:pt idx="10">
                  <c:v>10</c:v>
                </c:pt>
                <c:pt idx="11">
                  <c:v>3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D5-43D9-BD22-292D091B4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8-4DC1-96DA-4032A47E8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1-4C60-96EC-304201754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2-403A-8D17-23FBA8083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2F-42A1-991E-F5470A021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6D-40F6-8AB5-A2302FF3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75-43B2-A507-29ABB347A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りくと!$K$2:$K$459</c:f>
              <c:numCache>
                <c:formatCode>General</c:formatCode>
                <c:ptCount val="4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</c:numCache>
            </c:numRef>
          </c:xVal>
          <c:yVal>
            <c:numRef>
              <c:f>りくと!$L$2:$L$459</c:f>
              <c:numCache>
                <c:formatCode>\+0.0;\-0.0;\±0</c:formatCode>
                <c:ptCount val="45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80-4457-8CA6-802557B97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-597.57174392935985</c:v>
                </c:pt>
                <c:pt idx="1">
                  <c:v>-968.17155756207671</c:v>
                </c:pt>
                <c:pt idx="2">
                  <c:v>127.07838479809976</c:v>
                </c:pt>
                <c:pt idx="3">
                  <c:v>-695.06493506493507</c:v>
                </c:pt>
                <c:pt idx="4">
                  <c:v>-963.08139534883719</c:v>
                </c:pt>
                <c:pt idx="5">
                  <c:v>-1161.0921501706484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B5-4155-9685-0900F8324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57</c:v>
                </c:pt>
                <c:pt idx="1">
                  <c:v>126</c:v>
                </c:pt>
                <c:pt idx="2">
                  <c:v>188</c:v>
                </c:pt>
                <c:pt idx="3">
                  <c:v>167</c:v>
                </c:pt>
                <c:pt idx="4">
                  <c:v>151</c:v>
                </c:pt>
                <c:pt idx="5">
                  <c:v>108</c:v>
                </c:pt>
                <c:pt idx="6">
                  <c:v>66</c:v>
                </c:pt>
                <c:pt idx="7">
                  <c:v>31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FA-40DD-92E6-FC99F002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82-4034-BCFA-DD4C34D7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E2-44D7-8116-447312A68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E-4016-A87D-8520617A2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73-4B96-AC1D-F353F7380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F7-436A-9AE7-E8C0B70F6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A-4E88-A8A4-2D6D00040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たかの!$K$2:$K$315</c:f>
              <c:numCache>
                <c:formatCode>General</c:formatCode>
                <c:ptCount val="3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</c:numCache>
            </c:numRef>
          </c:xVal>
          <c:yVal>
            <c:numRef>
              <c:f>たかの!$L$2:$L$315</c:f>
              <c:numCache>
                <c:formatCode>\+0.0;\-0.0;\±0</c:formatCode>
                <c:ptCount val="31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0-4184-86E5-D2C92C4E4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187.53993610223642</c:v>
                </c:pt>
                <c:pt idx="1">
                  <c:v>-1808.5245901639344</c:v>
                </c:pt>
                <c:pt idx="2">
                  <c:v>-1252.4822695035461</c:v>
                </c:pt>
                <c:pt idx="3">
                  <c:v>-128.67924528301887</c:v>
                </c:pt>
                <c:pt idx="4">
                  <c:v>-586.30705394190875</c:v>
                </c:pt>
                <c:pt idx="5">
                  <c:v>-1130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89-415D-8563-23891DC3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78</c:v>
                </c:pt>
                <c:pt idx="1">
                  <c:v>156</c:v>
                </c:pt>
                <c:pt idx="2">
                  <c:v>144</c:v>
                </c:pt>
                <c:pt idx="3">
                  <c:v>140</c:v>
                </c:pt>
                <c:pt idx="4">
                  <c:v>104</c:v>
                </c:pt>
                <c:pt idx="5">
                  <c:v>47</c:v>
                </c:pt>
                <c:pt idx="6">
                  <c:v>27</c:v>
                </c:pt>
                <c:pt idx="7">
                  <c:v>18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6-4BBF-92A2-83081105F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ただ!$K$2:$K$535</c:f>
              <c:numCache>
                <c:formatCode>General</c:formatCode>
                <c:ptCount val="5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</c:numCache>
            </c:numRef>
          </c:xVal>
          <c:yVal>
            <c:numRef>
              <c:f>ただ!$L$2:$L$535</c:f>
              <c:numCache>
                <c:formatCode>\+0.0;\-0.0;\±0</c:formatCode>
                <c:ptCount val="53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B-4DF1-86FD-58DC95D09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-551.61290322580646</c:v>
                </c:pt>
                <c:pt idx="1">
                  <c:v>-174.46393762183237</c:v>
                </c:pt>
                <c:pt idx="2">
                  <c:v>217.21991701244812</c:v>
                </c:pt>
                <c:pt idx="3">
                  <c:v>-1017.5946547884187</c:v>
                </c:pt>
                <c:pt idx="4">
                  <c:v>-208.14814814814815</c:v>
                </c:pt>
                <c:pt idx="5">
                  <c:v>25.217391304347824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D3-4E28-ADF9-17E550AD4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86</c:v>
                </c:pt>
                <c:pt idx="1">
                  <c:v>228</c:v>
                </c:pt>
                <c:pt idx="2">
                  <c:v>264</c:v>
                </c:pt>
                <c:pt idx="3">
                  <c:v>245</c:v>
                </c:pt>
                <c:pt idx="4">
                  <c:v>174</c:v>
                </c:pt>
                <c:pt idx="5">
                  <c:v>112</c:v>
                </c:pt>
                <c:pt idx="6">
                  <c:v>55</c:v>
                </c:pt>
                <c:pt idx="7">
                  <c:v>39</c:v>
                </c:pt>
                <c:pt idx="8">
                  <c:v>19</c:v>
                </c:pt>
                <c:pt idx="9">
                  <c:v>13</c:v>
                </c:pt>
                <c:pt idx="10">
                  <c:v>11</c:v>
                </c:pt>
                <c:pt idx="11">
                  <c:v>2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B-43FF-8695-0499F4420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42-452C-ADF7-11BAA0FA1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0-49E3-8A1F-BA0E093AC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94-4E51-A9B6-47765AB7B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れんたろう!$K$2:$K$462</c:f>
              <c:numCache>
                <c:formatCode>General</c:formatCode>
                <c:ptCount val="4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</c:numCache>
            </c:numRef>
          </c:xVal>
          <c:yVal>
            <c:numRef>
              <c:f>れんたろう!$L$2:$L$462</c:f>
              <c:numCache>
                <c:formatCode>\+0.0;\-0.0;\±0</c:formatCode>
                <c:ptCount val="46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AD-421F-BE13-1455A45FD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398.6754966887417</c:v>
                </c:pt>
                <c:pt idx="1">
                  <c:v>-574.15730337078651</c:v>
                </c:pt>
                <c:pt idx="2">
                  <c:v>322.19512195121951</c:v>
                </c:pt>
                <c:pt idx="3">
                  <c:v>641.77897574123995</c:v>
                </c:pt>
                <c:pt idx="4">
                  <c:v>-704.70588235294122</c:v>
                </c:pt>
                <c:pt idx="5">
                  <c:v>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BDE-B4EE-4A6ED340D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34</c:v>
                </c:pt>
                <c:pt idx="1">
                  <c:v>106</c:v>
                </c:pt>
                <c:pt idx="2">
                  <c:v>151</c:v>
                </c:pt>
                <c:pt idx="3">
                  <c:v>211</c:v>
                </c:pt>
                <c:pt idx="4">
                  <c:v>197</c:v>
                </c:pt>
                <c:pt idx="5">
                  <c:v>126</c:v>
                </c:pt>
                <c:pt idx="6">
                  <c:v>81</c:v>
                </c:pt>
                <c:pt idx="7">
                  <c:v>52</c:v>
                </c:pt>
                <c:pt idx="8">
                  <c:v>34</c:v>
                </c:pt>
                <c:pt idx="9">
                  <c:v>12</c:v>
                </c:pt>
                <c:pt idx="10">
                  <c:v>8</c:v>
                </c:pt>
                <c:pt idx="11">
                  <c:v>5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F-4AA7-90C8-81178B8EE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6-40C9-BB88-9F434B1F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6D-4DC5-91C9-3D029D626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7-4A7A-9C81-AB5D8BF41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まっつん!$K$2:$K$377</c:f>
              <c:numCache>
                <c:formatCode>General</c:formatCode>
                <c:ptCount val="3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</c:numCache>
            </c:numRef>
          </c:xVal>
          <c:yVal>
            <c:numRef>
              <c:f>まっつん!$L$2:$L$377</c:f>
              <c:numCache>
                <c:formatCode>\+0.0;\-0.0;\±0</c:formatCode>
                <c:ptCount val="37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34-4A4B-B199-608967D67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-97.860962566844918</c:v>
                </c:pt>
                <c:pt idx="1">
                  <c:v>578.20163487738421</c:v>
                </c:pt>
                <c:pt idx="2">
                  <c:v>-601.73913043478262</c:v>
                </c:pt>
                <c:pt idx="3">
                  <c:v>-42.946708463949847</c:v>
                </c:pt>
                <c:pt idx="4">
                  <c:v>-961.45833333333337</c:v>
                </c:pt>
                <c:pt idx="5">
                  <c:v>-338.23529411764707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5F-4455-BD96-0FDDCA803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61</c:v>
                </c:pt>
                <c:pt idx="1">
                  <c:v>133</c:v>
                </c:pt>
                <c:pt idx="2">
                  <c:v>161</c:v>
                </c:pt>
                <c:pt idx="3">
                  <c:v>146</c:v>
                </c:pt>
                <c:pt idx="4">
                  <c:v>120</c:v>
                </c:pt>
                <c:pt idx="5">
                  <c:v>80</c:v>
                </c:pt>
                <c:pt idx="6">
                  <c:v>50</c:v>
                </c:pt>
                <c:pt idx="7">
                  <c:v>22</c:v>
                </c:pt>
                <c:pt idx="8">
                  <c:v>16</c:v>
                </c:pt>
                <c:pt idx="9">
                  <c:v>11</c:v>
                </c:pt>
                <c:pt idx="10">
                  <c:v>3</c:v>
                </c:pt>
                <c:pt idx="11">
                  <c:v>2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B-4006-A97F-E3921A15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BD-4A38-8F6B-85A263CB9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446.06741573033707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E-45DC-BC0A-884A8C7B6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5-4190-95B4-06A393994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F0-4C36-8DE0-74D2374CC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9D-4DEA-A929-6720C4A34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BD-43A8-84CA-1B4F625B1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E-4BAB-A63C-F85FA1AD3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A4-47EF-A296-9690A8271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3-4182-8D70-F95F23E38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のり!$L$2:$L$98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3-4999-8BAF-3908F626B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-3020.8333333333335</c:v>
                </c:pt>
                <c:pt idx="1">
                  <c:v>202.10526315789474</c:v>
                </c:pt>
                <c:pt idx="2">
                  <c:v>-1462.9213483146068</c:v>
                </c:pt>
                <c:pt idx="3">
                  <c:v>-1484.8101265822784</c:v>
                </c:pt>
                <c:pt idx="4">
                  <c:v>-1176.7123287671234</c:v>
                </c:pt>
                <c:pt idx="5">
                  <c:v>-2050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2-4F97-A407-DA1351458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17</c:v>
                </c:pt>
                <c:pt idx="1">
                  <c:v>35</c:v>
                </c:pt>
                <c:pt idx="2">
                  <c:v>41</c:v>
                </c:pt>
                <c:pt idx="3">
                  <c:v>35</c:v>
                </c:pt>
                <c:pt idx="4">
                  <c:v>27</c:v>
                </c:pt>
                <c:pt idx="5">
                  <c:v>17</c:v>
                </c:pt>
                <c:pt idx="6">
                  <c:v>10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E-4857-B75C-C5596B3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E-4AC9-A7CF-54DCEDB97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2F-4EA2-9C62-87E48E68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6F-40D7-92F3-CCFDE1B7B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CE-4877-AE96-1EF6D96A0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E6-4E86-BBD5-154529764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8-4313-865B-4A5ACFD65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B7-4788-88C0-CD5622835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8-4246-95E7-5730D62C1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E-49B0-BBBE-568AEBD4E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B977E4-EED3-4FF0-B240-C2AE11C79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223201-1F1A-45F4-882A-7E84AAAAB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A29E87E-C5C1-4E7E-B68C-A7A4BE741C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96CCBA-F14C-49E5-8A41-FAD5C53AB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771270-25EC-44DA-9346-2041693D3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096184-5628-4199-B9E2-C4EE53986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CD5A09-63F3-4017-AD85-934EB1F1B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A994B9-DF6E-421F-B95E-C59979FCF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6382A9-2205-4E67-9DA3-E3B1CC15A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CDE248-15A0-4ABF-ABD0-BC9131B85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D46625-AD30-4244-8EEF-08FA602D5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78F7B7-552F-4A6E-9439-434BFAAE4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7CEB78-1937-4169-8533-FE67E2E72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AABCAB-C7B2-41BC-AD7C-10DEFA8AD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5FB2733-B5FE-43B9-ABD5-AD691B1A70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38DAB6-1988-498D-9400-5FD4F37EE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37225A-3F45-403B-89DB-0D116E3B6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A594F0-6DBF-4F8D-BC43-4F98128DB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BA824E-1883-4998-8792-F28E6AFD1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B3669D-3727-4982-97E5-04F93C0A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A68CC6-198E-4E1C-9E81-E1AB9FF23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5DA56D-5702-41E9-8786-FD3589AA97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F26E5F-F8F5-4CE8-B57F-899C7A3B4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B9147A-0C8A-41B6-8A09-DC23ED0A0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D0A890-30BF-492E-BCD4-78BEDEDFE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FC3B09-81A2-4F9E-8FAE-0327D525B1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BEF394C-26AD-45A5-AB20-18BC9D97A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F92C49-1EF6-47D4-B434-7D304CC55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41D0C8-E9F8-43EF-9601-D79E132F5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9898441-5147-4F9F-8698-4AB800706D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01C3E3-F8A7-4814-9881-D5643E4891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687AA1-A585-48C3-8182-248E24D794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12D4DC-068E-4C4F-BF47-3FE4AF6E4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2A8D9B-4B5D-4DFC-A090-626EB41FA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C0EAC0-AC29-47DC-B881-57FD2EFDB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5082D4-8084-4400-900C-9DA23C103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295137-334D-4246-9580-71B10E4AA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A13114-2FD8-4754-90A0-01BED93BC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88904D9-6E51-4210-B5D9-D7F27B850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D17026-A95F-4A83-AE9F-3185F11CC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FE6114-2FC9-431E-B723-C31A0E2C1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E92B4B-1BCD-4DAB-8FA2-F8429C0D2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AE6E35-D126-4463-BEC5-65C34A4604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B2D918-C460-4B65-82A2-450620398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088682-1875-45AE-B364-C12156304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F36543-5B83-4894-B25C-411B1E826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E087E7-0016-44C7-B7D4-CCCF8D9DA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DDC5D55-F1A8-47EE-AD64-54C96DC18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FC5F29-5522-447B-8C16-8DB417297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06C618-D895-41B8-A355-085689E17F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3E7318B-928E-47F5-A1EA-23311072F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917CE6-F010-4F55-B467-ECA7FD22BD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BE0DC4-C41C-4A85-8175-2C9F66D97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852DCC7-0A36-49FE-A313-DECDCCF85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356614-ED6F-4510-8735-621D77A525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CAA3E3-F545-48DF-AB05-22F662F2E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46D421-22F4-463D-B862-719CE2F8A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F6A761-2E14-45EC-AD82-BA30311F1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1206D6-30E5-406F-8ADA-DE6A0D1510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0C5A02-7E32-4A9E-A35F-C0A0067A9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41"/>
      <c r="C1" s="142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31">
        <v>0</v>
      </c>
      <c r="C2" s="132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43">
        <v>0</v>
      </c>
      <c r="C3" s="144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45">
        <v>0</v>
      </c>
      <c r="C4" s="146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9">
        <f>IF(B$2=0,0,B$4/B$2)</f>
        <v>0</v>
      </c>
      <c r="C5" s="140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37">
        <f>IF(B$2=0,0,(B$7*1+B$8*2+B$9*3)/B$2)</f>
        <v>0</v>
      </c>
      <c r="C6" s="138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0</v>
      </c>
      <c r="C13" s="140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35">
        <v>0</v>
      </c>
      <c r="C32" s="136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33">
        <v>-1000000</v>
      </c>
      <c r="C33" s="134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29">
        <v>0</v>
      </c>
      <c r="C51" s="130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9" customWidth="1"/>
    <col min="3" max="3" width="10.69921875" style="123" customWidth="1"/>
    <col min="4" max="4" width="10.69921875" style="57" customWidth="1"/>
    <col min="5" max="5" width="10.69921875" style="58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71" customWidth="1"/>
    <col min="10" max="10" width="10.69921875" style="59" customWidth="1"/>
    <col min="11" max="11" width="10.69921875" style="60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1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2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3" customWidth="1"/>
    <col min="24" max="24" width="10.69921875" style="59" customWidth="1"/>
    <col min="25" max="25" width="10.69921875" style="61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2" customWidth="1"/>
    <col min="36" max="36" width="10.69921875" style="59" customWidth="1"/>
    <col min="37" max="37" width="10.69921875" style="66" customWidth="1"/>
    <col min="38" max="16384" width="9" style="47"/>
  </cols>
  <sheetData>
    <row r="1" spans="1:37" x14ac:dyDescent="0.45">
      <c r="A1" s="46"/>
      <c r="B1" s="147" t="s">
        <v>9</v>
      </c>
      <c r="C1" s="148"/>
      <c r="D1" s="151" t="s">
        <v>6</v>
      </c>
      <c r="E1" s="152"/>
      <c r="F1" s="151" t="s">
        <v>7</v>
      </c>
      <c r="G1" s="152"/>
      <c r="H1" s="147" t="s">
        <v>206</v>
      </c>
      <c r="I1" s="148"/>
      <c r="J1" s="151" t="s">
        <v>15</v>
      </c>
      <c r="K1" s="152"/>
      <c r="L1" s="151" t="s">
        <v>14</v>
      </c>
      <c r="M1" s="152"/>
      <c r="N1" s="151" t="s">
        <v>147</v>
      </c>
      <c r="O1" s="152"/>
      <c r="P1" s="151" t="s">
        <v>137</v>
      </c>
      <c r="Q1" s="152"/>
      <c r="R1" s="151" t="s">
        <v>138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139</v>
      </c>
      <c r="AG1" s="152"/>
      <c r="AH1" s="151" t="s">
        <v>136</v>
      </c>
      <c r="AI1" s="152"/>
      <c r="AJ1" s="151" t="s">
        <v>177</v>
      </c>
      <c r="AK1" s="152"/>
    </row>
    <row r="2" spans="1:37" x14ac:dyDescent="0.45">
      <c r="A2" s="46" t="s">
        <v>146</v>
      </c>
      <c r="B2" s="149">
        <v>0.49782425218119725</v>
      </c>
      <c r="C2" s="150"/>
      <c r="D2" s="153"/>
      <c r="E2" s="154"/>
      <c r="F2" s="153"/>
      <c r="G2" s="154"/>
      <c r="H2" s="149">
        <v>0.2336538055524181</v>
      </c>
      <c r="I2" s="150"/>
      <c r="J2" s="149">
        <v>0.78327677828980768</v>
      </c>
      <c r="K2" s="150"/>
      <c r="L2" s="149">
        <v>0.60614556752625337</v>
      </c>
      <c r="M2" s="150"/>
      <c r="N2" s="149">
        <v>0.62752285277557607</v>
      </c>
      <c r="O2" s="150"/>
      <c r="P2" s="149">
        <v>0.59702710198775422</v>
      </c>
      <c r="Q2" s="150"/>
      <c r="R2" s="149">
        <v>0.37669068348322937</v>
      </c>
      <c r="S2" s="150"/>
      <c r="T2" s="149">
        <v>0.24554541424807541</v>
      </c>
      <c r="U2" s="150"/>
      <c r="V2" s="149">
        <v>-6.0218401704467552E-2</v>
      </c>
      <c r="W2" s="150"/>
      <c r="X2" s="149">
        <v>0.37951649995342157</v>
      </c>
      <c r="Y2" s="150"/>
      <c r="Z2" s="149">
        <v>0.23558198999142099</v>
      </c>
      <c r="AA2" s="150"/>
      <c r="AB2" s="149">
        <v>-1.0399405680188092E-2</v>
      </c>
      <c r="AC2" s="150"/>
      <c r="AD2" s="149">
        <v>0.37353549494991595</v>
      </c>
      <c r="AE2" s="150"/>
      <c r="AF2" s="149">
        <v>0.31985495624803562</v>
      </c>
      <c r="AG2" s="150"/>
      <c r="AH2" s="149">
        <v>-0.28110126328303775</v>
      </c>
      <c r="AI2" s="150"/>
      <c r="AJ2" s="149">
        <v>0.57241970141526832</v>
      </c>
      <c r="AK2" s="150"/>
    </row>
    <row r="3" spans="1:37" x14ac:dyDescent="0.45">
      <c r="A3" s="48">
        <v>1</v>
      </c>
      <c r="B3" s="51" t="s">
        <v>183</v>
      </c>
      <c r="C3" s="122">
        <v>1120</v>
      </c>
      <c r="D3" s="49" t="s">
        <v>195</v>
      </c>
      <c r="E3" s="50">
        <v>7350.4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187</v>
      </c>
      <c r="W3" s="55">
        <v>-7404.3577981651379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0.6428571428571429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5">
      <c r="A4" s="56">
        <v>2</v>
      </c>
      <c r="B4" s="59" t="s">
        <v>195</v>
      </c>
      <c r="C4" s="123">
        <v>779</v>
      </c>
      <c r="D4" s="57" t="s">
        <v>191</v>
      </c>
      <c r="E4" s="58">
        <v>473.3000000000003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1.761232349165597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0.34201640135069949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201</v>
      </c>
      <c r="W4" s="63">
        <v>-7987.5</v>
      </c>
      <c r="X4" s="59" t="s">
        <v>195</v>
      </c>
      <c r="Y4" s="61">
        <v>7.702182284980745E-2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186</v>
      </c>
      <c r="AI4" s="62">
        <v>0.52788104089219334</v>
      </c>
      <c r="AJ4" s="59" t="s">
        <v>183</v>
      </c>
      <c r="AK4" s="66">
        <v>149100</v>
      </c>
    </row>
    <row r="5" spans="1:37" x14ac:dyDescent="0.45">
      <c r="A5" s="56">
        <v>3</v>
      </c>
      <c r="B5" s="59" t="s">
        <v>193</v>
      </c>
      <c r="C5" s="123">
        <v>533</v>
      </c>
      <c r="D5" s="57" t="s">
        <v>196</v>
      </c>
      <c r="E5" s="58">
        <v>109</v>
      </c>
      <c r="F5" s="59" t="s">
        <v>195</v>
      </c>
      <c r="G5" s="71">
        <v>9.4356867779204094</v>
      </c>
      <c r="H5" s="59" t="s">
        <v>191</v>
      </c>
      <c r="I5" s="71">
        <v>1.7690420051722004</v>
      </c>
      <c r="J5" s="59" t="s">
        <v>199</v>
      </c>
      <c r="K5" s="60">
        <v>1.9285714285714286</v>
      </c>
      <c r="L5" s="59" t="s">
        <v>195</v>
      </c>
      <c r="M5" s="61">
        <v>0.46213093709884467</v>
      </c>
      <c r="N5" s="59" t="s">
        <v>195</v>
      </c>
      <c r="O5" s="61">
        <v>0.2233632862644416</v>
      </c>
      <c r="P5" s="59" t="s">
        <v>202</v>
      </c>
      <c r="Q5" s="62">
        <v>0.33333333333333331</v>
      </c>
      <c r="R5" s="59" t="s">
        <v>195</v>
      </c>
      <c r="S5" s="62">
        <v>0.13892908827785819</v>
      </c>
      <c r="T5" s="59" t="s">
        <v>191</v>
      </c>
      <c r="U5" s="63">
        <v>10556.666666666666</v>
      </c>
      <c r="V5" s="59" t="s">
        <v>186</v>
      </c>
      <c r="W5" s="63">
        <v>-8135.5329949238576</v>
      </c>
      <c r="X5" s="59" t="s">
        <v>196</v>
      </c>
      <c r="Y5" s="61">
        <v>0.1111111111111111</v>
      </c>
      <c r="Z5" s="59" t="s">
        <v>201</v>
      </c>
      <c r="AA5" s="62">
        <v>0.375</v>
      </c>
      <c r="AB5" s="59" t="s">
        <v>188</v>
      </c>
      <c r="AC5" s="62">
        <v>0.28011551155115511</v>
      </c>
      <c r="AD5" s="59" t="s">
        <v>196</v>
      </c>
      <c r="AE5" s="62">
        <v>0.61538461538461542</v>
      </c>
      <c r="AF5" s="59" t="s">
        <v>195</v>
      </c>
      <c r="AG5" s="62">
        <v>0.4865079365079365</v>
      </c>
      <c r="AH5" s="59" t="s">
        <v>189</v>
      </c>
      <c r="AI5" s="62">
        <v>0.52631578947368418</v>
      </c>
      <c r="AJ5" s="59" t="s">
        <v>191</v>
      </c>
      <c r="AK5" s="66">
        <v>124700</v>
      </c>
    </row>
    <row r="6" spans="1:37" x14ac:dyDescent="0.45">
      <c r="A6" s="56">
        <v>4</v>
      </c>
      <c r="B6" s="59" t="s">
        <v>191</v>
      </c>
      <c r="C6" s="123">
        <v>460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0.14304461942257218</v>
      </c>
      <c r="T6" s="59" t="s">
        <v>202</v>
      </c>
      <c r="U6" s="63">
        <v>9534.6153846153848</v>
      </c>
      <c r="V6" s="59" t="s">
        <v>197</v>
      </c>
      <c r="W6" s="63">
        <v>-8153.1468531468536</v>
      </c>
      <c r="X6" s="59" t="s">
        <v>187</v>
      </c>
      <c r="Y6" s="61">
        <v>0.11466666666666667</v>
      </c>
      <c r="Z6" s="59" t="s">
        <v>189</v>
      </c>
      <c r="AA6" s="62">
        <v>0.3359073359073359</v>
      </c>
      <c r="AB6" s="59" t="s">
        <v>194</v>
      </c>
      <c r="AC6" s="62">
        <v>0.27777777777777779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199</v>
      </c>
      <c r="AI6" s="62">
        <v>0.51249999999999996</v>
      </c>
      <c r="AJ6" s="59" t="s">
        <v>194</v>
      </c>
      <c r="AK6" s="66">
        <v>118000</v>
      </c>
    </row>
    <row r="7" spans="1:37" x14ac:dyDescent="0.45">
      <c r="A7" s="56">
        <v>5</v>
      </c>
      <c r="B7" s="59" t="s">
        <v>190</v>
      </c>
      <c r="C7" s="123">
        <v>457</v>
      </c>
      <c r="D7" s="57" t="s">
        <v>200</v>
      </c>
      <c r="E7" s="58">
        <v>13.3</v>
      </c>
      <c r="F7" s="59" t="s">
        <v>191</v>
      </c>
      <c r="G7" s="71">
        <v>1.0289130434782614</v>
      </c>
      <c r="H7" s="59" t="s">
        <v>187</v>
      </c>
      <c r="I7" s="71">
        <v>0.69557330538085671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198</v>
      </c>
      <c r="S7" s="62">
        <v>0.15625</v>
      </c>
      <c r="T7" s="59" t="s">
        <v>194</v>
      </c>
      <c r="U7" s="63">
        <v>9344.0909090909099</v>
      </c>
      <c r="V7" s="59" t="s">
        <v>184</v>
      </c>
      <c r="W7" s="63">
        <v>-8240</v>
      </c>
      <c r="X7" s="59" t="s">
        <v>193</v>
      </c>
      <c r="Y7" s="61">
        <v>0.11632270168855535</v>
      </c>
      <c r="Z7" s="59" t="s">
        <v>191</v>
      </c>
      <c r="AA7" s="62">
        <v>0.29575163398692811</v>
      </c>
      <c r="AB7" s="59" t="s">
        <v>193</v>
      </c>
      <c r="AC7" s="62">
        <v>0.24727100142382535</v>
      </c>
      <c r="AD7" s="59" t="s">
        <v>195</v>
      </c>
      <c r="AE7" s="62">
        <v>0.60499087035909926</v>
      </c>
      <c r="AF7" s="59" t="s">
        <v>183</v>
      </c>
      <c r="AG7" s="62">
        <v>0.4073166462454052</v>
      </c>
      <c r="AH7" s="59" t="s">
        <v>200</v>
      </c>
      <c r="AI7" s="62">
        <v>0.5</v>
      </c>
      <c r="AJ7" s="59" t="s">
        <v>186</v>
      </c>
      <c r="AK7" s="66">
        <v>113300</v>
      </c>
    </row>
    <row r="8" spans="1:37" x14ac:dyDescent="0.45">
      <c r="A8" s="56">
        <v>6</v>
      </c>
      <c r="B8" s="59" t="s">
        <v>187</v>
      </c>
      <c r="C8" s="123">
        <v>375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195</v>
      </c>
      <c r="I8" s="71">
        <v>0.68302558188025841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187</v>
      </c>
      <c r="O8" s="61">
        <v>0.33333333333333331</v>
      </c>
      <c r="P8" s="59" t="s">
        <v>198</v>
      </c>
      <c r="Q8" s="62">
        <v>0.3125</v>
      </c>
      <c r="R8" s="59" t="s">
        <v>188</v>
      </c>
      <c r="S8" s="62">
        <v>0.1620583717357911</v>
      </c>
      <c r="T8" s="59" t="s">
        <v>195</v>
      </c>
      <c r="U8" s="63">
        <v>9207.0992007522327</v>
      </c>
      <c r="V8" s="59" t="s">
        <v>190</v>
      </c>
      <c r="W8" s="63">
        <v>-8269.9853587115667</v>
      </c>
      <c r="X8" s="59" t="s">
        <v>188</v>
      </c>
      <c r="Y8" s="61">
        <v>0.1182108626198083</v>
      </c>
      <c r="Z8" s="59" t="s">
        <v>195</v>
      </c>
      <c r="AA8" s="62">
        <v>0.28509456880097173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0.40058910162002948</v>
      </c>
      <c r="AH8" s="59" t="s">
        <v>192</v>
      </c>
      <c r="AI8" s="62">
        <v>0.48314606741573035</v>
      </c>
      <c r="AJ8" s="59" t="s">
        <v>193</v>
      </c>
      <c r="AK8" s="66">
        <v>109300</v>
      </c>
    </row>
    <row r="9" spans="1:37" x14ac:dyDescent="0.45">
      <c r="A9" s="56">
        <v>7</v>
      </c>
      <c r="B9" s="59" t="s">
        <v>188</v>
      </c>
      <c r="C9" s="123">
        <v>313</v>
      </c>
      <c r="D9" s="57" t="s">
        <v>183</v>
      </c>
      <c r="E9" s="58">
        <v>-2.6645352591003757E-14</v>
      </c>
      <c r="F9" s="59" t="s">
        <v>183</v>
      </c>
      <c r="G9" s="71">
        <v>-7.9301644616082606E-18</v>
      </c>
      <c r="H9" s="59" t="s">
        <v>202</v>
      </c>
      <c r="I9" s="71">
        <v>0.61999999999999977</v>
      </c>
      <c r="J9" s="59" t="s">
        <v>200</v>
      </c>
      <c r="K9" s="60">
        <v>2</v>
      </c>
      <c r="L9" s="59" t="s">
        <v>191</v>
      </c>
      <c r="M9" s="61">
        <v>0.33478260869565218</v>
      </c>
      <c r="N9" s="59" t="s">
        <v>183</v>
      </c>
      <c r="O9" s="61">
        <v>0.33333333333333331</v>
      </c>
      <c r="P9" s="59" t="s">
        <v>193</v>
      </c>
      <c r="Q9" s="62">
        <v>0.29930875576036864</v>
      </c>
      <c r="R9" s="59" t="s">
        <v>183</v>
      </c>
      <c r="S9" s="62">
        <v>0.16420650657266653</v>
      </c>
      <c r="T9" s="59" t="s">
        <v>190</v>
      </c>
      <c r="U9" s="63">
        <v>9121.7871485943779</v>
      </c>
      <c r="V9" s="59" t="s">
        <v>183</v>
      </c>
      <c r="W9" s="63">
        <v>-8343.0008944543824</v>
      </c>
      <c r="X9" s="59" t="s">
        <v>183</v>
      </c>
      <c r="Y9" s="61">
        <v>0.12083333333333333</v>
      </c>
      <c r="Z9" s="59" t="s">
        <v>190</v>
      </c>
      <c r="AA9" s="62">
        <v>0.27982583454281568</v>
      </c>
      <c r="AB9" s="59" t="s">
        <v>187</v>
      </c>
      <c r="AC9" s="62">
        <v>0.22867454068241469</v>
      </c>
      <c r="AD9" s="59" t="s">
        <v>183</v>
      </c>
      <c r="AE9" s="62">
        <v>0.56647912348238083</v>
      </c>
      <c r="AF9" s="59" t="s">
        <v>199</v>
      </c>
      <c r="AG9" s="62">
        <v>0.39285714285714285</v>
      </c>
      <c r="AH9" s="59" t="s">
        <v>197</v>
      </c>
      <c r="AI9" s="62">
        <v>0.47179487179487178</v>
      </c>
      <c r="AJ9" s="59" t="s">
        <v>192</v>
      </c>
      <c r="AK9" s="66">
        <v>109300</v>
      </c>
    </row>
    <row r="10" spans="1:37" x14ac:dyDescent="0.45">
      <c r="A10" s="56">
        <v>8</v>
      </c>
      <c r="B10" s="59" t="s">
        <v>186</v>
      </c>
      <c r="C10" s="123">
        <v>118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188</v>
      </c>
      <c r="I10" s="71">
        <v>1.0459685349080889E-3</v>
      </c>
      <c r="J10" s="59" t="s">
        <v>193</v>
      </c>
      <c r="K10" s="60">
        <v>2.0131332082551596</v>
      </c>
      <c r="L10" s="59" t="s">
        <v>193</v>
      </c>
      <c r="M10" s="61">
        <v>0.33395872420262662</v>
      </c>
      <c r="N10" s="59" t="s">
        <v>193</v>
      </c>
      <c r="O10" s="61">
        <v>0.34709193245778613</v>
      </c>
      <c r="P10" s="59" t="s">
        <v>188</v>
      </c>
      <c r="Q10" s="62">
        <v>0.29800307219662059</v>
      </c>
      <c r="R10" s="59" t="s">
        <v>192</v>
      </c>
      <c r="S10" s="62">
        <v>0.16772151898734178</v>
      </c>
      <c r="T10" s="59" t="s">
        <v>183</v>
      </c>
      <c r="U10" s="63">
        <v>8934.481050284865</v>
      </c>
      <c r="V10" s="59" t="s">
        <v>195</v>
      </c>
      <c r="W10" s="63">
        <v>-8344.6759259259252</v>
      </c>
      <c r="X10" s="59" t="s">
        <v>191</v>
      </c>
      <c r="Y10" s="61">
        <v>0.13695652173913042</v>
      </c>
      <c r="Z10" s="59" t="s">
        <v>192</v>
      </c>
      <c r="AA10" s="62">
        <v>0.27777777777777779</v>
      </c>
      <c r="AB10" s="59" t="s">
        <v>197</v>
      </c>
      <c r="AC10" s="62">
        <v>0.22853535353535354</v>
      </c>
      <c r="AD10" s="59" t="s">
        <v>190</v>
      </c>
      <c r="AE10" s="62">
        <v>0.56639004149377592</v>
      </c>
      <c r="AF10" s="59" t="s">
        <v>191</v>
      </c>
      <c r="AG10" s="62">
        <v>0.39229671897289586</v>
      </c>
      <c r="AH10" s="59" t="s">
        <v>202</v>
      </c>
      <c r="AI10" s="62">
        <v>0.46153846153846156</v>
      </c>
      <c r="AJ10" s="59" t="s">
        <v>190</v>
      </c>
      <c r="AK10" s="66">
        <v>107600</v>
      </c>
    </row>
    <row r="11" spans="1:37" x14ac:dyDescent="0.45">
      <c r="A11" s="56">
        <v>9</v>
      </c>
      <c r="B11" s="59" t="s">
        <v>197</v>
      </c>
      <c r="C11" s="123">
        <v>96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183</v>
      </c>
      <c r="I11" s="71">
        <v>0</v>
      </c>
      <c r="J11" s="59" t="s">
        <v>191</v>
      </c>
      <c r="K11" s="60">
        <v>2.0217391304347827</v>
      </c>
      <c r="L11" s="59" t="s">
        <v>183</v>
      </c>
      <c r="M11" s="61">
        <v>0.33333333333333331</v>
      </c>
      <c r="N11" s="59" t="s">
        <v>191</v>
      </c>
      <c r="O11" s="61">
        <v>0.35652173913043478</v>
      </c>
      <c r="P11" s="59" t="s">
        <v>183</v>
      </c>
      <c r="Q11" s="62">
        <v>0.29646765073070425</v>
      </c>
      <c r="R11" s="59" t="s">
        <v>199</v>
      </c>
      <c r="S11" s="62">
        <v>0.16996047430830039</v>
      </c>
      <c r="T11" s="59" t="s">
        <v>196</v>
      </c>
      <c r="U11" s="63">
        <v>8891.6666666666661</v>
      </c>
      <c r="V11" s="59" t="s">
        <v>189</v>
      </c>
      <c r="W11" s="63">
        <v>-8379.5918367346931</v>
      </c>
      <c r="X11" s="59" t="s">
        <v>190</v>
      </c>
      <c r="Y11" s="61">
        <v>0.14004376367614879</v>
      </c>
      <c r="Z11" s="59" t="s">
        <v>183</v>
      </c>
      <c r="AA11" s="62">
        <v>0.26160043380587189</v>
      </c>
      <c r="AB11" s="59" t="s">
        <v>183</v>
      </c>
      <c r="AC11" s="62">
        <v>0.22127972732202339</v>
      </c>
      <c r="AD11" s="59" t="s">
        <v>186</v>
      </c>
      <c r="AE11" s="62">
        <v>0.5662650602409639</v>
      </c>
      <c r="AF11" s="59" t="s">
        <v>202</v>
      </c>
      <c r="AG11" s="62">
        <v>0.38461538461538464</v>
      </c>
      <c r="AH11" s="59" t="s">
        <v>191</v>
      </c>
      <c r="AI11" s="62">
        <v>0.45714285714285713</v>
      </c>
      <c r="AJ11" s="59" t="s">
        <v>188</v>
      </c>
      <c r="AK11" s="66">
        <v>106500</v>
      </c>
    </row>
    <row r="12" spans="1:37" x14ac:dyDescent="0.45">
      <c r="A12" s="56">
        <v>10</v>
      </c>
      <c r="B12" s="59" t="s">
        <v>194</v>
      </c>
      <c r="C12" s="123">
        <v>91</v>
      </c>
      <c r="D12" s="57" t="s">
        <v>198</v>
      </c>
      <c r="E12" s="58">
        <v>-56.2</v>
      </c>
      <c r="F12" s="59" t="s">
        <v>187</v>
      </c>
      <c r="G12" s="71">
        <v>-1.3469333333333333</v>
      </c>
      <c r="H12" s="59" t="s">
        <v>190</v>
      </c>
      <c r="I12" s="71">
        <v>-2.3196180953344008E-2</v>
      </c>
      <c r="J12" s="59" t="s">
        <v>192</v>
      </c>
      <c r="K12" s="60">
        <v>2.0256410256410255</v>
      </c>
      <c r="L12" s="59" t="s">
        <v>187</v>
      </c>
      <c r="M12" s="61">
        <v>0.28266666666666668</v>
      </c>
      <c r="N12" s="59" t="s">
        <v>188</v>
      </c>
      <c r="O12" s="61">
        <v>0.38338658146964855</v>
      </c>
      <c r="P12" s="59" t="s">
        <v>189</v>
      </c>
      <c r="Q12" s="62">
        <v>0.2878787878787879</v>
      </c>
      <c r="R12" s="59" t="s">
        <v>193</v>
      </c>
      <c r="S12" s="62">
        <v>0.17004608294930876</v>
      </c>
      <c r="T12" s="59" t="s">
        <v>187</v>
      </c>
      <c r="U12" s="63">
        <v>8526.5931372549021</v>
      </c>
      <c r="V12" s="59" t="s">
        <v>188</v>
      </c>
      <c r="W12" s="63">
        <v>-8394.5497630331756</v>
      </c>
      <c r="X12" s="59" t="s">
        <v>189</v>
      </c>
      <c r="Y12" s="61">
        <v>0.15151515151515152</v>
      </c>
      <c r="Z12" s="59" t="s">
        <v>185</v>
      </c>
      <c r="AA12" s="62">
        <v>0.25806451612903225</v>
      </c>
      <c r="AB12" s="59" t="s">
        <v>195</v>
      </c>
      <c r="AC12" s="62">
        <v>0.21863612701717855</v>
      </c>
      <c r="AD12" s="59" t="s">
        <v>187</v>
      </c>
      <c r="AE12" s="62">
        <v>0.56375838926174493</v>
      </c>
      <c r="AF12" s="59" t="s">
        <v>197</v>
      </c>
      <c r="AG12" s="62">
        <v>0.38121546961325969</v>
      </c>
      <c r="AH12" s="59" t="s">
        <v>190</v>
      </c>
      <c r="AI12" s="62">
        <v>0.4528112449799197</v>
      </c>
      <c r="AJ12" s="59" t="s">
        <v>199</v>
      </c>
      <c r="AK12" s="66">
        <v>106300</v>
      </c>
    </row>
    <row r="13" spans="1:37" x14ac:dyDescent="0.45">
      <c r="A13" s="56">
        <v>11</v>
      </c>
      <c r="B13" s="59" t="s">
        <v>192</v>
      </c>
      <c r="C13" s="123">
        <v>39</v>
      </c>
      <c r="D13" s="57" t="s">
        <v>201</v>
      </c>
      <c r="E13" s="58">
        <v>-80.800000000000011</v>
      </c>
      <c r="F13" s="59" t="s">
        <v>193</v>
      </c>
      <c r="G13" s="71">
        <v>-2.1026266416510331</v>
      </c>
      <c r="H13" s="59" t="s">
        <v>194</v>
      </c>
      <c r="I13" s="71">
        <v>-0.4518996415770597</v>
      </c>
      <c r="J13" s="59" t="s">
        <v>187</v>
      </c>
      <c r="K13" s="60">
        <v>2.0506666666666669</v>
      </c>
      <c r="L13" s="59" t="s">
        <v>189</v>
      </c>
      <c r="M13" s="61">
        <v>0.27272727272727271</v>
      </c>
      <c r="N13" s="59" t="s">
        <v>192</v>
      </c>
      <c r="O13" s="61">
        <v>0.38461538461538464</v>
      </c>
      <c r="P13" s="59" t="s">
        <v>191</v>
      </c>
      <c r="Q13" s="62">
        <v>0.28309517390132111</v>
      </c>
      <c r="R13" s="59" t="s">
        <v>194</v>
      </c>
      <c r="S13" s="62">
        <v>0.17164179104477612</v>
      </c>
      <c r="T13" s="59" t="s">
        <v>201</v>
      </c>
      <c r="U13" s="63">
        <v>8512.5</v>
      </c>
      <c r="V13" s="59" t="s">
        <v>196</v>
      </c>
      <c r="W13" s="63">
        <v>-8400</v>
      </c>
      <c r="X13" s="59" t="s">
        <v>194</v>
      </c>
      <c r="Y13" s="61">
        <v>0.15384615384615385</v>
      </c>
      <c r="Z13" s="59" t="s">
        <v>199</v>
      </c>
      <c r="AA13" s="62">
        <v>0.24901185770750989</v>
      </c>
      <c r="AB13" s="59" t="s">
        <v>191</v>
      </c>
      <c r="AC13" s="62">
        <v>0.1909041394335512</v>
      </c>
      <c r="AD13" s="59" t="s">
        <v>197</v>
      </c>
      <c r="AE13" s="62">
        <v>0.5535714285714286</v>
      </c>
      <c r="AF13" s="59" t="s">
        <v>193</v>
      </c>
      <c r="AG13" s="62">
        <v>0.3800383877159309</v>
      </c>
      <c r="AH13" s="59" t="s">
        <v>187</v>
      </c>
      <c r="AI13" s="62">
        <v>0.43995098039215685</v>
      </c>
      <c r="AJ13" s="59" t="s">
        <v>187</v>
      </c>
      <c r="AK13" s="66">
        <v>103000</v>
      </c>
    </row>
    <row r="14" spans="1:37" x14ac:dyDescent="0.45">
      <c r="A14" s="56">
        <v>12</v>
      </c>
      <c r="B14" s="59" t="s">
        <v>189</v>
      </c>
      <c r="C14" s="123">
        <v>33</v>
      </c>
      <c r="D14" s="57" t="s">
        <v>185</v>
      </c>
      <c r="E14" s="58">
        <v>-86.4</v>
      </c>
      <c r="F14" s="59" t="s">
        <v>188</v>
      </c>
      <c r="G14" s="71">
        <v>-4.6485623003194894</v>
      </c>
      <c r="H14" s="59" t="s">
        <v>197</v>
      </c>
      <c r="I14" s="71">
        <v>-1.3788037166085967</v>
      </c>
      <c r="J14" s="59" t="s">
        <v>190</v>
      </c>
      <c r="K14" s="60">
        <v>2.1269146608315097</v>
      </c>
      <c r="L14" s="59" t="s">
        <v>186</v>
      </c>
      <c r="M14" s="61">
        <v>0.2711864406779661</v>
      </c>
      <c r="N14" s="59" t="s">
        <v>190</v>
      </c>
      <c r="O14" s="61">
        <v>0.387308533916849</v>
      </c>
      <c r="P14" s="59" t="s">
        <v>192</v>
      </c>
      <c r="Q14" s="62">
        <v>0.28164556962025317</v>
      </c>
      <c r="R14" s="59" t="s">
        <v>197</v>
      </c>
      <c r="S14" s="62">
        <v>0.18055555555555555</v>
      </c>
      <c r="T14" s="59" t="s">
        <v>193</v>
      </c>
      <c r="U14" s="63">
        <v>8453.0408006158577</v>
      </c>
      <c r="V14" s="59" t="s">
        <v>193</v>
      </c>
      <c r="W14" s="63">
        <v>-8432.1138211382113</v>
      </c>
      <c r="X14" s="59" t="s">
        <v>192</v>
      </c>
      <c r="Y14" s="61">
        <v>0.15384615384615385</v>
      </c>
      <c r="Z14" s="59" t="s">
        <v>187</v>
      </c>
      <c r="AA14" s="62">
        <v>0.24442257217847768</v>
      </c>
      <c r="AB14" s="59" t="s">
        <v>186</v>
      </c>
      <c r="AC14" s="62">
        <v>0.19038272816486751</v>
      </c>
      <c r="AD14" s="59" t="s">
        <v>191</v>
      </c>
      <c r="AE14" s="62">
        <v>0.55340699815837935</v>
      </c>
      <c r="AF14" s="59" t="s">
        <v>190</v>
      </c>
      <c r="AG14" s="62">
        <v>0.37980769230769229</v>
      </c>
      <c r="AH14" s="59" t="s">
        <v>183</v>
      </c>
      <c r="AI14" s="62">
        <v>0.43844438939806785</v>
      </c>
      <c r="AJ14" s="59" t="s">
        <v>197</v>
      </c>
      <c r="AK14" s="66">
        <v>89000</v>
      </c>
    </row>
    <row r="15" spans="1:37" x14ac:dyDescent="0.45">
      <c r="A15" s="56">
        <v>13</v>
      </c>
      <c r="B15" s="59" t="s">
        <v>199</v>
      </c>
      <c r="C15" s="123">
        <v>28</v>
      </c>
      <c r="D15" s="57" t="s">
        <v>184</v>
      </c>
      <c r="E15" s="58">
        <v>-132.1</v>
      </c>
      <c r="F15" s="59" t="s">
        <v>190</v>
      </c>
      <c r="G15" s="71">
        <v>-4.6619256017505473</v>
      </c>
      <c r="H15" s="59" t="s">
        <v>193</v>
      </c>
      <c r="I15" s="71">
        <v>-1.6115857761264227</v>
      </c>
      <c r="J15" s="59" t="s">
        <v>188</v>
      </c>
      <c r="K15" s="60">
        <v>2.1277955271565494</v>
      </c>
      <c r="L15" s="59" t="s">
        <v>190</v>
      </c>
      <c r="M15" s="61">
        <v>0.26039387308533918</v>
      </c>
      <c r="N15" s="59" t="s">
        <v>185</v>
      </c>
      <c r="O15" s="61">
        <v>0.4</v>
      </c>
      <c r="P15" s="59" t="s">
        <v>185</v>
      </c>
      <c r="Q15" s="62">
        <v>0.27027027027027029</v>
      </c>
      <c r="R15" s="59" t="s">
        <v>191</v>
      </c>
      <c r="S15" s="62">
        <v>0.18118091129684552</v>
      </c>
      <c r="T15" s="59" t="s">
        <v>197</v>
      </c>
      <c r="U15" s="63">
        <v>8231.7948717948711</v>
      </c>
      <c r="V15" s="59" t="s">
        <v>191</v>
      </c>
      <c r="W15" s="63">
        <v>-8641.9642857142862</v>
      </c>
      <c r="X15" s="59" t="s">
        <v>197</v>
      </c>
      <c r="Y15" s="61">
        <v>0.15625</v>
      </c>
      <c r="Z15" s="59" t="s">
        <v>186</v>
      </c>
      <c r="AA15" s="62">
        <v>0.24435721295387636</v>
      </c>
      <c r="AB15" s="59" t="s">
        <v>190</v>
      </c>
      <c r="AC15" s="62">
        <v>0.1811320754716981</v>
      </c>
      <c r="AD15" s="59" t="s">
        <v>193</v>
      </c>
      <c r="AE15" s="62">
        <v>0.54064642507345739</v>
      </c>
      <c r="AF15" s="59" t="s">
        <v>187</v>
      </c>
      <c r="AG15" s="62">
        <v>0.37733142037302725</v>
      </c>
      <c r="AH15" s="59" t="s">
        <v>194</v>
      </c>
      <c r="AI15" s="62">
        <v>0.43636363636363634</v>
      </c>
      <c r="AJ15" s="59" t="s">
        <v>196</v>
      </c>
      <c r="AK15" s="66">
        <v>78000</v>
      </c>
    </row>
    <row r="16" spans="1:37" x14ac:dyDescent="0.45">
      <c r="A16" s="56">
        <v>14</v>
      </c>
      <c r="B16" s="59" t="s">
        <v>202</v>
      </c>
      <c r="C16" s="123">
        <v>10</v>
      </c>
      <c r="D16" s="57" t="s">
        <v>189</v>
      </c>
      <c r="E16" s="58">
        <v>-256.89999999999998</v>
      </c>
      <c r="F16" s="59" t="s">
        <v>189</v>
      </c>
      <c r="G16" s="71">
        <v>-7.7848484848484842</v>
      </c>
      <c r="H16" s="59" t="s">
        <v>186</v>
      </c>
      <c r="I16" s="71">
        <v>-2.7244212962962941</v>
      </c>
      <c r="J16" s="59" t="s">
        <v>189</v>
      </c>
      <c r="K16" s="60">
        <v>2.1515151515151514</v>
      </c>
      <c r="L16" s="59" t="s">
        <v>188</v>
      </c>
      <c r="M16" s="61">
        <v>0.25559105431309903</v>
      </c>
      <c r="N16" s="59" t="s">
        <v>201</v>
      </c>
      <c r="O16" s="61">
        <v>0.4</v>
      </c>
      <c r="P16" s="59" t="s">
        <v>190</v>
      </c>
      <c r="Q16" s="62">
        <v>0.26875337290879653</v>
      </c>
      <c r="R16" s="59" t="s">
        <v>190</v>
      </c>
      <c r="S16" s="62">
        <v>0.18429573664328117</v>
      </c>
      <c r="T16" s="59" t="s">
        <v>199</v>
      </c>
      <c r="U16" s="63">
        <v>7901.25</v>
      </c>
      <c r="V16" s="59" t="s">
        <v>199</v>
      </c>
      <c r="W16" s="63">
        <v>-8765.1162790697672</v>
      </c>
      <c r="X16" s="59" t="s">
        <v>186</v>
      </c>
      <c r="Y16" s="61">
        <v>0.17796610169491525</v>
      </c>
      <c r="Z16" s="59" t="s">
        <v>193</v>
      </c>
      <c r="AA16" s="62">
        <v>0.24228761271950641</v>
      </c>
      <c r="AB16" s="59" t="s">
        <v>202</v>
      </c>
      <c r="AC16" s="62">
        <v>0.16666666666666666</v>
      </c>
      <c r="AD16" s="59" t="s">
        <v>192</v>
      </c>
      <c r="AE16" s="62">
        <v>0.53846153846153844</v>
      </c>
      <c r="AF16" s="59" t="s">
        <v>186</v>
      </c>
      <c r="AG16" s="62">
        <v>0.33505154639175255</v>
      </c>
      <c r="AH16" s="59" t="s">
        <v>188</v>
      </c>
      <c r="AI16" s="62">
        <v>0.43041237113402064</v>
      </c>
      <c r="AJ16" s="59" t="s">
        <v>202</v>
      </c>
      <c r="AK16" s="66">
        <v>70900</v>
      </c>
    </row>
    <row r="17" spans="1:37" x14ac:dyDescent="0.45">
      <c r="A17" s="56">
        <v>15</v>
      </c>
      <c r="B17" s="59" t="s">
        <v>196</v>
      </c>
      <c r="C17" s="123">
        <v>9</v>
      </c>
      <c r="D17" s="57" t="s">
        <v>187</v>
      </c>
      <c r="E17" s="58">
        <v>-505.09999999999997</v>
      </c>
      <c r="F17" s="59" t="s">
        <v>186</v>
      </c>
      <c r="G17" s="71">
        <v>-8.6033898305084744</v>
      </c>
      <c r="H17" s="59" t="s">
        <v>189</v>
      </c>
      <c r="I17" s="71">
        <v>-2.7308994708994683</v>
      </c>
      <c r="J17" s="59" t="s">
        <v>186</v>
      </c>
      <c r="K17" s="60">
        <v>2.152542372881356</v>
      </c>
      <c r="L17" s="59" t="s">
        <v>198</v>
      </c>
      <c r="M17" s="61">
        <v>0.25</v>
      </c>
      <c r="N17" s="59" t="s">
        <v>186</v>
      </c>
      <c r="O17" s="61">
        <v>0.42372881355932202</v>
      </c>
      <c r="P17" s="59" t="s">
        <v>187</v>
      </c>
      <c r="Q17" s="62">
        <v>0.26771653543307089</v>
      </c>
      <c r="R17" s="59" t="s">
        <v>189</v>
      </c>
      <c r="S17" s="62">
        <v>0.18560606060606061</v>
      </c>
      <c r="T17" s="59" t="s">
        <v>186</v>
      </c>
      <c r="U17" s="63">
        <v>7805.2044609665427</v>
      </c>
      <c r="V17" s="59" t="s">
        <v>192</v>
      </c>
      <c r="W17" s="63">
        <v>-9054.7169811320746</v>
      </c>
      <c r="X17" s="59" t="s">
        <v>202</v>
      </c>
      <c r="Y17" s="61">
        <v>0.2</v>
      </c>
      <c r="Z17" s="59" t="s">
        <v>194</v>
      </c>
      <c r="AA17" s="62">
        <v>0.23379629629629631</v>
      </c>
      <c r="AB17" s="59" t="s">
        <v>185</v>
      </c>
      <c r="AC17" s="62">
        <v>0.16129032258064516</v>
      </c>
      <c r="AD17" s="59" t="s">
        <v>188</v>
      </c>
      <c r="AE17" s="62">
        <v>0.53065539112050741</v>
      </c>
      <c r="AF17" s="59" t="s">
        <v>201</v>
      </c>
      <c r="AG17" s="62">
        <v>0.33333333333333331</v>
      </c>
      <c r="AH17" s="59" t="s">
        <v>193</v>
      </c>
      <c r="AI17" s="62">
        <v>0.4195535026943803</v>
      </c>
      <c r="AJ17" s="59" t="s">
        <v>189</v>
      </c>
      <c r="AK17" s="66">
        <v>66700</v>
      </c>
    </row>
    <row r="18" spans="1:37" x14ac:dyDescent="0.45">
      <c r="A18" s="56">
        <v>16</v>
      </c>
      <c r="B18" s="59" t="s">
        <v>185</v>
      </c>
      <c r="C18" s="123">
        <v>5</v>
      </c>
      <c r="D18" s="57" t="s">
        <v>186</v>
      </c>
      <c r="E18" s="58">
        <v>-1015.2</v>
      </c>
      <c r="F18" s="59" t="s">
        <v>197</v>
      </c>
      <c r="G18" s="71">
        <v>-12.311458333333334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189</v>
      </c>
      <c r="O18" s="61">
        <v>0.42424242424242425</v>
      </c>
      <c r="P18" s="59" t="s">
        <v>186</v>
      </c>
      <c r="Q18" s="62">
        <v>0.26398429833169773</v>
      </c>
      <c r="R18" s="59" t="s">
        <v>186</v>
      </c>
      <c r="S18" s="62">
        <v>0.19332679097154074</v>
      </c>
      <c r="T18" s="59" t="s">
        <v>184</v>
      </c>
      <c r="U18" s="63">
        <v>7800</v>
      </c>
      <c r="V18" s="59" t="s">
        <v>194</v>
      </c>
      <c r="W18" s="63">
        <v>-9212.173913043478</v>
      </c>
      <c r="X18" s="59" t="s">
        <v>201</v>
      </c>
      <c r="Y18" s="61">
        <v>0.2</v>
      </c>
      <c r="Z18" s="59" t="s">
        <v>200</v>
      </c>
      <c r="AA18" s="62">
        <v>0.23076923076923078</v>
      </c>
      <c r="AB18" s="59" t="s">
        <v>201</v>
      </c>
      <c r="AC18" s="62">
        <v>0.15</v>
      </c>
      <c r="AD18" s="59" t="s">
        <v>189</v>
      </c>
      <c r="AE18" s="62">
        <v>0.4942528735632184</v>
      </c>
      <c r="AF18" s="59" t="s">
        <v>192</v>
      </c>
      <c r="AG18" s="62">
        <v>0.32142857142857145</v>
      </c>
      <c r="AH18" s="59" t="s">
        <v>195</v>
      </c>
      <c r="AI18" s="62">
        <v>0.41748942172073344</v>
      </c>
      <c r="AJ18" s="59" t="s">
        <v>185</v>
      </c>
      <c r="AK18" s="66">
        <v>57800</v>
      </c>
    </row>
    <row r="19" spans="1:37" x14ac:dyDescent="0.45">
      <c r="A19" s="56">
        <v>17</v>
      </c>
      <c r="B19" s="59" t="s">
        <v>201</v>
      </c>
      <c r="C19" s="123">
        <v>5</v>
      </c>
      <c r="D19" s="57" t="s">
        <v>193</v>
      </c>
      <c r="E19" s="58">
        <v>-1120.7000000000007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197</v>
      </c>
      <c r="O19" s="61">
        <v>0.42708333333333331</v>
      </c>
      <c r="P19" s="59" t="s">
        <v>197</v>
      </c>
      <c r="Q19" s="62">
        <v>0.24621212121212122</v>
      </c>
      <c r="R19" s="59" t="s">
        <v>201</v>
      </c>
      <c r="S19" s="62">
        <v>0.2</v>
      </c>
      <c r="T19" s="59" t="s">
        <v>189</v>
      </c>
      <c r="U19" s="63">
        <v>7605.2631578947367</v>
      </c>
      <c r="V19" s="59" t="s">
        <v>202</v>
      </c>
      <c r="W19" s="63">
        <v>-10010.526315789473</v>
      </c>
      <c r="X19" s="59" t="s">
        <v>199</v>
      </c>
      <c r="Y19" s="61">
        <v>0.25</v>
      </c>
      <c r="Z19" s="59" t="s">
        <v>198</v>
      </c>
      <c r="AA19" s="62">
        <v>0.21875</v>
      </c>
      <c r="AB19" s="59" t="s">
        <v>196</v>
      </c>
      <c r="AC19" s="62">
        <v>0.14492753623188406</v>
      </c>
      <c r="AD19" s="59" t="s">
        <v>198</v>
      </c>
      <c r="AE19" s="62">
        <v>0.42857142857142855</v>
      </c>
      <c r="AF19" s="59" t="s">
        <v>198</v>
      </c>
      <c r="AG19" s="62">
        <v>0.25</v>
      </c>
      <c r="AH19" s="59" t="s">
        <v>185</v>
      </c>
      <c r="AI19" s="62">
        <v>0.3</v>
      </c>
      <c r="AJ19" s="59" t="s">
        <v>198</v>
      </c>
      <c r="AK19" s="66">
        <v>55200</v>
      </c>
    </row>
    <row r="20" spans="1:37" x14ac:dyDescent="0.45">
      <c r="A20" s="56">
        <v>18</v>
      </c>
      <c r="B20" s="59" t="s">
        <v>184</v>
      </c>
      <c r="C20" s="123">
        <v>4</v>
      </c>
      <c r="D20" s="57" t="s">
        <v>197</v>
      </c>
      <c r="E20" s="58">
        <v>-1181.9000000000001</v>
      </c>
      <c r="F20" s="59" t="s">
        <v>201</v>
      </c>
      <c r="G20" s="71">
        <v>-16.160000000000004</v>
      </c>
      <c r="H20" s="59" t="s">
        <v>201</v>
      </c>
      <c r="I20" s="71">
        <v>-8.9666666666666668</v>
      </c>
      <c r="J20" s="59" t="s">
        <v>198</v>
      </c>
      <c r="K20" s="60">
        <v>2.25</v>
      </c>
      <c r="L20" s="59" t="s">
        <v>197</v>
      </c>
      <c r="M20" s="61">
        <v>0.14583333333333334</v>
      </c>
      <c r="N20" s="59" t="s">
        <v>202</v>
      </c>
      <c r="O20" s="61">
        <v>0.5</v>
      </c>
      <c r="P20" s="59" t="s">
        <v>201</v>
      </c>
      <c r="Q20" s="62">
        <v>0.2</v>
      </c>
      <c r="R20" s="59" t="s">
        <v>185</v>
      </c>
      <c r="S20" s="62">
        <v>0.21621621621621623</v>
      </c>
      <c r="T20" s="59" t="s">
        <v>188</v>
      </c>
      <c r="U20" s="63">
        <v>7459.2783505154639</v>
      </c>
      <c r="V20" s="59" t="s">
        <v>198</v>
      </c>
      <c r="W20" s="63">
        <v>-11280</v>
      </c>
      <c r="X20" s="59" t="s">
        <v>198</v>
      </c>
      <c r="Y20" s="61">
        <v>0.25</v>
      </c>
      <c r="Z20" s="59" t="s">
        <v>197</v>
      </c>
      <c r="AA20" s="62">
        <v>0.21212121212121213</v>
      </c>
      <c r="AB20" s="59" t="s">
        <v>189</v>
      </c>
      <c r="AC20" s="62">
        <v>0.10810810810810811</v>
      </c>
      <c r="AD20" s="59" t="s">
        <v>201</v>
      </c>
      <c r="AE20" s="62">
        <v>0.4</v>
      </c>
      <c r="AF20" s="59" t="s">
        <v>185</v>
      </c>
      <c r="AG20" s="62">
        <v>0.2</v>
      </c>
      <c r="AH20" s="59" t="s">
        <v>198</v>
      </c>
      <c r="AI20" s="62">
        <v>0.3</v>
      </c>
      <c r="AJ20" s="59" t="s">
        <v>201</v>
      </c>
      <c r="AK20" s="66">
        <v>52000</v>
      </c>
    </row>
    <row r="21" spans="1:37" x14ac:dyDescent="0.45">
      <c r="A21" s="56">
        <v>19</v>
      </c>
      <c r="B21" s="59" t="s">
        <v>198</v>
      </c>
      <c r="C21" s="123">
        <v>4</v>
      </c>
      <c r="D21" s="57" t="s">
        <v>188</v>
      </c>
      <c r="E21" s="58">
        <v>-1455.0000000000002</v>
      </c>
      <c r="F21" s="59" t="s">
        <v>185</v>
      </c>
      <c r="G21" s="71">
        <v>-17.28</v>
      </c>
      <c r="H21" s="59" t="s">
        <v>185</v>
      </c>
      <c r="I21" s="71">
        <v>-10.6</v>
      </c>
      <c r="J21" s="59" t="s">
        <v>197</v>
      </c>
      <c r="K21" s="60">
        <v>2.28125</v>
      </c>
      <c r="L21" s="59" t="s">
        <v>184</v>
      </c>
      <c r="M21" s="61">
        <v>0</v>
      </c>
      <c r="N21" s="59" t="s">
        <v>198</v>
      </c>
      <c r="O21" s="61">
        <v>0.5</v>
      </c>
      <c r="P21" s="59" t="s">
        <v>200</v>
      </c>
      <c r="Q21" s="62">
        <v>0.15384615384615385</v>
      </c>
      <c r="R21" s="59" t="s">
        <v>202</v>
      </c>
      <c r="S21" s="62">
        <v>0.24358974358974358</v>
      </c>
      <c r="T21" s="59" t="s">
        <v>185</v>
      </c>
      <c r="U21" s="63">
        <v>7100</v>
      </c>
      <c r="V21" s="59" t="s">
        <v>200</v>
      </c>
      <c r="W21" s="63">
        <v>-12000</v>
      </c>
      <c r="X21" s="59" t="s">
        <v>185</v>
      </c>
      <c r="Y21" s="61">
        <v>0.4</v>
      </c>
      <c r="Z21" s="59" t="s">
        <v>188</v>
      </c>
      <c r="AA21" s="62">
        <v>0.19513201320132012</v>
      </c>
      <c r="AB21" s="59" t="s">
        <v>200</v>
      </c>
      <c r="AC21" s="62">
        <v>7.6923076923076927E-2</v>
      </c>
      <c r="AD21" s="59" t="s">
        <v>200</v>
      </c>
      <c r="AE21" s="62">
        <v>0.33333333333333331</v>
      </c>
      <c r="AF21" s="59" t="s">
        <v>184</v>
      </c>
      <c r="AG21" s="62">
        <v>0</v>
      </c>
      <c r="AH21" s="59" t="s">
        <v>196</v>
      </c>
      <c r="AI21" s="62">
        <v>0.29166666666666669</v>
      </c>
      <c r="AJ21" s="59" t="s">
        <v>200</v>
      </c>
      <c r="AK21" s="66">
        <v>48300</v>
      </c>
    </row>
    <row r="22" spans="1:37" x14ac:dyDescent="0.45">
      <c r="A22" s="56">
        <v>20</v>
      </c>
      <c r="B22" s="59" t="s">
        <v>200</v>
      </c>
      <c r="C22" s="123">
        <v>1</v>
      </c>
      <c r="D22" s="57" t="s">
        <v>190</v>
      </c>
      <c r="E22" s="58">
        <v>-2130.5</v>
      </c>
      <c r="F22" s="59" t="s">
        <v>184</v>
      </c>
      <c r="G22" s="71">
        <v>-33.024999999999999</v>
      </c>
      <c r="H22" s="59" t="s">
        <v>184</v>
      </c>
      <c r="I22" s="71">
        <v>-11.008333333333333</v>
      </c>
      <c r="J22" s="59" t="s">
        <v>184</v>
      </c>
      <c r="K22" s="60">
        <v>3</v>
      </c>
      <c r="L22" s="59" t="s">
        <v>200</v>
      </c>
      <c r="M22" s="61">
        <v>0</v>
      </c>
      <c r="N22" s="59" t="s">
        <v>184</v>
      </c>
      <c r="O22" s="61">
        <v>1</v>
      </c>
      <c r="P22" s="59" t="s">
        <v>184</v>
      </c>
      <c r="Q22" s="62">
        <v>0.04</v>
      </c>
      <c r="R22" s="59" t="s">
        <v>184</v>
      </c>
      <c r="S22" s="62">
        <v>0.4</v>
      </c>
      <c r="T22" s="59" t="s">
        <v>198</v>
      </c>
      <c r="U22" s="63">
        <v>4940</v>
      </c>
      <c r="V22" s="59" t="s">
        <v>185</v>
      </c>
      <c r="W22" s="63">
        <v>-12487.5</v>
      </c>
      <c r="X22" s="59" t="s">
        <v>184</v>
      </c>
      <c r="Y22" s="61">
        <v>0.5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184</v>
      </c>
      <c r="AE22" s="62">
        <v>0</v>
      </c>
      <c r="AF22" s="59" t="s">
        <v>200</v>
      </c>
      <c r="AG22" s="62">
        <v>0</v>
      </c>
      <c r="AH22" s="59" t="s">
        <v>201</v>
      </c>
      <c r="AI22" s="62">
        <v>0.25</v>
      </c>
      <c r="AJ22" s="59" t="s">
        <v>184</v>
      </c>
      <c r="AK22" s="66">
        <v>13000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0C66E-9182-4635-8C6C-90626A7B840C}">
  <sheetPr codeName="Sheet3"/>
  <dimension ref="A1:Q336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183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3360</v>
      </c>
      <c r="C2" s="132"/>
      <c r="E2" s="43" t="s">
        <v>66</v>
      </c>
      <c r="F2" s="25" t="s">
        <v>22</v>
      </c>
      <c r="G2" s="13">
        <v>5588</v>
      </c>
      <c r="H2" s="106">
        <f>IF(B$51=0,0,G2/B$51)</f>
        <v>0.73141361256544501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-20.402040204020402</v>
      </c>
      <c r="P2" s="92">
        <v>3333</v>
      </c>
      <c r="Q2" s="76">
        <v>-68000</v>
      </c>
    </row>
    <row r="3" spans="1:17" x14ac:dyDescent="0.45">
      <c r="A3" s="37" t="s">
        <v>8</v>
      </c>
      <c r="B3" s="143">
        <v>27234</v>
      </c>
      <c r="C3" s="144"/>
      <c r="E3" s="44" t="s">
        <v>72</v>
      </c>
      <c r="F3" s="41" t="s">
        <v>27</v>
      </c>
      <c r="G3" s="34">
        <v>4130</v>
      </c>
      <c r="H3" s="107">
        <f>IF(B$51=0,0,G3/B$51)</f>
        <v>0.54057591623036649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-0.61387354205033762</v>
      </c>
      <c r="P3" s="93">
        <v>3258</v>
      </c>
      <c r="Q3" s="77">
        <v>-2000</v>
      </c>
    </row>
    <row r="4" spans="1:17" x14ac:dyDescent="0.45">
      <c r="A4" s="37" t="s">
        <v>6</v>
      </c>
      <c r="B4" s="145">
        <v>-2.6645352591003757E-14</v>
      </c>
      <c r="C4" s="146"/>
      <c r="E4" s="44" t="s">
        <v>64</v>
      </c>
      <c r="F4" s="41" t="s">
        <v>20</v>
      </c>
      <c r="G4" s="34">
        <v>3697</v>
      </c>
      <c r="H4" s="107">
        <f>IF(B$51=0,0,G4/B$51)</f>
        <v>0.48390052356020941</v>
      </c>
      <c r="I4" s="68">
        <v>12</v>
      </c>
      <c r="K4" s="5">
        <v>2</v>
      </c>
      <c r="L4" s="73">
        <v>-7</v>
      </c>
      <c r="N4" s="89" t="s">
        <v>128</v>
      </c>
      <c r="O4" s="96">
        <f t="shared" si="0"/>
        <v>4.9019607843137258</v>
      </c>
      <c r="P4" s="93">
        <v>3060</v>
      </c>
      <c r="Q4" s="77">
        <v>15000</v>
      </c>
    </row>
    <row r="5" spans="1:17" x14ac:dyDescent="0.45">
      <c r="A5" s="37" t="s">
        <v>7</v>
      </c>
      <c r="B5" s="139">
        <f>IF(B$2=0,0,B$4/B$2)</f>
        <v>-7.9301644616082606E-18</v>
      </c>
      <c r="C5" s="140"/>
      <c r="E5" s="44" t="s">
        <v>157</v>
      </c>
      <c r="F5" s="41" t="s">
        <v>158</v>
      </c>
      <c r="G5" s="34">
        <v>2404</v>
      </c>
      <c r="H5" s="107">
        <f>IF(B$51=0,0,G5/B$51)</f>
        <v>0.31465968586387433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3.9173789173789175</v>
      </c>
      <c r="P5" s="93">
        <v>2808</v>
      </c>
      <c r="Q5" s="77">
        <v>11000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68</v>
      </c>
      <c r="F6" s="41" t="s">
        <v>12</v>
      </c>
      <c r="G6" s="34">
        <v>2377</v>
      </c>
      <c r="H6" s="107">
        <f>IF(B$51=0,0,G6/B$51)</f>
        <v>0.3111256544502618</v>
      </c>
      <c r="I6" s="68">
        <v>9</v>
      </c>
      <c r="K6" s="5">
        <v>4</v>
      </c>
      <c r="L6" s="73">
        <v>-1</v>
      </c>
      <c r="N6" s="89" t="s">
        <v>130</v>
      </c>
      <c r="O6" s="96">
        <f t="shared" si="0"/>
        <v>-3.9494470774091628</v>
      </c>
      <c r="P6" s="93">
        <v>2532</v>
      </c>
      <c r="Q6" s="77">
        <v>-10000</v>
      </c>
    </row>
    <row r="7" spans="1:17" x14ac:dyDescent="0.45">
      <c r="A7" s="37" t="s">
        <v>2</v>
      </c>
      <c r="B7" s="34">
        <v>1120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2169</v>
      </c>
      <c r="H7" s="107">
        <f>IF(B$51=0,0,G7/B$51)</f>
        <v>0.28390052356020945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24.656235182550972</v>
      </c>
      <c r="P7" s="94">
        <v>2109</v>
      </c>
      <c r="Q7" s="78">
        <v>52000</v>
      </c>
    </row>
    <row r="8" spans="1:17" x14ac:dyDescent="0.45">
      <c r="A8" s="37" t="s">
        <v>3</v>
      </c>
      <c r="B8" s="34">
        <v>1120</v>
      </c>
      <c r="C8" s="31">
        <f t="shared" si="1"/>
        <v>0.33333333333333331</v>
      </c>
      <c r="E8" s="44" t="s">
        <v>69</v>
      </c>
      <c r="F8" s="41" t="s">
        <v>24</v>
      </c>
      <c r="G8" s="34">
        <v>1140</v>
      </c>
      <c r="H8" s="107">
        <f>IF(B$51=0,0,G8/B$51)</f>
        <v>0.14921465968586387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1120</v>
      </c>
      <c r="C9" s="7">
        <f t="shared" si="1"/>
        <v>0.33333333333333331</v>
      </c>
      <c r="E9" s="44" t="s">
        <v>89</v>
      </c>
      <c r="F9" s="41" t="s">
        <v>44</v>
      </c>
      <c r="G9" s="34">
        <v>1070</v>
      </c>
      <c r="H9" s="107">
        <f>IF(B$51=0,0,G9/B$51)</f>
        <v>0.1400523560209424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37.933303571428581</v>
      </c>
      <c r="C10" s="121">
        <v>42485.30000000001</v>
      </c>
      <c r="E10" s="44" t="s">
        <v>65</v>
      </c>
      <c r="F10" s="41" t="s">
        <v>21</v>
      </c>
      <c r="G10" s="34">
        <v>828</v>
      </c>
      <c r="H10" s="107">
        <f>IF(B$51=0,0,G10/B$51)</f>
        <v>0.10837696335078534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-3.525872873769023</v>
      </c>
      <c r="P10" s="92">
        <v>1117</v>
      </c>
      <c r="Q10" s="80">
        <v>-3938.3999999999987</v>
      </c>
    </row>
    <row r="11" spans="1:17" x14ac:dyDescent="0.45">
      <c r="A11" s="38" t="s">
        <v>204</v>
      </c>
      <c r="B11" s="120">
        <f>IF(B8=0,0,C11/B8)</f>
        <v>-1.0202678571428565</v>
      </c>
      <c r="C11" s="121">
        <v>-1142.6999999999994</v>
      </c>
      <c r="E11" s="44" t="s">
        <v>70</v>
      </c>
      <c r="F11" s="41" t="s">
        <v>25</v>
      </c>
      <c r="G11" s="34">
        <v>737</v>
      </c>
      <c r="H11" s="107">
        <f>IF(B$51=0,0,G11/B$51)</f>
        <v>9.6465968586387438E-2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1.3017009847806624</v>
      </c>
      <c r="P11" s="93">
        <v>1117</v>
      </c>
      <c r="Q11" s="81">
        <v>1454</v>
      </c>
    </row>
    <row r="12" spans="1:17" x14ac:dyDescent="0.45">
      <c r="A12" s="38" t="s">
        <v>205</v>
      </c>
      <c r="B12" s="120">
        <f>IF(B9=0,0,C12/B9)</f>
        <v>-36.913035714285719</v>
      </c>
      <c r="C12" s="121">
        <v>-41342.600000000006</v>
      </c>
      <c r="E12" s="44" t="s">
        <v>71</v>
      </c>
      <c r="F12" s="41" t="s">
        <v>26</v>
      </c>
      <c r="G12" s="34">
        <v>519</v>
      </c>
      <c r="H12" s="107">
        <f>IF(B$51=0,0,G12/B$51)</f>
        <v>6.7931937172774876E-2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2.2241718889883613</v>
      </c>
      <c r="P12" s="94">
        <v>1117</v>
      </c>
      <c r="Q12" s="82">
        <v>2484.3999999999996</v>
      </c>
    </row>
    <row r="13" spans="1:17" x14ac:dyDescent="0.45">
      <c r="A13" s="38" t="s">
        <v>206</v>
      </c>
      <c r="B13" s="139">
        <f>AVERAGE(B10:B12)</f>
        <v>0</v>
      </c>
      <c r="C13" s="140"/>
      <c r="E13" s="44" t="s">
        <v>86</v>
      </c>
      <c r="F13" s="41" t="s">
        <v>41</v>
      </c>
      <c r="G13" s="34">
        <v>432</v>
      </c>
      <c r="H13" s="107">
        <f>IF(B$51=0,0,G13/B$51)</f>
        <v>5.654450261780105E-2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406</v>
      </c>
      <c r="C14" s="32">
        <f t="shared" si="1"/>
        <v>0.12083333333333333</v>
      </c>
      <c r="E14" s="44" t="s">
        <v>83</v>
      </c>
      <c r="F14" s="41" t="s">
        <v>38</v>
      </c>
      <c r="G14" s="34">
        <v>366</v>
      </c>
      <c r="H14" s="107">
        <f>IF(B$51=0,0,G14/B$51)</f>
        <v>4.7905759162303663E-2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6754</v>
      </c>
      <c r="C15" s="11">
        <f>IF(B$50=0,0,B15/B$50)</f>
        <v>0.26160043380587189</v>
      </c>
      <c r="E15" s="44" t="s">
        <v>78</v>
      </c>
      <c r="F15" s="41" t="s">
        <v>33</v>
      </c>
      <c r="G15" s="34">
        <v>214</v>
      </c>
      <c r="H15" s="107">
        <f>IF(B$51=0,0,G15/B$51)</f>
        <v>2.8010471204188481E-2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5713</v>
      </c>
      <c r="C16" s="31">
        <f>IF(B$50=0,0,B16/B$50)</f>
        <v>0.22127972732202339</v>
      </c>
      <c r="E16" s="44" t="s">
        <v>81</v>
      </c>
      <c r="F16" s="41" t="s">
        <v>36</v>
      </c>
      <c r="G16" s="34">
        <v>195</v>
      </c>
      <c r="H16" s="107">
        <f>IF(B$51=0,0,G16/B$51)</f>
        <v>2.5523560209424083E-2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19" t="s">
        <v>123</v>
      </c>
      <c r="B17" s="13">
        <v>3826</v>
      </c>
      <c r="C17" s="4">
        <f>IF(B$15=0,0,B17/B$15)</f>
        <v>0.56647912348238083</v>
      </c>
      <c r="E17" s="44" t="s">
        <v>91</v>
      </c>
      <c r="F17" s="41" t="s">
        <v>46</v>
      </c>
      <c r="G17" s="34">
        <v>142</v>
      </c>
      <c r="H17" s="107">
        <f>IF(B$51=0,0,G17/B$51)</f>
        <v>1.8586387434554975E-2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19" t="s">
        <v>124</v>
      </c>
      <c r="B18" s="13">
        <v>2327</v>
      </c>
      <c r="C18" s="4">
        <f>IF(B$16=0,0,B18/B$16)</f>
        <v>0.4073166462454052</v>
      </c>
      <c r="E18" s="44" t="s">
        <v>79</v>
      </c>
      <c r="F18" s="41" t="s">
        <v>34</v>
      </c>
      <c r="G18" s="34">
        <v>117</v>
      </c>
      <c r="H18" s="107">
        <f>IF(B$51=0,0,G18/B$51)</f>
        <v>1.5314136125654449E-2</v>
      </c>
      <c r="I18" s="68">
        <v>9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19" t="s">
        <v>10</v>
      </c>
      <c r="B19" s="13">
        <v>8074</v>
      </c>
      <c r="C19" s="4">
        <f>IF(B$3=0,0,B19/B$3)</f>
        <v>0.29646765073070425</v>
      </c>
      <c r="E19" s="44" t="s">
        <v>153</v>
      </c>
      <c r="F19" s="41" t="s">
        <v>154</v>
      </c>
      <c r="G19" s="34">
        <v>111</v>
      </c>
      <c r="H19" s="107">
        <f>IF(B$51=0,0,G19/B$51)</f>
        <v>1.4528795811518325E-2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18.46718749999998</v>
      </c>
      <c r="P19" s="93">
        <v>192</v>
      </c>
      <c r="Q19" s="81">
        <v>3545.6999999999962</v>
      </c>
    </row>
    <row r="20" spans="1:17" x14ac:dyDescent="0.45">
      <c r="A20" s="37" t="s">
        <v>13</v>
      </c>
      <c r="B20" s="34">
        <v>4472</v>
      </c>
      <c r="C20" s="31">
        <f>IF(B$3=0,0,B20/B$3)</f>
        <v>0.16420650657266653</v>
      </c>
      <c r="E20" s="44" t="s">
        <v>92</v>
      </c>
      <c r="F20" s="41" t="s">
        <v>47</v>
      </c>
      <c r="G20" s="34">
        <v>48</v>
      </c>
      <c r="H20" s="107">
        <f>IF(B$51=0,0,G20/B$51)</f>
        <v>6.2827225130890054E-3</v>
      </c>
      <c r="I20" s="68">
        <v>5</v>
      </c>
      <c r="K20" s="5">
        <v>18</v>
      </c>
      <c r="L20" s="73">
        <v>0</v>
      </c>
      <c r="N20" s="89" t="s">
        <v>186</v>
      </c>
      <c r="O20" s="99">
        <f>IF(P20=0,0,Q20/P20)</f>
        <v>12.905084745762711</v>
      </c>
      <c r="P20" s="93">
        <v>236</v>
      </c>
      <c r="Q20" s="81">
        <v>3045.6</v>
      </c>
    </row>
    <row r="21" spans="1:17" x14ac:dyDescent="0.45">
      <c r="A21" s="37" t="s">
        <v>12</v>
      </c>
      <c r="B21" s="34">
        <v>3540</v>
      </c>
      <c r="C21" s="31">
        <f>IF(B$19=0,0,B21/B$19)</f>
        <v>0.43844438939806785</v>
      </c>
      <c r="E21" s="44" t="s">
        <v>75</v>
      </c>
      <c r="F21" s="41" t="s">
        <v>30</v>
      </c>
      <c r="G21" s="34">
        <v>47</v>
      </c>
      <c r="H21" s="107">
        <f>IF(B$51=0,0,G21/B$51)</f>
        <v>6.1518324607329842E-3</v>
      </c>
      <c r="I21" s="68">
        <v>6</v>
      </c>
      <c r="K21" s="5">
        <v>19</v>
      </c>
      <c r="L21" s="73">
        <v>-6.1</v>
      </c>
      <c r="N21" s="89" t="s">
        <v>189</v>
      </c>
      <c r="O21" s="99">
        <f>IF(P21=0,0,Q21/P21)</f>
        <v>11.677272727272726</v>
      </c>
      <c r="P21" s="93">
        <v>66</v>
      </c>
      <c r="Q21" s="81">
        <v>770.69999999999993</v>
      </c>
    </row>
    <row r="22" spans="1:17" x14ac:dyDescent="0.45">
      <c r="A22" s="37" t="s">
        <v>11</v>
      </c>
      <c r="B22" s="34">
        <v>4534</v>
      </c>
      <c r="C22" s="31">
        <f>IF(B$19=0,0,B22/B$19)</f>
        <v>0.56155561060193215</v>
      </c>
      <c r="E22" s="44" t="s">
        <v>73</v>
      </c>
      <c r="F22" s="41" t="s">
        <v>28</v>
      </c>
      <c r="G22" s="34">
        <v>41</v>
      </c>
      <c r="H22" s="107">
        <f>IF(B$51=0,0,G22/B$51)</f>
        <v>5.3664921465968584E-3</v>
      </c>
      <c r="I22" s="68">
        <v>8</v>
      </c>
      <c r="K22" s="5">
        <v>20</v>
      </c>
      <c r="L22" s="73">
        <v>4.9000000000000004</v>
      </c>
      <c r="N22" s="89" t="s">
        <v>190</v>
      </c>
      <c r="O22" s="99">
        <f>IF(P22=0,0,Q22/P22)</f>
        <v>6.9928884026258196</v>
      </c>
      <c r="P22" s="93">
        <v>914</v>
      </c>
      <c r="Q22" s="81">
        <v>6391.4999999999991</v>
      </c>
    </row>
    <row r="23" spans="1:17" x14ac:dyDescent="0.45">
      <c r="A23" s="37" t="s">
        <v>180</v>
      </c>
      <c r="B23" s="34">
        <v>3826</v>
      </c>
      <c r="C23" s="31">
        <f>IF(B$19=0,0,B23/B$19)</f>
        <v>0.47386673272231855</v>
      </c>
      <c r="E23" s="44" t="s">
        <v>77</v>
      </c>
      <c r="F23" s="41" t="s">
        <v>32</v>
      </c>
      <c r="G23" s="34">
        <v>41</v>
      </c>
      <c r="H23" s="107">
        <f>IF(B$51=0,0,G23/B$51)</f>
        <v>5.3664921465968584E-3</v>
      </c>
      <c r="I23" s="68">
        <v>7</v>
      </c>
      <c r="K23" s="5">
        <v>21</v>
      </c>
      <c r="L23" s="73">
        <v>0</v>
      </c>
      <c r="N23" s="89" t="s">
        <v>188</v>
      </c>
      <c r="O23" s="99">
        <f>IF(P23=0,0,Q23/P23)</f>
        <v>6.7137770897832798</v>
      </c>
      <c r="P23" s="93">
        <v>646</v>
      </c>
      <c r="Q23" s="81">
        <v>4337.0999999999985</v>
      </c>
    </row>
    <row r="24" spans="1:17" x14ac:dyDescent="0.45">
      <c r="A24" s="37" t="s">
        <v>178</v>
      </c>
      <c r="B24" s="34">
        <v>2327</v>
      </c>
      <c r="C24" s="31">
        <f>IF(B$19=0,0,B24/B$19)</f>
        <v>0.28820906613822145</v>
      </c>
      <c r="E24" s="44" t="s">
        <v>85</v>
      </c>
      <c r="F24" s="41" t="s">
        <v>40</v>
      </c>
      <c r="G24" s="34">
        <v>38</v>
      </c>
      <c r="H24" s="107">
        <f>IF(B$51=0,0,G24/B$51)</f>
        <v>4.9738219895287955E-3</v>
      </c>
      <c r="I24" s="68">
        <v>4</v>
      </c>
      <c r="K24" s="5">
        <v>22</v>
      </c>
      <c r="L24" s="73">
        <v>-36</v>
      </c>
      <c r="N24" s="89" t="s">
        <v>193</v>
      </c>
      <c r="O24" s="99">
        <f>IF(P24=0,0,Q24/P24)</f>
        <v>3.1539399624765552</v>
      </c>
      <c r="P24" s="93">
        <v>1066</v>
      </c>
      <c r="Q24" s="81">
        <v>3362.1000000000076</v>
      </c>
    </row>
    <row r="25" spans="1:17" x14ac:dyDescent="0.45">
      <c r="A25" s="37" t="s">
        <v>179</v>
      </c>
      <c r="B25" s="34">
        <v>1921</v>
      </c>
      <c r="C25" s="31">
        <f>IF(B$19=0,0,B25/B$19)</f>
        <v>0.23792420113946</v>
      </c>
      <c r="E25" s="44" t="s">
        <v>74</v>
      </c>
      <c r="F25" s="41" t="s">
        <v>29</v>
      </c>
      <c r="G25" s="34">
        <v>25</v>
      </c>
      <c r="H25" s="107">
        <f>IF(B$51=0,0,G25/B$51)</f>
        <v>3.2722513089005235E-3</v>
      </c>
      <c r="I25" s="68">
        <v>6</v>
      </c>
      <c r="K25" s="5">
        <v>23</v>
      </c>
      <c r="L25" s="73">
        <v>-3</v>
      </c>
      <c r="N25" s="89" t="s">
        <v>187</v>
      </c>
      <c r="O25" s="99">
        <f>IF(P25=0,0,Q25/P25)</f>
        <v>2.0204000000000009</v>
      </c>
      <c r="P25" s="93">
        <v>750</v>
      </c>
      <c r="Q25" s="81">
        <v>1515.3000000000006</v>
      </c>
    </row>
    <row r="26" spans="1:17" x14ac:dyDescent="0.45">
      <c r="A26" s="37" t="s">
        <v>5</v>
      </c>
      <c r="B26" s="17">
        <f>IF(B$19=0,0,C26/B$19)</f>
        <v>8934.481050284865</v>
      </c>
      <c r="C26" s="8">
        <v>72137000</v>
      </c>
      <c r="E26" s="44" t="s">
        <v>84</v>
      </c>
      <c r="F26" s="41" t="s">
        <v>39</v>
      </c>
      <c r="G26" s="34">
        <v>19</v>
      </c>
      <c r="H26" s="107">
        <f>IF(B$51=0,0,G26/B$51)</f>
        <v>2.4869109947643978E-3</v>
      </c>
      <c r="I26" s="68">
        <v>5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8" t="s">
        <v>162</v>
      </c>
      <c r="B27" s="114">
        <f>IF($B$19-B$18=0,0,C27/($B$19-B$18))</f>
        <v>9530.8682791021401</v>
      </c>
      <c r="C27" s="115">
        <v>54773900</v>
      </c>
      <c r="E27" s="44" t="s">
        <v>93</v>
      </c>
      <c r="F27" s="41" t="s">
        <v>48</v>
      </c>
      <c r="G27" s="34">
        <v>19</v>
      </c>
      <c r="H27" s="107">
        <f>IF(B$51=0,0,G27/B$51)</f>
        <v>2.4869109947643978E-3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38" t="s">
        <v>163</v>
      </c>
      <c r="B28" s="114">
        <f>IF(B$18=0,0,C28/B$18)</f>
        <v>7461.5814353244523</v>
      </c>
      <c r="C28" s="115">
        <v>17363100</v>
      </c>
      <c r="E28" s="44" t="s">
        <v>87</v>
      </c>
      <c r="F28" s="41" t="s">
        <v>42</v>
      </c>
      <c r="G28" s="34">
        <v>18</v>
      </c>
      <c r="H28" s="107">
        <f>IF(B$51=0,0,G28/B$51)</f>
        <v>2.3560209424083769E-3</v>
      </c>
      <c r="I28" s="68">
        <v>6</v>
      </c>
      <c r="K28" s="5">
        <v>26</v>
      </c>
      <c r="L28" s="73">
        <v>11.5</v>
      </c>
      <c r="N28" s="89" t="s">
        <v>191</v>
      </c>
      <c r="O28" s="99">
        <f>IF(P28=0,0,Q28/P28)</f>
        <v>-1.5433695652173913</v>
      </c>
      <c r="P28" s="93">
        <v>920</v>
      </c>
      <c r="Q28" s="81">
        <v>-1419.9</v>
      </c>
    </row>
    <row r="29" spans="1:17" x14ac:dyDescent="0.45">
      <c r="A29" s="38" t="s">
        <v>161</v>
      </c>
      <c r="B29" s="114">
        <f>IF(B$20=0,0,C29/B$20)</f>
        <v>-8343.0008944543824</v>
      </c>
      <c r="C29" s="115">
        <v>-37309900</v>
      </c>
      <c r="E29" s="44" t="s">
        <v>88</v>
      </c>
      <c r="F29" s="41" t="s">
        <v>43</v>
      </c>
      <c r="G29" s="34">
        <v>13</v>
      </c>
      <c r="H29" s="107">
        <f>IF(B$51=0,0,G29/B$51)</f>
        <v>1.7015706806282722E-3</v>
      </c>
      <c r="I29" s="68">
        <v>5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7" t="s">
        <v>155</v>
      </c>
      <c r="B30" s="34">
        <v>9</v>
      </c>
      <c r="C30" s="109">
        <v>0</v>
      </c>
      <c r="E30" s="44" t="s">
        <v>90</v>
      </c>
      <c r="F30" s="41" t="s">
        <v>45</v>
      </c>
      <c r="G30" s="34">
        <v>13</v>
      </c>
      <c r="H30" s="107">
        <f>IF(B$51=0,0,G30/B$51)</f>
        <v>1.7015706806282722E-3</v>
      </c>
      <c r="I30" s="68">
        <v>4</v>
      </c>
      <c r="K30" s="5">
        <v>28</v>
      </c>
      <c r="L30" s="73">
        <v>-31.5</v>
      </c>
      <c r="N30" s="89" t="s">
        <v>195</v>
      </c>
      <c r="O30" s="99">
        <f>IF(P30=0,0,Q30/P30)</f>
        <v>-14.153530166880614</v>
      </c>
      <c r="P30" s="93">
        <v>1558</v>
      </c>
      <c r="Q30" s="81">
        <v>-22051.199999999997</v>
      </c>
    </row>
    <row r="31" spans="1:17" x14ac:dyDescent="0.45">
      <c r="A31" s="37" t="s">
        <v>156</v>
      </c>
      <c r="B31" s="34">
        <v>38</v>
      </c>
      <c r="C31" s="109">
        <v>0</v>
      </c>
      <c r="E31" s="44" t="s">
        <v>95</v>
      </c>
      <c r="F31" s="41" t="s">
        <v>50</v>
      </c>
      <c r="G31" s="34">
        <v>9</v>
      </c>
      <c r="H31" s="107">
        <f>IF(B$51=0,0,G31/B$51)</f>
        <v>1.1780104712041885E-3</v>
      </c>
      <c r="I31" s="68">
        <v>3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134</v>
      </c>
      <c r="B32" s="135">
        <v>10</v>
      </c>
      <c r="C32" s="136"/>
      <c r="E32" s="44" t="s">
        <v>106</v>
      </c>
      <c r="F32" s="41" t="s">
        <v>113</v>
      </c>
      <c r="G32" s="34">
        <v>4</v>
      </c>
      <c r="H32" s="107">
        <f>IF(B$51=0,0,G32/B$51)</f>
        <v>5.2356020942408382E-4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40" t="s">
        <v>177</v>
      </c>
      <c r="B33" s="133">
        <v>149100</v>
      </c>
      <c r="C33" s="134"/>
      <c r="E33" s="44" t="s">
        <v>97</v>
      </c>
      <c r="F33" s="41" t="s">
        <v>52</v>
      </c>
      <c r="G33" s="34">
        <v>3</v>
      </c>
      <c r="H33" s="107">
        <f>IF(B$51=0,0,G33/B$51)</f>
        <v>3.9267015706806284E-4</v>
      </c>
      <c r="I33" s="68">
        <v>3</v>
      </c>
      <c r="K33" s="5">
        <v>31</v>
      </c>
      <c r="L33" s="73">
        <v>18.3</v>
      </c>
    </row>
    <row r="34" spans="1:12" x14ac:dyDescent="0.45">
      <c r="A34" s="39" t="s">
        <v>135</v>
      </c>
      <c r="B34" s="27">
        <v>75</v>
      </c>
      <c r="C34" s="32">
        <f>IF(B$3=0,0,B34/B$3)</f>
        <v>2.7539105529852392E-3</v>
      </c>
      <c r="E34" s="44" t="s">
        <v>101</v>
      </c>
      <c r="F34" s="41" t="s">
        <v>56</v>
      </c>
      <c r="G34" s="34">
        <v>2</v>
      </c>
      <c r="H34" s="107">
        <f>IF(B$51=0,0,G34/B$51)</f>
        <v>2.6178010471204191E-4</v>
      </c>
      <c r="I34" s="68">
        <v>2</v>
      </c>
      <c r="K34" s="5">
        <v>32</v>
      </c>
      <c r="L34" s="73">
        <v>8.6000000000000014</v>
      </c>
    </row>
    <row r="35" spans="1:12" x14ac:dyDescent="0.45">
      <c r="E35" s="44" t="s">
        <v>76</v>
      </c>
      <c r="F35" s="41" t="s">
        <v>31</v>
      </c>
      <c r="G35" s="34">
        <v>1</v>
      </c>
      <c r="H35" s="107">
        <f>IF(B$51=0,0,G35/B$51)</f>
        <v>1.3089005235602096E-4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64" t="s">
        <v>168</v>
      </c>
      <c r="B36" s="126">
        <v>537</v>
      </c>
      <c r="C36" s="119">
        <f>IF(B$19=0,0,B36/B$19)</f>
        <v>6.6509784493435725E-2</v>
      </c>
      <c r="E36" s="44" t="s">
        <v>80</v>
      </c>
      <c r="F36" s="41" t="s">
        <v>35</v>
      </c>
      <c r="G36" s="34">
        <v>1</v>
      </c>
      <c r="H36" s="107">
        <f>IF(B$51=0,0,G36/B$51)</f>
        <v>1.3089005235602096E-4</v>
      </c>
      <c r="I36" s="68">
        <v>2</v>
      </c>
      <c r="K36" s="5">
        <v>34</v>
      </c>
      <c r="L36" s="73">
        <v>12.800000000000002</v>
      </c>
    </row>
    <row r="37" spans="1:12" x14ac:dyDescent="0.45">
      <c r="A37" s="37" t="s">
        <v>164</v>
      </c>
      <c r="B37" s="34">
        <v>1186</v>
      </c>
      <c r="C37" s="31">
        <f t="shared" ref="C37:C48" si="2">IF(B$19=0,0,B37/B$19)</f>
        <v>0.1468912558830815</v>
      </c>
      <c r="E37" s="44" t="s">
        <v>102</v>
      </c>
      <c r="F37" s="41" t="s">
        <v>57</v>
      </c>
      <c r="G37" s="34">
        <v>1</v>
      </c>
      <c r="H37" s="107">
        <f>IF(B$51=0,0,G37/B$51)</f>
        <v>1.3089005235602096E-4</v>
      </c>
      <c r="I37" s="68">
        <v>2</v>
      </c>
      <c r="K37" s="5">
        <v>35</v>
      </c>
      <c r="L37" s="73">
        <v>36.400000000000006</v>
      </c>
    </row>
    <row r="38" spans="1:12" x14ac:dyDescent="0.45">
      <c r="A38" s="37" t="s">
        <v>165</v>
      </c>
      <c r="B38" s="127">
        <v>1445</v>
      </c>
      <c r="C38" s="31">
        <f>IF(B$19=0,0,B38/B$19)</f>
        <v>0.17896953183056724</v>
      </c>
      <c r="E38" s="44" t="s">
        <v>82</v>
      </c>
      <c r="F38" s="41" t="s">
        <v>37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166</v>
      </c>
      <c r="B39" s="127">
        <v>1431</v>
      </c>
      <c r="C39" s="31">
        <f t="shared" si="2"/>
        <v>0.17723557096854101</v>
      </c>
      <c r="E39" s="44" t="s">
        <v>94</v>
      </c>
      <c r="F39" s="41" t="s">
        <v>49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167</v>
      </c>
      <c r="B40" s="127">
        <v>1186</v>
      </c>
      <c r="C40" s="31">
        <f t="shared" si="2"/>
        <v>0.1468912558830815</v>
      </c>
      <c r="E40" s="44" t="s">
        <v>96</v>
      </c>
      <c r="F40" s="41" t="s">
        <v>51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169</v>
      </c>
      <c r="B41" s="127">
        <v>772</v>
      </c>
      <c r="C41" s="31">
        <f t="shared" si="2"/>
        <v>9.5615556106019323E-2</v>
      </c>
      <c r="E41" s="44" t="s">
        <v>98</v>
      </c>
      <c r="F41" s="41" t="s">
        <v>53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170</v>
      </c>
      <c r="B42" s="127">
        <v>458</v>
      </c>
      <c r="C42" s="31">
        <f t="shared" si="2"/>
        <v>5.6725291057716128E-2</v>
      </c>
      <c r="E42" s="44" t="s">
        <v>99</v>
      </c>
      <c r="F42" s="41" t="s">
        <v>54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171</v>
      </c>
      <c r="B43" s="127">
        <v>249</v>
      </c>
      <c r="C43" s="31">
        <f t="shared" si="2"/>
        <v>3.083973247460986E-2</v>
      </c>
      <c r="E43" s="44" t="s">
        <v>100</v>
      </c>
      <c r="F43" s="41" t="s">
        <v>55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7" t="s">
        <v>172</v>
      </c>
      <c r="B44" s="127">
        <v>144</v>
      </c>
      <c r="C44" s="31">
        <f t="shared" si="2"/>
        <v>1.7835026009412929E-2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A45" s="37" t="s">
        <v>173</v>
      </c>
      <c r="B45" s="127">
        <v>71</v>
      </c>
      <c r="C45" s="31">
        <f t="shared" si="2"/>
        <v>8.7936586574188756E-3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37" t="s">
        <v>174</v>
      </c>
      <c r="B46" s="127">
        <v>40</v>
      </c>
      <c r="C46" s="31">
        <f t="shared" si="2"/>
        <v>4.9541738915035915E-3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7" t="s">
        <v>175</v>
      </c>
      <c r="B47" s="127">
        <v>17</v>
      </c>
      <c r="C47" s="31">
        <f t="shared" si="2"/>
        <v>2.1055239038890263E-3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A48" s="39" t="s">
        <v>176</v>
      </c>
      <c r="B48" s="128">
        <v>104</v>
      </c>
      <c r="C48" s="32">
        <f t="shared" si="2"/>
        <v>1.2880852117909338E-2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31">
        <v>25818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29">
        <v>7640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  <row r="3033" spans="11:12" x14ac:dyDescent="0.45">
      <c r="K3033" s="5">
        <v>3031</v>
      </c>
      <c r="L3033" s="73">
        <v>-46.399999999999991</v>
      </c>
    </row>
    <row r="3034" spans="11:12" x14ac:dyDescent="0.45">
      <c r="K3034" s="5">
        <v>3032</v>
      </c>
      <c r="L3034" s="73">
        <v>-54.199999999999989</v>
      </c>
    </row>
    <row r="3035" spans="11:12" x14ac:dyDescent="0.45">
      <c r="K3035" s="5">
        <v>3033</v>
      </c>
      <c r="L3035" s="73">
        <v>1.5987211554602254E-14</v>
      </c>
    </row>
    <row r="3036" spans="11:12" x14ac:dyDescent="0.45">
      <c r="K3036" s="5">
        <v>3034</v>
      </c>
      <c r="L3036" s="73">
        <v>-16.499999999999986</v>
      </c>
    </row>
    <row r="3037" spans="11:12" x14ac:dyDescent="0.45">
      <c r="K3037" s="5">
        <v>3035</v>
      </c>
      <c r="L3037" s="73">
        <v>55.800000000000011</v>
      </c>
    </row>
    <row r="3038" spans="11:12" x14ac:dyDescent="0.45">
      <c r="K3038" s="5">
        <v>3036</v>
      </c>
      <c r="L3038" s="73">
        <v>1.5987211554602254E-14</v>
      </c>
    </row>
    <row r="3039" spans="11:12" x14ac:dyDescent="0.45">
      <c r="K3039" s="5">
        <v>3037</v>
      </c>
      <c r="L3039" s="73">
        <v>-70.899999999999991</v>
      </c>
    </row>
    <row r="3040" spans="11:12" x14ac:dyDescent="0.45">
      <c r="K3040" s="5">
        <v>3038</v>
      </c>
      <c r="L3040" s="73">
        <v>-7.9999999999999911</v>
      </c>
    </row>
    <row r="3041" spans="11:12" x14ac:dyDescent="0.45">
      <c r="K3041" s="5">
        <v>3039</v>
      </c>
      <c r="L3041" s="73">
        <v>8.8817841970012523E-15</v>
      </c>
    </row>
    <row r="3042" spans="11:12" x14ac:dyDescent="0.45">
      <c r="K3042" s="5">
        <v>3040</v>
      </c>
      <c r="L3042" s="73">
        <v>33.000000000000007</v>
      </c>
    </row>
    <row r="3043" spans="11:12" x14ac:dyDescent="0.45">
      <c r="K3043" s="5">
        <v>3041</v>
      </c>
      <c r="L3043" s="73">
        <v>7.4000000000000075</v>
      </c>
    </row>
    <row r="3044" spans="11:12" x14ac:dyDescent="0.45">
      <c r="K3044" s="5">
        <v>3042</v>
      </c>
      <c r="L3044" s="73">
        <v>7.1054273576010019E-15</v>
      </c>
    </row>
    <row r="3045" spans="11:12" x14ac:dyDescent="0.45">
      <c r="K3045" s="5">
        <v>3043</v>
      </c>
      <c r="L3045" s="73">
        <v>-56.199999999999996</v>
      </c>
    </row>
    <row r="3046" spans="11:12" x14ac:dyDescent="0.45">
      <c r="K3046" s="5">
        <v>3044</v>
      </c>
      <c r="L3046" s="73">
        <v>-12.399999999999997</v>
      </c>
    </row>
    <row r="3047" spans="11:12" x14ac:dyDescent="0.45">
      <c r="K3047" s="5">
        <v>3045</v>
      </c>
      <c r="L3047" s="73">
        <v>3.5527136788005009E-15</v>
      </c>
    </row>
    <row r="3048" spans="11:12" x14ac:dyDescent="0.45">
      <c r="K3048" s="5">
        <v>3046</v>
      </c>
      <c r="L3048" s="73">
        <v>25.6</v>
      </c>
    </row>
    <row r="3049" spans="11:12" x14ac:dyDescent="0.45">
      <c r="K3049" s="5">
        <v>3047</v>
      </c>
      <c r="L3049" s="73">
        <v>33.900000000000006</v>
      </c>
    </row>
    <row r="3050" spans="11:12" x14ac:dyDescent="0.45">
      <c r="K3050" s="5">
        <v>3048</v>
      </c>
      <c r="L3050" s="73">
        <v>8.8817841970012523E-15</v>
      </c>
    </row>
    <row r="3051" spans="11:12" x14ac:dyDescent="0.45">
      <c r="K3051" s="5">
        <v>3049</v>
      </c>
      <c r="L3051" s="73">
        <v>-31.29999999999999</v>
      </c>
    </row>
    <row r="3052" spans="11:12" x14ac:dyDescent="0.45">
      <c r="K3052" s="5">
        <v>3050</v>
      </c>
      <c r="L3052" s="73">
        <v>-6.3999999999999932</v>
      </c>
    </row>
    <row r="3053" spans="11:12" x14ac:dyDescent="0.45">
      <c r="K3053" s="5">
        <v>3051</v>
      </c>
      <c r="L3053" s="73">
        <v>7.1054273576010019E-15</v>
      </c>
    </row>
    <row r="3054" spans="11:12" x14ac:dyDescent="0.45">
      <c r="K3054" s="5">
        <v>3052</v>
      </c>
      <c r="L3054" s="73">
        <v>-29.999999999999993</v>
      </c>
    </row>
    <row r="3055" spans="11:12" x14ac:dyDescent="0.45">
      <c r="K3055" s="5">
        <v>3053</v>
      </c>
      <c r="L3055" s="73">
        <v>10.60000000000001</v>
      </c>
    </row>
    <row r="3056" spans="11:12" x14ac:dyDescent="0.45">
      <c r="K3056" s="5">
        <v>3054</v>
      </c>
      <c r="L3056" s="73">
        <v>1.0658141036401503E-14</v>
      </c>
    </row>
    <row r="3057" spans="11:12" x14ac:dyDescent="0.45">
      <c r="K3057" s="5">
        <v>3055</v>
      </c>
      <c r="L3057" s="73">
        <v>-8.9999999999999893</v>
      </c>
    </row>
    <row r="3058" spans="11:12" x14ac:dyDescent="0.45">
      <c r="K3058" s="5">
        <v>3056</v>
      </c>
      <c r="L3058" s="73">
        <v>30.100000000000009</v>
      </c>
    </row>
    <row r="3059" spans="11:12" x14ac:dyDescent="0.45">
      <c r="K3059" s="5">
        <v>3057</v>
      </c>
      <c r="L3059" s="73">
        <v>8.8817841970012523E-15</v>
      </c>
    </row>
    <row r="3060" spans="11:12" x14ac:dyDescent="0.45">
      <c r="K3060" s="5">
        <v>3058</v>
      </c>
      <c r="L3060" s="73">
        <v>-48.499999999999993</v>
      </c>
    </row>
    <row r="3061" spans="11:12" x14ac:dyDescent="0.45">
      <c r="K3061" s="5">
        <v>3059</v>
      </c>
      <c r="L3061" s="73">
        <v>-42.499999999999993</v>
      </c>
    </row>
    <row r="3062" spans="11:12" x14ac:dyDescent="0.45">
      <c r="K3062" s="5">
        <v>3060</v>
      </c>
      <c r="L3062" s="73">
        <v>8.8817841970012523E-15</v>
      </c>
    </row>
    <row r="3063" spans="11:12" x14ac:dyDescent="0.45">
      <c r="K3063" s="5">
        <v>3061</v>
      </c>
      <c r="L3063" s="73">
        <v>48.20000000000001</v>
      </c>
    </row>
    <row r="3064" spans="11:12" x14ac:dyDescent="0.45">
      <c r="K3064" s="5">
        <v>3062</v>
      </c>
      <c r="L3064" s="73">
        <v>-0.29999999999998828</v>
      </c>
    </row>
    <row r="3065" spans="11:12" x14ac:dyDescent="0.45">
      <c r="K3065" s="5">
        <v>3063</v>
      </c>
      <c r="L3065" s="73">
        <v>1.1712852909795402E-14</v>
      </c>
    </row>
    <row r="3066" spans="11:12" x14ac:dyDescent="0.45">
      <c r="K3066" s="5">
        <v>3064</v>
      </c>
      <c r="L3066" s="73">
        <v>-2.4999999999999885</v>
      </c>
    </row>
    <row r="3067" spans="11:12" x14ac:dyDescent="0.45">
      <c r="K3067" s="5">
        <v>3065</v>
      </c>
      <c r="L3067" s="73">
        <v>-16.899999999999991</v>
      </c>
    </row>
    <row r="3068" spans="11:12" x14ac:dyDescent="0.45">
      <c r="K3068" s="5">
        <v>3066</v>
      </c>
      <c r="L3068" s="73">
        <v>8.8817841970012523E-15</v>
      </c>
    </row>
    <row r="3069" spans="11:12" x14ac:dyDescent="0.45">
      <c r="K3069" s="5">
        <v>3067</v>
      </c>
      <c r="L3069" s="73">
        <v>-34.499999999999993</v>
      </c>
    </row>
    <row r="3070" spans="11:12" x14ac:dyDescent="0.45">
      <c r="K3070" s="5">
        <v>3068</v>
      </c>
      <c r="L3070" s="73">
        <v>-11.499999999999991</v>
      </c>
    </row>
    <row r="3071" spans="11:12" x14ac:dyDescent="0.45">
      <c r="K3071" s="5">
        <v>3069</v>
      </c>
      <c r="L3071" s="73">
        <v>8.8817841970012523E-15</v>
      </c>
    </row>
    <row r="3072" spans="11:12" x14ac:dyDescent="0.45">
      <c r="K3072" s="5">
        <v>3070</v>
      </c>
      <c r="L3072" s="73">
        <v>-25.599999999999994</v>
      </c>
    </row>
    <row r="3073" spans="11:12" x14ac:dyDescent="0.45">
      <c r="K3073" s="5">
        <v>3071</v>
      </c>
      <c r="L3073" s="73">
        <v>-27.599999999999994</v>
      </c>
    </row>
    <row r="3074" spans="11:12" x14ac:dyDescent="0.45">
      <c r="K3074" s="5">
        <v>3072</v>
      </c>
      <c r="L3074" s="73">
        <v>8.8817841970012523E-15</v>
      </c>
    </row>
    <row r="3075" spans="11:12" x14ac:dyDescent="0.45">
      <c r="K3075" s="5">
        <v>3073</v>
      </c>
      <c r="L3075" s="73">
        <v>-15.399999999999991</v>
      </c>
    </row>
    <row r="3076" spans="11:12" x14ac:dyDescent="0.45">
      <c r="K3076" s="5">
        <v>3074</v>
      </c>
      <c r="L3076" s="73">
        <v>-48.399999999999991</v>
      </c>
    </row>
    <row r="3077" spans="11:12" x14ac:dyDescent="0.45">
      <c r="K3077" s="5">
        <v>3075</v>
      </c>
      <c r="L3077" s="73">
        <v>8.8817841970012523E-15</v>
      </c>
    </row>
    <row r="3078" spans="11:12" x14ac:dyDescent="0.45">
      <c r="K3078" s="5">
        <v>3076</v>
      </c>
      <c r="L3078" s="73">
        <v>-7.3999999999999915</v>
      </c>
    </row>
    <row r="3079" spans="11:12" x14ac:dyDescent="0.45">
      <c r="K3079" s="5">
        <v>3077</v>
      </c>
      <c r="L3079" s="73">
        <v>31.100000000000009</v>
      </c>
    </row>
    <row r="3080" spans="11:12" x14ac:dyDescent="0.45">
      <c r="K3080" s="5">
        <v>3078</v>
      </c>
      <c r="L3080" s="73">
        <v>8.8817841970012523E-15</v>
      </c>
    </row>
    <row r="3081" spans="11:12" x14ac:dyDescent="0.45">
      <c r="K3081" s="5">
        <v>3079</v>
      </c>
      <c r="L3081" s="73">
        <v>-2.899999999999991</v>
      </c>
    </row>
    <row r="3082" spans="11:12" x14ac:dyDescent="0.45">
      <c r="K3082" s="5">
        <v>3080</v>
      </c>
      <c r="L3082" s="73">
        <v>-39.199999999999989</v>
      </c>
    </row>
    <row r="3083" spans="11:12" x14ac:dyDescent="0.45">
      <c r="K3083" s="5">
        <v>3081</v>
      </c>
      <c r="L3083" s="73">
        <v>1.5987211554602254E-14</v>
      </c>
    </row>
    <row r="3084" spans="11:12" x14ac:dyDescent="0.45">
      <c r="K3084" s="5">
        <v>3082</v>
      </c>
      <c r="L3084" s="73">
        <v>-55.499999999999986</v>
      </c>
    </row>
    <row r="3085" spans="11:12" x14ac:dyDescent="0.45">
      <c r="K3085" s="5">
        <v>3083</v>
      </c>
      <c r="L3085" s="73">
        <v>-55.999999999999986</v>
      </c>
    </row>
    <row r="3086" spans="11:12" x14ac:dyDescent="0.45">
      <c r="K3086" s="5">
        <v>3084</v>
      </c>
      <c r="L3086" s="73">
        <v>1.5987211554602254E-14</v>
      </c>
    </row>
    <row r="3087" spans="11:12" x14ac:dyDescent="0.45">
      <c r="K3087" s="5">
        <v>3085</v>
      </c>
      <c r="L3087" s="73">
        <v>-50.999999999999986</v>
      </c>
    </row>
    <row r="3088" spans="11:12" x14ac:dyDescent="0.45">
      <c r="K3088" s="5">
        <v>3086</v>
      </c>
      <c r="L3088" s="73">
        <v>-81.499999999999986</v>
      </c>
    </row>
    <row r="3089" spans="11:12" x14ac:dyDescent="0.45">
      <c r="K3089" s="5">
        <v>3087</v>
      </c>
      <c r="L3089" s="73">
        <v>8.8817841970012523E-15</v>
      </c>
    </row>
    <row r="3090" spans="11:12" x14ac:dyDescent="0.45">
      <c r="K3090" s="5">
        <v>3088</v>
      </c>
      <c r="L3090" s="73">
        <v>60.400000000000006</v>
      </c>
    </row>
    <row r="3091" spans="11:12" x14ac:dyDescent="0.45">
      <c r="K3091" s="5">
        <v>3089</v>
      </c>
      <c r="L3091" s="73">
        <v>-1.8999999999999897</v>
      </c>
    </row>
    <row r="3092" spans="11:12" x14ac:dyDescent="0.45">
      <c r="K3092" s="5">
        <v>3090</v>
      </c>
      <c r="L3092" s="73">
        <v>1.021405182655144E-14</v>
      </c>
    </row>
    <row r="3093" spans="11:12" x14ac:dyDescent="0.45">
      <c r="K3093" s="5">
        <v>3091</v>
      </c>
      <c r="L3093" s="73">
        <v>14.300000000000011</v>
      </c>
    </row>
    <row r="3094" spans="11:12" x14ac:dyDescent="0.45">
      <c r="K3094" s="5">
        <v>3092</v>
      </c>
      <c r="L3094" s="73">
        <v>12.800000000000011</v>
      </c>
    </row>
    <row r="3095" spans="11:12" x14ac:dyDescent="0.45">
      <c r="K3095" s="5">
        <v>3093</v>
      </c>
      <c r="L3095" s="73">
        <v>1.0658141036401503E-14</v>
      </c>
    </row>
    <row r="3096" spans="11:12" x14ac:dyDescent="0.45">
      <c r="K3096" s="5">
        <v>3094</v>
      </c>
      <c r="L3096" s="73">
        <v>3.4000000000000106</v>
      </c>
    </row>
    <row r="3097" spans="11:12" x14ac:dyDescent="0.45">
      <c r="K3097" s="5">
        <v>3095</v>
      </c>
      <c r="L3097" s="73">
        <v>-35.799999999999997</v>
      </c>
    </row>
    <row r="3098" spans="11:12" x14ac:dyDescent="0.45">
      <c r="K3098" s="5">
        <v>3096</v>
      </c>
      <c r="L3098" s="73">
        <v>1.7763568394002505E-15</v>
      </c>
    </row>
    <row r="3099" spans="11:12" x14ac:dyDescent="0.45">
      <c r="K3099" s="5">
        <v>3097</v>
      </c>
      <c r="L3099" s="73">
        <v>-27.1</v>
      </c>
    </row>
    <row r="3100" spans="11:12" x14ac:dyDescent="0.45">
      <c r="K3100" s="5">
        <v>3098</v>
      </c>
      <c r="L3100" s="73">
        <v>-28.6</v>
      </c>
    </row>
    <row r="3101" spans="11:12" x14ac:dyDescent="0.45">
      <c r="K3101" s="5">
        <v>3099</v>
      </c>
      <c r="L3101" s="73">
        <v>1.7763568394002505E-15</v>
      </c>
    </row>
    <row r="3102" spans="11:12" x14ac:dyDescent="0.45">
      <c r="K3102" s="5">
        <v>3100</v>
      </c>
      <c r="L3102" s="73">
        <v>-7.4999999999999982</v>
      </c>
    </row>
    <row r="3103" spans="11:12" x14ac:dyDescent="0.45">
      <c r="K3103" s="5">
        <v>3101</v>
      </c>
      <c r="L3103" s="73">
        <v>-41.6</v>
      </c>
    </row>
    <row r="3104" spans="11:12" x14ac:dyDescent="0.45">
      <c r="K3104" s="5">
        <v>3102</v>
      </c>
      <c r="L3104" s="73">
        <v>1.7763568394002505E-15</v>
      </c>
    </row>
    <row r="3105" spans="11:12" x14ac:dyDescent="0.45">
      <c r="K3105" s="5">
        <v>3103</v>
      </c>
      <c r="L3105" s="73">
        <v>-20.9</v>
      </c>
    </row>
    <row r="3106" spans="11:12" x14ac:dyDescent="0.45">
      <c r="K3106" s="5">
        <v>3104</v>
      </c>
      <c r="L3106" s="73">
        <v>-21.4</v>
      </c>
    </row>
    <row r="3107" spans="11:12" x14ac:dyDescent="0.45">
      <c r="K3107" s="5">
        <v>3105</v>
      </c>
      <c r="L3107" s="73">
        <v>1.7763568394002505E-15</v>
      </c>
    </row>
    <row r="3108" spans="11:12" x14ac:dyDescent="0.45">
      <c r="K3108" s="5">
        <v>3106</v>
      </c>
      <c r="L3108" s="73">
        <v>4.0000000000000018</v>
      </c>
    </row>
    <row r="3109" spans="11:12" x14ac:dyDescent="0.45">
      <c r="K3109" s="5">
        <v>3107</v>
      </c>
      <c r="L3109" s="73">
        <v>30</v>
      </c>
    </row>
    <row r="3110" spans="11:12" x14ac:dyDescent="0.45">
      <c r="K3110" s="5">
        <v>3108</v>
      </c>
      <c r="L3110" s="73">
        <v>1.7763568394002505E-15</v>
      </c>
    </row>
    <row r="3111" spans="11:12" x14ac:dyDescent="0.45">
      <c r="K3111" s="5">
        <v>3109</v>
      </c>
      <c r="L3111" s="73">
        <v>-22.5</v>
      </c>
    </row>
    <row r="3112" spans="11:12" x14ac:dyDescent="0.45">
      <c r="K3112" s="5">
        <v>3110</v>
      </c>
      <c r="L3112" s="73">
        <v>-31.9</v>
      </c>
    </row>
    <row r="3113" spans="11:12" x14ac:dyDescent="0.45">
      <c r="K3113" s="5">
        <v>3111</v>
      </c>
      <c r="L3113" s="73">
        <v>1.7763568394002505E-15</v>
      </c>
    </row>
    <row r="3114" spans="11:12" x14ac:dyDescent="0.45">
      <c r="K3114" s="5">
        <v>3112</v>
      </c>
      <c r="L3114" s="73">
        <v>-35.9</v>
      </c>
    </row>
    <row r="3115" spans="11:12" x14ac:dyDescent="0.45">
      <c r="K3115" s="5">
        <v>3113</v>
      </c>
      <c r="L3115" s="73">
        <v>-25.599999999999994</v>
      </c>
    </row>
    <row r="3116" spans="11:12" x14ac:dyDescent="0.45">
      <c r="K3116" s="5">
        <v>3114</v>
      </c>
      <c r="L3116" s="73">
        <v>5.3290705182007514E-15</v>
      </c>
    </row>
    <row r="3117" spans="11:12" x14ac:dyDescent="0.45">
      <c r="K3117" s="5">
        <v>3115</v>
      </c>
      <c r="L3117" s="73">
        <v>-26.699999999999996</v>
      </c>
    </row>
    <row r="3118" spans="11:12" x14ac:dyDescent="0.45">
      <c r="K3118" s="5">
        <v>3116</v>
      </c>
      <c r="L3118" s="73">
        <v>-18.699999999999996</v>
      </c>
    </row>
    <row r="3119" spans="11:12" x14ac:dyDescent="0.45">
      <c r="K3119" s="5">
        <v>3117</v>
      </c>
      <c r="L3119" s="73">
        <v>5.3290705182007514E-15</v>
      </c>
    </row>
    <row r="3120" spans="11:12" x14ac:dyDescent="0.45">
      <c r="K3120" s="5">
        <v>3118</v>
      </c>
      <c r="L3120" s="73">
        <v>21.500000000000007</v>
      </c>
    </row>
    <row r="3121" spans="11:12" x14ac:dyDescent="0.45">
      <c r="K3121" s="5">
        <v>3119</v>
      </c>
      <c r="L3121" s="73">
        <v>-5.3999999999999932</v>
      </c>
    </row>
    <row r="3122" spans="11:12" x14ac:dyDescent="0.45">
      <c r="K3122" s="5">
        <v>3120</v>
      </c>
      <c r="L3122" s="73">
        <v>7.1054273576010019E-15</v>
      </c>
    </row>
    <row r="3123" spans="11:12" x14ac:dyDescent="0.45">
      <c r="K3123" s="5">
        <v>3121</v>
      </c>
      <c r="L3123" s="73">
        <v>-46.599999999999994</v>
      </c>
    </row>
    <row r="3124" spans="11:12" x14ac:dyDescent="0.45">
      <c r="K3124" s="5">
        <v>3122</v>
      </c>
      <c r="L3124" s="73">
        <v>31.100000000000009</v>
      </c>
    </row>
    <row r="3125" spans="11:12" x14ac:dyDescent="0.45">
      <c r="K3125" s="5">
        <v>3123</v>
      </c>
      <c r="L3125" s="73">
        <v>8.8817841970012523E-15</v>
      </c>
    </row>
    <row r="3126" spans="11:12" x14ac:dyDescent="0.45">
      <c r="K3126" s="5">
        <v>3124</v>
      </c>
      <c r="L3126" s="73">
        <v>-41.599999999999994</v>
      </c>
    </row>
    <row r="3127" spans="11:12" x14ac:dyDescent="0.45">
      <c r="K3127" s="5">
        <v>3125</v>
      </c>
      <c r="L3127" s="73">
        <v>-27.899999999999991</v>
      </c>
    </row>
    <row r="3128" spans="11:12" x14ac:dyDescent="0.45">
      <c r="K3128" s="5">
        <v>3126</v>
      </c>
      <c r="L3128" s="73">
        <v>5.3290705182007514E-15</v>
      </c>
    </row>
    <row r="3129" spans="11:12" x14ac:dyDescent="0.45">
      <c r="K3129" s="5">
        <v>3127</v>
      </c>
      <c r="L3129" s="73">
        <v>-38.29999999999999</v>
      </c>
    </row>
    <row r="3130" spans="11:12" x14ac:dyDescent="0.45">
      <c r="K3130" s="5">
        <v>3128</v>
      </c>
      <c r="L3130" s="73">
        <v>-26.999999999999986</v>
      </c>
    </row>
    <row r="3131" spans="11:12" x14ac:dyDescent="0.45">
      <c r="K3131" s="5">
        <v>3129</v>
      </c>
      <c r="L3131" s="73">
        <v>1.2434497875801753E-14</v>
      </c>
    </row>
    <row r="3132" spans="11:12" x14ac:dyDescent="0.45">
      <c r="K3132" s="5">
        <v>3130</v>
      </c>
      <c r="L3132" s="73">
        <v>68.200000000000017</v>
      </c>
    </row>
    <row r="3133" spans="11:12" x14ac:dyDescent="0.45">
      <c r="K3133" s="5">
        <v>3131</v>
      </c>
      <c r="L3133" s="73">
        <v>44.70000000000001</v>
      </c>
    </row>
    <row r="3134" spans="11:12" x14ac:dyDescent="0.45">
      <c r="K3134" s="5">
        <v>3132</v>
      </c>
      <c r="L3134" s="73">
        <v>8.8817841970012523E-15</v>
      </c>
    </row>
    <row r="3135" spans="11:12" x14ac:dyDescent="0.45">
      <c r="K3135" s="5">
        <v>3133</v>
      </c>
      <c r="L3135" s="73">
        <v>-0.99999999999999112</v>
      </c>
    </row>
    <row r="3136" spans="11:12" x14ac:dyDescent="0.45">
      <c r="K3136" s="5">
        <v>3134</v>
      </c>
      <c r="L3136" s="73">
        <v>27.000000000000007</v>
      </c>
    </row>
    <row r="3137" spans="11:12" x14ac:dyDescent="0.45">
      <c r="K3137" s="5">
        <v>3135</v>
      </c>
      <c r="L3137" s="73">
        <v>8.8817841970012523E-15</v>
      </c>
    </row>
    <row r="3138" spans="11:12" x14ac:dyDescent="0.45">
      <c r="K3138" s="5">
        <v>3136</v>
      </c>
      <c r="L3138" s="73">
        <v>-32.29999999999999</v>
      </c>
    </row>
    <row r="3139" spans="11:12" x14ac:dyDescent="0.45">
      <c r="K3139" s="5">
        <v>3137</v>
      </c>
      <c r="L3139" s="73">
        <v>-52.199999999999989</v>
      </c>
    </row>
    <row r="3140" spans="11:12" x14ac:dyDescent="0.45">
      <c r="K3140" s="5">
        <v>3138</v>
      </c>
      <c r="L3140" s="73">
        <v>1.5987211554602254E-14</v>
      </c>
    </row>
    <row r="3141" spans="11:12" x14ac:dyDescent="0.45">
      <c r="K3141" s="5">
        <v>3139</v>
      </c>
      <c r="L3141" s="73">
        <v>43.500000000000014</v>
      </c>
    </row>
    <row r="3142" spans="11:12" x14ac:dyDescent="0.45">
      <c r="K3142" s="5">
        <v>3140</v>
      </c>
      <c r="L3142" s="73">
        <v>7.8000000000000131</v>
      </c>
    </row>
    <row r="3143" spans="11:12" x14ac:dyDescent="0.45">
      <c r="K3143" s="5">
        <v>3141</v>
      </c>
      <c r="L3143" s="73">
        <v>1.3322676295501878E-14</v>
      </c>
    </row>
    <row r="3144" spans="11:12" x14ac:dyDescent="0.45">
      <c r="K3144" s="5">
        <v>3142</v>
      </c>
      <c r="L3144" s="73">
        <v>-52.799999999999983</v>
      </c>
    </row>
    <row r="3145" spans="11:12" x14ac:dyDescent="0.45">
      <c r="K3145" s="5">
        <v>3143</v>
      </c>
      <c r="L3145" s="73">
        <v>7.500000000000016</v>
      </c>
    </row>
    <row r="3146" spans="11:12" x14ac:dyDescent="0.45">
      <c r="K3146" s="5">
        <v>3144</v>
      </c>
      <c r="L3146" s="73">
        <v>1.5987211554602254E-14</v>
      </c>
    </row>
    <row r="3147" spans="11:12" x14ac:dyDescent="0.45">
      <c r="K3147" s="5">
        <v>3145</v>
      </c>
      <c r="L3147" s="73">
        <v>-14.799999999999985</v>
      </c>
    </row>
    <row r="3148" spans="11:12" x14ac:dyDescent="0.45">
      <c r="K3148" s="5">
        <v>3146</v>
      </c>
      <c r="L3148" s="73">
        <v>-49.499999999999993</v>
      </c>
    </row>
    <row r="3149" spans="11:12" x14ac:dyDescent="0.45">
      <c r="K3149" s="5">
        <v>3147</v>
      </c>
      <c r="L3149" s="73">
        <v>8.8817841970012523E-15</v>
      </c>
    </row>
    <row r="3150" spans="11:12" x14ac:dyDescent="0.45">
      <c r="K3150" s="5">
        <v>3148</v>
      </c>
      <c r="L3150" s="73">
        <v>6.4000000000000092</v>
      </c>
    </row>
    <row r="3151" spans="11:12" x14ac:dyDescent="0.45">
      <c r="K3151" s="5">
        <v>3149</v>
      </c>
      <c r="L3151" s="73">
        <v>-24.599999999999994</v>
      </c>
    </row>
    <row r="3152" spans="11:12" x14ac:dyDescent="0.45">
      <c r="K3152" s="5">
        <v>3150</v>
      </c>
      <c r="L3152" s="73">
        <v>8.8817841970012523E-15</v>
      </c>
    </row>
    <row r="3153" spans="11:12" x14ac:dyDescent="0.45">
      <c r="K3153" s="5">
        <v>3151</v>
      </c>
      <c r="L3153" s="73">
        <v>-49.399999999999991</v>
      </c>
    </row>
    <row r="3154" spans="11:12" x14ac:dyDescent="0.45">
      <c r="K3154" s="5">
        <v>3152</v>
      </c>
      <c r="L3154" s="73">
        <v>-37.199999999999996</v>
      </c>
    </row>
    <row r="3155" spans="11:12" x14ac:dyDescent="0.45">
      <c r="K3155" s="5">
        <v>3153</v>
      </c>
      <c r="L3155" s="73">
        <v>8.8817841970012523E-15</v>
      </c>
    </row>
    <row r="3156" spans="11:12" x14ac:dyDescent="0.45">
      <c r="K3156" s="5">
        <v>3154</v>
      </c>
      <c r="L3156" s="73">
        <v>-14.599999999999991</v>
      </c>
    </row>
    <row r="3157" spans="11:12" x14ac:dyDescent="0.45">
      <c r="K3157" s="5">
        <v>3155</v>
      </c>
      <c r="L3157" s="73">
        <v>-63.499999999999993</v>
      </c>
    </row>
    <row r="3158" spans="11:12" x14ac:dyDescent="0.45">
      <c r="K3158" s="5">
        <v>3156</v>
      </c>
      <c r="L3158" s="73">
        <v>8.8817841970012523E-15</v>
      </c>
    </row>
    <row r="3159" spans="11:12" x14ac:dyDescent="0.45">
      <c r="K3159" s="5">
        <v>3157</v>
      </c>
      <c r="L3159" s="73">
        <v>30.000000000000007</v>
      </c>
    </row>
    <row r="3160" spans="11:12" x14ac:dyDescent="0.45">
      <c r="K3160" s="5">
        <v>3158</v>
      </c>
      <c r="L3160" s="73">
        <v>21.600000000000009</v>
      </c>
    </row>
    <row r="3161" spans="11:12" x14ac:dyDescent="0.45">
      <c r="K3161" s="5">
        <v>3159</v>
      </c>
      <c r="L3161" s="73">
        <v>8.8817841970012523E-15</v>
      </c>
    </row>
    <row r="3162" spans="11:12" x14ac:dyDescent="0.45">
      <c r="K3162" s="5">
        <v>3160</v>
      </c>
      <c r="L3162" s="73">
        <v>1.5000000000000089</v>
      </c>
    </row>
    <row r="3163" spans="11:12" x14ac:dyDescent="0.45">
      <c r="K3163" s="5">
        <v>3161</v>
      </c>
      <c r="L3163" s="73">
        <v>50.100000000000009</v>
      </c>
    </row>
    <row r="3164" spans="11:12" x14ac:dyDescent="0.45">
      <c r="K3164" s="5">
        <v>3162</v>
      </c>
      <c r="L3164" s="73">
        <v>8.8817841970012523E-15</v>
      </c>
    </row>
    <row r="3165" spans="11:12" x14ac:dyDescent="0.45">
      <c r="K3165" s="5">
        <v>3163</v>
      </c>
      <c r="L3165" s="73">
        <v>26.000000000000007</v>
      </c>
    </row>
    <row r="3166" spans="11:12" x14ac:dyDescent="0.45">
      <c r="K3166" s="5">
        <v>3164</v>
      </c>
      <c r="L3166" s="73">
        <v>-5.6999999999999904</v>
      </c>
    </row>
    <row r="3167" spans="11:12" x14ac:dyDescent="0.45">
      <c r="K3167" s="5">
        <v>3165</v>
      </c>
      <c r="L3167" s="73">
        <v>9.7699626167013776E-15</v>
      </c>
    </row>
    <row r="3168" spans="11:12" x14ac:dyDescent="0.45">
      <c r="K3168" s="5">
        <v>3166</v>
      </c>
      <c r="L3168" s="73">
        <v>-45.199999999999996</v>
      </c>
    </row>
    <row r="3169" spans="11:12" x14ac:dyDescent="0.45">
      <c r="K3169" s="5">
        <v>3167</v>
      </c>
      <c r="L3169" s="73">
        <v>-3.4999999999999911</v>
      </c>
    </row>
    <row r="3170" spans="11:12" x14ac:dyDescent="0.45">
      <c r="K3170" s="5">
        <v>3168</v>
      </c>
      <c r="L3170" s="73">
        <v>8.8817841970012523E-15</v>
      </c>
    </row>
    <row r="3171" spans="11:12" x14ac:dyDescent="0.45">
      <c r="K3171" s="5">
        <v>3169</v>
      </c>
      <c r="L3171" s="73">
        <v>-10.69999999999999</v>
      </c>
    </row>
    <row r="3172" spans="11:12" x14ac:dyDescent="0.45">
      <c r="K3172" s="5">
        <v>3170</v>
      </c>
      <c r="L3172" s="73">
        <v>-33.999999999999993</v>
      </c>
    </row>
    <row r="3173" spans="11:12" x14ac:dyDescent="0.45">
      <c r="K3173" s="5">
        <v>3171</v>
      </c>
      <c r="L3173" s="73">
        <v>8.8817841970012523E-15</v>
      </c>
    </row>
    <row r="3174" spans="11:12" x14ac:dyDescent="0.45">
      <c r="K3174" s="5">
        <v>3172</v>
      </c>
      <c r="L3174" s="73">
        <v>-0.89999999999999114</v>
      </c>
    </row>
    <row r="3175" spans="11:12" x14ac:dyDescent="0.45">
      <c r="K3175" s="5">
        <v>3173</v>
      </c>
      <c r="L3175" s="73">
        <v>15.20000000000001</v>
      </c>
    </row>
    <row r="3176" spans="11:12" x14ac:dyDescent="0.45">
      <c r="K3176" s="5">
        <v>3174</v>
      </c>
      <c r="L3176" s="73">
        <v>1.0658141036401503E-14</v>
      </c>
    </row>
    <row r="3177" spans="11:12" x14ac:dyDescent="0.45">
      <c r="K3177" s="5">
        <v>3175</v>
      </c>
      <c r="L3177" s="73">
        <v>-12.599999999999989</v>
      </c>
    </row>
    <row r="3178" spans="11:12" x14ac:dyDescent="0.45">
      <c r="K3178" s="5">
        <v>3176</v>
      </c>
      <c r="L3178" s="73">
        <v>-57.79999999999999</v>
      </c>
    </row>
    <row r="3179" spans="11:12" x14ac:dyDescent="0.45">
      <c r="K3179" s="5">
        <v>3177</v>
      </c>
      <c r="L3179" s="73">
        <v>8.8817841970012523E-15</v>
      </c>
    </row>
    <row r="3180" spans="11:12" x14ac:dyDescent="0.45">
      <c r="K3180" s="5">
        <v>3178</v>
      </c>
      <c r="L3180" s="73">
        <v>-3.9999999999999911</v>
      </c>
    </row>
    <row r="3181" spans="11:12" x14ac:dyDescent="0.45">
      <c r="K3181" s="5">
        <v>3179</v>
      </c>
      <c r="L3181" s="73">
        <v>47.300000000000004</v>
      </c>
    </row>
    <row r="3182" spans="11:12" x14ac:dyDescent="0.45">
      <c r="K3182" s="5">
        <v>3180</v>
      </c>
      <c r="L3182" s="73">
        <v>8.8817841970012523E-15</v>
      </c>
    </row>
    <row r="3183" spans="11:12" x14ac:dyDescent="0.45">
      <c r="K3183" s="5">
        <v>3181</v>
      </c>
      <c r="L3183" s="73">
        <v>-57.099999999999994</v>
      </c>
    </row>
    <row r="3184" spans="11:12" x14ac:dyDescent="0.45">
      <c r="K3184" s="5">
        <v>3182</v>
      </c>
      <c r="L3184" s="73">
        <v>-52.8</v>
      </c>
    </row>
    <row r="3185" spans="11:12" x14ac:dyDescent="0.45">
      <c r="K3185" s="5">
        <v>3183</v>
      </c>
      <c r="L3185" s="73">
        <v>1.7763568394002505E-15</v>
      </c>
    </row>
    <row r="3186" spans="11:12" x14ac:dyDescent="0.45">
      <c r="K3186" s="5">
        <v>3184</v>
      </c>
      <c r="L3186" s="73">
        <v>-20</v>
      </c>
    </row>
    <row r="3187" spans="11:12" x14ac:dyDescent="0.45">
      <c r="K3187" s="5">
        <v>3185</v>
      </c>
      <c r="L3187" s="73">
        <v>53</v>
      </c>
    </row>
    <row r="3188" spans="11:12" x14ac:dyDescent="0.45">
      <c r="K3188" s="5">
        <v>3186</v>
      </c>
      <c r="L3188" s="73">
        <v>1.7763568394002505E-15</v>
      </c>
    </row>
    <row r="3189" spans="11:12" x14ac:dyDescent="0.45">
      <c r="K3189" s="5">
        <v>3187</v>
      </c>
      <c r="L3189" s="73">
        <v>54.4</v>
      </c>
    </row>
    <row r="3190" spans="11:12" x14ac:dyDescent="0.45">
      <c r="K3190" s="5">
        <v>3188</v>
      </c>
      <c r="L3190" s="73">
        <v>4.2999999999999989</v>
      </c>
    </row>
    <row r="3191" spans="11:12" x14ac:dyDescent="0.45">
      <c r="K3191" s="5">
        <v>3189</v>
      </c>
      <c r="L3191" s="73">
        <v>-8.8817841970012523E-16</v>
      </c>
    </row>
    <row r="3192" spans="11:12" x14ac:dyDescent="0.45">
      <c r="K3192" s="5">
        <v>3190</v>
      </c>
      <c r="L3192" s="73">
        <v>-48.2</v>
      </c>
    </row>
    <row r="3193" spans="11:12" x14ac:dyDescent="0.45">
      <c r="K3193" s="5">
        <v>3191</v>
      </c>
      <c r="L3193" s="73">
        <v>11.500000000000002</v>
      </c>
    </row>
    <row r="3194" spans="11:12" x14ac:dyDescent="0.45">
      <c r="K3194" s="5">
        <v>3192</v>
      </c>
      <c r="L3194" s="73">
        <v>1.7763568394002505E-15</v>
      </c>
    </row>
    <row r="3195" spans="11:12" x14ac:dyDescent="0.45">
      <c r="K3195" s="5">
        <v>3193</v>
      </c>
      <c r="L3195" s="73">
        <v>22.300000000000004</v>
      </c>
    </row>
    <row r="3196" spans="11:12" x14ac:dyDescent="0.45">
      <c r="K3196" s="5">
        <v>3194</v>
      </c>
      <c r="L3196" s="73">
        <v>27.300000000000004</v>
      </c>
    </row>
    <row r="3197" spans="11:12" x14ac:dyDescent="0.45">
      <c r="K3197" s="5">
        <v>3195</v>
      </c>
      <c r="L3197" s="73">
        <v>1.7763568394002505E-15</v>
      </c>
    </row>
    <row r="3198" spans="11:12" x14ac:dyDescent="0.45">
      <c r="K3198" s="5">
        <v>3196</v>
      </c>
      <c r="L3198" s="73">
        <v>-9.4999999999999982</v>
      </c>
    </row>
    <row r="3199" spans="11:12" x14ac:dyDescent="0.45">
      <c r="K3199" s="5">
        <v>3197</v>
      </c>
      <c r="L3199" s="73">
        <v>22.1</v>
      </c>
    </row>
    <row r="3200" spans="11:12" x14ac:dyDescent="0.45">
      <c r="K3200" s="5">
        <v>3198</v>
      </c>
      <c r="L3200" s="73">
        <v>1.7763568394002505E-15</v>
      </c>
    </row>
    <row r="3201" spans="11:12" x14ac:dyDescent="0.45">
      <c r="K3201" s="5">
        <v>3199</v>
      </c>
      <c r="L3201" s="73">
        <v>-36.4</v>
      </c>
    </row>
    <row r="3202" spans="11:12" x14ac:dyDescent="0.45">
      <c r="K3202" s="5">
        <v>3200</v>
      </c>
      <c r="L3202" s="73">
        <v>-61.6</v>
      </c>
    </row>
    <row r="3203" spans="11:12" x14ac:dyDescent="0.45">
      <c r="K3203" s="5">
        <v>3201</v>
      </c>
      <c r="L3203" s="73">
        <v>1.7763568394002505E-15</v>
      </c>
    </row>
    <row r="3204" spans="11:12" x14ac:dyDescent="0.45">
      <c r="K3204" s="5">
        <v>3202</v>
      </c>
      <c r="L3204" s="73">
        <v>-2.299999999999998</v>
      </c>
    </row>
    <row r="3205" spans="11:12" x14ac:dyDescent="0.45">
      <c r="K3205" s="5">
        <v>3203</v>
      </c>
      <c r="L3205" s="73">
        <v>-24.799999999999997</v>
      </c>
    </row>
    <row r="3206" spans="11:12" x14ac:dyDescent="0.45">
      <c r="K3206" s="5">
        <v>3204</v>
      </c>
      <c r="L3206" s="73">
        <v>1.7763568394002505E-15</v>
      </c>
    </row>
    <row r="3207" spans="11:12" x14ac:dyDescent="0.45">
      <c r="K3207" s="5">
        <v>3205</v>
      </c>
      <c r="L3207" s="73">
        <v>-27.5</v>
      </c>
    </row>
    <row r="3208" spans="11:12" x14ac:dyDescent="0.45">
      <c r="K3208" s="5">
        <v>3206</v>
      </c>
      <c r="L3208" s="73">
        <v>-22</v>
      </c>
    </row>
    <row r="3209" spans="11:12" x14ac:dyDescent="0.45">
      <c r="K3209" s="5">
        <v>3207</v>
      </c>
      <c r="L3209" s="73">
        <v>1.7763568394002505E-15</v>
      </c>
    </row>
    <row r="3210" spans="11:12" x14ac:dyDescent="0.45">
      <c r="K3210" s="5">
        <v>3208</v>
      </c>
      <c r="L3210" s="73">
        <v>70.000000000000014</v>
      </c>
    </row>
    <row r="3211" spans="11:12" x14ac:dyDescent="0.45">
      <c r="K3211" s="5">
        <v>3209</v>
      </c>
      <c r="L3211" s="73">
        <v>46.500000000000007</v>
      </c>
    </row>
    <row r="3212" spans="11:12" x14ac:dyDescent="0.45">
      <c r="K3212" s="5">
        <v>3210</v>
      </c>
      <c r="L3212" s="73">
        <v>8.8817841970012523E-15</v>
      </c>
    </row>
    <row r="3213" spans="11:12" x14ac:dyDescent="0.45">
      <c r="K3213" s="5">
        <v>3211</v>
      </c>
      <c r="L3213" s="73">
        <v>-5.3999999999999915</v>
      </c>
    </row>
    <row r="3214" spans="11:12" x14ac:dyDescent="0.45">
      <c r="K3214" s="5">
        <v>3212</v>
      </c>
      <c r="L3214" s="73">
        <v>31.900000000000006</v>
      </c>
    </row>
    <row r="3215" spans="11:12" x14ac:dyDescent="0.45">
      <c r="K3215" s="5">
        <v>3213</v>
      </c>
      <c r="L3215" s="73">
        <v>8.8817841970012523E-15</v>
      </c>
    </row>
    <row r="3216" spans="11:12" x14ac:dyDescent="0.45">
      <c r="K3216" s="5">
        <v>3214</v>
      </c>
      <c r="L3216" s="73">
        <v>1.3000000000000089</v>
      </c>
    </row>
    <row r="3217" spans="11:12" x14ac:dyDescent="0.45">
      <c r="K3217" s="5">
        <v>3215</v>
      </c>
      <c r="L3217" s="73">
        <v>-13.79999999999999</v>
      </c>
    </row>
    <row r="3218" spans="11:12" x14ac:dyDescent="0.45">
      <c r="K3218" s="5">
        <v>3216</v>
      </c>
      <c r="L3218" s="73">
        <v>1.0658141036401503E-14</v>
      </c>
    </row>
    <row r="3219" spans="11:12" x14ac:dyDescent="0.45">
      <c r="K3219" s="5">
        <v>3217</v>
      </c>
      <c r="L3219" s="73">
        <v>87.300000000000011</v>
      </c>
    </row>
    <row r="3220" spans="11:12" x14ac:dyDescent="0.45">
      <c r="K3220" s="5">
        <v>3218</v>
      </c>
      <c r="L3220" s="73">
        <v>65.000000000000014</v>
      </c>
    </row>
    <row r="3221" spans="11:12" x14ac:dyDescent="0.45">
      <c r="K3221" s="5">
        <v>3219</v>
      </c>
      <c r="L3221" s="73">
        <v>8.8817841970012523E-15</v>
      </c>
    </row>
    <row r="3222" spans="11:12" x14ac:dyDescent="0.45">
      <c r="K3222" s="5">
        <v>3220</v>
      </c>
      <c r="L3222" s="73">
        <v>6.3000000000000087</v>
      </c>
    </row>
    <row r="3223" spans="11:12" x14ac:dyDescent="0.45">
      <c r="K3223" s="5">
        <v>3221</v>
      </c>
      <c r="L3223" s="73">
        <v>52.900000000000006</v>
      </c>
    </row>
    <row r="3224" spans="11:12" x14ac:dyDescent="0.45">
      <c r="K3224" s="5">
        <v>3222</v>
      </c>
      <c r="L3224" s="73">
        <v>8.8817841970012523E-15</v>
      </c>
    </row>
    <row r="3225" spans="11:12" x14ac:dyDescent="0.45">
      <c r="K3225" s="5">
        <v>3223</v>
      </c>
      <c r="L3225" s="73">
        <v>-72.699999999999989</v>
      </c>
    </row>
    <row r="3226" spans="11:12" x14ac:dyDescent="0.45">
      <c r="K3226" s="5">
        <v>3224</v>
      </c>
      <c r="L3226" s="73">
        <v>-49.499999999999993</v>
      </c>
    </row>
    <row r="3227" spans="11:12" x14ac:dyDescent="0.45">
      <c r="K3227" s="5">
        <v>3225</v>
      </c>
      <c r="L3227" s="73">
        <v>8.8817841970012523E-15</v>
      </c>
    </row>
    <row r="3228" spans="11:12" x14ac:dyDescent="0.45">
      <c r="K3228" s="5">
        <v>3226</v>
      </c>
      <c r="L3228" s="73">
        <v>8.6000000000000085</v>
      </c>
    </row>
    <row r="3229" spans="11:12" x14ac:dyDescent="0.45">
      <c r="K3229" s="5">
        <v>3227</v>
      </c>
      <c r="L3229" s="73">
        <v>46.600000000000009</v>
      </c>
    </row>
    <row r="3230" spans="11:12" x14ac:dyDescent="0.45">
      <c r="K3230" s="5">
        <v>3228</v>
      </c>
      <c r="L3230" s="73">
        <v>8.8817841970012523E-15</v>
      </c>
    </row>
    <row r="3231" spans="11:12" x14ac:dyDescent="0.45">
      <c r="K3231" s="5">
        <v>3229</v>
      </c>
      <c r="L3231" s="73">
        <v>-40.79999999999999</v>
      </c>
    </row>
    <row r="3232" spans="11:12" x14ac:dyDescent="0.45">
      <c r="K3232" s="5">
        <v>3230</v>
      </c>
      <c r="L3232" s="73">
        <v>-33.599999999999987</v>
      </c>
    </row>
    <row r="3233" spans="11:12" x14ac:dyDescent="0.45">
      <c r="K3233" s="5">
        <v>3231</v>
      </c>
      <c r="L3233" s="73">
        <v>1.5987211554602254E-14</v>
      </c>
    </row>
    <row r="3234" spans="11:12" x14ac:dyDescent="0.45">
      <c r="K3234" s="5">
        <v>3232</v>
      </c>
      <c r="L3234" s="73">
        <v>-33.399999999999984</v>
      </c>
    </row>
    <row r="3235" spans="11:12" x14ac:dyDescent="0.45">
      <c r="K3235" s="5">
        <v>3233</v>
      </c>
      <c r="L3235" s="73">
        <v>-41.599999999999987</v>
      </c>
    </row>
    <row r="3236" spans="11:12" x14ac:dyDescent="0.45">
      <c r="K3236" s="5">
        <v>3234</v>
      </c>
      <c r="L3236" s="73">
        <v>1.5987211554602254E-14</v>
      </c>
    </row>
    <row r="3237" spans="11:12" x14ac:dyDescent="0.45">
      <c r="K3237" s="5">
        <v>3235</v>
      </c>
      <c r="L3237" s="73">
        <v>-33.399999999999984</v>
      </c>
    </row>
    <row r="3238" spans="11:12" x14ac:dyDescent="0.45">
      <c r="K3238" s="5">
        <v>3236</v>
      </c>
      <c r="L3238" s="73">
        <v>57.600000000000016</v>
      </c>
    </row>
    <row r="3239" spans="11:12" x14ac:dyDescent="0.45">
      <c r="K3239" s="5">
        <v>3237</v>
      </c>
      <c r="L3239" s="73">
        <v>1.5987211554602254E-14</v>
      </c>
    </row>
    <row r="3240" spans="11:12" x14ac:dyDescent="0.45">
      <c r="K3240" s="5">
        <v>3238</v>
      </c>
      <c r="L3240" s="73">
        <v>6.8000000000000158</v>
      </c>
    </row>
    <row r="3241" spans="11:12" x14ac:dyDescent="0.45">
      <c r="K3241" s="5">
        <v>3239</v>
      </c>
      <c r="L3241" s="73">
        <v>48.100000000000009</v>
      </c>
    </row>
    <row r="3242" spans="11:12" x14ac:dyDescent="0.45">
      <c r="K3242" s="5">
        <v>3240</v>
      </c>
      <c r="L3242" s="73">
        <v>8.8817841970012523E-15</v>
      </c>
    </row>
    <row r="3243" spans="11:12" x14ac:dyDescent="0.45">
      <c r="K3243" s="5">
        <v>3241</v>
      </c>
      <c r="L3243" s="73">
        <v>64.000000000000014</v>
      </c>
    </row>
    <row r="3244" spans="11:12" x14ac:dyDescent="0.45">
      <c r="K3244" s="5">
        <v>3242</v>
      </c>
      <c r="L3244" s="73">
        <v>26.800000000000004</v>
      </c>
    </row>
    <row r="3245" spans="11:12" x14ac:dyDescent="0.45">
      <c r="K3245" s="5">
        <v>3243</v>
      </c>
      <c r="L3245" s="73">
        <v>5.3290705182007514E-15</v>
      </c>
    </row>
    <row r="3246" spans="11:12" x14ac:dyDescent="0.45">
      <c r="K3246" s="5">
        <v>3244</v>
      </c>
      <c r="L3246" s="73">
        <v>-25.799999999999997</v>
      </c>
    </row>
    <row r="3247" spans="11:12" x14ac:dyDescent="0.45">
      <c r="K3247" s="5">
        <v>3245</v>
      </c>
      <c r="L3247" s="73">
        <v>-19.099999999999994</v>
      </c>
    </row>
    <row r="3248" spans="11:12" x14ac:dyDescent="0.45">
      <c r="K3248" s="5">
        <v>3246</v>
      </c>
      <c r="L3248" s="73">
        <v>5.3290705182007514E-15</v>
      </c>
    </row>
    <row r="3249" spans="11:12" x14ac:dyDescent="0.45">
      <c r="K3249" s="5">
        <v>3247</v>
      </c>
      <c r="L3249" s="73">
        <v>3.2000000000000055</v>
      </c>
    </row>
    <row r="3250" spans="11:12" x14ac:dyDescent="0.45">
      <c r="K3250" s="5">
        <v>3248</v>
      </c>
      <c r="L3250" s="73">
        <v>-44.4</v>
      </c>
    </row>
    <row r="3251" spans="11:12" x14ac:dyDescent="0.45">
      <c r="K3251" s="5">
        <v>3249</v>
      </c>
      <c r="L3251" s="73">
        <v>1.7763568394002505E-15</v>
      </c>
    </row>
    <row r="3252" spans="11:12" x14ac:dyDescent="0.45">
      <c r="K3252" s="5">
        <v>3250</v>
      </c>
      <c r="L3252" s="73">
        <v>-26.299999999999997</v>
      </c>
    </row>
    <row r="3253" spans="11:12" x14ac:dyDescent="0.45">
      <c r="K3253" s="5">
        <v>3251</v>
      </c>
      <c r="L3253" s="73">
        <v>-25.5</v>
      </c>
    </row>
    <row r="3254" spans="11:12" x14ac:dyDescent="0.45">
      <c r="K3254" s="5">
        <v>3252</v>
      </c>
      <c r="L3254" s="73">
        <v>1.7763568394002505E-15</v>
      </c>
    </row>
    <row r="3255" spans="11:12" x14ac:dyDescent="0.45">
      <c r="K3255" s="5">
        <v>3253</v>
      </c>
      <c r="L3255" s="73">
        <v>54.7</v>
      </c>
    </row>
    <row r="3256" spans="11:12" x14ac:dyDescent="0.45">
      <c r="K3256" s="5">
        <v>3254</v>
      </c>
      <c r="L3256" s="73">
        <v>50.300000000000004</v>
      </c>
    </row>
    <row r="3257" spans="11:12" x14ac:dyDescent="0.45">
      <c r="K3257" s="5">
        <v>3255</v>
      </c>
      <c r="L3257" s="73">
        <v>8.8817841970012523E-15</v>
      </c>
    </row>
    <row r="3258" spans="11:12" x14ac:dyDescent="0.45">
      <c r="K3258" s="5">
        <v>3256</v>
      </c>
      <c r="L3258" s="73">
        <v>8.6000000000000085</v>
      </c>
    </row>
    <row r="3259" spans="11:12" x14ac:dyDescent="0.45">
      <c r="K3259" s="5">
        <v>3257</v>
      </c>
      <c r="L3259" s="73">
        <v>47.300000000000011</v>
      </c>
    </row>
    <row r="3260" spans="11:12" x14ac:dyDescent="0.45">
      <c r="K3260" s="5">
        <v>3258</v>
      </c>
      <c r="L3260" s="73">
        <v>1.5987211554602254E-14</v>
      </c>
    </row>
    <row r="3261" spans="11:12" x14ac:dyDescent="0.45">
      <c r="K3261" s="5">
        <v>3259</v>
      </c>
      <c r="L3261" s="73">
        <v>-11.799999999999985</v>
      </c>
    </row>
    <row r="3262" spans="11:12" x14ac:dyDescent="0.45">
      <c r="K3262" s="5">
        <v>3260</v>
      </c>
      <c r="L3262" s="73">
        <v>-44.79999999999999</v>
      </c>
    </row>
    <row r="3263" spans="11:12" x14ac:dyDescent="0.45">
      <c r="K3263" s="5">
        <v>3261</v>
      </c>
      <c r="L3263" s="73">
        <v>8.8817841970012523E-15</v>
      </c>
    </row>
    <row r="3264" spans="11:12" x14ac:dyDescent="0.45">
      <c r="K3264" s="5">
        <v>3262</v>
      </c>
      <c r="L3264" s="73">
        <v>-45.599999999999994</v>
      </c>
    </row>
    <row r="3265" spans="11:12" x14ac:dyDescent="0.45">
      <c r="K3265" s="5">
        <v>3263</v>
      </c>
      <c r="L3265" s="73">
        <v>3.9000000000000075</v>
      </c>
    </row>
    <row r="3266" spans="11:12" x14ac:dyDescent="0.45">
      <c r="K3266" s="5">
        <v>3264</v>
      </c>
      <c r="L3266" s="73">
        <v>7.5495165674510645E-15</v>
      </c>
    </row>
    <row r="3267" spans="11:12" x14ac:dyDescent="0.45">
      <c r="K3267" s="5">
        <v>3265</v>
      </c>
      <c r="L3267" s="73">
        <v>45.300000000000004</v>
      </c>
    </row>
    <row r="3268" spans="11:12" x14ac:dyDescent="0.45">
      <c r="K3268" s="5">
        <v>3266</v>
      </c>
      <c r="L3268" s="73">
        <v>40.6</v>
      </c>
    </row>
    <row r="3269" spans="11:12" x14ac:dyDescent="0.45">
      <c r="K3269" s="5">
        <v>3267</v>
      </c>
      <c r="L3269" s="73">
        <v>1.7763568394002505E-15</v>
      </c>
    </row>
    <row r="3270" spans="11:12" x14ac:dyDescent="0.45">
      <c r="K3270" s="5">
        <v>3268</v>
      </c>
      <c r="L3270" s="73">
        <v>-54.4</v>
      </c>
    </row>
    <row r="3271" spans="11:12" x14ac:dyDescent="0.45">
      <c r="K3271" s="5">
        <v>3269</v>
      </c>
      <c r="L3271" s="73">
        <v>16.600000000000001</v>
      </c>
    </row>
    <row r="3272" spans="11:12" x14ac:dyDescent="0.45">
      <c r="K3272" s="5">
        <v>3270</v>
      </c>
      <c r="L3272" s="73">
        <v>1.7763568394002505E-15</v>
      </c>
    </row>
    <row r="3273" spans="11:12" x14ac:dyDescent="0.45">
      <c r="K3273" s="5">
        <v>3271</v>
      </c>
      <c r="L3273" s="73">
        <v>-23.699999999999996</v>
      </c>
    </row>
    <row r="3274" spans="11:12" x14ac:dyDescent="0.45">
      <c r="K3274" s="5">
        <v>3272</v>
      </c>
      <c r="L3274" s="73">
        <v>-22.299999999999997</v>
      </c>
    </row>
    <row r="3275" spans="11:12" x14ac:dyDescent="0.45">
      <c r="K3275" s="5">
        <v>3273</v>
      </c>
      <c r="L3275" s="73">
        <v>1.7763568394002505E-15</v>
      </c>
    </row>
    <row r="3276" spans="11:12" x14ac:dyDescent="0.45">
      <c r="K3276" s="5">
        <v>3274</v>
      </c>
      <c r="L3276" s="73">
        <v>-50.4</v>
      </c>
    </row>
    <row r="3277" spans="11:12" x14ac:dyDescent="0.45">
      <c r="K3277" s="5">
        <v>3275</v>
      </c>
      <c r="L3277" s="73">
        <v>-79.099999999999994</v>
      </c>
    </row>
    <row r="3278" spans="11:12" x14ac:dyDescent="0.45">
      <c r="K3278" s="5">
        <v>3276</v>
      </c>
      <c r="L3278" s="73">
        <v>-5.3290705182007514E-15</v>
      </c>
    </row>
    <row r="3279" spans="11:12" x14ac:dyDescent="0.45">
      <c r="K3279" s="5">
        <v>3277</v>
      </c>
      <c r="L3279" s="73">
        <v>29.399999999999991</v>
      </c>
    </row>
    <row r="3280" spans="11:12" x14ac:dyDescent="0.45">
      <c r="K3280" s="5">
        <v>3278</v>
      </c>
      <c r="L3280" s="73">
        <v>-6.5000000000000053</v>
      </c>
    </row>
    <row r="3281" spans="11:12" x14ac:dyDescent="0.45">
      <c r="K3281" s="5">
        <v>3279</v>
      </c>
      <c r="L3281" s="73">
        <v>-5.3290705182007514E-15</v>
      </c>
    </row>
    <row r="3282" spans="11:12" x14ac:dyDescent="0.45">
      <c r="K3282" s="5">
        <v>3280</v>
      </c>
      <c r="L3282" s="73">
        <v>12.499999999999995</v>
      </c>
    </row>
    <row r="3283" spans="11:12" x14ac:dyDescent="0.45">
      <c r="K3283" s="5">
        <v>3281</v>
      </c>
      <c r="L3283" s="73">
        <v>13.199999999999994</v>
      </c>
    </row>
    <row r="3284" spans="11:12" x14ac:dyDescent="0.45">
      <c r="K3284" s="5">
        <v>3282</v>
      </c>
      <c r="L3284" s="73">
        <v>-5.3290705182007514E-15</v>
      </c>
    </row>
    <row r="3285" spans="11:12" x14ac:dyDescent="0.45">
      <c r="K3285" s="5">
        <v>3283</v>
      </c>
      <c r="L3285" s="73">
        <v>40.099999999999994</v>
      </c>
    </row>
    <row r="3286" spans="11:12" x14ac:dyDescent="0.45">
      <c r="K3286" s="5">
        <v>3284</v>
      </c>
      <c r="L3286" s="73">
        <v>4.7999999999999989</v>
      </c>
    </row>
    <row r="3287" spans="11:12" x14ac:dyDescent="0.45">
      <c r="K3287" s="5">
        <v>3285</v>
      </c>
      <c r="L3287" s="73">
        <v>-8.8817841970012523E-16</v>
      </c>
    </row>
    <row r="3288" spans="11:12" x14ac:dyDescent="0.45">
      <c r="K3288" s="5">
        <v>3286</v>
      </c>
      <c r="L3288" s="73">
        <v>5.4999999999999991</v>
      </c>
    </row>
    <row r="3289" spans="11:12" x14ac:dyDescent="0.45">
      <c r="K3289" s="5">
        <v>3287</v>
      </c>
      <c r="L3289" s="73">
        <v>-45.1</v>
      </c>
    </row>
    <row r="3290" spans="11:12" x14ac:dyDescent="0.45">
      <c r="K3290" s="5">
        <v>3288</v>
      </c>
      <c r="L3290" s="73">
        <v>1.7763568394002505E-15</v>
      </c>
    </row>
    <row r="3291" spans="11:12" x14ac:dyDescent="0.45">
      <c r="K3291" s="5">
        <v>3289</v>
      </c>
      <c r="L3291" s="73">
        <v>-25.9</v>
      </c>
    </row>
    <row r="3292" spans="11:12" x14ac:dyDescent="0.45">
      <c r="K3292" s="5">
        <v>3290</v>
      </c>
      <c r="L3292" s="73">
        <v>-21</v>
      </c>
    </row>
    <row r="3293" spans="11:12" x14ac:dyDescent="0.45">
      <c r="K3293" s="5">
        <v>3291</v>
      </c>
      <c r="L3293" s="73">
        <v>1.7763568394002505E-15</v>
      </c>
    </row>
    <row r="3294" spans="11:12" x14ac:dyDescent="0.45">
      <c r="K3294" s="5">
        <v>3292</v>
      </c>
      <c r="L3294" s="73">
        <v>73.7</v>
      </c>
    </row>
    <row r="3295" spans="11:12" x14ac:dyDescent="0.45">
      <c r="K3295" s="5">
        <v>3293</v>
      </c>
      <c r="L3295" s="73">
        <v>51.199999999999996</v>
      </c>
    </row>
    <row r="3296" spans="11:12" x14ac:dyDescent="0.45">
      <c r="K3296" s="5">
        <v>3294</v>
      </c>
      <c r="L3296" s="73">
        <v>-5.3290705182007514E-15</v>
      </c>
    </row>
    <row r="3297" spans="11:12" x14ac:dyDescent="0.45">
      <c r="K3297" s="5">
        <v>3295</v>
      </c>
      <c r="L3297" s="73">
        <v>-65.2</v>
      </c>
    </row>
    <row r="3298" spans="11:12" x14ac:dyDescent="0.45">
      <c r="K3298" s="5">
        <v>3296</v>
      </c>
      <c r="L3298" s="73">
        <v>-45.800000000000011</v>
      </c>
    </row>
    <row r="3299" spans="11:12" x14ac:dyDescent="0.45">
      <c r="K3299" s="5">
        <v>3297</v>
      </c>
      <c r="L3299" s="73">
        <v>-1.2434497875801753E-14</v>
      </c>
    </row>
    <row r="3300" spans="11:12" x14ac:dyDescent="0.45">
      <c r="K3300" s="5">
        <v>3298</v>
      </c>
      <c r="L3300" s="73">
        <v>6.4999999999999876</v>
      </c>
    </row>
    <row r="3301" spans="11:12" x14ac:dyDescent="0.45">
      <c r="K3301" s="5">
        <v>3299</v>
      </c>
      <c r="L3301" s="73">
        <v>-32.500000000000014</v>
      </c>
    </row>
    <row r="3302" spans="11:12" x14ac:dyDescent="0.45">
      <c r="K3302" s="5">
        <v>3300</v>
      </c>
      <c r="L3302" s="73">
        <v>-1.2434497875801753E-14</v>
      </c>
    </row>
    <row r="3303" spans="11:12" x14ac:dyDescent="0.45">
      <c r="K3303" s="5">
        <v>3301</v>
      </c>
      <c r="L3303" s="73">
        <v>-23.300000000000011</v>
      </c>
    </row>
    <row r="3304" spans="11:12" x14ac:dyDescent="0.45">
      <c r="K3304" s="5">
        <v>3302</v>
      </c>
      <c r="L3304" s="73">
        <v>-57.900000000000013</v>
      </c>
    </row>
    <row r="3305" spans="11:12" x14ac:dyDescent="0.45">
      <c r="K3305" s="5">
        <v>3303</v>
      </c>
      <c r="L3305" s="73">
        <v>-1.2434497875801753E-14</v>
      </c>
    </row>
    <row r="3306" spans="11:12" x14ac:dyDescent="0.45">
      <c r="K3306" s="5">
        <v>3304</v>
      </c>
      <c r="L3306" s="73">
        <v>-39.100000000000016</v>
      </c>
    </row>
    <row r="3307" spans="11:12" x14ac:dyDescent="0.45">
      <c r="K3307" s="5">
        <v>3305</v>
      </c>
      <c r="L3307" s="73">
        <v>-25.300000000000011</v>
      </c>
    </row>
    <row r="3308" spans="11:12" x14ac:dyDescent="0.45">
      <c r="K3308" s="5">
        <v>3306</v>
      </c>
      <c r="L3308" s="73">
        <v>-1.2434497875801753E-14</v>
      </c>
    </row>
    <row r="3309" spans="11:12" x14ac:dyDescent="0.45">
      <c r="K3309" s="5">
        <v>3307</v>
      </c>
      <c r="L3309" s="73">
        <v>-6.3000000000000123</v>
      </c>
    </row>
    <row r="3310" spans="11:12" x14ac:dyDescent="0.45">
      <c r="K3310" s="5">
        <v>3308</v>
      </c>
      <c r="L3310" s="73">
        <v>45.599999999999987</v>
      </c>
    </row>
    <row r="3311" spans="11:12" x14ac:dyDescent="0.45">
      <c r="K3311" s="5">
        <v>3309</v>
      </c>
      <c r="L3311" s="73">
        <v>-1.2434497875801753E-14</v>
      </c>
    </row>
    <row r="3312" spans="11:12" x14ac:dyDescent="0.45">
      <c r="K3312" s="5">
        <v>3310</v>
      </c>
      <c r="L3312" s="73">
        <v>28.499999999999986</v>
      </c>
    </row>
    <row r="3313" spans="11:12" x14ac:dyDescent="0.45">
      <c r="K3313" s="5">
        <v>3311</v>
      </c>
      <c r="L3313" s="73">
        <v>8.2999999999999883</v>
      </c>
    </row>
    <row r="3314" spans="11:12" x14ac:dyDescent="0.45">
      <c r="K3314" s="5">
        <v>3312</v>
      </c>
      <c r="L3314" s="73">
        <v>-1.2434497875801753E-14</v>
      </c>
    </row>
    <row r="3315" spans="11:12" x14ac:dyDescent="0.45">
      <c r="K3315" s="5">
        <v>3313</v>
      </c>
      <c r="L3315" s="73">
        <v>-25.70000000000001</v>
      </c>
    </row>
    <row r="3316" spans="11:12" x14ac:dyDescent="0.45">
      <c r="K3316" s="5">
        <v>3314</v>
      </c>
      <c r="L3316" s="73">
        <v>-18.600000000000016</v>
      </c>
    </row>
    <row r="3317" spans="11:12" x14ac:dyDescent="0.45">
      <c r="K3317" s="5">
        <v>3315</v>
      </c>
      <c r="L3317" s="73">
        <v>-1.2434497875801753E-14</v>
      </c>
    </row>
    <row r="3318" spans="11:12" x14ac:dyDescent="0.45">
      <c r="K3318" s="5">
        <v>3316</v>
      </c>
      <c r="L3318" s="73">
        <v>-1.4000000000000123</v>
      </c>
    </row>
    <row r="3319" spans="11:12" x14ac:dyDescent="0.45">
      <c r="K3319" s="5">
        <v>3317</v>
      </c>
      <c r="L3319" s="73">
        <v>21.79999999999999</v>
      </c>
    </row>
    <row r="3320" spans="11:12" x14ac:dyDescent="0.45">
      <c r="K3320" s="5">
        <v>3318</v>
      </c>
      <c r="L3320" s="73">
        <v>-1.2434497875801753E-14</v>
      </c>
    </row>
    <row r="3321" spans="11:12" x14ac:dyDescent="0.45">
      <c r="K3321" s="5">
        <v>3319</v>
      </c>
      <c r="L3321" s="73">
        <v>-33.000000000000014</v>
      </c>
    </row>
    <row r="3322" spans="11:12" x14ac:dyDescent="0.45">
      <c r="K3322" s="5">
        <v>3320</v>
      </c>
      <c r="L3322" s="73">
        <v>-40.900000000000013</v>
      </c>
    </row>
    <row r="3323" spans="11:12" x14ac:dyDescent="0.45">
      <c r="K3323" s="5">
        <v>3321</v>
      </c>
      <c r="L3323" s="73">
        <v>-1.2434497875801753E-14</v>
      </c>
    </row>
    <row r="3324" spans="11:12" x14ac:dyDescent="0.45">
      <c r="K3324" s="5">
        <v>3322</v>
      </c>
      <c r="L3324" s="73">
        <v>-3.4000000000000123</v>
      </c>
    </row>
    <row r="3325" spans="11:12" x14ac:dyDescent="0.45">
      <c r="K3325" s="5">
        <v>3323</v>
      </c>
      <c r="L3325" s="73">
        <v>14.499999999999986</v>
      </c>
    </row>
    <row r="3326" spans="11:12" x14ac:dyDescent="0.45">
      <c r="K3326" s="5">
        <v>3324</v>
      </c>
      <c r="L3326" s="73">
        <v>-1.4210854715202004E-14</v>
      </c>
    </row>
    <row r="3327" spans="11:12" x14ac:dyDescent="0.45">
      <c r="K3327" s="5">
        <v>3325</v>
      </c>
      <c r="L3327" s="73">
        <v>-29.800000000000018</v>
      </c>
    </row>
    <row r="3328" spans="11:12" x14ac:dyDescent="0.45">
      <c r="K3328" s="5">
        <v>3326</v>
      </c>
      <c r="L3328" s="73">
        <v>4.0999999999999819</v>
      </c>
    </row>
    <row r="3329" spans="11:12" x14ac:dyDescent="0.45">
      <c r="K3329" s="5">
        <v>3327</v>
      </c>
      <c r="L3329" s="73">
        <v>-1.7763568394002505E-14</v>
      </c>
    </row>
    <row r="3330" spans="11:12" x14ac:dyDescent="0.45">
      <c r="K3330" s="5">
        <v>3328</v>
      </c>
      <c r="L3330" s="73">
        <v>13.499999999999982</v>
      </c>
    </row>
    <row r="3331" spans="11:12" x14ac:dyDescent="0.45">
      <c r="K3331" s="5">
        <v>3329</v>
      </c>
      <c r="L3331" s="73">
        <v>-34.500000000000021</v>
      </c>
    </row>
    <row r="3332" spans="11:12" x14ac:dyDescent="0.45">
      <c r="K3332" s="5">
        <v>3330</v>
      </c>
      <c r="L3332" s="73">
        <v>-1.9539925233402755E-14</v>
      </c>
    </row>
    <row r="3333" spans="11:12" x14ac:dyDescent="0.45">
      <c r="K3333" s="5">
        <v>3331</v>
      </c>
      <c r="L3333" s="73">
        <v>-46.300000000000018</v>
      </c>
    </row>
    <row r="3334" spans="11:12" x14ac:dyDescent="0.45">
      <c r="K3334" s="5">
        <v>3332</v>
      </c>
      <c r="L3334" s="73">
        <v>-43.500000000000021</v>
      </c>
    </row>
    <row r="3335" spans="11:12" x14ac:dyDescent="0.45">
      <c r="K3335" s="5">
        <v>3333</v>
      </c>
      <c r="L3335" s="73">
        <v>-1.9539925233402755E-14</v>
      </c>
    </row>
    <row r="3336" spans="11:12" x14ac:dyDescent="0.45">
      <c r="K3336" s="5">
        <v>3334</v>
      </c>
      <c r="L3336" s="73">
        <v>-23.600000000000023</v>
      </c>
    </row>
    <row r="3337" spans="11:12" x14ac:dyDescent="0.45">
      <c r="K3337" s="5">
        <v>3335</v>
      </c>
      <c r="L3337" s="73">
        <v>45.499999999999972</v>
      </c>
    </row>
    <row r="3338" spans="11:12" x14ac:dyDescent="0.45">
      <c r="K3338" s="5">
        <v>3336</v>
      </c>
      <c r="L3338" s="73">
        <v>-2.6645352591003757E-14</v>
      </c>
    </row>
    <row r="3339" spans="11:12" x14ac:dyDescent="0.45">
      <c r="K3339" s="5">
        <v>3337</v>
      </c>
      <c r="L3339" s="73">
        <v>3.3999999999999733</v>
      </c>
    </row>
    <row r="3340" spans="11:12" x14ac:dyDescent="0.45">
      <c r="K3340" s="5">
        <v>3338</v>
      </c>
      <c r="L3340" s="73">
        <v>-15.300000000000026</v>
      </c>
    </row>
    <row r="3341" spans="11:12" x14ac:dyDescent="0.45">
      <c r="K3341" s="5">
        <v>3339</v>
      </c>
      <c r="L3341" s="73">
        <v>-2.4868995751603507E-14</v>
      </c>
    </row>
    <row r="3342" spans="11:12" x14ac:dyDescent="0.45">
      <c r="K3342" s="5">
        <v>3340</v>
      </c>
      <c r="L3342" s="73">
        <v>-20.700000000000024</v>
      </c>
    </row>
    <row r="3343" spans="11:12" x14ac:dyDescent="0.45">
      <c r="K3343" s="5">
        <v>3341</v>
      </c>
      <c r="L3343" s="73">
        <v>-19.500000000000021</v>
      </c>
    </row>
    <row r="3344" spans="11:12" x14ac:dyDescent="0.45">
      <c r="K3344" s="5">
        <v>3342</v>
      </c>
      <c r="L3344" s="73">
        <v>-2.3092638912203256E-14</v>
      </c>
    </row>
    <row r="3345" spans="11:12" x14ac:dyDescent="0.45">
      <c r="K3345" s="5">
        <v>3343</v>
      </c>
      <c r="L3345" s="73">
        <v>-8.9000000000000234</v>
      </c>
    </row>
    <row r="3346" spans="11:12" x14ac:dyDescent="0.45">
      <c r="K3346" s="5">
        <v>3344</v>
      </c>
      <c r="L3346" s="73">
        <v>27.099999999999973</v>
      </c>
    </row>
    <row r="3347" spans="11:12" x14ac:dyDescent="0.45">
      <c r="K3347" s="5">
        <v>3345</v>
      </c>
      <c r="L3347" s="73">
        <v>-2.6645352591003757E-14</v>
      </c>
    </row>
    <row r="3348" spans="11:12" x14ac:dyDescent="0.45">
      <c r="K3348" s="5">
        <v>3346</v>
      </c>
      <c r="L3348" s="73">
        <v>-15.700000000000026</v>
      </c>
    </row>
    <row r="3349" spans="11:12" x14ac:dyDescent="0.45">
      <c r="K3349" s="5">
        <v>3347</v>
      </c>
      <c r="L3349" s="73">
        <v>4.6999999999999726</v>
      </c>
    </row>
    <row r="3350" spans="11:12" x14ac:dyDescent="0.45">
      <c r="K3350" s="5">
        <v>3348</v>
      </c>
      <c r="L3350" s="73">
        <v>-2.7533531010703882E-14</v>
      </c>
    </row>
    <row r="3351" spans="11:12" x14ac:dyDescent="0.45">
      <c r="K3351" s="5">
        <v>3349</v>
      </c>
      <c r="L3351" s="73">
        <v>-16.000000000000028</v>
      </c>
    </row>
    <row r="3352" spans="11:12" x14ac:dyDescent="0.45">
      <c r="K3352" s="5">
        <v>3350</v>
      </c>
      <c r="L3352" s="73">
        <v>1.4999999999999734</v>
      </c>
    </row>
    <row r="3353" spans="11:12" x14ac:dyDescent="0.45">
      <c r="K3353" s="5">
        <v>3351</v>
      </c>
      <c r="L3353" s="73">
        <v>-2.6645352591003757E-14</v>
      </c>
    </row>
    <row r="3354" spans="11:12" x14ac:dyDescent="0.45">
      <c r="K3354" s="5">
        <v>3352</v>
      </c>
      <c r="L3354" s="73">
        <v>-34.800000000000026</v>
      </c>
    </row>
    <row r="3355" spans="11:12" x14ac:dyDescent="0.45">
      <c r="K3355" s="5">
        <v>3353</v>
      </c>
      <c r="L3355" s="73">
        <v>-50.800000000000026</v>
      </c>
    </row>
    <row r="3356" spans="11:12" x14ac:dyDescent="0.45">
      <c r="K3356" s="5">
        <v>3354</v>
      </c>
      <c r="L3356" s="73">
        <v>-2.6645352591003757E-14</v>
      </c>
    </row>
    <row r="3357" spans="11:12" x14ac:dyDescent="0.45">
      <c r="K3357" s="5">
        <v>3355</v>
      </c>
      <c r="L3357" s="73">
        <v>33.199999999999974</v>
      </c>
    </row>
    <row r="3358" spans="11:12" x14ac:dyDescent="0.45">
      <c r="K3358" s="5">
        <v>3356</v>
      </c>
      <c r="L3358" s="73">
        <v>41.599999999999973</v>
      </c>
    </row>
    <row r="3359" spans="11:12" x14ac:dyDescent="0.45">
      <c r="K3359" s="5">
        <v>3357</v>
      </c>
      <c r="L3359" s="73">
        <v>-2.6645352591003757E-14</v>
      </c>
    </row>
    <row r="3360" spans="11:12" x14ac:dyDescent="0.45">
      <c r="K3360" s="5">
        <v>3358</v>
      </c>
      <c r="L3360" s="73">
        <v>11.899999999999974</v>
      </c>
    </row>
    <row r="3361" spans="11:12" x14ac:dyDescent="0.45">
      <c r="K3361" s="5">
        <v>3359</v>
      </c>
      <c r="L3361" s="73">
        <v>36.199999999999974</v>
      </c>
    </row>
    <row r="3362" spans="11:12" x14ac:dyDescent="0.45">
      <c r="K3362" s="5">
        <v>3360</v>
      </c>
      <c r="L3362" s="73">
        <v>-2.6645352591003757E-14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DF56E-57C1-4E02-96AF-168AA540683C}">
  <sheetPr codeName="Sheet4"/>
  <dimension ref="A1:Q78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195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779</v>
      </c>
      <c r="C2" s="132"/>
      <c r="E2" s="43" t="s">
        <v>66</v>
      </c>
      <c r="F2" s="25" t="s">
        <v>22</v>
      </c>
      <c r="G2" s="13">
        <v>1430</v>
      </c>
      <c r="H2" s="106">
        <f>IF(B$51=0,0,G2/B$51)</f>
        <v>0.7255200405885337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1203.2341526520052</v>
      </c>
      <c r="P2" s="92">
        <v>773</v>
      </c>
      <c r="Q2" s="76">
        <v>930100</v>
      </c>
    </row>
    <row r="3" spans="1:17" x14ac:dyDescent="0.45">
      <c r="A3" s="37" t="s">
        <v>8</v>
      </c>
      <c r="B3" s="143">
        <v>6219</v>
      </c>
      <c r="C3" s="144"/>
      <c r="E3" s="44" t="s">
        <v>72</v>
      </c>
      <c r="F3" s="41" t="s">
        <v>27</v>
      </c>
      <c r="G3" s="34">
        <v>1069</v>
      </c>
      <c r="H3" s="107">
        <f>IF(B$51=0,0,G3/B$51)</f>
        <v>0.54236428209030951</v>
      </c>
      <c r="I3" s="68">
        <v>9</v>
      </c>
      <c r="K3" s="5">
        <v>1</v>
      </c>
      <c r="L3" s="73">
        <v>15</v>
      </c>
      <c r="N3" s="89" t="s">
        <v>127</v>
      </c>
      <c r="O3" s="96">
        <f t="shared" si="0"/>
        <v>1495.6233421750662</v>
      </c>
      <c r="P3" s="93">
        <v>754</v>
      </c>
      <c r="Q3" s="77">
        <v>1127700</v>
      </c>
    </row>
    <row r="4" spans="1:17" x14ac:dyDescent="0.45">
      <c r="A4" s="37" t="s">
        <v>6</v>
      </c>
      <c r="B4" s="145">
        <v>7350.4</v>
      </c>
      <c r="C4" s="146"/>
      <c r="E4" s="44" t="s">
        <v>64</v>
      </c>
      <c r="F4" s="41" t="s">
        <v>20</v>
      </c>
      <c r="G4" s="34">
        <v>938</v>
      </c>
      <c r="H4" s="107">
        <f>IF(B$51=0,0,G4/B$51)</f>
        <v>0.47590055809233889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1501.6736401673641</v>
      </c>
      <c r="P4" s="93">
        <v>717</v>
      </c>
      <c r="Q4" s="77">
        <v>1076700</v>
      </c>
    </row>
    <row r="5" spans="1:17" x14ac:dyDescent="0.45">
      <c r="A5" s="37" t="s">
        <v>7</v>
      </c>
      <c r="B5" s="139">
        <f>IF(B$2=0,0,B$4/B$2)</f>
        <v>9.4356867779204094</v>
      </c>
      <c r="C5" s="140"/>
      <c r="E5" s="44" t="s">
        <v>68</v>
      </c>
      <c r="F5" s="41" t="s">
        <v>12</v>
      </c>
      <c r="G5" s="34">
        <v>584</v>
      </c>
      <c r="H5" s="107">
        <f>IF(B$51=0,0,G5/B$51)</f>
        <v>0.29629629629629628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1544.2748091603053</v>
      </c>
      <c r="P5" s="93">
        <v>655</v>
      </c>
      <c r="Q5" s="77">
        <v>1011500</v>
      </c>
    </row>
    <row r="6" spans="1:17" x14ac:dyDescent="0.45">
      <c r="A6" s="37" t="s">
        <v>1</v>
      </c>
      <c r="B6" s="137">
        <f>IF(B$2=0,0,(B$7*1+B$8*2+B$9*3)/B$2)</f>
        <v>1.761232349165597</v>
      </c>
      <c r="C6" s="138"/>
      <c r="E6" s="44" t="s">
        <v>157</v>
      </c>
      <c r="F6" s="41" t="s">
        <v>158</v>
      </c>
      <c r="G6" s="34">
        <v>565</v>
      </c>
      <c r="H6" s="107">
        <f>IF(B$51=0,0,G6/B$51)</f>
        <v>0.28665651953323185</v>
      </c>
      <c r="I6" s="68">
        <v>14</v>
      </c>
      <c r="K6" s="5">
        <v>4</v>
      </c>
      <c r="L6" s="73">
        <v>114.30000000000001</v>
      </c>
      <c r="N6" s="89" t="s">
        <v>130</v>
      </c>
      <c r="O6" s="96">
        <f t="shared" si="0"/>
        <v>1184.263959390863</v>
      </c>
      <c r="P6" s="93">
        <v>591</v>
      </c>
      <c r="Q6" s="77">
        <v>699900</v>
      </c>
    </row>
    <row r="7" spans="1:17" x14ac:dyDescent="0.45">
      <c r="A7" s="37" t="s">
        <v>2</v>
      </c>
      <c r="B7" s="34">
        <v>360</v>
      </c>
      <c r="C7" s="31">
        <f t="shared" ref="C7:C14" si="1">IF(B$2=0,0,B7/B$2)</f>
        <v>0.46213093709884467</v>
      </c>
      <c r="E7" s="44" t="s">
        <v>67</v>
      </c>
      <c r="F7" s="41" t="s">
        <v>23</v>
      </c>
      <c r="G7" s="34">
        <v>550</v>
      </c>
      <c r="H7" s="107">
        <f>IF(B$51=0,0,G7/B$51)</f>
        <v>0.27904616945712835</v>
      </c>
      <c r="I7" s="68">
        <v>11</v>
      </c>
      <c r="K7" s="5">
        <v>5</v>
      </c>
      <c r="L7" s="73">
        <v>145.80000000000001</v>
      </c>
      <c r="N7" s="90" t="s">
        <v>131</v>
      </c>
      <c r="O7" s="97">
        <f t="shared" si="0"/>
        <v>1559.3429158110882</v>
      </c>
      <c r="P7" s="94">
        <v>487</v>
      </c>
      <c r="Q7" s="78">
        <v>759400</v>
      </c>
    </row>
    <row r="8" spans="1:17" x14ac:dyDescent="0.45">
      <c r="A8" s="37" t="s">
        <v>3</v>
      </c>
      <c r="B8" s="34">
        <v>245</v>
      </c>
      <c r="C8" s="31">
        <f t="shared" si="1"/>
        <v>0.31450577663671375</v>
      </c>
      <c r="E8" s="44" t="s">
        <v>89</v>
      </c>
      <c r="F8" s="41" t="s">
        <v>44</v>
      </c>
      <c r="G8" s="34">
        <v>324</v>
      </c>
      <c r="H8" s="107">
        <f>IF(B$51=0,0,G8/B$51)</f>
        <v>0.16438356164383561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174</v>
      </c>
      <c r="C9" s="7">
        <f t="shared" si="1"/>
        <v>0.2233632862644416</v>
      </c>
      <c r="E9" s="44" t="s">
        <v>69</v>
      </c>
      <c r="F9" s="41" t="s">
        <v>24</v>
      </c>
      <c r="G9" s="34">
        <v>288</v>
      </c>
      <c r="H9" s="107">
        <f>IF(B$51=0,0,G9/B$51)</f>
        <v>0.14611872146118721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37.593611111111102</v>
      </c>
      <c r="C10" s="121">
        <v>13533.699999999997</v>
      </c>
      <c r="E10" s="44" t="s">
        <v>65</v>
      </c>
      <c r="F10" s="41" t="s">
        <v>21</v>
      </c>
      <c r="G10" s="34">
        <v>232</v>
      </c>
      <c r="H10" s="107">
        <f>IF(B$51=0,0,G10/B$51)</f>
        <v>0.11770674784373414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11.278604651162793</v>
      </c>
      <c r="P10" s="92">
        <v>215</v>
      </c>
      <c r="Q10" s="80">
        <v>2424.9000000000005</v>
      </c>
    </row>
    <row r="11" spans="1:17" x14ac:dyDescent="0.45">
      <c r="A11" s="38" t="s">
        <v>204</v>
      </c>
      <c r="B11" s="120">
        <f>IF(B8=0,0,C11/B8)</f>
        <v>2.0408163265305715E-2</v>
      </c>
      <c r="C11" s="121">
        <v>4.9999999999999005</v>
      </c>
      <c r="E11" s="44" t="s">
        <v>70</v>
      </c>
      <c r="F11" s="41" t="s">
        <v>25</v>
      </c>
      <c r="G11" s="34">
        <v>149</v>
      </c>
      <c r="H11" s="107">
        <f>IF(B$51=0,0,G11/B$51)</f>
        <v>7.559614408929477E-2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7.683467741935484</v>
      </c>
      <c r="P11" s="93">
        <v>248</v>
      </c>
      <c r="Q11" s="81">
        <v>1905.5</v>
      </c>
    </row>
    <row r="12" spans="1:17" x14ac:dyDescent="0.45">
      <c r="A12" s="38" t="s">
        <v>205</v>
      </c>
      <c r="B12" s="120">
        <f>IF(B9=0,0,C12/B9)</f>
        <v>-35.564942528735635</v>
      </c>
      <c r="C12" s="121">
        <v>-6188.3000000000011</v>
      </c>
      <c r="E12" s="44" t="s">
        <v>86</v>
      </c>
      <c r="F12" s="41" t="s">
        <v>41</v>
      </c>
      <c r="G12" s="34">
        <v>133</v>
      </c>
      <c r="H12" s="107">
        <f>IF(B$51=0,0,G12/B$51)</f>
        <v>6.7478437341451036E-2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9.5603833865814707</v>
      </c>
      <c r="P12" s="94">
        <v>313</v>
      </c>
      <c r="Q12" s="82">
        <v>2992.4000000000005</v>
      </c>
    </row>
    <row r="13" spans="1:17" x14ac:dyDescent="0.45">
      <c r="A13" s="38" t="s">
        <v>206</v>
      </c>
      <c r="B13" s="139">
        <f>AVERAGE(B10:B12)</f>
        <v>0.68302558188025841</v>
      </c>
      <c r="C13" s="140"/>
      <c r="E13" s="44" t="s">
        <v>71</v>
      </c>
      <c r="F13" s="41" t="s">
        <v>26</v>
      </c>
      <c r="G13" s="34">
        <v>132</v>
      </c>
      <c r="H13" s="107">
        <f>IF(B$51=0,0,G13/B$51)</f>
        <v>6.6971080669710803E-2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60</v>
      </c>
      <c r="C14" s="32">
        <f t="shared" si="1"/>
        <v>7.702182284980745E-2</v>
      </c>
      <c r="E14" s="44" t="s">
        <v>83</v>
      </c>
      <c r="F14" s="41" t="s">
        <v>38</v>
      </c>
      <c r="G14" s="34">
        <v>90</v>
      </c>
      <c r="H14" s="107">
        <f>IF(B$51=0,0,G14/B$51)</f>
        <v>4.5662100456621002E-2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1643</v>
      </c>
      <c r="C15" s="11">
        <f>IF(B$50=0,0,B15/B$50)</f>
        <v>0.28509456880097173</v>
      </c>
      <c r="E15" s="44" t="s">
        <v>153</v>
      </c>
      <c r="F15" s="41" t="s">
        <v>154</v>
      </c>
      <c r="G15" s="34">
        <v>49</v>
      </c>
      <c r="H15" s="107">
        <f>IF(B$51=0,0,G15/B$51)</f>
        <v>2.4860476915271434E-2</v>
      </c>
      <c r="I15" s="68">
        <v>3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1260</v>
      </c>
      <c r="C16" s="31">
        <f>IF(B$50=0,0,B16/B$50)</f>
        <v>0.21863612701717855</v>
      </c>
      <c r="E16" s="44" t="s">
        <v>78</v>
      </c>
      <c r="F16" s="41" t="s">
        <v>33</v>
      </c>
      <c r="G16" s="34">
        <v>47</v>
      </c>
      <c r="H16" s="107">
        <f>IF(B$51=0,0,G16/B$51)</f>
        <v>2.3845763571790968E-2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994</v>
      </c>
      <c r="C17" s="4">
        <f>IF(B$15=0,0,B17/B$15)</f>
        <v>0.60499087035909926</v>
      </c>
      <c r="E17" s="44" t="s">
        <v>81</v>
      </c>
      <c r="F17" s="41" t="s">
        <v>36</v>
      </c>
      <c r="G17" s="34">
        <v>39</v>
      </c>
      <c r="H17" s="107">
        <f>IF(B$51=0,0,G17/B$51)</f>
        <v>1.9786910197869101E-2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613</v>
      </c>
      <c r="C18" s="4">
        <f>IF(B$16=0,0,B18/B$16)</f>
        <v>0.4865079365079365</v>
      </c>
      <c r="E18" s="44" t="s">
        <v>91</v>
      </c>
      <c r="F18" s="41" t="s">
        <v>46</v>
      </c>
      <c r="G18" s="34">
        <v>31</v>
      </c>
      <c r="H18" s="107">
        <f>IF(B$51=0,0,G18/B$51)</f>
        <v>1.5728056823947234E-2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40.286666666666662</v>
      </c>
      <c r="P18" s="93">
        <v>15</v>
      </c>
      <c r="Q18" s="81">
        <v>604.29999999999995</v>
      </c>
    </row>
    <row r="19" spans="1:17" x14ac:dyDescent="0.45">
      <c r="A19" s="19" t="s">
        <v>10</v>
      </c>
      <c r="B19" s="13">
        <v>2127</v>
      </c>
      <c r="C19" s="4">
        <f>IF(B$3=0,0,B19/B$3)</f>
        <v>0.34201640135069949</v>
      </c>
      <c r="E19" s="44" t="s">
        <v>79</v>
      </c>
      <c r="F19" s="41" t="s">
        <v>34</v>
      </c>
      <c r="G19" s="34">
        <v>23</v>
      </c>
      <c r="H19" s="107">
        <f>IF(B$51=0,0,G19/B$51)</f>
        <v>1.1669203450025367E-2</v>
      </c>
      <c r="I19" s="68">
        <v>13</v>
      </c>
      <c r="K19" s="5">
        <v>17</v>
      </c>
      <c r="L19" s="73">
        <v>-29.499999999999986</v>
      </c>
      <c r="N19" s="89" t="s">
        <v>197</v>
      </c>
      <c r="O19" s="99">
        <f>IF(P19=0,0,Q19/P19)</f>
        <v>30.043333333333344</v>
      </c>
      <c r="P19" s="93">
        <v>30</v>
      </c>
      <c r="Q19" s="81">
        <v>901.3000000000003</v>
      </c>
    </row>
    <row r="20" spans="1:17" x14ac:dyDescent="0.45">
      <c r="A20" s="37" t="s">
        <v>13</v>
      </c>
      <c r="B20" s="34">
        <v>864</v>
      </c>
      <c r="C20" s="31">
        <f>IF(B$3=0,0,B20/B$3)</f>
        <v>0.13892908827785819</v>
      </c>
      <c r="E20" s="44" t="s">
        <v>92</v>
      </c>
      <c r="F20" s="41" t="s">
        <v>47</v>
      </c>
      <c r="G20" s="34">
        <v>16</v>
      </c>
      <c r="H20" s="107">
        <f>IF(B$51=0,0,G20/B$51)</f>
        <v>8.1177067478437337E-3</v>
      </c>
      <c r="I20" s="68">
        <v>4</v>
      </c>
      <c r="K20" s="5">
        <v>18</v>
      </c>
      <c r="L20" s="73">
        <v>-14.599999999999985</v>
      </c>
      <c r="N20" s="89" t="s">
        <v>200</v>
      </c>
      <c r="O20" s="99">
        <f>IF(P20=0,0,Q20/P20)</f>
        <v>29.599999999999998</v>
      </c>
      <c r="P20" s="93">
        <v>1</v>
      </c>
      <c r="Q20" s="81">
        <v>29.599999999999998</v>
      </c>
    </row>
    <row r="21" spans="1:17" x14ac:dyDescent="0.45">
      <c r="A21" s="37" t="s">
        <v>12</v>
      </c>
      <c r="B21" s="34">
        <v>888</v>
      </c>
      <c r="C21" s="31">
        <f>IF(B$19=0,0,B21/B$19)</f>
        <v>0.41748942172073344</v>
      </c>
      <c r="E21" s="44" t="s">
        <v>77</v>
      </c>
      <c r="F21" s="41" t="s">
        <v>32</v>
      </c>
      <c r="G21" s="34">
        <v>13</v>
      </c>
      <c r="H21" s="107">
        <f>IF(B$51=0,0,G21/B$51)</f>
        <v>6.5956367326230336E-3</v>
      </c>
      <c r="I21" s="68">
        <v>4</v>
      </c>
      <c r="K21" s="5">
        <v>19</v>
      </c>
      <c r="L21" s="73">
        <v>42.600000000000016</v>
      </c>
      <c r="N21" s="89" t="s">
        <v>186</v>
      </c>
      <c r="O21" s="99">
        <f>IF(P21=0,0,Q21/P21)</f>
        <v>24.82586206896552</v>
      </c>
      <c r="P21" s="93">
        <v>58</v>
      </c>
      <c r="Q21" s="81">
        <v>1439.9</v>
      </c>
    </row>
    <row r="22" spans="1:17" x14ac:dyDescent="0.45">
      <c r="A22" s="37" t="s">
        <v>11</v>
      </c>
      <c r="B22" s="34">
        <v>1239</v>
      </c>
      <c r="C22" s="31">
        <f>IF(B$19=0,0,B22/B$19)</f>
        <v>0.58251057827926656</v>
      </c>
      <c r="E22" s="44" t="s">
        <v>85</v>
      </c>
      <c r="F22" s="41" t="s">
        <v>40</v>
      </c>
      <c r="G22" s="34">
        <v>13</v>
      </c>
      <c r="H22" s="107">
        <f>IF(B$51=0,0,G22/B$51)</f>
        <v>6.5956367326230336E-3</v>
      </c>
      <c r="I22" s="68">
        <v>3</v>
      </c>
      <c r="K22" s="5">
        <v>20</v>
      </c>
      <c r="L22" s="73">
        <v>68.800000000000011</v>
      </c>
      <c r="N22" s="89" t="s">
        <v>188</v>
      </c>
      <c r="O22" s="99">
        <f>IF(P22=0,0,Q22/P22)</f>
        <v>20.182022471910113</v>
      </c>
      <c r="P22" s="93">
        <v>178</v>
      </c>
      <c r="Q22" s="81">
        <v>3592.4</v>
      </c>
    </row>
    <row r="23" spans="1:17" x14ac:dyDescent="0.45">
      <c r="A23" s="37" t="s">
        <v>180</v>
      </c>
      <c r="B23" s="34">
        <v>994</v>
      </c>
      <c r="C23" s="31">
        <f>IF(B$19=0,0,B23/B$19)</f>
        <v>0.46732487070992007</v>
      </c>
      <c r="E23" s="44" t="s">
        <v>75</v>
      </c>
      <c r="F23" s="41" t="s">
        <v>30</v>
      </c>
      <c r="G23" s="34">
        <v>10</v>
      </c>
      <c r="H23" s="107">
        <f>IF(B$51=0,0,G23/B$51)</f>
        <v>5.0735667174023336E-3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18.018181818181823</v>
      </c>
      <c r="P23" s="93">
        <v>187</v>
      </c>
      <c r="Q23" s="81">
        <v>3369.400000000001</v>
      </c>
    </row>
    <row r="24" spans="1:17" x14ac:dyDescent="0.45">
      <c r="A24" s="37" t="s">
        <v>178</v>
      </c>
      <c r="B24" s="34">
        <v>613</v>
      </c>
      <c r="C24" s="31">
        <f>IF(B$19=0,0,B24/B$19)</f>
        <v>0.28819934179595674</v>
      </c>
      <c r="E24" s="44" t="s">
        <v>73</v>
      </c>
      <c r="F24" s="41" t="s">
        <v>28</v>
      </c>
      <c r="G24" s="34">
        <v>8</v>
      </c>
      <c r="H24" s="107">
        <f>IF(B$51=0,0,G24/B$51)</f>
        <v>4.0588533739218668E-3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15.314067278287462</v>
      </c>
      <c r="P24" s="93">
        <v>327</v>
      </c>
      <c r="Q24" s="81">
        <v>5007.7</v>
      </c>
    </row>
    <row r="25" spans="1:17" x14ac:dyDescent="0.45">
      <c r="A25" s="37" t="s">
        <v>179</v>
      </c>
      <c r="B25" s="34">
        <v>520</v>
      </c>
      <c r="C25" s="31">
        <f>IF(B$19=0,0,B25/B$19)</f>
        <v>0.24447578749412319</v>
      </c>
      <c r="E25" s="44" t="s">
        <v>74</v>
      </c>
      <c r="F25" s="41" t="s">
        <v>29</v>
      </c>
      <c r="G25" s="34">
        <v>6</v>
      </c>
      <c r="H25" s="107">
        <f>IF(B$51=0,0,G25/B$51)</f>
        <v>3.0441400304414001E-3</v>
      </c>
      <c r="I25" s="68">
        <v>8</v>
      </c>
      <c r="K25" s="5">
        <v>23</v>
      </c>
      <c r="L25" s="73">
        <v>124.50000000000001</v>
      </c>
      <c r="N25" s="89" t="s">
        <v>193</v>
      </c>
      <c r="O25" s="99">
        <f>IF(P25=0,0,Q25/P25)</f>
        <v>12.54112903225807</v>
      </c>
      <c r="P25" s="93">
        <v>372</v>
      </c>
      <c r="Q25" s="81">
        <v>4665.300000000002</v>
      </c>
    </row>
    <row r="26" spans="1:17" x14ac:dyDescent="0.45">
      <c r="A26" s="37" t="s">
        <v>5</v>
      </c>
      <c r="B26" s="17">
        <f>IF(B$19=0,0,C26/B$19)</f>
        <v>9207.0992007522327</v>
      </c>
      <c r="C26" s="8">
        <v>19583500</v>
      </c>
      <c r="E26" s="44" t="s">
        <v>84</v>
      </c>
      <c r="F26" s="41" t="s">
        <v>39</v>
      </c>
      <c r="G26" s="34">
        <v>5</v>
      </c>
      <c r="H26" s="107">
        <f>IF(B$51=0,0,G26/B$51)</f>
        <v>2.5367833587011668E-3</v>
      </c>
      <c r="I26" s="68">
        <v>4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8" t="s">
        <v>162</v>
      </c>
      <c r="B27" s="114">
        <f>IF($B$19-B$18=0,0,C27/($B$19-B$18))</f>
        <v>9622.258916776751</v>
      </c>
      <c r="C27" s="115">
        <v>14568100</v>
      </c>
      <c r="E27" s="44" t="s">
        <v>87</v>
      </c>
      <c r="F27" s="41" t="s">
        <v>42</v>
      </c>
      <c r="G27" s="34">
        <v>5</v>
      </c>
      <c r="H27" s="107">
        <f>IF(B$51=0,0,G27/B$51)</f>
        <v>2.5367833587011668E-3</v>
      </c>
      <c r="I27" s="68">
        <v>4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38" t="s">
        <v>163</v>
      </c>
      <c r="B28" s="114">
        <f>IF(B$18=0,0,C28/B$18)</f>
        <v>8181.7292006525286</v>
      </c>
      <c r="C28" s="115">
        <v>5015400</v>
      </c>
      <c r="E28" s="44" t="s">
        <v>90</v>
      </c>
      <c r="F28" s="41" t="s">
        <v>45</v>
      </c>
      <c r="G28" s="34">
        <v>5</v>
      </c>
      <c r="H28" s="107">
        <f>IF(B$51=0,0,G28/B$51)</f>
        <v>2.5367833587011668E-3</v>
      </c>
      <c r="I28" s="68">
        <v>2</v>
      </c>
      <c r="K28" s="5">
        <v>26</v>
      </c>
      <c r="L28" s="73">
        <v>108.20000000000002</v>
      </c>
      <c r="N28" s="89" t="s">
        <v>191</v>
      </c>
      <c r="O28" s="99">
        <f>IF(P28=0,0,Q28/P28)</f>
        <v>5.0847517730496445</v>
      </c>
      <c r="P28" s="93">
        <v>282</v>
      </c>
      <c r="Q28" s="81">
        <v>1433.8999999999996</v>
      </c>
    </row>
    <row r="29" spans="1:17" x14ac:dyDescent="0.45">
      <c r="A29" s="38" t="s">
        <v>161</v>
      </c>
      <c r="B29" s="114">
        <f>IF(B$20=0,0,C29/B$20)</f>
        <v>-8344.6759259259252</v>
      </c>
      <c r="C29" s="115">
        <v>-7209800</v>
      </c>
      <c r="E29" s="44" t="s">
        <v>93</v>
      </c>
      <c r="F29" s="41" t="s">
        <v>48</v>
      </c>
      <c r="G29" s="34">
        <v>5</v>
      </c>
      <c r="H29" s="107">
        <f>IF(B$51=0,0,G29/B$51)</f>
        <v>2.5367833587011668E-3</v>
      </c>
      <c r="I29" s="68">
        <v>5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5</v>
      </c>
      <c r="H30" s="107">
        <f>IF(B$51=0,0,G30/B$51)</f>
        <v>2.5367833587011668E-3</v>
      </c>
      <c r="I30" s="68">
        <v>2</v>
      </c>
      <c r="K30" s="5">
        <v>28</v>
      </c>
      <c r="L30" s="73">
        <v>129.20000000000002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88</v>
      </c>
      <c r="F31" s="41" t="s">
        <v>43</v>
      </c>
      <c r="G31" s="34">
        <v>4</v>
      </c>
      <c r="H31" s="107">
        <f>IF(B$51=0,0,G31/B$51)</f>
        <v>2.0294266869609334E-3</v>
      </c>
      <c r="I31" s="68">
        <v>4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35">
        <v>10</v>
      </c>
      <c r="C32" s="136"/>
      <c r="E32" s="44" t="s">
        <v>106</v>
      </c>
      <c r="F32" s="41" t="s">
        <v>113</v>
      </c>
      <c r="G32" s="34">
        <v>3</v>
      </c>
      <c r="H32" s="107">
        <f>IF(B$51=0,0,G32/B$51)</f>
        <v>1.5220700152207001E-3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33">
        <v>149100</v>
      </c>
      <c r="C33" s="134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8.0398777938575335E-4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6">
        <v>134</v>
      </c>
      <c r="C36" s="119">
        <f>IF(B$19=0,0,B36/B$19)</f>
        <v>6.2999529854254818E-2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280</v>
      </c>
      <c r="C37" s="31">
        <f t="shared" ref="C37:C48" si="2">IF(B$19=0,0,B37/B$19)</f>
        <v>0.1316408086506817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7">
        <v>377</v>
      </c>
      <c r="C38" s="31">
        <f>IF(B$19=0,0,B38/B$19)</f>
        <v>0.17724494593323931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7">
        <v>386</v>
      </c>
      <c r="C39" s="31">
        <f t="shared" si="2"/>
        <v>0.18147625763986835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7">
        <v>294</v>
      </c>
      <c r="C40" s="31">
        <f t="shared" si="2"/>
        <v>0.1382228490832158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7">
        <v>207</v>
      </c>
      <c r="C41" s="31">
        <f t="shared" si="2"/>
        <v>9.7320169252468267E-2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7">
        <v>128</v>
      </c>
      <c r="C42" s="31">
        <f t="shared" si="2"/>
        <v>6.0178655383168779E-2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7">
        <v>60</v>
      </c>
      <c r="C43" s="31">
        <f t="shared" si="2"/>
        <v>2.8208744710860368E-2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7">
        <v>39</v>
      </c>
      <c r="C44" s="31">
        <f t="shared" si="2"/>
        <v>1.8335684062059238E-2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7">
        <v>18</v>
      </c>
      <c r="C45" s="31">
        <f t="shared" si="2"/>
        <v>8.4626234132581107E-3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7">
        <v>10</v>
      </c>
      <c r="C46" s="31">
        <f t="shared" si="2"/>
        <v>4.7014574518100608E-3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7">
        <v>3</v>
      </c>
      <c r="C47" s="31">
        <f t="shared" si="2"/>
        <v>1.4104372355430183E-3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8">
        <v>35</v>
      </c>
      <c r="C48" s="32">
        <f t="shared" si="2"/>
        <v>1.6455101081335213E-2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31">
        <v>5763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29">
        <v>1971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  <row r="701" spans="11:12" x14ac:dyDescent="0.45">
      <c r="K701" s="5">
        <v>699</v>
      </c>
      <c r="L701" s="73">
        <v>6647</v>
      </c>
    </row>
    <row r="702" spans="11:12" x14ac:dyDescent="0.45">
      <c r="K702" s="5">
        <v>700</v>
      </c>
      <c r="L702" s="73">
        <v>6672.5999999999995</v>
      </c>
    </row>
    <row r="703" spans="11:12" x14ac:dyDescent="0.45">
      <c r="K703" s="5">
        <v>701</v>
      </c>
      <c r="L703" s="73">
        <v>6679</v>
      </c>
    </row>
    <row r="704" spans="11:12" x14ac:dyDescent="0.45">
      <c r="K704" s="5">
        <v>702</v>
      </c>
      <c r="L704" s="73">
        <v>6668.4</v>
      </c>
    </row>
    <row r="705" spans="11:12" x14ac:dyDescent="0.45">
      <c r="K705" s="5">
        <v>703</v>
      </c>
      <c r="L705" s="73">
        <v>6638.2999999999993</v>
      </c>
    </row>
    <row r="706" spans="11:12" x14ac:dyDescent="0.45">
      <c r="K706" s="5">
        <v>704</v>
      </c>
      <c r="L706" s="73">
        <v>6644.2999999999993</v>
      </c>
    </row>
    <row r="707" spans="11:12" x14ac:dyDescent="0.45">
      <c r="K707" s="5">
        <v>705</v>
      </c>
      <c r="L707" s="73">
        <v>6595.7999999999993</v>
      </c>
    </row>
    <row r="708" spans="11:12" x14ac:dyDescent="0.45">
      <c r="K708" s="5">
        <v>706</v>
      </c>
      <c r="L708" s="73">
        <v>6581.4</v>
      </c>
    </row>
    <row r="709" spans="11:12" x14ac:dyDescent="0.45">
      <c r="K709" s="5">
        <v>707</v>
      </c>
      <c r="L709" s="73">
        <v>6604.4</v>
      </c>
    </row>
    <row r="710" spans="11:12" x14ac:dyDescent="0.45">
      <c r="K710" s="5">
        <v>708</v>
      </c>
      <c r="L710" s="73">
        <v>6632</v>
      </c>
    </row>
    <row r="711" spans="11:12" x14ac:dyDescent="0.45">
      <c r="K711" s="5">
        <v>709</v>
      </c>
      <c r="L711" s="73">
        <v>6680.4</v>
      </c>
    </row>
    <row r="712" spans="11:12" x14ac:dyDescent="0.45">
      <c r="K712" s="5">
        <v>710</v>
      </c>
      <c r="L712" s="73">
        <v>6718.9</v>
      </c>
    </row>
    <row r="713" spans="11:12" x14ac:dyDescent="0.45">
      <c r="K713" s="5">
        <v>711</v>
      </c>
      <c r="L713" s="73">
        <v>6758.0999999999995</v>
      </c>
    </row>
    <row r="714" spans="11:12" x14ac:dyDescent="0.45">
      <c r="K714" s="5">
        <v>712</v>
      </c>
      <c r="L714" s="73">
        <v>6818.5</v>
      </c>
    </row>
    <row r="715" spans="11:12" x14ac:dyDescent="0.45">
      <c r="K715" s="5">
        <v>713</v>
      </c>
      <c r="L715" s="73">
        <v>6817</v>
      </c>
    </row>
    <row r="716" spans="11:12" x14ac:dyDescent="0.45">
      <c r="K716" s="5">
        <v>714</v>
      </c>
      <c r="L716" s="73">
        <v>6820.4</v>
      </c>
    </row>
    <row r="717" spans="11:12" x14ac:dyDescent="0.45">
      <c r="K717" s="5">
        <v>715</v>
      </c>
      <c r="L717" s="73">
        <v>6862</v>
      </c>
    </row>
    <row r="718" spans="11:12" x14ac:dyDescent="0.45">
      <c r="K718" s="5">
        <v>716</v>
      </c>
      <c r="L718" s="73">
        <v>6883.4</v>
      </c>
    </row>
    <row r="719" spans="11:12" x14ac:dyDescent="0.45">
      <c r="K719" s="5">
        <v>717</v>
      </c>
      <c r="L719" s="73">
        <v>6887.4</v>
      </c>
    </row>
    <row r="720" spans="11:12" x14ac:dyDescent="0.45">
      <c r="K720" s="5">
        <v>718</v>
      </c>
      <c r="L720" s="73">
        <v>6851.5</v>
      </c>
    </row>
    <row r="721" spans="11:12" x14ac:dyDescent="0.45">
      <c r="K721" s="5">
        <v>719</v>
      </c>
      <c r="L721" s="73">
        <v>6870.2</v>
      </c>
    </row>
    <row r="722" spans="11:12" x14ac:dyDescent="0.45">
      <c r="K722" s="5">
        <v>720</v>
      </c>
      <c r="L722" s="73">
        <v>6947.9</v>
      </c>
    </row>
    <row r="723" spans="11:12" x14ac:dyDescent="0.45">
      <c r="K723" s="5">
        <v>721</v>
      </c>
      <c r="L723" s="73">
        <v>6961.5999999999995</v>
      </c>
    </row>
    <row r="724" spans="11:12" x14ac:dyDescent="0.45">
      <c r="K724" s="5">
        <v>722</v>
      </c>
      <c r="L724" s="73">
        <v>6916.9</v>
      </c>
    </row>
    <row r="725" spans="11:12" x14ac:dyDescent="0.45">
      <c r="K725" s="5">
        <v>723</v>
      </c>
      <c r="L725" s="73">
        <v>6915.9</v>
      </c>
    </row>
    <row r="726" spans="11:12" x14ac:dyDescent="0.45">
      <c r="K726" s="5">
        <v>724</v>
      </c>
      <c r="L726" s="73">
        <v>6968.0999999999995</v>
      </c>
    </row>
    <row r="727" spans="11:12" x14ac:dyDescent="0.45">
      <c r="K727" s="5">
        <v>725</v>
      </c>
      <c r="L727" s="73">
        <v>6932.4</v>
      </c>
    </row>
    <row r="728" spans="11:12" x14ac:dyDescent="0.45">
      <c r="K728" s="5">
        <v>726</v>
      </c>
      <c r="L728" s="73">
        <v>6992.7</v>
      </c>
    </row>
    <row r="729" spans="11:12" x14ac:dyDescent="0.45">
      <c r="K729" s="5">
        <v>727</v>
      </c>
      <c r="L729" s="73">
        <v>6961.7</v>
      </c>
    </row>
    <row r="730" spans="11:12" x14ac:dyDescent="0.45">
      <c r="K730" s="5">
        <v>728</v>
      </c>
      <c r="L730" s="73">
        <v>6998.9</v>
      </c>
    </row>
    <row r="731" spans="11:12" x14ac:dyDescent="0.45">
      <c r="K731" s="5">
        <v>729</v>
      </c>
      <c r="L731" s="73">
        <v>7000.4</v>
      </c>
    </row>
    <row r="732" spans="11:12" x14ac:dyDescent="0.45">
      <c r="K732" s="5">
        <v>730</v>
      </c>
      <c r="L732" s="73">
        <v>7006.0999999999995</v>
      </c>
    </row>
    <row r="733" spans="11:12" x14ac:dyDescent="0.45">
      <c r="K733" s="5">
        <v>731</v>
      </c>
      <c r="L733" s="73">
        <v>7005.2</v>
      </c>
    </row>
    <row r="734" spans="11:12" x14ac:dyDescent="0.45">
      <c r="K734" s="5">
        <v>732</v>
      </c>
      <c r="L734" s="73">
        <v>7063</v>
      </c>
    </row>
    <row r="735" spans="11:12" x14ac:dyDescent="0.45">
      <c r="K735" s="5">
        <v>733</v>
      </c>
      <c r="L735" s="73">
        <v>7115.7999999999993</v>
      </c>
    </row>
    <row r="736" spans="11:12" x14ac:dyDescent="0.45">
      <c r="K736" s="5">
        <v>734</v>
      </c>
      <c r="L736" s="73">
        <v>7188.7999999999993</v>
      </c>
    </row>
    <row r="737" spans="11:12" x14ac:dyDescent="0.45">
      <c r="K737" s="5">
        <v>735</v>
      </c>
      <c r="L737" s="73">
        <v>7184.5</v>
      </c>
    </row>
    <row r="738" spans="11:12" x14ac:dyDescent="0.45">
      <c r="K738" s="5">
        <v>736</v>
      </c>
      <c r="L738" s="73">
        <v>7244.2</v>
      </c>
    </row>
    <row r="739" spans="11:12" x14ac:dyDescent="0.45">
      <c r="K739" s="5">
        <v>737</v>
      </c>
      <c r="L739" s="73">
        <v>7249.2</v>
      </c>
    </row>
    <row r="740" spans="11:12" x14ac:dyDescent="0.45">
      <c r="K740" s="5">
        <v>738</v>
      </c>
      <c r="L740" s="73">
        <v>7280.7999999999993</v>
      </c>
    </row>
    <row r="741" spans="11:12" x14ac:dyDescent="0.45">
      <c r="K741" s="5">
        <v>739</v>
      </c>
      <c r="L741" s="73">
        <v>7342.4</v>
      </c>
    </row>
    <row r="742" spans="11:12" x14ac:dyDescent="0.45">
      <c r="K742" s="5">
        <v>740</v>
      </c>
      <c r="L742" s="73">
        <v>7319.9</v>
      </c>
    </row>
    <row r="743" spans="11:12" x14ac:dyDescent="0.45">
      <c r="K743" s="5">
        <v>741</v>
      </c>
      <c r="L743" s="73">
        <v>7325.4</v>
      </c>
    </row>
    <row r="744" spans="11:12" x14ac:dyDescent="0.45">
      <c r="K744" s="5">
        <v>742</v>
      </c>
      <c r="L744" s="73">
        <v>7301.9</v>
      </c>
    </row>
    <row r="745" spans="11:12" x14ac:dyDescent="0.45">
      <c r="K745" s="5">
        <v>743</v>
      </c>
      <c r="L745" s="73">
        <v>7296.5</v>
      </c>
    </row>
    <row r="746" spans="11:12" x14ac:dyDescent="0.45">
      <c r="K746" s="5">
        <v>744</v>
      </c>
      <c r="L746" s="73">
        <v>7310.2999999999993</v>
      </c>
    </row>
    <row r="747" spans="11:12" x14ac:dyDescent="0.45">
      <c r="K747" s="5">
        <v>745</v>
      </c>
      <c r="L747" s="73">
        <v>7245.2999999999993</v>
      </c>
    </row>
    <row r="748" spans="11:12" x14ac:dyDescent="0.45">
      <c r="K748" s="5">
        <v>746</v>
      </c>
      <c r="L748" s="73">
        <v>7283.2999999999993</v>
      </c>
    </row>
    <row r="749" spans="11:12" x14ac:dyDescent="0.45">
      <c r="K749" s="5">
        <v>747</v>
      </c>
      <c r="L749" s="73">
        <v>7242.5</v>
      </c>
    </row>
    <row r="750" spans="11:12" x14ac:dyDescent="0.45">
      <c r="K750" s="5">
        <v>748</v>
      </c>
      <c r="L750" s="73">
        <v>7216.7</v>
      </c>
    </row>
    <row r="751" spans="11:12" x14ac:dyDescent="0.45">
      <c r="K751" s="5">
        <v>749</v>
      </c>
      <c r="L751" s="73">
        <v>7219.9</v>
      </c>
    </row>
    <row r="752" spans="11:12" x14ac:dyDescent="0.45">
      <c r="K752" s="5">
        <v>750</v>
      </c>
      <c r="L752" s="73">
        <v>7245.4</v>
      </c>
    </row>
    <row r="753" spans="11:12" x14ac:dyDescent="0.45">
      <c r="K753" s="5">
        <v>751</v>
      </c>
      <c r="L753" s="73">
        <v>7241</v>
      </c>
    </row>
    <row r="754" spans="11:12" x14ac:dyDescent="0.45">
      <c r="K754" s="5">
        <v>752</v>
      </c>
      <c r="L754" s="73">
        <v>7249.5999999999995</v>
      </c>
    </row>
    <row r="755" spans="11:12" x14ac:dyDescent="0.45">
      <c r="K755" s="5">
        <v>753</v>
      </c>
      <c r="L755" s="73">
        <v>7294.4</v>
      </c>
    </row>
    <row r="756" spans="11:12" x14ac:dyDescent="0.45">
      <c r="K756" s="5">
        <v>754</v>
      </c>
      <c r="L756" s="73">
        <v>7290.5</v>
      </c>
    </row>
    <row r="757" spans="11:12" x14ac:dyDescent="0.45">
      <c r="K757" s="5">
        <v>755</v>
      </c>
      <c r="L757" s="73">
        <v>7335.7999999999993</v>
      </c>
    </row>
    <row r="758" spans="11:12" x14ac:dyDescent="0.45">
      <c r="K758" s="5">
        <v>756</v>
      </c>
      <c r="L758" s="73">
        <v>7406.7999999999993</v>
      </c>
    </row>
    <row r="759" spans="11:12" x14ac:dyDescent="0.45">
      <c r="K759" s="5">
        <v>757</v>
      </c>
      <c r="L759" s="73">
        <v>7429.0999999999995</v>
      </c>
    </row>
    <row r="760" spans="11:12" x14ac:dyDescent="0.45">
      <c r="K760" s="5">
        <v>758</v>
      </c>
      <c r="L760" s="73">
        <v>7378.7</v>
      </c>
    </row>
    <row r="761" spans="11:12" x14ac:dyDescent="0.45">
      <c r="K761" s="5">
        <v>759</v>
      </c>
      <c r="L761" s="73">
        <v>7408.0999999999995</v>
      </c>
    </row>
    <row r="762" spans="11:12" x14ac:dyDescent="0.45">
      <c r="K762" s="5">
        <v>760</v>
      </c>
      <c r="L762" s="73">
        <v>7408.7999999999993</v>
      </c>
    </row>
    <row r="763" spans="11:12" x14ac:dyDescent="0.45">
      <c r="K763" s="5">
        <v>761</v>
      </c>
      <c r="L763" s="73">
        <v>7358.2</v>
      </c>
    </row>
    <row r="764" spans="11:12" x14ac:dyDescent="0.45">
      <c r="K764" s="5">
        <v>762</v>
      </c>
      <c r="L764" s="73">
        <v>7363.0999999999995</v>
      </c>
    </row>
    <row r="765" spans="11:12" x14ac:dyDescent="0.45">
      <c r="K765" s="5">
        <v>763</v>
      </c>
      <c r="L765" s="73">
        <v>7324.0999999999995</v>
      </c>
    </row>
    <row r="766" spans="11:12" x14ac:dyDescent="0.45">
      <c r="K766" s="5">
        <v>764</v>
      </c>
      <c r="L766" s="73">
        <v>7317.7999999999993</v>
      </c>
    </row>
    <row r="767" spans="11:12" x14ac:dyDescent="0.45">
      <c r="K767" s="5">
        <v>765</v>
      </c>
      <c r="L767" s="73">
        <v>7346.2999999999993</v>
      </c>
    </row>
    <row r="768" spans="11:12" x14ac:dyDescent="0.45">
      <c r="K768" s="5">
        <v>766</v>
      </c>
      <c r="L768" s="73">
        <v>7364.9</v>
      </c>
    </row>
    <row r="769" spans="11:12" x14ac:dyDescent="0.45">
      <c r="K769" s="5">
        <v>767</v>
      </c>
      <c r="L769" s="73">
        <v>7363.5</v>
      </c>
    </row>
    <row r="770" spans="11:12" x14ac:dyDescent="0.45">
      <c r="K770" s="5">
        <v>768</v>
      </c>
      <c r="L770" s="73">
        <v>7355.5999999999995</v>
      </c>
    </row>
    <row r="771" spans="11:12" x14ac:dyDescent="0.45">
      <c r="K771" s="5">
        <v>769</v>
      </c>
      <c r="L771" s="73">
        <v>7352.2</v>
      </c>
    </row>
    <row r="772" spans="11:12" x14ac:dyDescent="0.45">
      <c r="K772" s="5">
        <v>770</v>
      </c>
      <c r="L772" s="73">
        <v>7348.0999999999995</v>
      </c>
    </row>
    <row r="773" spans="11:12" x14ac:dyDescent="0.45">
      <c r="K773" s="5">
        <v>771</v>
      </c>
      <c r="L773" s="73">
        <v>7300.0999999999995</v>
      </c>
    </row>
    <row r="774" spans="11:12" x14ac:dyDescent="0.45">
      <c r="K774" s="5">
        <v>772</v>
      </c>
      <c r="L774" s="73">
        <v>7253.8</v>
      </c>
    </row>
    <row r="775" spans="11:12" x14ac:dyDescent="0.45">
      <c r="K775" s="5">
        <v>773</v>
      </c>
      <c r="L775" s="73">
        <v>7230.2</v>
      </c>
    </row>
    <row r="776" spans="11:12" x14ac:dyDescent="0.45">
      <c r="K776" s="5">
        <v>774</v>
      </c>
      <c r="L776" s="73">
        <v>7231.4</v>
      </c>
    </row>
    <row r="777" spans="11:12" x14ac:dyDescent="0.45">
      <c r="K777" s="5">
        <v>775</v>
      </c>
      <c r="L777" s="73">
        <v>7267.4</v>
      </c>
    </row>
    <row r="778" spans="11:12" x14ac:dyDescent="0.45">
      <c r="K778" s="5">
        <v>776</v>
      </c>
      <c r="L778" s="73">
        <v>7287.8</v>
      </c>
    </row>
    <row r="779" spans="11:12" x14ac:dyDescent="0.45">
      <c r="K779" s="5">
        <v>777</v>
      </c>
      <c r="L779" s="73">
        <v>7305.3</v>
      </c>
    </row>
    <row r="780" spans="11:12" x14ac:dyDescent="0.45">
      <c r="K780" s="5">
        <v>778</v>
      </c>
      <c r="L780" s="73">
        <v>7338.5</v>
      </c>
    </row>
    <row r="781" spans="11:12" x14ac:dyDescent="0.45">
      <c r="K781" s="5">
        <v>779</v>
      </c>
      <c r="L781" s="73">
        <v>7350.4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0BCDC-F002-4696-9907-17A6684C1A2E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184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43">
        <v>25</v>
      </c>
      <c r="C3" s="144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45">
        <v>-132.1</v>
      </c>
      <c r="C4" s="146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9">
        <f>IF(B$2=0,0,B$4/B$2)</f>
        <v>-33.024999999999999</v>
      </c>
      <c r="C5" s="140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37">
        <f>IF(B$2=0,0,(B$7*1+B$8*2+B$9*3)/B$2)</f>
        <v>3</v>
      </c>
      <c r="C6" s="138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9">
        <f>AVERAGE(B10:B12)</f>
        <v>-11.008333333333333</v>
      </c>
      <c r="C13" s="140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11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10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0</v>
      </c>
      <c r="C32" s="136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3">
        <v>13000</v>
      </c>
      <c r="C33" s="134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9">
        <v>0</v>
      </c>
      <c r="C51" s="13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B472D-B645-455B-9C20-B8BE43CBD882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189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33</v>
      </c>
      <c r="C2" s="132"/>
      <c r="E2" s="43" t="s">
        <v>66</v>
      </c>
      <c r="F2" s="25" t="s">
        <v>22</v>
      </c>
      <c r="G2" s="13">
        <v>52</v>
      </c>
      <c r="H2" s="106">
        <f>IF(B$51=0,0,G2/B$51)</f>
        <v>0.70270270270270274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-2756.25</v>
      </c>
      <c r="P2" s="92">
        <v>32</v>
      </c>
      <c r="Q2" s="76">
        <v>-88200</v>
      </c>
    </row>
    <row r="3" spans="1:17" x14ac:dyDescent="0.45">
      <c r="A3" s="37" t="s">
        <v>8</v>
      </c>
      <c r="B3" s="143">
        <v>264</v>
      </c>
      <c r="C3" s="144"/>
      <c r="E3" s="44" t="s">
        <v>64</v>
      </c>
      <c r="F3" s="41" t="s">
        <v>20</v>
      </c>
      <c r="G3" s="34">
        <v>45</v>
      </c>
      <c r="H3" s="107">
        <f>IF(B$51=0,0,G3/B$51)</f>
        <v>0.60810810810810811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-1312.5</v>
      </c>
      <c r="P3" s="93">
        <v>32</v>
      </c>
      <c r="Q3" s="77">
        <v>-42000</v>
      </c>
    </row>
    <row r="4" spans="1:17" x14ac:dyDescent="0.45">
      <c r="A4" s="37" t="s">
        <v>6</v>
      </c>
      <c r="B4" s="145">
        <v>-256.89999999999998</v>
      </c>
      <c r="C4" s="146"/>
      <c r="E4" s="44" t="s">
        <v>72</v>
      </c>
      <c r="F4" s="41" t="s">
        <v>27</v>
      </c>
      <c r="G4" s="34">
        <v>37</v>
      </c>
      <c r="H4" s="107">
        <f>IF(B$51=0,0,G4/B$51)</f>
        <v>0.5</v>
      </c>
      <c r="I4" s="68">
        <v>13</v>
      </c>
      <c r="K4" s="5">
        <v>2</v>
      </c>
      <c r="L4" s="73">
        <v>-24.5</v>
      </c>
      <c r="N4" s="89" t="s">
        <v>128</v>
      </c>
      <c r="O4" s="96">
        <f t="shared" si="0"/>
        <v>-2771.875</v>
      </c>
      <c r="P4" s="93">
        <v>32</v>
      </c>
      <c r="Q4" s="77">
        <v>-88700</v>
      </c>
    </row>
    <row r="5" spans="1:17" x14ac:dyDescent="0.45">
      <c r="A5" s="37" t="s">
        <v>7</v>
      </c>
      <c r="B5" s="139">
        <f>IF(B$2=0,0,B$4/B$2)</f>
        <v>-7.7848484848484842</v>
      </c>
      <c r="C5" s="140"/>
      <c r="E5" s="44" t="s">
        <v>67</v>
      </c>
      <c r="F5" s="41" t="s">
        <v>23</v>
      </c>
      <c r="G5" s="34">
        <v>31</v>
      </c>
      <c r="H5" s="107">
        <f>IF(B$51=0,0,G5/B$51)</f>
        <v>0.41891891891891891</v>
      </c>
      <c r="I5" s="68">
        <v>4</v>
      </c>
      <c r="K5" s="5">
        <v>3</v>
      </c>
      <c r="L5" s="73">
        <v>-26.5</v>
      </c>
      <c r="N5" s="89" t="s">
        <v>129</v>
      </c>
      <c r="O5" s="96">
        <f t="shared" si="0"/>
        <v>1825</v>
      </c>
      <c r="P5" s="93">
        <v>28</v>
      </c>
      <c r="Q5" s="77">
        <v>51100</v>
      </c>
    </row>
    <row r="6" spans="1:17" x14ac:dyDescent="0.45">
      <c r="A6" s="37" t="s">
        <v>1</v>
      </c>
      <c r="B6" s="137">
        <f>IF(B$2=0,0,(B$7*1+B$8*2+B$9*3)/B$2)</f>
        <v>2.1515151515151514</v>
      </c>
      <c r="C6" s="138"/>
      <c r="E6" s="44" t="s">
        <v>68</v>
      </c>
      <c r="F6" s="41" t="s">
        <v>12</v>
      </c>
      <c r="G6" s="34">
        <v>27</v>
      </c>
      <c r="H6" s="107">
        <f>IF(B$51=0,0,G6/B$51)</f>
        <v>0.36486486486486486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500</v>
      </c>
      <c r="P6" s="93">
        <v>25</v>
      </c>
      <c r="Q6" s="77">
        <v>12500</v>
      </c>
    </row>
    <row r="7" spans="1:17" x14ac:dyDescent="0.45">
      <c r="A7" s="37" t="s">
        <v>2</v>
      </c>
      <c r="B7" s="34">
        <v>9</v>
      </c>
      <c r="C7" s="31">
        <f t="shared" ref="C7:C14" si="1">IF(B$2=0,0,B7/B$2)</f>
        <v>0.27272727272727271</v>
      </c>
      <c r="E7" s="44" t="s">
        <v>157</v>
      </c>
      <c r="F7" s="41" t="s">
        <v>158</v>
      </c>
      <c r="G7" s="34">
        <v>23</v>
      </c>
      <c r="H7" s="107">
        <f>IF(B$51=0,0,G7/B$51)</f>
        <v>0.3108108108108108</v>
      </c>
      <c r="I7" s="68">
        <v>12</v>
      </c>
      <c r="K7" s="5">
        <v>5</v>
      </c>
      <c r="L7" s="73">
        <v>2.1000000000000014</v>
      </c>
      <c r="N7" s="90" t="s">
        <v>131</v>
      </c>
      <c r="O7" s="97">
        <f t="shared" si="0"/>
        <v>-1854.5454545454545</v>
      </c>
      <c r="P7" s="94">
        <v>22</v>
      </c>
      <c r="Q7" s="78">
        <v>-40800</v>
      </c>
    </row>
    <row r="8" spans="1:17" x14ac:dyDescent="0.45">
      <c r="A8" s="37" t="s">
        <v>3</v>
      </c>
      <c r="B8" s="34">
        <v>10</v>
      </c>
      <c r="C8" s="31">
        <f t="shared" si="1"/>
        <v>0.30303030303030304</v>
      </c>
      <c r="E8" s="44" t="s">
        <v>65</v>
      </c>
      <c r="F8" s="41" t="s">
        <v>21</v>
      </c>
      <c r="G8" s="34">
        <v>11</v>
      </c>
      <c r="H8" s="107">
        <f>IF(B$51=0,0,G8/B$51)</f>
        <v>0.14864864864864866</v>
      </c>
      <c r="I8" s="68">
        <v>3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14</v>
      </c>
      <c r="C9" s="7">
        <f t="shared" si="1"/>
        <v>0.42424242424242425</v>
      </c>
      <c r="E9" s="44" t="s">
        <v>69</v>
      </c>
      <c r="F9" s="41" t="s">
        <v>24</v>
      </c>
      <c r="G9" s="34">
        <v>8</v>
      </c>
      <c r="H9" s="107">
        <f>IF(B$51=0,0,G9/B$51)</f>
        <v>0.10810810810810811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28.544444444444448</v>
      </c>
      <c r="C10" s="121">
        <v>256.90000000000003</v>
      </c>
      <c r="E10" s="44" t="s">
        <v>89</v>
      </c>
      <c r="F10" s="41" t="s">
        <v>44</v>
      </c>
      <c r="G10" s="34">
        <v>8</v>
      </c>
      <c r="H10" s="107">
        <f>IF(B$51=0,0,G10/B$51)</f>
        <v>0.10810810810810811</v>
      </c>
      <c r="I10" s="68">
        <v>12</v>
      </c>
      <c r="K10" s="5">
        <v>8</v>
      </c>
      <c r="L10" s="73">
        <v>37.6</v>
      </c>
      <c r="N10" s="88" t="s">
        <v>149</v>
      </c>
      <c r="O10" s="98">
        <f>IF(P10=0,0,Q10/P10)</f>
        <v>-13.972727272727271</v>
      </c>
      <c r="P10" s="92">
        <v>11</v>
      </c>
      <c r="Q10" s="80">
        <v>-153.69999999999999</v>
      </c>
    </row>
    <row r="11" spans="1:17" x14ac:dyDescent="0.45">
      <c r="A11" s="38" t="s">
        <v>204</v>
      </c>
      <c r="B11" s="120">
        <f>IF(B8=0,0,C11/B8)</f>
        <v>-0.13000000000000042</v>
      </c>
      <c r="C11" s="121">
        <v>-1.3000000000000043</v>
      </c>
      <c r="E11" s="44" t="s">
        <v>70</v>
      </c>
      <c r="F11" s="41" t="s">
        <v>25</v>
      </c>
      <c r="G11" s="34">
        <v>6</v>
      </c>
      <c r="H11" s="107">
        <f>IF(B$51=0,0,G11/B$51)</f>
        <v>8.1081081081081086E-2</v>
      </c>
      <c r="I11" s="68">
        <v>12</v>
      </c>
      <c r="K11" s="5">
        <v>9</v>
      </c>
      <c r="L11" s="73">
        <v>13.100000000000001</v>
      </c>
      <c r="N11" s="89" t="s">
        <v>150</v>
      </c>
      <c r="O11" s="99">
        <f>IF(P11=0,0,Q11/P11)</f>
        <v>-4.5785714285714283</v>
      </c>
      <c r="P11" s="93">
        <v>14</v>
      </c>
      <c r="Q11" s="81">
        <v>-64.099999999999994</v>
      </c>
    </row>
    <row r="12" spans="1:17" x14ac:dyDescent="0.45">
      <c r="A12" s="38" t="s">
        <v>205</v>
      </c>
      <c r="B12" s="120">
        <f>IF(B9=0,0,C12/B9)</f>
        <v>-36.607142857142854</v>
      </c>
      <c r="C12" s="121">
        <v>-512.5</v>
      </c>
      <c r="E12" s="44" t="s">
        <v>71</v>
      </c>
      <c r="F12" s="41" t="s">
        <v>26</v>
      </c>
      <c r="G12" s="34">
        <v>4</v>
      </c>
      <c r="H12" s="107">
        <f>IF(B$51=0,0,G12/B$51)</f>
        <v>5.4054054054054057E-2</v>
      </c>
      <c r="I12" s="68">
        <v>11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5">
      <c r="A13" s="38" t="s">
        <v>206</v>
      </c>
      <c r="B13" s="139">
        <f>AVERAGE(B10:B12)</f>
        <v>-2.7308994708994683</v>
      </c>
      <c r="C13" s="140"/>
      <c r="E13" s="44" t="s">
        <v>83</v>
      </c>
      <c r="F13" s="41" t="s">
        <v>38</v>
      </c>
      <c r="G13" s="34">
        <v>4</v>
      </c>
      <c r="H13" s="107">
        <f>IF(B$51=0,0,G13/B$51)</f>
        <v>5.4054054054054057E-2</v>
      </c>
      <c r="I13" s="68">
        <v>5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</v>
      </c>
      <c r="C14" s="32">
        <f t="shared" si="1"/>
        <v>0.15151515151515152</v>
      </c>
      <c r="E14" s="44" t="s">
        <v>75</v>
      </c>
      <c r="F14" s="41" t="s">
        <v>30</v>
      </c>
      <c r="G14" s="34">
        <v>2</v>
      </c>
      <c r="H14" s="107">
        <f>IF(B$51=0,0,G14/B$51)</f>
        <v>2.7027027027027029E-2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87</v>
      </c>
      <c r="C15" s="11">
        <f>IF(B$50=0,0,B15/B$50)</f>
        <v>0.3359073359073359</v>
      </c>
      <c r="E15" s="44" t="s">
        <v>79</v>
      </c>
      <c r="F15" s="41" t="s">
        <v>34</v>
      </c>
      <c r="G15" s="34">
        <v>2</v>
      </c>
      <c r="H15" s="107">
        <f>IF(B$51=0,0,G15/B$51)</f>
        <v>2.7027027027027029E-2</v>
      </c>
      <c r="I15" s="68">
        <v>3</v>
      </c>
      <c r="K15" s="5">
        <v>13</v>
      </c>
      <c r="L15" s="73">
        <v>64.199999999999989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5">
      <c r="A16" s="37" t="s">
        <v>118</v>
      </c>
      <c r="B16" s="34">
        <v>28</v>
      </c>
      <c r="C16" s="31">
        <f>IF(B$50=0,0,B16/B$50)</f>
        <v>0.10810810810810811</v>
      </c>
      <c r="E16" s="44" t="s">
        <v>85</v>
      </c>
      <c r="F16" s="41" t="s">
        <v>40</v>
      </c>
      <c r="G16" s="34">
        <v>2</v>
      </c>
      <c r="H16" s="107">
        <f>IF(B$51=0,0,G16/B$51)</f>
        <v>2.7027027027027029E-2</v>
      </c>
      <c r="I16" s="68">
        <v>1</v>
      </c>
      <c r="K16" s="5">
        <v>14</v>
      </c>
      <c r="L16" s="73">
        <v>70.599999999999994</v>
      </c>
      <c r="N16" s="89" t="s">
        <v>193</v>
      </c>
      <c r="O16" s="99">
        <f>IF(P16=0,0,Q16/P16)</f>
        <v>12.000000000000002</v>
      </c>
      <c r="P16" s="93">
        <v>6</v>
      </c>
      <c r="Q16" s="81">
        <v>72.000000000000014</v>
      </c>
    </row>
    <row r="17" spans="1:17" x14ac:dyDescent="0.45">
      <c r="A17" s="19" t="s">
        <v>123</v>
      </c>
      <c r="B17" s="13">
        <v>43</v>
      </c>
      <c r="C17" s="4">
        <f>IF(B$15=0,0,B17/B$15)</f>
        <v>0.4942528735632184</v>
      </c>
      <c r="E17" s="44" t="s">
        <v>86</v>
      </c>
      <c r="F17" s="41" t="s">
        <v>41</v>
      </c>
      <c r="G17" s="34">
        <v>2</v>
      </c>
      <c r="H17" s="107">
        <f>IF(B$51=0,0,G17/B$51)</f>
        <v>2.7027027027027029E-2</v>
      </c>
      <c r="I17" s="68">
        <v>14</v>
      </c>
      <c r="K17" s="5">
        <v>15</v>
      </c>
      <c r="L17" s="73">
        <v>38.699999999999996</v>
      </c>
      <c r="N17" s="89" t="s">
        <v>187</v>
      </c>
      <c r="O17" s="99">
        <f>IF(P17=0,0,Q17/P17)</f>
        <v>8.3571428571428594</v>
      </c>
      <c r="P17" s="93">
        <v>7</v>
      </c>
      <c r="Q17" s="81">
        <v>58.500000000000014</v>
      </c>
    </row>
    <row r="18" spans="1:17" x14ac:dyDescent="0.45">
      <c r="A18" s="19" t="s">
        <v>124</v>
      </c>
      <c r="B18" s="13">
        <v>18</v>
      </c>
      <c r="C18" s="4">
        <f>IF(B$16=0,0,B18/B$16)</f>
        <v>0.6428571428571429</v>
      </c>
      <c r="E18" s="44" t="s">
        <v>77</v>
      </c>
      <c r="F18" s="41" t="s">
        <v>32</v>
      </c>
      <c r="G18" s="34">
        <v>1</v>
      </c>
      <c r="H18" s="107">
        <f>IF(B$51=0,0,G18/B$51)</f>
        <v>1.3513513513513514E-2</v>
      </c>
      <c r="I18" s="68">
        <v>2</v>
      </c>
      <c r="K18" s="5">
        <v>16</v>
      </c>
      <c r="L18" s="73">
        <v>-10.600000000000001</v>
      </c>
      <c r="N18" s="89" t="s">
        <v>186</v>
      </c>
      <c r="O18" s="99">
        <f>IF(P18=0,0,Q18/P18)</f>
        <v>-0.16666666666666882</v>
      </c>
      <c r="P18" s="93">
        <v>3</v>
      </c>
      <c r="Q18" s="81">
        <v>-0.50000000000000644</v>
      </c>
    </row>
    <row r="19" spans="1:17" x14ac:dyDescent="0.45">
      <c r="A19" s="19" t="s">
        <v>10</v>
      </c>
      <c r="B19" s="13">
        <v>76</v>
      </c>
      <c r="C19" s="4">
        <f>IF(B$3=0,0,B19/B$3)</f>
        <v>0.2878787878787879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-63.1</v>
      </c>
      <c r="N19" s="89" t="s">
        <v>190</v>
      </c>
      <c r="O19" s="99">
        <f>IF(P19=0,0,Q19/P19)</f>
        <v>-0.34285714285714569</v>
      </c>
      <c r="P19" s="93">
        <v>7</v>
      </c>
      <c r="Q19" s="81">
        <v>-2.4000000000000199</v>
      </c>
    </row>
    <row r="20" spans="1:17" x14ac:dyDescent="0.45">
      <c r="A20" s="37" t="s">
        <v>13</v>
      </c>
      <c r="B20" s="34">
        <v>49</v>
      </c>
      <c r="C20" s="31">
        <f>IF(B$3=0,0,B20/B$3)</f>
        <v>0.18560606060606061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-71</v>
      </c>
      <c r="N20" s="89" t="s">
        <v>191</v>
      </c>
      <c r="O20" s="99">
        <f>IF(P20=0,0,Q20/P20)</f>
        <v>-3.8647058823529403</v>
      </c>
      <c r="P20" s="93">
        <v>17</v>
      </c>
      <c r="Q20" s="81">
        <v>-65.699999999999989</v>
      </c>
    </row>
    <row r="21" spans="1:17" x14ac:dyDescent="0.45">
      <c r="A21" s="37" t="s">
        <v>12</v>
      </c>
      <c r="B21" s="34">
        <v>40</v>
      </c>
      <c r="C21" s="31">
        <f>IF(B$19=0,0,B21/B$19)</f>
        <v>0.52631578947368418</v>
      </c>
      <c r="E21" s="44" t="s">
        <v>76</v>
      </c>
      <c r="F21" s="41" t="s">
        <v>31</v>
      </c>
      <c r="G21" s="34">
        <v>0</v>
      </c>
      <c r="H21" s="107">
        <f>IF(B$51=0,0,G21/B$51)</f>
        <v>0</v>
      </c>
      <c r="I21" s="68">
        <v>3</v>
      </c>
      <c r="K21" s="5">
        <v>19</v>
      </c>
      <c r="L21" s="73">
        <v>-40.6</v>
      </c>
      <c r="N21" s="89" t="s">
        <v>197</v>
      </c>
      <c r="O21" s="99">
        <f>IF(P21=0,0,Q21/P21)</f>
        <v>-22.933333333333334</v>
      </c>
      <c r="P21" s="93">
        <v>3</v>
      </c>
      <c r="Q21" s="81">
        <v>-68.8</v>
      </c>
    </row>
    <row r="22" spans="1:17" x14ac:dyDescent="0.45">
      <c r="A22" s="37" t="s">
        <v>11</v>
      </c>
      <c r="B22" s="34">
        <v>36</v>
      </c>
      <c r="C22" s="31">
        <f>IF(B$19=0,0,B22/B$19)</f>
        <v>0.47368421052631576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188</v>
      </c>
      <c r="O22" s="99">
        <f>IF(P22=0,0,Q22/P22)</f>
        <v>-26.928571428571427</v>
      </c>
      <c r="P22" s="93">
        <v>7</v>
      </c>
      <c r="Q22" s="81">
        <v>-188.5</v>
      </c>
    </row>
    <row r="23" spans="1:17" x14ac:dyDescent="0.45">
      <c r="A23" s="37" t="s">
        <v>180</v>
      </c>
      <c r="B23" s="34">
        <v>43</v>
      </c>
      <c r="C23" s="31">
        <f>IF(B$19=0,0,B23/B$19)</f>
        <v>0.56578947368421051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195</v>
      </c>
      <c r="O23" s="99">
        <f>IF(P23=0,0,Q23/P23)</f>
        <v>-40.286666666666662</v>
      </c>
      <c r="P23" s="93">
        <v>15</v>
      </c>
      <c r="Q23" s="81">
        <v>-604.29999999999995</v>
      </c>
    </row>
    <row r="24" spans="1:17" x14ac:dyDescent="0.45">
      <c r="A24" s="37" t="s">
        <v>178</v>
      </c>
      <c r="B24" s="34">
        <v>18</v>
      </c>
      <c r="C24" s="31">
        <f>IF(B$19=0,0,B24/B$19)</f>
        <v>0.23684210526315788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15</v>
      </c>
      <c r="C25" s="31">
        <f>IF(B$19=0,0,B25/B$19)</f>
        <v>0.19736842105263158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5">
      <c r="A26" s="37" t="s">
        <v>5</v>
      </c>
      <c r="B26" s="17">
        <f>IF(B$19=0,0,C26/B$19)</f>
        <v>7605.2631578947367</v>
      </c>
      <c r="C26" s="8">
        <v>578000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5">
      <c r="A27" s="38" t="s">
        <v>162</v>
      </c>
      <c r="B27" s="114">
        <f>IF($B$19-B$18=0,0,C27/($B$19-B$18))</f>
        <v>7822.4137931034484</v>
      </c>
      <c r="C27" s="115">
        <v>453700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-187.7</v>
      </c>
    </row>
    <row r="28" spans="1:17" x14ac:dyDescent="0.45">
      <c r="A28" s="38" t="s">
        <v>163</v>
      </c>
      <c r="B28" s="114">
        <f>IF(B$18=0,0,C28/B$18)</f>
        <v>6905.5555555555557</v>
      </c>
      <c r="C28" s="115">
        <v>124300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-226.9</v>
      </c>
    </row>
    <row r="29" spans="1:17" x14ac:dyDescent="0.45">
      <c r="A29" s="38" t="s">
        <v>161</v>
      </c>
      <c r="B29" s="114">
        <f>IF(B$20=0,0,C29/B$20)</f>
        <v>-8379.5918367346931</v>
      </c>
      <c r="C29" s="115">
        <v>-410600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-241.7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-235.3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-209.3</v>
      </c>
    </row>
    <row r="32" spans="1:17" x14ac:dyDescent="0.45">
      <c r="A32" s="64" t="s">
        <v>134</v>
      </c>
      <c r="B32" s="135">
        <v>7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-167.6</v>
      </c>
    </row>
    <row r="33" spans="1:12" x14ac:dyDescent="0.45">
      <c r="A33" s="40" t="s">
        <v>177</v>
      </c>
      <c r="B33" s="133">
        <v>66700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-178.29999999999998</v>
      </c>
    </row>
    <row r="34" spans="1:12" x14ac:dyDescent="0.45">
      <c r="A34" s="39" t="s">
        <v>135</v>
      </c>
      <c r="B34" s="27">
        <v>3</v>
      </c>
      <c r="C34" s="32">
        <f>IF(B$3=0,0,B34/B$3)</f>
        <v>1.1363636363636364E-2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-211.3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-256.89999999999998</v>
      </c>
    </row>
    <row r="36" spans="1:12" x14ac:dyDescent="0.45">
      <c r="A36" s="64" t="s">
        <v>168</v>
      </c>
      <c r="B36" s="126">
        <v>6</v>
      </c>
      <c r="C36" s="119">
        <f>IF(B$19=0,0,B36/B$19)</f>
        <v>7.8947368421052627E-2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12" x14ac:dyDescent="0.45">
      <c r="A37" s="37" t="s">
        <v>164</v>
      </c>
      <c r="B37" s="34">
        <v>20</v>
      </c>
      <c r="C37" s="31">
        <f t="shared" ref="C37:C48" si="2">IF(B$19=0,0,B37/B$19)</f>
        <v>0.26315789473684209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12" x14ac:dyDescent="0.45">
      <c r="A38" s="37" t="s">
        <v>165</v>
      </c>
      <c r="B38" s="127">
        <v>8</v>
      </c>
      <c r="C38" s="31">
        <f>IF(B$19=0,0,B38/B$19)</f>
        <v>0.10526315789473684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12" x14ac:dyDescent="0.45">
      <c r="A39" s="37" t="s">
        <v>166</v>
      </c>
      <c r="B39" s="127">
        <v>11</v>
      </c>
      <c r="C39" s="31">
        <f t="shared" si="2"/>
        <v>0.14473684210526316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12" x14ac:dyDescent="0.45">
      <c r="A40" s="37" t="s">
        <v>167</v>
      </c>
      <c r="B40" s="127">
        <v>14</v>
      </c>
      <c r="C40" s="31">
        <f t="shared" si="2"/>
        <v>0.18421052631578946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12" x14ac:dyDescent="0.45">
      <c r="A41" s="37" t="s">
        <v>169</v>
      </c>
      <c r="B41" s="127">
        <v>8</v>
      </c>
      <c r="C41" s="31">
        <f t="shared" si="2"/>
        <v>0.10526315789473684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12" x14ac:dyDescent="0.45">
      <c r="A42" s="37" t="s">
        <v>170</v>
      </c>
      <c r="B42" s="127">
        <v>4</v>
      </c>
      <c r="C42" s="31">
        <f t="shared" si="2"/>
        <v>5.2631578947368418E-2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7">
        <v>1</v>
      </c>
      <c r="C43" s="31">
        <f t="shared" si="2"/>
        <v>1.3157894736842105E-2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7">
        <v>2</v>
      </c>
      <c r="C45" s="31">
        <f t="shared" si="2"/>
        <v>2.6315789473684209E-2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12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74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E943E-27E3-4B58-AD88-4CDB551EBBDF}">
  <sheetPr codeName="Sheet7"/>
  <dimension ref="A1:Q45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190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457</v>
      </c>
      <c r="C2" s="132"/>
      <c r="E2" s="43" t="s">
        <v>66</v>
      </c>
      <c r="F2" s="25" t="s">
        <v>22</v>
      </c>
      <c r="G2" s="13">
        <v>684</v>
      </c>
      <c r="H2" s="106">
        <f>IF(B$51=0,0,G2/B$51)</f>
        <v>0.73155080213903745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-597.57174392935985</v>
      </c>
      <c r="P2" s="92">
        <v>453</v>
      </c>
      <c r="Q2" s="76">
        <v>-270700</v>
      </c>
    </row>
    <row r="3" spans="1:17" x14ac:dyDescent="0.45">
      <c r="A3" s="37" t="s">
        <v>8</v>
      </c>
      <c r="B3" s="143">
        <v>3706</v>
      </c>
      <c r="C3" s="144"/>
      <c r="E3" s="44" t="s">
        <v>64</v>
      </c>
      <c r="F3" s="41" t="s">
        <v>20</v>
      </c>
      <c r="G3" s="34">
        <v>533</v>
      </c>
      <c r="H3" s="107">
        <f>IF(B$51=0,0,G3/B$51)</f>
        <v>0.57005347593582889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-968.17155756207671</v>
      </c>
      <c r="P3" s="93">
        <v>443</v>
      </c>
      <c r="Q3" s="77">
        <v>-428900</v>
      </c>
    </row>
    <row r="4" spans="1:17" x14ac:dyDescent="0.45">
      <c r="A4" s="37" t="s">
        <v>6</v>
      </c>
      <c r="B4" s="145">
        <v>-2130.5</v>
      </c>
      <c r="C4" s="146"/>
      <c r="E4" s="44" t="s">
        <v>72</v>
      </c>
      <c r="F4" s="41" t="s">
        <v>27</v>
      </c>
      <c r="G4" s="34">
        <v>460</v>
      </c>
      <c r="H4" s="107">
        <f>IF(B$51=0,0,G4/B$51)</f>
        <v>0.49197860962566847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127.07838479809976</v>
      </c>
      <c r="P4" s="93">
        <v>421</v>
      </c>
      <c r="Q4" s="77">
        <v>53500</v>
      </c>
    </row>
    <row r="5" spans="1:17" x14ac:dyDescent="0.45">
      <c r="A5" s="37" t="s">
        <v>7</v>
      </c>
      <c r="B5" s="139">
        <f>IF(B$2=0,0,B$4/B$2)</f>
        <v>-4.6619256017505473</v>
      </c>
      <c r="C5" s="140"/>
      <c r="E5" s="44" t="s">
        <v>68</v>
      </c>
      <c r="F5" s="41" t="s">
        <v>12</v>
      </c>
      <c r="G5" s="34">
        <v>327</v>
      </c>
      <c r="H5" s="107">
        <f>IF(B$51=0,0,G5/B$51)</f>
        <v>0.34973262032085561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-695.06493506493507</v>
      </c>
      <c r="P5" s="93">
        <v>385</v>
      </c>
      <c r="Q5" s="77">
        <v>-267600</v>
      </c>
    </row>
    <row r="6" spans="1:17" x14ac:dyDescent="0.45">
      <c r="A6" s="37" t="s">
        <v>1</v>
      </c>
      <c r="B6" s="137">
        <f>IF(B$2=0,0,(B$7*1+B$8*2+B$9*3)/B$2)</f>
        <v>2.1269146608315097</v>
      </c>
      <c r="C6" s="138"/>
      <c r="E6" s="44" t="s">
        <v>67</v>
      </c>
      <c r="F6" s="41" t="s">
        <v>23</v>
      </c>
      <c r="G6" s="34">
        <v>301</v>
      </c>
      <c r="H6" s="107">
        <f>IF(B$51=0,0,G6/B$51)</f>
        <v>0.32192513368983955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-963.08139534883719</v>
      </c>
      <c r="P6" s="93">
        <v>344</v>
      </c>
      <c r="Q6" s="77">
        <v>-331300</v>
      </c>
    </row>
    <row r="7" spans="1:17" x14ac:dyDescent="0.45">
      <c r="A7" s="37" t="s">
        <v>2</v>
      </c>
      <c r="B7" s="34">
        <v>119</v>
      </c>
      <c r="C7" s="31">
        <f t="shared" ref="C7:C14" si="1">IF(B$2=0,0,B7/B$2)</f>
        <v>0.26039387308533918</v>
      </c>
      <c r="E7" s="44" t="s">
        <v>157</v>
      </c>
      <c r="F7" s="41" t="s">
        <v>158</v>
      </c>
      <c r="G7" s="34">
        <v>301</v>
      </c>
      <c r="H7" s="107">
        <f>IF(B$51=0,0,G7/B$51)</f>
        <v>0.32192513368983955</v>
      </c>
      <c r="I7" s="68">
        <v>8</v>
      </c>
      <c r="K7" s="5">
        <v>5</v>
      </c>
      <c r="L7" s="73">
        <v>14.600000000000001</v>
      </c>
      <c r="N7" s="90" t="s">
        <v>131</v>
      </c>
      <c r="O7" s="97">
        <f t="shared" si="0"/>
        <v>-1161.0921501706484</v>
      </c>
      <c r="P7" s="94">
        <v>293</v>
      </c>
      <c r="Q7" s="78">
        <v>-340200</v>
      </c>
    </row>
    <row r="8" spans="1:17" x14ac:dyDescent="0.45">
      <c r="A8" s="37" t="s">
        <v>3</v>
      </c>
      <c r="B8" s="34">
        <v>161</v>
      </c>
      <c r="C8" s="31">
        <f t="shared" si="1"/>
        <v>0.35229759299781183</v>
      </c>
      <c r="E8" s="44" t="s">
        <v>69</v>
      </c>
      <c r="F8" s="41" t="s">
        <v>24</v>
      </c>
      <c r="G8" s="34">
        <v>165</v>
      </c>
      <c r="H8" s="107">
        <f>IF(B$51=0,0,G8/B$51)</f>
        <v>0.17647058823529413</v>
      </c>
      <c r="I8" s="68">
        <v>3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177</v>
      </c>
      <c r="C9" s="7">
        <f t="shared" si="1"/>
        <v>0.387308533916849</v>
      </c>
      <c r="E9" s="44" t="s">
        <v>89</v>
      </c>
      <c r="F9" s="41" t="s">
        <v>44</v>
      </c>
      <c r="G9" s="34">
        <v>125</v>
      </c>
      <c r="H9" s="107">
        <f>IF(B$51=0,0,G9/B$51)</f>
        <v>0.13368983957219252</v>
      </c>
      <c r="I9" s="68">
        <v>9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36.789915966386552</v>
      </c>
      <c r="C10" s="121">
        <v>4378</v>
      </c>
      <c r="E10" s="44" t="s">
        <v>65</v>
      </c>
      <c r="F10" s="41" t="s">
        <v>21</v>
      </c>
      <c r="G10" s="34">
        <v>122</v>
      </c>
      <c r="H10" s="107">
        <f>IF(B$51=0,0,G10/B$51)</f>
        <v>0.1304812834224599</v>
      </c>
      <c r="I10" s="68">
        <v>5</v>
      </c>
      <c r="K10" s="5">
        <v>8</v>
      </c>
      <c r="L10" s="73">
        <v>60.199999999999996</v>
      </c>
      <c r="N10" s="88" t="s">
        <v>149</v>
      </c>
      <c r="O10" s="98">
        <f>IF(P10=0,0,Q10/P10)</f>
        <v>-8.471978021978023</v>
      </c>
      <c r="P10" s="92">
        <v>182</v>
      </c>
      <c r="Q10" s="80">
        <v>-1541.9000000000003</v>
      </c>
    </row>
    <row r="11" spans="1:17" x14ac:dyDescent="0.45">
      <c r="A11" s="38" t="s">
        <v>204</v>
      </c>
      <c r="B11" s="120">
        <f>IF(B8=0,0,C11/B8)</f>
        <v>-0.97701863354037255</v>
      </c>
      <c r="C11" s="121">
        <v>-157.29999999999998</v>
      </c>
      <c r="E11" s="44" t="s">
        <v>70</v>
      </c>
      <c r="F11" s="41" t="s">
        <v>25</v>
      </c>
      <c r="G11" s="34">
        <v>115</v>
      </c>
      <c r="H11" s="107">
        <f>IF(B$51=0,0,G11/B$51)</f>
        <v>0.12299465240641712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-4.2448275862068972</v>
      </c>
      <c r="P11" s="93">
        <v>145</v>
      </c>
      <c r="Q11" s="81">
        <v>-615.50000000000011</v>
      </c>
    </row>
    <row r="12" spans="1:17" x14ac:dyDescent="0.45">
      <c r="A12" s="38" t="s">
        <v>205</v>
      </c>
      <c r="B12" s="120">
        <f>IF(B9=0,0,C12/B9)</f>
        <v>-35.882485875706209</v>
      </c>
      <c r="C12" s="121">
        <v>-6351.1999999999989</v>
      </c>
      <c r="E12" s="44" t="s">
        <v>86</v>
      </c>
      <c r="F12" s="41" t="s">
        <v>41</v>
      </c>
      <c r="G12" s="34">
        <v>56</v>
      </c>
      <c r="H12" s="107">
        <f>IF(B$51=0,0,G12/B$51)</f>
        <v>5.9893048128342244E-2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-0.17906976744186021</v>
      </c>
      <c r="P12" s="94">
        <v>129</v>
      </c>
      <c r="Q12" s="82">
        <v>-23.099999999999966</v>
      </c>
    </row>
    <row r="13" spans="1:17" x14ac:dyDescent="0.45">
      <c r="A13" s="38" t="s">
        <v>206</v>
      </c>
      <c r="B13" s="139">
        <f>AVERAGE(B10:B12)</f>
        <v>-2.3196180953344008E-2</v>
      </c>
      <c r="C13" s="140"/>
      <c r="E13" s="44" t="s">
        <v>83</v>
      </c>
      <c r="F13" s="41" t="s">
        <v>38</v>
      </c>
      <c r="G13" s="34">
        <v>46</v>
      </c>
      <c r="H13" s="107">
        <f>IF(B$51=0,0,G13/B$51)</f>
        <v>4.9197860962566842E-2</v>
      </c>
      <c r="I13" s="68">
        <v>8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64</v>
      </c>
      <c r="C14" s="32">
        <f t="shared" si="1"/>
        <v>0.14004376367614879</v>
      </c>
      <c r="E14" s="44" t="s">
        <v>71</v>
      </c>
      <c r="F14" s="41" t="s">
        <v>26</v>
      </c>
      <c r="G14" s="34">
        <v>39</v>
      </c>
      <c r="H14" s="107">
        <f>IF(B$51=0,0,G14/B$51)</f>
        <v>4.1711229946524063E-2</v>
      </c>
      <c r="I14" s="68">
        <v>14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964</v>
      </c>
      <c r="C15" s="11">
        <f>IF(B$50=0,0,B15/B$50)</f>
        <v>0.27982583454281568</v>
      </c>
      <c r="E15" s="44" t="s">
        <v>81</v>
      </c>
      <c r="F15" s="41" t="s">
        <v>36</v>
      </c>
      <c r="G15" s="34">
        <v>28</v>
      </c>
      <c r="H15" s="107">
        <f>IF(B$51=0,0,G15/B$51)</f>
        <v>2.9946524064171122E-2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20.2</v>
      </c>
      <c r="P15" s="92">
        <v>9</v>
      </c>
      <c r="Q15" s="80">
        <v>181.79999999999998</v>
      </c>
    </row>
    <row r="16" spans="1:17" x14ac:dyDescent="0.45">
      <c r="A16" s="37" t="s">
        <v>118</v>
      </c>
      <c r="B16" s="34">
        <v>624</v>
      </c>
      <c r="C16" s="31">
        <f>IF(B$50=0,0,B16/B$50)</f>
        <v>0.1811320754716981</v>
      </c>
      <c r="E16" s="44" t="s">
        <v>78</v>
      </c>
      <c r="F16" s="41" t="s">
        <v>33</v>
      </c>
      <c r="G16" s="34">
        <v>24</v>
      </c>
      <c r="H16" s="107">
        <f>IF(B$51=0,0,G16/B$51)</f>
        <v>2.5668449197860963E-2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8.4682926829268297</v>
      </c>
      <c r="P16" s="93">
        <v>41</v>
      </c>
      <c r="Q16" s="81">
        <v>347.2</v>
      </c>
    </row>
    <row r="17" spans="1:17" x14ac:dyDescent="0.45">
      <c r="A17" s="19" t="s">
        <v>123</v>
      </c>
      <c r="B17" s="13">
        <v>546</v>
      </c>
      <c r="C17" s="4">
        <f>IF(B$15=0,0,B17/B$15)</f>
        <v>0.56639004149377592</v>
      </c>
      <c r="E17" s="44" t="s">
        <v>91</v>
      </c>
      <c r="F17" s="41" t="s">
        <v>46</v>
      </c>
      <c r="G17" s="34">
        <v>16</v>
      </c>
      <c r="H17" s="107">
        <f>IF(B$51=0,0,G17/B$51)</f>
        <v>1.7112299465240642E-2</v>
      </c>
      <c r="I17" s="68">
        <v>8</v>
      </c>
      <c r="K17" s="5">
        <v>15</v>
      </c>
      <c r="L17" s="73">
        <v>38.5</v>
      </c>
      <c r="N17" s="89" t="s">
        <v>191</v>
      </c>
      <c r="O17" s="99">
        <f>IF(P17=0,0,Q17/P17)</f>
        <v>3.2516666666666678</v>
      </c>
      <c r="P17" s="93">
        <v>120</v>
      </c>
      <c r="Q17" s="81">
        <v>390.20000000000016</v>
      </c>
    </row>
    <row r="18" spans="1:17" x14ac:dyDescent="0.45">
      <c r="A18" s="19" t="s">
        <v>124</v>
      </c>
      <c r="B18" s="13">
        <v>237</v>
      </c>
      <c r="C18" s="4">
        <f>IF(B$16=0,0,B18/B$16)</f>
        <v>0.37980769230769229</v>
      </c>
      <c r="E18" s="44" t="s">
        <v>79</v>
      </c>
      <c r="F18" s="41" t="s">
        <v>34</v>
      </c>
      <c r="G18" s="34">
        <v>14</v>
      </c>
      <c r="H18" s="107">
        <f>IF(B$51=0,0,G18/B$51)</f>
        <v>1.4973262032085561E-2</v>
      </c>
      <c r="I18" s="68">
        <v>11</v>
      </c>
      <c r="K18" s="5">
        <v>16</v>
      </c>
      <c r="L18" s="73">
        <v>14.600000000000001</v>
      </c>
      <c r="N18" s="89" t="s">
        <v>188</v>
      </c>
      <c r="O18" s="99">
        <f>IF(P18=0,0,Q18/P18)</f>
        <v>0.69670329670329767</v>
      </c>
      <c r="P18" s="93">
        <v>91</v>
      </c>
      <c r="Q18" s="81">
        <v>63.400000000000091</v>
      </c>
    </row>
    <row r="19" spans="1:17" x14ac:dyDescent="0.45">
      <c r="A19" s="19" t="s">
        <v>10</v>
      </c>
      <c r="B19" s="13">
        <v>996</v>
      </c>
      <c r="C19" s="4">
        <f>IF(B$3=0,0,B19/B$3)</f>
        <v>0.26875337290879653</v>
      </c>
      <c r="E19" s="44" t="s">
        <v>153</v>
      </c>
      <c r="F19" s="41" t="s">
        <v>154</v>
      </c>
      <c r="G19" s="34">
        <v>12</v>
      </c>
      <c r="H19" s="107">
        <f>IF(B$51=0,0,G19/B$51)</f>
        <v>1.2834224598930482E-2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13</v>
      </c>
      <c r="B20" s="34">
        <v>683</v>
      </c>
      <c r="C20" s="31">
        <f>IF(B$3=0,0,B20/B$3)</f>
        <v>0.18429573664328117</v>
      </c>
      <c r="E20" s="44" t="s">
        <v>75</v>
      </c>
      <c r="F20" s="41" t="s">
        <v>30</v>
      </c>
      <c r="G20" s="34">
        <v>8</v>
      </c>
      <c r="H20" s="107">
        <f>IF(B$51=0,0,G20/B$51)</f>
        <v>8.5561497326203211E-3</v>
      </c>
      <c r="I20" s="68">
        <v>3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12</v>
      </c>
      <c r="B21" s="34">
        <v>451</v>
      </c>
      <c r="C21" s="31">
        <f>IF(B$19=0,0,B21/B$19)</f>
        <v>0.4528112449799197</v>
      </c>
      <c r="E21" s="44" t="s">
        <v>92</v>
      </c>
      <c r="F21" s="41" t="s">
        <v>47</v>
      </c>
      <c r="G21" s="34">
        <v>5</v>
      </c>
      <c r="H21" s="107">
        <f>IF(B$51=0,0,G21/B$51)</f>
        <v>5.3475935828877002E-3</v>
      </c>
      <c r="I21" s="68">
        <v>6</v>
      </c>
      <c r="K21" s="5">
        <v>19</v>
      </c>
      <c r="L21" s="73">
        <v>-26.699999999999996</v>
      </c>
      <c r="N21" s="89" t="s">
        <v>187</v>
      </c>
      <c r="O21" s="99">
        <f>IF(P21=0,0,Q21/P21)</f>
        <v>-4.641772151898734</v>
      </c>
      <c r="P21" s="93">
        <v>79</v>
      </c>
      <c r="Q21" s="81">
        <v>-366.7</v>
      </c>
    </row>
    <row r="22" spans="1:17" x14ac:dyDescent="0.45">
      <c r="A22" s="37" t="s">
        <v>11</v>
      </c>
      <c r="B22" s="34">
        <v>545</v>
      </c>
      <c r="C22" s="31">
        <f>IF(B$19=0,0,B22/B$19)</f>
        <v>0.54718875502008035</v>
      </c>
      <c r="E22" s="44" t="s">
        <v>73</v>
      </c>
      <c r="F22" s="41" t="s">
        <v>28</v>
      </c>
      <c r="G22" s="34">
        <v>4</v>
      </c>
      <c r="H22" s="107">
        <f>IF(B$51=0,0,G22/B$51)</f>
        <v>4.2780748663101605E-3</v>
      </c>
      <c r="I22" s="68">
        <v>9</v>
      </c>
      <c r="K22" s="5">
        <v>20</v>
      </c>
      <c r="L22" s="73">
        <v>-57.899999999999991</v>
      </c>
      <c r="N22" s="89" t="s">
        <v>193</v>
      </c>
      <c r="O22" s="99">
        <f>IF(P22=0,0,Q22/P22)</f>
        <v>-8.1392045454545432</v>
      </c>
      <c r="P22" s="93">
        <v>176</v>
      </c>
      <c r="Q22" s="81">
        <v>-1432.4999999999995</v>
      </c>
    </row>
    <row r="23" spans="1:17" x14ac:dyDescent="0.45">
      <c r="A23" s="37" t="s">
        <v>180</v>
      </c>
      <c r="B23" s="34">
        <v>546</v>
      </c>
      <c r="C23" s="31">
        <f>IF(B$19=0,0,B23/B$19)</f>
        <v>0.54819277108433739</v>
      </c>
      <c r="E23" s="44" t="s">
        <v>74</v>
      </c>
      <c r="F23" s="41" t="s">
        <v>29</v>
      </c>
      <c r="G23" s="34">
        <v>3</v>
      </c>
      <c r="H23" s="107">
        <f>IF(B$51=0,0,G23/B$51)</f>
        <v>3.2085561497326204E-3</v>
      </c>
      <c r="I23" s="68">
        <v>7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7" t="s">
        <v>178</v>
      </c>
      <c r="B24" s="34">
        <v>237</v>
      </c>
      <c r="C24" s="31">
        <f>IF(B$19=0,0,B24/B$19)</f>
        <v>0.23795180722891565</v>
      </c>
      <c r="E24" s="44" t="s">
        <v>84</v>
      </c>
      <c r="F24" s="41" t="s">
        <v>39</v>
      </c>
      <c r="G24" s="34">
        <v>3</v>
      </c>
      <c r="H24" s="107">
        <f>IF(B$51=0,0,G24/B$51)</f>
        <v>3.2085561497326204E-3</v>
      </c>
      <c r="I24" s="68">
        <v>2</v>
      </c>
      <c r="K24" s="5">
        <v>22</v>
      </c>
      <c r="L24" s="73">
        <v>-94.6</v>
      </c>
      <c r="N24" s="89" t="s">
        <v>195</v>
      </c>
      <c r="O24" s="99">
        <f>IF(P24=0,0,Q24/P24)</f>
        <v>-15.314067278287462</v>
      </c>
      <c r="P24" s="93">
        <v>327</v>
      </c>
      <c r="Q24" s="81">
        <v>-5007.7</v>
      </c>
    </row>
    <row r="25" spans="1:17" x14ac:dyDescent="0.45">
      <c r="A25" s="37" t="s">
        <v>179</v>
      </c>
      <c r="B25" s="34">
        <v>213</v>
      </c>
      <c r="C25" s="31">
        <f>IF(B$19=0,0,B25/B$19)</f>
        <v>0.21385542168674698</v>
      </c>
      <c r="E25" s="44" t="s">
        <v>85</v>
      </c>
      <c r="F25" s="41" t="s">
        <v>40</v>
      </c>
      <c r="G25" s="34">
        <v>3</v>
      </c>
      <c r="H25" s="107">
        <f>IF(B$51=0,0,G25/B$51)</f>
        <v>3.2085561497326204E-3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5</v>
      </c>
      <c r="B26" s="17">
        <f>IF(B$19=0,0,C26/B$19)</f>
        <v>9121.7871485943779</v>
      </c>
      <c r="C26" s="8">
        <v>9085300</v>
      </c>
      <c r="E26" s="44" t="s">
        <v>87</v>
      </c>
      <c r="F26" s="41" t="s">
        <v>42</v>
      </c>
      <c r="G26" s="34">
        <v>2</v>
      </c>
      <c r="H26" s="107">
        <f>IF(B$51=0,0,G26/B$51)</f>
        <v>2.1390374331550803E-3</v>
      </c>
      <c r="I26" s="68">
        <v>7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8" t="s">
        <v>162</v>
      </c>
      <c r="B27" s="114">
        <f>IF($B$19-B$18=0,0,C27/($B$19-B$18))</f>
        <v>9620.68511198946</v>
      </c>
      <c r="C27" s="115">
        <v>7302100</v>
      </c>
      <c r="E27" s="44" t="s">
        <v>88</v>
      </c>
      <c r="F27" s="41" t="s">
        <v>43</v>
      </c>
      <c r="G27" s="34">
        <v>2</v>
      </c>
      <c r="H27" s="107">
        <f>IF(B$51=0,0,G27/B$51)</f>
        <v>2.1390374331550803E-3</v>
      </c>
      <c r="I27" s="68">
        <v>3</v>
      </c>
      <c r="K27" s="5">
        <v>25</v>
      </c>
      <c r="L27" s="73">
        <v>-70.899999999999991</v>
      </c>
    </row>
    <row r="28" spans="1:17" x14ac:dyDescent="0.45">
      <c r="A28" s="38" t="s">
        <v>163</v>
      </c>
      <c r="B28" s="114">
        <f>IF(B$18=0,0,C28/B$18)</f>
        <v>7524.0506329113923</v>
      </c>
      <c r="C28" s="115">
        <v>1783200</v>
      </c>
      <c r="E28" s="44" t="s">
        <v>77</v>
      </c>
      <c r="F28" s="41" t="s">
        <v>32</v>
      </c>
      <c r="G28" s="34">
        <v>1</v>
      </c>
      <c r="H28" s="107">
        <f>IF(B$51=0,0,G28/B$51)</f>
        <v>1.0695187165775401E-3</v>
      </c>
      <c r="I28" s="68">
        <v>10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-8269.9853587115667</v>
      </c>
      <c r="C29" s="115">
        <v>-5648400</v>
      </c>
      <c r="E29" s="44" t="s">
        <v>80</v>
      </c>
      <c r="F29" s="41" t="s">
        <v>35</v>
      </c>
      <c r="G29" s="34">
        <v>1</v>
      </c>
      <c r="H29" s="107">
        <f>IF(B$51=0,0,G29/B$51)</f>
        <v>1.0695187165775401E-3</v>
      </c>
      <c r="I29" s="68">
        <v>1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1.0695187165775401E-3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1.0695187165775401E-3</v>
      </c>
      <c r="I31" s="68">
        <v>4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35">
        <v>10</v>
      </c>
      <c r="C32" s="136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33">
        <v>107600</v>
      </c>
      <c r="C33" s="134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14</v>
      </c>
      <c r="C34" s="32">
        <f>IF(B$3=0,0,B34/B$3)</f>
        <v>3.7776578521316784E-3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6">
        <v>57</v>
      </c>
      <c r="C36" s="119">
        <f>IF(B$19=0,0,B36/B$19)</f>
        <v>5.7228915662650599E-2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126</v>
      </c>
      <c r="C37" s="31">
        <f t="shared" ref="C37:C48" si="2">IF(B$19=0,0,B37/B$19)</f>
        <v>0.12650602409638553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7">
        <v>188</v>
      </c>
      <c r="C38" s="31">
        <f>IF(B$19=0,0,B38/B$19)</f>
        <v>0.18875502008032127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7">
        <v>167</v>
      </c>
      <c r="C39" s="31">
        <f t="shared" si="2"/>
        <v>0.1676706827309237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7">
        <v>151</v>
      </c>
      <c r="C40" s="31">
        <f t="shared" si="2"/>
        <v>0.15160642570281124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7">
        <v>108</v>
      </c>
      <c r="C41" s="31">
        <f t="shared" si="2"/>
        <v>0.10843373493975904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7">
        <v>66</v>
      </c>
      <c r="C42" s="31">
        <f t="shared" si="2"/>
        <v>6.6265060240963861E-2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-279.7</v>
      </c>
    </row>
    <row r="43" spans="1:12" x14ac:dyDescent="0.45">
      <c r="A43" s="37" t="s">
        <v>171</v>
      </c>
      <c r="B43" s="127">
        <v>31</v>
      </c>
      <c r="C43" s="31">
        <f t="shared" si="2"/>
        <v>3.112449799196787E-2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7">
        <v>15</v>
      </c>
      <c r="C44" s="31">
        <f t="shared" si="2"/>
        <v>1.5060240963855422E-2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7">
        <v>8</v>
      </c>
      <c r="C45" s="31">
        <f t="shared" si="2"/>
        <v>8.0321285140562242E-3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7">
        <v>3</v>
      </c>
      <c r="C46" s="31">
        <f t="shared" si="2"/>
        <v>3.0120481927710845E-3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7">
        <v>5</v>
      </c>
      <c r="C47" s="31">
        <f t="shared" si="2"/>
        <v>5.0200803212851405E-3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8">
        <v>10</v>
      </c>
      <c r="C48" s="32">
        <f t="shared" si="2"/>
        <v>1.0040160642570281E-2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31">
        <v>3445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29">
        <v>935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  <row r="416" spans="11:12" x14ac:dyDescent="0.45">
      <c r="K416" s="5">
        <v>414</v>
      </c>
      <c r="L416" s="73">
        <v>-1754.1999999999998</v>
      </c>
    </row>
    <row r="417" spans="11:12" x14ac:dyDescent="0.45">
      <c r="K417" s="5">
        <v>415</v>
      </c>
      <c r="L417" s="73">
        <v>-1691.2999999999997</v>
      </c>
    </row>
    <row r="418" spans="11:12" x14ac:dyDescent="0.45">
      <c r="K418" s="5">
        <v>416</v>
      </c>
      <c r="L418" s="73">
        <v>-1716.8999999999999</v>
      </c>
    </row>
    <row r="419" spans="11:12" x14ac:dyDescent="0.45">
      <c r="K419" s="5">
        <v>417</v>
      </c>
      <c r="L419" s="73">
        <v>-1748.1999999999998</v>
      </c>
    </row>
    <row r="420" spans="11:12" x14ac:dyDescent="0.45">
      <c r="K420" s="5">
        <v>418</v>
      </c>
      <c r="L420" s="73">
        <v>-1778.1999999999998</v>
      </c>
    </row>
    <row r="421" spans="11:12" x14ac:dyDescent="0.45">
      <c r="K421" s="5">
        <v>419</v>
      </c>
      <c r="L421" s="73">
        <v>-1787.1999999999998</v>
      </c>
    </row>
    <row r="422" spans="11:12" x14ac:dyDescent="0.45">
      <c r="K422" s="5">
        <v>420</v>
      </c>
      <c r="L422" s="73">
        <v>-1835.6999999999998</v>
      </c>
    </row>
    <row r="423" spans="11:12" x14ac:dyDescent="0.45">
      <c r="K423" s="5">
        <v>421</v>
      </c>
      <c r="L423" s="73">
        <v>-1787.4999999999998</v>
      </c>
    </row>
    <row r="424" spans="11:12" x14ac:dyDescent="0.45">
      <c r="K424" s="5">
        <v>422</v>
      </c>
      <c r="L424" s="73">
        <v>-1789.9999999999998</v>
      </c>
    </row>
    <row r="425" spans="11:12" x14ac:dyDescent="0.45">
      <c r="K425" s="5">
        <v>423</v>
      </c>
      <c r="L425" s="73">
        <v>-1778.4999999999998</v>
      </c>
    </row>
    <row r="426" spans="11:12" x14ac:dyDescent="0.45">
      <c r="K426" s="5">
        <v>424</v>
      </c>
      <c r="L426" s="73">
        <v>-1780.4999999999998</v>
      </c>
    </row>
    <row r="427" spans="11:12" x14ac:dyDescent="0.45">
      <c r="K427" s="5">
        <v>425</v>
      </c>
      <c r="L427" s="73">
        <v>-1813.4999999999998</v>
      </c>
    </row>
    <row r="428" spans="11:12" x14ac:dyDescent="0.45">
      <c r="K428" s="5">
        <v>426</v>
      </c>
      <c r="L428" s="73">
        <v>-1844.6</v>
      </c>
    </row>
    <row r="429" spans="11:12" x14ac:dyDescent="0.45">
      <c r="K429" s="5">
        <v>427</v>
      </c>
      <c r="L429" s="73">
        <v>-1900.1</v>
      </c>
    </row>
    <row r="430" spans="11:12" x14ac:dyDescent="0.45">
      <c r="K430" s="5">
        <v>428</v>
      </c>
      <c r="L430" s="73">
        <v>-1951.1</v>
      </c>
    </row>
    <row r="431" spans="11:12" x14ac:dyDescent="0.45">
      <c r="K431" s="5">
        <v>429</v>
      </c>
      <c r="L431" s="73">
        <v>-1952.6</v>
      </c>
    </row>
    <row r="432" spans="11:12" x14ac:dyDescent="0.45">
      <c r="K432" s="5">
        <v>430</v>
      </c>
      <c r="L432" s="73">
        <v>-1960.1</v>
      </c>
    </row>
    <row r="433" spans="11:12" x14ac:dyDescent="0.45">
      <c r="K433" s="5">
        <v>431</v>
      </c>
      <c r="L433" s="73">
        <v>-1960.6</v>
      </c>
    </row>
    <row r="434" spans="11:12" x14ac:dyDescent="0.45">
      <c r="K434" s="5">
        <v>432</v>
      </c>
      <c r="L434" s="73">
        <v>-1990.6</v>
      </c>
    </row>
    <row r="435" spans="11:12" x14ac:dyDescent="0.45">
      <c r="K435" s="5">
        <v>433</v>
      </c>
      <c r="L435" s="73">
        <v>-2013.1</v>
      </c>
    </row>
    <row r="436" spans="11:12" x14ac:dyDescent="0.45">
      <c r="K436" s="5">
        <v>434</v>
      </c>
      <c r="L436" s="73">
        <v>-2001.8</v>
      </c>
    </row>
    <row r="437" spans="11:12" x14ac:dyDescent="0.45">
      <c r="K437" s="5">
        <v>435</v>
      </c>
      <c r="L437" s="73">
        <v>-2017</v>
      </c>
    </row>
    <row r="438" spans="11:12" x14ac:dyDescent="0.45">
      <c r="K438" s="5">
        <v>436</v>
      </c>
      <c r="L438" s="73">
        <v>-2062.1999999999998</v>
      </c>
    </row>
    <row r="439" spans="11:12" x14ac:dyDescent="0.45">
      <c r="K439" s="5">
        <v>437</v>
      </c>
      <c r="L439" s="73">
        <v>-2109.5</v>
      </c>
    </row>
    <row r="440" spans="11:12" x14ac:dyDescent="0.45">
      <c r="K440" s="5">
        <v>438</v>
      </c>
      <c r="L440" s="73">
        <v>-2105.1999999999998</v>
      </c>
    </row>
    <row r="441" spans="11:12" x14ac:dyDescent="0.45">
      <c r="K441" s="5">
        <v>439</v>
      </c>
      <c r="L441" s="73">
        <v>-2125.1999999999998</v>
      </c>
    </row>
    <row r="442" spans="11:12" x14ac:dyDescent="0.45">
      <c r="K442" s="5">
        <v>440</v>
      </c>
      <c r="L442" s="73">
        <v>-2175.2999999999997</v>
      </c>
    </row>
    <row r="443" spans="11:12" x14ac:dyDescent="0.45">
      <c r="K443" s="5">
        <v>441</v>
      </c>
      <c r="L443" s="73">
        <v>-2128.6999999999998</v>
      </c>
    </row>
    <row r="444" spans="11:12" x14ac:dyDescent="0.45">
      <c r="K444" s="5">
        <v>442</v>
      </c>
      <c r="L444" s="73">
        <v>-2079.1999999999998</v>
      </c>
    </row>
    <row r="445" spans="11:12" x14ac:dyDescent="0.45">
      <c r="K445" s="5">
        <v>443</v>
      </c>
      <c r="L445" s="73">
        <v>-2077.7999999999997</v>
      </c>
    </row>
    <row r="446" spans="11:12" x14ac:dyDescent="0.45">
      <c r="K446" s="5">
        <v>444</v>
      </c>
      <c r="L446" s="73">
        <v>-1998.6999999999998</v>
      </c>
    </row>
    <row r="447" spans="11:12" x14ac:dyDescent="0.45">
      <c r="K447" s="5">
        <v>445</v>
      </c>
      <c r="L447" s="73">
        <v>-2011.8999999999999</v>
      </c>
    </row>
    <row r="448" spans="11:12" x14ac:dyDescent="0.45">
      <c r="K448" s="5">
        <v>446</v>
      </c>
      <c r="L448" s="73">
        <v>-2047.1999999999998</v>
      </c>
    </row>
    <row r="449" spans="11:12" x14ac:dyDescent="0.45">
      <c r="K449" s="5">
        <v>447</v>
      </c>
      <c r="L449" s="73">
        <v>-2069.6999999999998</v>
      </c>
    </row>
    <row r="450" spans="11:12" x14ac:dyDescent="0.45">
      <c r="K450" s="5">
        <v>448</v>
      </c>
      <c r="L450" s="73">
        <v>-2134.8999999999996</v>
      </c>
    </row>
    <row r="451" spans="11:12" x14ac:dyDescent="0.45">
      <c r="K451" s="5">
        <v>449</v>
      </c>
      <c r="L451" s="73">
        <v>-2077</v>
      </c>
    </row>
    <row r="452" spans="11:12" x14ac:dyDescent="0.45">
      <c r="K452" s="5">
        <v>450</v>
      </c>
      <c r="L452" s="73">
        <v>-2051.6999999999998</v>
      </c>
    </row>
    <row r="453" spans="11:12" x14ac:dyDescent="0.45">
      <c r="K453" s="5">
        <v>451</v>
      </c>
      <c r="L453" s="73">
        <v>-2071.8999999999996</v>
      </c>
    </row>
    <row r="454" spans="11:12" x14ac:dyDescent="0.45">
      <c r="K454" s="5">
        <v>452</v>
      </c>
      <c r="L454" s="73">
        <v>-2104.8999999999996</v>
      </c>
    </row>
    <row r="455" spans="11:12" x14ac:dyDescent="0.45">
      <c r="K455" s="5">
        <v>453</v>
      </c>
      <c r="L455" s="73">
        <v>-2070.3999999999996</v>
      </c>
    </row>
    <row r="456" spans="11:12" x14ac:dyDescent="0.45">
      <c r="K456" s="5">
        <v>454</v>
      </c>
      <c r="L456" s="73">
        <v>-2067</v>
      </c>
    </row>
    <row r="457" spans="11:12" x14ac:dyDescent="0.45">
      <c r="K457" s="5">
        <v>455</v>
      </c>
      <c r="L457" s="73">
        <v>-2087.6999999999998</v>
      </c>
    </row>
    <row r="458" spans="11:12" x14ac:dyDescent="0.45">
      <c r="K458" s="5">
        <v>456</v>
      </c>
      <c r="L458" s="73">
        <v>-2114.7999999999997</v>
      </c>
    </row>
    <row r="459" spans="11:12" x14ac:dyDescent="0.45">
      <c r="K459" s="5">
        <v>457</v>
      </c>
      <c r="L459" s="73">
        <v>-2130.5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38CB-40F7-4D2F-A0E7-45248A1CF84B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194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91</v>
      </c>
      <c r="C2" s="132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43">
        <v>670</v>
      </c>
      <c r="C3" s="144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45">
        <v>-3.4999999999999893</v>
      </c>
      <c r="C4" s="146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16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9">
        <f>IF(B$2=0,0,B$4/B$2)</f>
        <v>-3.8461538461538346E-2</v>
      </c>
      <c r="C5" s="140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37">
        <f>IF(B$2=0,0,(B$7*1+B$8*2+B$9*3)/B$2)</f>
        <v>1.9890109890109891</v>
      </c>
      <c r="C6" s="138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14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9">
        <f>AVERAGE(B10:B12)</f>
        <v>-0.4518996415770597</v>
      </c>
      <c r="C13" s="140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13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5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33">
        <v>118000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6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7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7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7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7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7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7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7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7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8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31">
        <v>432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29">
        <v>133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14397-CFA8-4A53-9A96-201D3F3F6F95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185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43">
        <v>37</v>
      </c>
      <c r="C3" s="144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45">
        <v>-86.4</v>
      </c>
      <c r="C4" s="146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9">
        <f>IF(B$2=0,0,B$4/B$2)</f>
        <v>-17.28</v>
      </c>
      <c r="C5" s="140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37">
        <f>IF(B$2=0,0,(B$7*1+B$8*2+B$9*3)/B$2)</f>
        <v>2.2000000000000002</v>
      </c>
      <c r="C6" s="138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16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-10.6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3</v>
      </c>
      <c r="C32" s="136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3">
        <v>57800</v>
      </c>
      <c r="C33" s="134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7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31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9">
        <v>9</v>
      </c>
      <c r="C51" s="13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386E1-8B6A-4C1D-9701-C9535BA42F37}">
  <sheetPr codeName="Sheet10"/>
  <dimension ref="A1:Q31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188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313</v>
      </c>
      <c r="C2" s="132"/>
      <c r="E2" s="43" t="s">
        <v>66</v>
      </c>
      <c r="F2" s="25" t="s">
        <v>22</v>
      </c>
      <c r="G2" s="13">
        <v>482</v>
      </c>
      <c r="H2" s="106">
        <f>IF(B$51=0,0,G2/B$51)</f>
        <v>0.66482758620689653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187.53993610223642</v>
      </c>
      <c r="P2" s="92">
        <v>313</v>
      </c>
      <c r="Q2" s="76">
        <v>58700</v>
      </c>
    </row>
    <row r="3" spans="1:17" x14ac:dyDescent="0.45">
      <c r="A3" s="37" t="s">
        <v>8</v>
      </c>
      <c r="B3" s="143">
        <v>2604</v>
      </c>
      <c r="C3" s="144"/>
      <c r="E3" s="44" t="s">
        <v>72</v>
      </c>
      <c r="F3" s="41" t="s">
        <v>27</v>
      </c>
      <c r="G3" s="34">
        <v>416</v>
      </c>
      <c r="H3" s="107">
        <f>IF(B$51=0,0,G3/B$51)</f>
        <v>0.57379310344827583</v>
      </c>
      <c r="I3" s="68">
        <v>5</v>
      </c>
      <c r="K3" s="5">
        <v>1</v>
      </c>
      <c r="L3" s="73">
        <v>68.2</v>
      </c>
      <c r="N3" s="89" t="s">
        <v>127</v>
      </c>
      <c r="O3" s="96">
        <f t="shared" si="0"/>
        <v>-1808.5245901639344</v>
      </c>
      <c r="P3" s="93">
        <v>305</v>
      </c>
      <c r="Q3" s="77">
        <v>-551600</v>
      </c>
    </row>
    <row r="4" spans="1:17" x14ac:dyDescent="0.45">
      <c r="A4" s="37" t="s">
        <v>6</v>
      </c>
      <c r="B4" s="145">
        <v>-1455.0000000000002</v>
      </c>
      <c r="C4" s="146"/>
      <c r="E4" s="44" t="s">
        <v>64</v>
      </c>
      <c r="F4" s="41" t="s">
        <v>20</v>
      </c>
      <c r="G4" s="34">
        <v>250</v>
      </c>
      <c r="H4" s="107">
        <f>IF(B$51=0,0,G4/B$51)</f>
        <v>0.34482758620689657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-1252.4822695035461</v>
      </c>
      <c r="P4" s="93">
        <v>282</v>
      </c>
      <c r="Q4" s="77">
        <v>-353200</v>
      </c>
    </row>
    <row r="5" spans="1:17" x14ac:dyDescent="0.45">
      <c r="A5" s="37" t="s">
        <v>7</v>
      </c>
      <c r="B5" s="139">
        <f>IF(B$2=0,0,B$4/B$2)</f>
        <v>-4.6485623003194894</v>
      </c>
      <c r="C5" s="140"/>
      <c r="E5" s="44" t="s">
        <v>157</v>
      </c>
      <c r="F5" s="41" t="s">
        <v>158</v>
      </c>
      <c r="G5" s="34">
        <v>226</v>
      </c>
      <c r="H5" s="107">
        <f>IF(B$51=0,0,G5/B$51)</f>
        <v>0.31172413793103448</v>
      </c>
      <c r="I5" s="68">
        <v>11</v>
      </c>
      <c r="K5" s="5">
        <v>3</v>
      </c>
      <c r="L5" s="73">
        <v>82.1</v>
      </c>
      <c r="N5" s="89" t="s">
        <v>129</v>
      </c>
      <c r="O5" s="96">
        <f t="shared" si="0"/>
        <v>-128.67924528301887</v>
      </c>
      <c r="P5" s="93">
        <v>265</v>
      </c>
      <c r="Q5" s="77">
        <v>-34100</v>
      </c>
    </row>
    <row r="6" spans="1:17" x14ac:dyDescent="0.45">
      <c r="A6" s="37" t="s">
        <v>1</v>
      </c>
      <c r="B6" s="137">
        <f>IF(B$2=0,0,(B$7*1+B$8*2+B$9*3)/B$2)</f>
        <v>2.1277955271565494</v>
      </c>
      <c r="C6" s="138"/>
      <c r="E6" s="44" t="s">
        <v>68</v>
      </c>
      <c r="F6" s="41" t="s">
        <v>12</v>
      </c>
      <c r="G6" s="34">
        <v>196</v>
      </c>
      <c r="H6" s="107">
        <f>IF(B$51=0,0,G6/B$51)</f>
        <v>0.27034482758620687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-586.30705394190875</v>
      </c>
      <c r="P6" s="93">
        <v>241</v>
      </c>
      <c r="Q6" s="77">
        <v>-141300</v>
      </c>
    </row>
    <row r="7" spans="1:17" x14ac:dyDescent="0.45">
      <c r="A7" s="37" t="s">
        <v>2</v>
      </c>
      <c r="B7" s="34">
        <v>80</v>
      </c>
      <c r="C7" s="31">
        <f t="shared" ref="C7:C14" si="1">IF(B$2=0,0,B7/B$2)</f>
        <v>0.25559105431309903</v>
      </c>
      <c r="E7" s="44" t="s">
        <v>67</v>
      </c>
      <c r="F7" s="41" t="s">
        <v>23</v>
      </c>
      <c r="G7" s="34">
        <v>131</v>
      </c>
      <c r="H7" s="107">
        <f>IF(B$51=0,0,G7/B$51)</f>
        <v>0.18068965517241378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-1130</v>
      </c>
      <c r="P7" s="94">
        <v>200</v>
      </c>
      <c r="Q7" s="78">
        <v>-226000</v>
      </c>
    </row>
    <row r="8" spans="1:17" x14ac:dyDescent="0.45">
      <c r="A8" s="37" t="s">
        <v>3</v>
      </c>
      <c r="B8" s="34">
        <v>113</v>
      </c>
      <c r="C8" s="31">
        <f t="shared" si="1"/>
        <v>0.36102236421725242</v>
      </c>
      <c r="E8" s="44" t="s">
        <v>69</v>
      </c>
      <c r="F8" s="41" t="s">
        <v>24</v>
      </c>
      <c r="G8" s="34">
        <v>112</v>
      </c>
      <c r="H8" s="107">
        <f>IF(B$51=0,0,G8/B$51)</f>
        <v>0.15448275862068966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120</v>
      </c>
      <c r="C9" s="7">
        <f t="shared" si="1"/>
        <v>0.38338658146964855</v>
      </c>
      <c r="E9" s="44" t="s">
        <v>65</v>
      </c>
      <c r="F9" s="41" t="s">
        <v>21</v>
      </c>
      <c r="G9" s="34">
        <v>69</v>
      </c>
      <c r="H9" s="107">
        <f>IF(B$51=0,0,G9/B$51)</f>
        <v>9.5172413793103441E-2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36.651249999999997</v>
      </c>
      <c r="C10" s="121">
        <v>2932.1</v>
      </c>
      <c r="E10" s="44" t="s">
        <v>71</v>
      </c>
      <c r="F10" s="41" t="s">
        <v>26</v>
      </c>
      <c r="G10" s="34">
        <v>64</v>
      </c>
      <c r="H10" s="107">
        <f>IF(B$51=0,0,G10/B$51)</f>
        <v>8.827586206896551E-2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-8.6353448275862075</v>
      </c>
      <c r="P10" s="92">
        <v>116</v>
      </c>
      <c r="Q10" s="80">
        <v>-1001.7000000000002</v>
      </c>
    </row>
    <row r="11" spans="1:17" x14ac:dyDescent="0.45">
      <c r="A11" s="38" t="s">
        <v>204</v>
      </c>
      <c r="B11" s="120">
        <f>IF(B8=0,0,C11/B8)</f>
        <v>-1.5247787610619472</v>
      </c>
      <c r="C11" s="121">
        <v>-172.30000000000004</v>
      </c>
      <c r="E11" s="44" t="s">
        <v>70</v>
      </c>
      <c r="F11" s="41" t="s">
        <v>25</v>
      </c>
      <c r="G11" s="34">
        <v>62</v>
      </c>
      <c r="H11" s="107">
        <f>IF(B$51=0,0,G11/B$51)</f>
        <v>8.5517241379310341E-2</v>
      </c>
      <c r="I11" s="68">
        <v>9</v>
      </c>
      <c r="K11" s="5">
        <v>9</v>
      </c>
      <c r="L11" s="73">
        <v>82.8</v>
      </c>
      <c r="N11" s="89" t="s">
        <v>150</v>
      </c>
      <c r="O11" s="99">
        <f>IF(P11=0,0,Q11/P11)</f>
        <v>-2.5899999999999994</v>
      </c>
      <c r="P11" s="93">
        <v>90</v>
      </c>
      <c r="Q11" s="81">
        <v>-233.09999999999997</v>
      </c>
    </row>
    <row r="12" spans="1:17" x14ac:dyDescent="0.45">
      <c r="A12" s="38" t="s">
        <v>205</v>
      </c>
      <c r="B12" s="120">
        <f>IF(B9=0,0,C12/B9)</f>
        <v>-35.123333333333328</v>
      </c>
      <c r="C12" s="121">
        <v>-4214.7999999999993</v>
      </c>
      <c r="E12" s="44" t="s">
        <v>89</v>
      </c>
      <c r="F12" s="41" t="s">
        <v>44</v>
      </c>
      <c r="G12" s="34">
        <v>56</v>
      </c>
      <c r="H12" s="107">
        <f>IF(B$51=0,0,G12/B$51)</f>
        <v>7.7241379310344832E-2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-2.0579439252336447</v>
      </c>
      <c r="P12" s="94">
        <v>107</v>
      </c>
      <c r="Q12" s="82">
        <v>-220.2</v>
      </c>
    </row>
    <row r="13" spans="1:17" x14ac:dyDescent="0.45">
      <c r="A13" s="38" t="s">
        <v>206</v>
      </c>
      <c r="B13" s="139">
        <f>AVERAGE(B10:B12)</f>
        <v>1.0459685349080889E-3</v>
      </c>
      <c r="C13" s="140"/>
      <c r="E13" s="44" t="s">
        <v>83</v>
      </c>
      <c r="F13" s="41" t="s">
        <v>38</v>
      </c>
      <c r="G13" s="34">
        <v>52</v>
      </c>
      <c r="H13" s="107">
        <f>IF(B$51=0,0,G13/B$51)</f>
        <v>7.1724137931034479E-2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37</v>
      </c>
      <c r="C14" s="32">
        <f t="shared" si="1"/>
        <v>0.1182108626198083</v>
      </c>
      <c r="E14" s="44" t="s">
        <v>81</v>
      </c>
      <c r="F14" s="41" t="s">
        <v>36</v>
      </c>
      <c r="G14" s="34">
        <v>27</v>
      </c>
      <c r="H14" s="107">
        <f>IF(B$51=0,0,G14/B$51)</f>
        <v>3.7241379310344824E-2</v>
      </c>
      <c r="I14" s="68">
        <v>6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473</v>
      </c>
      <c r="C15" s="11">
        <f>IF(B$50=0,0,B15/B$50)</f>
        <v>0.19513201320132012</v>
      </c>
      <c r="E15" s="44" t="s">
        <v>86</v>
      </c>
      <c r="F15" s="41" t="s">
        <v>41</v>
      </c>
      <c r="G15" s="34">
        <v>25</v>
      </c>
      <c r="H15" s="107">
        <f>IF(B$51=0,0,G15/B$51)</f>
        <v>3.4482758620689655E-2</v>
      </c>
      <c r="I15" s="68">
        <v>13</v>
      </c>
      <c r="K15" s="5">
        <v>13</v>
      </c>
      <c r="L15" s="73">
        <v>13.299999999999994</v>
      </c>
      <c r="N15" s="88" t="s">
        <v>189</v>
      </c>
      <c r="O15" s="98">
        <f>IF(P15=0,0,Q15/P15)</f>
        <v>26.928571428571434</v>
      </c>
      <c r="P15" s="92">
        <v>7</v>
      </c>
      <c r="Q15" s="80">
        <v>188.50000000000003</v>
      </c>
    </row>
    <row r="16" spans="1:17" x14ac:dyDescent="0.45">
      <c r="A16" s="37" t="s">
        <v>118</v>
      </c>
      <c r="B16" s="34">
        <v>679</v>
      </c>
      <c r="C16" s="31">
        <f>IF(B$50=0,0,B16/B$50)</f>
        <v>0.28011551155115511</v>
      </c>
      <c r="E16" s="44" t="s">
        <v>78</v>
      </c>
      <c r="F16" s="41" t="s">
        <v>33</v>
      </c>
      <c r="G16" s="34">
        <v>14</v>
      </c>
      <c r="H16" s="107">
        <f>IF(B$51=0,0,G16/B$51)</f>
        <v>1.9310344827586208E-2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19" t="s">
        <v>123</v>
      </c>
      <c r="B17" s="13">
        <v>251</v>
      </c>
      <c r="C17" s="4">
        <f>IF(B$15=0,0,B17/B$15)</f>
        <v>0.53065539112050741</v>
      </c>
      <c r="E17" s="44" t="s">
        <v>79</v>
      </c>
      <c r="F17" s="41" t="s">
        <v>34</v>
      </c>
      <c r="G17" s="34">
        <v>11</v>
      </c>
      <c r="H17" s="107">
        <f>IF(B$51=0,0,G17/B$51)</f>
        <v>1.5172413793103448E-2</v>
      </c>
      <c r="I17" s="68">
        <v>10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19" t="s">
        <v>124</v>
      </c>
      <c r="B18" s="13">
        <v>272</v>
      </c>
      <c r="C18" s="4">
        <f>IF(B$16=0,0,B18/B$16)</f>
        <v>0.40058910162002948</v>
      </c>
      <c r="E18" s="44" t="s">
        <v>91</v>
      </c>
      <c r="F18" s="41" t="s">
        <v>46</v>
      </c>
      <c r="G18" s="34">
        <v>8</v>
      </c>
      <c r="H18" s="107">
        <f>IF(B$51=0,0,G18/B$51)</f>
        <v>1.1034482758620689E-2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5">
      <c r="A19" s="19" t="s">
        <v>10</v>
      </c>
      <c r="B19" s="13">
        <v>776</v>
      </c>
      <c r="C19" s="4">
        <f>IF(B$3=0,0,B19/B$3)</f>
        <v>0.29800307219662059</v>
      </c>
      <c r="E19" s="44" t="s">
        <v>75</v>
      </c>
      <c r="F19" s="41" t="s">
        <v>30</v>
      </c>
      <c r="G19" s="34">
        <v>5</v>
      </c>
      <c r="H19" s="107">
        <f>IF(B$51=0,0,G19/B$51)</f>
        <v>6.8965517241379309E-3</v>
      </c>
      <c r="I19" s="68">
        <v>5</v>
      </c>
      <c r="K19" s="5">
        <v>17</v>
      </c>
      <c r="L19" s="73">
        <v>-45.000000000000007</v>
      </c>
      <c r="N19" s="89" t="s">
        <v>190</v>
      </c>
      <c r="O19" s="99">
        <f>IF(P19=0,0,Q19/P19)</f>
        <v>-0.696703296703299</v>
      </c>
      <c r="P19" s="93">
        <v>91</v>
      </c>
      <c r="Q19" s="81">
        <v>-63.400000000000205</v>
      </c>
    </row>
    <row r="20" spans="1:17" x14ac:dyDescent="0.45">
      <c r="A20" s="37" t="s">
        <v>13</v>
      </c>
      <c r="B20" s="34">
        <v>422</v>
      </c>
      <c r="C20" s="31">
        <f>IF(B$3=0,0,B20/B$3)</f>
        <v>0.1620583717357911</v>
      </c>
      <c r="E20" s="44" t="s">
        <v>74</v>
      </c>
      <c r="F20" s="41" t="s">
        <v>29</v>
      </c>
      <c r="G20" s="34">
        <v>4</v>
      </c>
      <c r="H20" s="107">
        <f>IF(B$51=0,0,G20/B$51)</f>
        <v>5.5172413793103444E-3</v>
      </c>
      <c r="I20" s="68">
        <v>2</v>
      </c>
      <c r="K20" s="5">
        <v>18</v>
      </c>
      <c r="L20" s="73">
        <v>-30.300000000000008</v>
      </c>
      <c r="N20" s="89" t="s">
        <v>187</v>
      </c>
      <c r="O20" s="99">
        <f>IF(P20=0,0,Q20/P20)</f>
        <v>-1.4897727272727286</v>
      </c>
      <c r="P20" s="93">
        <v>88</v>
      </c>
      <c r="Q20" s="81">
        <v>-131.10000000000011</v>
      </c>
    </row>
    <row r="21" spans="1:17" x14ac:dyDescent="0.45">
      <c r="A21" s="37" t="s">
        <v>12</v>
      </c>
      <c r="B21" s="34">
        <v>334</v>
      </c>
      <c r="C21" s="31">
        <f>IF(B$19=0,0,B21/B$19)</f>
        <v>0.43041237113402064</v>
      </c>
      <c r="E21" s="44" t="s">
        <v>77</v>
      </c>
      <c r="F21" s="41" t="s">
        <v>32</v>
      </c>
      <c r="G21" s="34">
        <v>4</v>
      </c>
      <c r="H21" s="107">
        <f>IF(B$51=0,0,G21/B$51)</f>
        <v>5.5172413793103444E-3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-8.9312500000000004</v>
      </c>
      <c r="P21" s="93">
        <v>80</v>
      </c>
      <c r="Q21" s="81">
        <v>-714.5</v>
      </c>
    </row>
    <row r="22" spans="1:17" x14ac:dyDescent="0.45">
      <c r="A22" s="37" t="s">
        <v>11</v>
      </c>
      <c r="B22" s="34">
        <v>442</v>
      </c>
      <c r="C22" s="31">
        <f>IF(B$19=0,0,B22/B$19)</f>
        <v>0.56958762886597936</v>
      </c>
      <c r="E22" s="44" t="s">
        <v>88</v>
      </c>
      <c r="F22" s="41" t="s">
        <v>43</v>
      </c>
      <c r="G22" s="34">
        <v>3</v>
      </c>
      <c r="H22" s="107">
        <f>IF(B$51=0,0,G22/B$51)</f>
        <v>4.1379310344827587E-3</v>
      </c>
      <c r="I22" s="68">
        <v>1</v>
      </c>
      <c r="K22" s="5">
        <v>20</v>
      </c>
      <c r="L22" s="73">
        <v>-24.100000000000005</v>
      </c>
      <c r="N22" s="89" t="s">
        <v>197</v>
      </c>
      <c r="O22" s="99">
        <f>IF(P22=0,0,Q22/P22)</f>
        <v>-11.755555555555553</v>
      </c>
      <c r="P22" s="93">
        <v>18</v>
      </c>
      <c r="Q22" s="81">
        <v>-211.59999999999997</v>
      </c>
    </row>
    <row r="23" spans="1:17" x14ac:dyDescent="0.45">
      <c r="A23" s="37" t="s">
        <v>180</v>
      </c>
      <c r="B23" s="34">
        <v>251</v>
      </c>
      <c r="C23" s="31">
        <f>IF(B$19=0,0,B23/B$19)</f>
        <v>0.3234536082474227</v>
      </c>
      <c r="E23" s="44" t="s">
        <v>85</v>
      </c>
      <c r="F23" s="41" t="s">
        <v>40</v>
      </c>
      <c r="G23" s="34">
        <v>2</v>
      </c>
      <c r="H23" s="107">
        <f>IF(B$51=0,0,G23/B$51)</f>
        <v>2.7586206896551722E-3</v>
      </c>
      <c r="I23" s="68">
        <v>8</v>
      </c>
      <c r="K23" s="5">
        <v>21</v>
      </c>
      <c r="L23" s="73">
        <v>-29.600000000000005</v>
      </c>
      <c r="N23" s="89" t="s">
        <v>199</v>
      </c>
      <c r="O23" s="99">
        <f>IF(P23=0,0,Q23/P23)</f>
        <v>-16.62857142857143</v>
      </c>
      <c r="P23" s="93">
        <v>7</v>
      </c>
      <c r="Q23" s="81">
        <v>-116.40000000000002</v>
      </c>
    </row>
    <row r="24" spans="1:17" x14ac:dyDescent="0.45">
      <c r="A24" s="37" t="s">
        <v>178</v>
      </c>
      <c r="B24" s="34">
        <v>272</v>
      </c>
      <c r="C24" s="31">
        <f>IF(B$19=0,0,B24/B$19)</f>
        <v>0.35051546391752575</v>
      </c>
      <c r="E24" s="44" t="s">
        <v>87</v>
      </c>
      <c r="F24" s="41" t="s">
        <v>42</v>
      </c>
      <c r="G24" s="34">
        <v>2</v>
      </c>
      <c r="H24" s="107">
        <f>IF(B$51=0,0,G24/B$51)</f>
        <v>2.7586206896551722E-3</v>
      </c>
      <c r="I24" s="68">
        <v>3</v>
      </c>
      <c r="K24" s="5">
        <v>22</v>
      </c>
      <c r="L24" s="73">
        <v>-4.7000000000000064</v>
      </c>
      <c r="N24" s="89" t="s">
        <v>195</v>
      </c>
      <c r="O24" s="99">
        <f>IF(P24=0,0,Q24/P24)</f>
        <v>-20.119774011299437</v>
      </c>
      <c r="P24" s="93">
        <v>177</v>
      </c>
      <c r="Q24" s="81">
        <v>-3561.2000000000003</v>
      </c>
    </row>
    <row r="25" spans="1:17" x14ac:dyDescent="0.45">
      <c r="A25" s="37" t="s">
        <v>179</v>
      </c>
      <c r="B25" s="34">
        <v>253</v>
      </c>
      <c r="C25" s="31">
        <f>IF(B$19=0,0,B25/B$19)</f>
        <v>0.32603092783505155</v>
      </c>
      <c r="E25" s="44" t="s">
        <v>93</v>
      </c>
      <c r="F25" s="41" t="s">
        <v>48</v>
      </c>
      <c r="G25" s="34">
        <v>2</v>
      </c>
      <c r="H25" s="107">
        <f>IF(B$51=0,0,G25/B$51)</f>
        <v>2.7586206896551722E-3</v>
      </c>
      <c r="I25" s="68">
        <v>4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7459.2783505154639</v>
      </c>
      <c r="C26" s="8">
        <v>5788400</v>
      </c>
      <c r="E26" s="44" t="s">
        <v>73</v>
      </c>
      <c r="F26" s="41" t="s">
        <v>28</v>
      </c>
      <c r="G26" s="34">
        <v>1</v>
      </c>
      <c r="H26" s="107">
        <f>IF(B$51=0,0,G26/B$51)</f>
        <v>1.3793103448275861E-3</v>
      </c>
      <c r="I26" s="68">
        <v>11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8108.730158730159</v>
      </c>
      <c r="C27" s="115">
        <v>4086800</v>
      </c>
      <c r="E27" s="44" t="s">
        <v>84</v>
      </c>
      <c r="F27" s="41" t="s">
        <v>39</v>
      </c>
      <c r="G27" s="34">
        <v>1</v>
      </c>
      <c r="H27" s="107">
        <f>IF(B$51=0,0,G27/B$51)</f>
        <v>1.3793103448275861E-3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6255.8823529411766</v>
      </c>
      <c r="C28" s="115">
        <v>1701600</v>
      </c>
      <c r="E28" s="44" t="s">
        <v>90</v>
      </c>
      <c r="F28" s="41" t="s">
        <v>45</v>
      </c>
      <c r="G28" s="34">
        <v>1</v>
      </c>
      <c r="H28" s="107">
        <f>IF(B$51=0,0,G28/B$51)</f>
        <v>1.3793103448275861E-3</v>
      </c>
      <c r="I28" s="68">
        <v>6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-8394.5497630331756</v>
      </c>
      <c r="C29" s="115">
        <v>-3542500</v>
      </c>
      <c r="E29" s="44" t="s">
        <v>102</v>
      </c>
      <c r="F29" s="41" t="s">
        <v>57</v>
      </c>
      <c r="G29" s="34">
        <v>1</v>
      </c>
      <c r="H29" s="107">
        <f>IF(B$51=0,0,G29/B$51)</f>
        <v>1.3793103448275861E-3</v>
      </c>
      <c r="I29" s="68">
        <v>1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76</v>
      </c>
      <c r="F30" s="41" t="s">
        <v>31</v>
      </c>
      <c r="G30" s="34">
        <v>0</v>
      </c>
      <c r="H30" s="107">
        <f>IF(B$51=0,0,G30/B$51)</f>
        <v>0</v>
      </c>
      <c r="I30" s="68">
        <v>3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80</v>
      </c>
      <c r="F31" s="41" t="s">
        <v>35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35">
        <v>7</v>
      </c>
      <c r="C32" s="136"/>
      <c r="E32" s="44" t="s">
        <v>82</v>
      </c>
      <c r="F32" s="41" t="s">
        <v>37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-48.6</v>
      </c>
    </row>
    <row r="33" spans="1:12" x14ac:dyDescent="0.45">
      <c r="A33" s="40" t="s">
        <v>177</v>
      </c>
      <c r="B33" s="133">
        <v>106500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2.304147465437788E-3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-70.399999999999991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6">
        <v>78</v>
      </c>
      <c r="C36" s="119">
        <f>IF(B$19=0,0,B36/B$19)</f>
        <v>0.10051546391752578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156</v>
      </c>
      <c r="C37" s="31">
        <f t="shared" ref="C37:C48" si="2">IF(B$19=0,0,B37/B$19)</f>
        <v>0.20103092783505155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7">
        <v>144</v>
      </c>
      <c r="C38" s="31">
        <f>IF(B$19=0,0,B38/B$19)</f>
        <v>0.18556701030927836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7">
        <v>140</v>
      </c>
      <c r="C39" s="31">
        <f t="shared" si="2"/>
        <v>0.18041237113402062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7">
        <v>104</v>
      </c>
      <c r="C40" s="31">
        <f t="shared" si="2"/>
        <v>0.13402061855670103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7">
        <v>47</v>
      </c>
      <c r="C41" s="31">
        <f t="shared" si="2"/>
        <v>6.056701030927835E-2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7">
        <v>27</v>
      </c>
      <c r="C42" s="31">
        <f t="shared" si="2"/>
        <v>3.4793814432989692E-2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7">
        <v>18</v>
      </c>
      <c r="C43" s="31">
        <f t="shared" si="2"/>
        <v>2.3195876288659795E-2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7">
        <v>5</v>
      </c>
      <c r="C44" s="31">
        <f t="shared" si="2"/>
        <v>6.4432989690721646E-3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7">
        <v>2</v>
      </c>
      <c r="C45" s="31">
        <f t="shared" si="2"/>
        <v>2.5773195876288659E-3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7">
        <v>1</v>
      </c>
      <c r="C46" s="31">
        <f t="shared" si="2"/>
        <v>1.288659793814433E-3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8">
        <v>3</v>
      </c>
      <c r="C48" s="32">
        <f t="shared" si="2"/>
        <v>3.8659793814432991E-3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31">
        <v>2424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29">
        <v>725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  <row r="288" spans="11:12" x14ac:dyDescent="0.45">
      <c r="K288" s="5">
        <v>286</v>
      </c>
      <c r="L288" s="73">
        <v>-1449.5000000000002</v>
      </c>
    </row>
    <row r="289" spans="11:12" x14ac:dyDescent="0.45">
      <c r="K289" s="5">
        <v>287</v>
      </c>
      <c r="L289" s="73">
        <v>-1368.0000000000002</v>
      </c>
    </row>
    <row r="290" spans="11:12" x14ac:dyDescent="0.45">
      <c r="K290" s="5">
        <v>288</v>
      </c>
      <c r="L290" s="73">
        <v>-1346.5000000000002</v>
      </c>
    </row>
    <row r="291" spans="11:12" x14ac:dyDescent="0.45">
      <c r="K291" s="5">
        <v>289</v>
      </c>
      <c r="L291" s="73">
        <v>-1393.1000000000001</v>
      </c>
    </row>
    <row r="292" spans="11:12" x14ac:dyDescent="0.45">
      <c r="K292" s="5">
        <v>290</v>
      </c>
      <c r="L292" s="73">
        <v>-1365.2000000000003</v>
      </c>
    </row>
    <row r="293" spans="11:12" x14ac:dyDescent="0.45">
      <c r="K293" s="5">
        <v>291</v>
      </c>
      <c r="L293" s="73">
        <v>-1338.2000000000003</v>
      </c>
    </row>
    <row r="294" spans="11:12" x14ac:dyDescent="0.45">
      <c r="K294" s="5">
        <v>292</v>
      </c>
      <c r="L294" s="73">
        <v>-1387.1000000000001</v>
      </c>
    </row>
    <row r="295" spans="11:12" x14ac:dyDescent="0.45">
      <c r="K295" s="5">
        <v>293</v>
      </c>
      <c r="L295" s="73">
        <v>-1408.7000000000003</v>
      </c>
    </row>
    <row r="296" spans="11:12" x14ac:dyDescent="0.45">
      <c r="K296" s="5">
        <v>294</v>
      </c>
      <c r="L296" s="73">
        <v>-1453.9000000000003</v>
      </c>
    </row>
    <row r="297" spans="11:12" x14ac:dyDescent="0.45">
      <c r="K297" s="5">
        <v>295</v>
      </c>
      <c r="L297" s="73">
        <v>-1477.2000000000003</v>
      </c>
    </row>
    <row r="298" spans="11:12" x14ac:dyDescent="0.45">
      <c r="K298" s="5">
        <v>296</v>
      </c>
      <c r="L298" s="73">
        <v>-1461.1000000000001</v>
      </c>
    </row>
    <row r="299" spans="11:12" x14ac:dyDescent="0.45">
      <c r="K299" s="5">
        <v>297</v>
      </c>
      <c r="L299" s="73">
        <v>-1473.7000000000003</v>
      </c>
    </row>
    <row r="300" spans="11:12" x14ac:dyDescent="0.45">
      <c r="K300" s="5">
        <v>298</v>
      </c>
      <c r="L300" s="73">
        <v>-1422.4000000000003</v>
      </c>
    </row>
    <row r="301" spans="11:12" x14ac:dyDescent="0.45">
      <c r="K301" s="5">
        <v>299</v>
      </c>
      <c r="L301" s="73">
        <v>-1416.1000000000001</v>
      </c>
    </row>
    <row r="302" spans="11:12" x14ac:dyDescent="0.45">
      <c r="K302" s="5">
        <v>300</v>
      </c>
      <c r="L302" s="73">
        <v>-1392.9000000000003</v>
      </c>
    </row>
    <row r="303" spans="11:12" x14ac:dyDescent="0.45">
      <c r="K303" s="5">
        <v>301</v>
      </c>
      <c r="L303" s="73">
        <v>-1386.2000000000003</v>
      </c>
    </row>
    <row r="304" spans="11:12" x14ac:dyDescent="0.45">
      <c r="K304" s="5">
        <v>302</v>
      </c>
      <c r="L304" s="73">
        <v>-1433.8000000000002</v>
      </c>
    </row>
    <row r="305" spans="11:12" x14ac:dyDescent="0.45">
      <c r="K305" s="5">
        <v>303</v>
      </c>
      <c r="L305" s="73">
        <v>-1460.1000000000001</v>
      </c>
    </row>
    <row r="306" spans="11:12" x14ac:dyDescent="0.45">
      <c r="K306" s="5">
        <v>304</v>
      </c>
      <c r="L306" s="73">
        <v>-1405.4000000000003</v>
      </c>
    </row>
    <row r="307" spans="11:12" x14ac:dyDescent="0.45">
      <c r="K307" s="5">
        <v>305</v>
      </c>
      <c r="L307" s="73">
        <v>-1452.7000000000003</v>
      </c>
    </row>
    <row r="308" spans="11:12" x14ac:dyDescent="0.45">
      <c r="K308" s="5">
        <v>306</v>
      </c>
      <c r="L308" s="73">
        <v>-1464.5000000000002</v>
      </c>
    </row>
    <row r="309" spans="11:12" x14ac:dyDescent="0.45">
      <c r="K309" s="5">
        <v>307</v>
      </c>
      <c r="L309" s="73">
        <v>-1415.0000000000002</v>
      </c>
    </row>
    <row r="310" spans="11:12" x14ac:dyDescent="0.45">
      <c r="K310" s="5">
        <v>308</v>
      </c>
      <c r="L310" s="73">
        <v>-1408.5000000000002</v>
      </c>
    </row>
    <row r="311" spans="11:12" x14ac:dyDescent="0.45">
      <c r="K311" s="5">
        <v>309</v>
      </c>
      <c r="L311" s="73">
        <v>-1413.3000000000002</v>
      </c>
    </row>
    <row r="312" spans="11:12" x14ac:dyDescent="0.45">
      <c r="K312" s="5">
        <v>310</v>
      </c>
      <c r="L312" s="73">
        <v>-1464.5000000000002</v>
      </c>
    </row>
    <row r="313" spans="11:12" x14ac:dyDescent="0.45">
      <c r="K313" s="5">
        <v>311</v>
      </c>
      <c r="L313" s="73">
        <v>-1418.7000000000003</v>
      </c>
    </row>
    <row r="314" spans="11:12" x14ac:dyDescent="0.45">
      <c r="K314" s="5">
        <v>312</v>
      </c>
      <c r="L314" s="73">
        <v>-1420.2000000000003</v>
      </c>
    </row>
    <row r="315" spans="11:12" x14ac:dyDescent="0.45">
      <c r="K315" s="5">
        <v>313</v>
      </c>
      <c r="L315" s="73">
        <v>-1455.0000000000002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C9EE-A35D-4827-BF06-C9EBBC8B6D31}">
  <sheetPr codeName="Sheet11"/>
  <dimension ref="A1:Q53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193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533</v>
      </c>
      <c r="C2" s="132"/>
      <c r="E2" s="43" t="s">
        <v>66</v>
      </c>
      <c r="F2" s="25" t="s">
        <v>22</v>
      </c>
      <c r="G2" s="13">
        <v>967</v>
      </c>
      <c r="H2" s="106">
        <f>IF(B$51=0,0,G2/B$51)</f>
        <v>0.76624405705229792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-551.61290322580646</v>
      </c>
      <c r="P2" s="92">
        <v>527</v>
      </c>
      <c r="Q2" s="76">
        <v>-290700</v>
      </c>
    </row>
    <row r="3" spans="1:17" x14ac:dyDescent="0.45">
      <c r="A3" s="37" t="s">
        <v>8</v>
      </c>
      <c r="B3" s="143">
        <v>4340</v>
      </c>
      <c r="C3" s="144"/>
      <c r="E3" s="44" t="s">
        <v>72</v>
      </c>
      <c r="F3" s="41" t="s">
        <v>27</v>
      </c>
      <c r="G3" s="34">
        <v>667</v>
      </c>
      <c r="H3" s="107">
        <f>IF(B$51=0,0,G3/B$51)</f>
        <v>0.52852614896988903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-174.46393762183237</v>
      </c>
      <c r="P3" s="93">
        <v>513</v>
      </c>
      <c r="Q3" s="77">
        <v>-89500</v>
      </c>
    </row>
    <row r="4" spans="1:17" x14ac:dyDescent="0.45">
      <c r="A4" s="37" t="s">
        <v>6</v>
      </c>
      <c r="B4" s="145">
        <v>-1120.7000000000007</v>
      </c>
      <c r="C4" s="146"/>
      <c r="E4" s="44" t="s">
        <v>64</v>
      </c>
      <c r="F4" s="41" t="s">
        <v>20</v>
      </c>
      <c r="G4" s="34">
        <v>539</v>
      </c>
      <c r="H4" s="107">
        <f>IF(B$51=0,0,G4/B$51)</f>
        <v>0.42709984152139463</v>
      </c>
      <c r="I4" s="68">
        <v>17</v>
      </c>
      <c r="K4" s="5">
        <v>2</v>
      </c>
      <c r="L4" s="73">
        <v>-45.300000000000004</v>
      </c>
      <c r="N4" s="89" t="s">
        <v>128</v>
      </c>
      <c r="O4" s="96">
        <f t="shared" si="0"/>
        <v>217.21991701244812</v>
      </c>
      <c r="P4" s="93">
        <v>482</v>
      </c>
      <c r="Q4" s="77">
        <v>104700</v>
      </c>
    </row>
    <row r="5" spans="1:17" x14ac:dyDescent="0.45">
      <c r="A5" s="37" t="s">
        <v>7</v>
      </c>
      <c r="B5" s="139">
        <f>IF(B$2=0,0,B$4/B$2)</f>
        <v>-2.1026266416510331</v>
      </c>
      <c r="C5" s="140"/>
      <c r="E5" s="44" t="s">
        <v>157</v>
      </c>
      <c r="F5" s="41" t="s">
        <v>158</v>
      </c>
      <c r="G5" s="34">
        <v>405</v>
      </c>
      <c r="H5" s="107">
        <f>IF(B$51=0,0,G5/B$51)</f>
        <v>0.32091917591125196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-1017.5946547884187</v>
      </c>
      <c r="P5" s="93">
        <v>449</v>
      </c>
      <c r="Q5" s="77">
        <v>-456900</v>
      </c>
    </row>
    <row r="6" spans="1:17" x14ac:dyDescent="0.45">
      <c r="A6" s="37" t="s">
        <v>1</v>
      </c>
      <c r="B6" s="137">
        <f>IF(B$2=0,0,(B$7*1+B$8*2+B$9*3)/B$2)</f>
        <v>2.0131332082551596</v>
      </c>
      <c r="C6" s="138"/>
      <c r="E6" s="44" t="s">
        <v>68</v>
      </c>
      <c r="F6" s="41" t="s">
        <v>12</v>
      </c>
      <c r="G6" s="34">
        <v>371</v>
      </c>
      <c r="H6" s="107">
        <f>IF(B$51=0,0,G6/B$51)</f>
        <v>0.29397781299524567</v>
      </c>
      <c r="I6" s="68">
        <v>14</v>
      </c>
      <c r="K6" s="5">
        <v>4</v>
      </c>
      <c r="L6" s="73">
        <v>-114.30000000000001</v>
      </c>
      <c r="N6" s="89" t="s">
        <v>130</v>
      </c>
      <c r="O6" s="96">
        <f t="shared" si="0"/>
        <v>-208.14814814814815</v>
      </c>
      <c r="P6" s="93">
        <v>405</v>
      </c>
      <c r="Q6" s="77">
        <v>-84300</v>
      </c>
    </row>
    <row r="7" spans="1:17" x14ac:dyDescent="0.45">
      <c r="A7" s="37" t="s">
        <v>2</v>
      </c>
      <c r="B7" s="34">
        <v>178</v>
      </c>
      <c r="C7" s="31">
        <f t="shared" ref="C7:C14" si="1">IF(B$2=0,0,B7/B$2)</f>
        <v>0.33395872420262662</v>
      </c>
      <c r="E7" s="44" t="s">
        <v>67</v>
      </c>
      <c r="F7" s="41" t="s">
        <v>23</v>
      </c>
      <c r="G7" s="34">
        <v>304</v>
      </c>
      <c r="H7" s="107">
        <f>IF(B$51=0,0,G7/B$51)</f>
        <v>0.24088748019017434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25.217391304347824</v>
      </c>
      <c r="P7" s="94">
        <v>345</v>
      </c>
      <c r="Q7" s="78">
        <v>8700</v>
      </c>
    </row>
    <row r="8" spans="1:17" x14ac:dyDescent="0.45">
      <c r="A8" s="37" t="s">
        <v>3</v>
      </c>
      <c r="B8" s="34">
        <v>170</v>
      </c>
      <c r="C8" s="31">
        <f t="shared" si="1"/>
        <v>0.31894934333958724</v>
      </c>
      <c r="E8" s="44" t="s">
        <v>69</v>
      </c>
      <c r="F8" s="41" t="s">
        <v>24</v>
      </c>
      <c r="G8" s="34">
        <v>178</v>
      </c>
      <c r="H8" s="107">
        <f>IF(B$51=0,0,G8/B$51)</f>
        <v>0.14104595879556259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185</v>
      </c>
      <c r="C9" s="7">
        <f t="shared" si="1"/>
        <v>0.34709193245778613</v>
      </c>
      <c r="E9" s="44" t="s">
        <v>89</v>
      </c>
      <c r="F9" s="41" t="s">
        <v>44</v>
      </c>
      <c r="G9" s="34">
        <v>160</v>
      </c>
      <c r="H9" s="107">
        <f>IF(B$51=0,0,G9/B$51)</f>
        <v>0.12678288431061807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35.664606741573039</v>
      </c>
      <c r="C10" s="121">
        <v>6348.3000000000011</v>
      </c>
      <c r="E10" s="44" t="s">
        <v>70</v>
      </c>
      <c r="F10" s="41" t="s">
        <v>25</v>
      </c>
      <c r="G10" s="34">
        <v>141</v>
      </c>
      <c r="H10" s="107">
        <f>IF(B$51=0,0,G10/B$51)</f>
        <v>0.11172741679873217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-3.0118644067796598</v>
      </c>
      <c r="P10" s="92">
        <v>177</v>
      </c>
      <c r="Q10" s="80">
        <v>-533.0999999999998</v>
      </c>
    </row>
    <row r="11" spans="1:17" x14ac:dyDescent="0.45">
      <c r="A11" s="38" t="s">
        <v>204</v>
      </c>
      <c r="B11" s="120">
        <f>IF(B8=0,0,C11/B8)</f>
        <v>-1.5588235294117643</v>
      </c>
      <c r="C11" s="121">
        <v>-264.99999999999994</v>
      </c>
      <c r="E11" s="44" t="s">
        <v>65</v>
      </c>
      <c r="F11" s="41" t="s">
        <v>21</v>
      </c>
      <c r="G11" s="34">
        <v>111</v>
      </c>
      <c r="H11" s="107">
        <f>IF(B$51=0,0,G11/B$51)</f>
        <v>8.7955625990491282E-2</v>
      </c>
      <c r="I11" s="68">
        <v>17</v>
      </c>
      <c r="K11" s="5">
        <v>9</v>
      </c>
      <c r="L11" s="73">
        <v>-53.500000000000021</v>
      </c>
      <c r="N11" s="89" t="s">
        <v>150</v>
      </c>
      <c r="O11" s="99">
        <f>IF(P11=0,0,Q11/P11)</f>
        <v>-0.30977011494252876</v>
      </c>
      <c r="P11" s="93">
        <v>174</v>
      </c>
      <c r="Q11" s="81">
        <v>-53.900000000000006</v>
      </c>
    </row>
    <row r="12" spans="1:17" x14ac:dyDescent="0.45">
      <c r="A12" s="38" t="s">
        <v>205</v>
      </c>
      <c r="B12" s="120">
        <f>IF(B9=0,0,C12/B9)</f>
        <v>-38.940540540540546</v>
      </c>
      <c r="C12" s="121">
        <v>-7204.0000000000009</v>
      </c>
      <c r="E12" s="44" t="s">
        <v>71</v>
      </c>
      <c r="F12" s="41" t="s">
        <v>26</v>
      </c>
      <c r="G12" s="34">
        <v>107</v>
      </c>
      <c r="H12" s="107">
        <f>IF(B$51=0,0,G12/B$51)</f>
        <v>8.4786053882725837E-2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-3.1577777777777771</v>
      </c>
      <c r="P12" s="94">
        <v>180</v>
      </c>
      <c r="Q12" s="82">
        <v>-568.39999999999986</v>
      </c>
    </row>
    <row r="13" spans="1:17" x14ac:dyDescent="0.45">
      <c r="A13" s="38" t="s">
        <v>206</v>
      </c>
      <c r="B13" s="139">
        <f>AVERAGE(B10:B12)</f>
        <v>-1.6115857761264227</v>
      </c>
      <c r="C13" s="140"/>
      <c r="E13" s="44" t="s">
        <v>86</v>
      </c>
      <c r="F13" s="41" t="s">
        <v>41</v>
      </c>
      <c r="G13" s="34">
        <v>64</v>
      </c>
      <c r="H13" s="107">
        <f>IF(B$51=0,0,G13/B$51)</f>
        <v>5.0713153724247229E-2</v>
      </c>
      <c r="I13" s="68">
        <v>11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62</v>
      </c>
      <c r="C14" s="32">
        <f t="shared" si="1"/>
        <v>0.11632270168855535</v>
      </c>
      <c r="E14" s="44" t="s">
        <v>83</v>
      </c>
      <c r="F14" s="41" t="s">
        <v>38</v>
      </c>
      <c r="G14" s="34">
        <v>52</v>
      </c>
      <c r="H14" s="107">
        <f>IF(B$51=0,0,G14/B$51)</f>
        <v>4.1204437400950873E-2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1021</v>
      </c>
      <c r="C15" s="11">
        <f>IF(B$50=0,0,B15/B$50)</f>
        <v>0.24228761271950641</v>
      </c>
      <c r="E15" s="44" t="s">
        <v>78</v>
      </c>
      <c r="F15" s="41" t="s">
        <v>33</v>
      </c>
      <c r="G15" s="34">
        <v>49</v>
      </c>
      <c r="H15" s="107">
        <f>IF(B$51=0,0,G15/B$51)</f>
        <v>3.8827258320126783E-2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1042</v>
      </c>
      <c r="C16" s="31">
        <f>IF(B$50=0,0,B16/B$50)</f>
        <v>0.24727100142382535</v>
      </c>
      <c r="E16" s="44" t="s">
        <v>81</v>
      </c>
      <c r="F16" s="41" t="s">
        <v>36</v>
      </c>
      <c r="G16" s="34">
        <v>36</v>
      </c>
      <c r="H16" s="107">
        <f>IF(B$51=0,0,G16/B$51)</f>
        <v>2.8526148969889066E-2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552</v>
      </c>
      <c r="C17" s="4">
        <f>IF(B$15=0,0,B17/B$15)</f>
        <v>0.54064642507345739</v>
      </c>
      <c r="E17" s="44" t="s">
        <v>91</v>
      </c>
      <c r="F17" s="41" t="s">
        <v>46</v>
      </c>
      <c r="G17" s="34">
        <v>25</v>
      </c>
      <c r="H17" s="107">
        <f>IF(B$51=0,0,G17/B$51)</f>
        <v>1.9809825673534072E-2</v>
      </c>
      <c r="I17" s="68">
        <v>6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396</v>
      </c>
      <c r="C18" s="4">
        <f>IF(B$16=0,0,B18/B$16)</f>
        <v>0.3800383877159309</v>
      </c>
      <c r="E18" s="44" t="s">
        <v>79</v>
      </c>
      <c r="F18" s="41" t="s">
        <v>34</v>
      </c>
      <c r="G18" s="34">
        <v>16</v>
      </c>
      <c r="H18" s="107">
        <f>IF(B$51=0,0,G18/B$51)</f>
        <v>1.2678288431061807E-2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8.1392045454545432</v>
      </c>
      <c r="P18" s="93">
        <v>176</v>
      </c>
      <c r="Q18" s="81">
        <v>1432.4999999999995</v>
      </c>
    </row>
    <row r="19" spans="1:17" x14ac:dyDescent="0.45">
      <c r="A19" s="19" t="s">
        <v>10</v>
      </c>
      <c r="B19" s="13">
        <v>1299</v>
      </c>
      <c r="C19" s="4">
        <f>IF(B$3=0,0,B19/B$3)</f>
        <v>0.29930875576036864</v>
      </c>
      <c r="E19" s="44" t="s">
        <v>77</v>
      </c>
      <c r="F19" s="41" t="s">
        <v>32</v>
      </c>
      <c r="G19" s="34">
        <v>9</v>
      </c>
      <c r="H19" s="107">
        <f>IF(B$51=0,0,G19/B$51)</f>
        <v>7.1315372424722665E-3</v>
      </c>
      <c r="I19" s="68">
        <v>3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738</v>
      </c>
      <c r="C20" s="31">
        <f>IF(B$3=0,0,B20/B$3)</f>
        <v>0.17004608294930876</v>
      </c>
      <c r="E20" s="44" t="s">
        <v>153</v>
      </c>
      <c r="F20" s="41" t="s">
        <v>154</v>
      </c>
      <c r="G20" s="34">
        <v>8</v>
      </c>
      <c r="H20" s="107">
        <f>IF(B$51=0,0,G20/B$51)</f>
        <v>6.3391442155309036E-3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545</v>
      </c>
      <c r="C21" s="31">
        <f>IF(B$19=0,0,B21/B$19)</f>
        <v>0.4195535026943803</v>
      </c>
      <c r="E21" s="44" t="s">
        <v>73</v>
      </c>
      <c r="F21" s="41" t="s">
        <v>28</v>
      </c>
      <c r="G21" s="34">
        <v>7</v>
      </c>
      <c r="H21" s="107">
        <f>IF(B$51=0,0,G21/B$51)</f>
        <v>5.5467511885895406E-3</v>
      </c>
      <c r="I21" s="68">
        <v>7</v>
      </c>
      <c r="K21" s="5">
        <v>19</v>
      </c>
      <c r="L21" s="73">
        <v>125.69999999999996</v>
      </c>
      <c r="N21" s="89" t="s">
        <v>187</v>
      </c>
      <c r="O21" s="99">
        <f>IF(P21=0,0,Q21/P21)</f>
        <v>-0.17567567567567466</v>
      </c>
      <c r="P21" s="93">
        <v>148</v>
      </c>
      <c r="Q21" s="81">
        <v>-25.999999999999851</v>
      </c>
    </row>
    <row r="22" spans="1:17" x14ac:dyDescent="0.45">
      <c r="A22" s="37" t="s">
        <v>11</v>
      </c>
      <c r="B22" s="34">
        <v>754</v>
      </c>
      <c r="C22" s="31">
        <f>IF(B$19=0,0,B22/B$19)</f>
        <v>0.5804464973056197</v>
      </c>
      <c r="E22" s="44" t="s">
        <v>74</v>
      </c>
      <c r="F22" s="41" t="s">
        <v>29</v>
      </c>
      <c r="G22" s="34">
        <v>6</v>
      </c>
      <c r="H22" s="107">
        <f>IF(B$51=0,0,G22/B$51)</f>
        <v>4.7543581616481777E-3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-3.1111111111111089</v>
      </c>
      <c r="P22" s="93">
        <v>162</v>
      </c>
      <c r="Q22" s="81">
        <v>-503.99999999999966</v>
      </c>
    </row>
    <row r="23" spans="1:17" x14ac:dyDescent="0.45">
      <c r="A23" s="37" t="s">
        <v>180</v>
      </c>
      <c r="B23" s="34">
        <v>552</v>
      </c>
      <c r="C23" s="31">
        <f>IF(B$19=0,0,B23/B$19)</f>
        <v>0.42494226327944573</v>
      </c>
      <c r="E23" s="44" t="s">
        <v>75</v>
      </c>
      <c r="F23" s="41" t="s">
        <v>30</v>
      </c>
      <c r="G23" s="34">
        <v>6</v>
      </c>
      <c r="H23" s="107">
        <f>IF(B$51=0,0,G23/B$51)</f>
        <v>4.7543581616481777E-3</v>
      </c>
      <c r="I23" s="68">
        <v>9</v>
      </c>
      <c r="K23" s="5">
        <v>21</v>
      </c>
      <c r="L23" s="73">
        <v>129.69999999999996</v>
      </c>
      <c r="N23" s="89" t="s">
        <v>188</v>
      </c>
      <c r="O23" s="99">
        <f>IF(P23=0,0,Q23/P23)</f>
        <v>-4.7433628318584073</v>
      </c>
      <c r="P23" s="93">
        <v>113</v>
      </c>
      <c r="Q23" s="81">
        <v>-536</v>
      </c>
    </row>
    <row r="24" spans="1:17" x14ac:dyDescent="0.45">
      <c r="A24" s="37" t="s">
        <v>178</v>
      </c>
      <c r="B24" s="34">
        <v>396</v>
      </c>
      <c r="C24" s="31">
        <f>IF(B$19=0,0,B24/B$19)</f>
        <v>0.30484988452655887</v>
      </c>
      <c r="E24" s="44" t="s">
        <v>92</v>
      </c>
      <c r="F24" s="41" t="s">
        <v>47</v>
      </c>
      <c r="G24" s="34">
        <v>6</v>
      </c>
      <c r="H24" s="107">
        <f>IF(B$51=0,0,G24/B$51)</f>
        <v>4.7543581616481777E-3</v>
      </c>
      <c r="I24" s="68">
        <v>8</v>
      </c>
      <c r="K24" s="5">
        <v>22</v>
      </c>
      <c r="L24" s="73">
        <v>174.29999999999995</v>
      </c>
      <c r="N24" s="89" t="s">
        <v>196</v>
      </c>
      <c r="O24" s="99">
        <f>IF(P24=0,0,Q24/P24)</f>
        <v>-6.2</v>
      </c>
      <c r="P24" s="93">
        <v>3</v>
      </c>
      <c r="Q24" s="81">
        <v>-18.600000000000001</v>
      </c>
    </row>
    <row r="25" spans="1:17" x14ac:dyDescent="0.45">
      <c r="A25" s="37" t="s">
        <v>179</v>
      </c>
      <c r="B25" s="34">
        <v>351</v>
      </c>
      <c r="C25" s="31">
        <f>IF(B$19=0,0,B25/B$19)</f>
        <v>0.2702078521939954</v>
      </c>
      <c r="E25" s="44" t="s">
        <v>84</v>
      </c>
      <c r="F25" s="41" t="s">
        <v>39</v>
      </c>
      <c r="G25" s="34">
        <v>4</v>
      </c>
      <c r="H25" s="107">
        <f>IF(B$51=0,0,G25/B$51)</f>
        <v>3.1695721077654518E-3</v>
      </c>
      <c r="I25" s="68">
        <v>3</v>
      </c>
      <c r="K25" s="5">
        <v>23</v>
      </c>
      <c r="L25" s="73">
        <v>172.89999999999995</v>
      </c>
      <c r="N25" s="89" t="s">
        <v>189</v>
      </c>
      <c r="O25" s="99">
        <f>IF(P25=0,0,Q25/P25)</f>
        <v>-12</v>
      </c>
      <c r="P25" s="93">
        <v>6</v>
      </c>
      <c r="Q25" s="81">
        <v>-72</v>
      </c>
    </row>
    <row r="26" spans="1:17" x14ac:dyDescent="0.45">
      <c r="A26" s="37" t="s">
        <v>5</v>
      </c>
      <c r="B26" s="17">
        <f>IF(B$19=0,0,C26/B$19)</f>
        <v>8453.0408006158577</v>
      </c>
      <c r="C26" s="8">
        <v>10980500</v>
      </c>
      <c r="E26" s="44" t="s">
        <v>93</v>
      </c>
      <c r="F26" s="41" t="s">
        <v>48</v>
      </c>
      <c r="G26" s="34">
        <v>4</v>
      </c>
      <c r="H26" s="107">
        <f>IF(B$51=0,0,G26/B$51)</f>
        <v>3.1695721077654518E-3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-12.541129032258072</v>
      </c>
      <c r="P26" s="93">
        <v>372</v>
      </c>
      <c r="Q26" s="81">
        <v>-4665.3000000000029</v>
      </c>
    </row>
    <row r="27" spans="1:17" x14ac:dyDescent="0.45">
      <c r="A27" s="38" t="s">
        <v>162</v>
      </c>
      <c r="B27" s="114">
        <f>IF($B$19-B$18=0,0,C27/($B$19-B$18))</f>
        <v>9126.6888150609084</v>
      </c>
      <c r="C27" s="115">
        <v>8241400</v>
      </c>
      <c r="E27" s="44" t="s">
        <v>87</v>
      </c>
      <c r="F27" s="41" t="s">
        <v>42</v>
      </c>
      <c r="G27" s="34">
        <v>3</v>
      </c>
      <c r="H27" s="107">
        <f>IF(B$51=0,0,G27/B$51)</f>
        <v>2.3771790808240888E-3</v>
      </c>
      <c r="I27" s="68">
        <v>5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38" t="s">
        <v>163</v>
      </c>
      <c r="B28" s="114">
        <f>IF(B$18=0,0,C28/B$18)</f>
        <v>6916.9191919191917</v>
      </c>
      <c r="C28" s="115">
        <v>2739100</v>
      </c>
      <c r="E28" s="44" t="s">
        <v>90</v>
      </c>
      <c r="F28" s="41" t="s">
        <v>45</v>
      </c>
      <c r="G28" s="34">
        <v>2</v>
      </c>
      <c r="H28" s="107">
        <f>IF(B$51=0,0,G28/B$51)</f>
        <v>1.5847860538827259E-3</v>
      </c>
      <c r="I28" s="68">
        <v>5</v>
      </c>
      <c r="K28" s="5">
        <v>26</v>
      </c>
      <c r="L28" s="73">
        <v>128.69999999999993</v>
      </c>
    </row>
    <row r="29" spans="1:17" x14ac:dyDescent="0.45">
      <c r="A29" s="38" t="s">
        <v>161</v>
      </c>
      <c r="B29" s="114">
        <f>IF(B$20=0,0,C29/B$20)</f>
        <v>-8432.1138211382113</v>
      </c>
      <c r="C29" s="115">
        <v>-6222900</v>
      </c>
      <c r="E29" s="44" t="s">
        <v>76</v>
      </c>
      <c r="F29" s="41" t="s">
        <v>31</v>
      </c>
      <c r="G29" s="34">
        <v>1</v>
      </c>
      <c r="H29" s="107">
        <f>IF(B$51=0,0,G29/B$51)</f>
        <v>7.9239302694136295E-4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7.9239302694136295E-4</v>
      </c>
      <c r="I30" s="68">
        <v>9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7.9239302694136295E-4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35">
        <v>9</v>
      </c>
      <c r="C32" s="136"/>
      <c r="E32" s="44" t="s">
        <v>95</v>
      </c>
      <c r="F32" s="41" t="s">
        <v>50</v>
      </c>
      <c r="G32" s="34">
        <v>1</v>
      </c>
      <c r="H32" s="107">
        <f>IF(B$51=0,0,G32/B$51)</f>
        <v>7.9239302694136295E-4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33">
        <v>109300</v>
      </c>
      <c r="C33" s="134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3.2258064516129032E-3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6">
        <v>86</v>
      </c>
      <c r="C36" s="119">
        <f>IF(B$19=0,0,B36/B$19)</f>
        <v>6.6204772902232492E-2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228</v>
      </c>
      <c r="C37" s="31">
        <f t="shared" ref="C37:C48" si="2">IF(B$19=0,0,B37/B$19)</f>
        <v>0.17551963048498845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7">
        <v>264</v>
      </c>
      <c r="C38" s="31">
        <f>IF(B$19=0,0,B38/B$19)</f>
        <v>0.20323325635103925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7">
        <v>245</v>
      </c>
      <c r="C39" s="31">
        <f t="shared" si="2"/>
        <v>0.18860662047729021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7">
        <v>174</v>
      </c>
      <c r="C40" s="31">
        <f t="shared" si="2"/>
        <v>0.13394919168591224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7">
        <v>112</v>
      </c>
      <c r="C41" s="31">
        <f t="shared" si="2"/>
        <v>8.6220169361046956E-2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7">
        <v>55</v>
      </c>
      <c r="C42" s="31">
        <f t="shared" si="2"/>
        <v>4.2340261739799843E-2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7">
        <v>39</v>
      </c>
      <c r="C43" s="31">
        <f t="shared" si="2"/>
        <v>3.0023094688221709E-2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7">
        <v>19</v>
      </c>
      <c r="C44" s="31">
        <f t="shared" si="2"/>
        <v>1.4626635873749037E-2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7">
        <v>13</v>
      </c>
      <c r="C45" s="31">
        <f t="shared" si="2"/>
        <v>1.0007698229407237E-2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7">
        <v>11</v>
      </c>
      <c r="C46" s="31">
        <f t="shared" si="2"/>
        <v>8.4680523479599683E-3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7">
        <v>2</v>
      </c>
      <c r="C47" s="31">
        <f t="shared" si="2"/>
        <v>1.539645881447267E-3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8">
        <v>14</v>
      </c>
      <c r="C48" s="32">
        <f t="shared" si="2"/>
        <v>1.0777521170130869E-2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31">
        <v>4214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29">
        <v>1262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  <row r="497" spans="11:12" x14ac:dyDescent="0.45">
      <c r="K497" s="5">
        <v>495</v>
      </c>
      <c r="L497" s="73">
        <v>-1036.7000000000005</v>
      </c>
    </row>
    <row r="498" spans="11:12" x14ac:dyDescent="0.45">
      <c r="K498" s="5">
        <v>496</v>
      </c>
      <c r="L498" s="73">
        <v>-996.10000000000059</v>
      </c>
    </row>
    <row r="499" spans="11:12" x14ac:dyDescent="0.45">
      <c r="K499" s="5">
        <v>497</v>
      </c>
      <c r="L499" s="73">
        <v>-957.00000000000057</v>
      </c>
    </row>
    <row r="500" spans="11:12" x14ac:dyDescent="0.45">
      <c r="K500" s="5">
        <v>498</v>
      </c>
      <c r="L500" s="73">
        <v>-914.50000000000057</v>
      </c>
    </row>
    <row r="501" spans="11:12" x14ac:dyDescent="0.45">
      <c r="K501" s="5">
        <v>499</v>
      </c>
      <c r="L501" s="73">
        <v>-914.20000000000061</v>
      </c>
    </row>
    <row r="502" spans="11:12" x14ac:dyDescent="0.45">
      <c r="K502" s="5">
        <v>500</v>
      </c>
      <c r="L502" s="73">
        <v>-897.30000000000064</v>
      </c>
    </row>
    <row r="503" spans="11:12" x14ac:dyDescent="0.45">
      <c r="K503" s="5">
        <v>501</v>
      </c>
      <c r="L503" s="73">
        <v>-931.80000000000064</v>
      </c>
    </row>
    <row r="504" spans="11:12" x14ac:dyDescent="0.45">
      <c r="K504" s="5">
        <v>502</v>
      </c>
      <c r="L504" s="73">
        <v>-957.40000000000055</v>
      </c>
    </row>
    <row r="505" spans="11:12" x14ac:dyDescent="0.45">
      <c r="K505" s="5">
        <v>503</v>
      </c>
      <c r="L505" s="73">
        <v>-972.80000000000064</v>
      </c>
    </row>
    <row r="506" spans="11:12" x14ac:dyDescent="0.45">
      <c r="K506" s="5">
        <v>504</v>
      </c>
      <c r="L506" s="73">
        <v>-980.20000000000061</v>
      </c>
    </row>
    <row r="507" spans="11:12" x14ac:dyDescent="0.45">
      <c r="K507" s="5">
        <v>505</v>
      </c>
      <c r="L507" s="73">
        <v>-912.00000000000057</v>
      </c>
    </row>
    <row r="508" spans="11:12" x14ac:dyDescent="0.45">
      <c r="K508" s="5">
        <v>506</v>
      </c>
      <c r="L508" s="73">
        <v>-939.00000000000057</v>
      </c>
    </row>
    <row r="509" spans="11:12" x14ac:dyDescent="0.45">
      <c r="K509" s="5">
        <v>507</v>
      </c>
      <c r="L509" s="73">
        <v>-971.30000000000064</v>
      </c>
    </row>
    <row r="510" spans="11:12" x14ac:dyDescent="0.45">
      <c r="K510" s="5">
        <v>508</v>
      </c>
      <c r="L510" s="73">
        <v>-1021.4000000000007</v>
      </c>
    </row>
    <row r="511" spans="11:12" x14ac:dyDescent="0.45">
      <c r="K511" s="5">
        <v>509</v>
      </c>
      <c r="L511" s="73">
        <v>-1053.1000000000006</v>
      </c>
    </row>
    <row r="512" spans="11:12" x14ac:dyDescent="0.45">
      <c r="K512" s="5">
        <v>510</v>
      </c>
      <c r="L512" s="73">
        <v>-1110.2000000000007</v>
      </c>
    </row>
    <row r="513" spans="11:12" x14ac:dyDescent="0.45">
      <c r="K513" s="5">
        <v>511</v>
      </c>
      <c r="L513" s="73">
        <v>-1163.2000000000007</v>
      </c>
    </row>
    <row r="514" spans="11:12" x14ac:dyDescent="0.45">
      <c r="K514" s="5">
        <v>512</v>
      </c>
      <c r="L514" s="73">
        <v>-1108.8000000000006</v>
      </c>
    </row>
    <row r="515" spans="11:12" x14ac:dyDescent="0.45">
      <c r="K515" s="5">
        <v>513</v>
      </c>
      <c r="L515" s="73">
        <v>-1100.2000000000007</v>
      </c>
    </row>
    <row r="516" spans="11:12" x14ac:dyDescent="0.45">
      <c r="K516" s="5">
        <v>514</v>
      </c>
      <c r="L516" s="73">
        <v>-1093.0000000000007</v>
      </c>
    </row>
    <row r="517" spans="11:12" x14ac:dyDescent="0.45">
      <c r="K517" s="5">
        <v>515</v>
      </c>
      <c r="L517" s="73">
        <v>-1101.2000000000007</v>
      </c>
    </row>
    <row r="518" spans="11:12" x14ac:dyDescent="0.45">
      <c r="K518" s="5">
        <v>516</v>
      </c>
      <c r="L518" s="73">
        <v>-1088.7000000000007</v>
      </c>
    </row>
    <row r="519" spans="11:12" x14ac:dyDescent="0.45">
      <c r="K519" s="5">
        <v>517</v>
      </c>
      <c r="L519" s="73">
        <v>-1043.6000000000006</v>
      </c>
    </row>
    <row r="520" spans="11:12" x14ac:dyDescent="0.45">
      <c r="K520" s="5">
        <v>518</v>
      </c>
      <c r="L520" s="73">
        <v>-1022.6000000000006</v>
      </c>
    </row>
    <row r="521" spans="11:12" x14ac:dyDescent="0.45">
      <c r="K521" s="5">
        <v>519</v>
      </c>
      <c r="L521" s="73">
        <v>-1045.9000000000005</v>
      </c>
    </row>
    <row r="522" spans="11:12" x14ac:dyDescent="0.45">
      <c r="K522" s="5">
        <v>520</v>
      </c>
      <c r="L522" s="73">
        <v>-1085.0000000000007</v>
      </c>
    </row>
    <row r="523" spans="11:12" x14ac:dyDescent="0.45">
      <c r="K523" s="5">
        <v>521</v>
      </c>
      <c r="L523" s="73">
        <v>-1033.1000000000006</v>
      </c>
    </row>
    <row r="524" spans="11:12" x14ac:dyDescent="0.45">
      <c r="K524" s="5">
        <v>522</v>
      </c>
      <c r="L524" s="73">
        <v>-1026.0000000000007</v>
      </c>
    </row>
    <row r="525" spans="11:12" x14ac:dyDescent="0.45">
      <c r="K525" s="5">
        <v>523</v>
      </c>
      <c r="L525" s="73">
        <v>-1047.8000000000006</v>
      </c>
    </row>
    <row r="526" spans="11:12" x14ac:dyDescent="0.45">
      <c r="K526" s="5">
        <v>524</v>
      </c>
      <c r="L526" s="73">
        <v>-1006.9000000000007</v>
      </c>
    </row>
    <row r="527" spans="11:12" x14ac:dyDescent="0.45">
      <c r="K527" s="5">
        <v>525</v>
      </c>
      <c r="L527" s="73">
        <v>-1021.4000000000007</v>
      </c>
    </row>
    <row r="528" spans="11:12" x14ac:dyDescent="0.45">
      <c r="K528" s="5">
        <v>526</v>
      </c>
      <c r="L528" s="73">
        <v>-1018.6000000000006</v>
      </c>
    </row>
    <row r="529" spans="11:12" x14ac:dyDescent="0.45">
      <c r="K529" s="5">
        <v>527</v>
      </c>
      <c r="L529" s="73">
        <v>-1064.1000000000006</v>
      </c>
    </row>
    <row r="530" spans="11:12" x14ac:dyDescent="0.45">
      <c r="K530" s="5">
        <v>528</v>
      </c>
      <c r="L530" s="73">
        <v>-1048.8000000000006</v>
      </c>
    </row>
    <row r="531" spans="11:12" x14ac:dyDescent="0.45">
      <c r="K531" s="5">
        <v>529</v>
      </c>
      <c r="L531" s="73">
        <v>-1029.3000000000006</v>
      </c>
    </row>
    <row r="532" spans="11:12" x14ac:dyDescent="0.45">
      <c r="K532" s="5">
        <v>530</v>
      </c>
      <c r="L532" s="73">
        <v>-1038.2000000000007</v>
      </c>
    </row>
    <row r="533" spans="11:12" x14ac:dyDescent="0.45">
      <c r="K533" s="5">
        <v>531</v>
      </c>
      <c r="L533" s="73">
        <v>-1042.9000000000005</v>
      </c>
    </row>
    <row r="534" spans="11:12" x14ac:dyDescent="0.45">
      <c r="K534" s="5">
        <v>532</v>
      </c>
      <c r="L534" s="73">
        <v>-1084.5000000000007</v>
      </c>
    </row>
    <row r="535" spans="11:12" x14ac:dyDescent="0.45">
      <c r="K535" s="5">
        <v>533</v>
      </c>
      <c r="L535" s="73">
        <v>-1120.7000000000007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0AB17-9D7A-4AFE-AD41-C76D8921E224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192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39</v>
      </c>
      <c r="C2" s="132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43">
        <v>316</v>
      </c>
      <c r="C3" s="144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6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45">
        <v>91.000000000000014</v>
      </c>
      <c r="C4" s="146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9">
        <f>IF(B$2=0,0,B$4/B$2)</f>
        <v>2.3333333333333335</v>
      </c>
      <c r="C5" s="140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37">
        <f>IF(B$2=0,0,(B$7*1+B$8*2+B$9*3)/B$2)</f>
        <v>2.0256410256410255</v>
      </c>
      <c r="C6" s="138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4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9">
        <f>AVERAGE(B10:B12)</f>
        <v>3.0839682539682549</v>
      </c>
      <c r="C13" s="140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33">
        <v>109300</v>
      </c>
      <c r="C33" s="134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6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7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7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7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7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7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</row>
    <row r="43" spans="1:12" x14ac:dyDescent="0.45">
      <c r="A43" s="37" t="s">
        <v>171</v>
      </c>
      <c r="B43" s="127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7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7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7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8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61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B2643-AAFC-4918-B90E-E6C60AC141A1}">
  <sheetPr codeName="Sheet13"/>
  <dimension ref="A1:Q46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191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460</v>
      </c>
      <c r="C2" s="132"/>
      <c r="E2" s="43" t="s">
        <v>66</v>
      </c>
      <c r="F2" s="25" t="s">
        <v>22</v>
      </c>
      <c r="G2" s="13">
        <v>869</v>
      </c>
      <c r="H2" s="106">
        <f>IF(B$51=0,0,G2/B$51)</f>
        <v>0.83557692307692311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398.6754966887417</v>
      </c>
      <c r="P2" s="92">
        <v>453</v>
      </c>
      <c r="Q2" s="76">
        <v>180600</v>
      </c>
    </row>
    <row r="3" spans="1:17" x14ac:dyDescent="0.45">
      <c r="A3" s="37" t="s">
        <v>8</v>
      </c>
      <c r="B3" s="143">
        <v>3709</v>
      </c>
      <c r="C3" s="144"/>
      <c r="E3" s="44" t="s">
        <v>72</v>
      </c>
      <c r="F3" s="41" t="s">
        <v>27</v>
      </c>
      <c r="G3" s="34">
        <v>587</v>
      </c>
      <c r="H3" s="107">
        <f>IF(B$51=0,0,G3/B$51)</f>
        <v>0.56442307692307692</v>
      </c>
      <c r="I3" s="68">
        <v>7</v>
      </c>
      <c r="K3" s="5">
        <v>1</v>
      </c>
      <c r="L3" s="73">
        <v>3.9</v>
      </c>
      <c r="N3" s="89" t="s">
        <v>127</v>
      </c>
      <c r="O3" s="96">
        <f t="shared" si="0"/>
        <v>-574.15730337078651</v>
      </c>
      <c r="P3" s="93">
        <v>445</v>
      </c>
      <c r="Q3" s="77">
        <v>-255500</v>
      </c>
    </row>
    <row r="4" spans="1:17" x14ac:dyDescent="0.45">
      <c r="A4" s="37" t="s">
        <v>6</v>
      </c>
      <c r="B4" s="145">
        <v>473.3000000000003</v>
      </c>
      <c r="C4" s="146"/>
      <c r="E4" s="44" t="s">
        <v>64</v>
      </c>
      <c r="F4" s="41" t="s">
        <v>20</v>
      </c>
      <c r="G4" s="34">
        <v>573</v>
      </c>
      <c r="H4" s="107">
        <f>IF(B$51=0,0,G4/B$51)</f>
        <v>0.5509615384615385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322.19512195121951</v>
      </c>
      <c r="P4" s="93">
        <v>410</v>
      </c>
      <c r="Q4" s="77">
        <v>132100</v>
      </c>
    </row>
    <row r="5" spans="1:17" x14ac:dyDescent="0.45">
      <c r="A5" s="37" t="s">
        <v>7</v>
      </c>
      <c r="B5" s="139">
        <f>IF(B$2=0,0,B$4/B$2)</f>
        <v>1.0289130434782614</v>
      </c>
      <c r="C5" s="140"/>
      <c r="E5" s="44" t="s">
        <v>67</v>
      </c>
      <c r="F5" s="41" t="s">
        <v>23</v>
      </c>
      <c r="G5" s="34">
        <v>362</v>
      </c>
      <c r="H5" s="107">
        <f>IF(B$51=0,0,G5/B$51)</f>
        <v>0.34807692307692306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641.77897574123995</v>
      </c>
      <c r="P5" s="93">
        <v>371</v>
      </c>
      <c r="Q5" s="77">
        <v>238100</v>
      </c>
    </row>
    <row r="6" spans="1:17" x14ac:dyDescent="0.45">
      <c r="A6" s="37" t="s">
        <v>1</v>
      </c>
      <c r="B6" s="137">
        <f>IF(B$2=0,0,(B$7*1+B$8*2+B$9*3)/B$2)</f>
        <v>2.0217391304347827</v>
      </c>
      <c r="C6" s="138"/>
      <c r="E6" s="44" t="s">
        <v>68</v>
      </c>
      <c r="F6" s="41" t="s">
        <v>12</v>
      </c>
      <c r="G6" s="34">
        <v>347</v>
      </c>
      <c r="H6" s="107">
        <f>IF(B$51=0,0,G6/B$51)</f>
        <v>0.33365384615384613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-704.70588235294122</v>
      </c>
      <c r="P6" s="93">
        <v>340</v>
      </c>
      <c r="Q6" s="77">
        <v>-239600</v>
      </c>
    </row>
    <row r="7" spans="1:17" x14ac:dyDescent="0.45">
      <c r="A7" s="37" t="s">
        <v>2</v>
      </c>
      <c r="B7" s="34">
        <v>154</v>
      </c>
      <c r="C7" s="31">
        <f t="shared" ref="C7:C14" si="1">IF(B$2=0,0,B7/B$2)</f>
        <v>0.33478260869565218</v>
      </c>
      <c r="E7" s="44" t="s">
        <v>157</v>
      </c>
      <c r="F7" s="41" t="s">
        <v>158</v>
      </c>
      <c r="G7" s="34">
        <v>312</v>
      </c>
      <c r="H7" s="107">
        <f>IF(B$51=0,0,G7/B$51)</f>
        <v>0.3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672</v>
      </c>
      <c r="P7" s="94">
        <v>275</v>
      </c>
      <c r="Q7" s="78">
        <v>184800</v>
      </c>
    </row>
    <row r="8" spans="1:17" x14ac:dyDescent="0.45">
      <c r="A8" s="37" t="s">
        <v>3</v>
      </c>
      <c r="B8" s="34">
        <v>142</v>
      </c>
      <c r="C8" s="31">
        <f t="shared" si="1"/>
        <v>0.30869565217391304</v>
      </c>
      <c r="E8" s="44" t="s">
        <v>89</v>
      </c>
      <c r="F8" s="41" t="s">
        <v>44</v>
      </c>
      <c r="G8" s="34">
        <v>188</v>
      </c>
      <c r="H8" s="107">
        <f>IF(B$51=0,0,G8/B$51)</f>
        <v>0.18076923076923077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164</v>
      </c>
      <c r="C9" s="7">
        <f t="shared" si="1"/>
        <v>0.35652173913043478</v>
      </c>
      <c r="E9" s="44" t="s">
        <v>69</v>
      </c>
      <c r="F9" s="41" t="s">
        <v>24</v>
      </c>
      <c r="G9" s="34">
        <v>181</v>
      </c>
      <c r="H9" s="107">
        <f>IF(B$51=0,0,G9/B$51)</f>
        <v>0.17403846153846153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42.322077922077924</v>
      </c>
      <c r="C10" s="121">
        <v>6517.6</v>
      </c>
      <c r="E10" s="44" t="s">
        <v>65</v>
      </c>
      <c r="F10" s="41" t="s">
        <v>21</v>
      </c>
      <c r="G10" s="34">
        <v>125</v>
      </c>
      <c r="H10" s="107">
        <f>IF(B$51=0,0,G10/B$51)</f>
        <v>0.1201923076923077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-6.51376811594203</v>
      </c>
      <c r="P10" s="92">
        <v>138</v>
      </c>
      <c r="Q10" s="80">
        <v>-898.90000000000009</v>
      </c>
    </row>
    <row r="11" spans="1:17" x14ac:dyDescent="0.45">
      <c r="A11" s="38" t="s">
        <v>204</v>
      </c>
      <c r="B11" s="120">
        <f>IF(B8=0,0,C11/B8)</f>
        <v>-1.1887323943661976</v>
      </c>
      <c r="C11" s="121">
        <v>-168.80000000000007</v>
      </c>
      <c r="E11" s="44" t="s">
        <v>70</v>
      </c>
      <c r="F11" s="41" t="s">
        <v>25</v>
      </c>
      <c r="G11" s="34">
        <v>122</v>
      </c>
      <c r="H11" s="107">
        <f>IF(B$51=0,0,G11/B$51)</f>
        <v>0.11730769230769231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4.9781065088757384</v>
      </c>
      <c r="P11" s="93">
        <v>169</v>
      </c>
      <c r="Q11" s="81">
        <v>841.29999999999984</v>
      </c>
    </row>
    <row r="12" spans="1:17" x14ac:dyDescent="0.45">
      <c r="A12" s="38" t="s">
        <v>205</v>
      </c>
      <c r="B12" s="120">
        <f>IF(B9=0,0,C12/B9)</f>
        <v>-35.826219512195124</v>
      </c>
      <c r="C12" s="121">
        <v>-5875.5</v>
      </c>
      <c r="E12" s="44" t="s">
        <v>86</v>
      </c>
      <c r="F12" s="41" t="s">
        <v>41</v>
      </c>
      <c r="G12" s="34">
        <v>68</v>
      </c>
      <c r="H12" s="107">
        <f>IF(B$51=0,0,G12/B$51)</f>
        <v>6.5384615384615388E-2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4.2879999999999994</v>
      </c>
      <c r="P12" s="94">
        <v>150</v>
      </c>
      <c r="Q12" s="82">
        <v>643.19999999999993</v>
      </c>
    </row>
    <row r="13" spans="1:17" x14ac:dyDescent="0.45">
      <c r="A13" s="38" t="s">
        <v>206</v>
      </c>
      <c r="B13" s="139">
        <f>AVERAGE(B10:B12)</f>
        <v>1.7690420051722004</v>
      </c>
      <c r="C13" s="140"/>
      <c r="E13" s="44" t="s">
        <v>71</v>
      </c>
      <c r="F13" s="41" t="s">
        <v>26</v>
      </c>
      <c r="G13" s="34">
        <v>57</v>
      </c>
      <c r="H13" s="107">
        <f>IF(B$51=0,0,G13/B$51)</f>
        <v>5.4807692307692307E-2</v>
      </c>
      <c r="I13" s="68">
        <v>10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63</v>
      </c>
      <c r="C14" s="32">
        <f t="shared" si="1"/>
        <v>0.13695652173913042</v>
      </c>
      <c r="E14" s="44" t="s">
        <v>83</v>
      </c>
      <c r="F14" s="41" t="s">
        <v>38</v>
      </c>
      <c r="G14" s="34">
        <v>35</v>
      </c>
      <c r="H14" s="107">
        <f>IF(B$51=0,0,G14/B$51)</f>
        <v>3.3653846153846152E-2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1086</v>
      </c>
      <c r="C15" s="11">
        <f>IF(B$50=0,0,B15/B$50)</f>
        <v>0.29575163398692811</v>
      </c>
      <c r="E15" s="44" t="s">
        <v>91</v>
      </c>
      <c r="F15" s="41" t="s">
        <v>46</v>
      </c>
      <c r="G15" s="34">
        <v>32</v>
      </c>
      <c r="H15" s="107">
        <f>IF(B$51=0,0,G15/B$51)</f>
        <v>3.0769230769230771E-2</v>
      </c>
      <c r="I15" s="68">
        <v>3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701</v>
      </c>
      <c r="C16" s="31">
        <f>IF(B$50=0,0,B16/B$50)</f>
        <v>0.1909041394335512</v>
      </c>
      <c r="E16" s="44" t="s">
        <v>78</v>
      </c>
      <c r="F16" s="41" t="s">
        <v>33</v>
      </c>
      <c r="G16" s="34">
        <v>31</v>
      </c>
      <c r="H16" s="107">
        <f>IF(B$51=0,0,G16/B$51)</f>
        <v>2.9807692307692309E-2</v>
      </c>
      <c r="I16" s="68">
        <v>6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19" t="s">
        <v>123</v>
      </c>
      <c r="B17" s="13">
        <v>601</v>
      </c>
      <c r="C17" s="4">
        <f>IF(B$15=0,0,B17/B$15)</f>
        <v>0.55340699815837935</v>
      </c>
      <c r="E17" s="44" t="s">
        <v>153</v>
      </c>
      <c r="F17" s="41" t="s">
        <v>154</v>
      </c>
      <c r="G17" s="34">
        <v>26</v>
      </c>
      <c r="H17" s="107">
        <f>IF(B$51=0,0,G17/B$51)</f>
        <v>2.5000000000000001E-2</v>
      </c>
      <c r="I17" s="68">
        <v>2</v>
      </c>
      <c r="K17" s="5">
        <v>15</v>
      </c>
      <c r="L17" s="73">
        <v>-212.5</v>
      </c>
      <c r="N17" s="89" t="s">
        <v>186</v>
      </c>
      <c r="O17" s="99">
        <f>IF(P17=0,0,Q17/P17)</f>
        <v>17.893478260869564</v>
      </c>
      <c r="P17" s="93">
        <v>46</v>
      </c>
      <c r="Q17" s="81">
        <v>823.1</v>
      </c>
    </row>
    <row r="18" spans="1:17" x14ac:dyDescent="0.45">
      <c r="A18" s="19" t="s">
        <v>124</v>
      </c>
      <c r="B18" s="13">
        <v>275</v>
      </c>
      <c r="C18" s="4">
        <f>IF(B$16=0,0,B18/B$16)</f>
        <v>0.39229671897289586</v>
      </c>
      <c r="E18" s="44" t="s">
        <v>81</v>
      </c>
      <c r="F18" s="41" t="s">
        <v>36</v>
      </c>
      <c r="G18" s="34">
        <v>25</v>
      </c>
      <c r="H18" s="107">
        <f>IF(B$51=0,0,G18/B$51)</f>
        <v>2.403846153846154E-2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17.597297297297303</v>
      </c>
      <c r="P18" s="93">
        <v>37</v>
      </c>
      <c r="Q18" s="81">
        <v>651.10000000000014</v>
      </c>
    </row>
    <row r="19" spans="1:17" x14ac:dyDescent="0.45">
      <c r="A19" s="19" t="s">
        <v>10</v>
      </c>
      <c r="B19" s="13">
        <v>1050</v>
      </c>
      <c r="C19" s="4">
        <f>IF(B$3=0,0,B19/B$3)</f>
        <v>0.28309517390132111</v>
      </c>
      <c r="E19" s="44" t="s">
        <v>79</v>
      </c>
      <c r="F19" s="41" t="s">
        <v>34</v>
      </c>
      <c r="G19" s="34">
        <v>17</v>
      </c>
      <c r="H19" s="107">
        <f>IF(B$51=0,0,G19/B$51)</f>
        <v>1.6346153846153847E-2</v>
      </c>
      <c r="I19" s="68">
        <v>8</v>
      </c>
      <c r="K19" s="5">
        <v>17</v>
      </c>
      <c r="L19" s="73">
        <v>-268.7</v>
      </c>
      <c r="N19" s="89" t="s">
        <v>194</v>
      </c>
      <c r="O19" s="99">
        <f>IF(P19=0,0,Q19/P19)</f>
        <v>11.2125</v>
      </c>
      <c r="P19" s="93">
        <v>16</v>
      </c>
      <c r="Q19" s="81">
        <v>179.4</v>
      </c>
    </row>
    <row r="20" spans="1:17" x14ac:dyDescent="0.45">
      <c r="A20" s="37" t="s">
        <v>13</v>
      </c>
      <c r="B20" s="34">
        <v>672</v>
      </c>
      <c r="C20" s="31">
        <f>IF(B$3=0,0,B20/B$3)</f>
        <v>0.18118091129684552</v>
      </c>
      <c r="E20" s="44" t="s">
        <v>92</v>
      </c>
      <c r="F20" s="41" t="s">
        <v>47</v>
      </c>
      <c r="G20" s="34">
        <v>12</v>
      </c>
      <c r="H20" s="107">
        <f>IF(B$51=0,0,G20/B$51)</f>
        <v>1.1538461538461539E-2</v>
      </c>
      <c r="I20" s="68">
        <v>2</v>
      </c>
      <c r="K20" s="5">
        <v>18</v>
      </c>
      <c r="L20" s="73">
        <v>-295.8</v>
      </c>
      <c r="N20" s="89" t="s">
        <v>188</v>
      </c>
      <c r="O20" s="99">
        <f>IF(P20=0,0,Q20/P20)</f>
        <v>10.919512195121952</v>
      </c>
      <c r="P20" s="93">
        <v>82</v>
      </c>
      <c r="Q20" s="81">
        <v>895.40000000000009</v>
      </c>
    </row>
    <row r="21" spans="1:17" x14ac:dyDescent="0.45">
      <c r="A21" s="37" t="s">
        <v>12</v>
      </c>
      <c r="B21" s="34">
        <v>480</v>
      </c>
      <c r="C21" s="31">
        <f>IF(B$19=0,0,B21/B$19)</f>
        <v>0.45714285714285713</v>
      </c>
      <c r="E21" s="44" t="s">
        <v>73</v>
      </c>
      <c r="F21" s="41" t="s">
        <v>28</v>
      </c>
      <c r="G21" s="34">
        <v>9</v>
      </c>
      <c r="H21" s="107">
        <f>IF(B$51=0,0,G21/B$51)</f>
        <v>8.6538461538461543E-3</v>
      </c>
      <c r="I21" s="68">
        <v>4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570</v>
      </c>
      <c r="C22" s="31">
        <f>IF(B$19=0,0,B22/B$19)</f>
        <v>0.54285714285714282</v>
      </c>
      <c r="E22" s="44" t="s">
        <v>75</v>
      </c>
      <c r="F22" s="41" t="s">
        <v>30</v>
      </c>
      <c r="G22" s="34">
        <v>9</v>
      </c>
      <c r="H22" s="107">
        <f>IF(B$51=0,0,G22/B$51)</f>
        <v>8.6538461538461543E-3</v>
      </c>
      <c r="I22" s="68">
        <v>2</v>
      </c>
      <c r="K22" s="5">
        <v>20</v>
      </c>
      <c r="L22" s="73">
        <v>-270</v>
      </c>
      <c r="N22" s="89" t="s">
        <v>189</v>
      </c>
      <c r="O22" s="99">
        <f>IF(P22=0,0,Q22/P22)</f>
        <v>3.8647058823529403</v>
      </c>
      <c r="P22" s="93">
        <v>17</v>
      </c>
      <c r="Q22" s="81">
        <v>65.699999999999989</v>
      </c>
    </row>
    <row r="23" spans="1:17" x14ac:dyDescent="0.45">
      <c r="A23" s="37" t="s">
        <v>180</v>
      </c>
      <c r="B23" s="34">
        <v>601</v>
      </c>
      <c r="C23" s="31">
        <f>IF(B$19=0,0,B23/B$19)</f>
        <v>0.57238095238095243</v>
      </c>
      <c r="E23" s="44" t="s">
        <v>77</v>
      </c>
      <c r="F23" s="41" t="s">
        <v>32</v>
      </c>
      <c r="G23" s="34">
        <v>6</v>
      </c>
      <c r="H23" s="107">
        <f>IF(B$51=0,0,G23/B$51)</f>
        <v>5.7692307692307696E-3</v>
      </c>
      <c r="I23" s="68">
        <v>5</v>
      </c>
      <c r="K23" s="5">
        <v>21</v>
      </c>
      <c r="L23" s="73">
        <v>-242</v>
      </c>
      <c r="N23" s="89" t="s">
        <v>193</v>
      </c>
      <c r="O23" s="99">
        <f>IF(P23=0,0,Q23/P23)</f>
        <v>3.1111111111111085</v>
      </c>
      <c r="P23" s="93">
        <v>162</v>
      </c>
      <c r="Q23" s="81">
        <v>503.99999999999955</v>
      </c>
    </row>
    <row r="24" spans="1:17" x14ac:dyDescent="0.45">
      <c r="A24" s="37" t="s">
        <v>178</v>
      </c>
      <c r="B24" s="34">
        <v>275</v>
      </c>
      <c r="C24" s="31">
        <f>IF(B$19=0,0,B24/B$19)</f>
        <v>0.26190476190476192</v>
      </c>
      <c r="E24" s="44" t="s">
        <v>84</v>
      </c>
      <c r="F24" s="41" t="s">
        <v>39</v>
      </c>
      <c r="G24" s="34">
        <v>6</v>
      </c>
      <c r="H24" s="107">
        <f>IF(B$51=0,0,G24/B$51)</f>
        <v>5.7692307692307696E-3</v>
      </c>
      <c r="I24" s="68">
        <v>1</v>
      </c>
      <c r="K24" s="5">
        <v>22</v>
      </c>
      <c r="L24" s="73">
        <v>-202.9</v>
      </c>
      <c r="N24" s="89" t="s">
        <v>187</v>
      </c>
      <c r="O24" s="99">
        <f>IF(P24=0,0,Q24/P24)</f>
        <v>0.38368794326240935</v>
      </c>
      <c r="P24" s="93">
        <v>141</v>
      </c>
      <c r="Q24" s="81">
        <v>54.099999999999717</v>
      </c>
    </row>
    <row r="25" spans="1:17" x14ac:dyDescent="0.45">
      <c r="A25" s="37" t="s">
        <v>179</v>
      </c>
      <c r="B25" s="34">
        <v>174</v>
      </c>
      <c r="C25" s="31">
        <f>IF(B$19=0,0,B25/B$19)</f>
        <v>0.1657142857142857</v>
      </c>
      <c r="E25" s="44" t="s">
        <v>85</v>
      </c>
      <c r="F25" s="41" t="s">
        <v>40</v>
      </c>
      <c r="G25" s="34">
        <v>5</v>
      </c>
      <c r="H25" s="107">
        <f>IF(B$51=0,0,G25/B$51)</f>
        <v>4.807692307692308E-3</v>
      </c>
      <c r="I25" s="68">
        <v>5</v>
      </c>
      <c r="K25" s="5">
        <v>23</v>
      </c>
      <c r="L25" s="73">
        <v>-200.9</v>
      </c>
      <c r="N25" s="89" t="s">
        <v>190</v>
      </c>
      <c r="O25" s="99">
        <f>IF(P25=0,0,Q25/P25)</f>
        <v>-3.2516666666666669</v>
      </c>
      <c r="P25" s="93">
        <v>120</v>
      </c>
      <c r="Q25" s="81">
        <v>-390.20000000000005</v>
      </c>
    </row>
    <row r="26" spans="1:17" x14ac:dyDescent="0.45">
      <c r="A26" s="37" t="s">
        <v>5</v>
      </c>
      <c r="B26" s="17">
        <f>IF(B$19=0,0,C26/B$19)</f>
        <v>10556.666666666666</v>
      </c>
      <c r="C26" s="8">
        <v>11084500</v>
      </c>
      <c r="E26" s="44" t="s">
        <v>93</v>
      </c>
      <c r="F26" s="41" t="s">
        <v>48</v>
      </c>
      <c r="G26" s="34">
        <v>4</v>
      </c>
      <c r="H26" s="107">
        <f>IF(B$51=0,0,G26/B$51)</f>
        <v>3.8461538461538464E-3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-5.0847517730496445</v>
      </c>
      <c r="P26" s="93">
        <v>282</v>
      </c>
      <c r="Q26" s="81">
        <v>-1433.8999999999996</v>
      </c>
    </row>
    <row r="27" spans="1:17" x14ac:dyDescent="0.45">
      <c r="A27" s="38" t="s">
        <v>162</v>
      </c>
      <c r="B27" s="114">
        <f>IF($B$19-B$18=0,0,C27/($B$19-B$18))</f>
        <v>11265.548387096775</v>
      </c>
      <c r="C27" s="115">
        <v>8730800</v>
      </c>
      <c r="E27" s="44" t="s">
        <v>90</v>
      </c>
      <c r="F27" s="41" t="s">
        <v>45</v>
      </c>
      <c r="G27" s="34">
        <v>3</v>
      </c>
      <c r="H27" s="107">
        <f>IF(B$51=0,0,G27/B$51)</f>
        <v>2.8846153846153848E-3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8558.9090909090901</v>
      </c>
      <c r="C28" s="115">
        <v>2353700</v>
      </c>
      <c r="E28" s="44" t="s">
        <v>87</v>
      </c>
      <c r="F28" s="41" t="s">
        <v>42</v>
      </c>
      <c r="G28" s="34">
        <v>2</v>
      </c>
      <c r="H28" s="107">
        <f>IF(B$51=0,0,G28/B$51)</f>
        <v>1.9230769230769232E-3</v>
      </c>
      <c r="I28" s="68">
        <v>8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-8641.9642857142862</v>
      </c>
      <c r="C29" s="115">
        <v>-5807400</v>
      </c>
      <c r="E29" s="44" t="s">
        <v>97</v>
      </c>
      <c r="F29" s="41" t="s">
        <v>52</v>
      </c>
      <c r="G29" s="34">
        <v>2</v>
      </c>
      <c r="H29" s="107">
        <f>IF(B$51=0,0,G29/B$51)</f>
        <v>1.9230769230769232E-3</v>
      </c>
      <c r="I29" s="68">
        <v>2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74</v>
      </c>
      <c r="F30" s="41" t="s">
        <v>29</v>
      </c>
      <c r="G30" s="34">
        <v>1</v>
      </c>
      <c r="H30" s="107">
        <f>IF(B$51=0,0,G30/B$51)</f>
        <v>9.6153846153846159E-4</v>
      </c>
      <c r="I30" s="68">
        <v>9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9.6153846153846159E-4</v>
      </c>
      <c r="I31" s="68">
        <v>6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35">
        <v>8</v>
      </c>
      <c r="C32" s="136"/>
      <c r="E32" s="44" t="s">
        <v>95</v>
      </c>
      <c r="F32" s="41" t="s">
        <v>50</v>
      </c>
      <c r="G32" s="34">
        <v>1</v>
      </c>
      <c r="H32" s="107">
        <f>IF(B$51=0,0,G32/B$51)</f>
        <v>9.6153846153846159E-4</v>
      </c>
      <c r="I32" s="68">
        <v>5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33">
        <v>124700</v>
      </c>
      <c r="C33" s="134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13</v>
      </c>
      <c r="C34" s="32">
        <f>IF(B$3=0,0,B34/B$3)</f>
        <v>3.5049878673496901E-3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6">
        <v>34</v>
      </c>
      <c r="C36" s="119">
        <f>IF(B$19=0,0,B36/B$19)</f>
        <v>3.2380952380952378E-2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106</v>
      </c>
      <c r="C37" s="31">
        <f t="shared" ref="C37:C48" si="2">IF(B$19=0,0,B37/B$19)</f>
        <v>0.10095238095238095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7">
        <v>151</v>
      </c>
      <c r="C38" s="31">
        <f>IF(B$19=0,0,B38/B$19)</f>
        <v>0.1438095238095238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7">
        <v>211</v>
      </c>
      <c r="C39" s="31">
        <f t="shared" si="2"/>
        <v>0.20095238095238097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7">
        <v>197</v>
      </c>
      <c r="C40" s="31">
        <f t="shared" si="2"/>
        <v>0.18761904761904763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7">
        <v>126</v>
      </c>
      <c r="C41" s="31">
        <f t="shared" si="2"/>
        <v>0.12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7">
        <v>81</v>
      </c>
      <c r="C42" s="31">
        <f t="shared" si="2"/>
        <v>7.7142857142857138E-2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7">
        <v>52</v>
      </c>
      <c r="C43" s="31">
        <f t="shared" si="2"/>
        <v>4.9523809523809526E-2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7">
        <v>34</v>
      </c>
      <c r="C44" s="31">
        <f t="shared" si="2"/>
        <v>3.2380952380952378E-2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7">
        <v>12</v>
      </c>
      <c r="C45" s="31">
        <f t="shared" si="2"/>
        <v>1.1428571428571429E-2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7">
        <v>8</v>
      </c>
      <c r="C46" s="31">
        <f t="shared" si="2"/>
        <v>7.619047619047619E-3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7">
        <v>5</v>
      </c>
      <c r="C47" s="31">
        <f t="shared" si="2"/>
        <v>4.7619047619047623E-3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8">
        <v>23</v>
      </c>
      <c r="C48" s="32">
        <f t="shared" si="2"/>
        <v>2.1904761904761906E-2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31">
        <v>3672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29">
        <v>1040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  <row r="409" spans="11:12" x14ac:dyDescent="0.45">
      <c r="K409" s="5">
        <v>407</v>
      </c>
      <c r="L409" s="73">
        <v>519.40000000000043</v>
      </c>
    </row>
    <row r="410" spans="11:12" x14ac:dyDescent="0.45">
      <c r="K410" s="5">
        <v>408</v>
      </c>
      <c r="L410" s="73">
        <v>563.20000000000039</v>
      </c>
    </row>
    <row r="411" spans="11:12" x14ac:dyDescent="0.45">
      <c r="K411" s="5">
        <v>409</v>
      </c>
      <c r="L411" s="73">
        <v>560.30000000000041</v>
      </c>
    </row>
    <row r="412" spans="11:12" x14ac:dyDescent="0.45">
      <c r="K412" s="5">
        <v>410</v>
      </c>
      <c r="L412" s="73">
        <v>596.10000000000036</v>
      </c>
    </row>
    <row r="413" spans="11:12" x14ac:dyDescent="0.45">
      <c r="K413" s="5">
        <v>411</v>
      </c>
      <c r="L413" s="73">
        <v>624.70000000000039</v>
      </c>
    </row>
    <row r="414" spans="11:12" x14ac:dyDescent="0.45">
      <c r="K414" s="5">
        <v>412</v>
      </c>
      <c r="L414" s="73">
        <v>590.60000000000036</v>
      </c>
    </row>
    <row r="415" spans="11:12" x14ac:dyDescent="0.45">
      <c r="K415" s="5">
        <v>413</v>
      </c>
      <c r="L415" s="73">
        <v>581.20000000000039</v>
      </c>
    </row>
    <row r="416" spans="11:12" x14ac:dyDescent="0.45">
      <c r="K416" s="5">
        <v>414</v>
      </c>
      <c r="L416" s="73">
        <v>606.80000000000041</v>
      </c>
    </row>
    <row r="417" spans="11:12" x14ac:dyDescent="0.45">
      <c r="K417" s="5">
        <v>415</v>
      </c>
      <c r="L417" s="73">
        <v>580.10000000000036</v>
      </c>
    </row>
    <row r="418" spans="11:12" x14ac:dyDescent="0.45">
      <c r="K418" s="5">
        <v>416</v>
      </c>
      <c r="L418" s="73">
        <v>553.20000000000039</v>
      </c>
    </row>
    <row r="419" spans="11:12" x14ac:dyDescent="0.45">
      <c r="K419" s="5">
        <v>417</v>
      </c>
      <c r="L419" s="73">
        <v>596.70000000000039</v>
      </c>
    </row>
    <row r="420" spans="11:12" x14ac:dyDescent="0.45">
      <c r="K420" s="5">
        <v>418</v>
      </c>
      <c r="L420" s="73">
        <v>589.20000000000039</v>
      </c>
    </row>
    <row r="421" spans="11:12" x14ac:dyDescent="0.45">
      <c r="K421" s="5">
        <v>419</v>
      </c>
      <c r="L421" s="73">
        <v>554.50000000000034</v>
      </c>
    </row>
    <row r="422" spans="11:12" x14ac:dyDescent="0.45">
      <c r="K422" s="5">
        <v>420</v>
      </c>
      <c r="L422" s="73">
        <v>579.10000000000036</v>
      </c>
    </row>
    <row r="423" spans="11:12" x14ac:dyDescent="0.45">
      <c r="K423" s="5">
        <v>421</v>
      </c>
      <c r="L423" s="73">
        <v>529.70000000000039</v>
      </c>
    </row>
    <row r="424" spans="11:12" x14ac:dyDescent="0.45">
      <c r="K424" s="5">
        <v>422</v>
      </c>
      <c r="L424" s="73">
        <v>578.30000000000041</v>
      </c>
    </row>
    <row r="425" spans="11:12" x14ac:dyDescent="0.45">
      <c r="K425" s="5">
        <v>423</v>
      </c>
      <c r="L425" s="73">
        <v>530.10000000000036</v>
      </c>
    </row>
    <row r="426" spans="11:12" x14ac:dyDescent="0.45">
      <c r="K426" s="5">
        <v>424</v>
      </c>
      <c r="L426" s="73">
        <v>552.40000000000043</v>
      </c>
    </row>
    <row r="427" spans="11:12" x14ac:dyDescent="0.45">
      <c r="K427" s="5">
        <v>425</v>
      </c>
      <c r="L427" s="73">
        <v>530.30000000000041</v>
      </c>
    </row>
    <row r="428" spans="11:12" x14ac:dyDescent="0.45">
      <c r="K428" s="5">
        <v>426</v>
      </c>
      <c r="L428" s="73">
        <v>493.90000000000038</v>
      </c>
    </row>
    <row r="429" spans="11:12" x14ac:dyDescent="0.45">
      <c r="K429" s="5">
        <v>427</v>
      </c>
      <c r="L429" s="73">
        <v>518.70000000000039</v>
      </c>
    </row>
    <row r="430" spans="11:12" x14ac:dyDescent="0.45">
      <c r="K430" s="5">
        <v>428</v>
      </c>
      <c r="L430" s="73">
        <v>491.20000000000039</v>
      </c>
    </row>
    <row r="431" spans="11:12" x14ac:dyDescent="0.45">
      <c r="K431" s="5">
        <v>429</v>
      </c>
      <c r="L431" s="73">
        <v>444.70000000000039</v>
      </c>
    </row>
    <row r="432" spans="11:12" x14ac:dyDescent="0.45">
      <c r="K432" s="5">
        <v>430</v>
      </c>
      <c r="L432" s="73">
        <v>482.00000000000034</v>
      </c>
    </row>
    <row r="433" spans="11:12" x14ac:dyDescent="0.45">
      <c r="K433" s="5">
        <v>431</v>
      </c>
      <c r="L433" s="73">
        <v>483.30000000000035</v>
      </c>
    </row>
    <row r="434" spans="11:12" x14ac:dyDescent="0.45">
      <c r="K434" s="5">
        <v>432</v>
      </c>
      <c r="L434" s="73">
        <v>570.60000000000036</v>
      </c>
    </row>
    <row r="435" spans="11:12" x14ac:dyDescent="0.45">
      <c r="K435" s="5">
        <v>433</v>
      </c>
      <c r="L435" s="73">
        <v>517.70000000000039</v>
      </c>
    </row>
    <row r="436" spans="11:12" x14ac:dyDescent="0.45">
      <c r="K436" s="5">
        <v>434</v>
      </c>
      <c r="L436" s="73">
        <v>445.00000000000034</v>
      </c>
    </row>
    <row r="437" spans="11:12" x14ac:dyDescent="0.45">
      <c r="K437" s="5">
        <v>435</v>
      </c>
      <c r="L437" s="73">
        <v>398.40000000000038</v>
      </c>
    </row>
    <row r="438" spans="11:12" x14ac:dyDescent="0.45">
      <c r="K438" s="5">
        <v>436</v>
      </c>
      <c r="L438" s="73">
        <v>432.00000000000034</v>
      </c>
    </row>
    <row r="439" spans="11:12" x14ac:dyDescent="0.45">
      <c r="K439" s="5">
        <v>437</v>
      </c>
      <c r="L439" s="73">
        <v>473.60000000000036</v>
      </c>
    </row>
    <row r="440" spans="11:12" x14ac:dyDescent="0.45">
      <c r="K440" s="5">
        <v>438</v>
      </c>
      <c r="L440" s="73">
        <v>564.60000000000036</v>
      </c>
    </row>
    <row r="441" spans="11:12" x14ac:dyDescent="0.45">
      <c r="K441" s="5">
        <v>439</v>
      </c>
      <c r="L441" s="73">
        <v>571.40000000000032</v>
      </c>
    </row>
    <row r="442" spans="11:12" x14ac:dyDescent="0.45">
      <c r="K442" s="5">
        <v>440</v>
      </c>
      <c r="L442" s="73">
        <v>544.60000000000036</v>
      </c>
    </row>
    <row r="443" spans="11:12" x14ac:dyDescent="0.45">
      <c r="K443" s="5">
        <v>441</v>
      </c>
      <c r="L443" s="73">
        <v>545.40000000000032</v>
      </c>
    </row>
    <row r="444" spans="11:12" x14ac:dyDescent="0.45">
      <c r="K444" s="5">
        <v>442</v>
      </c>
      <c r="L444" s="73">
        <v>495.10000000000036</v>
      </c>
    </row>
    <row r="445" spans="11:12" x14ac:dyDescent="0.45">
      <c r="K445" s="5">
        <v>443</v>
      </c>
      <c r="L445" s="73">
        <v>533.80000000000041</v>
      </c>
    </row>
    <row r="446" spans="11:12" x14ac:dyDescent="0.45">
      <c r="K446" s="5">
        <v>444</v>
      </c>
      <c r="L446" s="73">
        <v>493.20000000000039</v>
      </c>
    </row>
    <row r="447" spans="11:12" x14ac:dyDescent="0.45">
      <c r="K447" s="5">
        <v>445</v>
      </c>
      <c r="L447" s="73">
        <v>438.80000000000035</v>
      </c>
    </row>
    <row r="448" spans="11:12" x14ac:dyDescent="0.45">
      <c r="K448" s="5">
        <v>446</v>
      </c>
      <c r="L448" s="73">
        <v>402.90000000000032</v>
      </c>
    </row>
    <row r="449" spans="11:12" x14ac:dyDescent="0.45">
      <c r="K449" s="5">
        <v>447</v>
      </c>
      <c r="L449" s="73">
        <v>408.40000000000032</v>
      </c>
    </row>
    <row r="450" spans="11:12" x14ac:dyDescent="0.45">
      <c r="K450" s="5">
        <v>448</v>
      </c>
      <c r="L450" s="73">
        <v>382.50000000000034</v>
      </c>
    </row>
    <row r="451" spans="11:12" x14ac:dyDescent="0.45">
      <c r="K451" s="5">
        <v>449</v>
      </c>
      <c r="L451" s="73">
        <v>415.00000000000034</v>
      </c>
    </row>
    <row r="452" spans="11:12" x14ac:dyDescent="0.45">
      <c r="K452" s="5">
        <v>450</v>
      </c>
      <c r="L452" s="73">
        <v>369.40000000000032</v>
      </c>
    </row>
    <row r="453" spans="11:12" x14ac:dyDescent="0.45">
      <c r="K453" s="5">
        <v>451</v>
      </c>
      <c r="L453" s="73">
        <v>361.10000000000036</v>
      </c>
    </row>
    <row r="454" spans="11:12" x14ac:dyDescent="0.45">
      <c r="K454" s="5">
        <v>452</v>
      </c>
      <c r="L454" s="73">
        <v>379.00000000000034</v>
      </c>
    </row>
    <row r="455" spans="11:12" x14ac:dyDescent="0.45">
      <c r="K455" s="5">
        <v>453</v>
      </c>
      <c r="L455" s="73">
        <v>349.20000000000033</v>
      </c>
    </row>
    <row r="456" spans="11:12" x14ac:dyDescent="0.45">
      <c r="K456" s="5">
        <v>454</v>
      </c>
      <c r="L456" s="73">
        <v>362.70000000000033</v>
      </c>
    </row>
    <row r="457" spans="11:12" x14ac:dyDescent="0.45">
      <c r="K457" s="5">
        <v>455</v>
      </c>
      <c r="L457" s="73">
        <v>406.20000000000033</v>
      </c>
    </row>
    <row r="458" spans="11:12" x14ac:dyDescent="0.45">
      <c r="K458" s="5">
        <v>456</v>
      </c>
      <c r="L458" s="73">
        <v>475.3000000000003</v>
      </c>
    </row>
    <row r="459" spans="11:12" x14ac:dyDescent="0.45">
      <c r="K459" s="5">
        <v>457</v>
      </c>
      <c r="L459" s="73">
        <v>456.60000000000031</v>
      </c>
    </row>
    <row r="460" spans="11:12" x14ac:dyDescent="0.45">
      <c r="K460" s="5">
        <v>458</v>
      </c>
      <c r="L460" s="73">
        <v>440.60000000000031</v>
      </c>
    </row>
    <row r="461" spans="11:12" x14ac:dyDescent="0.45">
      <c r="K461" s="5">
        <v>459</v>
      </c>
      <c r="L461" s="73">
        <v>449.00000000000034</v>
      </c>
    </row>
    <row r="462" spans="11:12" x14ac:dyDescent="0.45">
      <c r="K462" s="5">
        <v>460</v>
      </c>
      <c r="L462" s="73">
        <v>473.3000000000003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D9DA4-3377-41C8-BDEA-B9E4E4645BAC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196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</v>
      </c>
      <c r="C2" s="132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43">
        <v>69</v>
      </c>
      <c r="C3" s="144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45">
        <v>109</v>
      </c>
      <c r="C4" s="146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10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9">
        <f>IF(B$2=0,0,B$4/B$2)</f>
        <v>12.111111111111111</v>
      </c>
      <c r="C5" s="140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37">
        <f>IF(B$2=0,0,(B$7*1+B$8*2+B$9*3)/B$2)</f>
        <v>1.6666666666666667</v>
      </c>
      <c r="C6" s="138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9">
        <f>AVERAGE(B10:B12)</f>
        <v>1.0266666666666648</v>
      </c>
      <c r="C13" s="140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78000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24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47B6E-12FE-40F3-95EF-BF726362443E}">
  <sheetPr codeName="Sheet15"/>
  <dimension ref="A1:Q37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187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375</v>
      </c>
      <c r="C2" s="132"/>
      <c r="E2" s="43" t="s">
        <v>66</v>
      </c>
      <c r="F2" s="25" t="s">
        <v>22</v>
      </c>
      <c r="G2" s="13">
        <v>546</v>
      </c>
      <c r="H2" s="106">
        <f>IF(B$51=0,0,G2/B$51)</f>
        <v>0.66911764705882348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-97.860962566844918</v>
      </c>
      <c r="P2" s="92">
        <v>374</v>
      </c>
      <c r="Q2" s="76">
        <v>-36600</v>
      </c>
    </row>
    <row r="3" spans="1:17" x14ac:dyDescent="0.45">
      <c r="A3" s="37" t="s">
        <v>8</v>
      </c>
      <c r="B3" s="143">
        <v>3048</v>
      </c>
      <c r="C3" s="144"/>
      <c r="E3" s="44" t="s">
        <v>72</v>
      </c>
      <c r="F3" s="41" t="s">
        <v>27</v>
      </c>
      <c r="G3" s="34">
        <v>445</v>
      </c>
      <c r="H3" s="107">
        <f>IF(B$51=0,0,G3/B$51)</f>
        <v>0.54534313725490191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578.20163487738421</v>
      </c>
      <c r="P3" s="93">
        <v>367</v>
      </c>
      <c r="Q3" s="77">
        <v>212200</v>
      </c>
    </row>
    <row r="4" spans="1:17" x14ac:dyDescent="0.45">
      <c r="A4" s="37" t="s">
        <v>6</v>
      </c>
      <c r="B4" s="145">
        <v>-505.09999999999997</v>
      </c>
      <c r="C4" s="146"/>
      <c r="E4" s="44" t="s">
        <v>64</v>
      </c>
      <c r="F4" s="41" t="s">
        <v>20</v>
      </c>
      <c r="G4" s="34">
        <v>411</v>
      </c>
      <c r="H4" s="107">
        <f>IF(B$51=0,0,G4/B$51)</f>
        <v>0.50367647058823528</v>
      </c>
      <c r="I4" s="68">
        <v>10</v>
      </c>
      <c r="K4" s="5">
        <v>2</v>
      </c>
      <c r="L4" s="73">
        <v>-24.299999999999997</v>
      </c>
      <c r="N4" s="89" t="s">
        <v>128</v>
      </c>
      <c r="O4" s="96">
        <f t="shared" si="0"/>
        <v>-601.73913043478262</v>
      </c>
      <c r="P4" s="93">
        <v>345</v>
      </c>
      <c r="Q4" s="77">
        <v>-207600</v>
      </c>
    </row>
    <row r="5" spans="1:17" x14ac:dyDescent="0.45">
      <c r="A5" s="37" t="s">
        <v>7</v>
      </c>
      <c r="B5" s="139">
        <f>IF(B$2=0,0,B$4/B$2)</f>
        <v>-1.3469333333333333</v>
      </c>
      <c r="C5" s="140"/>
      <c r="E5" s="44" t="s">
        <v>157</v>
      </c>
      <c r="F5" s="41" t="s">
        <v>158</v>
      </c>
      <c r="G5" s="34">
        <v>329</v>
      </c>
      <c r="H5" s="107">
        <f>IF(B$51=0,0,G5/B$51)</f>
        <v>0.40318627450980393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-42.946708463949847</v>
      </c>
      <c r="P5" s="93">
        <v>319</v>
      </c>
      <c r="Q5" s="77">
        <v>-13700</v>
      </c>
    </row>
    <row r="6" spans="1:17" x14ac:dyDescent="0.45">
      <c r="A6" s="37" t="s">
        <v>1</v>
      </c>
      <c r="B6" s="137">
        <f>IF(B$2=0,0,(B$7*1+B$8*2+B$9*3)/B$2)</f>
        <v>2.0506666666666669</v>
      </c>
      <c r="C6" s="138"/>
      <c r="E6" s="44" t="s">
        <v>67</v>
      </c>
      <c r="F6" s="41" t="s">
        <v>23</v>
      </c>
      <c r="G6" s="34">
        <v>262</v>
      </c>
      <c r="H6" s="107">
        <f>IF(B$51=0,0,G6/B$51)</f>
        <v>0.32107843137254904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-961.45833333333337</v>
      </c>
      <c r="P6" s="93">
        <v>288</v>
      </c>
      <c r="Q6" s="77">
        <v>-276900</v>
      </c>
    </row>
    <row r="7" spans="1:17" x14ac:dyDescent="0.45">
      <c r="A7" s="37" t="s">
        <v>2</v>
      </c>
      <c r="B7" s="34">
        <v>106</v>
      </c>
      <c r="C7" s="31">
        <f t="shared" ref="C7:C14" si="1">IF(B$2=0,0,B7/B$2)</f>
        <v>0.28266666666666668</v>
      </c>
      <c r="E7" s="44" t="s">
        <v>68</v>
      </c>
      <c r="F7" s="41" t="s">
        <v>12</v>
      </c>
      <c r="G7" s="34">
        <v>250</v>
      </c>
      <c r="H7" s="107">
        <f>IF(B$51=0,0,G7/B$51)</f>
        <v>0.30637254901960786</v>
      </c>
      <c r="I7" s="68">
        <v>11</v>
      </c>
      <c r="K7" s="5">
        <v>5</v>
      </c>
      <c r="L7" s="73">
        <v>9.6000000000000014</v>
      </c>
      <c r="N7" s="90" t="s">
        <v>131</v>
      </c>
      <c r="O7" s="97">
        <f t="shared" si="0"/>
        <v>-338.23529411764707</v>
      </c>
      <c r="P7" s="94">
        <v>238</v>
      </c>
      <c r="Q7" s="78">
        <v>-80500</v>
      </c>
    </row>
    <row r="8" spans="1:17" x14ac:dyDescent="0.45">
      <c r="A8" s="37" t="s">
        <v>3</v>
      </c>
      <c r="B8" s="34">
        <v>144</v>
      </c>
      <c r="C8" s="31">
        <f t="shared" si="1"/>
        <v>0.38400000000000001</v>
      </c>
      <c r="E8" s="44" t="s">
        <v>89</v>
      </c>
      <c r="F8" s="41" t="s">
        <v>44</v>
      </c>
      <c r="G8" s="34">
        <v>107</v>
      </c>
      <c r="H8" s="107">
        <f>IF(B$51=0,0,G8/B$51)</f>
        <v>0.13112745098039216</v>
      </c>
      <c r="I8" s="68">
        <v>10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125</v>
      </c>
      <c r="C9" s="7">
        <f t="shared" si="1"/>
        <v>0.33333333333333331</v>
      </c>
      <c r="E9" s="44" t="s">
        <v>69</v>
      </c>
      <c r="F9" s="41" t="s">
        <v>24</v>
      </c>
      <c r="G9" s="34">
        <v>106</v>
      </c>
      <c r="H9" s="107">
        <f>IF(B$51=0,0,G9/B$51)</f>
        <v>0.12990196078431374</v>
      </c>
      <c r="I9" s="68">
        <v>12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40.032075471698121</v>
      </c>
      <c r="C10" s="121">
        <v>4243.4000000000005</v>
      </c>
      <c r="E10" s="44" t="s">
        <v>65</v>
      </c>
      <c r="F10" s="41" t="s">
        <v>21</v>
      </c>
      <c r="G10" s="34">
        <v>76</v>
      </c>
      <c r="H10" s="107">
        <f>IF(B$51=0,0,G10/B$51)</f>
        <v>9.3137254901960786E-2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-4.6391304347826097</v>
      </c>
      <c r="P10" s="92">
        <v>138</v>
      </c>
      <c r="Q10" s="80">
        <v>-640.20000000000016</v>
      </c>
    </row>
    <row r="11" spans="1:17" x14ac:dyDescent="0.45">
      <c r="A11" s="38" t="s">
        <v>204</v>
      </c>
      <c r="B11" s="120">
        <f>IF(B8=0,0,C11/B8)</f>
        <v>-0.2805555555555555</v>
      </c>
      <c r="C11" s="121">
        <v>-40.399999999999991</v>
      </c>
      <c r="E11" s="44" t="s">
        <v>71</v>
      </c>
      <c r="F11" s="41" t="s">
        <v>26</v>
      </c>
      <c r="G11" s="34">
        <v>69</v>
      </c>
      <c r="H11" s="107">
        <f>IF(B$51=0,0,G11/B$51)</f>
        <v>8.455882352941177E-2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-0.46166666666666678</v>
      </c>
      <c r="P11" s="93">
        <v>120</v>
      </c>
      <c r="Q11" s="81">
        <v>-55.400000000000013</v>
      </c>
    </row>
    <row r="12" spans="1:17" x14ac:dyDescent="0.45">
      <c r="A12" s="38" t="s">
        <v>205</v>
      </c>
      <c r="B12" s="120">
        <f>IF(B9=0,0,C12/B9)</f>
        <v>-37.664799999999993</v>
      </c>
      <c r="C12" s="121">
        <v>-4708.0999999999995</v>
      </c>
      <c r="E12" s="44" t="s">
        <v>70</v>
      </c>
      <c r="F12" s="41" t="s">
        <v>25</v>
      </c>
      <c r="G12" s="34">
        <v>63</v>
      </c>
      <c r="H12" s="107">
        <f>IF(B$51=0,0,G12/B$51)</f>
        <v>7.720588235294118E-2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1.6282051282051282</v>
      </c>
      <c r="P12" s="94">
        <v>117</v>
      </c>
      <c r="Q12" s="82">
        <v>190.5</v>
      </c>
    </row>
    <row r="13" spans="1:17" x14ac:dyDescent="0.45">
      <c r="A13" s="38" t="s">
        <v>206</v>
      </c>
      <c r="B13" s="139">
        <f>AVERAGE(B10:B12)</f>
        <v>0.69557330538085671</v>
      </c>
      <c r="C13" s="140"/>
      <c r="E13" s="44" t="s">
        <v>83</v>
      </c>
      <c r="F13" s="41" t="s">
        <v>38</v>
      </c>
      <c r="G13" s="34">
        <v>47</v>
      </c>
      <c r="H13" s="107">
        <f>IF(B$51=0,0,G13/B$51)</f>
        <v>5.7598039215686271E-2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43</v>
      </c>
      <c r="C14" s="32">
        <f t="shared" si="1"/>
        <v>0.11466666666666667</v>
      </c>
      <c r="E14" s="44" t="s">
        <v>86</v>
      </c>
      <c r="F14" s="41" t="s">
        <v>41</v>
      </c>
      <c r="G14" s="34">
        <v>39</v>
      </c>
      <c r="H14" s="107">
        <f>IF(B$51=0,0,G14/B$51)</f>
        <v>4.779411764705882E-2</v>
      </c>
      <c r="I14" s="68">
        <v>12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745</v>
      </c>
      <c r="C15" s="11">
        <f>IF(B$50=0,0,B15/B$50)</f>
        <v>0.24442257217847768</v>
      </c>
      <c r="E15" s="44" t="s">
        <v>78</v>
      </c>
      <c r="F15" s="41" t="s">
        <v>33</v>
      </c>
      <c r="G15" s="34">
        <v>24</v>
      </c>
      <c r="H15" s="107">
        <f>IF(B$51=0,0,G15/B$51)</f>
        <v>2.9411764705882353E-2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118</v>
      </c>
      <c r="B16" s="34">
        <v>697</v>
      </c>
      <c r="C16" s="31">
        <f>IF(B$50=0,0,B16/B$50)</f>
        <v>0.22867454068241469</v>
      </c>
      <c r="E16" s="44" t="s">
        <v>79</v>
      </c>
      <c r="F16" s="41" t="s">
        <v>34</v>
      </c>
      <c r="G16" s="34">
        <v>18</v>
      </c>
      <c r="H16" s="107">
        <f>IF(B$51=0,0,G16/B$51)</f>
        <v>2.2058823529411766E-2</v>
      </c>
      <c r="I16" s="68">
        <v>7</v>
      </c>
      <c r="K16" s="5">
        <v>14</v>
      </c>
      <c r="L16" s="73">
        <v>-5.7999999999999945</v>
      </c>
      <c r="N16" s="89" t="s">
        <v>199</v>
      </c>
      <c r="O16" s="99">
        <f>IF(P16=0,0,Q16/P16)</f>
        <v>23.05</v>
      </c>
      <c r="P16" s="93">
        <v>16</v>
      </c>
      <c r="Q16" s="81">
        <v>368.8</v>
      </c>
    </row>
    <row r="17" spans="1:17" x14ac:dyDescent="0.45">
      <c r="A17" s="19" t="s">
        <v>123</v>
      </c>
      <c r="B17" s="13">
        <v>420</v>
      </c>
      <c r="C17" s="4">
        <f>IF(B$15=0,0,B17/B$15)</f>
        <v>0.56375838926174493</v>
      </c>
      <c r="E17" s="44" t="s">
        <v>91</v>
      </c>
      <c r="F17" s="41" t="s">
        <v>46</v>
      </c>
      <c r="G17" s="34">
        <v>18</v>
      </c>
      <c r="H17" s="107">
        <f>IF(B$51=0,0,G17/B$51)</f>
        <v>2.2058823529411766E-2</v>
      </c>
      <c r="I17" s="68">
        <v>5</v>
      </c>
      <c r="K17" s="5">
        <v>15</v>
      </c>
      <c r="L17" s="73">
        <v>-44.199999999999996</v>
      </c>
      <c r="N17" s="89" t="s">
        <v>197</v>
      </c>
      <c r="O17" s="99">
        <f>IF(P17=0,0,Q17/P17)</f>
        <v>18.024390243902438</v>
      </c>
      <c r="P17" s="93">
        <v>41</v>
      </c>
      <c r="Q17" s="81">
        <v>739</v>
      </c>
    </row>
    <row r="18" spans="1:17" x14ac:dyDescent="0.45">
      <c r="A18" s="19" t="s">
        <v>124</v>
      </c>
      <c r="B18" s="13">
        <v>263</v>
      </c>
      <c r="C18" s="4">
        <f>IF(B$16=0,0,B18/B$16)</f>
        <v>0.37733142037302725</v>
      </c>
      <c r="E18" s="44" t="s">
        <v>81</v>
      </c>
      <c r="F18" s="41" t="s">
        <v>36</v>
      </c>
      <c r="G18" s="34">
        <v>17</v>
      </c>
      <c r="H18" s="107">
        <f>IF(B$51=0,0,G18/B$51)</f>
        <v>2.0833333333333332E-2</v>
      </c>
      <c r="I18" s="68">
        <v>11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19" t="s">
        <v>10</v>
      </c>
      <c r="B19" s="13">
        <v>816</v>
      </c>
      <c r="C19" s="4">
        <f>IF(B$3=0,0,B19/B$3)</f>
        <v>0.26771653543307089</v>
      </c>
      <c r="E19" s="44" t="s">
        <v>85</v>
      </c>
      <c r="F19" s="41" t="s">
        <v>40</v>
      </c>
      <c r="G19" s="34">
        <v>11</v>
      </c>
      <c r="H19" s="107">
        <f>IF(B$51=0,0,G19/B$51)</f>
        <v>1.3480392156862746E-2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12.52</v>
      </c>
      <c r="P19" s="93">
        <v>20</v>
      </c>
      <c r="Q19" s="81">
        <v>250.4</v>
      </c>
    </row>
    <row r="20" spans="1:17" x14ac:dyDescent="0.45">
      <c r="A20" s="37" t="s">
        <v>13</v>
      </c>
      <c r="B20" s="34">
        <v>436</v>
      </c>
      <c r="C20" s="31">
        <f>IF(B$3=0,0,B20/B$3)</f>
        <v>0.14304461942257218</v>
      </c>
      <c r="E20" s="44" t="s">
        <v>153</v>
      </c>
      <c r="F20" s="41" t="s">
        <v>154</v>
      </c>
      <c r="G20" s="34">
        <v>8</v>
      </c>
      <c r="H20" s="107">
        <f>IF(B$51=0,0,G20/B$51)</f>
        <v>9.8039215686274508E-3</v>
      </c>
      <c r="I20" s="68">
        <v>7</v>
      </c>
      <c r="K20" s="5">
        <v>18</v>
      </c>
      <c r="L20" s="73">
        <v>-60.4</v>
      </c>
      <c r="N20" s="89" t="s">
        <v>201</v>
      </c>
      <c r="O20" s="99">
        <f>IF(P20=0,0,Q20/P20)</f>
        <v>4.7999999999999989</v>
      </c>
      <c r="P20" s="93">
        <v>2</v>
      </c>
      <c r="Q20" s="81">
        <v>9.5999999999999979</v>
      </c>
    </row>
    <row r="21" spans="1:17" x14ac:dyDescent="0.45">
      <c r="A21" s="37" t="s">
        <v>12</v>
      </c>
      <c r="B21" s="34">
        <v>359</v>
      </c>
      <c r="C21" s="31">
        <f>IF(B$19=0,0,B21/B$19)</f>
        <v>0.43995098039215685</v>
      </c>
      <c r="E21" s="44" t="s">
        <v>92</v>
      </c>
      <c r="F21" s="41" t="s">
        <v>47</v>
      </c>
      <c r="G21" s="34">
        <v>7</v>
      </c>
      <c r="H21" s="107">
        <f>IF(B$51=0,0,G21/B$51)</f>
        <v>8.5784313725490204E-3</v>
      </c>
      <c r="I21" s="68">
        <v>3</v>
      </c>
      <c r="K21" s="5">
        <v>19</v>
      </c>
      <c r="L21" s="73">
        <v>-60</v>
      </c>
      <c r="N21" s="89" t="s">
        <v>190</v>
      </c>
      <c r="O21" s="99">
        <f>IF(P21=0,0,Q21/P21)</f>
        <v>4.6417721518987349</v>
      </c>
      <c r="P21" s="93">
        <v>79</v>
      </c>
      <c r="Q21" s="81">
        <v>366.70000000000005</v>
      </c>
    </row>
    <row r="22" spans="1:17" x14ac:dyDescent="0.45">
      <c r="A22" s="37" t="s">
        <v>11</v>
      </c>
      <c r="B22" s="34">
        <v>457</v>
      </c>
      <c r="C22" s="31">
        <f>IF(B$19=0,0,B22/B$19)</f>
        <v>0.56004901960784315</v>
      </c>
      <c r="E22" s="44" t="s">
        <v>73</v>
      </c>
      <c r="F22" s="41" t="s">
        <v>28</v>
      </c>
      <c r="G22" s="34">
        <v>5</v>
      </c>
      <c r="H22" s="107">
        <f>IF(B$51=0,0,G22/B$51)</f>
        <v>6.1274509803921568E-3</v>
      </c>
      <c r="I22" s="68">
        <v>6</v>
      </c>
      <c r="K22" s="5">
        <v>20</v>
      </c>
      <c r="L22" s="73">
        <v>-88.2</v>
      </c>
      <c r="N22" s="89" t="s">
        <v>188</v>
      </c>
      <c r="O22" s="99">
        <f>IF(P22=0,0,Q22/P22)</f>
        <v>1.8032967032967036</v>
      </c>
      <c r="P22" s="93">
        <v>91</v>
      </c>
      <c r="Q22" s="81">
        <v>164.10000000000002</v>
      </c>
    </row>
    <row r="23" spans="1:17" x14ac:dyDescent="0.45">
      <c r="A23" s="37" t="s">
        <v>180</v>
      </c>
      <c r="B23" s="34">
        <v>420</v>
      </c>
      <c r="C23" s="31">
        <f>IF(B$19=0,0,B23/B$19)</f>
        <v>0.51470588235294112</v>
      </c>
      <c r="E23" s="44" t="s">
        <v>75</v>
      </c>
      <c r="F23" s="41" t="s">
        <v>30</v>
      </c>
      <c r="G23" s="34">
        <v>5</v>
      </c>
      <c r="H23" s="107">
        <f>IF(B$51=0,0,G23/B$51)</f>
        <v>6.1274509803921568E-3</v>
      </c>
      <c r="I23" s="68">
        <v>7</v>
      </c>
      <c r="K23" s="5">
        <v>21</v>
      </c>
      <c r="L23" s="73">
        <v>-125.80000000000001</v>
      </c>
      <c r="N23" s="89" t="s">
        <v>194</v>
      </c>
      <c r="O23" s="99">
        <f>IF(P23=0,0,Q23/P23)</f>
        <v>0.74444444444444635</v>
      </c>
      <c r="P23" s="93">
        <v>9</v>
      </c>
      <c r="Q23" s="81">
        <v>6.7000000000000171</v>
      </c>
    </row>
    <row r="24" spans="1:17" x14ac:dyDescent="0.45">
      <c r="A24" s="37" t="s">
        <v>178</v>
      </c>
      <c r="B24" s="34">
        <v>263</v>
      </c>
      <c r="C24" s="31">
        <f>IF(B$19=0,0,B24/B$19)</f>
        <v>0.32230392156862747</v>
      </c>
      <c r="E24" s="44" t="s">
        <v>74</v>
      </c>
      <c r="F24" s="41" t="s">
        <v>29</v>
      </c>
      <c r="G24" s="34">
        <v>3</v>
      </c>
      <c r="H24" s="107">
        <f>IF(B$51=0,0,G24/B$51)</f>
        <v>3.6764705882352941E-3</v>
      </c>
      <c r="I24" s="68">
        <v>5</v>
      </c>
      <c r="K24" s="5">
        <v>22</v>
      </c>
      <c r="L24" s="73">
        <v>-149.30000000000001</v>
      </c>
      <c r="N24" s="89" t="s">
        <v>193</v>
      </c>
      <c r="O24" s="99">
        <f>IF(P24=0,0,Q24/P24)</f>
        <v>0.17567567567567524</v>
      </c>
      <c r="P24" s="93">
        <v>148</v>
      </c>
      <c r="Q24" s="81">
        <v>25.999999999999936</v>
      </c>
    </row>
    <row r="25" spans="1:17" x14ac:dyDescent="0.45">
      <c r="A25" s="37" t="s">
        <v>179</v>
      </c>
      <c r="B25" s="34">
        <v>133</v>
      </c>
      <c r="C25" s="31">
        <f>IF(B$19=0,0,B25/B$19)</f>
        <v>0.16299019607843138</v>
      </c>
      <c r="E25" s="44" t="s">
        <v>77</v>
      </c>
      <c r="F25" s="41" t="s">
        <v>32</v>
      </c>
      <c r="G25" s="34">
        <v>3</v>
      </c>
      <c r="H25" s="107">
        <f>IF(B$51=0,0,G25/B$51)</f>
        <v>3.6764705882352941E-3</v>
      </c>
      <c r="I25" s="68">
        <v>9</v>
      </c>
      <c r="K25" s="5">
        <v>23</v>
      </c>
      <c r="L25" s="73">
        <v>-150.30000000000001</v>
      </c>
      <c r="N25" s="89" t="s">
        <v>191</v>
      </c>
      <c r="O25" s="99">
        <f>IF(P25=0,0,Q25/P25)</f>
        <v>-0.38368794326240846</v>
      </c>
      <c r="P25" s="93">
        <v>141</v>
      </c>
      <c r="Q25" s="81">
        <v>-54.099999999999596</v>
      </c>
    </row>
    <row r="26" spans="1:17" x14ac:dyDescent="0.45">
      <c r="A26" s="37" t="s">
        <v>5</v>
      </c>
      <c r="B26" s="17">
        <f>IF(B$19=0,0,C26/B$19)</f>
        <v>8526.5931372549021</v>
      </c>
      <c r="C26" s="8">
        <v>6957700</v>
      </c>
      <c r="E26" s="44" t="s">
        <v>88</v>
      </c>
      <c r="F26" s="41" t="s">
        <v>43</v>
      </c>
      <c r="G26" s="34">
        <v>2</v>
      </c>
      <c r="H26" s="107">
        <f>IF(B$51=0,0,G26/B$51)</f>
        <v>2.4509803921568627E-3</v>
      </c>
      <c r="I26" s="68">
        <v>2</v>
      </c>
      <c r="K26" s="5">
        <v>24</v>
      </c>
      <c r="L26" s="73">
        <v>-196.10000000000002</v>
      </c>
      <c r="N26" s="89" t="s">
        <v>189</v>
      </c>
      <c r="O26" s="99">
        <f>IF(P26=0,0,Q26/P26)</f>
        <v>-8.3571428571428594</v>
      </c>
      <c r="P26" s="93">
        <v>7</v>
      </c>
      <c r="Q26" s="81">
        <v>-58.500000000000014</v>
      </c>
    </row>
    <row r="27" spans="1:17" x14ac:dyDescent="0.45">
      <c r="A27" s="38" t="s">
        <v>162</v>
      </c>
      <c r="B27" s="114">
        <f>IF($B$19-B$18=0,0,C27/($B$19-B$18))</f>
        <v>9256.4195298372506</v>
      </c>
      <c r="C27" s="115">
        <v>5118800</v>
      </c>
      <c r="E27" s="44" t="s">
        <v>90</v>
      </c>
      <c r="F27" s="41" t="s">
        <v>45</v>
      </c>
      <c r="G27" s="34">
        <v>2</v>
      </c>
      <c r="H27" s="107">
        <f>IF(B$51=0,0,G27/B$51)</f>
        <v>2.4509803921568627E-3</v>
      </c>
      <c r="I27" s="68">
        <v>3</v>
      </c>
      <c r="K27" s="5">
        <v>25</v>
      </c>
      <c r="L27" s="73">
        <v>-240.00000000000003</v>
      </c>
      <c r="N27" s="89" t="s">
        <v>195</v>
      </c>
      <c r="O27" s="99">
        <f>IF(P27=0,0,Q27/P27)</f>
        <v>-18.018181818181819</v>
      </c>
      <c r="P27" s="93">
        <v>187</v>
      </c>
      <c r="Q27" s="81">
        <v>-3369.4000000000005</v>
      </c>
    </row>
    <row r="28" spans="1:17" x14ac:dyDescent="0.45">
      <c r="A28" s="38" t="s">
        <v>163</v>
      </c>
      <c r="B28" s="114">
        <f>IF(B$18=0,0,C28/B$18)</f>
        <v>6992.0152091254749</v>
      </c>
      <c r="C28" s="115">
        <v>1838900</v>
      </c>
      <c r="E28" s="44" t="s">
        <v>93</v>
      </c>
      <c r="F28" s="41" t="s">
        <v>48</v>
      </c>
      <c r="G28" s="34">
        <v>2</v>
      </c>
      <c r="H28" s="107">
        <f>IF(B$51=0,0,G28/B$51)</f>
        <v>2.4509803921568627E-3</v>
      </c>
      <c r="I28" s="68">
        <v>7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38" t="s">
        <v>161</v>
      </c>
      <c r="B29" s="114">
        <f>IF(B$20=0,0,C29/B$20)</f>
        <v>-7404.3577981651379</v>
      </c>
      <c r="C29" s="115">
        <v>-3228300</v>
      </c>
      <c r="E29" s="44" t="s">
        <v>101</v>
      </c>
      <c r="F29" s="41" t="s">
        <v>56</v>
      </c>
      <c r="G29" s="34">
        <v>2</v>
      </c>
      <c r="H29" s="107">
        <f>IF(B$51=0,0,G29/B$51)</f>
        <v>2.4509803921568627E-3</v>
      </c>
      <c r="I29" s="68">
        <v>1</v>
      </c>
      <c r="K29" s="5">
        <v>27</v>
      </c>
      <c r="L29" s="73">
        <v>-266.7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1.2254901960784314E-3</v>
      </c>
      <c r="I30" s="68">
        <v>9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35">
        <v>8</v>
      </c>
      <c r="C32" s="136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33">
        <v>103000</v>
      </c>
      <c r="C33" s="134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2.2965879265091863E-3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6">
        <v>61</v>
      </c>
      <c r="C36" s="119">
        <f>IF(B$19=0,0,B36/B$19)</f>
        <v>7.4754901960784312E-2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133</v>
      </c>
      <c r="C37" s="31">
        <f t="shared" ref="C37:C48" si="2">IF(B$19=0,0,B37/B$19)</f>
        <v>0.16299019607843138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7">
        <v>161</v>
      </c>
      <c r="C38" s="31">
        <f>IF(B$19=0,0,B38/B$19)</f>
        <v>0.19730392156862744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7">
        <v>146</v>
      </c>
      <c r="C39" s="31">
        <f t="shared" si="2"/>
        <v>0.17892156862745098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7">
        <v>120</v>
      </c>
      <c r="C40" s="31">
        <f t="shared" si="2"/>
        <v>0.14705882352941177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7">
        <v>80</v>
      </c>
      <c r="C41" s="31">
        <f t="shared" si="2"/>
        <v>9.8039215686274508E-2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7">
        <v>50</v>
      </c>
      <c r="C42" s="31">
        <f t="shared" si="2"/>
        <v>6.1274509803921566E-2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7">
        <v>22</v>
      </c>
      <c r="C43" s="31">
        <f t="shared" si="2"/>
        <v>2.6960784313725492E-2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7">
        <v>16</v>
      </c>
      <c r="C44" s="31">
        <f t="shared" si="2"/>
        <v>1.9607843137254902E-2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7">
        <v>11</v>
      </c>
      <c r="C45" s="31">
        <f t="shared" si="2"/>
        <v>1.3480392156862746E-2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7">
        <v>3</v>
      </c>
      <c r="C46" s="31">
        <f t="shared" si="2"/>
        <v>3.6764705882352941E-3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7">
        <v>2</v>
      </c>
      <c r="C47" s="31">
        <f t="shared" si="2"/>
        <v>2.4509803921568627E-3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8">
        <v>11</v>
      </c>
      <c r="C48" s="32">
        <f t="shared" si="2"/>
        <v>1.3480392156862746E-2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31">
        <v>3048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29">
        <v>816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  <row r="329" spans="11:12" x14ac:dyDescent="0.45">
      <c r="K329" s="5">
        <v>327</v>
      </c>
      <c r="L329" s="73">
        <v>-491.4</v>
      </c>
    </row>
    <row r="330" spans="11:12" x14ac:dyDescent="0.45">
      <c r="K330" s="5">
        <v>328</v>
      </c>
      <c r="L330" s="73">
        <v>-479</v>
      </c>
    </row>
    <row r="331" spans="11:12" x14ac:dyDescent="0.45">
      <c r="K331" s="5">
        <v>329</v>
      </c>
      <c r="L331" s="73">
        <v>-479.5</v>
      </c>
    </row>
    <row r="332" spans="11:12" x14ac:dyDescent="0.45">
      <c r="K332" s="5">
        <v>330</v>
      </c>
      <c r="L332" s="73">
        <v>-541.79999999999995</v>
      </c>
    </row>
    <row r="333" spans="11:12" x14ac:dyDescent="0.45">
      <c r="K333" s="5">
        <v>331</v>
      </c>
      <c r="L333" s="73">
        <v>-527.5</v>
      </c>
    </row>
    <row r="334" spans="11:12" x14ac:dyDescent="0.45">
      <c r="K334" s="5">
        <v>332</v>
      </c>
      <c r="L334" s="73">
        <v>-554.6</v>
      </c>
    </row>
    <row r="335" spans="11:12" x14ac:dyDescent="0.45">
      <c r="K335" s="5">
        <v>333</v>
      </c>
      <c r="L335" s="73">
        <v>-575.5</v>
      </c>
    </row>
    <row r="336" spans="11:12" x14ac:dyDescent="0.45">
      <c r="K336" s="5">
        <v>334</v>
      </c>
      <c r="L336" s="73">
        <v>-549.5</v>
      </c>
    </row>
    <row r="337" spans="11:12" x14ac:dyDescent="0.45">
      <c r="K337" s="5">
        <v>335</v>
      </c>
      <c r="L337" s="73">
        <v>-517.6</v>
      </c>
    </row>
    <row r="338" spans="11:12" x14ac:dyDescent="0.45">
      <c r="K338" s="5">
        <v>336</v>
      </c>
      <c r="L338" s="73">
        <v>-507.3</v>
      </c>
    </row>
    <row r="339" spans="11:12" x14ac:dyDescent="0.45">
      <c r="K339" s="5">
        <v>337</v>
      </c>
      <c r="L339" s="73">
        <v>-499.3</v>
      </c>
    </row>
    <row r="340" spans="11:12" x14ac:dyDescent="0.45">
      <c r="K340" s="5">
        <v>338</v>
      </c>
      <c r="L340" s="73">
        <v>-493.9</v>
      </c>
    </row>
    <row r="341" spans="11:12" x14ac:dyDescent="0.45">
      <c r="K341" s="5">
        <v>339</v>
      </c>
      <c r="L341" s="73">
        <v>-525</v>
      </c>
    </row>
    <row r="342" spans="11:12" x14ac:dyDescent="0.45">
      <c r="K342" s="5">
        <v>340</v>
      </c>
      <c r="L342" s="73">
        <v>-566.6</v>
      </c>
    </row>
    <row r="343" spans="11:12" x14ac:dyDescent="0.45">
      <c r="K343" s="5">
        <v>341</v>
      </c>
      <c r="L343" s="73">
        <v>-604.9</v>
      </c>
    </row>
    <row r="344" spans="11:12" x14ac:dyDescent="0.45">
      <c r="K344" s="5">
        <v>342</v>
      </c>
      <c r="L344" s="73">
        <v>-628.4</v>
      </c>
    </row>
    <row r="345" spans="11:12" x14ac:dyDescent="0.45">
      <c r="K345" s="5">
        <v>343</v>
      </c>
      <c r="L345" s="73">
        <v>-600.4</v>
      </c>
    </row>
    <row r="346" spans="11:12" x14ac:dyDescent="0.45">
      <c r="K346" s="5">
        <v>344</v>
      </c>
      <c r="L346" s="73">
        <v>-620.29999999999995</v>
      </c>
    </row>
    <row r="347" spans="11:12" x14ac:dyDescent="0.45">
      <c r="K347" s="5">
        <v>345</v>
      </c>
      <c r="L347" s="73">
        <v>-628.1</v>
      </c>
    </row>
    <row r="348" spans="11:12" x14ac:dyDescent="0.45">
      <c r="K348" s="5">
        <v>346</v>
      </c>
      <c r="L348" s="73">
        <v>-680.9</v>
      </c>
    </row>
    <row r="349" spans="11:12" x14ac:dyDescent="0.45">
      <c r="K349" s="5">
        <v>347</v>
      </c>
      <c r="L349" s="73">
        <v>-631.4</v>
      </c>
    </row>
    <row r="350" spans="11:12" x14ac:dyDescent="0.45">
      <c r="K350" s="5">
        <v>348</v>
      </c>
      <c r="L350" s="73">
        <v>-619.20000000000005</v>
      </c>
    </row>
    <row r="351" spans="11:12" x14ac:dyDescent="0.45">
      <c r="K351" s="5">
        <v>349</v>
      </c>
      <c r="L351" s="73">
        <v>-555.70000000000005</v>
      </c>
    </row>
    <row r="352" spans="11:12" x14ac:dyDescent="0.45">
      <c r="K352" s="5">
        <v>350</v>
      </c>
      <c r="L352" s="73">
        <v>-525.70000000000005</v>
      </c>
    </row>
    <row r="353" spans="11:12" x14ac:dyDescent="0.45">
      <c r="K353" s="5">
        <v>351</v>
      </c>
      <c r="L353" s="73">
        <v>-522.20000000000005</v>
      </c>
    </row>
    <row r="354" spans="11:12" x14ac:dyDescent="0.45">
      <c r="K354" s="5">
        <v>352</v>
      </c>
      <c r="L354" s="73">
        <v>-488.2</v>
      </c>
    </row>
    <row r="355" spans="11:12" x14ac:dyDescent="0.45">
      <c r="K355" s="5">
        <v>353</v>
      </c>
      <c r="L355" s="73">
        <v>-492.2</v>
      </c>
    </row>
    <row r="356" spans="11:12" x14ac:dyDescent="0.45">
      <c r="K356" s="5">
        <v>354</v>
      </c>
      <c r="L356" s="73">
        <v>-503.7</v>
      </c>
    </row>
    <row r="357" spans="11:12" x14ac:dyDescent="0.45">
      <c r="K357" s="5">
        <v>355</v>
      </c>
      <c r="L357" s="73">
        <v>-537.1</v>
      </c>
    </row>
    <row r="358" spans="11:12" x14ac:dyDescent="0.45">
      <c r="K358" s="5">
        <v>356</v>
      </c>
      <c r="L358" s="73">
        <v>-594.70000000000005</v>
      </c>
    </row>
    <row r="359" spans="11:12" x14ac:dyDescent="0.45">
      <c r="K359" s="5">
        <v>357</v>
      </c>
      <c r="L359" s="73">
        <v>-642.79999999999995</v>
      </c>
    </row>
    <row r="360" spans="11:12" x14ac:dyDescent="0.45">
      <c r="K360" s="5">
        <v>358</v>
      </c>
      <c r="L360" s="73">
        <v>-680</v>
      </c>
    </row>
    <row r="361" spans="11:12" x14ac:dyDescent="0.45">
      <c r="K361" s="5">
        <v>359</v>
      </c>
      <c r="L361" s="73">
        <v>-660.9</v>
      </c>
    </row>
    <row r="362" spans="11:12" x14ac:dyDescent="0.45">
      <c r="K362" s="5">
        <v>360</v>
      </c>
      <c r="L362" s="73">
        <v>-616.5</v>
      </c>
    </row>
    <row r="363" spans="11:12" x14ac:dyDescent="0.45">
      <c r="K363" s="5">
        <v>361</v>
      </c>
      <c r="L363" s="73">
        <v>-621.20000000000005</v>
      </c>
    </row>
    <row r="364" spans="11:12" x14ac:dyDescent="0.45">
      <c r="K364" s="5">
        <v>362</v>
      </c>
      <c r="L364" s="73">
        <v>-637.79999999999995</v>
      </c>
    </row>
    <row r="365" spans="11:12" x14ac:dyDescent="0.45">
      <c r="K365" s="5">
        <v>363</v>
      </c>
      <c r="L365" s="73">
        <v>-661.5</v>
      </c>
    </row>
    <row r="366" spans="11:12" x14ac:dyDescent="0.45">
      <c r="K366" s="5">
        <v>364</v>
      </c>
      <c r="L366" s="73">
        <v>-690.19999999999993</v>
      </c>
    </row>
    <row r="367" spans="11:12" x14ac:dyDescent="0.45">
      <c r="K367" s="5">
        <v>365</v>
      </c>
      <c r="L367" s="73">
        <v>-650.09999999999991</v>
      </c>
    </row>
    <row r="368" spans="11:12" x14ac:dyDescent="0.45">
      <c r="K368" s="5">
        <v>366</v>
      </c>
      <c r="L368" s="73">
        <v>-576.4</v>
      </c>
    </row>
    <row r="369" spans="11:12" x14ac:dyDescent="0.45">
      <c r="K369" s="5">
        <v>367</v>
      </c>
      <c r="L369" s="73">
        <v>-557</v>
      </c>
    </row>
    <row r="370" spans="11:12" x14ac:dyDescent="0.45">
      <c r="K370" s="5">
        <v>368</v>
      </c>
      <c r="L370" s="73">
        <v>-550.5</v>
      </c>
    </row>
    <row r="371" spans="11:12" x14ac:dyDescent="0.45">
      <c r="K371" s="5">
        <v>369</v>
      </c>
      <c r="L371" s="73">
        <v>-585.09999999999991</v>
      </c>
    </row>
    <row r="372" spans="11:12" x14ac:dyDescent="0.45">
      <c r="K372" s="5">
        <v>370</v>
      </c>
      <c r="L372" s="73">
        <v>-571.29999999999995</v>
      </c>
    </row>
    <row r="373" spans="11:12" x14ac:dyDescent="0.45">
      <c r="K373" s="5">
        <v>371</v>
      </c>
      <c r="L373" s="73">
        <v>-597</v>
      </c>
    </row>
    <row r="374" spans="11:12" x14ac:dyDescent="0.45">
      <c r="K374" s="5">
        <v>372</v>
      </c>
      <c r="L374" s="73">
        <v>-573.79999999999995</v>
      </c>
    </row>
    <row r="375" spans="11:12" x14ac:dyDescent="0.45">
      <c r="K375" s="5">
        <v>373</v>
      </c>
      <c r="L375" s="73">
        <v>-539.9</v>
      </c>
    </row>
    <row r="376" spans="11:12" x14ac:dyDescent="0.45">
      <c r="K376" s="5">
        <v>374</v>
      </c>
      <c r="L376" s="73">
        <v>-555.9</v>
      </c>
    </row>
    <row r="377" spans="11:12" x14ac:dyDescent="0.45">
      <c r="K377" s="5">
        <v>375</v>
      </c>
      <c r="L377" s="73">
        <v>-505.09999999999997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C93DF-CE1A-41C6-9BFE-8A65DF086AD9}">
  <sheetPr codeName="Sheet16"/>
  <dimension ref="A1:Q12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186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118</v>
      </c>
      <c r="C2" s="132"/>
      <c r="E2" s="43" t="s">
        <v>66</v>
      </c>
      <c r="F2" s="25" t="s">
        <v>22</v>
      </c>
      <c r="G2" s="13">
        <v>185</v>
      </c>
      <c r="H2" s="106">
        <f>IF(B$51=0,0,G2/B$51)</f>
        <v>0.68773234200743494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-1650</v>
      </c>
      <c r="P2" s="92">
        <v>116</v>
      </c>
      <c r="Q2" s="76">
        <v>-191400</v>
      </c>
    </row>
    <row r="3" spans="1:17" x14ac:dyDescent="0.45">
      <c r="A3" s="37" t="s">
        <v>8</v>
      </c>
      <c r="B3" s="143">
        <v>1019</v>
      </c>
      <c r="C3" s="144"/>
      <c r="E3" s="44" t="s">
        <v>64</v>
      </c>
      <c r="F3" s="41" t="s">
        <v>20</v>
      </c>
      <c r="G3" s="34">
        <v>137</v>
      </c>
      <c r="H3" s="107">
        <f>IF(B$51=0,0,G3/B$51)</f>
        <v>0.50929368029739774</v>
      </c>
      <c r="I3" s="68">
        <v>9</v>
      </c>
      <c r="K3" s="5">
        <v>1</v>
      </c>
      <c r="L3" s="73">
        <v>4</v>
      </c>
      <c r="N3" s="89" t="s">
        <v>127</v>
      </c>
      <c r="O3" s="96">
        <f t="shared" si="0"/>
        <v>-637.71929824561403</v>
      </c>
      <c r="P3" s="93">
        <v>114</v>
      </c>
      <c r="Q3" s="77">
        <v>-72700</v>
      </c>
    </row>
    <row r="4" spans="1:17" x14ac:dyDescent="0.45">
      <c r="A4" s="37" t="s">
        <v>6</v>
      </c>
      <c r="B4" s="145">
        <v>-1015.2</v>
      </c>
      <c r="C4" s="146"/>
      <c r="E4" s="44" t="s">
        <v>72</v>
      </c>
      <c r="F4" s="41" t="s">
        <v>27</v>
      </c>
      <c r="G4" s="34">
        <v>124</v>
      </c>
      <c r="H4" s="107">
        <f>IF(B$51=0,0,G4/B$51)</f>
        <v>0.46096654275092935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-1577.0642201834862</v>
      </c>
      <c r="P4" s="93">
        <v>109</v>
      </c>
      <c r="Q4" s="77">
        <v>-171900</v>
      </c>
    </row>
    <row r="5" spans="1:17" x14ac:dyDescent="0.45">
      <c r="A5" s="37" t="s">
        <v>7</v>
      </c>
      <c r="B5" s="139">
        <f>IF(B$2=0,0,B$4/B$2)</f>
        <v>-8.6033898305084744</v>
      </c>
      <c r="C5" s="140"/>
      <c r="E5" s="44" t="s">
        <v>68</v>
      </c>
      <c r="F5" s="41" t="s">
        <v>12</v>
      </c>
      <c r="G5" s="34">
        <v>112</v>
      </c>
      <c r="H5" s="107">
        <f>IF(B$51=0,0,G5/B$51)</f>
        <v>0.41635687732342008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-3033</v>
      </c>
      <c r="P5" s="93">
        <v>100</v>
      </c>
      <c r="Q5" s="77">
        <v>-303300</v>
      </c>
    </row>
    <row r="6" spans="1:17" x14ac:dyDescent="0.45">
      <c r="A6" s="37" t="s">
        <v>1</v>
      </c>
      <c r="B6" s="137">
        <f>IF(B$2=0,0,(B$7*1+B$8*2+B$9*3)/B$2)</f>
        <v>2.152542372881356</v>
      </c>
      <c r="C6" s="138"/>
      <c r="E6" s="44" t="s">
        <v>157</v>
      </c>
      <c r="F6" s="41" t="s">
        <v>158</v>
      </c>
      <c r="G6" s="34">
        <v>100</v>
      </c>
      <c r="H6" s="107">
        <f>IF(B$51=0,0,G6/B$51)</f>
        <v>0.37174721189591076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446.06741573033707</v>
      </c>
      <c r="P6" s="93">
        <v>89</v>
      </c>
      <c r="Q6" s="77">
        <v>39700</v>
      </c>
    </row>
    <row r="7" spans="1:17" x14ac:dyDescent="0.45">
      <c r="A7" s="37" t="s">
        <v>2</v>
      </c>
      <c r="B7" s="34">
        <v>32</v>
      </c>
      <c r="C7" s="31">
        <f t="shared" ref="C7:C14" si="1">IF(B$2=0,0,B7/B$2)</f>
        <v>0.2711864406779661</v>
      </c>
      <c r="E7" s="44" t="s">
        <v>67</v>
      </c>
      <c r="F7" s="41" t="s">
        <v>23</v>
      </c>
      <c r="G7" s="34">
        <v>62</v>
      </c>
      <c r="H7" s="107">
        <f>IF(B$51=0,0,G7/B$51)</f>
        <v>0.23048327137546468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-218.75</v>
      </c>
      <c r="P7" s="94">
        <v>80</v>
      </c>
      <c r="Q7" s="78">
        <v>-17500</v>
      </c>
    </row>
    <row r="8" spans="1:17" x14ac:dyDescent="0.45">
      <c r="A8" s="37" t="s">
        <v>3</v>
      </c>
      <c r="B8" s="34">
        <v>36</v>
      </c>
      <c r="C8" s="31">
        <f t="shared" si="1"/>
        <v>0.30508474576271188</v>
      </c>
      <c r="E8" s="44" t="s">
        <v>69</v>
      </c>
      <c r="F8" s="41" t="s">
        <v>24</v>
      </c>
      <c r="G8" s="34">
        <v>40</v>
      </c>
      <c r="H8" s="107">
        <f>IF(B$51=0,0,G8/B$51)</f>
        <v>0.14869888475836432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50</v>
      </c>
      <c r="C9" s="7">
        <f t="shared" si="1"/>
        <v>0.42372881355932202</v>
      </c>
      <c r="E9" s="44" t="s">
        <v>70</v>
      </c>
      <c r="F9" s="41" t="s">
        <v>25</v>
      </c>
      <c r="G9" s="34">
        <v>32</v>
      </c>
      <c r="H9" s="107">
        <f>IF(B$51=0,0,G9/B$51)</f>
        <v>0.11895910780669144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37.090625000000003</v>
      </c>
      <c r="C10" s="121">
        <v>1186.9000000000001</v>
      </c>
      <c r="E10" s="44" t="s">
        <v>89</v>
      </c>
      <c r="F10" s="41" t="s">
        <v>44</v>
      </c>
      <c r="G10" s="34">
        <v>29</v>
      </c>
      <c r="H10" s="107">
        <f>IF(B$51=0,0,G10/B$51)</f>
        <v>0.10780669144981413</v>
      </c>
      <c r="I10" s="68">
        <v>13</v>
      </c>
      <c r="K10" s="5">
        <v>8</v>
      </c>
      <c r="L10" s="73">
        <v>-31.1</v>
      </c>
      <c r="N10" s="88" t="s">
        <v>149</v>
      </c>
      <c r="O10" s="98">
        <f>IF(P10=0,0,Q10/P10)</f>
        <v>-10.148717948717948</v>
      </c>
      <c r="P10" s="92">
        <v>39</v>
      </c>
      <c r="Q10" s="80">
        <v>-395.8</v>
      </c>
    </row>
    <row r="11" spans="1:17" x14ac:dyDescent="0.45">
      <c r="A11" s="38" t="s">
        <v>204</v>
      </c>
      <c r="B11" s="120">
        <f>IF(B8=0,0,C11/B8)</f>
        <v>-4.3638888888888889</v>
      </c>
      <c r="C11" s="121">
        <v>-157.1</v>
      </c>
      <c r="E11" s="44" t="s">
        <v>65</v>
      </c>
      <c r="F11" s="41" t="s">
        <v>21</v>
      </c>
      <c r="G11" s="34">
        <v>24</v>
      </c>
      <c r="H11" s="107">
        <f>IF(B$51=0,0,G11/B$51)</f>
        <v>8.9219330855018583E-2</v>
      </c>
      <c r="I11" s="68">
        <v>16</v>
      </c>
      <c r="K11" s="5">
        <v>9</v>
      </c>
      <c r="L11" s="73">
        <v>-70.599999999999994</v>
      </c>
      <c r="N11" s="89" t="s">
        <v>150</v>
      </c>
      <c r="O11" s="99">
        <f>IF(P11=0,0,Q11/P11)</f>
        <v>-8.2217391304347842</v>
      </c>
      <c r="P11" s="93">
        <v>46</v>
      </c>
      <c r="Q11" s="81">
        <v>-378.20000000000005</v>
      </c>
    </row>
    <row r="12" spans="1:17" x14ac:dyDescent="0.45">
      <c r="A12" s="38" t="s">
        <v>205</v>
      </c>
      <c r="B12" s="120">
        <f>IF(B9=0,0,C12/B9)</f>
        <v>-40.9</v>
      </c>
      <c r="C12" s="121">
        <v>-2045</v>
      </c>
      <c r="E12" s="44" t="s">
        <v>71</v>
      </c>
      <c r="F12" s="41" t="s">
        <v>26</v>
      </c>
      <c r="G12" s="34">
        <v>14</v>
      </c>
      <c r="H12" s="107">
        <f>IF(B$51=0,0,G12/B$51)</f>
        <v>5.204460966542751E-2</v>
      </c>
      <c r="I12" s="68">
        <v>12</v>
      </c>
      <c r="K12" s="5">
        <v>10</v>
      </c>
      <c r="L12" s="73">
        <v>-115.89999999999999</v>
      </c>
      <c r="N12" s="90" t="s">
        <v>151</v>
      </c>
      <c r="O12" s="100">
        <f>IF(P12=0,0,Q12/P12)</f>
        <v>-7.3090909090909086</v>
      </c>
      <c r="P12" s="94">
        <v>33</v>
      </c>
      <c r="Q12" s="82">
        <v>-241.2</v>
      </c>
    </row>
    <row r="13" spans="1:17" x14ac:dyDescent="0.45">
      <c r="A13" s="38" t="s">
        <v>206</v>
      </c>
      <c r="B13" s="139">
        <f>AVERAGE(B10:B12)</f>
        <v>-2.7244212962962941</v>
      </c>
      <c r="C13" s="140"/>
      <c r="E13" s="44" t="s">
        <v>86</v>
      </c>
      <c r="F13" s="41" t="s">
        <v>41</v>
      </c>
      <c r="G13" s="34">
        <v>14</v>
      </c>
      <c r="H13" s="107">
        <f>IF(B$51=0,0,G13/B$51)</f>
        <v>5.204460966542751E-2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21</v>
      </c>
      <c r="C14" s="32">
        <f t="shared" si="1"/>
        <v>0.17796610169491525</v>
      </c>
      <c r="E14" s="44" t="s">
        <v>78</v>
      </c>
      <c r="F14" s="41" t="s">
        <v>33</v>
      </c>
      <c r="G14" s="34">
        <v>10</v>
      </c>
      <c r="H14" s="107">
        <f>IF(B$51=0,0,G14/B$51)</f>
        <v>3.717472118959108E-2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249</v>
      </c>
      <c r="C15" s="11">
        <f>IF(B$50=0,0,B15/B$50)</f>
        <v>0.24435721295387636</v>
      </c>
      <c r="E15" s="44" t="s">
        <v>83</v>
      </c>
      <c r="F15" s="41" t="s">
        <v>38</v>
      </c>
      <c r="G15" s="34">
        <v>7</v>
      </c>
      <c r="H15" s="107">
        <f>IF(B$51=0,0,G15/B$51)</f>
        <v>2.6022304832713755E-2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5">
      <c r="A16" s="37" t="s">
        <v>118</v>
      </c>
      <c r="B16" s="34">
        <v>194</v>
      </c>
      <c r="C16" s="31">
        <f>IF(B$50=0,0,B16/B$50)</f>
        <v>0.19038272816486751</v>
      </c>
      <c r="E16" s="44" t="s">
        <v>79</v>
      </c>
      <c r="F16" s="41" t="s">
        <v>34</v>
      </c>
      <c r="G16" s="34">
        <v>6</v>
      </c>
      <c r="H16" s="107">
        <f>IF(B$51=0,0,G16/B$51)</f>
        <v>2.2304832713754646E-2</v>
      </c>
      <c r="I16" s="68">
        <v>6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141</v>
      </c>
      <c r="C17" s="4">
        <f>IF(B$15=0,0,B17/B$15)</f>
        <v>0.5662650602409639</v>
      </c>
      <c r="E17" s="44" t="s">
        <v>153</v>
      </c>
      <c r="F17" s="41" t="s">
        <v>154</v>
      </c>
      <c r="G17" s="34">
        <v>5</v>
      </c>
      <c r="H17" s="107">
        <f>IF(B$51=0,0,G17/B$51)</f>
        <v>1.858736059479554E-2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65</v>
      </c>
      <c r="C18" s="4">
        <f>IF(B$16=0,0,B18/B$16)</f>
        <v>0.33505154639175255</v>
      </c>
      <c r="E18" s="44" t="s">
        <v>73</v>
      </c>
      <c r="F18" s="41" t="s">
        <v>28</v>
      </c>
      <c r="G18" s="34">
        <v>3</v>
      </c>
      <c r="H18" s="107">
        <f>IF(B$51=0,0,G18/B$51)</f>
        <v>1.1152416356877323E-2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269</v>
      </c>
      <c r="C19" s="4">
        <f>IF(B$3=0,0,B19/B$3)</f>
        <v>0.26398429833169773</v>
      </c>
      <c r="E19" s="44" t="s">
        <v>81</v>
      </c>
      <c r="F19" s="41" t="s">
        <v>36</v>
      </c>
      <c r="G19" s="34">
        <v>3</v>
      </c>
      <c r="H19" s="107">
        <f>IF(B$51=0,0,G19/B$51)</f>
        <v>1.1152416356877323E-2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197</v>
      </c>
      <c r="C20" s="31">
        <f>IF(B$3=0,0,B20/B$3)</f>
        <v>0.19332679097154074</v>
      </c>
      <c r="E20" s="44" t="s">
        <v>87</v>
      </c>
      <c r="F20" s="41" t="s">
        <v>42</v>
      </c>
      <c r="G20" s="34">
        <v>2</v>
      </c>
      <c r="H20" s="107">
        <f>IF(B$51=0,0,G20/B$51)</f>
        <v>7.4349442379182153E-3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5">
      <c r="A21" s="37" t="s">
        <v>12</v>
      </c>
      <c r="B21" s="34">
        <v>142</v>
      </c>
      <c r="C21" s="31">
        <f>IF(B$19=0,0,B21/B$19)</f>
        <v>0.52788104089219334</v>
      </c>
      <c r="E21" s="44" t="s">
        <v>91</v>
      </c>
      <c r="F21" s="41" t="s">
        <v>46</v>
      </c>
      <c r="G21" s="34">
        <v>2</v>
      </c>
      <c r="H21" s="107">
        <f>IF(B$51=0,0,G21/B$51)</f>
        <v>7.4349442379182153E-3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5">
      <c r="A22" s="37" t="s">
        <v>11</v>
      </c>
      <c r="B22" s="34">
        <v>127</v>
      </c>
      <c r="C22" s="31">
        <f>IF(B$19=0,0,B22/B$19)</f>
        <v>0.47211895910780671</v>
      </c>
      <c r="E22" s="44" t="s">
        <v>75</v>
      </c>
      <c r="F22" s="41" t="s">
        <v>30</v>
      </c>
      <c r="G22" s="34">
        <v>1</v>
      </c>
      <c r="H22" s="107">
        <f>IF(B$51=0,0,G22/B$51)</f>
        <v>3.7174721189591076E-3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-17.893478260869564</v>
      </c>
      <c r="P22" s="93">
        <v>46</v>
      </c>
      <c r="Q22" s="81">
        <v>-823.1</v>
      </c>
    </row>
    <row r="23" spans="1:17" x14ac:dyDescent="0.45">
      <c r="A23" s="37" t="s">
        <v>180</v>
      </c>
      <c r="B23" s="34">
        <v>141</v>
      </c>
      <c r="C23" s="31">
        <f>IF(B$19=0,0,B23/B$19)</f>
        <v>0.52416356877323422</v>
      </c>
      <c r="E23" s="44" t="s">
        <v>85</v>
      </c>
      <c r="F23" s="41" t="s">
        <v>40</v>
      </c>
      <c r="G23" s="34">
        <v>1</v>
      </c>
      <c r="H23" s="107">
        <f>IF(B$51=0,0,G23/B$51)</f>
        <v>3.7174721189591076E-3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-24.825862068965524</v>
      </c>
      <c r="P23" s="93">
        <v>58</v>
      </c>
      <c r="Q23" s="81">
        <v>-1439.9000000000003</v>
      </c>
    </row>
    <row r="24" spans="1:17" x14ac:dyDescent="0.45">
      <c r="A24" s="37" t="s">
        <v>178</v>
      </c>
      <c r="B24" s="34">
        <v>65</v>
      </c>
      <c r="C24" s="31">
        <f>IF(B$19=0,0,B24/B$19)</f>
        <v>0.24163568773234201</v>
      </c>
      <c r="E24" s="44" t="s">
        <v>106</v>
      </c>
      <c r="F24" s="41" t="s">
        <v>113</v>
      </c>
      <c r="G24" s="34">
        <v>1</v>
      </c>
      <c r="H24" s="107">
        <f>IF(B$51=0,0,G24/B$51)</f>
        <v>3.7174721189591076E-3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63</v>
      </c>
      <c r="C25" s="31">
        <f>IF(B$19=0,0,B25/B$19)</f>
        <v>0.2342007434944238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7805.2044609665427</v>
      </c>
      <c r="C26" s="8">
        <v>2099600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8397.5490196078426</v>
      </c>
      <c r="C27" s="115">
        <v>1713100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11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5946.1538461538457</v>
      </c>
      <c r="C28" s="115">
        <v>386500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-8135.5329949238576</v>
      </c>
      <c r="C29" s="115">
        <v>-1602700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33">
        <v>113300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5</v>
      </c>
      <c r="C34" s="32">
        <f>IF(B$3=0,0,B34/B$3)</f>
        <v>4.9067713444553487E-3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6">
        <v>31</v>
      </c>
      <c r="C36" s="119">
        <f>IF(B$19=0,0,B36/B$19)</f>
        <v>0.11524163568773234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51</v>
      </c>
      <c r="C37" s="31">
        <f t="shared" ref="C37:C48" si="2">IF(B$19=0,0,B37/B$19)</f>
        <v>0.1895910780669145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7">
        <v>48</v>
      </c>
      <c r="C38" s="31">
        <f>IF(B$19=0,0,B38/B$19)</f>
        <v>0.17843866171003717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7">
        <v>43</v>
      </c>
      <c r="C39" s="31">
        <f t="shared" si="2"/>
        <v>0.15985130111524162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7">
        <v>42</v>
      </c>
      <c r="C40" s="31">
        <f t="shared" si="2"/>
        <v>0.15613382899628253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7">
        <v>28</v>
      </c>
      <c r="C41" s="31">
        <f t="shared" si="2"/>
        <v>0.10408921933085502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7">
        <v>12</v>
      </c>
      <c r="C42" s="31">
        <f t="shared" si="2"/>
        <v>4.4609665427509292E-2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7">
        <v>7</v>
      </c>
      <c r="C43" s="31">
        <f t="shared" si="2"/>
        <v>2.6022304832713755E-2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-332.4</v>
      </c>
    </row>
    <row r="44" spans="1:12" x14ac:dyDescent="0.45">
      <c r="A44" s="37" t="s">
        <v>172</v>
      </c>
      <c r="B44" s="127">
        <v>3</v>
      </c>
      <c r="C44" s="31">
        <f t="shared" si="2"/>
        <v>1.1152416356877323E-2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7">
        <v>2</v>
      </c>
      <c r="C45" s="31">
        <f t="shared" si="2"/>
        <v>7.4349442379182153E-3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7">
        <v>1</v>
      </c>
      <c r="C46" s="31">
        <f t="shared" si="2"/>
        <v>3.7174721189591076E-3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8">
        <v>1</v>
      </c>
      <c r="C48" s="32">
        <f t="shared" si="2"/>
        <v>3.7174721189591076E-3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31">
        <v>1019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29">
        <v>269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  <row r="109" spans="11:12" x14ac:dyDescent="0.45">
      <c r="K109" s="5">
        <v>107</v>
      </c>
      <c r="L109" s="73">
        <v>-910</v>
      </c>
    </row>
    <row r="110" spans="11:12" x14ac:dyDescent="0.45">
      <c r="K110" s="5">
        <v>108</v>
      </c>
      <c r="L110" s="73">
        <v>-917.4</v>
      </c>
    </row>
    <row r="111" spans="11:12" x14ac:dyDescent="0.45">
      <c r="K111" s="5">
        <v>109</v>
      </c>
      <c r="L111" s="73">
        <v>-973.6</v>
      </c>
    </row>
    <row r="112" spans="11:12" x14ac:dyDescent="0.45">
      <c r="K112" s="5">
        <v>110</v>
      </c>
      <c r="L112" s="73">
        <v>-1000.9</v>
      </c>
    </row>
    <row r="113" spans="11:12" x14ac:dyDescent="0.45">
      <c r="K113" s="5">
        <v>111</v>
      </c>
      <c r="L113" s="73">
        <v>-1010.4</v>
      </c>
    </row>
    <row r="114" spans="11:12" x14ac:dyDescent="0.45">
      <c r="K114" s="5">
        <v>112</v>
      </c>
      <c r="L114" s="73">
        <v>-1035.5999999999999</v>
      </c>
    </row>
    <row r="115" spans="11:12" x14ac:dyDescent="0.45">
      <c r="K115" s="5">
        <v>113</v>
      </c>
      <c r="L115" s="73">
        <v>-1037.9000000000001</v>
      </c>
    </row>
    <row r="116" spans="11:12" x14ac:dyDescent="0.45">
      <c r="K116" s="5">
        <v>114</v>
      </c>
      <c r="L116" s="73">
        <v>-1015.9</v>
      </c>
    </row>
    <row r="117" spans="11:12" x14ac:dyDescent="0.45">
      <c r="K117" s="5">
        <v>115</v>
      </c>
      <c r="L117" s="73">
        <v>-945.9</v>
      </c>
    </row>
    <row r="118" spans="11:12" x14ac:dyDescent="0.45">
      <c r="K118" s="5">
        <v>116</v>
      </c>
      <c r="L118" s="73">
        <v>-977.80000000000007</v>
      </c>
    </row>
    <row r="119" spans="11:12" x14ac:dyDescent="0.45">
      <c r="K119" s="5">
        <v>117</v>
      </c>
      <c r="L119" s="73">
        <v>-992.9</v>
      </c>
    </row>
    <row r="120" spans="11:12" x14ac:dyDescent="0.45">
      <c r="K120" s="5">
        <v>118</v>
      </c>
      <c r="L120" s="73">
        <v>-1015.2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2A5D2-1C33-478E-95C3-FB909AF33528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199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</v>
      </c>
      <c r="C2" s="132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43">
        <v>253</v>
      </c>
      <c r="C3" s="144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45">
        <v>-22.000000000000028</v>
      </c>
      <c r="C4" s="146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9">
        <f>IF(B$2=0,0,B$4/B$2)</f>
        <v>-0.7857142857142867</v>
      </c>
      <c r="C5" s="140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7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37">
        <f>IF(B$2=0,0,(B$7*1+B$8*2+B$9*3)/B$2)</f>
        <v>1.9285714285714286</v>
      </c>
      <c r="C6" s="138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9">
        <f>AVERAGE(B10:B12)</f>
        <v>-4.0783333333333331</v>
      </c>
      <c r="C13" s="140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7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4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106300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80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94D4-BF90-4226-AA59-DE37897B3926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200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</v>
      </c>
      <c r="C2" s="132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43">
        <v>13</v>
      </c>
      <c r="C3" s="144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11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45">
        <v>13.3</v>
      </c>
      <c r="C4" s="146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9">
        <f>IF(B$2=0,0,B$4/B$2)</f>
        <v>13.3</v>
      </c>
      <c r="C5" s="140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4.4333333333333336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48300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13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76B52-2CB9-40D8-ABDC-FF901796863E}">
  <sheetPr codeName="Sheet19"/>
  <dimension ref="A1:Q9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197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96</v>
      </c>
      <c r="C2" s="132"/>
      <c r="E2" s="43" t="s">
        <v>66</v>
      </c>
      <c r="F2" s="25" t="s">
        <v>22</v>
      </c>
      <c r="G2" s="13">
        <v>127</v>
      </c>
      <c r="H2" s="106">
        <f>IF(B$51=0,0,G2/B$51)</f>
        <v>0.6512820512820513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-3020.8333333333335</v>
      </c>
      <c r="P2" s="92">
        <v>96</v>
      </c>
      <c r="Q2" s="76">
        <v>-290000</v>
      </c>
    </row>
    <row r="3" spans="1:17" x14ac:dyDescent="0.45">
      <c r="A3" s="37" t="s">
        <v>8</v>
      </c>
      <c r="B3" s="143">
        <v>792</v>
      </c>
      <c r="C3" s="144"/>
      <c r="E3" s="44" t="s">
        <v>72</v>
      </c>
      <c r="F3" s="41" t="s">
        <v>27</v>
      </c>
      <c r="G3" s="34">
        <v>118</v>
      </c>
      <c r="H3" s="107">
        <f>IF(B$51=0,0,G3/B$51)</f>
        <v>0.60512820512820509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202.10526315789474</v>
      </c>
      <c r="P3" s="93">
        <v>95</v>
      </c>
      <c r="Q3" s="77">
        <v>19200</v>
      </c>
    </row>
    <row r="4" spans="1:17" x14ac:dyDescent="0.45">
      <c r="A4" s="37" t="s">
        <v>6</v>
      </c>
      <c r="B4" s="145">
        <v>-1181.9000000000001</v>
      </c>
      <c r="C4" s="146"/>
      <c r="E4" s="44" t="s">
        <v>64</v>
      </c>
      <c r="F4" s="41" t="s">
        <v>20</v>
      </c>
      <c r="G4" s="34">
        <v>89</v>
      </c>
      <c r="H4" s="107">
        <f>IF(B$51=0,0,G4/B$51)</f>
        <v>0.4564102564102564</v>
      </c>
      <c r="I4" s="68">
        <v>15</v>
      </c>
      <c r="K4" s="5">
        <v>2</v>
      </c>
      <c r="L4" s="73">
        <v>-96.5</v>
      </c>
      <c r="N4" s="89" t="s">
        <v>128</v>
      </c>
      <c r="O4" s="96">
        <f t="shared" si="0"/>
        <v>-1462.9213483146068</v>
      </c>
      <c r="P4" s="93">
        <v>89</v>
      </c>
      <c r="Q4" s="77">
        <v>-130200</v>
      </c>
    </row>
    <row r="5" spans="1:17" x14ac:dyDescent="0.45">
      <c r="A5" s="37" t="s">
        <v>7</v>
      </c>
      <c r="B5" s="139">
        <f>IF(B$2=0,0,B$4/B$2)</f>
        <v>-12.311458333333334</v>
      </c>
      <c r="C5" s="140"/>
      <c r="E5" s="44" t="s">
        <v>157</v>
      </c>
      <c r="F5" s="41" t="s">
        <v>158</v>
      </c>
      <c r="G5" s="34">
        <v>73</v>
      </c>
      <c r="H5" s="107">
        <f>IF(B$51=0,0,G5/B$51)</f>
        <v>0.37435897435897436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-1484.8101265822784</v>
      </c>
      <c r="P5" s="93">
        <v>79</v>
      </c>
      <c r="Q5" s="77">
        <v>-117300</v>
      </c>
    </row>
    <row r="6" spans="1:17" x14ac:dyDescent="0.45">
      <c r="A6" s="37" t="s">
        <v>1</v>
      </c>
      <c r="B6" s="137">
        <f>IF(B$2=0,0,(B$7*1+B$8*2+B$9*3)/B$2)</f>
        <v>2.28125</v>
      </c>
      <c r="C6" s="138"/>
      <c r="E6" s="44" t="s">
        <v>68</v>
      </c>
      <c r="F6" s="41" t="s">
        <v>12</v>
      </c>
      <c r="G6" s="34">
        <v>58</v>
      </c>
      <c r="H6" s="107">
        <f>IF(B$51=0,0,G6/B$51)</f>
        <v>0.29743589743589743</v>
      </c>
      <c r="I6" s="68">
        <v>12</v>
      </c>
      <c r="K6" s="5">
        <v>4</v>
      </c>
      <c r="L6" s="73">
        <v>-134.1</v>
      </c>
      <c r="N6" s="89" t="s">
        <v>130</v>
      </c>
      <c r="O6" s="96">
        <f t="shared" si="0"/>
        <v>-1176.7123287671234</v>
      </c>
      <c r="P6" s="93">
        <v>73</v>
      </c>
      <c r="Q6" s="77">
        <v>-85900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0.14583333333333334</v>
      </c>
      <c r="E7" s="44" t="s">
        <v>67</v>
      </c>
      <c r="F7" s="41" t="s">
        <v>23</v>
      </c>
      <c r="G7" s="34">
        <v>46</v>
      </c>
      <c r="H7" s="107">
        <f>IF(B$51=0,0,G7/B$51)</f>
        <v>0.23589743589743589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-2050</v>
      </c>
      <c r="P7" s="94">
        <v>58</v>
      </c>
      <c r="Q7" s="78">
        <v>-118900</v>
      </c>
    </row>
    <row r="8" spans="1:17" x14ac:dyDescent="0.45">
      <c r="A8" s="37" t="s">
        <v>3</v>
      </c>
      <c r="B8" s="34">
        <v>41</v>
      </c>
      <c r="C8" s="31">
        <f t="shared" si="1"/>
        <v>0.42708333333333331</v>
      </c>
      <c r="E8" s="44" t="s">
        <v>89</v>
      </c>
      <c r="F8" s="41" t="s">
        <v>44</v>
      </c>
      <c r="G8" s="34">
        <v>28</v>
      </c>
      <c r="H8" s="107">
        <f>IF(B$51=0,0,G8/B$51)</f>
        <v>0.14358974358974358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41</v>
      </c>
      <c r="C9" s="7">
        <f t="shared" si="1"/>
        <v>0.42708333333333331</v>
      </c>
      <c r="E9" s="44" t="s">
        <v>65</v>
      </c>
      <c r="F9" s="41" t="s">
        <v>21</v>
      </c>
      <c r="G9" s="34">
        <v>20</v>
      </c>
      <c r="H9" s="107">
        <f>IF(B$51=0,0,G9/B$51)</f>
        <v>0.10256410256410256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37.49285714285714</v>
      </c>
      <c r="C10" s="121">
        <v>524.9</v>
      </c>
      <c r="E10" s="44" t="s">
        <v>70</v>
      </c>
      <c r="F10" s="41" t="s">
        <v>25</v>
      </c>
      <c r="G10" s="34">
        <v>16</v>
      </c>
      <c r="H10" s="107">
        <f>IF(B$51=0,0,G10/B$51)</f>
        <v>8.2051282051282051E-2</v>
      </c>
      <c r="I10" s="68">
        <v>10</v>
      </c>
      <c r="K10" s="5">
        <v>8</v>
      </c>
      <c r="L10" s="73">
        <v>-289.8</v>
      </c>
      <c r="N10" s="88" t="s">
        <v>149</v>
      </c>
      <c r="O10" s="98">
        <f>IF(P10=0,0,Q10/P10)</f>
        <v>-20.463414634146343</v>
      </c>
      <c r="P10" s="92">
        <v>41</v>
      </c>
      <c r="Q10" s="80">
        <v>-839</v>
      </c>
    </row>
    <row r="11" spans="1:17" x14ac:dyDescent="0.45">
      <c r="A11" s="38" t="s">
        <v>204</v>
      </c>
      <c r="B11" s="120">
        <f>IF(B8=0,0,C11/B8)</f>
        <v>-2.6097560975609757</v>
      </c>
      <c r="C11" s="121">
        <v>-107</v>
      </c>
      <c r="E11" s="44" t="s">
        <v>71</v>
      </c>
      <c r="F11" s="41" t="s">
        <v>26</v>
      </c>
      <c r="G11" s="34">
        <v>16</v>
      </c>
      <c r="H11" s="107">
        <f>IF(B$51=0,0,G11/B$51)</f>
        <v>8.2051282051282051E-2</v>
      </c>
      <c r="I11" s="68">
        <v>6</v>
      </c>
      <c r="K11" s="5">
        <v>9</v>
      </c>
      <c r="L11" s="73">
        <v>-292.60000000000002</v>
      </c>
      <c r="N11" s="89" t="s">
        <v>150</v>
      </c>
      <c r="O11" s="99">
        <f>IF(P11=0,0,Q11/P11)</f>
        <v>-3.276666666666666</v>
      </c>
      <c r="P11" s="93">
        <v>30</v>
      </c>
      <c r="Q11" s="81">
        <v>-98.299999999999983</v>
      </c>
    </row>
    <row r="12" spans="1:17" x14ac:dyDescent="0.45">
      <c r="A12" s="38" t="s">
        <v>205</v>
      </c>
      <c r="B12" s="120">
        <f>IF(B9=0,0,C12/B9)</f>
        <v>-39.019512195121955</v>
      </c>
      <c r="C12" s="121">
        <v>-1599.8000000000002</v>
      </c>
      <c r="E12" s="44" t="s">
        <v>69</v>
      </c>
      <c r="F12" s="41" t="s">
        <v>24</v>
      </c>
      <c r="G12" s="34">
        <v>15</v>
      </c>
      <c r="H12" s="107">
        <f>IF(B$51=0,0,G12/B$51)</f>
        <v>7.6923076923076927E-2</v>
      </c>
      <c r="I12" s="68">
        <v>18</v>
      </c>
      <c r="K12" s="5">
        <v>10</v>
      </c>
      <c r="L12" s="73">
        <v>-304.60000000000002</v>
      </c>
      <c r="N12" s="90" t="s">
        <v>151</v>
      </c>
      <c r="O12" s="100">
        <f>IF(P12=0,0,Q12/P12)</f>
        <v>-9.7840000000000007</v>
      </c>
      <c r="P12" s="94">
        <v>25</v>
      </c>
      <c r="Q12" s="82">
        <v>-244.60000000000002</v>
      </c>
    </row>
    <row r="13" spans="1:17" x14ac:dyDescent="0.45">
      <c r="A13" s="38" t="s">
        <v>206</v>
      </c>
      <c r="B13" s="139">
        <f>AVERAGE(B10:B12)</f>
        <v>-1.3788037166085967</v>
      </c>
      <c r="C13" s="140"/>
      <c r="E13" s="44" t="s">
        <v>86</v>
      </c>
      <c r="F13" s="41" t="s">
        <v>41</v>
      </c>
      <c r="G13" s="34">
        <v>13</v>
      </c>
      <c r="H13" s="107">
        <f>IF(B$51=0,0,G13/B$51)</f>
        <v>6.6666666666666666E-2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15</v>
      </c>
      <c r="C14" s="32">
        <f t="shared" si="1"/>
        <v>0.15625</v>
      </c>
      <c r="E14" s="44" t="s">
        <v>81</v>
      </c>
      <c r="F14" s="41" t="s">
        <v>36</v>
      </c>
      <c r="G14" s="34">
        <v>10</v>
      </c>
      <c r="H14" s="107">
        <f>IF(B$51=0,0,G14/B$51)</f>
        <v>5.128205128205128E-2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168</v>
      </c>
      <c r="C15" s="11">
        <f>IF(B$50=0,0,B15/B$50)</f>
        <v>0.21212121212121213</v>
      </c>
      <c r="E15" s="44" t="s">
        <v>83</v>
      </c>
      <c r="F15" s="41" t="s">
        <v>38</v>
      </c>
      <c r="G15" s="34">
        <v>10</v>
      </c>
      <c r="H15" s="107">
        <f>IF(B$51=0,0,G15/B$51)</f>
        <v>5.128205128205128E-2</v>
      </c>
      <c r="I15" s="68">
        <v>6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5">
      <c r="A16" s="37" t="s">
        <v>118</v>
      </c>
      <c r="B16" s="34">
        <v>181</v>
      </c>
      <c r="C16" s="31">
        <f>IF(B$50=0,0,B16/B$50)</f>
        <v>0.22853535353535354</v>
      </c>
      <c r="E16" s="44" t="s">
        <v>91</v>
      </c>
      <c r="F16" s="41" t="s">
        <v>46</v>
      </c>
      <c r="G16" s="34">
        <v>5</v>
      </c>
      <c r="H16" s="107">
        <f>IF(B$51=0,0,G16/B$51)</f>
        <v>2.564102564102564E-2</v>
      </c>
      <c r="I16" s="68">
        <v>4</v>
      </c>
      <c r="K16" s="5">
        <v>14</v>
      </c>
      <c r="L16" s="73">
        <v>-416.90000000000003</v>
      </c>
      <c r="N16" s="89" t="s">
        <v>188</v>
      </c>
      <c r="O16" s="99">
        <f>IF(P16=0,0,Q16/P16)</f>
        <v>7.8115384615384604</v>
      </c>
      <c r="P16" s="93">
        <v>26</v>
      </c>
      <c r="Q16" s="81">
        <v>203.09999999999997</v>
      </c>
    </row>
    <row r="17" spans="1:17" x14ac:dyDescent="0.45">
      <c r="A17" s="19" t="s">
        <v>123</v>
      </c>
      <c r="B17" s="13">
        <v>93</v>
      </c>
      <c r="C17" s="4">
        <f>IF(B$15=0,0,B17/B$15)</f>
        <v>0.5535714285714286</v>
      </c>
      <c r="E17" s="44" t="s">
        <v>78</v>
      </c>
      <c r="F17" s="41" t="s">
        <v>33</v>
      </c>
      <c r="G17" s="34">
        <v>4</v>
      </c>
      <c r="H17" s="107">
        <f>IF(B$51=0,0,G17/B$51)</f>
        <v>2.0512820512820513E-2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5">
      <c r="A18" s="19" t="s">
        <v>124</v>
      </c>
      <c r="B18" s="13">
        <v>69</v>
      </c>
      <c r="C18" s="4">
        <f>IF(B$16=0,0,B18/B$16)</f>
        <v>0.38121546961325969</v>
      </c>
      <c r="E18" s="44" t="s">
        <v>73</v>
      </c>
      <c r="F18" s="41" t="s">
        <v>28</v>
      </c>
      <c r="G18" s="34">
        <v>2</v>
      </c>
      <c r="H18" s="107">
        <f>IF(B$51=0,0,G18/B$51)</f>
        <v>1.0256410256410256E-2</v>
      </c>
      <c r="I18" s="68">
        <v>3</v>
      </c>
      <c r="K18" s="5">
        <v>16</v>
      </c>
      <c r="L18" s="73">
        <v>-392.1</v>
      </c>
      <c r="N18" s="89" t="s">
        <v>191</v>
      </c>
      <c r="O18" s="99">
        <f>IF(P18=0,0,Q18/P18)</f>
        <v>-17.597297297297299</v>
      </c>
      <c r="P18" s="93">
        <v>37</v>
      </c>
      <c r="Q18" s="81">
        <v>-651.1</v>
      </c>
    </row>
    <row r="19" spans="1:17" x14ac:dyDescent="0.45">
      <c r="A19" s="19" t="s">
        <v>10</v>
      </c>
      <c r="B19" s="13">
        <v>195</v>
      </c>
      <c r="C19" s="4">
        <f>IF(B$3=0,0,B19/B$3)</f>
        <v>0.24621212121212122</v>
      </c>
      <c r="E19" s="44" t="s">
        <v>74</v>
      </c>
      <c r="F19" s="41" t="s">
        <v>29</v>
      </c>
      <c r="G19" s="34">
        <v>1</v>
      </c>
      <c r="H19" s="107">
        <f>IF(B$51=0,0,G19/B$51)</f>
        <v>5.1282051282051282E-3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5">
      <c r="A20" s="37" t="s">
        <v>13</v>
      </c>
      <c r="B20" s="34">
        <v>143</v>
      </c>
      <c r="C20" s="31">
        <f>IF(B$3=0,0,B20/B$3)</f>
        <v>0.18055555555555555</v>
      </c>
      <c r="E20" s="44" t="s">
        <v>77</v>
      </c>
      <c r="F20" s="41" t="s">
        <v>32</v>
      </c>
      <c r="G20" s="34">
        <v>1</v>
      </c>
      <c r="H20" s="107">
        <f>IF(B$51=0,0,G20/B$51)</f>
        <v>5.1282051282051282E-3</v>
      </c>
      <c r="I20" s="68">
        <v>8</v>
      </c>
      <c r="K20" s="5">
        <v>18</v>
      </c>
      <c r="L20" s="73">
        <v>-443.20000000000005</v>
      </c>
      <c r="N20" s="89" t="s">
        <v>187</v>
      </c>
      <c r="O20" s="99">
        <f>IF(P20=0,0,Q20/P20)</f>
        <v>-18.024390243902438</v>
      </c>
      <c r="P20" s="93">
        <v>41</v>
      </c>
      <c r="Q20" s="81">
        <v>-739</v>
      </c>
    </row>
    <row r="21" spans="1:17" x14ac:dyDescent="0.45">
      <c r="A21" s="37" t="s">
        <v>12</v>
      </c>
      <c r="B21" s="34">
        <v>92</v>
      </c>
      <c r="C21" s="31">
        <f>IF(B$19=0,0,B21/B$19)</f>
        <v>0.47179487179487178</v>
      </c>
      <c r="E21" s="44" t="s">
        <v>79</v>
      </c>
      <c r="F21" s="41" t="s">
        <v>34</v>
      </c>
      <c r="G21" s="34">
        <v>1</v>
      </c>
      <c r="H21" s="107">
        <f>IF(B$51=0,0,G21/B$51)</f>
        <v>5.1282051282051282E-3</v>
      </c>
      <c r="I21" s="68">
        <v>14</v>
      </c>
      <c r="K21" s="5">
        <v>19</v>
      </c>
      <c r="L21" s="73">
        <v>-443.70000000000005</v>
      </c>
      <c r="N21" s="89" t="s">
        <v>190</v>
      </c>
      <c r="O21" s="99">
        <f>IF(P21=0,0,Q21/P21)</f>
        <v>-20.2</v>
      </c>
      <c r="P21" s="93">
        <v>9</v>
      </c>
      <c r="Q21" s="81">
        <v>-181.79999999999998</v>
      </c>
    </row>
    <row r="22" spans="1:17" x14ac:dyDescent="0.45">
      <c r="A22" s="37" t="s">
        <v>11</v>
      </c>
      <c r="B22" s="34">
        <v>103</v>
      </c>
      <c r="C22" s="31">
        <f>IF(B$19=0,0,B22/B$19)</f>
        <v>0.52820512820512822</v>
      </c>
      <c r="E22" s="44" t="s">
        <v>92</v>
      </c>
      <c r="F22" s="41" t="s">
        <v>47</v>
      </c>
      <c r="G22" s="34">
        <v>1</v>
      </c>
      <c r="H22" s="107">
        <f>IF(B$51=0,0,G22/B$51)</f>
        <v>5.1282051282051282E-3</v>
      </c>
      <c r="I22" s="68">
        <v>7</v>
      </c>
      <c r="K22" s="5">
        <v>20</v>
      </c>
      <c r="L22" s="73">
        <v>-467.6</v>
      </c>
      <c r="N22" s="89" t="s">
        <v>193</v>
      </c>
      <c r="O22" s="99">
        <f>IF(P22=0,0,Q22/P22)</f>
        <v>-20.954166666666666</v>
      </c>
      <c r="P22" s="93">
        <v>24</v>
      </c>
      <c r="Q22" s="81">
        <v>-502.9</v>
      </c>
    </row>
    <row r="23" spans="1:17" x14ac:dyDescent="0.45">
      <c r="A23" s="37" t="s">
        <v>180</v>
      </c>
      <c r="B23" s="34">
        <v>93</v>
      </c>
      <c r="C23" s="31">
        <f>IF(B$19=0,0,B23/B$19)</f>
        <v>0.47692307692307695</v>
      </c>
      <c r="E23" s="44" t="s">
        <v>95</v>
      </c>
      <c r="F23" s="41" t="s">
        <v>50</v>
      </c>
      <c r="G23" s="34">
        <v>1</v>
      </c>
      <c r="H23" s="107">
        <f>IF(B$51=0,0,G23/B$51)</f>
        <v>5.1282051282051282E-3</v>
      </c>
      <c r="I23" s="68">
        <v>1</v>
      </c>
      <c r="K23" s="5">
        <v>21</v>
      </c>
      <c r="L23" s="73">
        <v>-469.5</v>
      </c>
      <c r="N23" s="89" t="s">
        <v>195</v>
      </c>
      <c r="O23" s="99">
        <f>IF(P23=0,0,Q23/P23)</f>
        <v>-30.043333333333347</v>
      </c>
      <c r="P23" s="93">
        <v>30</v>
      </c>
      <c r="Q23" s="81">
        <v>-901.30000000000041</v>
      </c>
    </row>
    <row r="24" spans="1:17" x14ac:dyDescent="0.45">
      <c r="A24" s="37" t="s">
        <v>178</v>
      </c>
      <c r="B24" s="34">
        <v>69</v>
      </c>
      <c r="C24" s="31">
        <f>IF(B$19=0,0,B24/B$19)</f>
        <v>0.35384615384615387</v>
      </c>
      <c r="E24" s="44" t="s">
        <v>153</v>
      </c>
      <c r="F24" s="41" t="s">
        <v>154</v>
      </c>
      <c r="G24" s="34">
        <v>1</v>
      </c>
      <c r="H24" s="107">
        <f>IF(B$51=0,0,G24/B$51)</f>
        <v>5.1282051282051282E-3</v>
      </c>
      <c r="I24" s="68">
        <v>9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33</v>
      </c>
      <c r="C25" s="31">
        <f>IF(B$19=0,0,B25/B$19)</f>
        <v>0.16923076923076924</v>
      </c>
      <c r="E25" s="44" t="s">
        <v>75</v>
      </c>
      <c r="F25" s="41" t="s">
        <v>30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5">
      <c r="A26" s="37" t="s">
        <v>5</v>
      </c>
      <c r="B26" s="17">
        <f>IF(B$19=0,0,C26/B$19)</f>
        <v>8231.7948717948711</v>
      </c>
      <c r="C26" s="8">
        <v>1605200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8851.5873015873021</v>
      </c>
      <c r="C27" s="115">
        <v>1115300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7100</v>
      </c>
      <c r="C28" s="115">
        <v>489900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-8153.1468531468536</v>
      </c>
      <c r="C29" s="115">
        <v>-1165900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35">
        <v>6</v>
      </c>
      <c r="C32" s="136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33">
        <v>89000</v>
      </c>
      <c r="C33" s="134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5.0505050505050509E-3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6">
        <v>17</v>
      </c>
      <c r="C36" s="119">
        <f>IF(B$19=0,0,B36/B$19)</f>
        <v>8.7179487179487175E-2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35</v>
      </c>
      <c r="C37" s="31">
        <f t="shared" ref="C37:C48" si="2">IF(B$19=0,0,B37/B$19)</f>
        <v>0.17948717948717949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7">
        <v>41</v>
      </c>
      <c r="C38" s="31">
        <f>IF(B$19=0,0,B38/B$19)</f>
        <v>0.21025641025641026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7">
        <v>35</v>
      </c>
      <c r="C39" s="31">
        <f t="shared" si="2"/>
        <v>0.17948717948717949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7">
        <v>27</v>
      </c>
      <c r="C40" s="31">
        <f t="shared" si="2"/>
        <v>0.13846153846153847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7">
        <v>17</v>
      </c>
      <c r="C41" s="31">
        <f t="shared" si="2"/>
        <v>8.7179487179487175E-2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7">
        <v>10</v>
      </c>
      <c r="C42" s="31">
        <f t="shared" si="2"/>
        <v>5.128205128205128E-2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7">
        <v>7</v>
      </c>
      <c r="C43" s="31">
        <f t="shared" si="2"/>
        <v>3.5897435897435895E-2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7">
        <v>1</v>
      </c>
      <c r="C44" s="31">
        <f t="shared" si="2"/>
        <v>5.1282051282051282E-3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7">
        <v>1</v>
      </c>
      <c r="C45" s="31">
        <f t="shared" si="2"/>
        <v>5.1282051282051282E-3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7">
        <v>2</v>
      </c>
      <c r="C46" s="31">
        <f t="shared" si="2"/>
        <v>1.0256410256410256E-2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8">
        <v>2</v>
      </c>
      <c r="C48" s="32">
        <f t="shared" si="2"/>
        <v>1.0256410256410256E-2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31">
        <v>792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29">
        <v>195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  <row r="87" spans="11:12" x14ac:dyDescent="0.45">
      <c r="K87" s="5">
        <v>85</v>
      </c>
      <c r="L87" s="73">
        <v>-1159.8000000000002</v>
      </c>
    </row>
    <row r="88" spans="11:12" x14ac:dyDescent="0.45">
      <c r="K88" s="5">
        <v>86</v>
      </c>
      <c r="L88" s="73">
        <v>-1230.7000000000003</v>
      </c>
    </row>
    <row r="89" spans="11:12" x14ac:dyDescent="0.45">
      <c r="K89" s="5">
        <v>87</v>
      </c>
      <c r="L89" s="73">
        <v>-1197.7000000000003</v>
      </c>
    </row>
    <row r="90" spans="11:12" x14ac:dyDescent="0.45">
      <c r="K90" s="5">
        <v>88</v>
      </c>
      <c r="L90" s="73">
        <v>-1189.4000000000001</v>
      </c>
    </row>
    <row r="91" spans="11:12" x14ac:dyDescent="0.45">
      <c r="K91" s="5">
        <v>89</v>
      </c>
      <c r="L91" s="73">
        <v>-1219.9000000000001</v>
      </c>
    </row>
    <row r="92" spans="11:12" x14ac:dyDescent="0.45">
      <c r="K92" s="5">
        <v>90</v>
      </c>
      <c r="L92" s="73">
        <v>-1218</v>
      </c>
    </row>
    <row r="93" spans="11:12" x14ac:dyDescent="0.45">
      <c r="K93" s="5">
        <v>91</v>
      </c>
      <c r="L93" s="73">
        <v>-1230.8000000000002</v>
      </c>
    </row>
    <row r="94" spans="11:12" x14ac:dyDescent="0.45">
      <c r="K94" s="5">
        <v>92</v>
      </c>
      <c r="L94" s="73">
        <v>-1245.4000000000001</v>
      </c>
    </row>
    <row r="95" spans="11:12" x14ac:dyDescent="0.45">
      <c r="K95" s="5">
        <v>93</v>
      </c>
      <c r="L95" s="73">
        <v>-1253.8000000000002</v>
      </c>
    </row>
    <row r="96" spans="11:12" x14ac:dyDescent="0.45">
      <c r="K96" s="5">
        <v>94</v>
      </c>
      <c r="L96" s="73">
        <v>-1287.2</v>
      </c>
    </row>
    <row r="97" spans="11:12" x14ac:dyDescent="0.45">
      <c r="K97" s="5">
        <v>95</v>
      </c>
      <c r="L97" s="73">
        <v>-1245.9000000000001</v>
      </c>
    </row>
    <row r="98" spans="11:12" x14ac:dyDescent="0.45">
      <c r="K98" s="5">
        <v>96</v>
      </c>
      <c r="L98" s="73">
        <v>-1181.9000000000001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4D5CF-DE39-44CE-B3CE-7FD6B24FED91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198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43">
        <v>32</v>
      </c>
      <c r="C3" s="144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45">
        <v>-56.2</v>
      </c>
      <c r="C4" s="146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9">
        <f>IF(B$2=0,0,B$4/B$2)</f>
        <v>-14.05</v>
      </c>
      <c r="C5" s="140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37">
        <f>IF(B$2=0,0,(B$7*1+B$8*2+B$9*3)/B$2)</f>
        <v>2.25</v>
      </c>
      <c r="C6" s="138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-2.9833333333333321</v>
      </c>
      <c r="C13" s="140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11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5">
        <v>2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55200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10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9E2AB-5363-420E-9D99-B6940352159A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202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</v>
      </c>
      <c r="C2" s="132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43">
        <v>78</v>
      </c>
      <c r="C3" s="144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45">
        <v>9.2999999999999972</v>
      </c>
      <c r="C4" s="146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9">
        <f>IF(B$2=0,0,B$4/B$2)</f>
        <v>0.92999999999999972</v>
      </c>
      <c r="C5" s="140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10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2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9">
        <f>AVERAGE(B10:B12)</f>
        <v>0.61999999999999977</v>
      </c>
      <c r="C13" s="140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70900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26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DEFE9-D3CA-4AE0-82DE-7A5DE6BD0155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201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43">
        <v>40</v>
      </c>
      <c r="C3" s="144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45">
        <v>-80.800000000000011</v>
      </c>
      <c r="C4" s="146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9">
        <f>IF(B$2=0,0,B$4/B$2)</f>
        <v>-16.160000000000004</v>
      </c>
      <c r="C5" s="140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37">
        <f>IF(B$2=0,0,(B$7*1+B$8*2+B$9*3)/B$2)</f>
        <v>2.2000000000000002</v>
      </c>
      <c r="C6" s="138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9">
        <f>AVERAGE(B10:B12)</f>
        <v>-8.9666666666666668</v>
      </c>
      <c r="C13" s="140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4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52000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40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8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2020-06-29T11:40:21Z</dcterms:modified>
</cp:coreProperties>
</file>